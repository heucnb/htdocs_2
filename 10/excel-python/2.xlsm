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9440" windowHeight="10050" tabRatio="513" activeTab="8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/>
</workbook>
</file>

<file path=xl/calcChain.xml><?xml version="1.0" encoding="utf-8"?>
<calcChain xmlns="http://schemas.openxmlformats.org/spreadsheetml/2006/main">
  <c r="AB1" i="15"/>
  <c r="AC251"/>
  <c r="AD251"/>
  <c r="AE251"/>
  <c r="AF251"/>
  <c r="AG251"/>
  <c r="AH251"/>
  <c r="AI251"/>
  <c r="AJ251"/>
  <c r="AK251"/>
  <c r="AM251"/>
  <c r="AN251"/>
  <c r="AO251"/>
  <c r="AC252"/>
  <c r="AD252"/>
  <c r="AE252"/>
  <c r="AF252"/>
  <c r="AG252"/>
  <c r="AH252"/>
  <c r="AI252"/>
  <c r="AJ252"/>
  <c r="AK252"/>
  <c r="AM252"/>
  <c r="AN252"/>
  <c r="AO252"/>
  <c r="AC253"/>
  <c r="AD253"/>
  <c r="AE253"/>
  <c r="AF253"/>
  <c r="AG253"/>
  <c r="AH253"/>
  <c r="AI253"/>
  <c r="AJ253"/>
  <c r="AK253"/>
  <c r="AM253"/>
  <c r="AN253"/>
  <c r="AO253"/>
  <c r="AC254"/>
  <c r="AD254"/>
  <c r="AE254"/>
  <c r="AF254"/>
  <c r="AG254"/>
  <c r="AH254"/>
  <c r="AI254"/>
  <c r="AJ254"/>
  <c r="AK254"/>
  <c r="AM254"/>
  <c r="AN254"/>
  <c r="AO254"/>
  <c r="AC255"/>
  <c r="AD255"/>
  <c r="AE255"/>
  <c r="AF255"/>
  <c r="AG255"/>
  <c r="AH255"/>
  <c r="AI255"/>
  <c r="AJ255"/>
  <c r="AK255"/>
  <c r="AM255"/>
  <c r="AN255"/>
  <c r="AO255"/>
  <c r="AC256"/>
  <c r="AD256"/>
  <c r="AE256"/>
  <c r="AF256"/>
  <c r="AG256"/>
  <c r="AH256"/>
  <c r="AI256"/>
  <c r="AJ256"/>
  <c r="AK256"/>
  <c r="AM256"/>
  <c r="AN256"/>
  <c r="AO256"/>
  <c r="AC257"/>
  <c r="AD257"/>
  <c r="AE257"/>
  <c r="AF257"/>
  <c r="AG257"/>
  <c r="AH257"/>
  <c r="AI257"/>
  <c r="AJ257"/>
  <c r="AK257"/>
  <c r="AM257"/>
  <c r="AN257"/>
  <c r="AO257"/>
  <c r="AC258"/>
  <c r="AD258"/>
  <c r="AE258"/>
  <c r="AF258"/>
  <c r="AG258"/>
  <c r="AH258"/>
  <c r="AI258"/>
  <c r="AJ258"/>
  <c r="AK258"/>
  <c r="AM258"/>
  <c r="AN258"/>
  <c r="AO258"/>
  <c r="AC259"/>
  <c r="AD259"/>
  <c r="AE259"/>
  <c r="AF259"/>
  <c r="AG259"/>
  <c r="AH259"/>
  <c r="AI259"/>
  <c r="AJ259"/>
  <c r="AK259"/>
  <c r="AM259"/>
  <c r="AN259"/>
  <c r="AO259"/>
  <c r="AC260"/>
  <c r="AD260"/>
  <c r="AE260"/>
  <c r="AF260"/>
  <c r="AG260"/>
  <c r="AH260"/>
  <c r="AI260"/>
  <c r="AJ260"/>
  <c r="AK260"/>
  <c r="AM260"/>
  <c r="AN260"/>
  <c r="AO260"/>
  <c r="AC261"/>
  <c r="AD261"/>
  <c r="AE261"/>
  <c r="AF261"/>
  <c r="AG261"/>
  <c r="AH261"/>
  <c r="AI261"/>
  <c r="AJ261"/>
  <c r="AK261"/>
  <c r="AM261"/>
  <c r="AN261"/>
  <c r="AO261"/>
  <c r="AC262"/>
  <c r="AD262"/>
  <c r="AE262"/>
  <c r="AF262"/>
  <c r="AG262"/>
  <c r="AH262"/>
  <c r="AI262"/>
  <c r="AJ262"/>
  <c r="AK262"/>
  <c r="AM262"/>
  <c r="AN262"/>
  <c r="AO262"/>
  <c r="AC263"/>
  <c r="AD263"/>
  <c r="AE263"/>
  <c r="AF263"/>
  <c r="AG263"/>
  <c r="AH263"/>
  <c r="AI263"/>
  <c r="AJ263"/>
  <c r="AK263"/>
  <c r="AM263"/>
  <c r="AN263"/>
  <c r="AO263"/>
  <c r="AC264"/>
  <c r="AD264"/>
  <c r="AE264"/>
  <c r="AF264"/>
  <c r="AG264"/>
  <c r="AH264"/>
  <c r="AI264"/>
  <c r="AJ264"/>
  <c r="AK264"/>
  <c r="AM264"/>
  <c r="AN264"/>
  <c r="AO264"/>
  <c r="AC265"/>
  <c r="AD265"/>
  <c r="AE265"/>
  <c r="AF265"/>
  <c r="AG265"/>
  <c r="AH265"/>
  <c r="AI265"/>
  <c r="AJ265"/>
  <c r="AK265"/>
  <c r="AM265"/>
  <c r="AN265"/>
  <c r="AO265"/>
  <c r="AC266"/>
  <c r="AD266"/>
  <c r="AE266"/>
  <c r="AF266"/>
  <c r="AG266"/>
  <c r="AH266"/>
  <c r="AI266"/>
  <c r="AJ266"/>
  <c r="AK266"/>
  <c r="AM266"/>
  <c r="AN266"/>
  <c r="AO266"/>
  <c r="AC267"/>
  <c r="AD267"/>
  <c r="AE267"/>
  <c r="AF267"/>
  <c r="AG267"/>
  <c r="AH267"/>
  <c r="AI267"/>
  <c r="AJ267"/>
  <c r="AK267"/>
  <c r="AM267"/>
  <c r="AN267"/>
  <c r="AO267"/>
  <c r="AC268"/>
  <c r="AD268"/>
  <c r="AE268"/>
  <c r="AF268"/>
  <c r="AG268"/>
  <c r="AH268"/>
  <c r="AI268"/>
  <c r="AJ268"/>
  <c r="AK268"/>
  <c r="AM268"/>
  <c r="AN268"/>
  <c r="AO268"/>
  <c r="AC269"/>
  <c r="AD269"/>
  <c r="AE269"/>
  <c r="AF269"/>
  <c r="AG269"/>
  <c r="AH269"/>
  <c r="AI269"/>
  <c r="AJ269"/>
  <c r="AK269"/>
  <c r="AM269"/>
  <c r="AN269"/>
  <c r="AO269"/>
  <c r="AC270"/>
  <c r="AD270"/>
  <c r="AE270"/>
  <c r="AF270"/>
  <c r="AG270"/>
  <c r="AH270"/>
  <c r="AI270"/>
  <c r="AJ270"/>
  <c r="AK270"/>
  <c r="AM270"/>
  <c r="AN270"/>
  <c r="AO270"/>
  <c r="AC271"/>
  <c r="AD271"/>
  <c r="AE271"/>
  <c r="AF271"/>
  <c r="AG271"/>
  <c r="AH271"/>
  <c r="AI271"/>
  <c r="AJ271"/>
  <c r="AK271"/>
  <c r="AM271"/>
  <c r="AN271"/>
  <c r="AO271"/>
  <c r="AC272"/>
  <c r="AD272"/>
  <c r="AE272"/>
  <c r="AF272"/>
  <c r="AG272"/>
  <c r="AH272"/>
  <c r="AI272"/>
  <c r="AJ272"/>
  <c r="AK272"/>
  <c r="AM272"/>
  <c r="AN272"/>
  <c r="AO272"/>
  <c r="AC273"/>
  <c r="AD273"/>
  <c r="AE273"/>
  <c r="AF273"/>
  <c r="AG273"/>
  <c r="AH273"/>
  <c r="AI273"/>
  <c r="AJ273"/>
  <c r="AK273"/>
  <c r="AM273"/>
  <c r="AN273"/>
  <c r="AO273"/>
  <c r="AC274"/>
  <c r="AD274"/>
  <c r="AE274"/>
  <c r="AF274"/>
  <c r="AG274"/>
  <c r="AH274"/>
  <c r="AI274"/>
  <c r="AJ274"/>
  <c r="AK274"/>
  <c r="AM274"/>
  <c r="AN274"/>
  <c r="AO274"/>
  <c r="AC275"/>
  <c r="AD275"/>
  <c r="AE275"/>
  <c r="AF275"/>
  <c r="AG275"/>
  <c r="AH275"/>
  <c r="AI275"/>
  <c r="AJ275"/>
  <c r="AK275"/>
  <c r="AM275"/>
  <c r="AN275"/>
  <c r="AO275"/>
  <c r="AC276"/>
  <c r="AD276"/>
  <c r="AE276"/>
  <c r="AF276"/>
  <c r="AG276"/>
  <c r="AH276"/>
  <c r="AI276"/>
  <c r="AJ276"/>
  <c r="AK276"/>
  <c r="AM276"/>
  <c r="AN276"/>
  <c r="AO276"/>
  <c r="AC277"/>
  <c r="AD277"/>
  <c r="AE277"/>
  <c r="AF277"/>
  <c r="AG277"/>
  <c r="AH277"/>
  <c r="AI277"/>
  <c r="AJ277"/>
  <c r="AK277"/>
  <c r="AM277"/>
  <c r="AN277"/>
  <c r="AO277"/>
  <c r="AC278"/>
  <c r="AD278"/>
  <c r="AE278"/>
  <c r="AF278"/>
  <c r="AG278"/>
  <c r="AH278"/>
  <c r="AI278"/>
  <c r="AJ278"/>
  <c r="AK278"/>
  <c r="AM278"/>
  <c r="AN278"/>
  <c r="AO278"/>
  <c r="AC279"/>
  <c r="AD279"/>
  <c r="AE279"/>
  <c r="AF279"/>
  <c r="AG279"/>
  <c r="AH279"/>
  <c r="AI279"/>
  <c r="AJ279"/>
  <c r="AK279"/>
  <c r="AM279"/>
  <c r="AN279"/>
  <c r="AO279"/>
  <c r="AC280"/>
  <c r="AD280"/>
  <c r="AE280"/>
  <c r="AF280"/>
  <c r="AG280"/>
  <c r="AH280"/>
  <c r="AI280"/>
  <c r="AJ280"/>
  <c r="AK280"/>
  <c r="AM280"/>
  <c r="AN280"/>
  <c r="AO280"/>
  <c r="AC281"/>
  <c r="AD281"/>
  <c r="AE281"/>
  <c r="AF281"/>
  <c r="AG281"/>
  <c r="AH281"/>
  <c r="AI281"/>
  <c r="AJ281"/>
  <c r="AK281"/>
  <c r="AM281"/>
  <c r="AN281"/>
  <c r="AO281"/>
  <c r="AC282"/>
  <c r="AD282"/>
  <c r="AE282"/>
  <c r="AF282"/>
  <c r="AG282"/>
  <c r="AH282"/>
  <c r="AI282"/>
  <c r="AJ282"/>
  <c r="AK282"/>
  <c r="AM282"/>
  <c r="AN282"/>
  <c r="AO282"/>
  <c r="AC283"/>
  <c r="AD283"/>
  <c r="AE283"/>
  <c r="AF283"/>
  <c r="AG283"/>
  <c r="AH283"/>
  <c r="AI283"/>
  <c r="AJ283"/>
  <c r="AK283"/>
  <c r="AM283"/>
  <c r="AN283"/>
  <c r="AO283"/>
  <c r="AC284"/>
  <c r="AD284"/>
  <c r="AE284"/>
  <c r="AF284"/>
  <c r="AG284"/>
  <c r="AH284"/>
  <c r="AI284"/>
  <c r="AJ284"/>
  <c r="AK284"/>
  <c r="AM284"/>
  <c r="AN284"/>
  <c r="AO284"/>
  <c r="AC285"/>
  <c r="AD285"/>
  <c r="AE285"/>
  <c r="AF285"/>
  <c r="AG285"/>
  <c r="AH285"/>
  <c r="AI285"/>
  <c r="AJ285"/>
  <c r="AK285"/>
  <c r="AM285"/>
  <c r="AN285"/>
  <c r="AO285"/>
  <c r="AC286"/>
  <c r="AD286"/>
  <c r="AE286"/>
  <c r="AF286"/>
  <c r="AG286"/>
  <c r="AH286"/>
  <c r="AI286"/>
  <c r="AJ286"/>
  <c r="AK286"/>
  <c r="AM286"/>
  <c r="AN286"/>
  <c r="AO286"/>
  <c r="AC287"/>
  <c r="AD287"/>
  <c r="AE287"/>
  <c r="AF287"/>
  <c r="AG287"/>
  <c r="AH287"/>
  <c r="AI287"/>
  <c r="AJ287"/>
  <c r="AK287"/>
  <c r="AM287"/>
  <c r="AN287"/>
  <c r="AO287"/>
  <c r="AC288"/>
  <c r="AD288"/>
  <c r="AE288"/>
  <c r="AF288"/>
  <c r="AG288"/>
  <c r="AH288"/>
  <c r="AI288"/>
  <c r="AJ288"/>
  <c r="AK288"/>
  <c r="AM288"/>
  <c r="AN288"/>
  <c r="AO288"/>
  <c r="AC289"/>
  <c r="AD289"/>
  <c r="AE289"/>
  <c r="AF289"/>
  <c r="AG289"/>
  <c r="AH289"/>
  <c r="AI289"/>
  <c r="AJ289"/>
  <c r="AK289"/>
  <c r="AM289"/>
  <c r="AN289"/>
  <c r="AO289"/>
  <c r="AC290"/>
  <c r="AD290"/>
  <c r="AE290"/>
  <c r="AF290"/>
  <c r="AG290"/>
  <c r="AH290"/>
  <c r="AI290"/>
  <c r="AJ290"/>
  <c r="AK290"/>
  <c r="AM290"/>
  <c r="AN290"/>
  <c r="AO290"/>
  <c r="AC291"/>
  <c r="AD291"/>
  <c r="AE291"/>
  <c r="AF291"/>
  <c r="AG291"/>
  <c r="AH291"/>
  <c r="AI291"/>
  <c r="AJ291"/>
  <c r="AK291"/>
  <c r="AM291"/>
  <c r="AN291"/>
  <c r="AO291"/>
  <c r="AC292"/>
  <c r="AD292"/>
  <c r="AE292"/>
  <c r="AF292"/>
  <c r="AG292"/>
  <c r="AH292"/>
  <c r="AI292"/>
  <c r="AJ292"/>
  <c r="AK292"/>
  <c r="AM292"/>
  <c r="AN292"/>
  <c r="AO292"/>
  <c r="AC293"/>
  <c r="AD293"/>
  <c r="AE293"/>
  <c r="AF293"/>
  <c r="AG293"/>
  <c r="AH293"/>
  <c r="AI293"/>
  <c r="AJ293"/>
  <c r="AK293"/>
  <c r="AM293"/>
  <c r="AN293"/>
  <c r="AO293"/>
  <c r="AC294"/>
  <c r="AD294"/>
  <c r="AE294"/>
  <c r="AF294"/>
  <c r="AG294"/>
  <c r="AH294"/>
  <c r="AI294"/>
  <c r="AJ294"/>
  <c r="AK294"/>
  <c r="AM294"/>
  <c r="AN294"/>
  <c r="AO294"/>
  <c r="AC295"/>
  <c r="AD295"/>
  <c r="AE295"/>
  <c r="AF295"/>
  <c r="AG295"/>
  <c r="AH295"/>
  <c r="AI295"/>
  <c r="AJ295"/>
  <c r="AK295"/>
  <c r="AM295"/>
  <c r="AN295"/>
  <c r="AO295"/>
  <c r="AC296"/>
  <c r="AD296"/>
  <c r="AE296"/>
  <c r="AF296"/>
  <c r="AG296"/>
  <c r="AH296"/>
  <c r="AI296"/>
  <c r="AJ296"/>
  <c r="AK296"/>
  <c r="AM296"/>
  <c r="AN296"/>
  <c r="AO296"/>
  <c r="AC297"/>
  <c r="AD297"/>
  <c r="AE297"/>
  <c r="AF297"/>
  <c r="AG297"/>
  <c r="AH297"/>
  <c r="AI297"/>
  <c r="AJ297"/>
  <c r="AK297"/>
  <c r="AM297"/>
  <c r="AN297"/>
  <c r="AO297"/>
  <c r="AC298"/>
  <c r="AD298"/>
  <c r="AE298"/>
  <c r="AF298"/>
  <c r="AG298"/>
  <c r="AH298"/>
  <c r="AI298"/>
  <c r="AJ298"/>
  <c r="AK298"/>
  <c r="AM298"/>
  <c r="AN298"/>
  <c r="AO298"/>
  <c r="AC299"/>
  <c r="AD299"/>
  <c r="AE299"/>
  <c r="AF299"/>
  <c r="AG299"/>
  <c r="AH299"/>
  <c r="AI299"/>
  <c r="AJ299"/>
  <c r="AK299"/>
  <c r="AM299"/>
  <c r="AN299"/>
  <c r="AO299"/>
  <c r="AC300"/>
  <c r="AD300"/>
  <c r="AE300"/>
  <c r="AF300"/>
  <c r="AG300"/>
  <c r="AH300"/>
  <c r="AI300"/>
  <c r="AJ300"/>
  <c r="AK300"/>
  <c r="AM300"/>
  <c r="AN300"/>
  <c r="AO300"/>
  <c r="AC301"/>
  <c r="AD301"/>
  <c r="AE301"/>
  <c r="AF301"/>
  <c r="AG301"/>
  <c r="AH301"/>
  <c r="AI301"/>
  <c r="AJ301"/>
  <c r="AK301"/>
  <c r="AM301"/>
  <c r="AN301"/>
  <c r="AO301"/>
  <c r="AC302"/>
  <c r="AD302"/>
  <c r="AE302"/>
  <c r="AF302"/>
  <c r="AG302"/>
  <c r="AH302"/>
  <c r="AI302"/>
  <c r="AJ302"/>
  <c r="AK302"/>
  <c r="AM302"/>
  <c r="AN302"/>
  <c r="AO302"/>
  <c r="AC303"/>
  <c r="AD303"/>
  <c r="AE303"/>
  <c r="AF303"/>
  <c r="AG303"/>
  <c r="AH303"/>
  <c r="AI303"/>
  <c r="AJ303"/>
  <c r="AK303"/>
  <c r="AM303"/>
  <c r="AN303"/>
  <c r="AO303"/>
  <c r="AC304"/>
  <c r="AD304"/>
  <c r="AE304"/>
  <c r="AF304"/>
  <c r="AG304"/>
  <c r="AH304"/>
  <c r="AI304"/>
  <c r="AJ304"/>
  <c r="AK304"/>
  <c r="AM304"/>
  <c r="AN304"/>
  <c r="AO304"/>
  <c r="AC305"/>
  <c r="AD305"/>
  <c r="AE305"/>
  <c r="AF305"/>
  <c r="AG305"/>
  <c r="AH305"/>
  <c r="AI305"/>
  <c r="AJ305"/>
  <c r="AK305"/>
  <c r="AM305"/>
  <c r="AN305"/>
  <c r="AO305"/>
  <c r="AC306"/>
  <c r="AD306"/>
  <c r="AE306"/>
  <c r="AF306"/>
  <c r="AG306"/>
  <c r="AH306"/>
  <c r="AI306"/>
  <c r="AJ306"/>
  <c r="AK306"/>
  <c r="AM306"/>
  <c r="AN306"/>
  <c r="AO306"/>
  <c r="AC307"/>
  <c r="AD307"/>
  <c r="AE307"/>
  <c r="AF307"/>
  <c r="AG307"/>
  <c r="AH307"/>
  <c r="AI307"/>
  <c r="AJ307"/>
  <c r="AK307"/>
  <c r="AM307"/>
  <c r="AN307"/>
  <c r="AO307"/>
  <c r="AC308"/>
  <c r="AD308"/>
  <c r="AE308"/>
  <c r="AF308"/>
  <c r="AG308"/>
  <c r="AH308"/>
  <c r="AI308"/>
  <c r="AJ308"/>
  <c r="AK308"/>
  <c r="AM308"/>
  <c r="AN308"/>
  <c r="AO308"/>
  <c r="AC309"/>
  <c r="AD309"/>
  <c r="AE309"/>
  <c r="AF309"/>
  <c r="AG309"/>
  <c r="AH309"/>
  <c r="AI309"/>
  <c r="AJ309"/>
  <c r="AK309"/>
  <c r="AM309"/>
  <c r="AN309"/>
  <c r="AO309"/>
  <c r="AC310"/>
  <c r="AD310"/>
  <c r="AE310"/>
  <c r="AF310"/>
  <c r="AG310"/>
  <c r="AH310"/>
  <c r="AI310"/>
  <c r="AJ310"/>
  <c r="AK310"/>
  <c r="AM310"/>
  <c r="AN310"/>
  <c r="AO310"/>
  <c r="AC311"/>
  <c r="AD311"/>
  <c r="AE311"/>
  <c r="AF311"/>
  <c r="AG311"/>
  <c r="AH311"/>
  <c r="AI311"/>
  <c r="AJ311"/>
  <c r="AK311"/>
  <c r="AM311"/>
  <c r="AN311"/>
  <c r="AO311"/>
  <c r="AC312"/>
  <c r="AD312"/>
  <c r="AE312"/>
  <c r="AF312"/>
  <c r="AG312"/>
  <c r="AH312"/>
  <c r="AI312"/>
  <c r="AJ312"/>
  <c r="AK312"/>
  <c r="AM312"/>
  <c r="AN312"/>
  <c r="AO312"/>
  <c r="AC313"/>
  <c r="AD313"/>
  <c r="AE313"/>
  <c r="AF313"/>
  <c r="AG313"/>
  <c r="AH313"/>
  <c r="AI313"/>
  <c r="AJ313"/>
  <c r="AK313"/>
  <c r="AM313"/>
  <c r="AN313"/>
  <c r="AO313"/>
  <c r="AC314"/>
  <c r="AD314"/>
  <c r="AE314"/>
  <c r="AF314"/>
  <c r="AG314"/>
  <c r="AH314"/>
  <c r="AI314"/>
  <c r="AJ314"/>
  <c r="AK314"/>
  <c r="AM314"/>
  <c r="AN314"/>
  <c r="AO314"/>
  <c r="AC315"/>
  <c r="AD315"/>
  <c r="AE315"/>
  <c r="AF315"/>
  <c r="AG315"/>
  <c r="AH315"/>
  <c r="AI315"/>
  <c r="AJ315"/>
  <c r="AK315"/>
  <c r="AM315"/>
  <c r="AN315"/>
  <c r="AO315"/>
  <c r="AC316"/>
  <c r="AD316"/>
  <c r="AE316"/>
  <c r="AF316"/>
  <c r="AG316"/>
  <c r="AH316"/>
  <c r="AI316"/>
  <c r="AJ316"/>
  <c r="AK316"/>
  <c r="AM316"/>
  <c r="AN316"/>
  <c r="AO316"/>
  <c r="AC317"/>
  <c r="AD317"/>
  <c r="AE317"/>
  <c r="AF317"/>
  <c r="AG317"/>
  <c r="AH317"/>
  <c r="AI317"/>
  <c r="AJ317"/>
  <c r="AK317"/>
  <c r="AM317"/>
  <c r="AN317"/>
  <c r="AO317"/>
  <c r="AC318"/>
  <c r="AD318"/>
  <c r="AE318"/>
  <c r="AF318"/>
  <c r="AG318"/>
  <c r="AH318"/>
  <c r="AI318"/>
  <c r="AJ318"/>
  <c r="AK318"/>
  <c r="AM318"/>
  <c r="AN318"/>
  <c r="AO318"/>
  <c r="AC319"/>
  <c r="AD319"/>
  <c r="AE319"/>
  <c r="AF319"/>
  <c r="AG319"/>
  <c r="AH319"/>
  <c r="AI319"/>
  <c r="AJ319"/>
  <c r="AK319"/>
  <c r="AM319"/>
  <c r="AN319"/>
  <c r="AO319"/>
  <c r="AC320"/>
  <c r="AD320"/>
  <c r="AE320"/>
  <c r="AF320"/>
  <c r="AG320"/>
  <c r="AH320"/>
  <c r="AI320"/>
  <c r="AJ320"/>
  <c r="AK320"/>
  <c r="AM320"/>
  <c r="AN320"/>
  <c r="AO320"/>
  <c r="AC321"/>
  <c r="AD321"/>
  <c r="AE321"/>
  <c r="AF321"/>
  <c r="AG321"/>
  <c r="AH321"/>
  <c r="AI321"/>
  <c r="AJ321"/>
  <c r="AK321"/>
  <c r="AM321"/>
  <c r="AN321"/>
  <c r="AO321"/>
  <c r="AC322"/>
  <c r="AD322"/>
  <c r="AE322"/>
  <c r="AF322"/>
  <c r="AG322"/>
  <c r="AH322"/>
  <c r="AI322"/>
  <c r="AJ322"/>
  <c r="AK322"/>
  <c r="AM322"/>
  <c r="AN322"/>
  <c r="AO322"/>
  <c r="AC323"/>
  <c r="AD323"/>
  <c r="AE323"/>
  <c r="AF323"/>
  <c r="AG323"/>
  <c r="AH323"/>
  <c r="AI323"/>
  <c r="AJ323"/>
  <c r="AK323"/>
  <c r="AM323"/>
  <c r="AN323"/>
  <c r="AO323"/>
  <c r="AC324"/>
  <c r="AD324"/>
  <c r="AE324"/>
  <c r="AF324"/>
  <c r="AG324"/>
  <c r="AH324"/>
  <c r="AI324"/>
  <c r="AJ324"/>
  <c r="AK324"/>
  <c r="AM324"/>
  <c r="AN324"/>
  <c r="AO324"/>
  <c r="AC325"/>
  <c r="AD325"/>
  <c r="AE325"/>
  <c r="AF325"/>
  <c r="AG325"/>
  <c r="AH325"/>
  <c r="AI325"/>
  <c r="AJ325"/>
  <c r="AK325"/>
  <c r="AM325"/>
  <c r="AN325"/>
  <c r="AO325"/>
  <c r="AC326"/>
  <c r="AD326"/>
  <c r="AE326"/>
  <c r="AF326"/>
  <c r="AG326"/>
  <c r="AH326"/>
  <c r="AI326"/>
  <c r="AJ326"/>
  <c r="AK326"/>
  <c r="AM326"/>
  <c r="AN326"/>
  <c r="AO326"/>
  <c r="AC327"/>
  <c r="AD327"/>
  <c r="AE327"/>
  <c r="AF327"/>
  <c r="AG327"/>
  <c r="AH327"/>
  <c r="AI327"/>
  <c r="AJ327"/>
  <c r="AK327"/>
  <c r="AM327"/>
  <c r="AN327"/>
  <c r="AO327"/>
  <c r="AC328"/>
  <c r="AD328"/>
  <c r="AE328"/>
  <c r="AF328"/>
  <c r="AG328"/>
  <c r="AH328"/>
  <c r="AI328"/>
  <c r="AJ328"/>
  <c r="AK328"/>
  <c r="AM328"/>
  <c r="AN328"/>
  <c r="AO328"/>
  <c r="AC329"/>
  <c r="AD329"/>
  <c r="AE329"/>
  <c r="AF329"/>
  <c r="AG329"/>
  <c r="AH329"/>
  <c r="AI329"/>
  <c r="AJ329"/>
  <c r="AK329"/>
  <c r="AM329"/>
  <c r="AN329"/>
  <c r="AO329"/>
  <c r="AC330"/>
  <c r="AD330"/>
  <c r="AE330"/>
  <c r="AF330"/>
  <c r="AG330"/>
  <c r="AH330"/>
  <c r="AI330"/>
  <c r="AJ330"/>
  <c r="AK330"/>
  <c r="AM330"/>
  <c r="AN330"/>
  <c r="AO330"/>
  <c r="AC331"/>
  <c r="AD331"/>
  <c r="AE331"/>
  <c r="AF331"/>
  <c r="AG331"/>
  <c r="AH331"/>
  <c r="AI331"/>
  <c r="AJ331"/>
  <c r="AK331"/>
  <c r="AM331"/>
  <c r="AN331"/>
  <c r="AO331"/>
  <c r="AC332"/>
  <c r="AD332"/>
  <c r="AE332"/>
  <c r="AF332"/>
  <c r="AG332"/>
  <c r="AH332"/>
  <c r="AI332"/>
  <c r="AJ332"/>
  <c r="AK332"/>
  <c r="AM332"/>
  <c r="AN332"/>
  <c r="AO332"/>
  <c r="AC333"/>
  <c r="AD333"/>
  <c r="AE333"/>
  <c r="AF333"/>
  <c r="AG333"/>
  <c r="AH333"/>
  <c r="AI333"/>
  <c r="AJ333"/>
  <c r="AK333"/>
  <c r="AM333"/>
  <c r="AN333"/>
  <c r="AO333"/>
  <c r="AC334"/>
  <c r="AD334"/>
  <c r="AE334"/>
  <c r="AF334"/>
  <c r="AG334"/>
  <c r="AH334"/>
  <c r="AI334"/>
  <c r="AJ334"/>
  <c r="AK334"/>
  <c r="AM334"/>
  <c r="AN334"/>
  <c r="AO334"/>
  <c r="AC335"/>
  <c r="AD335"/>
  <c r="AE335"/>
  <c r="AF335"/>
  <c r="AG335"/>
  <c r="AH335"/>
  <c r="AI335"/>
  <c r="AJ335"/>
  <c r="AK335"/>
  <c r="AM335"/>
  <c r="AN335"/>
  <c r="AO335"/>
  <c r="AC336"/>
  <c r="AD336"/>
  <c r="AE336"/>
  <c r="AF336"/>
  <c r="AG336"/>
  <c r="AH336"/>
  <c r="AI336"/>
  <c r="AJ336"/>
  <c r="AK336"/>
  <c r="AM336"/>
  <c r="AN336"/>
  <c r="AO336"/>
  <c r="AC337"/>
  <c r="AD337"/>
  <c r="AE337"/>
  <c r="AF337"/>
  <c r="AG337"/>
  <c r="AH337"/>
  <c r="AI337"/>
  <c r="AJ337"/>
  <c r="AK337"/>
  <c r="AM337"/>
  <c r="AN337"/>
  <c r="AO337"/>
  <c r="AC338"/>
  <c r="AD338"/>
  <c r="AE338"/>
  <c r="AF338"/>
  <c r="AG338"/>
  <c r="AH338"/>
  <c r="AI338"/>
  <c r="AJ338"/>
  <c r="AK338"/>
  <c r="AM338"/>
  <c r="AN338"/>
  <c r="AO338"/>
  <c r="AC339"/>
  <c r="AD339"/>
  <c r="AE339"/>
  <c r="AF339"/>
  <c r="AG339"/>
  <c r="AH339"/>
  <c r="AI339"/>
  <c r="AJ339"/>
  <c r="AK339"/>
  <c r="AM339"/>
  <c r="AN339"/>
  <c r="AO339"/>
  <c r="AC340"/>
  <c r="AD340"/>
  <c r="AE340"/>
  <c r="AF340"/>
  <c r="AG340"/>
  <c r="AH340"/>
  <c r="AI340"/>
  <c r="AJ340"/>
  <c r="AK340"/>
  <c r="AM340"/>
  <c r="AN340"/>
  <c r="AO340"/>
  <c r="AC341"/>
  <c r="AD341"/>
  <c r="AE341"/>
  <c r="AF341"/>
  <c r="AG341"/>
  <c r="AH341"/>
  <c r="AI341"/>
  <c r="AJ341"/>
  <c r="AK341"/>
  <c r="AM341"/>
  <c r="AN341"/>
  <c r="AO341"/>
  <c r="AC342"/>
  <c r="AD342"/>
  <c r="AE342"/>
  <c r="AF342"/>
  <c r="AG342"/>
  <c r="AH342"/>
  <c r="AI342"/>
  <c r="AJ342"/>
  <c r="AK342"/>
  <c r="AM342"/>
  <c r="AN342"/>
  <c r="AO342"/>
  <c r="AC343"/>
  <c r="AD343"/>
  <c r="AE343"/>
  <c r="AF343"/>
  <c r="AG343"/>
  <c r="AH343"/>
  <c r="AI343"/>
  <c r="AJ343"/>
  <c r="AK343"/>
  <c r="AM343"/>
  <c r="AN343"/>
  <c r="AO343"/>
  <c r="AC344"/>
  <c r="AD344"/>
  <c r="AE344"/>
  <c r="AF344"/>
  <c r="AG344"/>
  <c r="AH344"/>
  <c r="AI344"/>
  <c r="AJ344"/>
  <c r="AK344"/>
  <c r="AM344"/>
  <c r="AN344"/>
  <c r="AO344"/>
  <c r="AC345"/>
  <c r="AD345"/>
  <c r="AE345"/>
  <c r="AF345"/>
  <c r="AG345"/>
  <c r="AH345"/>
  <c r="AI345"/>
  <c r="AJ345"/>
  <c r="AK345"/>
  <c r="AM345"/>
  <c r="AN345"/>
  <c r="AO345"/>
  <c r="AC346"/>
  <c r="AD346"/>
  <c r="AE346"/>
  <c r="AF346"/>
  <c r="AG346"/>
  <c r="AH346"/>
  <c r="AI346"/>
  <c r="AJ346"/>
  <c r="AK346"/>
  <c r="AM346"/>
  <c r="AN346"/>
  <c r="AO346"/>
  <c r="AC347"/>
  <c r="AD347"/>
  <c r="AE347"/>
  <c r="AF347"/>
  <c r="AG347"/>
  <c r="AH347"/>
  <c r="AI347"/>
  <c r="AJ347"/>
  <c r="AK347"/>
  <c r="AM347"/>
  <c r="AN347"/>
  <c r="AO347"/>
  <c r="AC348"/>
  <c r="AD348"/>
  <c r="AE348"/>
  <c r="AF348"/>
  <c r="AG348"/>
  <c r="AH348"/>
  <c r="AI348"/>
  <c r="AJ348"/>
  <c r="AK348"/>
  <c r="AM348"/>
  <c r="AN348"/>
  <c r="AO348"/>
  <c r="AC349"/>
  <c r="AD349"/>
  <c r="AE349"/>
  <c r="AF349"/>
  <c r="AG349"/>
  <c r="AH349"/>
  <c r="AI349"/>
  <c r="AJ349"/>
  <c r="AK349"/>
  <c r="AM349"/>
  <c r="AN349"/>
  <c r="AO349"/>
  <c r="AC350"/>
  <c r="AD350"/>
  <c r="AE350"/>
  <c r="AF350"/>
  <c r="AG350"/>
  <c r="AH350"/>
  <c r="AI350"/>
  <c r="AJ350"/>
  <c r="AK350"/>
  <c r="AM350"/>
  <c r="AN350"/>
  <c r="AO350"/>
  <c r="AC351"/>
  <c r="AD351"/>
  <c r="AE351"/>
  <c r="AF351"/>
  <c r="AG351"/>
  <c r="AH351"/>
  <c r="AI351"/>
  <c r="AJ351"/>
  <c r="AK351"/>
  <c r="AM351"/>
  <c r="AN351"/>
  <c r="AO351"/>
  <c r="AC352"/>
  <c r="AD352"/>
  <c r="AE352"/>
  <c r="AF352"/>
  <c r="AG352"/>
  <c r="AH352"/>
  <c r="AI352"/>
  <c r="AJ352"/>
  <c r="AK352"/>
  <c r="AM352"/>
  <c r="AN352"/>
  <c r="AO352"/>
  <c r="AC353"/>
  <c r="AD353"/>
  <c r="AE353"/>
  <c r="AF353"/>
  <c r="AG353"/>
  <c r="AH353"/>
  <c r="AI353"/>
  <c r="AJ353"/>
  <c r="AK353"/>
  <c r="AM353"/>
  <c r="AN353"/>
  <c r="AO353"/>
  <c r="AC354"/>
  <c r="AD354"/>
  <c r="AE354"/>
  <c r="AF354"/>
  <c r="AG354"/>
  <c r="AH354"/>
  <c r="AI354"/>
  <c r="AJ354"/>
  <c r="AK354"/>
  <c r="AM354"/>
  <c r="AN354"/>
  <c r="AO354"/>
  <c r="AC355"/>
  <c r="AD355"/>
  <c r="AE355"/>
  <c r="AF355"/>
  <c r="AG355"/>
  <c r="AH355"/>
  <c r="AI355"/>
  <c r="AJ355"/>
  <c r="AK355"/>
  <c r="AM355"/>
  <c r="AN355"/>
  <c r="AO355"/>
  <c r="AC356"/>
  <c r="AD356"/>
  <c r="AE356"/>
  <c r="AF356"/>
  <c r="AG356"/>
  <c r="AH356"/>
  <c r="AI356"/>
  <c r="AJ356"/>
  <c r="AK356"/>
  <c r="AM356"/>
  <c r="AN356"/>
  <c r="AO356"/>
  <c r="AC357"/>
  <c r="AD357"/>
  <c r="AE357"/>
  <c r="AF357"/>
  <c r="AG357"/>
  <c r="AH357"/>
  <c r="AI357"/>
  <c r="AJ357"/>
  <c r="AK357"/>
  <c r="AM357"/>
  <c r="AN357"/>
  <c r="AO357"/>
  <c r="AC358"/>
  <c r="AD358"/>
  <c r="AE358"/>
  <c r="AF358"/>
  <c r="AG358"/>
  <c r="AH358"/>
  <c r="AI358"/>
  <c r="AJ358"/>
  <c r="AK358"/>
  <c r="AM358"/>
  <c r="AN358"/>
  <c r="AO358"/>
  <c r="AC359"/>
  <c r="AD359"/>
  <c r="AE359"/>
  <c r="AF359"/>
  <c r="AG359"/>
  <c r="AH359"/>
  <c r="AI359"/>
  <c r="AJ359"/>
  <c r="AK359"/>
  <c r="AM359"/>
  <c r="AN359"/>
  <c r="AO359"/>
  <c r="AC360"/>
  <c r="AD360"/>
  <c r="AE360"/>
  <c r="AF360"/>
  <c r="AG360"/>
  <c r="AH360"/>
  <c r="AI360"/>
  <c r="AJ360"/>
  <c r="AK360"/>
  <c r="AM360"/>
  <c r="AN360"/>
  <c r="AO360"/>
  <c r="AC361"/>
  <c r="AD361"/>
  <c r="AE361"/>
  <c r="AF361"/>
  <c r="AG361"/>
  <c r="AH361"/>
  <c r="AI361"/>
  <c r="AJ361"/>
  <c r="AK361"/>
  <c r="AM361"/>
  <c r="AN361"/>
  <c r="AO361"/>
  <c r="AC362"/>
  <c r="AD362"/>
  <c r="AE362"/>
  <c r="AF362"/>
  <c r="AG362"/>
  <c r="AH362"/>
  <c r="AI362"/>
  <c r="AJ362"/>
  <c r="AK362"/>
  <c r="AM362"/>
  <c r="AN362"/>
  <c r="AO362"/>
  <c r="AC363"/>
  <c r="AD363"/>
  <c r="AE363"/>
  <c r="AF363"/>
  <c r="AG363"/>
  <c r="AH363"/>
  <c r="AI363"/>
  <c r="AJ363"/>
  <c r="AK363"/>
  <c r="AM363"/>
  <c r="AN363"/>
  <c r="AO363"/>
  <c r="AC364"/>
  <c r="AD364"/>
  <c r="AE364"/>
  <c r="AF364"/>
  <c r="AG364"/>
  <c r="AH364"/>
  <c r="AI364"/>
  <c r="AJ364"/>
  <c r="AK364"/>
  <c r="AM364"/>
  <c r="AN364"/>
  <c r="AO364"/>
  <c r="AC365"/>
  <c r="AD365"/>
  <c r="AE365"/>
  <c r="AF365"/>
  <c r="AG365"/>
  <c r="AH365"/>
  <c r="AI365"/>
  <c r="AJ365"/>
  <c r="AK365"/>
  <c r="AM365"/>
  <c r="AN365"/>
  <c r="AO365"/>
  <c r="AC366"/>
  <c r="AD366"/>
  <c r="AE366"/>
  <c r="AF366"/>
  <c r="AG366"/>
  <c r="AH366"/>
  <c r="AI366"/>
  <c r="AJ366"/>
  <c r="AK366"/>
  <c r="AM366"/>
  <c r="AN366"/>
  <c r="AO366"/>
  <c r="AC367"/>
  <c r="AD367"/>
  <c r="AE367"/>
  <c r="AF367"/>
  <c r="AG367"/>
  <c r="AH367"/>
  <c r="AI367"/>
  <c r="AJ367"/>
  <c r="AK367"/>
  <c r="AM367"/>
  <c r="AN367"/>
  <c r="AO367"/>
  <c r="AC368"/>
  <c r="AD368"/>
  <c r="AE368"/>
  <c r="AF368"/>
  <c r="AG368"/>
  <c r="AH368"/>
  <c r="AI368"/>
  <c r="AJ368"/>
  <c r="AK368"/>
  <c r="AM368"/>
  <c r="AN368"/>
  <c r="AO368"/>
  <c r="AC369"/>
  <c r="AD369"/>
  <c r="AE369"/>
  <c r="AF369"/>
  <c r="AG369"/>
  <c r="AH369"/>
  <c r="AI369"/>
  <c r="AJ369"/>
  <c r="AK369"/>
  <c r="AM369"/>
  <c r="AN369"/>
  <c r="AO369"/>
  <c r="AC370"/>
  <c r="AD370"/>
  <c r="AE370"/>
  <c r="AF370"/>
  <c r="AG370"/>
  <c r="AH370"/>
  <c r="AI370"/>
  <c r="AJ370"/>
  <c r="AK370"/>
  <c r="AM370"/>
  <c r="AN370"/>
  <c r="AO370"/>
  <c r="AC371"/>
  <c r="AD371"/>
  <c r="AE371"/>
  <c r="AF371"/>
  <c r="AG371"/>
  <c r="AH371"/>
  <c r="AI371"/>
  <c r="AJ371"/>
  <c r="AK371"/>
  <c r="AM371"/>
  <c r="AN371"/>
  <c r="AO371"/>
  <c r="AC372"/>
  <c r="AD372"/>
  <c r="AE372"/>
  <c r="AF372"/>
  <c r="AG372"/>
  <c r="AH372"/>
  <c r="AI372"/>
  <c r="AJ372"/>
  <c r="AK372"/>
  <c r="AM372"/>
  <c r="AN372"/>
  <c r="AO372"/>
  <c r="AC373"/>
  <c r="AD373"/>
  <c r="AE373"/>
  <c r="AF373"/>
  <c r="AG373"/>
  <c r="AH373"/>
  <c r="AI373"/>
  <c r="AJ373"/>
  <c r="AK373"/>
  <c r="AM373"/>
  <c r="AN373"/>
  <c r="AO373"/>
  <c r="AC374"/>
  <c r="AD374"/>
  <c r="AE374"/>
  <c r="AF374"/>
  <c r="AG374"/>
  <c r="AH374"/>
  <c r="AI374"/>
  <c r="AJ374"/>
  <c r="AK374"/>
  <c r="AM374"/>
  <c r="AN374"/>
  <c r="AO374"/>
  <c r="AC375"/>
  <c r="AD375"/>
  <c r="AE375"/>
  <c r="AF375"/>
  <c r="AG375"/>
  <c r="AH375"/>
  <c r="AI375"/>
  <c r="AJ375"/>
  <c r="AK375"/>
  <c r="AM375"/>
  <c r="AN375"/>
  <c r="AO375"/>
  <c r="AC376"/>
  <c r="AD376"/>
  <c r="AE376"/>
  <c r="AF376"/>
  <c r="AG376"/>
  <c r="AH376"/>
  <c r="AI376"/>
  <c r="AJ376"/>
  <c r="AK376"/>
  <c r="AM376"/>
  <c r="AN376"/>
  <c r="AO376"/>
  <c r="AC377"/>
  <c r="AD377"/>
  <c r="AE377"/>
  <c r="AF377"/>
  <c r="AG377"/>
  <c r="AH377"/>
  <c r="AI377"/>
  <c r="AJ377"/>
  <c r="AK377"/>
  <c r="AM377"/>
  <c r="AN377"/>
  <c r="AO377"/>
  <c r="AC378"/>
  <c r="AD378"/>
  <c r="AE378"/>
  <c r="AF378"/>
  <c r="AG378"/>
  <c r="AH378"/>
  <c r="AI378"/>
  <c r="AJ378"/>
  <c r="AK378"/>
  <c r="AM378"/>
  <c r="AN378"/>
  <c r="AO378"/>
  <c r="AC379"/>
  <c r="AD379"/>
  <c r="AE379"/>
  <c r="AF379"/>
  <c r="AG379"/>
  <c r="AH379"/>
  <c r="AI379"/>
  <c r="AJ379"/>
  <c r="AK379"/>
  <c r="AM379"/>
  <c r="AN379"/>
  <c r="AO379"/>
  <c r="AC380"/>
  <c r="AD380"/>
  <c r="AE380"/>
  <c r="AF380"/>
  <c r="AG380"/>
  <c r="AH380"/>
  <c r="AI380"/>
  <c r="AJ380"/>
  <c r="AK380"/>
  <c r="AM380"/>
  <c r="AN380"/>
  <c r="AO380"/>
  <c r="AC381"/>
  <c r="AD381"/>
  <c r="AE381"/>
  <c r="AF381"/>
  <c r="AG381"/>
  <c r="AH381"/>
  <c r="AI381"/>
  <c r="AJ381"/>
  <c r="AK381"/>
  <c r="AM381"/>
  <c r="AN381"/>
  <c r="AO381"/>
  <c r="AC382"/>
  <c r="AD382"/>
  <c r="AE382"/>
  <c r="AF382"/>
  <c r="AG382"/>
  <c r="AH382"/>
  <c r="AI382"/>
  <c r="AJ382"/>
  <c r="AK382"/>
  <c r="AM382"/>
  <c r="AN382"/>
  <c r="AO382"/>
  <c r="AC383"/>
  <c r="AD383"/>
  <c r="AE383"/>
  <c r="AF383"/>
  <c r="AG383"/>
  <c r="AH383"/>
  <c r="AI383"/>
  <c r="AJ383"/>
  <c r="AK383"/>
  <c r="AM383"/>
  <c r="AN383"/>
  <c r="AO383"/>
  <c r="AC384"/>
  <c r="AD384"/>
  <c r="AE384"/>
  <c r="AF384"/>
  <c r="AG384"/>
  <c r="AH384"/>
  <c r="AI384"/>
  <c r="AJ384"/>
  <c r="AK384"/>
  <c r="AM384"/>
  <c r="AN384"/>
  <c r="AO384"/>
  <c r="AC385"/>
  <c r="AD385"/>
  <c r="AE385"/>
  <c r="AF385"/>
  <c r="AG385"/>
  <c r="AH385"/>
  <c r="AI385"/>
  <c r="AJ385"/>
  <c r="AK385"/>
  <c r="AM385"/>
  <c r="AN385"/>
  <c r="AO385"/>
  <c r="AC386"/>
  <c r="AD386"/>
  <c r="AE386"/>
  <c r="AF386"/>
  <c r="AG386"/>
  <c r="AH386"/>
  <c r="AI386"/>
  <c r="AJ386"/>
  <c r="AK386"/>
  <c r="AM386"/>
  <c r="AN386"/>
  <c r="AO386"/>
  <c r="AC387"/>
  <c r="AD387"/>
  <c r="AE387"/>
  <c r="AF387"/>
  <c r="AG387"/>
  <c r="AH387"/>
  <c r="AI387"/>
  <c r="AJ387"/>
  <c r="AK387"/>
  <c r="AM387"/>
  <c r="AN387"/>
  <c r="AO387"/>
  <c r="AC388"/>
  <c r="AD388"/>
  <c r="AE388"/>
  <c r="AF388"/>
  <c r="AG388"/>
  <c r="AH388"/>
  <c r="AI388"/>
  <c r="AJ388"/>
  <c r="AK388"/>
  <c r="AM388"/>
  <c r="AN388"/>
  <c r="AO388"/>
  <c r="AC389"/>
  <c r="AD389"/>
  <c r="AE389"/>
  <c r="AF389"/>
  <c r="AG389"/>
  <c r="AH389"/>
  <c r="AI389"/>
  <c r="AJ389"/>
  <c r="AK389"/>
  <c r="AM389"/>
  <c r="AN389"/>
  <c r="AO389"/>
  <c r="AC390"/>
  <c r="AD390"/>
  <c r="AE390"/>
  <c r="AF390"/>
  <c r="AG390"/>
  <c r="AH390"/>
  <c r="AI390"/>
  <c r="AJ390"/>
  <c r="AK390"/>
  <c r="AM390"/>
  <c r="AN390"/>
  <c r="AO390"/>
  <c r="AC391"/>
  <c r="AD391"/>
  <c r="AE391"/>
  <c r="AF391"/>
  <c r="AG391"/>
  <c r="AH391"/>
  <c r="AI391"/>
  <c r="AJ391"/>
  <c r="AK391"/>
  <c r="AM391"/>
  <c r="AN391"/>
  <c r="AO391"/>
  <c r="AC392"/>
  <c r="AD392"/>
  <c r="AE392"/>
  <c r="AF392"/>
  <c r="AG392"/>
  <c r="AH392"/>
  <c r="AI392"/>
  <c r="AJ392"/>
  <c r="AK392"/>
  <c r="AM392"/>
  <c r="AN392"/>
  <c r="AO392"/>
  <c r="AC393"/>
  <c r="AD393"/>
  <c r="AE393"/>
  <c r="AF393"/>
  <c r="AG393"/>
  <c r="AH393"/>
  <c r="AI393"/>
  <c r="AJ393"/>
  <c r="AK393"/>
  <c r="AM393"/>
  <c r="AN393"/>
  <c r="AO393"/>
  <c r="AC394"/>
  <c r="AD394"/>
  <c r="AE394"/>
  <c r="AF394"/>
  <c r="AG394"/>
  <c r="AH394"/>
  <c r="AI394"/>
  <c r="AJ394"/>
  <c r="AK394"/>
  <c r="AM394"/>
  <c r="AN394"/>
  <c r="AO394"/>
  <c r="AC395"/>
  <c r="AD395"/>
  <c r="AE395"/>
  <c r="AF395"/>
  <c r="AG395"/>
  <c r="AH395"/>
  <c r="AI395"/>
  <c r="AJ395"/>
  <c r="AK395"/>
  <c r="AM395"/>
  <c r="AN395"/>
  <c r="AO395"/>
  <c r="AC396"/>
  <c r="AD396"/>
  <c r="AE396"/>
  <c r="AF396"/>
  <c r="AG396"/>
  <c r="AH396"/>
  <c r="AI396"/>
  <c r="AJ396"/>
  <c r="AK396"/>
  <c r="AM396"/>
  <c r="AN396"/>
  <c r="AO396"/>
  <c r="AC397"/>
  <c r="AD397"/>
  <c r="AE397"/>
  <c r="AF397"/>
  <c r="AG397"/>
  <c r="AH397"/>
  <c r="AI397"/>
  <c r="AJ397"/>
  <c r="AK397"/>
  <c r="AM397"/>
  <c r="AN397"/>
  <c r="AO397"/>
  <c r="AC398"/>
  <c r="AD398"/>
  <c r="AE398"/>
  <c r="AF398"/>
  <c r="AG398"/>
  <c r="AH398"/>
  <c r="AI398"/>
  <c r="AJ398"/>
  <c r="AK398"/>
  <c r="AM398"/>
  <c r="AN398"/>
  <c r="AO398"/>
  <c r="AC399"/>
  <c r="AD399"/>
  <c r="AE399"/>
  <c r="AF399"/>
  <c r="AG399"/>
  <c r="AH399"/>
  <c r="AI399"/>
  <c r="AJ399"/>
  <c r="AK399"/>
  <c r="AM399"/>
  <c r="AN399"/>
  <c r="AO399"/>
  <c r="AC400"/>
  <c r="AD400"/>
  <c r="AE400"/>
  <c r="AF400"/>
  <c r="AG400"/>
  <c r="AH400"/>
  <c r="AI400"/>
  <c r="AJ400"/>
  <c r="AK400"/>
  <c r="AM400"/>
  <c r="AN400"/>
  <c r="AO400"/>
  <c r="AC401"/>
  <c r="AD401"/>
  <c r="AE401"/>
  <c r="AF401"/>
  <c r="AG401"/>
  <c r="AH401"/>
  <c r="AI401"/>
  <c r="AJ401"/>
  <c r="AK401"/>
  <c r="AM401"/>
  <c r="AN401"/>
  <c r="AO401"/>
  <c r="AC402"/>
  <c r="AD402"/>
  <c r="AE402"/>
  <c r="AF402"/>
  <c r="AG402"/>
  <c r="AH402"/>
  <c r="AI402"/>
  <c r="AJ402"/>
  <c r="AK402"/>
  <c r="AM402"/>
  <c r="AN402"/>
  <c r="AO402"/>
  <c r="AC403"/>
  <c r="AD403"/>
  <c r="AE403"/>
  <c r="AF403"/>
  <c r="AG403"/>
  <c r="AH403"/>
  <c r="AI403"/>
  <c r="AJ403"/>
  <c r="AK403"/>
  <c r="AM403"/>
  <c r="AN403"/>
  <c r="AO403"/>
  <c r="AC404"/>
  <c r="AD404"/>
  <c r="AE404"/>
  <c r="AF404"/>
  <c r="AG404"/>
  <c r="AH404"/>
  <c r="AI404"/>
  <c r="AJ404"/>
  <c r="AK404"/>
  <c r="AM404"/>
  <c r="AN404"/>
  <c r="AO404"/>
  <c r="AC405"/>
  <c r="AD405"/>
  <c r="AE405"/>
  <c r="AF405"/>
  <c r="AG405"/>
  <c r="AH405"/>
  <c r="AI405"/>
  <c r="AJ405"/>
  <c r="AK405"/>
  <c r="AM405"/>
  <c r="AN405"/>
  <c r="AO405"/>
  <c r="AC406"/>
  <c r="AD406"/>
  <c r="AE406"/>
  <c r="AF406"/>
  <c r="AG406"/>
  <c r="AH406"/>
  <c r="AI406"/>
  <c r="AJ406"/>
  <c r="AK406"/>
  <c r="AM406"/>
  <c r="AN406"/>
  <c r="AO406"/>
  <c r="AC407"/>
  <c r="AD407"/>
  <c r="AE407"/>
  <c r="AF407"/>
  <c r="AG407"/>
  <c r="AH407"/>
  <c r="AI407"/>
  <c r="AJ407"/>
  <c r="AK407"/>
  <c r="AM407"/>
  <c r="AN407"/>
  <c r="AO407"/>
  <c r="AC408"/>
  <c r="AD408"/>
  <c r="AE408"/>
  <c r="AF408"/>
  <c r="AG408"/>
  <c r="AH408"/>
  <c r="AI408"/>
  <c r="AJ408"/>
  <c r="AK408"/>
  <c r="AM408"/>
  <c r="AN408"/>
  <c r="AO408"/>
  <c r="AC409"/>
  <c r="AD409"/>
  <c r="AE409"/>
  <c r="AF409"/>
  <c r="AG409"/>
  <c r="AH409"/>
  <c r="AI409"/>
  <c r="AJ409"/>
  <c r="AK409"/>
  <c r="AM409"/>
  <c r="AN409"/>
  <c r="AO409"/>
  <c r="AC410"/>
  <c r="AD410"/>
  <c r="AE410"/>
  <c r="AF410"/>
  <c r="AG410"/>
  <c r="AH410"/>
  <c r="AI410"/>
  <c r="AJ410"/>
  <c r="AK410"/>
  <c r="AM410"/>
  <c r="AN410"/>
  <c r="AO410"/>
  <c r="AC411"/>
  <c r="AD411"/>
  <c r="AE411"/>
  <c r="AF411"/>
  <c r="AG411"/>
  <c r="AH411"/>
  <c r="AI411"/>
  <c r="AJ411"/>
  <c r="AK411"/>
  <c r="AM411"/>
  <c r="AN411"/>
  <c r="AO411"/>
  <c r="AC412"/>
  <c r="AD412"/>
  <c r="AE412"/>
  <c r="AF412"/>
  <c r="AG412"/>
  <c r="AH412"/>
  <c r="AI412"/>
  <c r="AJ412"/>
  <c r="AK412"/>
  <c r="AM412"/>
  <c r="AN412"/>
  <c r="AO412"/>
  <c r="AC413"/>
  <c r="AD413"/>
  <c r="AE413"/>
  <c r="AF413"/>
  <c r="AG413"/>
  <c r="AH413"/>
  <c r="AI413"/>
  <c r="AJ413"/>
  <c r="AK413"/>
  <c r="AM413"/>
  <c r="AN413"/>
  <c r="AO413"/>
  <c r="AC414"/>
  <c r="AD414"/>
  <c r="AE414"/>
  <c r="AF414"/>
  <c r="AG414"/>
  <c r="AH414"/>
  <c r="AI414"/>
  <c r="AJ414"/>
  <c r="AK414"/>
  <c r="AM414"/>
  <c r="AN414"/>
  <c r="AO414"/>
  <c r="AC415"/>
  <c r="AD415"/>
  <c r="AE415"/>
  <c r="AF415"/>
  <c r="AG415"/>
  <c r="AH415"/>
  <c r="AI415"/>
  <c r="AJ415"/>
  <c r="AK415"/>
  <c r="AM415"/>
  <c r="AN415"/>
  <c r="AO415"/>
  <c r="AC416"/>
  <c r="AD416"/>
  <c r="AE416"/>
  <c r="AF416"/>
  <c r="AG416"/>
  <c r="AH416"/>
  <c r="AI416"/>
  <c r="AJ416"/>
  <c r="AK416"/>
  <c r="AM416"/>
  <c r="AN416"/>
  <c r="AO416"/>
  <c r="AC417"/>
  <c r="AD417"/>
  <c r="AE417"/>
  <c r="AF417"/>
  <c r="AG417"/>
  <c r="AH417"/>
  <c r="AI417"/>
  <c r="AJ417"/>
  <c r="AK417"/>
  <c r="AM417"/>
  <c r="AN417"/>
  <c r="AO417"/>
  <c r="AC418"/>
  <c r="AD418"/>
  <c r="AE418"/>
  <c r="AF418"/>
  <c r="AG418"/>
  <c r="AH418"/>
  <c r="AI418"/>
  <c r="AJ418"/>
  <c r="AK418"/>
  <c r="AM418"/>
  <c r="AN418"/>
  <c r="AO418"/>
  <c r="AC419"/>
  <c r="AD419"/>
  <c r="AE419"/>
  <c r="AF419"/>
  <c r="AG419"/>
  <c r="AH419"/>
  <c r="AI419"/>
  <c r="AJ419"/>
  <c r="AK419"/>
  <c r="AM419"/>
  <c r="AN419"/>
  <c r="AO419"/>
  <c r="AC420"/>
  <c r="AD420"/>
  <c r="AE420"/>
  <c r="AF420"/>
  <c r="AG420"/>
  <c r="AH420"/>
  <c r="AI420"/>
  <c r="AJ420"/>
  <c r="AK420"/>
  <c r="AM420"/>
  <c r="AN420"/>
  <c r="AO420"/>
  <c r="AC421"/>
  <c r="AD421"/>
  <c r="AE421"/>
  <c r="AF421"/>
  <c r="AG421"/>
  <c r="AH421"/>
  <c r="AI421"/>
  <c r="AJ421"/>
  <c r="AK421"/>
  <c r="AM421"/>
  <c r="AN421"/>
  <c r="AO421"/>
  <c r="AC422"/>
  <c r="AD422"/>
  <c r="AE422"/>
  <c r="AF422"/>
  <c r="AG422"/>
  <c r="AH422"/>
  <c r="AI422"/>
  <c r="AJ422"/>
  <c r="AK422"/>
  <c r="AM422"/>
  <c r="AN422"/>
  <c r="AO422"/>
  <c r="AC423"/>
  <c r="AD423"/>
  <c r="AE423"/>
  <c r="AF423"/>
  <c r="AG423"/>
  <c r="AH423"/>
  <c r="AI423"/>
  <c r="AJ423"/>
  <c r="AK423"/>
  <c r="AM423"/>
  <c r="AN423"/>
  <c r="AO423"/>
  <c r="AC424"/>
  <c r="AD424"/>
  <c r="AE424"/>
  <c r="AF424"/>
  <c r="AG424"/>
  <c r="AH424"/>
  <c r="AI424"/>
  <c r="AJ424"/>
  <c r="AK424"/>
  <c r="AM424"/>
  <c r="AN424"/>
  <c r="AO424"/>
  <c r="AC425"/>
  <c r="AD425"/>
  <c r="AE425"/>
  <c r="AF425"/>
  <c r="AG425"/>
  <c r="AH425"/>
  <c r="AI425"/>
  <c r="AJ425"/>
  <c r="AK425"/>
  <c r="AM425"/>
  <c r="AN425"/>
  <c r="AO425"/>
  <c r="AC426"/>
  <c r="AD426"/>
  <c r="AE426"/>
  <c r="AF426"/>
  <c r="AG426"/>
  <c r="AH426"/>
  <c r="AI426"/>
  <c r="AJ426"/>
  <c r="AK426"/>
  <c r="AM426"/>
  <c r="AN426"/>
  <c r="AO426"/>
  <c r="AC427"/>
  <c r="AD427"/>
  <c r="AE427"/>
  <c r="AF427"/>
  <c r="AG427"/>
  <c r="AH427"/>
  <c r="AI427"/>
  <c r="AJ427"/>
  <c r="AK427"/>
  <c r="AM427"/>
  <c r="AN427"/>
  <c r="AO427"/>
  <c r="AC428"/>
  <c r="AD428"/>
  <c r="AE428"/>
  <c r="AF428"/>
  <c r="AG428"/>
  <c r="AH428"/>
  <c r="AI428"/>
  <c r="AJ428"/>
  <c r="AK428"/>
  <c r="AM428"/>
  <c r="AN428"/>
  <c r="AO428"/>
  <c r="AC429"/>
  <c r="AD429"/>
  <c r="AE429"/>
  <c r="AF429"/>
  <c r="AG429"/>
  <c r="AH429"/>
  <c r="AI429"/>
  <c r="AJ429"/>
  <c r="AK429"/>
  <c r="AM429"/>
  <c r="AN429"/>
  <c r="AO429"/>
  <c r="AC430"/>
  <c r="AD430"/>
  <c r="AE430"/>
  <c r="AF430"/>
  <c r="AG430"/>
  <c r="AH430"/>
  <c r="AI430"/>
  <c r="AJ430"/>
  <c r="AK430"/>
  <c r="AM430"/>
  <c r="AN430"/>
  <c r="AO430"/>
  <c r="AC431"/>
  <c r="AD431"/>
  <c r="AE431"/>
  <c r="AF431"/>
  <c r="AG431"/>
  <c r="AH431"/>
  <c r="AI431"/>
  <c r="AJ431"/>
  <c r="AK431"/>
  <c r="AM431"/>
  <c r="AN431"/>
  <c r="AO431"/>
  <c r="AC432"/>
  <c r="AD432"/>
  <c r="AE432"/>
  <c r="AF432"/>
  <c r="AG432"/>
  <c r="AH432"/>
  <c r="AI432"/>
  <c r="AJ432"/>
  <c r="AK432"/>
  <c r="AM432"/>
  <c r="AN432"/>
  <c r="AO432"/>
  <c r="AC433"/>
  <c r="AD433"/>
  <c r="AE433"/>
  <c r="AF433"/>
  <c r="AG433"/>
  <c r="AH433"/>
  <c r="AI433"/>
  <c r="AJ433"/>
  <c r="AK433"/>
  <c r="AM433"/>
  <c r="AN433"/>
  <c r="AO433"/>
  <c r="AC434"/>
  <c r="AD434"/>
  <c r="AE434"/>
  <c r="AF434"/>
  <c r="AG434"/>
  <c r="AH434"/>
  <c r="AI434"/>
  <c r="AJ434"/>
  <c r="AK434"/>
  <c r="AM434"/>
  <c r="AN434"/>
  <c r="AO434"/>
  <c r="AC435"/>
  <c r="AD435"/>
  <c r="AE435"/>
  <c r="AF435"/>
  <c r="AG435"/>
  <c r="AH435"/>
  <c r="AI435"/>
  <c r="AJ435"/>
  <c r="AK435"/>
  <c r="AM435"/>
  <c r="AN435"/>
  <c r="AO435"/>
  <c r="AC436"/>
  <c r="AD436"/>
  <c r="AE436"/>
  <c r="AF436"/>
  <c r="AG436"/>
  <c r="AH436"/>
  <c r="AI436"/>
  <c r="AJ436"/>
  <c r="AK436"/>
  <c r="AM436"/>
  <c r="AN436"/>
  <c r="AO436"/>
  <c r="AC437"/>
  <c r="AD437"/>
  <c r="AE437"/>
  <c r="AF437"/>
  <c r="AG437"/>
  <c r="AH437"/>
  <c r="AI437"/>
  <c r="AJ437"/>
  <c r="AK437"/>
  <c r="AM437"/>
  <c r="AN437"/>
  <c r="AO437"/>
  <c r="AC438"/>
  <c r="AD438"/>
  <c r="AE438"/>
  <c r="AF438"/>
  <c r="AG438"/>
  <c r="AH438"/>
  <c r="AI438"/>
  <c r="AJ438"/>
  <c r="AK438"/>
  <c r="AM438"/>
  <c r="AN438"/>
  <c r="AO438"/>
  <c r="AC439"/>
  <c r="AD439"/>
  <c r="AE439"/>
  <c r="AF439"/>
  <c r="AG439"/>
  <c r="AH439"/>
  <c r="AI439"/>
  <c r="AJ439"/>
  <c r="AK439"/>
  <c r="AM439"/>
  <c r="AN439"/>
  <c r="AO439"/>
  <c r="AC440"/>
  <c r="AD440"/>
  <c r="AE440"/>
  <c r="AF440"/>
  <c r="AG440"/>
  <c r="AH440"/>
  <c r="AI440"/>
  <c r="AJ440"/>
  <c r="AK440"/>
  <c r="AM440"/>
  <c r="AN440"/>
  <c r="AO440"/>
  <c r="AC441"/>
  <c r="AD441"/>
  <c r="AE441"/>
  <c r="AF441"/>
  <c r="AG441"/>
  <c r="AH441"/>
  <c r="AI441"/>
  <c r="AJ441"/>
  <c r="AK441"/>
  <c r="AM441"/>
  <c r="AN441"/>
  <c r="AO441"/>
  <c r="AC442"/>
  <c r="AD442"/>
  <c r="AE442"/>
  <c r="AF442"/>
  <c r="AG442"/>
  <c r="AH442"/>
  <c r="AI442"/>
  <c r="AJ442"/>
  <c r="AK442"/>
  <c r="AM442"/>
  <c r="AN442"/>
  <c r="AO442"/>
  <c r="AC443"/>
  <c r="AD443"/>
  <c r="AE443"/>
  <c r="AF443"/>
  <c r="AG443"/>
  <c r="AH443"/>
  <c r="AI443"/>
  <c r="AJ443"/>
  <c r="AK443"/>
  <c r="AM443"/>
  <c r="AN443"/>
  <c r="AO443"/>
  <c r="AC444"/>
  <c r="AD444"/>
  <c r="AE444"/>
  <c r="AF444"/>
  <c r="AG444"/>
  <c r="AH444"/>
  <c r="AI444"/>
  <c r="AJ444"/>
  <c r="AK444"/>
  <c r="AM444"/>
  <c r="AN444"/>
  <c r="AO444"/>
  <c r="AC445"/>
  <c r="AD445"/>
  <c r="AE445"/>
  <c r="AF445"/>
  <c r="AG445"/>
  <c r="AH445"/>
  <c r="AI445"/>
  <c r="AJ445"/>
  <c r="AK445"/>
  <c r="AM445"/>
  <c r="AN445"/>
  <c r="AO445"/>
  <c r="AC446"/>
  <c r="AD446"/>
  <c r="AE446"/>
  <c r="AF446"/>
  <c r="AG446"/>
  <c r="AH446"/>
  <c r="AI446"/>
  <c r="AJ446"/>
  <c r="AK446"/>
  <c r="AM446"/>
  <c r="AN446"/>
  <c r="AO446"/>
  <c r="AC447"/>
  <c r="AD447"/>
  <c r="AE447"/>
  <c r="AF447"/>
  <c r="AG447"/>
  <c r="AH447"/>
  <c r="AI447"/>
  <c r="AJ447"/>
  <c r="AK447"/>
  <c r="AM447"/>
  <c r="AN447"/>
  <c r="AO447"/>
  <c r="AC448"/>
  <c r="AD448"/>
  <c r="AE448"/>
  <c r="AF448"/>
  <c r="AG448"/>
  <c r="AH448"/>
  <c r="AI448"/>
  <c r="AJ448"/>
  <c r="AK448"/>
  <c r="AM448"/>
  <c r="AN448"/>
  <c r="AO448"/>
  <c r="AC449"/>
  <c r="AD449"/>
  <c r="AE449"/>
  <c r="AF449"/>
  <c r="AG449"/>
  <c r="AH449"/>
  <c r="AI449"/>
  <c r="AJ449"/>
  <c r="AK449"/>
  <c r="AM449"/>
  <c r="AN449"/>
  <c r="AO449"/>
  <c r="AC450"/>
  <c r="AD450"/>
  <c r="AE450"/>
  <c r="AF450"/>
  <c r="AG450"/>
  <c r="AH450"/>
  <c r="AI450"/>
  <c r="AJ450"/>
  <c r="AK450"/>
  <c r="AM450"/>
  <c r="AN450"/>
  <c r="AO450"/>
  <c r="AC451"/>
  <c r="AD451"/>
  <c r="AE451"/>
  <c r="AF451"/>
  <c r="AG451"/>
  <c r="AH451"/>
  <c r="AI451"/>
  <c r="AJ451"/>
  <c r="AK451"/>
  <c r="AM451"/>
  <c r="AN451"/>
  <c r="AO451"/>
  <c r="AC452"/>
  <c r="AD452"/>
  <c r="AE452"/>
  <c r="AF452"/>
  <c r="AG452"/>
  <c r="AH452"/>
  <c r="AI452"/>
  <c r="AJ452"/>
  <c r="AK452"/>
  <c r="AM452"/>
  <c r="AN452"/>
  <c r="AO452"/>
  <c r="AC453"/>
  <c r="AD453"/>
  <c r="AE453"/>
  <c r="AF453"/>
  <c r="AG453"/>
  <c r="AH453"/>
  <c r="AI453"/>
  <c r="AJ453"/>
  <c r="AK453"/>
  <c r="AM453"/>
  <c r="AN453"/>
  <c r="AO453"/>
  <c r="AC454"/>
  <c r="AD454"/>
  <c r="AE454"/>
  <c r="AF454"/>
  <c r="AG454"/>
  <c r="AH454"/>
  <c r="AI454"/>
  <c r="AJ454"/>
  <c r="AK454"/>
  <c r="AM454"/>
  <c r="AN454"/>
  <c r="AO454"/>
  <c r="AC455"/>
  <c r="AD455"/>
  <c r="AE455"/>
  <c r="AF455"/>
  <c r="AG455"/>
  <c r="AH455"/>
  <c r="AI455"/>
  <c r="AJ455"/>
  <c r="AK455"/>
  <c r="AM455"/>
  <c r="AN455"/>
  <c r="AO455"/>
  <c r="AC456"/>
  <c r="AD456"/>
  <c r="AE456"/>
  <c r="AF456"/>
  <c r="AG456"/>
  <c r="AH456"/>
  <c r="AI456"/>
  <c r="AJ456"/>
  <c r="AK456"/>
  <c r="AM456"/>
  <c r="AN456"/>
  <c r="AO456"/>
  <c r="AC457"/>
  <c r="AD457"/>
  <c r="AE457"/>
  <c r="AF457"/>
  <c r="AG457"/>
  <c r="AH457"/>
  <c r="AI457"/>
  <c r="AJ457"/>
  <c r="AK457"/>
  <c r="AM457"/>
  <c r="AN457"/>
  <c r="AO457"/>
  <c r="AC458"/>
  <c r="AD458"/>
  <c r="AE458"/>
  <c r="AF458"/>
  <c r="AG458"/>
  <c r="AH458"/>
  <c r="AI458"/>
  <c r="AJ458"/>
  <c r="AK458"/>
  <c r="AM458"/>
  <c r="AN458"/>
  <c r="AO458"/>
  <c r="AC459"/>
  <c r="AD459"/>
  <c r="AE459"/>
  <c r="AF459"/>
  <c r="AG459"/>
  <c r="AH459"/>
  <c r="AI459"/>
  <c r="AJ459"/>
  <c r="AK459"/>
  <c r="AM459"/>
  <c r="AN459"/>
  <c r="AO459"/>
  <c r="AC460"/>
  <c r="AD460"/>
  <c r="AE460"/>
  <c r="AF460"/>
  <c r="AG460"/>
  <c r="AH460"/>
  <c r="AI460"/>
  <c r="AJ460"/>
  <c r="AK460"/>
  <c r="AM460"/>
  <c r="AN460"/>
  <c r="AO460"/>
  <c r="AC461"/>
  <c r="AD461"/>
  <c r="AE461"/>
  <c r="AF461"/>
  <c r="AG461"/>
  <c r="AH461"/>
  <c r="AI461"/>
  <c r="AJ461"/>
  <c r="AK461"/>
  <c r="AM461"/>
  <c r="AN461"/>
  <c r="AO461"/>
  <c r="AC462"/>
  <c r="AD462"/>
  <c r="AE462"/>
  <c r="AF462"/>
  <c r="AG462"/>
  <c r="AH462"/>
  <c r="AI462"/>
  <c r="AJ462"/>
  <c r="AK462"/>
  <c r="AM462"/>
  <c r="AN462"/>
  <c r="AO462"/>
  <c r="AC463"/>
  <c r="AD463"/>
  <c r="AE463"/>
  <c r="AF463"/>
  <c r="AG463"/>
  <c r="AH463"/>
  <c r="AI463"/>
  <c r="AJ463"/>
  <c r="AK463"/>
  <c r="AM463"/>
  <c r="AN463"/>
  <c r="AO463"/>
  <c r="AC464"/>
  <c r="AD464"/>
  <c r="AE464"/>
  <c r="AF464"/>
  <c r="AG464"/>
  <c r="AH464"/>
  <c r="AI464"/>
  <c r="AJ464"/>
  <c r="AK464"/>
  <c r="AM464"/>
  <c r="AN464"/>
  <c r="AO464"/>
  <c r="AC465"/>
  <c r="AD465"/>
  <c r="AE465"/>
  <c r="AF465"/>
  <c r="AG465"/>
  <c r="AH465"/>
  <c r="AI465"/>
  <c r="AJ465"/>
  <c r="AK465"/>
  <c r="AM465"/>
  <c r="AN465"/>
  <c r="AO465"/>
  <c r="AC466"/>
  <c r="AD466"/>
  <c r="AE466"/>
  <c r="AF466"/>
  <c r="AG466"/>
  <c r="AH466"/>
  <c r="AI466"/>
  <c r="AJ466"/>
  <c r="AK466"/>
  <c r="AM466"/>
  <c r="AN466"/>
  <c r="AO466"/>
  <c r="AC467"/>
  <c r="AD467"/>
  <c r="AE467"/>
  <c r="AF467"/>
  <c r="AG467"/>
  <c r="AH467"/>
  <c r="AI467"/>
  <c r="AJ467"/>
  <c r="AK467"/>
  <c r="AM467"/>
  <c r="AN467"/>
  <c r="AO467"/>
  <c r="AC468"/>
  <c r="AD468"/>
  <c r="AE468"/>
  <c r="AF468"/>
  <c r="AG468"/>
  <c r="AH468"/>
  <c r="AI468"/>
  <c r="AJ468"/>
  <c r="AK468"/>
  <c r="AM468"/>
  <c r="AN468"/>
  <c r="AO468"/>
  <c r="AC469"/>
  <c r="AD469"/>
  <c r="AE469"/>
  <c r="AF469"/>
  <c r="AG469"/>
  <c r="AH469"/>
  <c r="AI469"/>
  <c r="AJ469"/>
  <c r="AK469"/>
  <c r="AM469"/>
  <c r="AN469"/>
  <c r="AO469"/>
  <c r="AC470"/>
  <c r="AD470"/>
  <c r="AE470"/>
  <c r="AF470"/>
  <c r="AG470"/>
  <c r="AH470"/>
  <c r="AI470"/>
  <c r="AJ470"/>
  <c r="AK470"/>
  <c r="AM470"/>
  <c r="AN470"/>
  <c r="AO470"/>
  <c r="AC471"/>
  <c r="AD471"/>
  <c r="AE471"/>
  <c r="AF471"/>
  <c r="AG471"/>
  <c r="AH471"/>
  <c r="AI471"/>
  <c r="AJ471"/>
  <c r="AK471"/>
  <c r="AM471"/>
  <c r="AN471"/>
  <c r="AO471"/>
  <c r="AC472"/>
  <c r="AD472"/>
  <c r="AE472"/>
  <c r="AF472"/>
  <c r="AG472"/>
  <c r="AH472"/>
  <c r="AI472"/>
  <c r="AJ472"/>
  <c r="AK472"/>
  <c r="AM472"/>
  <c r="AN472"/>
  <c r="AO472"/>
  <c r="AC473"/>
  <c r="AD473"/>
  <c r="AE473"/>
  <c r="AF473"/>
  <c r="AG473"/>
  <c r="AH473"/>
  <c r="AI473"/>
  <c r="AJ473"/>
  <c r="AK473"/>
  <c r="AM473"/>
  <c r="AN473"/>
  <c r="AO473"/>
  <c r="AC474"/>
  <c r="AD474"/>
  <c r="AE474"/>
  <c r="AF474"/>
  <c r="AG474"/>
  <c r="AH474"/>
  <c r="AI474"/>
  <c r="AJ474"/>
  <c r="AK474"/>
  <c r="AM474"/>
  <c r="AN474"/>
  <c r="AO474"/>
  <c r="AC475"/>
  <c r="AD475"/>
  <c r="AE475"/>
  <c r="AF475"/>
  <c r="AG475"/>
  <c r="AH475"/>
  <c r="AI475"/>
  <c r="AJ475"/>
  <c r="AK475"/>
  <c r="AM475"/>
  <c r="AN475"/>
  <c r="AO475"/>
  <c r="AC476"/>
  <c r="AD476"/>
  <c r="AE476"/>
  <c r="AF476"/>
  <c r="AG476"/>
  <c r="AH476"/>
  <c r="AI476"/>
  <c r="AJ476"/>
  <c r="AK476"/>
  <c r="AM476"/>
  <c r="AN476"/>
  <c r="AO476"/>
  <c r="AC477"/>
  <c r="AD477"/>
  <c r="AE477"/>
  <c r="AF477"/>
  <c r="AG477"/>
  <c r="AH477"/>
  <c r="AI477"/>
  <c r="AJ477"/>
  <c r="AK477"/>
  <c r="AM477"/>
  <c r="AN477"/>
  <c r="AO477"/>
  <c r="AC478"/>
  <c r="AD478"/>
  <c r="AE478"/>
  <c r="AF478"/>
  <c r="AG478"/>
  <c r="AH478"/>
  <c r="AI478"/>
  <c r="AJ478"/>
  <c r="AK478"/>
  <c r="AM478"/>
  <c r="AN478"/>
  <c r="AO478"/>
  <c r="AC479"/>
  <c r="AD479"/>
  <c r="AE479"/>
  <c r="AF479"/>
  <c r="AG479"/>
  <c r="AH479"/>
  <c r="AI479"/>
  <c r="AJ479"/>
  <c r="AK479"/>
  <c r="AM479"/>
  <c r="AN479"/>
  <c r="AO479"/>
  <c r="AC480"/>
  <c r="AD480"/>
  <c r="AE480"/>
  <c r="AF480"/>
  <c r="AG480"/>
  <c r="AH480"/>
  <c r="AI480"/>
  <c r="AJ480"/>
  <c r="AK480"/>
  <c r="AM480"/>
  <c r="AN480"/>
  <c r="AO480"/>
  <c r="AC481"/>
  <c r="AD481"/>
  <c r="AE481"/>
  <c r="AF481"/>
  <c r="AG481"/>
  <c r="AH481"/>
  <c r="AI481"/>
  <c r="AJ481"/>
  <c r="AK481"/>
  <c r="AM481"/>
  <c r="AN481"/>
  <c r="AO481"/>
  <c r="AC482"/>
  <c r="AD482"/>
  <c r="AE482"/>
  <c r="AF482"/>
  <c r="AG482"/>
  <c r="AH482"/>
  <c r="AI482"/>
  <c r="AJ482"/>
  <c r="AK482"/>
  <c r="AM482"/>
  <c r="AN482"/>
  <c r="AO482"/>
  <c r="AC483"/>
  <c r="AD483"/>
  <c r="AE483"/>
  <c r="AF483"/>
  <c r="AG483"/>
  <c r="AH483"/>
  <c r="AI483"/>
  <c r="AJ483"/>
  <c r="AK483"/>
  <c r="AM483"/>
  <c r="AN483"/>
  <c r="AO483"/>
  <c r="AC484"/>
  <c r="AD484"/>
  <c r="AE484"/>
  <c r="AF484"/>
  <c r="AG484"/>
  <c r="AH484"/>
  <c r="AI484"/>
  <c r="AJ484"/>
  <c r="AK484"/>
  <c r="AM484"/>
  <c r="AN484"/>
  <c r="AO484"/>
  <c r="AC485"/>
  <c r="AD485"/>
  <c r="AE485"/>
  <c r="AF485"/>
  <c r="AG485"/>
  <c r="AH485"/>
  <c r="AI485"/>
  <c r="AJ485"/>
  <c r="AK485"/>
  <c r="AM485"/>
  <c r="AN485"/>
  <c r="AO485"/>
  <c r="AC486"/>
  <c r="AD486"/>
  <c r="AE486"/>
  <c r="AF486"/>
  <c r="AG486"/>
  <c r="AH486"/>
  <c r="AI486"/>
  <c r="AJ486"/>
  <c r="AK486"/>
  <c r="AM486"/>
  <c r="AN486"/>
  <c r="AO486"/>
  <c r="AC487"/>
  <c r="AD487"/>
  <c r="AE487"/>
  <c r="AF487"/>
  <c r="AG487"/>
  <c r="AH487"/>
  <c r="AI487"/>
  <c r="AJ487"/>
  <c r="AK487"/>
  <c r="AM487"/>
  <c r="AN487"/>
  <c r="AO487"/>
  <c r="AC488"/>
  <c r="AD488"/>
  <c r="AE488"/>
  <c r="AF488"/>
  <c r="AG488"/>
  <c r="AH488"/>
  <c r="AI488"/>
  <c r="AJ488"/>
  <c r="AK488"/>
  <c r="AM488"/>
  <c r="AN488"/>
  <c r="AO488"/>
  <c r="AC489"/>
  <c r="AD489"/>
  <c r="AE489"/>
  <c r="AF489"/>
  <c r="AG489"/>
  <c r="AH489"/>
  <c r="AI489"/>
  <c r="AJ489"/>
  <c r="AK489"/>
  <c r="AM489"/>
  <c r="AN489"/>
  <c r="AO489"/>
  <c r="AC490"/>
  <c r="AD490"/>
  <c r="AE490"/>
  <c r="AF490"/>
  <c r="AG490"/>
  <c r="AH490"/>
  <c r="AI490"/>
  <c r="AJ490"/>
  <c r="AK490"/>
  <c r="AM490"/>
  <c r="AN490"/>
  <c r="AO490"/>
  <c r="AC491"/>
  <c r="AD491"/>
  <c r="AE491"/>
  <c r="AF491"/>
  <c r="AG491"/>
  <c r="AH491"/>
  <c r="AI491"/>
  <c r="AJ491"/>
  <c r="AK491"/>
  <c r="AM491"/>
  <c r="AN491"/>
  <c r="AO491"/>
  <c r="AC492"/>
  <c r="AD492"/>
  <c r="AE492"/>
  <c r="AF492"/>
  <c r="AG492"/>
  <c r="AH492"/>
  <c r="AI492"/>
  <c r="AJ492"/>
  <c r="AK492"/>
  <c r="AM492"/>
  <c r="AN492"/>
  <c r="AO492"/>
  <c r="AC493"/>
  <c r="AD493"/>
  <c r="AE493"/>
  <c r="AF493"/>
  <c r="AG493"/>
  <c r="AH493"/>
  <c r="AI493"/>
  <c r="AJ493"/>
  <c r="AK493"/>
  <c r="AM493"/>
  <c r="AN493"/>
  <c r="AO493"/>
  <c r="AC494"/>
  <c r="AD494"/>
  <c r="AE494"/>
  <c r="AF494"/>
  <c r="AG494"/>
  <c r="AH494"/>
  <c r="AI494"/>
  <c r="AJ494"/>
  <c r="AK494"/>
  <c r="AM494"/>
  <c r="AN494"/>
  <c r="AO494"/>
  <c r="AC495"/>
  <c r="AD495"/>
  <c r="AE495"/>
  <c r="AF495"/>
  <c r="AG495"/>
  <c r="AH495"/>
  <c r="AI495"/>
  <c r="AJ495"/>
  <c r="AK495"/>
  <c r="AM495"/>
  <c r="AN495"/>
  <c r="AO495"/>
  <c r="AC496"/>
  <c r="AD496"/>
  <c r="AE496"/>
  <c r="AF496"/>
  <c r="AG496"/>
  <c r="AH496"/>
  <c r="AI496"/>
  <c r="AJ496"/>
  <c r="AK496"/>
  <c r="AM496"/>
  <c r="AN496"/>
  <c r="AO496"/>
  <c r="AC497"/>
  <c r="AD497"/>
  <c r="AE497"/>
  <c r="AF497"/>
  <c r="AG497"/>
  <c r="AH497"/>
  <c r="AI497"/>
  <c r="AJ497"/>
  <c r="AK497"/>
  <c r="AM497"/>
  <c r="AN497"/>
  <c r="AO497"/>
  <c r="AC498"/>
  <c r="AD498"/>
  <c r="AE498"/>
  <c r="AF498"/>
  <c r="AG498"/>
  <c r="AH498"/>
  <c r="AI498"/>
  <c r="AJ498"/>
  <c r="AK498"/>
  <c r="AM498"/>
  <c r="AN498"/>
  <c r="AO498"/>
  <c r="AC499"/>
  <c r="AD499"/>
  <c r="AE499"/>
  <c r="AF499"/>
  <c r="AG499"/>
  <c r="AH499"/>
  <c r="AI499"/>
  <c r="AJ499"/>
  <c r="AK499"/>
  <c r="AM499"/>
  <c r="AN499"/>
  <c r="AO499"/>
  <c r="AC500"/>
  <c r="AD500"/>
  <c r="AE500"/>
  <c r="AF500"/>
  <c r="AG500"/>
  <c r="AH500"/>
  <c r="AI500"/>
  <c r="AJ500"/>
  <c r="AK500"/>
  <c r="AM500"/>
  <c r="AN500"/>
  <c r="AO500"/>
  <c r="AC501"/>
  <c r="AD501"/>
  <c r="AE501"/>
  <c r="AF501"/>
  <c r="AG501"/>
  <c r="AH501"/>
  <c r="AI501"/>
  <c r="AJ501"/>
  <c r="AK501"/>
  <c r="AM501"/>
  <c r="AN501"/>
  <c r="AO501"/>
  <c r="AC502"/>
  <c r="AD502"/>
  <c r="AE502"/>
  <c r="AF502"/>
  <c r="AG502"/>
  <c r="AH502"/>
  <c r="AI502"/>
  <c r="AJ502"/>
  <c r="AK502"/>
  <c r="AM502"/>
  <c r="AN502"/>
  <c r="AO502"/>
  <c r="AC503"/>
  <c r="AD503"/>
  <c r="AE503"/>
  <c r="AF503"/>
  <c r="AG503"/>
  <c r="AH503"/>
  <c r="AI503"/>
  <c r="AJ503"/>
  <c r="AK503"/>
  <c r="AM503"/>
  <c r="AN503"/>
  <c r="AO503"/>
  <c r="AC504"/>
  <c r="AD504"/>
  <c r="AE504"/>
  <c r="AF504"/>
  <c r="AG504"/>
  <c r="AH504"/>
  <c r="AI504"/>
  <c r="AJ504"/>
  <c r="AK504"/>
  <c r="AM504"/>
  <c r="AN504"/>
  <c r="AO504"/>
  <c r="AC505"/>
  <c r="AD505"/>
  <c r="AE505"/>
  <c r="AF505"/>
  <c r="AG505"/>
  <c r="AH505"/>
  <c r="AI505"/>
  <c r="AJ505"/>
  <c r="AK505"/>
  <c r="AM505"/>
  <c r="AN505"/>
  <c r="AO505"/>
  <c r="AC506"/>
  <c r="AD506"/>
  <c r="AE506"/>
  <c r="AF506"/>
  <c r="AG506"/>
  <c r="AH506"/>
  <c r="AI506"/>
  <c r="AJ506"/>
  <c r="AK506"/>
  <c r="AM506"/>
  <c r="AN506"/>
  <c r="AO506"/>
  <c r="AC507"/>
  <c r="AD507"/>
  <c r="AE507"/>
  <c r="AF507"/>
  <c r="AG507"/>
  <c r="AH507"/>
  <c r="AI507"/>
  <c r="AJ507"/>
  <c r="AK507"/>
  <c r="AM507"/>
  <c r="AN507"/>
  <c r="AO507"/>
  <c r="AC508"/>
  <c r="AD508"/>
  <c r="AE508"/>
  <c r="AF508"/>
  <c r="AG508"/>
  <c r="AH508"/>
  <c r="AI508"/>
  <c r="AJ508"/>
  <c r="AK508"/>
  <c r="AM508"/>
  <c r="AN508"/>
  <c r="AO508"/>
  <c r="AC509"/>
  <c r="AD509"/>
  <c r="AE509"/>
  <c r="AF509"/>
  <c r="AG509"/>
  <c r="AH509"/>
  <c r="AI509"/>
  <c r="AJ509"/>
  <c r="AK509"/>
  <c r="AM509"/>
  <c r="AN509"/>
  <c r="AO509"/>
  <c r="AC510"/>
  <c r="AD510"/>
  <c r="AE510"/>
  <c r="AF510"/>
  <c r="AG510"/>
  <c r="AH510"/>
  <c r="AI510"/>
  <c r="AJ510"/>
  <c r="AK510"/>
  <c r="AM510"/>
  <c r="AN510"/>
  <c r="AO510"/>
  <c r="AC511"/>
  <c r="AD511"/>
  <c r="AE511"/>
  <c r="AF511"/>
  <c r="AG511"/>
  <c r="AH511"/>
  <c r="AI511"/>
  <c r="AJ511"/>
  <c r="AK511"/>
  <c r="AM511"/>
  <c r="AN511"/>
  <c r="AO511"/>
  <c r="AC512"/>
  <c r="AD512"/>
  <c r="AE512"/>
  <c r="AF512"/>
  <c r="AG512"/>
  <c r="AH512"/>
  <c r="AI512"/>
  <c r="AJ512"/>
  <c r="AK512"/>
  <c r="AM512"/>
  <c r="AN512"/>
  <c r="AO512"/>
  <c r="AC513"/>
  <c r="AD513"/>
  <c r="AE513"/>
  <c r="AF513"/>
  <c r="AG513"/>
  <c r="AH513"/>
  <c r="AI513"/>
  <c r="AJ513"/>
  <c r="AK513"/>
  <c r="AM513"/>
  <c r="AN513"/>
  <c r="AO513"/>
  <c r="AC514"/>
  <c r="AD514"/>
  <c r="AE514"/>
  <c r="AF514"/>
  <c r="AG514"/>
  <c r="AH514"/>
  <c r="AI514"/>
  <c r="AJ514"/>
  <c r="AK514"/>
  <c r="AM514"/>
  <c r="AN514"/>
  <c r="AO514"/>
  <c r="AC515"/>
  <c r="AD515"/>
  <c r="AE515"/>
  <c r="AF515"/>
  <c r="AG515"/>
  <c r="AH515"/>
  <c r="AI515"/>
  <c r="AJ515"/>
  <c r="AK515"/>
  <c r="AM515"/>
  <c r="AN515"/>
  <c r="AO515"/>
  <c r="AC516"/>
  <c r="AD516"/>
  <c r="AE516"/>
  <c r="AF516"/>
  <c r="AG516"/>
  <c r="AH516"/>
  <c r="AI516"/>
  <c r="AJ516"/>
  <c r="AK516"/>
  <c r="AM516"/>
  <c r="AN516"/>
  <c r="AO516"/>
  <c r="AC517"/>
  <c r="AD517"/>
  <c r="AE517"/>
  <c r="AF517"/>
  <c r="AG517"/>
  <c r="AH517"/>
  <c r="AI517"/>
  <c r="AJ517"/>
  <c r="AK517"/>
  <c r="AM517"/>
  <c r="AN517"/>
  <c r="AO517"/>
  <c r="AC518"/>
  <c r="AD518"/>
  <c r="AE518"/>
  <c r="AF518"/>
  <c r="AG518"/>
  <c r="AH518"/>
  <c r="AI518"/>
  <c r="AJ518"/>
  <c r="AK518"/>
  <c r="AM518"/>
  <c r="AN518"/>
  <c r="AO518"/>
  <c r="AC519"/>
  <c r="AD519"/>
  <c r="AE519"/>
  <c r="AF519"/>
  <c r="AG519"/>
  <c r="AH519"/>
  <c r="AI519"/>
  <c r="AJ519"/>
  <c r="AK519"/>
  <c r="AM519"/>
  <c r="AN519"/>
  <c r="AO519"/>
  <c r="AC520"/>
  <c r="AD520"/>
  <c r="AE520"/>
  <c r="AF520"/>
  <c r="AG520"/>
  <c r="AH520"/>
  <c r="AI520"/>
  <c r="AJ520"/>
  <c r="AK520"/>
  <c r="AM520"/>
  <c r="AN520"/>
  <c r="AO520"/>
  <c r="AC521"/>
  <c r="AD521"/>
  <c r="AE521"/>
  <c r="AF521"/>
  <c r="AG521"/>
  <c r="AH521"/>
  <c r="AI521"/>
  <c r="AJ521"/>
  <c r="AK521"/>
  <c r="AM521"/>
  <c r="AN521"/>
  <c r="AO521"/>
  <c r="AC522"/>
  <c r="AD522"/>
  <c r="AE522"/>
  <c r="AF522"/>
  <c r="AG522"/>
  <c r="AH522"/>
  <c r="AI522"/>
  <c r="AJ522"/>
  <c r="AK522"/>
  <c r="AM522"/>
  <c r="AN522"/>
  <c r="AO522"/>
  <c r="AC523"/>
  <c r="AD523"/>
  <c r="AE523"/>
  <c r="AF523"/>
  <c r="AG523"/>
  <c r="AH523"/>
  <c r="AI523"/>
  <c r="AJ523"/>
  <c r="AK523"/>
  <c r="AM523"/>
  <c r="AN523"/>
  <c r="AO523"/>
  <c r="AC524"/>
  <c r="AD524"/>
  <c r="AE524"/>
  <c r="AF524"/>
  <c r="AG524"/>
  <c r="AH524"/>
  <c r="AI524"/>
  <c r="AJ524"/>
  <c r="AK524"/>
  <c r="AM524"/>
  <c r="AN524"/>
  <c r="AO524"/>
  <c r="AC525"/>
  <c r="AD525"/>
  <c r="AE525"/>
  <c r="AF525"/>
  <c r="AG525"/>
  <c r="AH525"/>
  <c r="AI525"/>
  <c r="AJ525"/>
  <c r="AK525"/>
  <c r="AM525"/>
  <c r="AN525"/>
  <c r="AO525"/>
  <c r="AC526"/>
  <c r="AD526"/>
  <c r="AE526"/>
  <c r="AF526"/>
  <c r="AG526"/>
  <c r="AH526"/>
  <c r="AI526"/>
  <c r="AJ526"/>
  <c r="AK526"/>
  <c r="AM526"/>
  <c r="AN526"/>
  <c r="AO526"/>
  <c r="AC527"/>
  <c r="AD527"/>
  <c r="AE527"/>
  <c r="AF527"/>
  <c r="AG527"/>
  <c r="AH527"/>
  <c r="AI527"/>
  <c r="AJ527"/>
  <c r="AK527"/>
  <c r="AM527"/>
  <c r="AN527"/>
  <c r="AO527"/>
  <c r="AC528"/>
  <c r="AD528"/>
  <c r="AE528"/>
  <c r="AF528"/>
  <c r="AG528"/>
  <c r="AH528"/>
  <c r="AI528"/>
  <c r="AJ528"/>
  <c r="AK528"/>
  <c r="AM528"/>
  <c r="AN528"/>
  <c r="AO528"/>
  <c r="AC529"/>
  <c r="AD529"/>
  <c r="AE529"/>
  <c r="AF529"/>
  <c r="AG529"/>
  <c r="AH529"/>
  <c r="AI529"/>
  <c r="AJ529"/>
  <c r="AK529"/>
  <c r="AM529"/>
  <c r="AN529"/>
  <c r="AO529"/>
  <c r="AC530"/>
  <c r="AD530"/>
  <c r="AE530"/>
  <c r="AF530"/>
  <c r="AG530"/>
  <c r="AH530"/>
  <c r="AI530"/>
  <c r="AJ530"/>
  <c r="AK530"/>
  <c r="AM530"/>
  <c r="AN530"/>
  <c r="AO530"/>
  <c r="AC531"/>
  <c r="AD531"/>
  <c r="AE531"/>
  <c r="AF531"/>
  <c r="AG531"/>
  <c r="AH531"/>
  <c r="AI531"/>
  <c r="AJ531"/>
  <c r="AK531"/>
  <c r="AM531"/>
  <c r="AN531"/>
  <c r="AO531"/>
  <c r="AC532"/>
  <c r="AD532"/>
  <c r="AE532"/>
  <c r="AF532"/>
  <c r="AG532"/>
  <c r="AH532"/>
  <c r="AI532"/>
  <c r="AJ532"/>
  <c r="AK532"/>
  <c r="AM532"/>
  <c r="AN532"/>
  <c r="AO532"/>
  <c r="AC533"/>
  <c r="AD533"/>
  <c r="AE533"/>
  <c r="AF533"/>
  <c r="AG533"/>
  <c r="AH533"/>
  <c r="AI533"/>
  <c r="AJ533"/>
  <c r="AK533"/>
  <c r="AM533"/>
  <c r="AN533"/>
  <c r="AO533"/>
  <c r="AC534"/>
  <c r="AD534"/>
  <c r="AE534"/>
  <c r="AF534"/>
  <c r="AG534"/>
  <c r="AH534"/>
  <c r="AI534"/>
  <c r="AJ534"/>
  <c r="AK534"/>
  <c r="AM534"/>
  <c r="AN534"/>
  <c r="AO534"/>
  <c r="AC535"/>
  <c r="AD535"/>
  <c r="AE535"/>
  <c r="AF535"/>
  <c r="AG535"/>
  <c r="AH535"/>
  <c r="AI535"/>
  <c r="AJ535"/>
  <c r="AK535"/>
  <c r="AM535"/>
  <c r="AN535"/>
  <c r="AO535"/>
  <c r="AC536"/>
  <c r="AD536"/>
  <c r="AE536"/>
  <c r="AF536"/>
  <c r="AG536"/>
  <c r="AH536"/>
  <c r="AI536"/>
  <c r="AJ536"/>
  <c r="AK536"/>
  <c r="AM536"/>
  <c r="AN536"/>
  <c r="AO536"/>
  <c r="AC537"/>
  <c r="AD537"/>
  <c r="AE537"/>
  <c r="AF537"/>
  <c r="AG537"/>
  <c r="AH537"/>
  <c r="AI537"/>
  <c r="AJ537"/>
  <c r="AK537"/>
  <c r="AM537"/>
  <c r="AN537"/>
  <c r="AO537"/>
  <c r="AC538"/>
  <c r="AD538"/>
  <c r="AE538"/>
  <c r="AF538"/>
  <c r="AG538"/>
  <c r="AH538"/>
  <c r="AI538"/>
  <c r="AJ538"/>
  <c r="AK538"/>
  <c r="AM538"/>
  <c r="AN538"/>
  <c r="AO538"/>
  <c r="AC539"/>
  <c r="AD539"/>
  <c r="AE539"/>
  <c r="AF539"/>
  <c r="AG539"/>
  <c r="AH539"/>
  <c r="AI539"/>
  <c r="AJ539"/>
  <c r="AK539"/>
  <c r="AM539"/>
  <c r="AN539"/>
  <c r="AO539"/>
  <c r="AC540"/>
  <c r="AD540"/>
  <c r="AE540"/>
  <c r="AF540"/>
  <c r="AG540"/>
  <c r="AH540"/>
  <c r="AI540"/>
  <c r="AJ540"/>
  <c r="AK540"/>
  <c r="AM540"/>
  <c r="AN540"/>
  <c r="AO540"/>
  <c r="AC541"/>
  <c r="AD541"/>
  <c r="AE541"/>
  <c r="AF541"/>
  <c r="AG541"/>
  <c r="AH541"/>
  <c r="AI541"/>
  <c r="AJ541"/>
  <c r="AK541"/>
  <c r="AM541"/>
  <c r="AN541"/>
  <c r="AO541"/>
  <c r="AC542"/>
  <c r="AD542"/>
  <c r="AE542"/>
  <c r="AF542"/>
  <c r="AG542"/>
  <c r="AH542"/>
  <c r="AI542"/>
  <c r="AJ542"/>
  <c r="AK542"/>
  <c r="AM542"/>
  <c r="AN542"/>
  <c r="AO542"/>
  <c r="AC543"/>
  <c r="AD543"/>
  <c r="AE543"/>
  <c r="AF543"/>
  <c r="AG543"/>
  <c r="AH543"/>
  <c r="AI543"/>
  <c r="AJ543"/>
  <c r="AK543"/>
  <c r="AM543"/>
  <c r="AN543"/>
  <c r="AO543"/>
  <c r="AC544"/>
  <c r="AD544"/>
  <c r="AE544"/>
  <c r="AF544"/>
  <c r="AG544"/>
  <c r="AH544"/>
  <c r="AI544"/>
  <c r="AJ544"/>
  <c r="AK544"/>
  <c r="AM544"/>
  <c r="AN544"/>
  <c r="AO544"/>
  <c r="AC545"/>
  <c r="AD545"/>
  <c r="AE545"/>
  <c r="AF545"/>
  <c r="AG545"/>
  <c r="AH545"/>
  <c r="AI545"/>
  <c r="AJ545"/>
  <c r="AK545"/>
  <c r="AM545"/>
  <c r="AN545"/>
  <c r="AO545"/>
  <c r="AC546"/>
  <c r="AD546"/>
  <c r="AE546"/>
  <c r="AF546"/>
  <c r="AG546"/>
  <c r="AH546"/>
  <c r="AI546"/>
  <c r="AJ546"/>
  <c r="AK546"/>
  <c r="AM546"/>
  <c r="AN546"/>
  <c r="AO546"/>
  <c r="AC547"/>
  <c r="AD547"/>
  <c r="AE547"/>
  <c r="AF547"/>
  <c r="AG547"/>
  <c r="AH547"/>
  <c r="AI547"/>
  <c r="AJ547"/>
  <c r="AK547"/>
  <c r="AM547"/>
  <c r="AN547"/>
  <c r="AO547"/>
  <c r="AC548"/>
  <c r="AD548"/>
  <c r="AE548"/>
  <c r="AF548"/>
  <c r="AG548"/>
  <c r="AH548"/>
  <c r="AI548"/>
  <c r="AJ548"/>
  <c r="AK548"/>
  <c r="AM548"/>
  <c r="AN548"/>
  <c r="AO548"/>
  <c r="AC549"/>
  <c r="AD549"/>
  <c r="AE549"/>
  <c r="AF549"/>
  <c r="AG549"/>
  <c r="AH549"/>
  <c r="AI549"/>
  <c r="AJ549"/>
  <c r="AK549"/>
  <c r="AM549"/>
  <c r="AN549"/>
  <c r="AO549"/>
  <c r="AC550"/>
  <c r="AD550"/>
  <c r="AE550"/>
  <c r="AF550"/>
  <c r="AG550"/>
  <c r="AH550"/>
  <c r="AI550"/>
  <c r="AJ550"/>
  <c r="AK550"/>
  <c r="AM550"/>
  <c r="AN550"/>
  <c r="AO550"/>
  <c r="AC551"/>
  <c r="AD551"/>
  <c r="AE551"/>
  <c r="AF551"/>
  <c r="AG551"/>
  <c r="AH551"/>
  <c r="AI551"/>
  <c r="AJ551"/>
  <c r="AK551"/>
  <c r="AM551"/>
  <c r="AN551"/>
  <c r="AO551"/>
  <c r="AC552"/>
  <c r="AD552"/>
  <c r="AE552"/>
  <c r="AF552"/>
  <c r="AG552"/>
  <c r="AH552"/>
  <c r="AI552"/>
  <c r="AJ552"/>
  <c r="AK552"/>
  <c r="AM552"/>
  <c r="AN552"/>
  <c r="AO552"/>
  <c r="AC553"/>
  <c r="AD553"/>
  <c r="AE553"/>
  <c r="AF553"/>
  <c r="AG553"/>
  <c r="AH553"/>
  <c r="AI553"/>
  <c r="AJ553"/>
  <c r="AK553"/>
  <c r="AM553"/>
  <c r="AN553"/>
  <c r="AO553"/>
  <c r="AC554"/>
  <c r="AD554"/>
  <c r="AE554"/>
  <c r="AF554"/>
  <c r="AG554"/>
  <c r="AH554"/>
  <c r="AI554"/>
  <c r="AJ554"/>
  <c r="AK554"/>
  <c r="AM554"/>
  <c r="AN554"/>
  <c r="AO554"/>
  <c r="AC555"/>
  <c r="AD555"/>
  <c r="AE555"/>
  <c r="AF555"/>
  <c r="AG555"/>
  <c r="AH555"/>
  <c r="AI555"/>
  <c r="AJ555"/>
  <c r="AK555"/>
  <c r="AM555"/>
  <c r="AN555"/>
  <c r="AO555"/>
  <c r="AC556"/>
  <c r="AD556"/>
  <c r="AE556"/>
  <c r="AF556"/>
  <c r="AG556"/>
  <c r="AH556"/>
  <c r="AI556"/>
  <c r="AJ556"/>
  <c r="AK556"/>
  <c r="AM556"/>
  <c r="AN556"/>
  <c r="AO556"/>
  <c r="AC557"/>
  <c r="AD557"/>
  <c r="AE557"/>
  <c r="AF557"/>
  <c r="AG557"/>
  <c r="AH557"/>
  <c r="AI557"/>
  <c r="AJ557"/>
  <c r="AK557"/>
  <c r="AM557"/>
  <c r="AN557"/>
  <c r="AO557"/>
  <c r="AC558"/>
  <c r="AD558"/>
  <c r="AE558"/>
  <c r="AF558"/>
  <c r="AG558"/>
  <c r="AH558"/>
  <c r="AI558"/>
  <c r="AJ558"/>
  <c r="AK558"/>
  <c r="AM558"/>
  <c r="AN558"/>
  <c r="AO558"/>
  <c r="AC559"/>
  <c r="AD559"/>
  <c r="AE559"/>
  <c r="AF559"/>
  <c r="AG559"/>
  <c r="AH559"/>
  <c r="AI559"/>
  <c r="AJ559"/>
  <c r="AK559"/>
  <c r="AM559"/>
  <c r="AN559"/>
  <c r="AO559"/>
  <c r="AC560"/>
  <c r="AD560"/>
  <c r="AE560"/>
  <c r="AF560"/>
  <c r="AG560"/>
  <c r="AH560"/>
  <c r="AI560"/>
  <c r="AJ560"/>
  <c r="AK560"/>
  <c r="AM560"/>
  <c r="AN560"/>
  <c r="AO560"/>
  <c r="AC561"/>
  <c r="AD561"/>
  <c r="AE561"/>
  <c r="AF561"/>
  <c r="AG561"/>
  <c r="AH561"/>
  <c r="AI561"/>
  <c r="AJ561"/>
  <c r="AK561"/>
  <c r="AM561"/>
  <c r="AN561"/>
  <c r="AO561"/>
  <c r="AC562"/>
  <c r="AD562"/>
  <c r="AE562"/>
  <c r="AF562"/>
  <c r="AG562"/>
  <c r="AH562"/>
  <c r="AI562"/>
  <c r="AJ562"/>
  <c r="AK562"/>
  <c r="AM562"/>
  <c r="AN562"/>
  <c r="AO562"/>
  <c r="AC563"/>
  <c r="AD563"/>
  <c r="AE563"/>
  <c r="AF563"/>
  <c r="AG563"/>
  <c r="AH563"/>
  <c r="AI563"/>
  <c r="AJ563"/>
  <c r="AK563"/>
  <c r="AM563"/>
  <c r="AN563"/>
  <c r="AO563"/>
  <c r="AC564"/>
  <c r="AD564"/>
  <c r="AE564"/>
  <c r="AF564"/>
  <c r="AG564"/>
  <c r="AH564"/>
  <c r="AI564"/>
  <c r="AJ564"/>
  <c r="AK564"/>
  <c r="AM564"/>
  <c r="AN564"/>
  <c r="AO564"/>
  <c r="AC565"/>
  <c r="AD565"/>
  <c r="AE565"/>
  <c r="AF565"/>
  <c r="AG565"/>
  <c r="AH565"/>
  <c r="AI565"/>
  <c r="AJ565"/>
  <c r="AK565"/>
  <c r="AM565"/>
  <c r="AN565"/>
  <c r="AO565"/>
  <c r="AC566"/>
  <c r="AD566"/>
  <c r="AE566"/>
  <c r="AF566"/>
  <c r="AG566"/>
  <c r="AH566"/>
  <c r="AI566"/>
  <c r="AJ566"/>
  <c r="AK566"/>
  <c r="AM566"/>
  <c r="AN566"/>
  <c r="AO566"/>
  <c r="AC567"/>
  <c r="AD567"/>
  <c r="AE567"/>
  <c r="AF567"/>
  <c r="AG567"/>
  <c r="AH567"/>
  <c r="AI567"/>
  <c r="AJ567"/>
  <c r="AK567"/>
  <c r="AM567"/>
  <c r="AN567"/>
  <c r="AO567"/>
  <c r="AC568"/>
  <c r="AD568"/>
  <c r="AE568"/>
  <c r="AF568"/>
  <c r="AG568"/>
  <c r="AH568"/>
  <c r="AI568"/>
  <c r="AJ568"/>
  <c r="AK568"/>
  <c r="AM568"/>
  <c r="AN568"/>
  <c r="AO568"/>
  <c r="AC569"/>
  <c r="AD569"/>
  <c r="AE569"/>
  <c r="AF569"/>
  <c r="AG569"/>
  <c r="AH569"/>
  <c r="AI569"/>
  <c r="AJ569"/>
  <c r="AK569"/>
  <c r="AM569"/>
  <c r="AN569"/>
  <c r="AO569"/>
  <c r="AC570"/>
  <c r="AD570"/>
  <c r="AE570"/>
  <c r="AF570"/>
  <c r="AG570"/>
  <c r="AH570"/>
  <c r="AI570"/>
  <c r="AJ570"/>
  <c r="AK570"/>
  <c r="AM570"/>
  <c r="AN570"/>
  <c r="AO570"/>
  <c r="AC571"/>
  <c r="AD571"/>
  <c r="AE571"/>
  <c r="AF571"/>
  <c r="AG571"/>
  <c r="AH571"/>
  <c r="AI571"/>
  <c r="AJ571"/>
  <c r="AK571"/>
  <c r="AM571"/>
  <c r="AN571"/>
  <c r="AO571"/>
  <c r="AC572"/>
  <c r="AD572"/>
  <c r="AE572"/>
  <c r="AF572"/>
  <c r="AG572"/>
  <c r="AH572"/>
  <c r="AI572"/>
  <c r="AJ572"/>
  <c r="AK572"/>
  <c r="AM572"/>
  <c r="AN572"/>
  <c r="AO572"/>
  <c r="AC573"/>
  <c r="AD573"/>
  <c r="AE573"/>
  <c r="AF573"/>
  <c r="AG573"/>
  <c r="AH573"/>
  <c r="AI573"/>
  <c r="AJ573"/>
  <c r="AK573"/>
  <c r="AM573"/>
  <c r="AN573"/>
  <c r="AO573"/>
  <c r="AC574"/>
  <c r="AD574"/>
  <c r="AE574"/>
  <c r="AF574"/>
  <c r="AG574"/>
  <c r="AH574"/>
  <c r="AI574"/>
  <c r="AJ574"/>
  <c r="AK574"/>
  <c r="AM574"/>
  <c r="AN574"/>
  <c r="AO574"/>
  <c r="AC575"/>
  <c r="AD575"/>
  <c r="AE575"/>
  <c r="AF575"/>
  <c r="AG575"/>
  <c r="AH575"/>
  <c r="AI575"/>
  <c r="AJ575"/>
  <c r="AK575"/>
  <c r="AM575"/>
  <c r="AN575"/>
  <c r="AO575"/>
  <c r="AC576"/>
  <c r="AD576"/>
  <c r="AE576"/>
  <c r="AF576"/>
  <c r="AG576"/>
  <c r="AH576"/>
  <c r="AI576"/>
  <c r="AJ576"/>
  <c r="AK576"/>
  <c r="AM576"/>
  <c r="AN576"/>
  <c r="AO576"/>
  <c r="AC577"/>
  <c r="AD577"/>
  <c r="AE577"/>
  <c r="AF577"/>
  <c r="AG577"/>
  <c r="AH577"/>
  <c r="AI577"/>
  <c r="AJ577"/>
  <c r="AK577"/>
  <c r="AM577"/>
  <c r="AN577"/>
  <c r="AO577"/>
  <c r="AC578"/>
  <c r="AD578"/>
  <c r="AE578"/>
  <c r="AF578"/>
  <c r="AG578"/>
  <c r="AH578"/>
  <c r="AI578"/>
  <c r="AJ578"/>
  <c r="AK578"/>
  <c r="AM578"/>
  <c r="AN578"/>
  <c r="AO578"/>
  <c r="AC579"/>
  <c r="AD579"/>
  <c r="AE579"/>
  <c r="AF579"/>
  <c r="AG579"/>
  <c r="AH579"/>
  <c r="AI579"/>
  <c r="AJ579"/>
  <c r="AK579"/>
  <c r="AM579"/>
  <c r="AN579"/>
  <c r="AO579"/>
  <c r="AC580"/>
  <c r="AD580"/>
  <c r="AE580"/>
  <c r="AF580"/>
  <c r="AG580"/>
  <c r="AH580"/>
  <c r="AI580"/>
  <c r="AJ580"/>
  <c r="AK580"/>
  <c r="AM580"/>
  <c r="AN580"/>
  <c r="AO580"/>
  <c r="AC581"/>
  <c r="AD581"/>
  <c r="AE581"/>
  <c r="AF581"/>
  <c r="AG581"/>
  <c r="AH581"/>
  <c r="AI581"/>
  <c r="AJ581"/>
  <c r="AK581"/>
  <c r="AM581"/>
  <c r="AN581"/>
  <c r="AO581"/>
  <c r="AC582"/>
  <c r="AD582"/>
  <c r="AE582"/>
  <c r="AF582"/>
  <c r="AG582"/>
  <c r="AH582"/>
  <c r="AI582"/>
  <c r="AJ582"/>
  <c r="AK582"/>
  <c r="AM582"/>
  <c r="AN582"/>
  <c r="AO582"/>
  <c r="AC583"/>
  <c r="AD583"/>
  <c r="AE583"/>
  <c r="AF583"/>
  <c r="AG583"/>
  <c r="AH583"/>
  <c r="AI583"/>
  <c r="AJ583"/>
  <c r="AK583"/>
  <c r="AM583"/>
  <c r="AN583"/>
  <c r="AO583"/>
  <c r="AC584"/>
  <c r="AD584"/>
  <c r="AE584"/>
  <c r="AF584"/>
  <c r="AG584"/>
  <c r="AH584"/>
  <c r="AI584"/>
  <c r="AJ584"/>
  <c r="AK584"/>
  <c r="AM584"/>
  <c r="AN584"/>
  <c r="AO584"/>
  <c r="AC585"/>
  <c r="AD585"/>
  <c r="AE585"/>
  <c r="AF585"/>
  <c r="AG585"/>
  <c r="AH585"/>
  <c r="AI585"/>
  <c r="AJ585"/>
  <c r="AK585"/>
  <c r="AM585"/>
  <c r="AN585"/>
  <c r="AO585"/>
  <c r="AC586"/>
  <c r="AD586"/>
  <c r="AE586"/>
  <c r="AF586"/>
  <c r="AG586"/>
  <c r="AH586"/>
  <c r="AI586"/>
  <c r="AJ586"/>
  <c r="AK586"/>
  <c r="AM586"/>
  <c r="AN586"/>
  <c r="AO586"/>
  <c r="AC587"/>
  <c r="AD587"/>
  <c r="AE587"/>
  <c r="AF587"/>
  <c r="AG587"/>
  <c r="AH587"/>
  <c r="AI587"/>
  <c r="AJ587"/>
  <c r="AK587"/>
  <c r="AM587"/>
  <c r="AN587"/>
  <c r="AO587"/>
  <c r="AC588"/>
  <c r="AD588"/>
  <c r="AE588"/>
  <c r="AF588"/>
  <c r="AG588"/>
  <c r="AH588"/>
  <c r="AI588"/>
  <c r="AJ588"/>
  <c r="AK588"/>
  <c r="AM588"/>
  <c r="AN588"/>
  <c r="AO588"/>
  <c r="AC589"/>
  <c r="AD589"/>
  <c r="AE589"/>
  <c r="AF589"/>
  <c r="AG589"/>
  <c r="AH589"/>
  <c r="AI589"/>
  <c r="AJ589"/>
  <c r="AK589"/>
  <c r="AM589"/>
  <c r="AN589"/>
  <c r="AO589"/>
  <c r="AC590"/>
  <c r="AD590"/>
  <c r="AE590"/>
  <c r="AF590"/>
  <c r="AG590"/>
  <c r="AH590"/>
  <c r="AI590"/>
  <c r="AJ590"/>
  <c r="AK590"/>
  <c r="AM590"/>
  <c r="AN590"/>
  <c r="AO590"/>
  <c r="AC591"/>
  <c r="AD591"/>
  <c r="AE591"/>
  <c r="AF591"/>
  <c r="AG591"/>
  <c r="AH591"/>
  <c r="AI591"/>
  <c r="AJ591"/>
  <c r="AK591"/>
  <c r="AM591"/>
  <c r="AN591"/>
  <c r="AO591"/>
  <c r="AC592"/>
  <c r="AD592"/>
  <c r="AE592"/>
  <c r="AF592"/>
  <c r="AG592"/>
  <c r="AH592"/>
  <c r="AI592"/>
  <c r="AJ592"/>
  <c r="AK592"/>
  <c r="AM592"/>
  <c r="AN592"/>
  <c r="AO592"/>
  <c r="AC593"/>
  <c r="AD593"/>
  <c r="AE593"/>
  <c r="AF593"/>
  <c r="AG593"/>
  <c r="AH593"/>
  <c r="AI593"/>
  <c r="AJ593"/>
  <c r="AK593"/>
  <c r="AM593"/>
  <c r="AN593"/>
  <c r="AO593"/>
  <c r="AC594"/>
  <c r="AD594"/>
  <c r="AE594"/>
  <c r="AF594"/>
  <c r="AG594"/>
  <c r="AH594"/>
  <c r="AI594"/>
  <c r="AJ594"/>
  <c r="AK594"/>
  <c r="AM594"/>
  <c r="AN594"/>
  <c r="AO594"/>
  <c r="AC595"/>
  <c r="AD595"/>
  <c r="AE595"/>
  <c r="AF595"/>
  <c r="AG595"/>
  <c r="AH595"/>
  <c r="AI595"/>
  <c r="AJ595"/>
  <c r="AK595"/>
  <c r="AM595"/>
  <c r="AN595"/>
  <c r="AO595"/>
  <c r="AC596"/>
  <c r="AD596"/>
  <c r="AE596"/>
  <c r="AF596"/>
  <c r="AG596"/>
  <c r="AH596"/>
  <c r="AI596"/>
  <c r="AJ596"/>
  <c r="AK596"/>
  <c r="AM596"/>
  <c r="AN596"/>
  <c r="AO596"/>
  <c r="AC597"/>
  <c r="AD597"/>
  <c r="AE597"/>
  <c r="AF597"/>
  <c r="AG597"/>
  <c r="AH597"/>
  <c r="AI597"/>
  <c r="AJ597"/>
  <c r="AK597"/>
  <c r="AM597"/>
  <c r="AN597"/>
  <c r="AO597"/>
  <c r="AC598"/>
  <c r="AD598"/>
  <c r="AE598"/>
  <c r="AF598"/>
  <c r="AG598"/>
  <c r="AH598"/>
  <c r="AI598"/>
  <c r="AJ598"/>
  <c r="AK598"/>
  <c r="AM598"/>
  <c r="AN598"/>
  <c r="AO598"/>
  <c r="AC599"/>
  <c r="AD599"/>
  <c r="AE599"/>
  <c r="AF599"/>
  <c r="AG599"/>
  <c r="AH599"/>
  <c r="AI599"/>
  <c r="AJ599"/>
  <c r="AK599"/>
  <c r="AM599"/>
  <c r="AN599"/>
  <c r="AO599"/>
  <c r="AC600"/>
  <c r="AD600"/>
  <c r="AE600"/>
  <c r="AF600"/>
  <c r="AG600"/>
  <c r="AH600"/>
  <c r="AI600"/>
  <c r="AJ600"/>
  <c r="AK600"/>
  <c r="AM600"/>
  <c r="AN600"/>
  <c r="AO600"/>
  <c r="AC601"/>
  <c r="AD601"/>
  <c r="AE601"/>
  <c r="AF601"/>
  <c r="AG601"/>
  <c r="AH601"/>
  <c r="AI601"/>
  <c r="AJ601"/>
  <c r="AK601"/>
  <c r="AM601"/>
  <c r="AN601"/>
  <c r="AO601"/>
  <c r="AC602"/>
  <c r="AD602"/>
  <c r="AE602"/>
  <c r="AF602"/>
  <c r="AG602"/>
  <c r="AH602"/>
  <c r="AI602"/>
  <c r="AJ602"/>
  <c r="AK602"/>
  <c r="AM602"/>
  <c r="AN602"/>
  <c r="AO602"/>
  <c r="AC603"/>
  <c r="AD603"/>
  <c r="AE603"/>
  <c r="AF603"/>
  <c r="AG603"/>
  <c r="AH603"/>
  <c r="AI603"/>
  <c r="AJ603"/>
  <c r="AK603"/>
  <c r="AM603"/>
  <c r="AN603"/>
  <c r="AO603"/>
  <c r="AC604"/>
  <c r="AD604"/>
  <c r="AE604"/>
  <c r="AF604"/>
  <c r="AG604"/>
  <c r="AH604"/>
  <c r="AI604"/>
  <c r="AJ604"/>
  <c r="AK604"/>
  <c r="AM604"/>
  <c r="AN604"/>
  <c r="AO604"/>
  <c r="AC605"/>
  <c r="AD605"/>
  <c r="AE605"/>
  <c r="AF605"/>
  <c r="AG605"/>
  <c r="AH605"/>
  <c r="AI605"/>
  <c r="AJ605"/>
  <c r="AK605"/>
  <c r="AM605"/>
  <c r="AN605"/>
  <c r="AO605"/>
  <c r="AC606"/>
  <c r="AD606"/>
  <c r="AE606"/>
  <c r="AF606"/>
  <c r="AG606"/>
  <c r="AH606"/>
  <c r="AI606"/>
  <c r="AJ606"/>
  <c r="AK606"/>
  <c r="AM606"/>
  <c r="AN606"/>
  <c r="AO606"/>
  <c r="AC607"/>
  <c r="AD607"/>
  <c r="AE607"/>
  <c r="AF607"/>
  <c r="AG607"/>
  <c r="AH607"/>
  <c r="AI607"/>
  <c r="AJ607"/>
  <c r="AK607"/>
  <c r="AM607"/>
  <c r="AN607"/>
  <c r="AO607"/>
  <c r="AC608"/>
  <c r="AD608"/>
  <c r="AE608"/>
  <c r="AF608"/>
  <c r="AG608"/>
  <c r="AH608"/>
  <c r="AI608"/>
  <c r="AJ608"/>
  <c r="AK608"/>
  <c r="AM608"/>
  <c r="AN608"/>
  <c r="AO608"/>
  <c r="AC609"/>
  <c r="AD609"/>
  <c r="AE609"/>
  <c r="AF609"/>
  <c r="AG609"/>
  <c r="AH609"/>
  <c r="AI609"/>
  <c r="AJ609"/>
  <c r="AK609"/>
  <c r="AM609"/>
  <c r="AN609"/>
  <c r="AO609"/>
  <c r="AC610"/>
  <c r="AD610"/>
  <c r="AE610"/>
  <c r="AF610"/>
  <c r="AG610"/>
  <c r="AH610"/>
  <c r="AI610"/>
  <c r="AJ610"/>
  <c r="AK610"/>
  <c r="AM610"/>
  <c r="AN610"/>
  <c r="AO610"/>
  <c r="AC611"/>
  <c r="AD611"/>
  <c r="AE611"/>
  <c r="AF611"/>
  <c r="AG611"/>
  <c r="AH611"/>
  <c r="AI611"/>
  <c r="AJ611"/>
  <c r="AK611"/>
  <c r="AM611"/>
  <c r="AN611"/>
  <c r="AO611"/>
  <c r="AC612"/>
  <c r="AD612"/>
  <c r="AE612"/>
  <c r="AF612"/>
  <c r="AG612"/>
  <c r="AH612"/>
  <c r="AI612"/>
  <c r="AJ612"/>
  <c r="AK612"/>
  <c r="AM612"/>
  <c r="AN612"/>
  <c r="AO612"/>
  <c r="AC613"/>
  <c r="AD613"/>
  <c r="AE613"/>
  <c r="AF613"/>
  <c r="AG613"/>
  <c r="AH613"/>
  <c r="AI613"/>
  <c r="AJ613"/>
  <c r="AK613"/>
  <c r="AM613"/>
  <c r="AN613"/>
  <c r="AO613"/>
  <c r="AC614"/>
  <c r="AD614"/>
  <c r="AE614"/>
  <c r="AF614"/>
  <c r="AG614"/>
  <c r="AH614"/>
  <c r="AI614"/>
  <c r="AJ614"/>
  <c r="AK614"/>
  <c r="AM614"/>
  <c r="AN614"/>
  <c r="AO614"/>
  <c r="AC615"/>
  <c r="AD615"/>
  <c r="AE615"/>
  <c r="AF615"/>
  <c r="AG615"/>
  <c r="AH615"/>
  <c r="AI615"/>
  <c r="AJ615"/>
  <c r="AK615"/>
  <c r="AM615"/>
  <c r="AN615"/>
  <c r="AO615"/>
  <c r="AC616"/>
  <c r="AD616"/>
  <c r="AE616"/>
  <c r="AF616"/>
  <c r="AG616"/>
  <c r="AH616"/>
  <c r="AI616"/>
  <c r="AJ616"/>
  <c r="AK616"/>
  <c r="AM616"/>
  <c r="AN616"/>
  <c r="AO616"/>
  <c r="AC617"/>
  <c r="AD617"/>
  <c r="AE617"/>
  <c r="AF617"/>
  <c r="AG617"/>
  <c r="AH617"/>
  <c r="AI617"/>
  <c r="AJ617"/>
  <c r="AK617"/>
  <c r="AM617"/>
  <c r="AN617"/>
  <c r="AO617"/>
  <c r="AC618"/>
  <c r="AD618"/>
  <c r="AE618"/>
  <c r="AF618"/>
  <c r="AG618"/>
  <c r="AH618"/>
  <c r="AI618"/>
  <c r="AJ618"/>
  <c r="AK618"/>
  <c r="AM618"/>
  <c r="AN618"/>
  <c r="AO618"/>
  <c r="AC619"/>
  <c r="AD619"/>
  <c r="AE619"/>
  <c r="AF619"/>
  <c r="AG619"/>
  <c r="AH619"/>
  <c r="AI619"/>
  <c r="AJ619"/>
  <c r="AK619"/>
  <c r="AM619"/>
  <c r="AN619"/>
  <c r="AO619"/>
  <c r="AC620"/>
  <c r="AD620"/>
  <c r="AE620"/>
  <c r="AF620"/>
  <c r="AG620"/>
  <c r="AH620"/>
  <c r="AI620"/>
  <c r="AJ620"/>
  <c r="AK620"/>
  <c r="AM620"/>
  <c r="AN620"/>
  <c r="AO620"/>
  <c r="AC621"/>
  <c r="AD621"/>
  <c r="AE621"/>
  <c r="AF621"/>
  <c r="AG621"/>
  <c r="AH621"/>
  <c r="AI621"/>
  <c r="AJ621"/>
  <c r="AK621"/>
  <c r="AM621"/>
  <c r="AN621"/>
  <c r="AO621"/>
  <c r="AC622"/>
  <c r="AD622"/>
  <c r="AE622"/>
  <c r="AF622"/>
  <c r="AG622"/>
  <c r="AH622"/>
  <c r="AI622"/>
  <c r="AJ622"/>
  <c r="AK622"/>
  <c r="AM622"/>
  <c r="AN622"/>
  <c r="AO622"/>
  <c r="AC623"/>
  <c r="AD623"/>
  <c r="AE623"/>
  <c r="AF623"/>
  <c r="AG623"/>
  <c r="AH623"/>
  <c r="AI623"/>
  <c r="AJ623"/>
  <c r="AK623"/>
  <c r="AM623"/>
  <c r="AN623"/>
  <c r="AO623"/>
  <c r="AC624"/>
  <c r="AD624"/>
  <c r="AE624"/>
  <c r="AF624"/>
  <c r="AG624"/>
  <c r="AH624"/>
  <c r="AI624"/>
  <c r="AJ624"/>
  <c r="AK624"/>
  <c r="AM624"/>
  <c r="AN624"/>
  <c r="AO624"/>
  <c r="AC625"/>
  <c r="AD625"/>
  <c r="AE625"/>
  <c r="AF625"/>
  <c r="AG625"/>
  <c r="AH625"/>
  <c r="AI625"/>
  <c r="AJ625"/>
  <c r="AK625"/>
  <c r="AM625"/>
  <c r="AN625"/>
  <c r="AO625"/>
  <c r="AC626"/>
  <c r="AD626"/>
  <c r="AE626"/>
  <c r="AF626"/>
  <c r="AG626"/>
  <c r="AH626"/>
  <c r="AI626"/>
  <c r="AJ626"/>
  <c r="AK626"/>
  <c r="AM626"/>
  <c r="AN626"/>
  <c r="AO626"/>
  <c r="AC627"/>
  <c r="AD627"/>
  <c r="AE627"/>
  <c r="AF627"/>
  <c r="AG627"/>
  <c r="AH627"/>
  <c r="AI627"/>
  <c r="AJ627"/>
  <c r="AK627"/>
  <c r="AM627"/>
  <c r="AN627"/>
  <c r="AO627"/>
  <c r="AC628"/>
  <c r="AD628"/>
  <c r="AE628"/>
  <c r="AF628"/>
  <c r="AG628"/>
  <c r="AH628"/>
  <c r="AI628"/>
  <c r="AJ628"/>
  <c r="AK628"/>
  <c r="AM628"/>
  <c r="AN628"/>
  <c r="AO628"/>
  <c r="AC629"/>
  <c r="AD629"/>
  <c r="AE629"/>
  <c r="AF629"/>
  <c r="AG629"/>
  <c r="AH629"/>
  <c r="AI629"/>
  <c r="AJ629"/>
  <c r="AK629"/>
  <c r="AM629"/>
  <c r="AN629"/>
  <c r="AO629"/>
  <c r="AC630"/>
  <c r="AD630"/>
  <c r="AE630"/>
  <c r="AF630"/>
  <c r="AG630"/>
  <c r="AH630"/>
  <c r="AI630"/>
  <c r="AJ630"/>
  <c r="AK630"/>
  <c r="AM630"/>
  <c r="AN630"/>
  <c r="AO630"/>
  <c r="AC631"/>
  <c r="AD631"/>
  <c r="AE631"/>
  <c r="AF631"/>
  <c r="AG631"/>
  <c r="AH631"/>
  <c r="AI631"/>
  <c r="AJ631"/>
  <c r="AK631"/>
  <c r="AM631"/>
  <c r="AN631"/>
  <c r="AO631"/>
  <c r="AC632"/>
  <c r="AD632"/>
  <c r="AE632"/>
  <c r="AF632"/>
  <c r="AG632"/>
  <c r="AH632"/>
  <c r="AI632"/>
  <c r="AJ632"/>
  <c r="AK632"/>
  <c r="AM632"/>
  <c r="AN632"/>
  <c r="AO632"/>
  <c r="AC633"/>
  <c r="AD633"/>
  <c r="AE633"/>
  <c r="AF633"/>
  <c r="AG633"/>
  <c r="AH633"/>
  <c r="AI633"/>
  <c r="AJ633"/>
  <c r="AK633"/>
  <c r="AM633"/>
  <c r="AN633"/>
  <c r="AO633"/>
  <c r="AC634"/>
  <c r="AD634"/>
  <c r="AE634"/>
  <c r="AF634"/>
  <c r="AG634"/>
  <c r="AH634"/>
  <c r="AI634"/>
  <c r="AJ634"/>
  <c r="AK634"/>
  <c r="AM634"/>
  <c r="AN634"/>
  <c r="AO634"/>
  <c r="AC635"/>
  <c r="AD635"/>
  <c r="AE635"/>
  <c r="AF635"/>
  <c r="AG635"/>
  <c r="AH635"/>
  <c r="AI635"/>
  <c r="AJ635"/>
  <c r="AK635"/>
  <c r="AM635"/>
  <c r="AN635"/>
  <c r="AO635"/>
  <c r="AC636"/>
  <c r="AD636"/>
  <c r="AE636"/>
  <c r="AF636"/>
  <c r="AG636"/>
  <c r="AH636"/>
  <c r="AI636"/>
  <c r="AJ636"/>
  <c r="AK636"/>
  <c r="AM636"/>
  <c r="AN636"/>
  <c r="AO636"/>
  <c r="AC637"/>
  <c r="AD637"/>
  <c r="AE637"/>
  <c r="AF637"/>
  <c r="AG637"/>
  <c r="AH637"/>
  <c r="AI637"/>
  <c r="AJ637"/>
  <c r="AK637"/>
  <c r="AM637"/>
  <c r="AN637"/>
  <c r="AO637"/>
  <c r="AC638"/>
  <c r="AD638"/>
  <c r="AE638"/>
  <c r="AF638"/>
  <c r="AG638"/>
  <c r="AH638"/>
  <c r="AI638"/>
  <c r="AJ638"/>
  <c r="AK638"/>
  <c r="AM638"/>
  <c r="AN638"/>
  <c r="AO638"/>
  <c r="AC639"/>
  <c r="AD639"/>
  <c r="AE639"/>
  <c r="AF639"/>
  <c r="AG639"/>
  <c r="AH639"/>
  <c r="AI639"/>
  <c r="AJ639"/>
  <c r="AK639"/>
  <c r="AM639"/>
  <c r="AN639"/>
  <c r="AO639"/>
  <c r="AC640"/>
  <c r="AD640"/>
  <c r="AE640"/>
  <c r="AF640"/>
  <c r="AG640"/>
  <c r="AH640"/>
  <c r="AI640"/>
  <c r="AJ640"/>
  <c r="AK640"/>
  <c r="AM640"/>
  <c r="AN640"/>
  <c r="AO640"/>
  <c r="AC641"/>
  <c r="AD641"/>
  <c r="AE641"/>
  <c r="AF641"/>
  <c r="AG641"/>
  <c r="AH641"/>
  <c r="AI641"/>
  <c r="AJ641"/>
  <c r="AK641"/>
  <c r="AM641"/>
  <c r="AN641"/>
  <c r="AO641"/>
  <c r="AC642"/>
  <c r="AD642"/>
  <c r="AE642"/>
  <c r="AF642"/>
  <c r="AG642"/>
  <c r="AH642"/>
  <c r="AI642"/>
  <c r="AJ642"/>
  <c r="AK642"/>
  <c r="AM642"/>
  <c r="AN642"/>
  <c r="AO642"/>
  <c r="AC643"/>
  <c r="AD643"/>
  <c r="AE643"/>
  <c r="AF643"/>
  <c r="AG643"/>
  <c r="AH643"/>
  <c r="AI643"/>
  <c r="AJ643"/>
  <c r="AK643"/>
  <c r="AM643"/>
  <c r="AN643"/>
  <c r="AO643"/>
  <c r="AC644"/>
  <c r="AD644"/>
  <c r="AE644"/>
  <c r="AF644"/>
  <c r="AG644"/>
  <c r="AH644"/>
  <c r="AI644"/>
  <c r="AJ644"/>
  <c r="AK644"/>
  <c r="AM644"/>
  <c r="AN644"/>
  <c r="AO644"/>
  <c r="AC645"/>
  <c r="AD645"/>
  <c r="AE645"/>
  <c r="AF645"/>
  <c r="AG645"/>
  <c r="AH645"/>
  <c r="AI645"/>
  <c r="AJ645"/>
  <c r="AK645"/>
  <c r="AM645"/>
  <c r="AN645"/>
  <c r="AO645"/>
  <c r="AC646"/>
  <c r="AD646"/>
  <c r="AE646"/>
  <c r="AF646"/>
  <c r="AG646"/>
  <c r="AH646"/>
  <c r="AI646"/>
  <c r="AJ646"/>
  <c r="AK646"/>
  <c r="AM646"/>
  <c r="AN646"/>
  <c r="AO646"/>
  <c r="AC647"/>
  <c r="AD647"/>
  <c r="AE647"/>
  <c r="AF647"/>
  <c r="AG647"/>
  <c r="AH647"/>
  <c r="AI647"/>
  <c r="AJ647"/>
  <c r="AK647"/>
  <c r="AM647"/>
  <c r="AN647"/>
  <c r="AO647"/>
  <c r="AC648"/>
  <c r="AD648"/>
  <c r="AE648"/>
  <c r="AF648"/>
  <c r="AG648"/>
  <c r="AH648"/>
  <c r="AI648"/>
  <c r="AJ648"/>
  <c r="AK648"/>
  <c r="AM648"/>
  <c r="AN648"/>
  <c r="AO648"/>
  <c r="AC649"/>
  <c r="AD649"/>
  <c r="AE649"/>
  <c r="AF649"/>
  <c r="AG649"/>
  <c r="AH649"/>
  <c r="AI649"/>
  <c r="AJ649"/>
  <c r="AK649"/>
  <c r="AM649"/>
  <c r="AN649"/>
  <c r="AO649"/>
  <c r="AC650"/>
  <c r="AD650"/>
  <c r="AE650"/>
  <c r="AF650"/>
  <c r="AG650"/>
  <c r="AH650"/>
  <c r="AI650"/>
  <c r="AJ650"/>
  <c r="AK650"/>
  <c r="AM650"/>
  <c r="AN650"/>
  <c r="AO650"/>
  <c r="AC651"/>
  <c r="AD651"/>
  <c r="AE651"/>
  <c r="AF651"/>
  <c r="AG651"/>
  <c r="AH651"/>
  <c r="AI651"/>
  <c r="AJ651"/>
  <c r="AK651"/>
  <c r="AM651"/>
  <c r="AN651"/>
  <c r="AO651"/>
  <c r="AC652"/>
  <c r="AD652"/>
  <c r="AE652"/>
  <c r="AF652"/>
  <c r="AG652"/>
  <c r="AH652"/>
  <c r="AI652"/>
  <c r="AJ652"/>
  <c r="AK652"/>
  <c r="AM652"/>
  <c r="AN652"/>
  <c r="AO652"/>
  <c r="AC653"/>
  <c r="AD653"/>
  <c r="AE653"/>
  <c r="AF653"/>
  <c r="AG653"/>
  <c r="AH653"/>
  <c r="AI653"/>
  <c r="AJ653"/>
  <c r="AK653"/>
  <c r="AM653"/>
  <c r="AN653"/>
  <c r="AO653"/>
  <c r="AC654"/>
  <c r="AD654"/>
  <c r="AE654"/>
  <c r="AF654"/>
  <c r="AG654"/>
  <c r="AH654"/>
  <c r="AI654"/>
  <c r="AJ654"/>
  <c r="AK654"/>
  <c r="AM654"/>
  <c r="AN654"/>
  <c r="AO654"/>
  <c r="AC655"/>
  <c r="AD655"/>
  <c r="AE655"/>
  <c r="AF655"/>
  <c r="AG655"/>
  <c r="AH655"/>
  <c r="AI655"/>
  <c r="AJ655"/>
  <c r="AK655"/>
  <c r="AM655"/>
  <c r="AN655"/>
  <c r="AO655"/>
  <c r="AC656"/>
  <c r="AD656"/>
  <c r="AE656"/>
  <c r="AF656"/>
  <c r="AG656"/>
  <c r="AH656"/>
  <c r="AI656"/>
  <c r="AJ656"/>
  <c r="AK656"/>
  <c r="AM656"/>
  <c r="AN656"/>
  <c r="AO656"/>
  <c r="AC657"/>
  <c r="AD657"/>
  <c r="AE657"/>
  <c r="AF657"/>
  <c r="AG657"/>
  <c r="AH657"/>
  <c r="AI657"/>
  <c r="AJ657"/>
  <c r="AK657"/>
  <c r="AM657"/>
  <c r="AN657"/>
  <c r="AO657"/>
  <c r="AC658"/>
  <c r="AD658"/>
  <c r="AE658"/>
  <c r="AF658"/>
  <c r="AG658"/>
  <c r="AH658"/>
  <c r="AI658"/>
  <c r="AJ658"/>
  <c r="AK658"/>
  <c r="AM658"/>
  <c r="AN658"/>
  <c r="AO658"/>
  <c r="AC659"/>
  <c r="AD659"/>
  <c r="AE659"/>
  <c r="AF659"/>
  <c r="AG659"/>
  <c r="AH659"/>
  <c r="AI659"/>
  <c r="AJ659"/>
  <c r="AK659"/>
  <c r="AM659"/>
  <c r="AN659"/>
  <c r="AO659"/>
  <c r="AC660"/>
  <c r="AD660"/>
  <c r="AE660"/>
  <c r="AF660"/>
  <c r="AG660"/>
  <c r="AH660"/>
  <c r="AI660"/>
  <c r="AJ660"/>
  <c r="AK660"/>
  <c r="AM660"/>
  <c r="AN660"/>
  <c r="AO660"/>
  <c r="AC661"/>
  <c r="AD661"/>
  <c r="AE661"/>
  <c r="AF661"/>
  <c r="AG661"/>
  <c r="AH661"/>
  <c r="AI661"/>
  <c r="AJ661"/>
  <c r="AK661"/>
  <c r="AM661"/>
  <c r="AN661"/>
  <c r="AO661"/>
  <c r="AC662"/>
  <c r="AD662"/>
  <c r="AE662"/>
  <c r="AF662"/>
  <c r="AG662"/>
  <c r="AH662"/>
  <c r="AI662"/>
  <c r="AJ662"/>
  <c r="AK662"/>
  <c r="AM662"/>
  <c r="AN662"/>
  <c r="AO662"/>
  <c r="AC663"/>
  <c r="AD663"/>
  <c r="AE663"/>
  <c r="AF663"/>
  <c r="AG663"/>
  <c r="AH663"/>
  <c r="AI663"/>
  <c r="AJ663"/>
  <c r="AK663"/>
  <c r="AM663"/>
  <c r="AN663"/>
  <c r="AO663"/>
  <c r="AC664"/>
  <c r="AD664"/>
  <c r="AE664"/>
  <c r="AF664"/>
  <c r="AG664"/>
  <c r="AH664"/>
  <c r="AI664"/>
  <c r="AJ664"/>
  <c r="AK664"/>
  <c r="AM664"/>
  <c r="AN664"/>
  <c r="AO664"/>
  <c r="AC665"/>
  <c r="AD665"/>
  <c r="AE665"/>
  <c r="AF665"/>
  <c r="AG665"/>
  <c r="AH665"/>
  <c r="AI665"/>
  <c r="AJ665"/>
  <c r="AK665"/>
  <c r="AM665"/>
  <c r="AN665"/>
  <c r="AO665"/>
  <c r="AC666"/>
  <c r="AD666"/>
  <c r="AE666"/>
  <c r="AF666"/>
  <c r="AG666"/>
  <c r="AH666"/>
  <c r="AI666"/>
  <c r="AJ666"/>
  <c r="AK666"/>
  <c r="AM666"/>
  <c r="AN666"/>
  <c r="AO666"/>
  <c r="AC667"/>
  <c r="AD667"/>
  <c r="AE667"/>
  <c r="AF667"/>
  <c r="AG667"/>
  <c r="AH667"/>
  <c r="AI667"/>
  <c r="AJ667"/>
  <c r="AK667"/>
  <c r="AM667"/>
  <c r="AN667"/>
  <c r="AO667"/>
  <c r="AC668"/>
  <c r="AD668"/>
  <c r="AE668"/>
  <c r="AF668"/>
  <c r="AG668"/>
  <c r="AH668"/>
  <c r="AI668"/>
  <c r="AJ668"/>
  <c r="AK668"/>
  <c r="AM668"/>
  <c r="AN668"/>
  <c r="AO668"/>
  <c r="AC669"/>
  <c r="AD669"/>
  <c r="AE669"/>
  <c r="AF669"/>
  <c r="AG669"/>
  <c r="AH669"/>
  <c r="AI669"/>
  <c r="AJ669"/>
  <c r="AK669"/>
  <c r="AM669"/>
  <c r="AN669"/>
  <c r="AO669"/>
  <c r="AC670"/>
  <c r="AD670"/>
  <c r="AE670"/>
  <c r="AF670"/>
  <c r="AG670"/>
  <c r="AH670"/>
  <c r="AI670"/>
  <c r="AJ670"/>
  <c r="AK670"/>
  <c r="AM670"/>
  <c r="AN670"/>
  <c r="AO670"/>
  <c r="AC671"/>
  <c r="AD671"/>
  <c r="AE671"/>
  <c r="AF671"/>
  <c r="AG671"/>
  <c r="AH671"/>
  <c r="AI671"/>
  <c r="AJ671"/>
  <c r="AK671"/>
  <c r="AM671"/>
  <c r="AN671"/>
  <c r="AO671"/>
  <c r="AC672"/>
  <c r="AD672"/>
  <c r="AE672"/>
  <c r="AF672"/>
  <c r="AG672"/>
  <c r="AH672"/>
  <c r="AI672"/>
  <c r="AJ672"/>
  <c r="AK672"/>
  <c r="AM672"/>
  <c r="AN672"/>
  <c r="AO672"/>
  <c r="AC673"/>
  <c r="AD673"/>
  <c r="AE673"/>
  <c r="AF673"/>
  <c r="AG673"/>
  <c r="AH673"/>
  <c r="AI673"/>
  <c r="AJ673"/>
  <c r="AK673"/>
  <c r="AM673"/>
  <c r="AN673"/>
  <c r="AO673"/>
  <c r="AC674"/>
  <c r="AD674"/>
  <c r="AE674"/>
  <c r="AF674"/>
  <c r="AG674"/>
  <c r="AH674"/>
  <c r="AI674"/>
  <c r="AJ674"/>
  <c r="AK674"/>
  <c r="AM674"/>
  <c r="AN674"/>
  <c r="AO674"/>
  <c r="AC675"/>
  <c r="AD675"/>
  <c r="AE675"/>
  <c r="AF675"/>
  <c r="AG675"/>
  <c r="AH675"/>
  <c r="AI675"/>
  <c r="AJ675"/>
  <c r="AK675"/>
  <c r="AM675"/>
  <c r="AN675"/>
  <c r="AO675"/>
  <c r="AC676"/>
  <c r="AD676"/>
  <c r="AE676"/>
  <c r="AF676"/>
  <c r="AG676"/>
  <c r="AH676"/>
  <c r="AI676"/>
  <c r="AJ676"/>
  <c r="AK676"/>
  <c r="AM676"/>
  <c r="AN676"/>
  <c r="AO676"/>
  <c r="AC677"/>
  <c r="AD677"/>
  <c r="AE677"/>
  <c r="AF677"/>
  <c r="AG677"/>
  <c r="AH677"/>
  <c r="AI677"/>
  <c r="AJ677"/>
  <c r="AK677"/>
  <c r="AM677"/>
  <c r="AN677"/>
  <c r="AO677"/>
  <c r="AC678"/>
  <c r="AD678"/>
  <c r="AE678"/>
  <c r="AF678"/>
  <c r="AG678"/>
  <c r="AH678"/>
  <c r="AI678"/>
  <c r="AJ678"/>
  <c r="AK678"/>
  <c r="AM678"/>
  <c r="AN678"/>
  <c r="AO678"/>
  <c r="AC679"/>
  <c r="AD679"/>
  <c r="AE679"/>
  <c r="AF679"/>
  <c r="AG679"/>
  <c r="AH679"/>
  <c r="AI679"/>
  <c r="AJ679"/>
  <c r="AK679"/>
  <c r="AM679"/>
  <c r="AN679"/>
  <c r="AO679"/>
  <c r="AC680"/>
  <c r="AD680"/>
  <c r="AE680"/>
  <c r="AF680"/>
  <c r="AG680"/>
  <c r="AH680"/>
  <c r="AI680"/>
  <c r="AJ680"/>
  <c r="AK680"/>
  <c r="AM680"/>
  <c r="AN680"/>
  <c r="AO680"/>
  <c r="AC681"/>
  <c r="AD681"/>
  <c r="AE681"/>
  <c r="AF681"/>
  <c r="AG681"/>
  <c r="AH681"/>
  <c r="AI681"/>
  <c r="AJ681"/>
  <c r="AK681"/>
  <c r="AM681"/>
  <c r="AN681"/>
  <c r="AO681"/>
  <c r="AC682"/>
  <c r="AD682"/>
  <c r="AE682"/>
  <c r="AF682"/>
  <c r="AG682"/>
  <c r="AH682"/>
  <c r="AI682"/>
  <c r="AJ682"/>
  <c r="AK682"/>
  <c r="AM682"/>
  <c r="AN682"/>
  <c r="AO682"/>
  <c r="AC683"/>
  <c r="AD683"/>
  <c r="AE683"/>
  <c r="AF683"/>
  <c r="AG683"/>
  <c r="AH683"/>
  <c r="AI683"/>
  <c r="AJ683"/>
  <c r="AK683"/>
  <c r="AM683"/>
  <c r="AN683"/>
  <c r="AO683"/>
  <c r="AC684"/>
  <c r="AD684"/>
  <c r="AE684"/>
  <c r="AF684"/>
  <c r="AG684"/>
  <c r="AH684"/>
  <c r="AI684"/>
  <c r="AJ684"/>
  <c r="AK684"/>
  <c r="AM684"/>
  <c r="AN684"/>
  <c r="AO684"/>
  <c r="AC685"/>
  <c r="AD685"/>
  <c r="AE685"/>
  <c r="AF685"/>
  <c r="AG685"/>
  <c r="AH685"/>
  <c r="AI685"/>
  <c r="AJ685"/>
  <c r="AK685"/>
  <c r="AM685"/>
  <c r="AN685"/>
  <c r="AO685"/>
  <c r="AC686"/>
  <c r="AD686"/>
  <c r="AE686"/>
  <c r="AF686"/>
  <c r="AG686"/>
  <c r="AH686"/>
  <c r="AI686"/>
  <c r="AJ686"/>
  <c r="AK686"/>
  <c r="AM686"/>
  <c r="AN686"/>
  <c r="AO686"/>
  <c r="AC687"/>
  <c r="AD687"/>
  <c r="AE687"/>
  <c r="AF687"/>
  <c r="AG687"/>
  <c r="AH687"/>
  <c r="AI687"/>
  <c r="AJ687"/>
  <c r="AK687"/>
  <c r="AM687"/>
  <c r="AN687"/>
  <c r="AO687"/>
  <c r="AC688"/>
  <c r="AD688"/>
  <c r="AE688"/>
  <c r="AF688"/>
  <c r="AG688"/>
  <c r="AH688"/>
  <c r="AI688"/>
  <c r="AJ688"/>
  <c r="AK688"/>
  <c r="AM688"/>
  <c r="AN688"/>
  <c r="AO688"/>
  <c r="AC689"/>
  <c r="AD689"/>
  <c r="AE689"/>
  <c r="AF689"/>
  <c r="AG689"/>
  <c r="AH689"/>
  <c r="AI689"/>
  <c r="AJ689"/>
  <c r="AK689"/>
  <c r="AM689"/>
  <c r="AN689"/>
  <c r="AO689"/>
  <c r="AC690"/>
  <c r="AD690"/>
  <c r="AE690"/>
  <c r="AF690"/>
  <c r="AG690"/>
  <c r="AH690"/>
  <c r="AI690"/>
  <c r="AJ690"/>
  <c r="AK690"/>
  <c r="AM690"/>
  <c r="AN690"/>
  <c r="AO690"/>
  <c r="AC691"/>
  <c r="AD691"/>
  <c r="AE691"/>
  <c r="AF691"/>
  <c r="AG691"/>
  <c r="AH691"/>
  <c r="AI691"/>
  <c r="AJ691"/>
  <c r="AK691"/>
  <c r="AM691"/>
  <c r="AN691"/>
  <c r="AO691"/>
  <c r="AC692"/>
  <c r="AD692"/>
  <c r="AE692"/>
  <c r="AF692"/>
  <c r="AG692"/>
  <c r="AH692"/>
  <c r="AI692"/>
  <c r="AJ692"/>
  <c r="AK692"/>
  <c r="AM692"/>
  <c r="AN692"/>
  <c r="AO692"/>
  <c r="AC693"/>
  <c r="AD693"/>
  <c r="AE693"/>
  <c r="AF693"/>
  <c r="AG693"/>
  <c r="AH693"/>
  <c r="AI693"/>
  <c r="AJ693"/>
  <c r="AK693"/>
  <c r="AM693"/>
  <c r="AN693"/>
  <c r="AO693"/>
  <c r="AC694"/>
  <c r="AD694"/>
  <c r="AE694"/>
  <c r="AF694"/>
  <c r="AG694"/>
  <c r="AH694"/>
  <c r="AI694"/>
  <c r="AJ694"/>
  <c r="AK694"/>
  <c r="AM694"/>
  <c r="AN694"/>
  <c r="AO694"/>
  <c r="AC695"/>
  <c r="AD695"/>
  <c r="AE695"/>
  <c r="AF695"/>
  <c r="AG695"/>
  <c r="AH695"/>
  <c r="AI695"/>
  <c r="AJ695"/>
  <c r="AK695"/>
  <c r="AM695"/>
  <c r="AN695"/>
  <c r="AO695"/>
  <c r="AC696"/>
  <c r="AD696"/>
  <c r="AE696"/>
  <c r="AF696"/>
  <c r="AG696"/>
  <c r="AH696"/>
  <c r="AI696"/>
  <c r="AJ696"/>
  <c r="AK696"/>
  <c r="AM696"/>
  <c r="AN696"/>
  <c r="AO696"/>
  <c r="AC697"/>
  <c r="AD697"/>
  <c r="AE697"/>
  <c r="AF697"/>
  <c r="AG697"/>
  <c r="AH697"/>
  <c r="AI697"/>
  <c r="AJ697"/>
  <c r="AK697"/>
  <c r="AM697"/>
  <c r="AN697"/>
  <c r="AO697"/>
  <c r="AC698"/>
  <c r="AD698"/>
  <c r="AE698"/>
  <c r="AF698"/>
  <c r="AG698"/>
  <c r="AH698"/>
  <c r="AI698"/>
  <c r="AJ698"/>
  <c r="AK698"/>
  <c r="AM698"/>
  <c r="AN698"/>
  <c r="AO698"/>
  <c r="AC699"/>
  <c r="AD699"/>
  <c r="AE699"/>
  <c r="AF699"/>
  <c r="AG699"/>
  <c r="AH699"/>
  <c r="AI699"/>
  <c r="AJ699"/>
  <c r="AK699"/>
  <c r="AM699"/>
  <c r="AN699"/>
  <c r="AO699"/>
  <c r="AC700"/>
  <c r="AD700"/>
  <c r="AE700"/>
  <c r="AF700"/>
  <c r="AG700"/>
  <c r="AH700"/>
  <c r="AI700"/>
  <c r="AJ700"/>
  <c r="AK700"/>
  <c r="AM700"/>
  <c r="AN700"/>
  <c r="AO700"/>
  <c r="AC701"/>
  <c r="AD701"/>
  <c r="AE701"/>
  <c r="AF701"/>
  <c r="AG701"/>
  <c r="AH701"/>
  <c r="AI701"/>
  <c r="AJ701"/>
  <c r="AK701"/>
  <c r="AM701"/>
  <c r="AN701"/>
  <c r="AO701"/>
  <c r="AC702"/>
  <c r="AD702"/>
  <c r="AE702"/>
  <c r="AF702"/>
  <c r="AG702"/>
  <c r="AH702"/>
  <c r="AI702"/>
  <c r="AJ702"/>
  <c r="AK702"/>
  <c r="AM702"/>
  <c r="AN702"/>
  <c r="AO702"/>
  <c r="AC703"/>
  <c r="AD703"/>
  <c r="AE703"/>
  <c r="AF703"/>
  <c r="AG703"/>
  <c r="AH703"/>
  <c r="AI703"/>
  <c r="AJ703"/>
  <c r="AK703"/>
  <c r="AM703"/>
  <c r="AN703"/>
  <c r="AO703"/>
  <c r="AC704"/>
  <c r="AD704"/>
  <c r="AE704"/>
  <c r="AF704"/>
  <c r="AG704"/>
  <c r="AH704"/>
  <c r="AI704"/>
  <c r="AJ704"/>
  <c r="AK704"/>
  <c r="AM704"/>
  <c r="AN704"/>
  <c r="AO704"/>
  <c r="AC705"/>
  <c r="AD705"/>
  <c r="AE705"/>
  <c r="AF705"/>
  <c r="AG705"/>
  <c r="AH705"/>
  <c r="AI705"/>
  <c r="AJ705"/>
  <c r="AK705"/>
  <c r="AM705"/>
  <c r="AN705"/>
  <c r="AO705"/>
  <c r="AC706"/>
  <c r="AD706"/>
  <c r="AE706"/>
  <c r="AF706"/>
  <c r="AG706"/>
  <c r="AH706"/>
  <c r="AI706"/>
  <c r="AJ706"/>
  <c r="AK706"/>
  <c r="AM706"/>
  <c r="AN706"/>
  <c r="AO706"/>
  <c r="AC707"/>
  <c r="AD707"/>
  <c r="AE707"/>
  <c r="AF707"/>
  <c r="AG707"/>
  <c r="AH707"/>
  <c r="AI707"/>
  <c r="AJ707"/>
  <c r="AK707"/>
  <c r="AM707"/>
  <c r="AN707"/>
  <c r="AO707"/>
  <c r="AC708"/>
  <c r="AD708"/>
  <c r="AE708"/>
  <c r="AF708"/>
  <c r="AG708"/>
  <c r="AH708"/>
  <c r="AI708"/>
  <c r="AJ708"/>
  <c r="AK708"/>
  <c r="AM708"/>
  <c r="AN708"/>
  <c r="AO708"/>
  <c r="AC709"/>
  <c r="AD709"/>
  <c r="AE709"/>
  <c r="AF709"/>
  <c r="AG709"/>
  <c r="AH709"/>
  <c r="AI709"/>
  <c r="AJ709"/>
  <c r="AK709"/>
  <c r="AM709"/>
  <c r="AN709"/>
  <c r="AO709"/>
  <c r="AC710"/>
  <c r="AD710"/>
  <c r="AE710"/>
  <c r="AF710"/>
  <c r="AG710"/>
  <c r="AH710"/>
  <c r="AI710"/>
  <c r="AJ710"/>
  <c r="AK710"/>
  <c r="AM710"/>
  <c r="AN710"/>
  <c r="AO710"/>
  <c r="AC711"/>
  <c r="AD711"/>
  <c r="AE711"/>
  <c r="AF711"/>
  <c r="AG711"/>
  <c r="AH711"/>
  <c r="AI711"/>
  <c r="AJ711"/>
  <c r="AK711"/>
  <c r="AM711"/>
  <c r="AN711"/>
  <c r="AO711"/>
  <c r="AC712"/>
  <c r="AD712"/>
  <c r="AE712"/>
  <c r="AF712"/>
  <c r="AG712"/>
  <c r="AH712"/>
  <c r="AI712"/>
  <c r="AJ712"/>
  <c r="AK712"/>
  <c r="AM712"/>
  <c r="AN712"/>
  <c r="AO712"/>
  <c r="AC713"/>
  <c r="AD713"/>
  <c r="AE713"/>
  <c r="AF713"/>
  <c r="AG713"/>
  <c r="AH713"/>
  <c r="AI713"/>
  <c r="AJ713"/>
  <c r="AK713"/>
  <c r="AM713"/>
  <c r="AN713"/>
  <c r="AO713"/>
  <c r="AC714"/>
  <c r="AD714"/>
  <c r="AE714"/>
  <c r="AF714"/>
  <c r="AG714"/>
  <c r="AH714"/>
  <c r="AI714"/>
  <c r="AJ714"/>
  <c r="AK714"/>
  <c r="AM714"/>
  <c r="AN714"/>
  <c r="AO714"/>
  <c r="AC715"/>
  <c r="AD715"/>
  <c r="AE715"/>
  <c r="AF715"/>
  <c r="AG715"/>
  <c r="AH715"/>
  <c r="AI715"/>
  <c r="AJ715"/>
  <c r="AK715"/>
  <c r="AM715"/>
  <c r="AN715"/>
  <c r="AO715"/>
  <c r="AC716"/>
  <c r="AD716"/>
  <c r="AE716"/>
  <c r="AF716"/>
  <c r="AG716"/>
  <c r="AH716"/>
  <c r="AI716"/>
  <c r="AJ716"/>
  <c r="AK716"/>
  <c r="AM716"/>
  <c r="AN716"/>
  <c r="AO716"/>
  <c r="AC717"/>
  <c r="AD717"/>
  <c r="AE717"/>
  <c r="AF717"/>
  <c r="AG717"/>
  <c r="AH717"/>
  <c r="AI717"/>
  <c r="AJ717"/>
  <c r="AK717"/>
  <c r="AM717"/>
  <c r="AN717"/>
  <c r="AO717"/>
  <c r="AC718"/>
  <c r="AD718"/>
  <c r="AE718"/>
  <c r="AF718"/>
  <c r="AG718"/>
  <c r="AH718"/>
  <c r="AI718"/>
  <c r="AJ718"/>
  <c r="AK718"/>
  <c r="AM718"/>
  <c r="AN718"/>
  <c r="AO718"/>
  <c r="AC719"/>
  <c r="AD719"/>
  <c r="AE719"/>
  <c r="AF719"/>
  <c r="AG719"/>
  <c r="AH719"/>
  <c r="AI719"/>
  <c r="AJ719"/>
  <c r="AK719"/>
  <c r="AM719"/>
  <c r="AN719"/>
  <c r="AO719"/>
  <c r="AC720"/>
  <c r="AD720"/>
  <c r="AE720"/>
  <c r="AF720"/>
  <c r="AG720"/>
  <c r="AH720"/>
  <c r="AI720"/>
  <c r="AJ720"/>
  <c r="AK720"/>
  <c r="AM720"/>
  <c r="AN720"/>
  <c r="AO720"/>
  <c r="AC721"/>
  <c r="AD721"/>
  <c r="AE721"/>
  <c r="AF721"/>
  <c r="AG721"/>
  <c r="AH721"/>
  <c r="AI721"/>
  <c r="AJ721"/>
  <c r="AK721"/>
  <c r="AM721"/>
  <c r="AN721"/>
  <c r="AO721"/>
  <c r="AC722"/>
  <c r="AD722"/>
  <c r="AE722"/>
  <c r="AF722"/>
  <c r="AG722"/>
  <c r="AH722"/>
  <c r="AI722"/>
  <c r="AJ722"/>
  <c r="AK722"/>
  <c r="AM722"/>
  <c r="AN722"/>
  <c r="AO722"/>
  <c r="AC723"/>
  <c r="AD723"/>
  <c r="AE723"/>
  <c r="AF723"/>
  <c r="AG723"/>
  <c r="AH723"/>
  <c r="AI723"/>
  <c r="AJ723"/>
  <c r="AK723"/>
  <c r="AM723"/>
  <c r="AN723"/>
  <c r="AO723"/>
  <c r="AC724"/>
  <c r="AD724"/>
  <c r="AE724"/>
  <c r="AF724"/>
  <c r="AG724"/>
  <c r="AH724"/>
  <c r="AI724"/>
  <c r="AJ724"/>
  <c r="AK724"/>
  <c r="AM724"/>
  <c r="AN724"/>
  <c r="AO724"/>
  <c r="AC725"/>
  <c r="AD725"/>
  <c r="AE725"/>
  <c r="AF725"/>
  <c r="AG725"/>
  <c r="AH725"/>
  <c r="AI725"/>
  <c r="AJ725"/>
  <c r="AK725"/>
  <c r="AM725"/>
  <c r="AN725"/>
  <c r="AO725"/>
  <c r="AC726"/>
  <c r="AD726"/>
  <c r="AE726"/>
  <c r="AF726"/>
  <c r="AG726"/>
  <c r="AH726"/>
  <c r="AI726"/>
  <c r="AJ726"/>
  <c r="AK726"/>
  <c r="AM726"/>
  <c r="AN726"/>
  <c r="AO726"/>
  <c r="AC727"/>
  <c r="AD727"/>
  <c r="AE727"/>
  <c r="AF727"/>
  <c r="AG727"/>
  <c r="AH727"/>
  <c r="AI727"/>
  <c r="AJ727"/>
  <c r="AK727"/>
  <c r="AM727"/>
  <c r="AN727"/>
  <c r="AO727"/>
  <c r="AC728"/>
  <c r="AD728"/>
  <c r="AE728"/>
  <c r="AF728"/>
  <c r="AG728"/>
  <c r="AH728"/>
  <c r="AI728"/>
  <c r="AJ728"/>
  <c r="AK728"/>
  <c r="AM728"/>
  <c r="AN728"/>
  <c r="AO728"/>
  <c r="AC729"/>
  <c r="AD729"/>
  <c r="AE729"/>
  <c r="AF729"/>
  <c r="AG729"/>
  <c r="AH729"/>
  <c r="AI729"/>
  <c r="AJ729"/>
  <c r="AK729"/>
  <c r="AM729"/>
  <c r="AN729"/>
  <c r="AO729"/>
  <c r="AC730"/>
  <c r="AD730"/>
  <c r="AE730"/>
  <c r="AF730"/>
  <c r="AG730"/>
  <c r="AH730"/>
  <c r="AI730"/>
  <c r="AJ730"/>
  <c r="AK730"/>
  <c r="AM730"/>
  <c r="AN730"/>
  <c r="AO730"/>
  <c r="AC731"/>
  <c r="AD731"/>
  <c r="AE731"/>
  <c r="AF731"/>
  <c r="AG731"/>
  <c r="AH731"/>
  <c r="AI731"/>
  <c r="AJ731"/>
  <c r="AK731"/>
  <c r="AM731"/>
  <c r="AN731"/>
  <c r="AO731"/>
  <c r="AC732"/>
  <c r="AD732"/>
  <c r="AE732"/>
  <c r="AF732"/>
  <c r="AG732"/>
  <c r="AH732"/>
  <c r="AI732"/>
  <c r="AJ732"/>
  <c r="AK732"/>
  <c r="AM732"/>
  <c r="AN732"/>
  <c r="AO732"/>
  <c r="AC733"/>
  <c r="AD733"/>
  <c r="AE733"/>
  <c r="AF733"/>
  <c r="AG733"/>
  <c r="AH733"/>
  <c r="AI733"/>
  <c r="AJ733"/>
  <c r="AK733"/>
  <c r="AM733"/>
  <c r="AN733"/>
  <c r="AO733"/>
  <c r="AC734"/>
  <c r="AD734"/>
  <c r="AE734"/>
  <c r="AF734"/>
  <c r="AG734"/>
  <c r="AH734"/>
  <c r="AI734"/>
  <c r="AJ734"/>
  <c r="AK734"/>
  <c r="AM734"/>
  <c r="AN734"/>
  <c r="AO734"/>
  <c r="AC735"/>
  <c r="AD735"/>
  <c r="AE735"/>
  <c r="AF735"/>
  <c r="AG735"/>
  <c r="AH735"/>
  <c r="AI735"/>
  <c r="AJ735"/>
  <c r="AK735"/>
  <c r="AM735"/>
  <c r="AN735"/>
  <c r="AO735"/>
  <c r="AC736"/>
  <c r="AD736"/>
  <c r="AE736"/>
  <c r="AF736"/>
  <c r="AG736"/>
  <c r="AH736"/>
  <c r="AI736"/>
  <c r="AJ736"/>
  <c r="AK736"/>
  <c r="AM736"/>
  <c r="AN736"/>
  <c r="AO736"/>
  <c r="AC737"/>
  <c r="AD737"/>
  <c r="AE737"/>
  <c r="AF737"/>
  <c r="AG737"/>
  <c r="AH737"/>
  <c r="AI737"/>
  <c r="AJ737"/>
  <c r="AK737"/>
  <c r="AM737"/>
  <c r="AN737"/>
  <c r="AO737"/>
  <c r="AC738"/>
  <c r="AD738"/>
  <c r="AE738"/>
  <c r="AF738"/>
  <c r="AG738"/>
  <c r="AH738"/>
  <c r="AI738"/>
  <c r="AJ738"/>
  <c r="AK738"/>
  <c r="AM738"/>
  <c r="AN738"/>
  <c r="AO738"/>
  <c r="AC739"/>
  <c r="AD739"/>
  <c r="AE739"/>
  <c r="AF739"/>
  <c r="AG739"/>
  <c r="AH739"/>
  <c r="AI739"/>
  <c r="AJ739"/>
  <c r="AK739"/>
  <c r="AM739"/>
  <c r="AN739"/>
  <c r="AO739"/>
  <c r="AC740"/>
  <c r="AD740"/>
  <c r="AE740"/>
  <c r="AF740"/>
  <c r="AG740"/>
  <c r="AH740"/>
  <c r="AI740"/>
  <c r="AJ740"/>
  <c r="AK740"/>
  <c r="AM740"/>
  <c r="AN740"/>
  <c r="AO740"/>
  <c r="AC741"/>
  <c r="AD741"/>
  <c r="AE741"/>
  <c r="AF741"/>
  <c r="AG741"/>
  <c r="AH741"/>
  <c r="AI741"/>
  <c r="AJ741"/>
  <c r="AK741"/>
  <c r="AM741"/>
  <c r="AN741"/>
  <c r="AO741"/>
  <c r="AC742"/>
  <c r="AD742"/>
  <c r="AE742"/>
  <c r="AF742"/>
  <c r="AG742"/>
  <c r="AH742"/>
  <c r="AI742"/>
  <c r="AJ742"/>
  <c r="AK742"/>
  <c r="AM742"/>
  <c r="AN742"/>
  <c r="AO742"/>
  <c r="AC743"/>
  <c r="AD743"/>
  <c r="AE743"/>
  <c r="AF743"/>
  <c r="AG743"/>
  <c r="AH743"/>
  <c r="AI743"/>
  <c r="AJ743"/>
  <c r="AK743"/>
  <c r="AM743"/>
  <c r="AN743"/>
  <c r="AO743"/>
  <c r="AC744"/>
  <c r="AD744"/>
  <c r="AE744"/>
  <c r="AF744"/>
  <c r="AG744"/>
  <c r="AH744"/>
  <c r="AI744"/>
  <c r="AJ744"/>
  <c r="AK744"/>
  <c r="AM744"/>
  <c r="AN744"/>
  <c r="AO744"/>
  <c r="AC745"/>
  <c r="AD745"/>
  <c r="AE745"/>
  <c r="AF745"/>
  <c r="AG745"/>
  <c r="AH745"/>
  <c r="AI745"/>
  <c r="AJ745"/>
  <c r="AK745"/>
  <c r="AM745"/>
  <c r="AN745"/>
  <c r="AO745"/>
  <c r="AC746"/>
  <c r="AD746"/>
  <c r="AE746"/>
  <c r="AF746"/>
  <c r="AG746"/>
  <c r="AH746"/>
  <c r="AI746"/>
  <c r="AJ746"/>
  <c r="AK746"/>
  <c r="AM746"/>
  <c r="AN746"/>
  <c r="AO746"/>
  <c r="AC747"/>
  <c r="AD747"/>
  <c r="AE747"/>
  <c r="AF747"/>
  <c r="AG747"/>
  <c r="AH747"/>
  <c r="AI747"/>
  <c r="AJ747"/>
  <c r="AK747"/>
  <c r="AM747"/>
  <c r="AN747"/>
  <c r="AO747"/>
  <c r="AC748"/>
  <c r="AD748"/>
  <c r="AE748"/>
  <c r="AF748"/>
  <c r="AG748"/>
  <c r="AH748"/>
  <c r="AI748"/>
  <c r="AJ748"/>
  <c r="AK748"/>
  <c r="AM748"/>
  <c r="AN748"/>
  <c r="AO748"/>
  <c r="AC749"/>
  <c r="AD749"/>
  <c r="AE749"/>
  <c r="AF749"/>
  <c r="AG749"/>
  <c r="AH749"/>
  <c r="AI749"/>
  <c r="AJ749"/>
  <c r="AK749"/>
  <c r="AM749"/>
  <c r="AN749"/>
  <c r="AO749"/>
  <c r="AC750"/>
  <c r="AD750"/>
  <c r="AE750"/>
  <c r="AF750"/>
  <c r="AG750"/>
  <c r="AH750"/>
  <c r="AI750"/>
  <c r="AJ750"/>
  <c r="AK750"/>
  <c r="AM750"/>
  <c r="AN750"/>
  <c r="AO750"/>
  <c r="AC751"/>
  <c r="AD751"/>
  <c r="AE751"/>
  <c r="AF751"/>
  <c r="AG751"/>
  <c r="AH751"/>
  <c r="AI751"/>
  <c r="AJ751"/>
  <c r="AK751"/>
  <c r="AM751"/>
  <c r="AN751"/>
  <c r="AO751"/>
  <c r="AC752"/>
  <c r="AD752"/>
  <c r="AE752"/>
  <c r="AF752"/>
  <c r="AG752"/>
  <c r="AH752"/>
  <c r="AI752"/>
  <c r="AJ752"/>
  <c r="AK752"/>
  <c r="AM752"/>
  <c r="AN752"/>
  <c r="AO752"/>
  <c r="AC753"/>
  <c r="AD753"/>
  <c r="AE753"/>
  <c r="AF753"/>
  <c r="AG753"/>
  <c r="AH753"/>
  <c r="AI753"/>
  <c r="AJ753"/>
  <c r="AK753"/>
  <c r="AM753"/>
  <c r="AN753"/>
  <c r="AO753"/>
  <c r="AC754"/>
  <c r="AD754"/>
  <c r="AE754"/>
  <c r="AF754"/>
  <c r="AG754"/>
  <c r="AH754"/>
  <c r="AI754"/>
  <c r="AJ754"/>
  <c r="AK754"/>
  <c r="AM754"/>
  <c r="AN754"/>
  <c r="AO754"/>
  <c r="AC755"/>
  <c r="AD755"/>
  <c r="AE755"/>
  <c r="AF755"/>
  <c r="AG755"/>
  <c r="AH755"/>
  <c r="AI755"/>
  <c r="AJ755"/>
  <c r="AK755"/>
  <c r="AM755"/>
  <c r="AN755"/>
  <c r="AO755"/>
  <c r="AC756"/>
  <c r="AD756"/>
  <c r="AE756"/>
  <c r="AF756"/>
  <c r="AG756"/>
  <c r="AH756"/>
  <c r="AI756"/>
  <c r="AJ756"/>
  <c r="AK756"/>
  <c r="AM756"/>
  <c r="AN756"/>
  <c r="AO756"/>
  <c r="AC757"/>
  <c r="AD757"/>
  <c r="AE757"/>
  <c r="AF757"/>
  <c r="AG757"/>
  <c r="AH757"/>
  <c r="AI757"/>
  <c r="AJ757"/>
  <c r="AK757"/>
  <c r="AM757"/>
  <c r="AN757"/>
  <c r="AO757"/>
  <c r="AC758"/>
  <c r="AD758"/>
  <c r="AE758"/>
  <c r="AF758"/>
  <c r="AG758"/>
  <c r="AH758"/>
  <c r="AI758"/>
  <c r="AJ758"/>
  <c r="AK758"/>
  <c r="AM758"/>
  <c r="AN758"/>
  <c r="AO758"/>
  <c r="AC759"/>
  <c r="AD759"/>
  <c r="AE759"/>
  <c r="AF759"/>
  <c r="AG759"/>
  <c r="AH759"/>
  <c r="AI759"/>
  <c r="AJ759"/>
  <c r="AK759"/>
  <c r="AM759"/>
  <c r="AN759"/>
  <c r="AO759"/>
  <c r="AC760"/>
  <c r="AD760"/>
  <c r="AE760"/>
  <c r="AF760"/>
  <c r="AG760"/>
  <c r="AH760"/>
  <c r="AI760"/>
  <c r="AJ760"/>
  <c r="AK760"/>
  <c r="AM760"/>
  <c r="AN760"/>
  <c r="AO760"/>
  <c r="AC761"/>
  <c r="AD761"/>
  <c r="AE761"/>
  <c r="AF761"/>
  <c r="AG761"/>
  <c r="AH761"/>
  <c r="AI761"/>
  <c r="AJ761"/>
  <c r="AK761"/>
  <c r="AM761"/>
  <c r="AN761"/>
  <c r="AO761"/>
  <c r="AC762"/>
  <c r="AD762"/>
  <c r="AE762"/>
  <c r="AF762"/>
  <c r="AG762"/>
  <c r="AH762"/>
  <c r="AI762"/>
  <c r="AJ762"/>
  <c r="AK762"/>
  <c r="AM762"/>
  <c r="AN762"/>
  <c r="AO762"/>
  <c r="AC763"/>
  <c r="AD763"/>
  <c r="AE763"/>
  <c r="AF763"/>
  <c r="AG763"/>
  <c r="AH763"/>
  <c r="AI763"/>
  <c r="AJ763"/>
  <c r="AK763"/>
  <c r="AM763"/>
  <c r="AN763"/>
  <c r="AO763"/>
  <c r="AC764"/>
  <c r="AD764"/>
  <c r="AE764"/>
  <c r="AF764"/>
  <c r="AG764"/>
  <c r="AH764"/>
  <c r="AI764"/>
  <c r="AJ764"/>
  <c r="AK764"/>
  <c r="AM764"/>
  <c r="AN764"/>
  <c r="AO764"/>
  <c r="AC765"/>
  <c r="AD765"/>
  <c r="AE765"/>
  <c r="AF765"/>
  <c r="AG765"/>
  <c r="AH765"/>
  <c r="AI765"/>
  <c r="AJ765"/>
  <c r="AK765"/>
  <c r="AM765"/>
  <c r="AN765"/>
  <c r="AO765"/>
  <c r="AC766"/>
  <c r="AD766"/>
  <c r="AE766"/>
  <c r="AF766"/>
  <c r="AG766"/>
  <c r="AH766"/>
  <c r="AI766"/>
  <c r="AJ766"/>
  <c r="AK766"/>
  <c r="AM766"/>
  <c r="AN766"/>
  <c r="AO766"/>
  <c r="AC767"/>
  <c r="AD767"/>
  <c r="AE767"/>
  <c r="AF767"/>
  <c r="AG767"/>
  <c r="AH767"/>
  <c r="AI767"/>
  <c r="AJ767"/>
  <c r="AK767"/>
  <c r="AM767"/>
  <c r="AN767"/>
  <c r="AO767"/>
  <c r="AC768"/>
  <c r="AD768"/>
  <c r="AE768"/>
  <c r="AF768"/>
  <c r="AG768"/>
  <c r="AH768"/>
  <c r="AI768"/>
  <c r="AJ768"/>
  <c r="AK768"/>
  <c r="AM768"/>
  <c r="AN768"/>
  <c r="AO768"/>
  <c r="AC769"/>
  <c r="AD769"/>
  <c r="AE769"/>
  <c r="AF769"/>
  <c r="AG769"/>
  <c r="AH769"/>
  <c r="AI769"/>
  <c r="AJ769"/>
  <c r="AK769"/>
  <c r="AM769"/>
  <c r="AN769"/>
  <c r="AO769"/>
  <c r="AC770"/>
  <c r="AD770"/>
  <c r="AE770"/>
  <c r="AF770"/>
  <c r="AG770"/>
  <c r="AH770"/>
  <c r="AI770"/>
  <c r="AJ770"/>
  <c r="AK770"/>
  <c r="AM770"/>
  <c r="AN770"/>
  <c r="AO770"/>
  <c r="AC771"/>
  <c r="AD771"/>
  <c r="AE771"/>
  <c r="AF771"/>
  <c r="AG771"/>
  <c r="AH771"/>
  <c r="AI771"/>
  <c r="AJ771"/>
  <c r="AK771"/>
  <c r="AM771"/>
  <c r="AN771"/>
  <c r="AO771"/>
  <c r="AC772"/>
  <c r="AD772"/>
  <c r="AE772"/>
  <c r="AF772"/>
  <c r="AG772"/>
  <c r="AH772"/>
  <c r="AI772"/>
  <c r="AJ772"/>
  <c r="AK772"/>
  <c r="AM772"/>
  <c r="AN772"/>
  <c r="AO772"/>
  <c r="AC773"/>
  <c r="AD773"/>
  <c r="AE773"/>
  <c r="AF773"/>
  <c r="AG773"/>
  <c r="AH773"/>
  <c r="AI773"/>
  <c r="AJ773"/>
  <c r="AK773"/>
  <c r="AM773"/>
  <c r="AN773"/>
  <c r="AO773"/>
  <c r="AC774"/>
  <c r="AD774"/>
  <c r="AE774"/>
  <c r="AF774"/>
  <c r="AG774"/>
  <c r="AH774"/>
  <c r="AI774"/>
  <c r="AJ774"/>
  <c r="AK774"/>
  <c r="AM774"/>
  <c r="AN774"/>
  <c r="AO774"/>
  <c r="AC775"/>
  <c r="AD775"/>
  <c r="AE775"/>
  <c r="AF775"/>
  <c r="AG775"/>
  <c r="AH775"/>
  <c r="AI775"/>
  <c r="AJ775"/>
  <c r="AK775"/>
  <c r="AM775"/>
  <c r="AN775"/>
  <c r="AO775"/>
  <c r="AC776"/>
  <c r="AD776"/>
  <c r="AE776"/>
  <c r="AF776"/>
  <c r="AG776"/>
  <c r="AH776"/>
  <c r="AI776"/>
  <c r="AJ776"/>
  <c r="AK776"/>
  <c r="AM776"/>
  <c r="AN776"/>
  <c r="AO776"/>
  <c r="AC777"/>
  <c r="AD777"/>
  <c r="AE777"/>
  <c r="AF777"/>
  <c r="AG777"/>
  <c r="AH777"/>
  <c r="AI777"/>
  <c r="AJ777"/>
  <c r="AK777"/>
  <c r="AM777"/>
  <c r="AN777"/>
  <c r="AO777"/>
  <c r="AC778"/>
  <c r="AD778"/>
  <c r="AE778"/>
  <c r="AF778"/>
  <c r="AG778"/>
  <c r="AH778"/>
  <c r="AI778"/>
  <c r="AJ778"/>
  <c r="AK778"/>
  <c r="AM778"/>
  <c r="AN778"/>
  <c r="AO778"/>
  <c r="AC779"/>
  <c r="AD779"/>
  <c r="AE779"/>
  <c r="AF779"/>
  <c r="AG779"/>
  <c r="AH779"/>
  <c r="AI779"/>
  <c r="AJ779"/>
  <c r="AK779"/>
  <c r="AM779"/>
  <c r="AN779"/>
  <c r="AO779"/>
  <c r="AC780"/>
  <c r="AD780"/>
  <c r="AE780"/>
  <c r="AF780"/>
  <c r="AG780"/>
  <c r="AH780"/>
  <c r="AI780"/>
  <c r="AJ780"/>
  <c r="AK780"/>
  <c r="AM780"/>
  <c r="AN780"/>
  <c r="AO780"/>
  <c r="AC781"/>
  <c r="AD781"/>
  <c r="AE781"/>
  <c r="AF781"/>
  <c r="AG781"/>
  <c r="AH781"/>
  <c r="AI781"/>
  <c r="AJ781"/>
  <c r="AK781"/>
  <c r="AM781"/>
  <c r="AN781"/>
  <c r="AO781"/>
  <c r="AC782"/>
  <c r="AD782"/>
  <c r="AE782"/>
  <c r="AF782"/>
  <c r="AG782"/>
  <c r="AH782"/>
  <c r="AI782"/>
  <c r="AJ782"/>
  <c r="AK782"/>
  <c r="AM782"/>
  <c r="AN782"/>
  <c r="AO782"/>
  <c r="AC783"/>
  <c r="AD783"/>
  <c r="AE783"/>
  <c r="AF783"/>
  <c r="AG783"/>
  <c r="AH783"/>
  <c r="AI783"/>
  <c r="AJ783"/>
  <c r="AK783"/>
  <c r="AM783"/>
  <c r="AN783"/>
  <c r="AO783"/>
  <c r="AC784"/>
  <c r="AD784"/>
  <c r="AE784"/>
  <c r="AF784"/>
  <c r="AG784"/>
  <c r="AH784"/>
  <c r="AI784"/>
  <c r="AJ784"/>
  <c r="AK784"/>
  <c r="AM784"/>
  <c r="AN784"/>
  <c r="AO784"/>
  <c r="AC785"/>
  <c r="AD785"/>
  <c r="AE785"/>
  <c r="AF785"/>
  <c r="AG785"/>
  <c r="AH785"/>
  <c r="AI785"/>
  <c r="AJ785"/>
  <c r="AK785"/>
  <c r="AM785"/>
  <c r="AN785"/>
  <c r="AO785"/>
  <c r="AC786"/>
  <c r="AD786"/>
  <c r="AE786"/>
  <c r="AF786"/>
  <c r="AG786"/>
  <c r="AH786"/>
  <c r="AI786"/>
  <c r="AJ786"/>
  <c r="AK786"/>
  <c r="AM786"/>
  <c r="AN786"/>
  <c r="AO786"/>
  <c r="AC787"/>
  <c r="AD787"/>
  <c r="AE787"/>
  <c r="AF787"/>
  <c r="AG787"/>
  <c r="AH787"/>
  <c r="AI787"/>
  <c r="AJ787"/>
  <c r="AK787"/>
  <c r="AM787"/>
  <c r="AN787"/>
  <c r="AO787"/>
  <c r="AC788"/>
  <c r="AD788"/>
  <c r="AE788"/>
  <c r="AF788"/>
  <c r="AG788"/>
  <c r="AH788"/>
  <c r="AI788"/>
  <c r="AJ788"/>
  <c r="AK788"/>
  <c r="AM788"/>
  <c r="AN788"/>
  <c r="AO788"/>
  <c r="AC789"/>
  <c r="AD789"/>
  <c r="AE789"/>
  <c r="AF789"/>
  <c r="AG789"/>
  <c r="AH789"/>
  <c r="AI789"/>
  <c r="AJ789"/>
  <c r="AK789"/>
  <c r="AM789"/>
  <c r="AN789"/>
  <c r="AO789"/>
  <c r="AC790"/>
  <c r="AD790"/>
  <c r="AE790"/>
  <c r="AF790"/>
  <c r="AG790"/>
  <c r="AH790"/>
  <c r="AI790"/>
  <c r="AJ790"/>
  <c r="AK790"/>
  <c r="AM790"/>
  <c r="AN790"/>
  <c r="AO790"/>
  <c r="AC791"/>
  <c r="AD791"/>
  <c r="AE791"/>
  <c r="AF791"/>
  <c r="AG791"/>
  <c r="AH791"/>
  <c r="AI791"/>
  <c r="AJ791"/>
  <c r="AK791"/>
  <c r="AM791"/>
  <c r="AN791"/>
  <c r="AO791"/>
  <c r="AC792"/>
  <c r="AD792"/>
  <c r="AE792"/>
  <c r="AF792"/>
  <c r="AG792"/>
  <c r="AH792"/>
  <c r="AI792"/>
  <c r="AJ792"/>
  <c r="AK792"/>
  <c r="AM792"/>
  <c r="AN792"/>
  <c r="AO792"/>
  <c r="AC793"/>
  <c r="AD793"/>
  <c r="AE793"/>
  <c r="AF793"/>
  <c r="AG793"/>
  <c r="AH793"/>
  <c r="AI793"/>
  <c r="AJ793"/>
  <c r="AK793"/>
  <c r="AM793"/>
  <c r="AN793"/>
  <c r="AO793"/>
  <c r="AC794"/>
  <c r="AD794"/>
  <c r="AE794"/>
  <c r="AF794"/>
  <c r="AG794"/>
  <c r="AH794"/>
  <c r="AI794"/>
  <c r="AJ794"/>
  <c r="AK794"/>
  <c r="AM794"/>
  <c r="AN794"/>
  <c r="AO794"/>
  <c r="AC795"/>
  <c r="AD795"/>
  <c r="AE795"/>
  <c r="AF795"/>
  <c r="AG795"/>
  <c r="AH795"/>
  <c r="AI795"/>
  <c r="AJ795"/>
  <c r="AK795"/>
  <c r="AM795"/>
  <c r="AN795"/>
  <c r="AO795"/>
  <c r="AC796"/>
  <c r="AD796"/>
  <c r="AE796"/>
  <c r="AF796"/>
  <c r="AG796"/>
  <c r="AH796"/>
  <c r="AI796"/>
  <c r="AJ796"/>
  <c r="AK796"/>
  <c r="AM796"/>
  <c r="AN796"/>
  <c r="AO796"/>
  <c r="AC797"/>
  <c r="AD797"/>
  <c r="AE797"/>
  <c r="AF797"/>
  <c r="AG797"/>
  <c r="AH797"/>
  <c r="AI797"/>
  <c r="AJ797"/>
  <c r="AK797"/>
  <c r="AM797"/>
  <c r="AN797"/>
  <c r="AO797"/>
  <c r="AC798"/>
  <c r="AD798"/>
  <c r="AE798"/>
  <c r="AF798"/>
  <c r="AG798"/>
  <c r="AH798"/>
  <c r="AI798"/>
  <c r="AJ798"/>
  <c r="AK798"/>
  <c r="AM798"/>
  <c r="AN798"/>
  <c r="AO798"/>
  <c r="AC799"/>
  <c r="AD799"/>
  <c r="AE799"/>
  <c r="AF799"/>
  <c r="AG799"/>
  <c r="AH799"/>
  <c r="AI799"/>
  <c r="AJ799"/>
  <c r="AK799"/>
  <c r="AM799"/>
  <c r="AN799"/>
  <c r="AO799"/>
  <c r="AC800"/>
  <c r="AD800"/>
  <c r="AE800"/>
  <c r="AF800"/>
  <c r="AG800"/>
  <c r="AH800"/>
  <c r="AI800"/>
  <c r="AJ800"/>
  <c r="AK800"/>
  <c r="AM800"/>
  <c r="AN800"/>
  <c r="AO800"/>
  <c r="AC801"/>
  <c r="AD801"/>
  <c r="AE801"/>
  <c r="AF801"/>
  <c r="AG801"/>
  <c r="AH801"/>
  <c r="AI801"/>
  <c r="AJ801"/>
  <c r="AK801"/>
  <c r="AM801"/>
  <c r="AN801"/>
  <c r="AO801"/>
  <c r="AC802"/>
  <c r="AD802"/>
  <c r="AE802"/>
  <c r="AF802"/>
  <c r="AG802"/>
  <c r="AH802"/>
  <c r="AI802"/>
  <c r="AJ802"/>
  <c r="AK802"/>
  <c r="AM802"/>
  <c r="AN802"/>
  <c r="AO802"/>
  <c r="AC803"/>
  <c r="AD803"/>
  <c r="AE803"/>
  <c r="AF803"/>
  <c r="AG803"/>
  <c r="AH803"/>
  <c r="AI803"/>
  <c r="AJ803"/>
  <c r="AK803"/>
  <c r="AM803"/>
  <c r="AN803"/>
  <c r="AO803"/>
  <c r="AC804"/>
  <c r="AD804"/>
  <c r="AE804"/>
  <c r="AF804"/>
  <c r="AG804"/>
  <c r="AH804"/>
  <c r="AI804"/>
  <c r="AJ804"/>
  <c r="AK804"/>
  <c r="AM804"/>
  <c r="AN804"/>
  <c r="AO804"/>
  <c r="AC805"/>
  <c r="AD805"/>
  <c r="AE805"/>
  <c r="AF805"/>
  <c r="AG805"/>
  <c r="AH805"/>
  <c r="AI805"/>
  <c r="AJ805"/>
  <c r="AK805"/>
  <c r="AM805"/>
  <c r="AN805"/>
  <c r="AO805"/>
  <c r="AC806"/>
  <c r="AD806"/>
  <c r="AE806"/>
  <c r="AF806"/>
  <c r="AG806"/>
  <c r="AH806"/>
  <c r="AI806"/>
  <c r="AJ806"/>
  <c r="AK806"/>
  <c r="AM806"/>
  <c r="AN806"/>
  <c r="AO806"/>
  <c r="AC807"/>
  <c r="AD807"/>
  <c r="AE807"/>
  <c r="AF807"/>
  <c r="AG807"/>
  <c r="AH807"/>
  <c r="AI807"/>
  <c r="AJ807"/>
  <c r="AK807"/>
  <c r="AM807"/>
  <c r="AN807"/>
  <c r="AO807"/>
  <c r="AC808"/>
  <c r="AD808"/>
  <c r="AE808"/>
  <c r="AF808"/>
  <c r="AG808"/>
  <c r="AH808"/>
  <c r="AI808"/>
  <c r="AJ808"/>
  <c r="AK808"/>
  <c r="AM808"/>
  <c r="AN808"/>
  <c r="AO808"/>
  <c r="AC809"/>
  <c r="AD809"/>
  <c r="AE809"/>
  <c r="AF809"/>
  <c r="AG809"/>
  <c r="AH809"/>
  <c r="AI809"/>
  <c r="AJ809"/>
  <c r="AK809"/>
  <c r="AM809"/>
  <c r="AN809"/>
  <c r="AO809"/>
  <c r="AC810"/>
  <c r="AD810"/>
  <c r="AE810"/>
  <c r="AF810"/>
  <c r="AG810"/>
  <c r="AH810"/>
  <c r="AI810"/>
  <c r="AJ810"/>
  <c r="AK810"/>
  <c r="AM810"/>
  <c r="AN810"/>
  <c r="AO810"/>
  <c r="AC811"/>
  <c r="AD811"/>
  <c r="AE811"/>
  <c r="AF811"/>
  <c r="AG811"/>
  <c r="AH811"/>
  <c r="AI811"/>
  <c r="AJ811"/>
  <c r="AK811"/>
  <c r="AM811"/>
  <c r="AN811"/>
  <c r="AO811"/>
  <c r="AC812"/>
  <c r="AD812"/>
  <c r="AE812"/>
  <c r="AF812"/>
  <c r="AG812"/>
  <c r="AH812"/>
  <c r="AI812"/>
  <c r="AJ812"/>
  <c r="AK812"/>
  <c r="AM812"/>
  <c r="AN812"/>
  <c r="AO812"/>
  <c r="AC813"/>
  <c r="AD813"/>
  <c r="AE813"/>
  <c r="AF813"/>
  <c r="AG813"/>
  <c r="AH813"/>
  <c r="AI813"/>
  <c r="AJ813"/>
  <c r="AK813"/>
  <c r="AM813"/>
  <c r="AN813"/>
  <c r="AO813"/>
  <c r="AC814"/>
  <c r="AD814"/>
  <c r="AE814"/>
  <c r="AF814"/>
  <c r="AG814"/>
  <c r="AH814"/>
  <c r="AI814"/>
  <c r="AJ814"/>
  <c r="AK814"/>
  <c r="AM814"/>
  <c r="AN814"/>
  <c r="AO814"/>
  <c r="AC815"/>
  <c r="AD815"/>
  <c r="AE815"/>
  <c r="AF815"/>
  <c r="AG815"/>
  <c r="AH815"/>
  <c r="AI815"/>
  <c r="AJ815"/>
  <c r="AK815"/>
  <c r="AM815"/>
  <c r="AN815"/>
  <c r="AO815"/>
  <c r="AC816"/>
  <c r="AD816"/>
  <c r="AE816"/>
  <c r="AF816"/>
  <c r="AG816"/>
  <c r="AH816"/>
  <c r="AI816"/>
  <c r="AJ816"/>
  <c r="AK816"/>
  <c r="AM816"/>
  <c r="AN816"/>
  <c r="AO816"/>
  <c r="AC817"/>
  <c r="AD817"/>
  <c r="AE817"/>
  <c r="AF817"/>
  <c r="AG817"/>
  <c r="AH817"/>
  <c r="AI817"/>
  <c r="AJ817"/>
  <c r="AK817"/>
  <c r="AM817"/>
  <c r="AN817"/>
  <c r="AO817"/>
  <c r="AC818"/>
  <c r="AD818"/>
  <c r="AE818"/>
  <c r="AF818"/>
  <c r="AG818"/>
  <c r="AH818"/>
  <c r="AI818"/>
  <c r="AJ818"/>
  <c r="AK818"/>
  <c r="AM818"/>
  <c r="AN818"/>
  <c r="AO818"/>
  <c r="AC819"/>
  <c r="AD819"/>
  <c r="AE819"/>
  <c r="AF819"/>
  <c r="AG819"/>
  <c r="AH819"/>
  <c r="AI819"/>
  <c r="AJ819"/>
  <c r="AK819"/>
  <c r="AM819"/>
  <c r="AN819"/>
  <c r="AO819"/>
  <c r="AC820"/>
  <c r="AD820"/>
  <c r="AE820"/>
  <c r="AF820"/>
  <c r="AG820"/>
  <c r="AH820"/>
  <c r="AI820"/>
  <c r="AJ820"/>
  <c r="AK820"/>
  <c r="AM820"/>
  <c r="AN820"/>
  <c r="AO820"/>
  <c r="AC821"/>
  <c r="AD821"/>
  <c r="AE821"/>
  <c r="AF821"/>
  <c r="AG821"/>
  <c r="AH821"/>
  <c r="AI821"/>
  <c r="AJ821"/>
  <c r="AK821"/>
  <c r="AM821"/>
  <c r="AN821"/>
  <c r="AO821"/>
  <c r="AC822"/>
  <c r="AD822"/>
  <c r="AE822"/>
  <c r="AF822"/>
  <c r="AG822"/>
  <c r="AH822"/>
  <c r="AI822"/>
  <c r="AJ822"/>
  <c r="AK822"/>
  <c r="AM822"/>
  <c r="AN822"/>
  <c r="AO822"/>
  <c r="AC823"/>
  <c r="AD823"/>
  <c r="AE823"/>
  <c r="AF823"/>
  <c r="AG823"/>
  <c r="AH823"/>
  <c r="AI823"/>
  <c r="AJ823"/>
  <c r="AK823"/>
  <c r="AM823"/>
  <c r="AN823"/>
  <c r="AO823"/>
  <c r="AC824"/>
  <c r="AD824"/>
  <c r="AE824"/>
  <c r="AF824"/>
  <c r="AG824"/>
  <c r="AH824"/>
  <c r="AI824"/>
  <c r="AJ824"/>
  <c r="AK824"/>
  <c r="AM824"/>
  <c r="AN824"/>
  <c r="AO824"/>
  <c r="AC825"/>
  <c r="AD825"/>
  <c r="AE825"/>
  <c r="AF825"/>
  <c r="AG825"/>
  <c r="AH825"/>
  <c r="AI825"/>
  <c r="AJ825"/>
  <c r="AK825"/>
  <c r="AM825"/>
  <c r="AN825"/>
  <c r="AO825"/>
  <c r="AC826"/>
  <c r="AD826"/>
  <c r="AE826"/>
  <c r="AF826"/>
  <c r="AG826"/>
  <c r="AH826"/>
  <c r="AI826"/>
  <c r="AJ826"/>
  <c r="AK826"/>
  <c r="AM826"/>
  <c r="AN826"/>
  <c r="AO826"/>
  <c r="AC827"/>
  <c r="AD827"/>
  <c r="AE827"/>
  <c r="AF827"/>
  <c r="AG827"/>
  <c r="AH827"/>
  <c r="AI827"/>
  <c r="AJ827"/>
  <c r="AK827"/>
  <c r="AM827"/>
  <c r="AN827"/>
  <c r="AO827"/>
  <c r="AC828"/>
  <c r="AD828"/>
  <c r="AE828"/>
  <c r="AF828"/>
  <c r="AG828"/>
  <c r="AH828"/>
  <c r="AI828"/>
  <c r="AJ828"/>
  <c r="AK828"/>
  <c r="AM828"/>
  <c r="AN828"/>
  <c r="AO828"/>
  <c r="AC829"/>
  <c r="AD829"/>
  <c r="AE829"/>
  <c r="AF829"/>
  <c r="AG829"/>
  <c r="AH829"/>
  <c r="AI829"/>
  <c r="AJ829"/>
  <c r="AK829"/>
  <c r="AM829"/>
  <c r="AN829"/>
  <c r="AO829"/>
  <c r="AC830"/>
  <c r="AD830"/>
  <c r="AE830"/>
  <c r="AF830"/>
  <c r="AG830"/>
  <c r="AH830"/>
  <c r="AI830"/>
  <c r="AJ830"/>
  <c r="AK830"/>
  <c r="AM830"/>
  <c r="AN830"/>
  <c r="AO830"/>
  <c r="AC831"/>
  <c r="AD831"/>
  <c r="AE831"/>
  <c r="AF831"/>
  <c r="AG831"/>
  <c r="AH831"/>
  <c r="AI831"/>
  <c r="AJ831"/>
  <c r="AK831"/>
  <c r="AM831"/>
  <c r="AN831"/>
  <c r="AO831"/>
  <c r="AC832"/>
  <c r="AD832"/>
  <c r="AE832"/>
  <c r="AF832"/>
  <c r="AG832"/>
  <c r="AH832"/>
  <c r="AI832"/>
  <c r="AJ832"/>
  <c r="AK832"/>
  <c r="AM832"/>
  <c r="AN832"/>
  <c r="AO832"/>
  <c r="AC833"/>
  <c r="AD833"/>
  <c r="AE833"/>
  <c r="AF833"/>
  <c r="AG833"/>
  <c r="AH833"/>
  <c r="AI833"/>
  <c r="AJ833"/>
  <c r="AK833"/>
  <c r="AM833"/>
  <c r="AN833"/>
  <c r="AO833"/>
  <c r="AC834"/>
  <c r="AD834"/>
  <c r="AE834"/>
  <c r="AF834"/>
  <c r="AG834"/>
  <c r="AH834"/>
  <c r="AI834"/>
  <c r="AJ834"/>
  <c r="AK834"/>
  <c r="AM834"/>
  <c r="AN834"/>
  <c r="AO834"/>
  <c r="AC835"/>
  <c r="AD835"/>
  <c r="AE835"/>
  <c r="AF835"/>
  <c r="AG835"/>
  <c r="AH835"/>
  <c r="AI835"/>
  <c r="AJ835"/>
  <c r="AK835"/>
  <c r="AM835"/>
  <c r="AN835"/>
  <c r="AO835"/>
  <c r="AC836"/>
  <c r="AD836"/>
  <c r="AE836"/>
  <c r="AF836"/>
  <c r="AG836"/>
  <c r="AH836"/>
  <c r="AI836"/>
  <c r="AJ836"/>
  <c r="AK836"/>
  <c r="AM836"/>
  <c r="AN836"/>
  <c r="AO836"/>
  <c r="AC837"/>
  <c r="AD837"/>
  <c r="AE837"/>
  <c r="AF837"/>
  <c r="AG837"/>
  <c r="AH837"/>
  <c r="AI837"/>
  <c r="AJ837"/>
  <c r="AK837"/>
  <c r="AM837"/>
  <c r="AN837"/>
  <c r="AO837"/>
  <c r="AC838"/>
  <c r="AD838"/>
  <c r="AE838"/>
  <c r="AF838"/>
  <c r="AG838"/>
  <c r="AH838"/>
  <c r="AI838"/>
  <c r="AJ838"/>
  <c r="AK838"/>
  <c r="AM838"/>
  <c r="AN838"/>
  <c r="AO838"/>
  <c r="AC839"/>
  <c r="AD839"/>
  <c r="AE839"/>
  <c r="AF839"/>
  <c r="AG839"/>
  <c r="AH839"/>
  <c r="AI839"/>
  <c r="AJ839"/>
  <c r="AK839"/>
  <c r="AM839"/>
  <c r="AN839"/>
  <c r="AO839"/>
  <c r="AC840"/>
  <c r="AD840"/>
  <c r="AE840"/>
  <c r="AF840"/>
  <c r="AG840"/>
  <c r="AH840"/>
  <c r="AI840"/>
  <c r="AJ840"/>
  <c r="AK840"/>
  <c r="AM840"/>
  <c r="AN840"/>
  <c r="AO840"/>
  <c r="AC841"/>
  <c r="AD841"/>
  <c r="AE841"/>
  <c r="AF841"/>
  <c r="AG841"/>
  <c r="AH841"/>
  <c r="AI841"/>
  <c r="AJ841"/>
  <c r="AK841"/>
  <c r="AM841"/>
  <c r="AN841"/>
  <c r="AO841"/>
  <c r="AC842"/>
  <c r="AD842"/>
  <c r="AE842"/>
  <c r="AF842"/>
  <c r="AG842"/>
  <c r="AH842"/>
  <c r="AI842"/>
  <c r="AJ842"/>
  <c r="AK842"/>
  <c r="AM842"/>
  <c r="AN842"/>
  <c r="AO842"/>
  <c r="AC843"/>
  <c r="AD843"/>
  <c r="AE843"/>
  <c r="AF843"/>
  <c r="AG843"/>
  <c r="AH843"/>
  <c r="AI843"/>
  <c r="AJ843"/>
  <c r="AK843"/>
  <c r="AM843"/>
  <c r="AN843"/>
  <c r="AO843"/>
  <c r="AC844"/>
  <c r="AD844"/>
  <c r="AE844"/>
  <c r="AF844"/>
  <c r="AG844"/>
  <c r="AH844"/>
  <c r="AI844"/>
  <c r="AJ844"/>
  <c r="AK844"/>
  <c r="AM844"/>
  <c r="AN844"/>
  <c r="AO844"/>
  <c r="AC845"/>
  <c r="AD845"/>
  <c r="AE845"/>
  <c r="AF845"/>
  <c r="AG845"/>
  <c r="AH845"/>
  <c r="AI845"/>
  <c r="AJ845"/>
  <c r="AK845"/>
  <c r="AM845"/>
  <c r="AN845"/>
  <c r="AO845"/>
  <c r="AC846"/>
  <c r="AD846"/>
  <c r="AE846"/>
  <c r="AF846"/>
  <c r="AG846"/>
  <c r="AH846"/>
  <c r="AI846"/>
  <c r="AJ846"/>
  <c r="AK846"/>
  <c r="AM846"/>
  <c r="AN846"/>
  <c r="AO846"/>
  <c r="AC847"/>
  <c r="AD847"/>
  <c r="AE847"/>
  <c r="AF847"/>
  <c r="AG847"/>
  <c r="AH847"/>
  <c r="AI847"/>
  <c r="AJ847"/>
  <c r="AK847"/>
  <c r="AM847"/>
  <c r="AN847"/>
  <c r="AO847"/>
  <c r="AC848"/>
  <c r="AD848"/>
  <c r="AE848"/>
  <c r="AF848"/>
  <c r="AG848"/>
  <c r="AH848"/>
  <c r="AI848"/>
  <c r="AJ848"/>
  <c r="AK848"/>
  <c r="AM848"/>
  <c r="AN848"/>
  <c r="AO848"/>
  <c r="AC849"/>
  <c r="AD849"/>
  <c r="AE849"/>
  <c r="AF849"/>
  <c r="AG849"/>
  <c r="AH849"/>
  <c r="AI849"/>
  <c r="AJ849"/>
  <c r="AK849"/>
  <c r="AM849"/>
  <c r="AN849"/>
  <c r="AO849"/>
  <c r="AC850"/>
  <c r="AD850"/>
  <c r="AE850"/>
  <c r="AF850"/>
  <c r="AG850"/>
  <c r="AH850"/>
  <c r="AI850"/>
  <c r="AJ850"/>
  <c r="AK850"/>
  <c r="AM850"/>
  <c r="AN850"/>
  <c r="AO850"/>
  <c r="AC851"/>
  <c r="AD851"/>
  <c r="AE851"/>
  <c r="AF851"/>
  <c r="AG851"/>
  <c r="AH851"/>
  <c r="AI851"/>
  <c r="AJ851"/>
  <c r="AK851"/>
  <c r="AM851"/>
  <c r="AN851"/>
  <c r="AO851"/>
  <c r="AC852"/>
  <c r="AD852"/>
  <c r="AE852"/>
  <c r="AF852"/>
  <c r="AG852"/>
  <c r="AH852"/>
  <c r="AI852"/>
  <c r="AJ852"/>
  <c r="AK852"/>
  <c r="AM852"/>
  <c r="AN852"/>
  <c r="AO852"/>
  <c r="AC853"/>
  <c r="AD853"/>
  <c r="AE853"/>
  <c r="AF853"/>
  <c r="AG853"/>
  <c r="AH853"/>
  <c r="AI853"/>
  <c r="AJ853"/>
  <c r="AK853"/>
  <c r="AM853"/>
  <c r="AN853"/>
  <c r="AO853"/>
  <c r="AC854"/>
  <c r="AD854"/>
  <c r="AE854"/>
  <c r="AF854"/>
  <c r="AG854"/>
  <c r="AH854"/>
  <c r="AI854"/>
  <c r="AJ854"/>
  <c r="AK854"/>
  <c r="AM854"/>
  <c r="AN854"/>
  <c r="AO854"/>
  <c r="AC855"/>
  <c r="AD855"/>
  <c r="AE855"/>
  <c r="AF855"/>
  <c r="AG855"/>
  <c r="AH855"/>
  <c r="AI855"/>
  <c r="AJ855"/>
  <c r="AK855"/>
  <c r="AM855"/>
  <c r="AN855"/>
  <c r="AO855"/>
  <c r="AC856"/>
  <c r="AD856"/>
  <c r="AE856"/>
  <c r="AF856"/>
  <c r="AG856"/>
  <c r="AH856"/>
  <c r="AI856"/>
  <c r="AJ856"/>
  <c r="AK856"/>
  <c r="AM856"/>
  <c r="AN856"/>
  <c r="AO856"/>
  <c r="AC857"/>
  <c r="AD857"/>
  <c r="AE857"/>
  <c r="AF857"/>
  <c r="AG857"/>
  <c r="AH857"/>
  <c r="AI857"/>
  <c r="AJ857"/>
  <c r="AK857"/>
  <c r="AM857"/>
  <c r="AN857"/>
  <c r="AO857"/>
  <c r="AC858"/>
  <c r="AD858"/>
  <c r="AE858"/>
  <c r="AF858"/>
  <c r="AG858"/>
  <c r="AH858"/>
  <c r="AI858"/>
  <c r="AJ858"/>
  <c r="AK858"/>
  <c r="AM858"/>
  <c r="AN858"/>
  <c r="AO858"/>
  <c r="AC859"/>
  <c r="AD859"/>
  <c r="AE859"/>
  <c r="AF859"/>
  <c r="AG859"/>
  <c r="AH859"/>
  <c r="AI859"/>
  <c r="AJ859"/>
  <c r="AK859"/>
  <c r="AM859"/>
  <c r="AN859"/>
  <c r="AO859"/>
  <c r="AC860"/>
  <c r="AD860"/>
  <c r="AE860"/>
  <c r="AF860"/>
  <c r="AG860"/>
  <c r="AH860"/>
  <c r="AI860"/>
  <c r="AJ860"/>
  <c r="AK860"/>
  <c r="AM860"/>
  <c r="AN860"/>
  <c r="AO860"/>
  <c r="AC861"/>
  <c r="AD861"/>
  <c r="AE861"/>
  <c r="AF861"/>
  <c r="AG861"/>
  <c r="AH861"/>
  <c r="AI861"/>
  <c r="AJ861"/>
  <c r="AK861"/>
  <c r="AM861"/>
  <c r="AN861"/>
  <c r="AO861"/>
  <c r="AC862"/>
  <c r="AD862"/>
  <c r="AE862"/>
  <c r="AF862"/>
  <c r="AG862"/>
  <c r="AH862"/>
  <c r="AI862"/>
  <c r="AJ862"/>
  <c r="AK862"/>
  <c r="AM862"/>
  <c r="AN862"/>
  <c r="AO862"/>
  <c r="AC863"/>
  <c r="AD863"/>
  <c r="AE863"/>
  <c r="AF863"/>
  <c r="AG863"/>
  <c r="AH863"/>
  <c r="AI863"/>
  <c r="AJ863"/>
  <c r="AK863"/>
  <c r="AM863"/>
  <c r="AN863"/>
  <c r="AO863"/>
  <c r="AC864"/>
  <c r="AD864"/>
  <c r="AE864"/>
  <c r="AF864"/>
  <c r="AG864"/>
  <c r="AH864"/>
  <c r="AI864"/>
  <c r="AJ864"/>
  <c r="AK864"/>
  <c r="AM864"/>
  <c r="AN864"/>
  <c r="AO864"/>
  <c r="AC865"/>
  <c r="AD865"/>
  <c r="AE865"/>
  <c r="AF865"/>
  <c r="AG865"/>
  <c r="AH865"/>
  <c r="AI865"/>
  <c r="AJ865"/>
  <c r="AK865"/>
  <c r="AM865"/>
  <c r="AN865"/>
  <c r="AO865"/>
  <c r="AC866"/>
  <c r="AD866"/>
  <c r="AE866"/>
  <c r="AF866"/>
  <c r="AG866"/>
  <c r="AH866"/>
  <c r="AI866"/>
  <c r="AJ866"/>
  <c r="AK866"/>
  <c r="AM866"/>
  <c r="AN866"/>
  <c r="AO866"/>
  <c r="AC867"/>
  <c r="AD867"/>
  <c r="AE867"/>
  <c r="AF867"/>
  <c r="AG867"/>
  <c r="AH867"/>
  <c r="AI867"/>
  <c r="AJ867"/>
  <c r="AK867"/>
  <c r="AM867"/>
  <c r="AN867"/>
  <c r="AO867"/>
  <c r="AC868"/>
  <c r="AD868"/>
  <c r="AE868"/>
  <c r="AF868"/>
  <c r="AG868"/>
  <c r="AH868"/>
  <c r="AI868"/>
  <c r="AJ868"/>
  <c r="AK868"/>
  <c r="AM868"/>
  <c r="AN868"/>
  <c r="AO868"/>
  <c r="AC869"/>
  <c r="AD869"/>
  <c r="AE869"/>
  <c r="AF869"/>
  <c r="AG869"/>
  <c r="AH869"/>
  <c r="AI869"/>
  <c r="AJ869"/>
  <c r="AK869"/>
  <c r="AM869"/>
  <c r="AN869"/>
  <c r="AO869"/>
  <c r="AC870"/>
  <c r="AD870"/>
  <c r="AE870"/>
  <c r="AF870"/>
  <c r="AG870"/>
  <c r="AH870"/>
  <c r="AI870"/>
  <c r="AJ870"/>
  <c r="AK870"/>
  <c r="AM870"/>
  <c r="AN870"/>
  <c r="AO870"/>
  <c r="AC871"/>
  <c r="AD871"/>
  <c r="AE871"/>
  <c r="AF871"/>
  <c r="AG871"/>
  <c r="AH871"/>
  <c r="AI871"/>
  <c r="AJ871"/>
  <c r="AK871"/>
  <c r="AM871"/>
  <c r="AN871"/>
  <c r="AO871"/>
  <c r="AC872"/>
  <c r="AD872"/>
  <c r="AE872"/>
  <c r="AF872"/>
  <c r="AG872"/>
  <c r="AH872"/>
  <c r="AI872"/>
  <c r="AJ872"/>
  <c r="AK872"/>
  <c r="AM872"/>
  <c r="AN872"/>
  <c r="AO872"/>
  <c r="AC873"/>
  <c r="AD873"/>
  <c r="AE873"/>
  <c r="AF873"/>
  <c r="AG873"/>
  <c r="AH873"/>
  <c r="AI873"/>
  <c r="AJ873"/>
  <c r="AK873"/>
  <c r="AM873"/>
  <c r="AN873"/>
  <c r="AO873"/>
  <c r="AC874"/>
  <c r="AD874"/>
  <c r="AE874"/>
  <c r="AF874"/>
  <c r="AG874"/>
  <c r="AH874"/>
  <c r="AI874"/>
  <c r="AJ874"/>
  <c r="AK874"/>
  <c r="AM874"/>
  <c r="AN874"/>
  <c r="AO874"/>
  <c r="AC875"/>
  <c r="AD875"/>
  <c r="AE875"/>
  <c r="AF875"/>
  <c r="AG875"/>
  <c r="AH875"/>
  <c r="AI875"/>
  <c r="AJ875"/>
  <c r="AK875"/>
  <c r="AM875"/>
  <c r="AN875"/>
  <c r="AO875"/>
  <c r="AC876"/>
  <c r="AD876"/>
  <c r="AE876"/>
  <c r="AF876"/>
  <c r="AG876"/>
  <c r="AH876"/>
  <c r="AI876"/>
  <c r="AJ876"/>
  <c r="AK876"/>
  <c r="AM876"/>
  <c r="AN876"/>
  <c r="AO876"/>
  <c r="AC877"/>
  <c r="AD877"/>
  <c r="AE877"/>
  <c r="AF877"/>
  <c r="AG877"/>
  <c r="AH877"/>
  <c r="AI877"/>
  <c r="AJ877"/>
  <c r="AK877"/>
  <c r="AM877"/>
  <c r="AN877"/>
  <c r="AO877"/>
  <c r="AC878"/>
  <c r="AD878"/>
  <c r="AE878"/>
  <c r="AF878"/>
  <c r="AG878"/>
  <c r="AH878"/>
  <c r="AI878"/>
  <c r="AJ878"/>
  <c r="AK878"/>
  <c r="AM878"/>
  <c r="AN878"/>
  <c r="AO878"/>
  <c r="AC879"/>
  <c r="AD879"/>
  <c r="AE879"/>
  <c r="AF879"/>
  <c r="AG879"/>
  <c r="AH879"/>
  <c r="AI879"/>
  <c r="AJ879"/>
  <c r="AK879"/>
  <c r="AM879"/>
  <c r="AN879"/>
  <c r="AO879"/>
  <c r="AC880"/>
  <c r="AD880"/>
  <c r="AE880"/>
  <c r="AF880"/>
  <c r="AG880"/>
  <c r="AH880"/>
  <c r="AI880"/>
  <c r="AJ880"/>
  <c r="AK880"/>
  <c r="AM880"/>
  <c r="AN880"/>
  <c r="AO880"/>
  <c r="AC881"/>
  <c r="AD881"/>
  <c r="AE881"/>
  <c r="AF881"/>
  <c r="AG881"/>
  <c r="AH881"/>
  <c r="AI881"/>
  <c r="AJ881"/>
  <c r="AK881"/>
  <c r="AM881"/>
  <c r="AN881"/>
  <c r="AO881"/>
  <c r="AC882"/>
  <c r="AD882"/>
  <c r="AE882"/>
  <c r="AF882"/>
  <c r="AG882"/>
  <c r="AH882"/>
  <c r="AI882"/>
  <c r="AJ882"/>
  <c r="AK882"/>
  <c r="AM882"/>
  <c r="AN882"/>
  <c r="AO882"/>
  <c r="AC883"/>
  <c r="AD883"/>
  <c r="AE883"/>
  <c r="AF883"/>
  <c r="AG883"/>
  <c r="AH883"/>
  <c r="AI883"/>
  <c r="AJ883"/>
  <c r="AK883"/>
  <c r="AM883"/>
  <c r="AN883"/>
  <c r="AO883"/>
  <c r="AC884"/>
  <c r="AD884"/>
  <c r="AE884"/>
  <c r="AF884"/>
  <c r="AG884"/>
  <c r="AH884"/>
  <c r="AI884"/>
  <c r="AJ884"/>
  <c r="AK884"/>
  <c r="AM884"/>
  <c r="AN884"/>
  <c r="AO884"/>
  <c r="AC885"/>
  <c r="AD885"/>
  <c r="AE885"/>
  <c r="AF885"/>
  <c r="AG885"/>
  <c r="AH885"/>
  <c r="AI885"/>
  <c r="AJ885"/>
  <c r="AK885"/>
  <c r="AM885"/>
  <c r="AN885"/>
  <c r="AO885"/>
  <c r="AC886"/>
  <c r="AD886"/>
  <c r="AE886"/>
  <c r="AF886"/>
  <c r="AG886"/>
  <c r="AH886"/>
  <c r="AI886"/>
  <c r="AJ886"/>
  <c r="AK886"/>
  <c r="AM886"/>
  <c r="AN886"/>
  <c r="AO886"/>
  <c r="AC887"/>
  <c r="AD887"/>
  <c r="AE887"/>
  <c r="AF887"/>
  <c r="AG887"/>
  <c r="AH887"/>
  <c r="AI887"/>
  <c r="AJ887"/>
  <c r="AK887"/>
  <c r="AM887"/>
  <c r="AN887"/>
  <c r="AO887"/>
  <c r="AC888"/>
  <c r="AD888"/>
  <c r="AE888"/>
  <c r="AF888"/>
  <c r="AG888"/>
  <c r="AH888"/>
  <c r="AI888"/>
  <c r="AJ888"/>
  <c r="AK888"/>
  <c r="AM888"/>
  <c r="AN888"/>
  <c r="AO888"/>
  <c r="AC889"/>
  <c r="AD889"/>
  <c r="AE889"/>
  <c r="AF889"/>
  <c r="AG889"/>
  <c r="AH889"/>
  <c r="AI889"/>
  <c r="AJ889"/>
  <c r="AK889"/>
  <c r="AM889"/>
  <c r="AN889"/>
  <c r="AO889"/>
  <c r="AC890"/>
  <c r="AD890"/>
  <c r="AE890"/>
  <c r="AF890"/>
  <c r="AG890"/>
  <c r="AH890"/>
  <c r="AI890"/>
  <c r="AJ890"/>
  <c r="AK890"/>
  <c r="AM890"/>
  <c r="AN890"/>
  <c r="AO890"/>
  <c r="AC891"/>
  <c r="AD891"/>
  <c r="AE891"/>
  <c r="AF891"/>
  <c r="AG891"/>
  <c r="AH891"/>
  <c r="AI891"/>
  <c r="AJ891"/>
  <c r="AK891"/>
  <c r="AM891"/>
  <c r="AN891"/>
  <c r="AO891"/>
  <c r="AC892"/>
  <c r="AD892"/>
  <c r="AE892"/>
  <c r="AF892"/>
  <c r="AG892"/>
  <c r="AH892"/>
  <c r="AI892"/>
  <c r="AJ892"/>
  <c r="AK892"/>
  <c r="AM892"/>
  <c r="AN892"/>
  <c r="AO892"/>
  <c r="AC893"/>
  <c r="AD893"/>
  <c r="AE893"/>
  <c r="AF893"/>
  <c r="AG893"/>
  <c r="AH893"/>
  <c r="AI893"/>
  <c r="AJ893"/>
  <c r="AK893"/>
  <c r="AM893"/>
  <c r="AN893"/>
  <c r="AO893"/>
  <c r="AC894"/>
  <c r="AD894"/>
  <c r="AE894"/>
  <c r="AF894"/>
  <c r="AG894"/>
  <c r="AH894"/>
  <c r="AI894"/>
  <c r="AJ894"/>
  <c r="AK894"/>
  <c r="AM894"/>
  <c r="AN894"/>
  <c r="AO894"/>
  <c r="AC895"/>
  <c r="AD895"/>
  <c r="AE895"/>
  <c r="AF895"/>
  <c r="AG895"/>
  <c r="AH895"/>
  <c r="AI895"/>
  <c r="AJ895"/>
  <c r="AK895"/>
  <c r="AM895"/>
  <c r="AN895"/>
  <c r="AO895"/>
  <c r="AC896"/>
  <c r="AD896"/>
  <c r="AE896"/>
  <c r="AF896"/>
  <c r="AG896"/>
  <c r="AH896"/>
  <c r="AI896"/>
  <c r="AJ896"/>
  <c r="AK896"/>
  <c r="AM896"/>
  <c r="AN896"/>
  <c r="AO896"/>
  <c r="AC897"/>
  <c r="AD897"/>
  <c r="AE897"/>
  <c r="AF897"/>
  <c r="AG897"/>
  <c r="AH897"/>
  <c r="AI897"/>
  <c r="AJ897"/>
  <c r="AK897"/>
  <c r="AM897"/>
  <c r="AN897"/>
  <c r="AO897"/>
  <c r="AC898"/>
  <c r="AD898"/>
  <c r="AE898"/>
  <c r="AF898"/>
  <c r="AG898"/>
  <c r="AH898"/>
  <c r="AI898"/>
  <c r="AJ898"/>
  <c r="AK898"/>
  <c r="AM898"/>
  <c r="AN898"/>
  <c r="AO898"/>
  <c r="AC899"/>
  <c r="AD899"/>
  <c r="AE899"/>
  <c r="AF899"/>
  <c r="AG899"/>
  <c r="AH899"/>
  <c r="AI899"/>
  <c r="AJ899"/>
  <c r="AK899"/>
  <c r="AM899"/>
  <c r="AN899"/>
  <c r="AO899"/>
  <c r="AC900"/>
  <c r="AD900"/>
  <c r="AE900"/>
  <c r="AF900"/>
  <c r="AG900"/>
  <c r="AH900"/>
  <c r="AI900"/>
  <c r="AJ900"/>
  <c r="AK900"/>
  <c r="AM900"/>
  <c r="AN900"/>
  <c r="AO900"/>
  <c r="AC901"/>
  <c r="AD901"/>
  <c r="AE901"/>
  <c r="AF901"/>
  <c r="AG901"/>
  <c r="AH901"/>
  <c r="AI901"/>
  <c r="AJ901"/>
  <c r="AK901"/>
  <c r="AM901"/>
  <c r="AN901"/>
  <c r="AO901"/>
  <c r="AC902"/>
  <c r="AD902"/>
  <c r="AE902"/>
  <c r="AF902"/>
  <c r="AG902"/>
  <c r="AH902"/>
  <c r="AI902"/>
  <c r="AJ902"/>
  <c r="AK902"/>
  <c r="AM902"/>
  <c r="AN902"/>
  <c r="AO902"/>
  <c r="AC903"/>
  <c r="AD903"/>
  <c r="AE903"/>
  <c r="AF903"/>
  <c r="AG903"/>
  <c r="AH903"/>
  <c r="AI903"/>
  <c r="AJ903"/>
  <c r="AK903"/>
  <c r="AM903"/>
  <c r="AN903"/>
  <c r="AO903"/>
  <c r="AC904"/>
  <c r="AD904"/>
  <c r="AE904"/>
  <c r="AF904"/>
  <c r="AG904"/>
  <c r="AH904"/>
  <c r="AI904"/>
  <c r="AJ904"/>
  <c r="AK904"/>
  <c r="AM904"/>
  <c r="AN904"/>
  <c r="AO904"/>
  <c r="AC905"/>
  <c r="AD905"/>
  <c r="AE905"/>
  <c r="AF905"/>
  <c r="AG905"/>
  <c r="AH905"/>
  <c r="AI905"/>
  <c r="AJ905"/>
  <c r="AK905"/>
  <c r="AM905"/>
  <c r="AN905"/>
  <c r="AO905"/>
  <c r="AC906"/>
  <c r="AD906"/>
  <c r="AE906"/>
  <c r="AF906"/>
  <c r="AG906"/>
  <c r="AH906"/>
  <c r="AI906"/>
  <c r="AJ906"/>
  <c r="AK906"/>
  <c r="AM906"/>
  <c r="AN906"/>
  <c r="AO906"/>
  <c r="AC907"/>
  <c r="AD907"/>
  <c r="AE907"/>
  <c r="AF907"/>
  <c r="AG907"/>
  <c r="AH907"/>
  <c r="AI907"/>
  <c r="AJ907"/>
  <c r="AK907"/>
  <c r="AM907"/>
  <c r="AN907"/>
  <c r="AO907"/>
  <c r="AC908"/>
  <c r="AD908"/>
  <c r="AE908"/>
  <c r="AF908"/>
  <c r="AG908"/>
  <c r="AH908"/>
  <c r="AI908"/>
  <c r="AJ908"/>
  <c r="AK908"/>
  <c r="AM908"/>
  <c r="AN908"/>
  <c r="AO908"/>
  <c r="AC909"/>
  <c r="AD909"/>
  <c r="AE909"/>
  <c r="AF909"/>
  <c r="AG909"/>
  <c r="AH909"/>
  <c r="AI909"/>
  <c r="AJ909"/>
  <c r="AK909"/>
  <c r="AM909"/>
  <c r="AN909"/>
  <c r="AO909"/>
  <c r="AC910"/>
  <c r="AD910"/>
  <c r="AE910"/>
  <c r="AF910"/>
  <c r="AG910"/>
  <c r="AH910"/>
  <c r="AI910"/>
  <c r="AJ910"/>
  <c r="AK910"/>
  <c r="AM910"/>
  <c r="AN910"/>
  <c r="AO910"/>
  <c r="AC911"/>
  <c r="AD911"/>
  <c r="AE911"/>
  <c r="AF911"/>
  <c r="AG911"/>
  <c r="AH911"/>
  <c r="AI911"/>
  <c r="AJ911"/>
  <c r="AK911"/>
  <c r="AM911"/>
  <c r="AN911"/>
  <c r="AO911"/>
  <c r="AC912"/>
  <c r="AD912"/>
  <c r="AE912"/>
  <c r="AF912"/>
  <c r="AG912"/>
  <c r="AH912"/>
  <c r="AI912"/>
  <c r="AJ912"/>
  <c r="AK912"/>
  <c r="AM912"/>
  <c r="AN912"/>
  <c r="AO912"/>
  <c r="AC913"/>
  <c r="AD913"/>
  <c r="AE913"/>
  <c r="AF913"/>
  <c r="AG913"/>
  <c r="AH913"/>
  <c r="AI913"/>
  <c r="AJ913"/>
  <c r="AK913"/>
  <c r="AM913"/>
  <c r="AN913"/>
  <c r="AO913"/>
  <c r="AC914"/>
  <c r="AD914"/>
  <c r="AE914"/>
  <c r="AF914"/>
  <c r="AG914"/>
  <c r="AH914"/>
  <c r="AI914"/>
  <c r="AJ914"/>
  <c r="AK914"/>
  <c r="AM914"/>
  <c r="AN914"/>
  <c r="AO914"/>
  <c r="AC915"/>
  <c r="AD915"/>
  <c r="AE915"/>
  <c r="AF915"/>
  <c r="AG915"/>
  <c r="AH915"/>
  <c r="AI915"/>
  <c r="AJ915"/>
  <c r="AK915"/>
  <c r="AM915"/>
  <c r="AN915"/>
  <c r="AO915"/>
  <c r="AC916"/>
  <c r="AD916"/>
  <c r="AE916"/>
  <c r="AF916"/>
  <c r="AG916"/>
  <c r="AH916"/>
  <c r="AI916"/>
  <c r="AJ916"/>
  <c r="AK916"/>
  <c r="AM916"/>
  <c r="AN916"/>
  <c r="AO916"/>
  <c r="AC917"/>
  <c r="AD917"/>
  <c r="AE917"/>
  <c r="AF917"/>
  <c r="AG917"/>
  <c r="AH917"/>
  <c r="AI917"/>
  <c r="AJ917"/>
  <c r="AK917"/>
  <c r="AM917"/>
  <c r="AN917"/>
  <c r="AO917"/>
  <c r="AC918"/>
  <c r="AD918"/>
  <c r="AE918"/>
  <c r="AF918"/>
  <c r="AG918"/>
  <c r="AH918"/>
  <c r="AI918"/>
  <c r="AJ918"/>
  <c r="AK918"/>
  <c r="AM918"/>
  <c r="AN918"/>
  <c r="AO918"/>
  <c r="AC919"/>
  <c r="AD919"/>
  <c r="AE919"/>
  <c r="AF919"/>
  <c r="AG919"/>
  <c r="AH919"/>
  <c r="AI919"/>
  <c r="AJ919"/>
  <c r="AK919"/>
  <c r="AM919"/>
  <c r="AN919"/>
  <c r="AO919"/>
  <c r="AC920"/>
  <c r="AD920"/>
  <c r="AE920"/>
  <c r="AF920"/>
  <c r="AG920"/>
  <c r="AH920"/>
  <c r="AI920"/>
  <c r="AJ920"/>
  <c r="AK920"/>
  <c r="AM920"/>
  <c r="AN920"/>
  <c r="AO920"/>
  <c r="AC921"/>
  <c r="AD921"/>
  <c r="AE921"/>
  <c r="AF921"/>
  <c r="AG921"/>
  <c r="AH921"/>
  <c r="AI921"/>
  <c r="AJ921"/>
  <c r="AK921"/>
  <c r="AM921"/>
  <c r="AN921"/>
  <c r="AO921"/>
  <c r="AC922"/>
  <c r="AD922"/>
  <c r="AE922"/>
  <c r="AF922"/>
  <c r="AG922"/>
  <c r="AH922"/>
  <c r="AI922"/>
  <c r="AJ922"/>
  <c r="AK922"/>
  <c r="AM922"/>
  <c r="AN922"/>
  <c r="AO922"/>
  <c r="AC923"/>
  <c r="AD923"/>
  <c r="AE923"/>
  <c r="AF923"/>
  <c r="AG923"/>
  <c r="AH923"/>
  <c r="AI923"/>
  <c r="AJ923"/>
  <c r="AK923"/>
  <c r="AM923"/>
  <c r="AN923"/>
  <c r="AO923"/>
  <c r="AC924"/>
  <c r="AD924"/>
  <c r="AE924"/>
  <c r="AF924"/>
  <c r="AG924"/>
  <c r="AH924"/>
  <c r="AI924"/>
  <c r="AJ924"/>
  <c r="AK924"/>
  <c r="AM924"/>
  <c r="AN924"/>
  <c r="AO924"/>
  <c r="AC925"/>
  <c r="AD925"/>
  <c r="AE925"/>
  <c r="AF925"/>
  <c r="AG925"/>
  <c r="AH925"/>
  <c r="AI925"/>
  <c r="AJ925"/>
  <c r="AK925"/>
  <c r="AM925"/>
  <c r="AN925"/>
  <c r="AO925"/>
  <c r="AC926"/>
  <c r="AD926"/>
  <c r="AE926"/>
  <c r="AF926"/>
  <c r="AG926"/>
  <c r="AH926"/>
  <c r="AI926"/>
  <c r="AJ926"/>
  <c r="AK926"/>
  <c r="AM926"/>
  <c r="AN926"/>
  <c r="AO926"/>
  <c r="AC927"/>
  <c r="AD927"/>
  <c r="AE927"/>
  <c r="AF927"/>
  <c r="AG927"/>
  <c r="AH927"/>
  <c r="AI927"/>
  <c r="AJ927"/>
  <c r="AK927"/>
  <c r="AM927"/>
  <c r="AN927"/>
  <c r="AO927"/>
  <c r="AC928"/>
  <c r="AD928"/>
  <c r="AE928"/>
  <c r="AF928"/>
  <c r="AG928"/>
  <c r="AH928"/>
  <c r="AI928"/>
  <c r="AJ928"/>
  <c r="AK928"/>
  <c r="AM928"/>
  <c r="AN928"/>
  <c r="AO928"/>
  <c r="AC929"/>
  <c r="AD929"/>
  <c r="AE929"/>
  <c r="AF929"/>
  <c r="AG929"/>
  <c r="AH929"/>
  <c r="AI929"/>
  <c r="AJ929"/>
  <c r="AK929"/>
  <c r="AM929"/>
  <c r="AN929"/>
  <c r="AO929"/>
  <c r="AC930"/>
  <c r="AD930"/>
  <c r="AE930"/>
  <c r="AF930"/>
  <c r="AG930"/>
  <c r="AH930"/>
  <c r="AI930"/>
  <c r="AJ930"/>
  <c r="AK930"/>
  <c r="AM930"/>
  <c r="AN930"/>
  <c r="AO930"/>
  <c r="AC931"/>
  <c r="AD931"/>
  <c r="AE931"/>
  <c r="AF931"/>
  <c r="AG931"/>
  <c r="AH931"/>
  <c r="AI931"/>
  <c r="AJ931"/>
  <c r="AK931"/>
  <c r="AM931"/>
  <c r="AN931"/>
  <c r="AO931"/>
  <c r="AC932"/>
  <c r="AD932"/>
  <c r="AE932"/>
  <c r="AF932"/>
  <c r="AG932"/>
  <c r="AH932"/>
  <c r="AI932"/>
  <c r="AJ932"/>
  <c r="AK932"/>
  <c r="AM932"/>
  <c r="AN932"/>
  <c r="AO932"/>
  <c r="AC933"/>
  <c r="AD933"/>
  <c r="AE933"/>
  <c r="AF933"/>
  <c r="AG933"/>
  <c r="AH933"/>
  <c r="AI933"/>
  <c r="AJ933"/>
  <c r="AK933"/>
  <c r="AM933"/>
  <c r="AN933"/>
  <c r="AO933"/>
  <c r="AC934"/>
  <c r="AD934"/>
  <c r="AE934"/>
  <c r="AF934"/>
  <c r="AG934"/>
  <c r="AH934"/>
  <c r="AI934"/>
  <c r="AJ934"/>
  <c r="AK934"/>
  <c r="AM934"/>
  <c r="AN934"/>
  <c r="AO934"/>
  <c r="AC935"/>
  <c r="AD935"/>
  <c r="AE935"/>
  <c r="AF935"/>
  <c r="AG935"/>
  <c r="AH935"/>
  <c r="AI935"/>
  <c r="AJ935"/>
  <c r="AK935"/>
  <c r="AM935"/>
  <c r="AN935"/>
  <c r="AO935"/>
  <c r="AC936"/>
  <c r="AD936"/>
  <c r="AE936"/>
  <c r="AF936"/>
  <c r="AG936"/>
  <c r="AH936"/>
  <c r="AI936"/>
  <c r="AJ936"/>
  <c r="AK936"/>
  <c r="AM936"/>
  <c r="AN936"/>
  <c r="AO936"/>
  <c r="AC937"/>
  <c r="AD937"/>
  <c r="AE937"/>
  <c r="AF937"/>
  <c r="AG937"/>
  <c r="AH937"/>
  <c r="AI937"/>
  <c r="AJ937"/>
  <c r="AK937"/>
  <c r="AM937"/>
  <c r="AN937"/>
  <c r="AO937"/>
  <c r="AC938"/>
  <c r="AD938"/>
  <c r="AE938"/>
  <c r="AF938"/>
  <c r="AG938"/>
  <c r="AH938"/>
  <c r="AI938"/>
  <c r="AJ938"/>
  <c r="AK938"/>
  <c r="AM938"/>
  <c r="AN938"/>
  <c r="AO938"/>
  <c r="AC939"/>
  <c r="AD939"/>
  <c r="AE939"/>
  <c r="AF939"/>
  <c r="AG939"/>
  <c r="AH939"/>
  <c r="AI939"/>
  <c r="AJ939"/>
  <c r="AK939"/>
  <c r="AM939"/>
  <c r="AN939"/>
  <c r="AO939"/>
  <c r="AC940"/>
  <c r="AD940"/>
  <c r="AE940"/>
  <c r="AF940"/>
  <c r="AG940"/>
  <c r="AH940"/>
  <c r="AI940"/>
  <c r="AJ940"/>
  <c r="AK940"/>
  <c r="AM940"/>
  <c r="AN940"/>
  <c r="AO940"/>
  <c r="AC941"/>
  <c r="AD941"/>
  <c r="AE941"/>
  <c r="AF941"/>
  <c r="AG941"/>
  <c r="AH941"/>
  <c r="AI941"/>
  <c r="AJ941"/>
  <c r="AK941"/>
  <c r="AM941"/>
  <c r="AN941"/>
  <c r="AO941"/>
  <c r="AC942"/>
  <c r="AD942"/>
  <c r="AE942"/>
  <c r="AF942"/>
  <c r="AG942"/>
  <c r="AH942"/>
  <c r="AI942"/>
  <c r="AJ942"/>
  <c r="AK942"/>
  <c r="AM942"/>
  <c r="AN942"/>
  <c r="AO942"/>
  <c r="AC943"/>
  <c r="AD943"/>
  <c r="AE943"/>
  <c r="AF943"/>
  <c r="AG943"/>
  <c r="AH943"/>
  <c r="AI943"/>
  <c r="AJ943"/>
  <c r="AK943"/>
  <c r="AM943"/>
  <c r="AN943"/>
  <c r="AO943"/>
  <c r="AC944"/>
  <c r="AD944"/>
  <c r="AE944"/>
  <c r="AF944"/>
  <c r="AG944"/>
  <c r="AH944"/>
  <c r="AI944"/>
  <c r="AJ944"/>
  <c r="AK944"/>
  <c r="AM944"/>
  <c r="AN944"/>
  <c r="AO944"/>
  <c r="AC945"/>
  <c r="AD945"/>
  <c r="AE945"/>
  <c r="AF945"/>
  <c r="AG945"/>
  <c r="AH945"/>
  <c r="AI945"/>
  <c r="AJ945"/>
  <c r="AK945"/>
  <c r="AM945"/>
  <c r="AN945"/>
  <c r="AO945"/>
  <c r="AC946"/>
  <c r="AD946"/>
  <c r="AE946"/>
  <c r="AF946"/>
  <c r="AG946"/>
  <c r="AH946"/>
  <c r="AI946"/>
  <c r="AJ946"/>
  <c r="AK946"/>
  <c r="AM946"/>
  <c r="AN946"/>
  <c r="AO946"/>
  <c r="AC947"/>
  <c r="AD947"/>
  <c r="AE947"/>
  <c r="AF947"/>
  <c r="AG947"/>
  <c r="AH947"/>
  <c r="AI947"/>
  <c r="AJ947"/>
  <c r="AK947"/>
  <c r="AM947"/>
  <c r="AN947"/>
  <c r="AO947"/>
  <c r="AC948"/>
  <c r="AD948"/>
  <c r="AE948"/>
  <c r="AF948"/>
  <c r="AG948"/>
  <c r="AH948"/>
  <c r="AI948"/>
  <c r="AJ948"/>
  <c r="AK948"/>
  <c r="AM948"/>
  <c r="AN948"/>
  <c r="AO948"/>
  <c r="AC949"/>
  <c r="AD949"/>
  <c r="AE949"/>
  <c r="AF949"/>
  <c r="AG949"/>
  <c r="AH949"/>
  <c r="AI949"/>
  <c r="AJ949"/>
  <c r="AK949"/>
  <c r="AM949"/>
  <c r="AN949"/>
  <c r="AO949"/>
  <c r="AC950"/>
  <c r="AD950"/>
  <c r="AE950"/>
  <c r="AF950"/>
  <c r="AG950"/>
  <c r="AH950"/>
  <c r="AI950"/>
  <c r="AJ950"/>
  <c r="AK950"/>
  <c r="AM950"/>
  <c r="AN950"/>
  <c r="AO950"/>
  <c r="AC951"/>
  <c r="AD951"/>
  <c r="AE951"/>
  <c r="AF951"/>
  <c r="AG951"/>
  <c r="AH951"/>
  <c r="AI951"/>
  <c r="AJ951"/>
  <c r="AK951"/>
  <c r="AM951"/>
  <c r="AN951"/>
  <c r="AO951"/>
  <c r="AC952"/>
  <c r="AD952"/>
  <c r="AE952"/>
  <c r="AF952"/>
  <c r="AG952"/>
  <c r="AH952"/>
  <c r="AI952"/>
  <c r="AJ952"/>
  <c r="AK952"/>
  <c r="AM952"/>
  <c r="AN952"/>
  <c r="AO952"/>
  <c r="AC953"/>
  <c r="AD953"/>
  <c r="AE953"/>
  <c r="AF953"/>
  <c r="AG953"/>
  <c r="AH953"/>
  <c r="AI953"/>
  <c r="AJ953"/>
  <c r="AK953"/>
  <c r="AM953"/>
  <c r="AN953"/>
  <c r="AO953"/>
  <c r="AC954"/>
  <c r="AD954"/>
  <c r="AE954"/>
  <c r="AF954"/>
  <c r="AG954"/>
  <c r="AH954"/>
  <c r="AI954"/>
  <c r="AJ954"/>
  <c r="AK954"/>
  <c r="AM954"/>
  <c r="AN954"/>
  <c r="AO954"/>
  <c r="AC955"/>
  <c r="AD955"/>
  <c r="AE955"/>
  <c r="AF955"/>
  <c r="AG955"/>
  <c r="AH955"/>
  <c r="AI955"/>
  <c r="AJ955"/>
  <c r="AK955"/>
  <c r="AM955"/>
  <c r="AN955"/>
  <c r="AO955"/>
  <c r="AC956"/>
  <c r="AD956"/>
  <c r="AE956"/>
  <c r="AF956"/>
  <c r="AG956"/>
  <c r="AH956"/>
  <c r="AI956"/>
  <c r="AJ956"/>
  <c r="AK956"/>
  <c r="AM956"/>
  <c r="AN956"/>
  <c r="AO956"/>
  <c r="AC957"/>
  <c r="AD957"/>
  <c r="AE957"/>
  <c r="AF957"/>
  <c r="AG957"/>
  <c r="AH957"/>
  <c r="AI957"/>
  <c r="AJ957"/>
  <c r="AK957"/>
  <c r="AM957"/>
  <c r="AN957"/>
  <c r="AO957"/>
  <c r="AC958"/>
  <c r="AD958"/>
  <c r="AE958"/>
  <c r="AF958"/>
  <c r="AG958"/>
  <c r="AH958"/>
  <c r="AI958"/>
  <c r="AJ958"/>
  <c r="AK958"/>
  <c r="AM958"/>
  <c r="AN958"/>
  <c r="AO958"/>
  <c r="AC959"/>
  <c r="AD959"/>
  <c r="AE959"/>
  <c r="AF959"/>
  <c r="AG959"/>
  <c r="AH959"/>
  <c r="AI959"/>
  <c r="AJ959"/>
  <c r="AK959"/>
  <c r="AM959"/>
  <c r="AN959"/>
  <c r="AO959"/>
  <c r="AC960"/>
  <c r="AD960"/>
  <c r="AE960"/>
  <c r="AF960"/>
  <c r="AG960"/>
  <c r="AH960"/>
  <c r="AI960"/>
  <c r="AJ960"/>
  <c r="AK960"/>
  <c r="AM960"/>
  <c r="AN960"/>
  <c r="AO960"/>
  <c r="AC961"/>
  <c r="AD961"/>
  <c r="AE961"/>
  <c r="AF961"/>
  <c r="AG961"/>
  <c r="AH961"/>
  <c r="AI961"/>
  <c r="AJ961"/>
  <c r="AK961"/>
  <c r="AM961"/>
  <c r="AN961"/>
  <c r="AO961"/>
  <c r="AC962"/>
  <c r="AD962"/>
  <c r="AE962"/>
  <c r="AF962"/>
  <c r="AG962"/>
  <c r="AH962"/>
  <c r="AI962"/>
  <c r="AJ962"/>
  <c r="AK962"/>
  <c r="AM962"/>
  <c r="AN962"/>
  <c r="AO962"/>
  <c r="AC963"/>
  <c r="AD963"/>
  <c r="AE963"/>
  <c r="AF963"/>
  <c r="AG963"/>
  <c r="AH963"/>
  <c r="AI963"/>
  <c r="AJ963"/>
  <c r="AK963"/>
  <c r="AM963"/>
  <c r="AN963"/>
  <c r="AO963"/>
  <c r="AC964"/>
  <c r="AD964"/>
  <c r="AE964"/>
  <c r="AF964"/>
  <c r="AG964"/>
  <c r="AH964"/>
  <c r="AI964"/>
  <c r="AJ964"/>
  <c r="AK964"/>
  <c r="AM964"/>
  <c r="AN964"/>
  <c r="AO964"/>
  <c r="AC965"/>
  <c r="AD965"/>
  <c r="AE965"/>
  <c r="AF965"/>
  <c r="AG965"/>
  <c r="AH965"/>
  <c r="AI965"/>
  <c r="AJ965"/>
  <c r="AK965"/>
  <c r="AM965"/>
  <c r="AN965"/>
  <c r="AO965"/>
  <c r="AC966"/>
  <c r="AD966"/>
  <c r="AE966"/>
  <c r="AF966"/>
  <c r="AG966"/>
  <c r="AH966"/>
  <c r="AI966"/>
  <c r="AJ966"/>
  <c r="AK966"/>
  <c r="AM966"/>
  <c r="AN966"/>
  <c r="AO966"/>
  <c r="AC967"/>
  <c r="AD967"/>
  <c r="AE967"/>
  <c r="AF967"/>
  <c r="AG967"/>
  <c r="AH967"/>
  <c r="AI967"/>
  <c r="AJ967"/>
  <c r="AK967"/>
  <c r="AM967"/>
  <c r="AN967"/>
  <c r="AO967"/>
  <c r="AC968"/>
  <c r="AD968"/>
  <c r="AE968"/>
  <c r="AF968"/>
  <c r="AG968"/>
  <c r="AH968"/>
  <c r="AI968"/>
  <c r="AJ968"/>
  <c r="AK968"/>
  <c r="AM968"/>
  <c r="AN968"/>
  <c r="AO968"/>
  <c r="AC969"/>
  <c r="AD969"/>
  <c r="AE969"/>
  <c r="AF969"/>
  <c r="AG969"/>
  <c r="AH969"/>
  <c r="AI969"/>
  <c r="AJ969"/>
  <c r="AK969"/>
  <c r="AM969"/>
  <c r="AN969"/>
  <c r="AO969"/>
  <c r="AC970"/>
  <c r="AD970"/>
  <c r="AE970"/>
  <c r="AF970"/>
  <c r="AG970"/>
  <c r="AH970"/>
  <c r="AI970"/>
  <c r="AJ970"/>
  <c r="AK970"/>
  <c r="AM970"/>
  <c r="AN970"/>
  <c r="AO970"/>
  <c r="AC971"/>
  <c r="AD971"/>
  <c r="AE971"/>
  <c r="AF971"/>
  <c r="AG971"/>
  <c r="AH971"/>
  <c r="AI971"/>
  <c r="AJ971"/>
  <c r="AK971"/>
  <c r="AM971"/>
  <c r="AN971"/>
  <c r="AO971"/>
  <c r="AC972"/>
  <c r="AD972"/>
  <c r="AE972"/>
  <c r="AF972"/>
  <c r="AG972"/>
  <c r="AH972"/>
  <c r="AI972"/>
  <c r="AJ972"/>
  <c r="AK972"/>
  <c r="AM972"/>
  <c r="AN972"/>
  <c r="AO972"/>
  <c r="AC973"/>
  <c r="AD973"/>
  <c r="AE973"/>
  <c r="AF973"/>
  <c r="AG973"/>
  <c r="AH973"/>
  <c r="AI973"/>
  <c r="AJ973"/>
  <c r="AK973"/>
  <c r="AM973"/>
  <c r="AN973"/>
  <c r="AO973"/>
  <c r="AC974"/>
  <c r="AD974"/>
  <c r="AE974"/>
  <c r="AF974"/>
  <c r="AG974"/>
  <c r="AH974"/>
  <c r="AI974"/>
  <c r="AJ974"/>
  <c r="AK974"/>
  <c r="AM974"/>
  <c r="AN974"/>
  <c r="AO974"/>
  <c r="AC975"/>
  <c r="AD975"/>
  <c r="AE975"/>
  <c r="AF975"/>
  <c r="AG975"/>
  <c r="AH975"/>
  <c r="AI975"/>
  <c r="AJ975"/>
  <c r="AK975"/>
  <c r="AM975"/>
  <c r="AN975"/>
  <c r="AO975"/>
  <c r="AC976"/>
  <c r="AD976"/>
  <c r="AE976"/>
  <c r="AF976"/>
  <c r="AG976"/>
  <c r="AH976"/>
  <c r="AI976"/>
  <c r="AJ976"/>
  <c r="AK976"/>
  <c r="AM976"/>
  <c r="AN976"/>
  <c r="AO976"/>
  <c r="AC977"/>
  <c r="AD977"/>
  <c r="AE977"/>
  <c r="AF977"/>
  <c r="AG977"/>
  <c r="AH977"/>
  <c r="AI977"/>
  <c r="AJ977"/>
  <c r="AK977"/>
  <c r="AM977"/>
  <c r="AN977"/>
  <c r="AO977"/>
  <c r="AC978"/>
  <c r="AD978"/>
  <c r="AE978"/>
  <c r="AF978"/>
  <c r="AG978"/>
  <c r="AH978"/>
  <c r="AI978"/>
  <c r="AJ978"/>
  <c r="AK978"/>
  <c r="AM978"/>
  <c r="AN978"/>
  <c r="AO978"/>
  <c r="AC979"/>
  <c r="AD979"/>
  <c r="AE979"/>
  <c r="AF979"/>
  <c r="AG979"/>
  <c r="AH979"/>
  <c r="AI979"/>
  <c r="AJ979"/>
  <c r="AK979"/>
  <c r="AM979"/>
  <c r="AN979"/>
  <c r="AO979"/>
  <c r="AC980"/>
  <c r="AD980"/>
  <c r="AE980"/>
  <c r="AF980"/>
  <c r="AG980"/>
  <c r="AH980"/>
  <c r="AI980"/>
  <c r="AJ980"/>
  <c r="AK980"/>
  <c r="AM980"/>
  <c r="AN980"/>
  <c r="AO980"/>
  <c r="AC981"/>
  <c r="AD981"/>
  <c r="AE981"/>
  <c r="AF981"/>
  <c r="AG981"/>
  <c r="AH981"/>
  <c r="AI981"/>
  <c r="AJ981"/>
  <c r="AK981"/>
  <c r="AM981"/>
  <c r="AN981"/>
  <c r="AO981"/>
  <c r="AC982"/>
  <c r="AD982"/>
  <c r="AE982"/>
  <c r="AF982"/>
  <c r="AG982"/>
  <c r="AH982"/>
  <c r="AI982"/>
  <c r="AJ982"/>
  <c r="AK982"/>
  <c r="AM982"/>
  <c r="AN982"/>
  <c r="AO982"/>
  <c r="AC983"/>
  <c r="AD983"/>
  <c r="AE983"/>
  <c r="AF983"/>
  <c r="AG983"/>
  <c r="AH983"/>
  <c r="AI983"/>
  <c r="AJ983"/>
  <c r="AK983"/>
  <c r="AM983"/>
  <c r="AN983"/>
  <c r="AO983"/>
  <c r="AC984"/>
  <c r="AD984"/>
  <c r="AE984"/>
  <c r="AF984"/>
  <c r="AG984"/>
  <c r="AH984"/>
  <c r="AI984"/>
  <c r="AJ984"/>
  <c r="AK984"/>
  <c r="AM984"/>
  <c r="AN984"/>
  <c r="AO984"/>
  <c r="AC985"/>
  <c r="AD985"/>
  <c r="AE985"/>
  <c r="AF985"/>
  <c r="AG985"/>
  <c r="AH985"/>
  <c r="AI985"/>
  <c r="AJ985"/>
  <c r="AK985"/>
  <c r="AM985"/>
  <c r="AN985"/>
  <c r="AO985"/>
  <c r="AC986"/>
  <c r="AD986"/>
  <c r="AE986"/>
  <c r="AF986"/>
  <c r="AG986"/>
  <c r="AH986"/>
  <c r="AI986"/>
  <c r="AJ986"/>
  <c r="AK986"/>
  <c r="AM986"/>
  <c r="AN986"/>
  <c r="AO986"/>
  <c r="AC987"/>
  <c r="AD987"/>
  <c r="AE987"/>
  <c r="AF987"/>
  <c r="AG987"/>
  <c r="AH987"/>
  <c r="AI987"/>
  <c r="AJ987"/>
  <c r="AK987"/>
  <c r="AM987"/>
  <c r="AN987"/>
  <c r="AO987"/>
  <c r="AC988"/>
  <c r="AD988"/>
  <c r="AE988"/>
  <c r="AF988"/>
  <c r="AG988"/>
  <c r="AH988"/>
  <c r="AI988"/>
  <c r="AJ988"/>
  <c r="AK988"/>
  <c r="AM988"/>
  <c r="AN988"/>
  <c r="AO988"/>
  <c r="AC989"/>
  <c r="AD989"/>
  <c r="AE989"/>
  <c r="AF989"/>
  <c r="AG989"/>
  <c r="AH989"/>
  <c r="AI989"/>
  <c r="AJ989"/>
  <c r="AK989"/>
  <c r="AM989"/>
  <c r="AN989"/>
  <c r="AO989"/>
  <c r="AC990"/>
  <c r="AD990"/>
  <c r="AE990"/>
  <c r="AF990"/>
  <c r="AG990"/>
  <c r="AH990"/>
  <c r="AI990"/>
  <c r="AJ990"/>
  <c r="AK990"/>
  <c r="AM990"/>
  <c r="AN990"/>
  <c r="AO990"/>
  <c r="AC991"/>
  <c r="AD991"/>
  <c r="AE991"/>
  <c r="AF991"/>
  <c r="AG991"/>
  <c r="AH991"/>
  <c r="AI991"/>
  <c r="AJ991"/>
  <c r="AK991"/>
  <c r="AM991"/>
  <c r="AN991"/>
  <c r="AO991"/>
  <c r="AC992"/>
  <c r="AD992"/>
  <c r="AE992"/>
  <c r="AF992"/>
  <c r="AG992"/>
  <c r="AH992"/>
  <c r="AI992"/>
  <c r="AJ992"/>
  <c r="AK992"/>
  <c r="AM992"/>
  <c r="AN992"/>
  <c r="AO992"/>
  <c r="AC993"/>
  <c r="AD993"/>
  <c r="AE993"/>
  <c r="AF993"/>
  <c r="AG993"/>
  <c r="AH993"/>
  <c r="AI993"/>
  <c r="AJ993"/>
  <c r="AK993"/>
  <c r="AM993"/>
  <c r="AN993"/>
  <c r="AO993"/>
  <c r="AC994"/>
  <c r="AD994"/>
  <c r="AE994"/>
  <c r="AF994"/>
  <c r="AG994"/>
  <c r="AH994"/>
  <c r="AI994"/>
  <c r="AJ994"/>
  <c r="AK994"/>
  <c r="AM994"/>
  <c r="AN994"/>
  <c r="AO994"/>
  <c r="AC995"/>
  <c r="AD995"/>
  <c r="AE995"/>
  <c r="AF995"/>
  <c r="AG995"/>
  <c r="AH995"/>
  <c r="AI995"/>
  <c r="AJ995"/>
  <c r="AK995"/>
  <c r="AM995"/>
  <c r="AN995"/>
  <c r="AO995"/>
  <c r="AC996"/>
  <c r="AD996"/>
  <c r="AE996"/>
  <c r="AF996"/>
  <c r="AG996"/>
  <c r="AH996"/>
  <c r="AI996"/>
  <c r="AJ996"/>
  <c r="AK996"/>
  <c r="AM996"/>
  <c r="AN996"/>
  <c r="AO996"/>
  <c r="AC997"/>
  <c r="AD997"/>
  <c r="AE997"/>
  <c r="AF997"/>
  <c r="AG997"/>
  <c r="AH997"/>
  <c r="AI997"/>
  <c r="AJ997"/>
  <c r="AK997"/>
  <c r="AM997"/>
  <c r="AN997"/>
  <c r="AO997"/>
  <c r="AC998"/>
  <c r="AD998"/>
  <c r="AE998"/>
  <c r="AF998"/>
  <c r="AG998"/>
  <c r="AH998"/>
  <c r="AI998"/>
  <c r="AJ998"/>
  <c r="AK998"/>
  <c r="AM998"/>
  <c r="AN998"/>
  <c r="AO998"/>
  <c r="AC999"/>
  <c r="AD999"/>
  <c r="AE999"/>
  <c r="AF999"/>
  <c r="AG999"/>
  <c r="AH999"/>
  <c r="AI999"/>
  <c r="AJ999"/>
  <c r="AK999"/>
  <c r="AM999"/>
  <c r="AN999"/>
  <c r="AO999"/>
  <c r="AO3"/>
  <c r="AO4"/>
  <c r="AO5"/>
  <c r="AO6"/>
  <c r="AO7"/>
  <c r="AO8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"/>
  <c r="AM3"/>
  <c r="AM4"/>
  <c r="AM5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"/>
  <c r="AK3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"/>
  <c r="Z2" i="4"/>
  <c r="AL999" i="15" l="1"/>
  <c r="AL998"/>
  <c r="AL997"/>
  <c r="AL996"/>
  <c r="AL995"/>
  <c r="AL994"/>
  <c r="AL993"/>
  <c r="AL992"/>
  <c r="AL991"/>
  <c r="AL990"/>
  <c r="AL989"/>
  <c r="AL988"/>
  <c r="AL987"/>
  <c r="AL986"/>
  <c r="AL985"/>
  <c r="AL984"/>
  <c r="AL983"/>
  <c r="AL982"/>
  <c r="AL981"/>
  <c r="AL980"/>
  <c r="AL979"/>
  <c r="AL978"/>
  <c r="AL977"/>
  <c r="AL976"/>
  <c r="AL975"/>
  <c r="AL974"/>
  <c r="AL973"/>
  <c r="AL972"/>
  <c r="AL971"/>
  <c r="AL970"/>
  <c r="AL969"/>
  <c r="AL968"/>
  <c r="AL967"/>
  <c r="AL966"/>
  <c r="AL965"/>
  <c r="AL964"/>
  <c r="AL963"/>
  <c r="AL962"/>
  <c r="AL961"/>
  <c r="AL960"/>
  <c r="AL959"/>
  <c r="AL958"/>
  <c r="AL957"/>
  <c r="AL956"/>
  <c r="AL955"/>
  <c r="AL954"/>
  <c r="AL953"/>
  <c r="AL952"/>
  <c r="AL951"/>
  <c r="AL950"/>
  <c r="AL949"/>
  <c r="AL948"/>
  <c r="AL947"/>
  <c r="AL946"/>
  <c r="AL945"/>
  <c r="AL944"/>
  <c r="AL943"/>
  <c r="AL942"/>
  <c r="AL941"/>
  <c r="AL940"/>
  <c r="AL939"/>
  <c r="AL938"/>
  <c r="AL937"/>
  <c r="AL936"/>
  <c r="AL935"/>
  <c r="AL934"/>
  <c r="AL933"/>
  <c r="AL932"/>
  <c r="AL931"/>
  <c r="AL930"/>
  <c r="AL929"/>
  <c r="AL928"/>
  <c r="AL927"/>
  <c r="AL926"/>
  <c r="AL925"/>
  <c r="AL924"/>
  <c r="AL923"/>
  <c r="AL922"/>
  <c r="AL921"/>
  <c r="AL920"/>
  <c r="AL919"/>
  <c r="AL918"/>
  <c r="AL917"/>
  <c r="AL916"/>
  <c r="AL915"/>
  <c r="AL914"/>
  <c r="AL913"/>
  <c r="AL912"/>
  <c r="AL911"/>
  <c r="AL910"/>
  <c r="AL909"/>
  <c r="AL908"/>
  <c r="AL907"/>
  <c r="AL906"/>
  <c r="AL905"/>
  <c r="AL904"/>
  <c r="AL903"/>
  <c r="AL902"/>
  <c r="AL901"/>
  <c r="AL900"/>
  <c r="AL899"/>
  <c r="AL898"/>
  <c r="AL897"/>
  <c r="AL896"/>
  <c r="AL895"/>
  <c r="AL894"/>
  <c r="AL893"/>
  <c r="AL892"/>
  <c r="AL891"/>
  <c r="AL890"/>
  <c r="AL889"/>
  <c r="AL888"/>
  <c r="AL887"/>
  <c r="AL886"/>
  <c r="AL885"/>
  <c r="AL884"/>
  <c r="AL883"/>
  <c r="AL882"/>
  <c r="AL881"/>
  <c r="AL880"/>
  <c r="AL879"/>
  <c r="AL878"/>
  <c r="AL877"/>
  <c r="AL876"/>
  <c r="AL875"/>
  <c r="AL874"/>
  <c r="AL873"/>
  <c r="AL872"/>
  <c r="AL871"/>
  <c r="AL870"/>
  <c r="AL869"/>
  <c r="AL868"/>
  <c r="AL867"/>
  <c r="AL866"/>
  <c r="AL865"/>
  <c r="AL864"/>
  <c r="AL863"/>
  <c r="AL862"/>
  <c r="AL861"/>
  <c r="AL860"/>
  <c r="AL859"/>
  <c r="AL858"/>
  <c r="AL857"/>
  <c r="AL856"/>
  <c r="AL855"/>
  <c r="AL854"/>
  <c r="AL853"/>
  <c r="AL852"/>
  <c r="AL851"/>
  <c r="AL850"/>
  <c r="AL849"/>
  <c r="AL848"/>
  <c r="AL847"/>
  <c r="AL846"/>
  <c r="AL845"/>
  <c r="AL844"/>
  <c r="AL843"/>
  <c r="AL842"/>
  <c r="AL841"/>
  <c r="AL840"/>
  <c r="AL839"/>
  <c r="AL838"/>
  <c r="AL837"/>
  <c r="AL836"/>
  <c r="AL835"/>
  <c r="AL834"/>
  <c r="AL833"/>
  <c r="AL832"/>
  <c r="AL831"/>
  <c r="AL830"/>
  <c r="AL829"/>
  <c r="AL828"/>
  <c r="AL827"/>
  <c r="AL826"/>
  <c r="AL825"/>
  <c r="AL824"/>
  <c r="AL823"/>
  <c r="AL822"/>
  <c r="AL821"/>
  <c r="AL820"/>
  <c r="AL819"/>
  <c r="AL818"/>
  <c r="AL817"/>
  <c r="AL816"/>
  <c r="AL815"/>
  <c r="AL814"/>
  <c r="AL813"/>
  <c r="AL812"/>
  <c r="AL811"/>
  <c r="AL810"/>
  <c r="AL809"/>
  <c r="AL808"/>
  <c r="AL807"/>
  <c r="AL806"/>
  <c r="AL805"/>
  <c r="AL804"/>
  <c r="AL803"/>
  <c r="AL802"/>
  <c r="AL801"/>
  <c r="AL800"/>
  <c r="AL799"/>
  <c r="AL798"/>
  <c r="AL797"/>
  <c r="AL796"/>
  <c r="AL795"/>
  <c r="AL794"/>
  <c r="AL793"/>
  <c r="AL792"/>
  <c r="AL791"/>
  <c r="AL790"/>
  <c r="AL789"/>
  <c r="AL788"/>
  <c r="AL787"/>
  <c r="AL786"/>
  <c r="AL785"/>
  <c r="AL784"/>
  <c r="AL783"/>
  <c r="AL782"/>
  <c r="AL781"/>
  <c r="AL780"/>
  <c r="AL779"/>
  <c r="AL778"/>
  <c r="AL777"/>
  <c r="AL776"/>
  <c r="AL775"/>
  <c r="AL774"/>
  <c r="AL773"/>
  <c r="AL772"/>
  <c r="AL771"/>
  <c r="AL770"/>
  <c r="AL769"/>
  <c r="AL768"/>
  <c r="AL767"/>
  <c r="AL766"/>
  <c r="AL765"/>
  <c r="AL764"/>
  <c r="AL763"/>
  <c r="AL762"/>
  <c r="AL761"/>
  <c r="AL760"/>
  <c r="AL759"/>
  <c r="AL758"/>
  <c r="AL757"/>
  <c r="AL756"/>
  <c r="AL755"/>
  <c r="AL754"/>
  <c r="AL753"/>
  <c r="AL752"/>
  <c r="AL751"/>
  <c r="AL750"/>
  <c r="AL749"/>
  <c r="AL748"/>
  <c r="AL747"/>
  <c r="AL746"/>
  <c r="AL745"/>
  <c r="AL744"/>
  <c r="AL743"/>
  <c r="AL742"/>
  <c r="AL741"/>
  <c r="AL740"/>
  <c r="AL739"/>
  <c r="AL738"/>
  <c r="AL737"/>
  <c r="AL736"/>
  <c r="AL735"/>
  <c r="AL734"/>
  <c r="AL733"/>
  <c r="AL732"/>
  <c r="AL731"/>
  <c r="AL730"/>
  <c r="AL729"/>
  <c r="AL728"/>
  <c r="AL727"/>
  <c r="AL726"/>
  <c r="AL725"/>
  <c r="AL724"/>
  <c r="AL723"/>
  <c r="AL722"/>
  <c r="AL721"/>
  <c r="AL720"/>
  <c r="AL719"/>
  <c r="AL718"/>
  <c r="AL717"/>
  <c r="AL716"/>
  <c r="AL715"/>
  <c r="AL714"/>
  <c r="AL713"/>
  <c r="AL712"/>
  <c r="AL711"/>
  <c r="AL710"/>
  <c r="AL709"/>
  <c r="AL708"/>
  <c r="AL707"/>
  <c r="AL706"/>
  <c r="AL705"/>
  <c r="AL704"/>
  <c r="AL703"/>
  <c r="AL702"/>
  <c r="AL701"/>
  <c r="AL700"/>
  <c r="AL699"/>
  <c r="AL698"/>
  <c r="AL697"/>
  <c r="AL696"/>
  <c r="AL695"/>
  <c r="AL694"/>
  <c r="AL693"/>
  <c r="AL692"/>
  <c r="AL691"/>
  <c r="AL690"/>
  <c r="AL689"/>
  <c r="AL688"/>
  <c r="AL687"/>
  <c r="AL686"/>
  <c r="AL685"/>
  <c r="AL684"/>
  <c r="AL683"/>
  <c r="AL682"/>
  <c r="AL681"/>
  <c r="AL680"/>
  <c r="AL679"/>
  <c r="AL678"/>
  <c r="AL677"/>
  <c r="AL676"/>
  <c r="AL675"/>
  <c r="AL674"/>
  <c r="AL673"/>
  <c r="AL672"/>
  <c r="AL671"/>
  <c r="AL670"/>
  <c r="AL669"/>
  <c r="AL668"/>
  <c r="AL667"/>
  <c r="AL666"/>
  <c r="AL665"/>
  <c r="AL664"/>
  <c r="AL663"/>
  <c r="AL662"/>
  <c r="AL661"/>
  <c r="AL660"/>
  <c r="AL659"/>
  <c r="AL658"/>
  <c r="AL657"/>
  <c r="AL656"/>
  <c r="AL655"/>
  <c r="AL654"/>
  <c r="AL653"/>
  <c r="AL652"/>
  <c r="AL651"/>
  <c r="AL650"/>
  <c r="AL649"/>
  <c r="AL648"/>
  <c r="AL647"/>
  <c r="AL646"/>
  <c r="AL645"/>
  <c r="AL644"/>
  <c r="AL643"/>
  <c r="AL642"/>
  <c r="AL641"/>
  <c r="AL640"/>
  <c r="AL639"/>
  <c r="AL638"/>
  <c r="AL637"/>
  <c r="AL636"/>
  <c r="AL635"/>
  <c r="AL634"/>
  <c r="AL633"/>
  <c r="AL632"/>
  <c r="AL631"/>
  <c r="AL630"/>
  <c r="AL629"/>
  <c r="AL628"/>
  <c r="AL627"/>
  <c r="AL626"/>
  <c r="AL625"/>
  <c r="AL624"/>
  <c r="AL623"/>
  <c r="AL622"/>
  <c r="AL621"/>
  <c r="AL620"/>
  <c r="AL619"/>
  <c r="AL618"/>
  <c r="AL617"/>
  <c r="AL616"/>
  <c r="AL615"/>
  <c r="AL614"/>
  <c r="AL613"/>
  <c r="AL612"/>
  <c r="AL611"/>
  <c r="AL610"/>
  <c r="AL609"/>
  <c r="AL608"/>
  <c r="AL607"/>
  <c r="AL606"/>
  <c r="AL605"/>
  <c r="AL604"/>
  <c r="AL603"/>
  <c r="AL602"/>
  <c r="AL601"/>
  <c r="AL600"/>
  <c r="AL599"/>
  <c r="AL598"/>
  <c r="AL597"/>
  <c r="AL596"/>
  <c r="AL595"/>
  <c r="AL594"/>
  <c r="AL593"/>
  <c r="AL592"/>
  <c r="AL591"/>
  <c r="AL590"/>
  <c r="AL589"/>
  <c r="AL588"/>
  <c r="AL587"/>
  <c r="AL586"/>
  <c r="AL585"/>
  <c r="AL584"/>
  <c r="AL583"/>
  <c r="AL582"/>
  <c r="AL581"/>
  <c r="AL580"/>
  <c r="AL579"/>
  <c r="AL578"/>
  <c r="AL577"/>
  <c r="AL576"/>
  <c r="AL575"/>
  <c r="AL574"/>
  <c r="AL573"/>
  <c r="AL572"/>
  <c r="AL571"/>
  <c r="AL570"/>
  <c r="AL569"/>
  <c r="AL568"/>
  <c r="AL567"/>
  <c r="AL566"/>
  <c r="AL565"/>
  <c r="AL564"/>
  <c r="AL563"/>
  <c r="AL562"/>
  <c r="AL561"/>
  <c r="AL560"/>
  <c r="AL559"/>
  <c r="AL558"/>
  <c r="AL557"/>
  <c r="AL556"/>
  <c r="AL555"/>
  <c r="AL554"/>
  <c r="AL553"/>
  <c r="AL552"/>
  <c r="AL551"/>
  <c r="AL550"/>
  <c r="AL549"/>
  <c r="AL548"/>
  <c r="AL547"/>
  <c r="AL546"/>
  <c r="AL545"/>
  <c r="AL544"/>
  <c r="AL543"/>
  <c r="AL542"/>
  <c r="AL541"/>
  <c r="AL540"/>
  <c r="AL539"/>
  <c r="AL538"/>
  <c r="AL537"/>
  <c r="AL536"/>
  <c r="AL535"/>
  <c r="AL534"/>
  <c r="AL533"/>
  <c r="AL532"/>
  <c r="AL531"/>
  <c r="AL530"/>
  <c r="AL529"/>
  <c r="AL528"/>
  <c r="AL527"/>
  <c r="AL526"/>
  <c r="AL525"/>
  <c r="AL524"/>
  <c r="AL523"/>
  <c r="AL522"/>
  <c r="AL521"/>
  <c r="AL520"/>
  <c r="AL519"/>
  <c r="AL518"/>
  <c r="AL517"/>
  <c r="AL516"/>
  <c r="AL515"/>
  <c r="AL514"/>
  <c r="AL513"/>
  <c r="AL512"/>
  <c r="AL511"/>
  <c r="AL510"/>
  <c r="AL509"/>
  <c r="AL508"/>
  <c r="AL507"/>
  <c r="AL506"/>
  <c r="AL505"/>
  <c r="AL504"/>
  <c r="AL503"/>
  <c r="AL502"/>
  <c r="AL501"/>
  <c r="AL500"/>
  <c r="AL499"/>
  <c r="AL498"/>
  <c r="AL497"/>
  <c r="AL496"/>
  <c r="AL495"/>
  <c r="AL494"/>
  <c r="AL493"/>
  <c r="AL492"/>
  <c r="AL491"/>
  <c r="AL490"/>
  <c r="AL489"/>
  <c r="AL488"/>
  <c r="AL487"/>
  <c r="AL486"/>
  <c r="AL485"/>
  <c r="AL484"/>
  <c r="AL483"/>
  <c r="AL482"/>
  <c r="AL481"/>
  <c r="AL480"/>
  <c r="AL479"/>
  <c r="AL478"/>
  <c r="AL477"/>
  <c r="AL476"/>
  <c r="AL475"/>
  <c r="AL474"/>
  <c r="AL473"/>
  <c r="AL472"/>
  <c r="AL471"/>
  <c r="AL470"/>
  <c r="AL469"/>
  <c r="AL468"/>
  <c r="AL467"/>
  <c r="AL466"/>
  <c r="AL465"/>
  <c r="AL464"/>
  <c r="AL463"/>
  <c r="AL462"/>
  <c r="AL461"/>
  <c r="AL460"/>
  <c r="AL459"/>
  <c r="AL458"/>
  <c r="AL457"/>
  <c r="AL456"/>
  <c r="AL455"/>
  <c r="AL454"/>
  <c r="AL453"/>
  <c r="AL452"/>
  <c r="AL451"/>
  <c r="AL450"/>
  <c r="AL449"/>
  <c r="AL448"/>
  <c r="AL447"/>
  <c r="AL446"/>
  <c r="AL445"/>
  <c r="AL444"/>
  <c r="AL443"/>
  <c r="AL442"/>
  <c r="AL441"/>
  <c r="AL440"/>
  <c r="AL439"/>
  <c r="AL438"/>
  <c r="AL437"/>
  <c r="AL436"/>
  <c r="AL435"/>
  <c r="AL434"/>
  <c r="AL433"/>
  <c r="AL432"/>
  <c r="AL431"/>
  <c r="AL430"/>
  <c r="AL429"/>
  <c r="AL428"/>
  <c r="AL427"/>
  <c r="AL426"/>
  <c r="AL425"/>
  <c r="AL424"/>
  <c r="AL423"/>
  <c r="AL422"/>
  <c r="AL421"/>
  <c r="AL420"/>
  <c r="AL419"/>
  <c r="AL418"/>
  <c r="AL417"/>
  <c r="AL416"/>
  <c r="AL415"/>
  <c r="AL414"/>
  <c r="AL413"/>
  <c r="AL412"/>
  <c r="AL411"/>
  <c r="AL410"/>
  <c r="AL409"/>
  <c r="AL408"/>
  <c r="AL407"/>
  <c r="AL406"/>
  <c r="AL405"/>
  <c r="AL404"/>
  <c r="AL403"/>
  <c r="AL402"/>
  <c r="AL401"/>
  <c r="AL400"/>
  <c r="AL399"/>
  <c r="AL398"/>
  <c r="AL397"/>
  <c r="AL396"/>
  <c r="AL395"/>
  <c r="AL394"/>
  <c r="AL393"/>
  <c r="AL392"/>
  <c r="AL391"/>
  <c r="AL390"/>
  <c r="AL389"/>
  <c r="AL388"/>
  <c r="AL387"/>
  <c r="AL386"/>
  <c r="AL385"/>
  <c r="AL384"/>
  <c r="AL383"/>
  <c r="AL382"/>
  <c r="AL381"/>
  <c r="AL380"/>
  <c r="AL379"/>
  <c r="AL378"/>
  <c r="AL377"/>
  <c r="AL376"/>
  <c r="AL375"/>
  <c r="AL374"/>
  <c r="AL373"/>
  <c r="AL372"/>
  <c r="AL371"/>
  <c r="AL370"/>
  <c r="AL369"/>
  <c r="AL368"/>
  <c r="AL367"/>
  <c r="AL366"/>
  <c r="AL365"/>
  <c r="AL364"/>
  <c r="AL363"/>
  <c r="AL362"/>
  <c r="AL361"/>
  <c r="AL360"/>
  <c r="AL359"/>
  <c r="AL358"/>
  <c r="AL357"/>
  <c r="AL356"/>
  <c r="AL355"/>
  <c r="AL354"/>
  <c r="AL353"/>
  <c r="AL352"/>
  <c r="AL351"/>
  <c r="AL350"/>
  <c r="AL349"/>
  <c r="AL348"/>
  <c r="AL347"/>
  <c r="AL346"/>
  <c r="AL345"/>
  <c r="AL344"/>
  <c r="AL343"/>
  <c r="AL342"/>
  <c r="AL341"/>
  <c r="AL340"/>
  <c r="AL339"/>
  <c r="AL338"/>
  <c r="AL337"/>
  <c r="AL336"/>
  <c r="AL335"/>
  <c r="AL334"/>
  <c r="AL333"/>
  <c r="AL332"/>
  <c r="AL331"/>
  <c r="AL330"/>
  <c r="AL329"/>
  <c r="AL328"/>
  <c r="AL327"/>
  <c r="AL326"/>
  <c r="AL325"/>
  <c r="AL324"/>
  <c r="AL323"/>
  <c r="AL322"/>
  <c r="AL321"/>
  <c r="AL320"/>
  <c r="AL319"/>
  <c r="AL318"/>
  <c r="AL317"/>
  <c r="AL316"/>
  <c r="AL315"/>
  <c r="AL314"/>
  <c r="AL313"/>
  <c r="AL312"/>
  <c r="AL311"/>
  <c r="AL310"/>
  <c r="AL309"/>
  <c r="AL308"/>
  <c r="AL307"/>
  <c r="AL306"/>
  <c r="AL305"/>
  <c r="AL304"/>
  <c r="AL303"/>
  <c r="AL302"/>
  <c r="AL301"/>
  <c r="AL300"/>
  <c r="AL299"/>
  <c r="AL298"/>
  <c r="AL297"/>
  <c r="AL296"/>
  <c r="AL295"/>
  <c r="AL294"/>
  <c r="AL293"/>
  <c r="AL292"/>
  <c r="AL291"/>
  <c r="AL290"/>
  <c r="AL289"/>
  <c r="AL288"/>
  <c r="AL287"/>
  <c r="AL286"/>
  <c r="AL285"/>
  <c r="AL284"/>
  <c r="AL283"/>
  <c r="AL282"/>
  <c r="AL281"/>
  <c r="AL280"/>
  <c r="AL279"/>
  <c r="AL278"/>
  <c r="AL277"/>
  <c r="AL276"/>
  <c r="AL275"/>
  <c r="AL274"/>
  <c r="AL273"/>
  <c r="AL272"/>
  <c r="AL271"/>
  <c r="AL270"/>
  <c r="AL269"/>
  <c r="AL268"/>
  <c r="AL267"/>
  <c r="AL266"/>
  <c r="AL265"/>
  <c r="AL264"/>
  <c r="AL263"/>
  <c r="AL262"/>
  <c r="AL261"/>
  <c r="AL260"/>
  <c r="AL259"/>
  <c r="AL258"/>
  <c r="AL257"/>
  <c r="AL256"/>
  <c r="AL255"/>
  <c r="AL254"/>
  <c r="AL253"/>
  <c r="AL252"/>
  <c r="AL251"/>
  <c r="AP639"/>
  <c r="AP511"/>
  <c r="AP703"/>
  <c r="AP575"/>
  <c r="AP997"/>
  <c r="AP993"/>
  <c r="AP989"/>
  <c r="AP985"/>
  <c r="AP981"/>
  <c r="AP977"/>
  <c r="AP973"/>
  <c r="AP969"/>
  <c r="AP965"/>
  <c r="AP961"/>
  <c r="AP957"/>
  <c r="AP953"/>
  <c r="AP949"/>
  <c r="AP945"/>
  <c r="AP941"/>
  <c r="AP937"/>
  <c r="AP933"/>
  <c r="AP929"/>
  <c r="AP925"/>
  <c r="AP921"/>
  <c r="AP917"/>
  <c r="AP913"/>
  <c r="AP909"/>
  <c r="AP905"/>
  <c r="AP901"/>
  <c r="AP897"/>
  <c r="AP893"/>
  <c r="AP889"/>
  <c r="AP885"/>
  <c r="AP881"/>
  <c r="AP877"/>
  <c r="AP873"/>
  <c r="AP869"/>
  <c r="AP865"/>
  <c r="AP861"/>
  <c r="AP857"/>
  <c r="AP853"/>
  <c r="AP849"/>
  <c r="AP845"/>
  <c r="AP841"/>
  <c r="AP837"/>
  <c r="AP833"/>
  <c r="AP829"/>
  <c r="AP825"/>
  <c r="AP821"/>
  <c r="AP817"/>
  <c r="AP813"/>
  <c r="AP809"/>
  <c r="AP805"/>
  <c r="AP801"/>
  <c r="AP797"/>
  <c r="AP793"/>
  <c r="AP789"/>
  <c r="AP785"/>
  <c r="AP781"/>
  <c r="AP777"/>
  <c r="AP773"/>
  <c r="AP769"/>
  <c r="AP765"/>
  <c r="AP761"/>
  <c r="AP757"/>
  <c r="AP753"/>
  <c r="AP749"/>
  <c r="AP745"/>
  <c r="AP671"/>
  <c r="AP607"/>
  <c r="AP543"/>
  <c r="AP687"/>
  <c r="AP623"/>
  <c r="AP559"/>
  <c r="AP719"/>
  <c r="AP655"/>
  <c r="AP591"/>
  <c r="AP527"/>
  <c r="AP729"/>
  <c r="AP695"/>
  <c r="AP663"/>
  <c r="AP631"/>
  <c r="AP599"/>
  <c r="AP567"/>
  <c r="AP535"/>
  <c r="AP503"/>
  <c r="AP393"/>
  <c r="AP361"/>
  <c r="AP329"/>
  <c r="AP301"/>
  <c r="AP297"/>
  <c r="AP293"/>
  <c r="AP289"/>
  <c r="AP285"/>
  <c r="AP281"/>
  <c r="AP277"/>
  <c r="AP273"/>
  <c r="AP269"/>
  <c r="AP265"/>
  <c r="AP261"/>
  <c r="AP257"/>
  <c r="AP253"/>
  <c r="AP251"/>
  <c r="AP743"/>
  <c r="AP679"/>
  <c r="AP647"/>
  <c r="AP615"/>
  <c r="AP583"/>
  <c r="AP551"/>
  <c r="AP519"/>
  <c r="AP409"/>
  <c r="AP377"/>
  <c r="AP345"/>
  <c r="AP313"/>
  <c r="AP415"/>
  <c r="AP399"/>
  <c r="AP383"/>
  <c r="AP367"/>
  <c r="AP351"/>
  <c r="AP335"/>
  <c r="AP319"/>
  <c r="AP303"/>
  <c r="AP295"/>
  <c r="AP287"/>
  <c r="AP279"/>
  <c r="AP271"/>
  <c r="AP263"/>
  <c r="AP255"/>
  <c r="AP995"/>
  <c r="AP987"/>
  <c r="AP979"/>
  <c r="AP971"/>
  <c r="AP963"/>
  <c r="AP955"/>
  <c r="AP947"/>
  <c r="AP939"/>
  <c r="AP931"/>
  <c r="AP923"/>
  <c r="AP915"/>
  <c r="AP907"/>
  <c r="AP899"/>
  <c r="AP891"/>
  <c r="AP883"/>
  <c r="AP875"/>
  <c r="AP867"/>
  <c r="AP859"/>
  <c r="AP851"/>
  <c r="AP843"/>
  <c r="AP835"/>
  <c r="AP827"/>
  <c r="AP819"/>
  <c r="AP811"/>
  <c r="AP803"/>
  <c r="AP795"/>
  <c r="AP787"/>
  <c r="AP779"/>
  <c r="AP771"/>
  <c r="AP763"/>
  <c r="AP755"/>
  <c r="AP747"/>
  <c r="AP731"/>
  <c r="AP715"/>
  <c r="AP419"/>
  <c r="AP413"/>
  <c r="AP403"/>
  <c r="AP397"/>
  <c r="AP387"/>
  <c r="AP381"/>
  <c r="AP371"/>
  <c r="AP365"/>
  <c r="AP355"/>
  <c r="AP349"/>
  <c r="AP339"/>
  <c r="AP333"/>
  <c r="AP323"/>
  <c r="AP317"/>
  <c r="AP307"/>
  <c r="AP497"/>
  <c r="AP495"/>
  <c r="AP493"/>
  <c r="AP491"/>
  <c r="AP489"/>
  <c r="AP487"/>
  <c r="AP485"/>
  <c r="AP483"/>
  <c r="AP481"/>
  <c r="AP479"/>
  <c r="AP477"/>
  <c r="AP475"/>
  <c r="AP473"/>
  <c r="AP471"/>
  <c r="AP469"/>
  <c r="AP467"/>
  <c r="AP465"/>
  <c r="AP463"/>
  <c r="AP461"/>
  <c r="AP459"/>
  <c r="AP457"/>
  <c r="AP455"/>
  <c r="AP453"/>
  <c r="AP451"/>
  <c r="AP449"/>
  <c r="AP447"/>
  <c r="AP445"/>
  <c r="AP443"/>
  <c r="AP441"/>
  <c r="AP439"/>
  <c r="AP437"/>
  <c r="AP435"/>
  <c r="AP433"/>
  <c r="AP431"/>
  <c r="AP429"/>
  <c r="AP427"/>
  <c r="AP425"/>
  <c r="AP423"/>
  <c r="AP417"/>
  <c r="AP407"/>
  <c r="AP401"/>
  <c r="AP391"/>
  <c r="AP385"/>
  <c r="AP375"/>
  <c r="AP369"/>
  <c r="AP359"/>
  <c r="AP353"/>
  <c r="AP343"/>
  <c r="AP337"/>
  <c r="AP327"/>
  <c r="AP321"/>
  <c r="AP311"/>
  <c r="AP305"/>
  <c r="AP299"/>
  <c r="AP291"/>
  <c r="AP283"/>
  <c r="AP275"/>
  <c r="AP267"/>
  <c r="AP259"/>
  <c r="AP999"/>
  <c r="AP991"/>
  <c r="AP983"/>
  <c r="AP975"/>
  <c r="AP967"/>
  <c r="AP959"/>
  <c r="AP951"/>
  <c r="AP943"/>
  <c r="AP935"/>
  <c r="AP927"/>
  <c r="AP919"/>
  <c r="AP911"/>
  <c r="AP903"/>
  <c r="AP895"/>
  <c r="AP887"/>
  <c r="AP879"/>
  <c r="AP871"/>
  <c r="AP863"/>
  <c r="AP855"/>
  <c r="AP847"/>
  <c r="AP839"/>
  <c r="AP831"/>
  <c r="AP823"/>
  <c r="AP815"/>
  <c r="AP807"/>
  <c r="AP799"/>
  <c r="AP791"/>
  <c r="AP783"/>
  <c r="AP775"/>
  <c r="AP767"/>
  <c r="AP759"/>
  <c r="AP751"/>
  <c r="AP739"/>
  <c r="AP421"/>
  <c r="AP411"/>
  <c r="AP405"/>
  <c r="AP395"/>
  <c r="AP389"/>
  <c r="AP379"/>
  <c r="AP373"/>
  <c r="AP363"/>
  <c r="AP357"/>
  <c r="AP347"/>
  <c r="AP341"/>
  <c r="AP331"/>
  <c r="AP325"/>
  <c r="AP315"/>
  <c r="AP309"/>
  <c r="AP740"/>
  <c r="AP737"/>
  <c r="AP730"/>
  <c r="AP727"/>
  <c r="AP714"/>
  <c r="AP711"/>
  <c r="AP698"/>
  <c r="AP682"/>
  <c r="AP996"/>
  <c r="AP992"/>
  <c r="AP988"/>
  <c r="AP984"/>
  <c r="AP980"/>
  <c r="AP976"/>
  <c r="AP972"/>
  <c r="AP968"/>
  <c r="AP964"/>
  <c r="AP960"/>
  <c r="AP956"/>
  <c r="AP952"/>
  <c r="AP948"/>
  <c r="AP944"/>
  <c r="AP940"/>
  <c r="AP936"/>
  <c r="AP932"/>
  <c r="AP928"/>
  <c r="AP924"/>
  <c r="AP920"/>
  <c r="AP916"/>
  <c r="AP912"/>
  <c r="AP908"/>
  <c r="AP904"/>
  <c r="AP900"/>
  <c r="AP896"/>
  <c r="AP892"/>
  <c r="AP888"/>
  <c r="AP884"/>
  <c r="AP880"/>
  <c r="AP742"/>
  <c r="AP732"/>
  <c r="AP718"/>
  <c r="AP734"/>
  <c r="AP722"/>
  <c r="AP706"/>
  <c r="AP690"/>
  <c r="AP674"/>
  <c r="AP998"/>
  <c r="AP994"/>
  <c r="AP990"/>
  <c r="AP986"/>
  <c r="AP982"/>
  <c r="AP978"/>
  <c r="AP974"/>
  <c r="AP970"/>
  <c r="AP966"/>
  <c r="AP962"/>
  <c r="AP958"/>
  <c r="AP954"/>
  <c r="AP950"/>
  <c r="AP946"/>
  <c r="AP942"/>
  <c r="AP938"/>
  <c r="AP934"/>
  <c r="AP930"/>
  <c r="AP926"/>
  <c r="AP922"/>
  <c r="AP918"/>
  <c r="AP914"/>
  <c r="AP910"/>
  <c r="AP906"/>
  <c r="AP902"/>
  <c r="AP898"/>
  <c r="AP894"/>
  <c r="AP890"/>
  <c r="AP886"/>
  <c r="AP882"/>
  <c r="AP878"/>
  <c r="AP874"/>
  <c r="AP870"/>
  <c r="AP866"/>
  <c r="AP862"/>
  <c r="AP858"/>
  <c r="AP854"/>
  <c r="AP850"/>
  <c r="AP846"/>
  <c r="AP842"/>
  <c r="AP838"/>
  <c r="AP834"/>
  <c r="AP830"/>
  <c r="AP826"/>
  <c r="AP822"/>
  <c r="AP818"/>
  <c r="AP814"/>
  <c r="AP810"/>
  <c r="AP806"/>
  <c r="AP802"/>
  <c r="AP798"/>
  <c r="AP794"/>
  <c r="AP790"/>
  <c r="AP786"/>
  <c r="AP782"/>
  <c r="AP778"/>
  <c r="AP774"/>
  <c r="AP770"/>
  <c r="AP766"/>
  <c r="AP762"/>
  <c r="AP758"/>
  <c r="AP754"/>
  <c r="AP750"/>
  <c r="AP746"/>
  <c r="AP738"/>
  <c r="AP735"/>
  <c r="AP726"/>
  <c r="AP723"/>
  <c r="AP710"/>
  <c r="AP876"/>
  <c r="AP872"/>
  <c r="AP868"/>
  <c r="AP864"/>
  <c r="AP860"/>
  <c r="AP856"/>
  <c r="AP852"/>
  <c r="AP848"/>
  <c r="AP844"/>
  <c r="AP840"/>
  <c r="AP836"/>
  <c r="AP832"/>
  <c r="AP828"/>
  <c r="AP824"/>
  <c r="AP820"/>
  <c r="AP816"/>
  <c r="AP812"/>
  <c r="AP808"/>
  <c r="AP804"/>
  <c r="AP800"/>
  <c r="AP796"/>
  <c r="AP792"/>
  <c r="AP788"/>
  <c r="AP784"/>
  <c r="AP780"/>
  <c r="AP776"/>
  <c r="AP772"/>
  <c r="AP768"/>
  <c r="AP764"/>
  <c r="AP760"/>
  <c r="AP756"/>
  <c r="AP752"/>
  <c r="AP748"/>
  <c r="AP744"/>
  <c r="AP741"/>
  <c r="AP736"/>
  <c r="AP733"/>
  <c r="AP728"/>
  <c r="AP725"/>
  <c r="AP720"/>
  <c r="AP717"/>
  <c r="AP712"/>
  <c r="AP709"/>
  <c r="AP704"/>
  <c r="AP701"/>
  <c r="AP696"/>
  <c r="AP693"/>
  <c r="AP688"/>
  <c r="AP685"/>
  <c r="AP680"/>
  <c r="AP677"/>
  <c r="AP672"/>
  <c r="AP669"/>
  <c r="AP664"/>
  <c r="AP661"/>
  <c r="AP656"/>
  <c r="AP653"/>
  <c r="AP648"/>
  <c r="AP645"/>
  <c r="AP640"/>
  <c r="AP637"/>
  <c r="AP632"/>
  <c r="AP629"/>
  <c r="AP624"/>
  <c r="AP621"/>
  <c r="AP616"/>
  <c r="AP613"/>
  <c r="AP608"/>
  <c r="AP605"/>
  <c r="AP600"/>
  <c r="AP597"/>
  <c r="AP592"/>
  <c r="AP589"/>
  <c r="AP584"/>
  <c r="AP581"/>
  <c r="AP576"/>
  <c r="AP573"/>
  <c r="AP568"/>
  <c r="AP565"/>
  <c r="AP560"/>
  <c r="AP557"/>
  <c r="AP552"/>
  <c r="AP549"/>
  <c r="AP544"/>
  <c r="AP541"/>
  <c r="AP536"/>
  <c r="AP533"/>
  <c r="AP528"/>
  <c r="AP525"/>
  <c r="AP520"/>
  <c r="AP517"/>
  <c r="AP512"/>
  <c r="AP509"/>
  <c r="AP501"/>
  <c r="AP666"/>
  <c r="AP658"/>
  <c r="AP650"/>
  <c r="AP642"/>
  <c r="AP634"/>
  <c r="AP626"/>
  <c r="AP618"/>
  <c r="AP610"/>
  <c r="AP602"/>
  <c r="AP594"/>
  <c r="AP586"/>
  <c r="AP578"/>
  <c r="AP570"/>
  <c r="AP562"/>
  <c r="AP554"/>
  <c r="AP546"/>
  <c r="AP538"/>
  <c r="AP530"/>
  <c r="AP522"/>
  <c r="AP514"/>
  <c r="AP498"/>
  <c r="AP494"/>
  <c r="AP490"/>
  <c r="AP486"/>
  <c r="AP482"/>
  <c r="AP478"/>
  <c r="AP474"/>
  <c r="AP470"/>
  <c r="AP466"/>
  <c r="AP462"/>
  <c r="AP458"/>
  <c r="AP454"/>
  <c r="AP450"/>
  <c r="AP446"/>
  <c r="AP442"/>
  <c r="AP438"/>
  <c r="AP434"/>
  <c r="AP430"/>
  <c r="AP426"/>
  <c r="AP422"/>
  <c r="AP418"/>
  <c r="AP414"/>
  <c r="AP410"/>
  <c r="AP406"/>
  <c r="AP402"/>
  <c r="AP398"/>
  <c r="AP394"/>
  <c r="AP390"/>
  <c r="AP386"/>
  <c r="AP382"/>
  <c r="AP378"/>
  <c r="AP374"/>
  <c r="AP370"/>
  <c r="AP366"/>
  <c r="AP362"/>
  <c r="AP358"/>
  <c r="AP354"/>
  <c r="AP350"/>
  <c r="AP346"/>
  <c r="AP342"/>
  <c r="AP338"/>
  <c r="AP334"/>
  <c r="AP330"/>
  <c r="AP326"/>
  <c r="AP322"/>
  <c r="AP318"/>
  <c r="AP314"/>
  <c r="AP310"/>
  <c r="AP306"/>
  <c r="AP302"/>
  <c r="AP298"/>
  <c r="AP294"/>
  <c r="AP290"/>
  <c r="AP286"/>
  <c r="AP282"/>
  <c r="AP278"/>
  <c r="AP274"/>
  <c r="AP270"/>
  <c r="AP266"/>
  <c r="AP262"/>
  <c r="AP258"/>
  <c r="AP254"/>
  <c r="AP724"/>
  <c r="AP721"/>
  <c r="AP716"/>
  <c r="AP713"/>
  <c r="AP708"/>
  <c r="AP705"/>
  <c r="AP700"/>
  <c r="AP697"/>
  <c r="AP692"/>
  <c r="AP689"/>
  <c r="AP684"/>
  <c r="AP681"/>
  <c r="AP676"/>
  <c r="AP673"/>
  <c r="AP668"/>
  <c r="AP665"/>
  <c r="AP660"/>
  <c r="AP657"/>
  <c r="AP652"/>
  <c r="AP649"/>
  <c r="AP644"/>
  <c r="AP641"/>
  <c r="AP636"/>
  <c r="AP633"/>
  <c r="AP628"/>
  <c r="AP625"/>
  <c r="AP620"/>
  <c r="AP617"/>
  <c r="AP612"/>
  <c r="AP609"/>
  <c r="AP604"/>
  <c r="AP601"/>
  <c r="AP596"/>
  <c r="AP593"/>
  <c r="AP588"/>
  <c r="AP585"/>
  <c r="AP580"/>
  <c r="AP577"/>
  <c r="AP572"/>
  <c r="AP569"/>
  <c r="AP564"/>
  <c r="AP561"/>
  <c r="AP556"/>
  <c r="AP553"/>
  <c r="AP548"/>
  <c r="AP545"/>
  <c r="AP540"/>
  <c r="AP537"/>
  <c r="AP532"/>
  <c r="AP529"/>
  <c r="AP524"/>
  <c r="AP521"/>
  <c r="AP516"/>
  <c r="AP513"/>
  <c r="AP508"/>
  <c r="AP505"/>
  <c r="AP707"/>
  <c r="AP702"/>
  <c r="AP699"/>
  <c r="AP694"/>
  <c r="AP691"/>
  <c r="AP686"/>
  <c r="AP683"/>
  <c r="AP678"/>
  <c r="AP675"/>
  <c r="AP670"/>
  <c r="AP667"/>
  <c r="AP662"/>
  <c r="AP659"/>
  <c r="AP654"/>
  <c r="AP651"/>
  <c r="AP646"/>
  <c r="AP643"/>
  <c r="AP638"/>
  <c r="AP635"/>
  <c r="AP630"/>
  <c r="AP627"/>
  <c r="AP622"/>
  <c r="AP619"/>
  <c r="AP614"/>
  <c r="AP611"/>
  <c r="AP606"/>
  <c r="AP603"/>
  <c r="AP598"/>
  <c r="AP595"/>
  <c r="AP590"/>
  <c r="AP587"/>
  <c r="AP582"/>
  <c r="AP579"/>
  <c r="AP574"/>
  <c r="AP571"/>
  <c r="AP566"/>
  <c r="AP563"/>
  <c r="AP558"/>
  <c r="AP555"/>
  <c r="AP550"/>
  <c r="AP547"/>
  <c r="AP542"/>
  <c r="AP539"/>
  <c r="AP534"/>
  <c r="AP531"/>
  <c r="AP526"/>
  <c r="AP523"/>
  <c r="AP518"/>
  <c r="AP515"/>
  <c r="AP510"/>
  <c r="AP507"/>
  <c r="AP499"/>
  <c r="AP496"/>
  <c r="AP492"/>
  <c r="AP488"/>
  <c r="AP484"/>
  <c r="AP480"/>
  <c r="AP476"/>
  <c r="AP472"/>
  <c r="AP468"/>
  <c r="AP464"/>
  <c r="AP460"/>
  <c r="AP456"/>
  <c r="AP452"/>
  <c r="AP448"/>
  <c r="AP444"/>
  <c r="AP440"/>
  <c r="AP436"/>
  <c r="AP432"/>
  <c r="AP428"/>
  <c r="AP424"/>
  <c r="AP420"/>
  <c r="AP416"/>
  <c r="AP412"/>
  <c r="AP408"/>
  <c r="AP404"/>
  <c r="AP400"/>
  <c r="AP396"/>
  <c r="AP392"/>
  <c r="AP388"/>
  <c r="AP384"/>
  <c r="AP380"/>
  <c r="AP376"/>
  <c r="AP372"/>
  <c r="AP368"/>
  <c r="AP364"/>
  <c r="AP360"/>
  <c r="AP356"/>
  <c r="AP352"/>
  <c r="AP348"/>
  <c r="AP344"/>
  <c r="AP340"/>
  <c r="AP336"/>
  <c r="AP332"/>
  <c r="AP328"/>
  <c r="AP324"/>
  <c r="AP320"/>
  <c r="AP316"/>
  <c r="AP312"/>
  <c r="AP308"/>
  <c r="AP304"/>
  <c r="AP300"/>
  <c r="AP296"/>
  <c r="AP292"/>
  <c r="AP288"/>
  <c r="AP284"/>
  <c r="AP280"/>
  <c r="AP276"/>
  <c r="AP272"/>
  <c r="AP268"/>
  <c r="AP264"/>
  <c r="AP260"/>
  <c r="AP256"/>
  <c r="AP252"/>
  <c r="AP506"/>
  <c r="AP502"/>
  <c r="AP504"/>
  <c r="AP500"/>
  <c r="A2" i="14"/>
  <c r="A4"/>
  <c r="AH3" i="15" l="1"/>
  <c r="AI3"/>
  <c r="AH4"/>
  <c r="AI4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33"/>
  <c r="AI33"/>
  <c r="AH34"/>
  <c r="AI34"/>
  <c r="AH35"/>
  <c r="AI35"/>
  <c r="AH36"/>
  <c r="AI36"/>
  <c r="AH37"/>
  <c r="AI37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56"/>
  <c r="AI56"/>
  <c r="AH57"/>
  <c r="AI57"/>
  <c r="AH58"/>
  <c r="AI58"/>
  <c r="AH59"/>
  <c r="AI59"/>
  <c r="AH60"/>
  <c r="AI60"/>
  <c r="AH61"/>
  <c r="AI61"/>
  <c r="AH62"/>
  <c r="AI62"/>
  <c r="AH63"/>
  <c r="AI63"/>
  <c r="AH64"/>
  <c r="AI64"/>
  <c r="AH65"/>
  <c r="AI65"/>
  <c r="AH66"/>
  <c r="AI66"/>
  <c r="AH67"/>
  <c r="AI67"/>
  <c r="AH68"/>
  <c r="AI68"/>
  <c r="AH69"/>
  <c r="AI69"/>
  <c r="AH70"/>
  <c r="AI70"/>
  <c r="AH71"/>
  <c r="AI71"/>
  <c r="AH72"/>
  <c r="AI72"/>
  <c r="AH73"/>
  <c r="AI73"/>
  <c r="AH74"/>
  <c r="AI74"/>
  <c r="AH75"/>
  <c r="AI75"/>
  <c r="AH76"/>
  <c r="AI76"/>
  <c r="AH77"/>
  <c r="AI77"/>
  <c r="AH78"/>
  <c r="AI78"/>
  <c r="AH79"/>
  <c r="AI79"/>
  <c r="AH80"/>
  <c r="AI80"/>
  <c r="AH81"/>
  <c r="AI81"/>
  <c r="AH82"/>
  <c r="AI82"/>
  <c r="AH83"/>
  <c r="AI83"/>
  <c r="AH84"/>
  <c r="AI84"/>
  <c r="AH85"/>
  <c r="AI85"/>
  <c r="AH86"/>
  <c r="AI86"/>
  <c r="AH87"/>
  <c r="AI87"/>
  <c r="AH88"/>
  <c r="AI88"/>
  <c r="AH89"/>
  <c r="AI89"/>
  <c r="AH90"/>
  <c r="AI90"/>
  <c r="AH91"/>
  <c r="AI91"/>
  <c r="AH92"/>
  <c r="AI92"/>
  <c r="AH93"/>
  <c r="AI93"/>
  <c r="AH94"/>
  <c r="AI94"/>
  <c r="AH95"/>
  <c r="AI95"/>
  <c r="AH96"/>
  <c r="AI96"/>
  <c r="AH97"/>
  <c r="AI97"/>
  <c r="AH98"/>
  <c r="AI98"/>
  <c r="AH99"/>
  <c r="AI99"/>
  <c r="AH100"/>
  <c r="AI100"/>
  <c r="AH101"/>
  <c r="AI101"/>
  <c r="AH102"/>
  <c r="AI102"/>
  <c r="AH103"/>
  <c r="AI103"/>
  <c r="AH104"/>
  <c r="AI104"/>
  <c r="AH105"/>
  <c r="AI105"/>
  <c r="AH106"/>
  <c r="AI106"/>
  <c r="AH107"/>
  <c r="AI107"/>
  <c r="AH108"/>
  <c r="AI108"/>
  <c r="AH109"/>
  <c r="AI109"/>
  <c r="AH110"/>
  <c r="AI110"/>
  <c r="AH111"/>
  <c r="AI111"/>
  <c r="AH112"/>
  <c r="AI112"/>
  <c r="AH113"/>
  <c r="AI113"/>
  <c r="AH114"/>
  <c r="AI114"/>
  <c r="AH115"/>
  <c r="AI115"/>
  <c r="AH116"/>
  <c r="AI116"/>
  <c r="AH117"/>
  <c r="AI117"/>
  <c r="AH118"/>
  <c r="AI118"/>
  <c r="AH119"/>
  <c r="AI119"/>
  <c r="AH120"/>
  <c r="AI120"/>
  <c r="AH121"/>
  <c r="AI121"/>
  <c r="AH122"/>
  <c r="AI122"/>
  <c r="AH123"/>
  <c r="AI123"/>
  <c r="AH124"/>
  <c r="AI124"/>
  <c r="AH125"/>
  <c r="AI125"/>
  <c r="AH126"/>
  <c r="AI126"/>
  <c r="AH127"/>
  <c r="AI127"/>
  <c r="AH128"/>
  <c r="AI128"/>
  <c r="AH129"/>
  <c r="AI129"/>
  <c r="AH130"/>
  <c r="AI130"/>
  <c r="AH131"/>
  <c r="AI131"/>
  <c r="AH132"/>
  <c r="AI132"/>
  <c r="AH133"/>
  <c r="AI133"/>
  <c r="AH134"/>
  <c r="AI134"/>
  <c r="AH135"/>
  <c r="AI135"/>
  <c r="AH136"/>
  <c r="AI136"/>
  <c r="AH137"/>
  <c r="AI137"/>
  <c r="AH138"/>
  <c r="AI138"/>
  <c r="AH139"/>
  <c r="AI139"/>
  <c r="AH140"/>
  <c r="AI140"/>
  <c r="AH141"/>
  <c r="AI141"/>
  <c r="AH142"/>
  <c r="AI142"/>
  <c r="AH143"/>
  <c r="AI143"/>
  <c r="AH144"/>
  <c r="AI144"/>
  <c r="AH145"/>
  <c r="AI145"/>
  <c r="AH146"/>
  <c r="AI146"/>
  <c r="AH147"/>
  <c r="AI147"/>
  <c r="AH148"/>
  <c r="AI148"/>
  <c r="AH149"/>
  <c r="AI149"/>
  <c r="AH150"/>
  <c r="AI150"/>
  <c r="AH151"/>
  <c r="AI151"/>
  <c r="AH152"/>
  <c r="AI152"/>
  <c r="AH153"/>
  <c r="AI153"/>
  <c r="AH154"/>
  <c r="AI154"/>
  <c r="AH155"/>
  <c r="AI155"/>
  <c r="AH156"/>
  <c r="AI156"/>
  <c r="AH157"/>
  <c r="AI157"/>
  <c r="AH158"/>
  <c r="AI158"/>
  <c r="AH159"/>
  <c r="AI159"/>
  <c r="AH160"/>
  <c r="AI160"/>
  <c r="AH161"/>
  <c r="AI161"/>
  <c r="AH162"/>
  <c r="AI162"/>
  <c r="AH163"/>
  <c r="AI163"/>
  <c r="AH164"/>
  <c r="AI164"/>
  <c r="AH165"/>
  <c r="AI165"/>
  <c r="AH166"/>
  <c r="AI166"/>
  <c r="AH167"/>
  <c r="AI167"/>
  <c r="AH168"/>
  <c r="AI168"/>
  <c r="AH169"/>
  <c r="AI169"/>
  <c r="AH170"/>
  <c r="AI170"/>
  <c r="AH171"/>
  <c r="AI171"/>
  <c r="AH172"/>
  <c r="AI172"/>
  <c r="AH173"/>
  <c r="AI173"/>
  <c r="AH174"/>
  <c r="AI174"/>
  <c r="AH175"/>
  <c r="AI175"/>
  <c r="AH176"/>
  <c r="AI176"/>
  <c r="AH177"/>
  <c r="AI177"/>
  <c r="AH178"/>
  <c r="AI178"/>
  <c r="AH179"/>
  <c r="AI179"/>
  <c r="AH180"/>
  <c r="AI180"/>
  <c r="AH181"/>
  <c r="AI181"/>
  <c r="AH182"/>
  <c r="AI182"/>
  <c r="AH183"/>
  <c r="AI183"/>
  <c r="AH184"/>
  <c r="AI184"/>
  <c r="AH185"/>
  <c r="AI185"/>
  <c r="AH186"/>
  <c r="AI186"/>
  <c r="AH187"/>
  <c r="AI187"/>
  <c r="AH188"/>
  <c r="AI188"/>
  <c r="AH189"/>
  <c r="AI189"/>
  <c r="AH190"/>
  <c r="AI190"/>
  <c r="AH191"/>
  <c r="AI191"/>
  <c r="AH192"/>
  <c r="AI192"/>
  <c r="AH193"/>
  <c r="AI193"/>
  <c r="AH194"/>
  <c r="AI194"/>
  <c r="AH195"/>
  <c r="AI195"/>
  <c r="AH196"/>
  <c r="AI196"/>
  <c r="AH197"/>
  <c r="AI197"/>
  <c r="AH198"/>
  <c r="AI198"/>
  <c r="AH199"/>
  <c r="AI199"/>
  <c r="AH200"/>
  <c r="AI200"/>
  <c r="AH201"/>
  <c r="AI201"/>
  <c r="AH202"/>
  <c r="AI202"/>
  <c r="AH203"/>
  <c r="AI203"/>
  <c r="AH204"/>
  <c r="AI204"/>
  <c r="AH205"/>
  <c r="AI205"/>
  <c r="AH206"/>
  <c r="AI206"/>
  <c r="AH207"/>
  <c r="AI207"/>
  <c r="AH208"/>
  <c r="AI208"/>
  <c r="AH209"/>
  <c r="AI209"/>
  <c r="AH210"/>
  <c r="AI210"/>
  <c r="AH211"/>
  <c r="AI211"/>
  <c r="AH212"/>
  <c r="AI212"/>
  <c r="AH213"/>
  <c r="AI213"/>
  <c r="AH214"/>
  <c r="AI214"/>
  <c r="AH215"/>
  <c r="AI215"/>
  <c r="AH216"/>
  <c r="AI216"/>
  <c r="AH217"/>
  <c r="AI217"/>
  <c r="AH218"/>
  <c r="AI218"/>
  <c r="AH219"/>
  <c r="AI219"/>
  <c r="AH220"/>
  <c r="AI220"/>
  <c r="AH221"/>
  <c r="AI221"/>
  <c r="AH222"/>
  <c r="AI222"/>
  <c r="AH223"/>
  <c r="AI223"/>
  <c r="AH224"/>
  <c r="AI224"/>
  <c r="AH225"/>
  <c r="AI225"/>
  <c r="AH226"/>
  <c r="AI226"/>
  <c r="AH227"/>
  <c r="AI227"/>
  <c r="AH228"/>
  <c r="AI228"/>
  <c r="AH229"/>
  <c r="AI229"/>
  <c r="AH230"/>
  <c r="AI230"/>
  <c r="AH231"/>
  <c r="AI231"/>
  <c r="AH232"/>
  <c r="AI232"/>
  <c r="AH233"/>
  <c r="AI233"/>
  <c r="AH234"/>
  <c r="AI234"/>
  <c r="AH235"/>
  <c r="AI235"/>
  <c r="AH236"/>
  <c r="AI236"/>
  <c r="AH237"/>
  <c r="AI237"/>
  <c r="AH238"/>
  <c r="AI238"/>
  <c r="AH239"/>
  <c r="AI239"/>
  <c r="AH240"/>
  <c r="AI240"/>
  <c r="AH241"/>
  <c r="AI241"/>
  <c r="AH242"/>
  <c r="AI242"/>
  <c r="AH243"/>
  <c r="AI243"/>
  <c r="AH244"/>
  <c r="AI244"/>
  <c r="AH245"/>
  <c r="AI245"/>
  <c r="AH246"/>
  <c r="AI246"/>
  <c r="AH247"/>
  <c r="AI247"/>
  <c r="AH248"/>
  <c r="AI248"/>
  <c r="AH249"/>
  <c r="AI249"/>
  <c r="AH250"/>
  <c r="AI250"/>
  <c r="AI2"/>
  <c r="AH2"/>
  <c r="AP249" l="1"/>
  <c r="AL249"/>
  <c r="AP247"/>
  <c r="AL247"/>
  <c r="AP245"/>
  <c r="AL245"/>
  <c r="AP243"/>
  <c r="AL243"/>
  <c r="AP241"/>
  <c r="AL241"/>
  <c r="AP239"/>
  <c r="AL239"/>
  <c r="AP237"/>
  <c r="AL237"/>
  <c r="AP235"/>
  <c r="AL235"/>
  <c r="AP233"/>
  <c r="AL233"/>
  <c r="AP231"/>
  <c r="AL231"/>
  <c r="AP229"/>
  <c r="AL229"/>
  <c r="AP227"/>
  <c r="AL227"/>
  <c r="AP225"/>
  <c r="AL225"/>
  <c r="AP223"/>
  <c r="AL223"/>
  <c r="AP221"/>
  <c r="AL221"/>
  <c r="AP219"/>
  <c r="AL219"/>
  <c r="AP217"/>
  <c r="AL217"/>
  <c r="AP215"/>
  <c r="AL215"/>
  <c r="AP213"/>
  <c r="AL213"/>
  <c r="AP211"/>
  <c r="AL211"/>
  <c r="AP209"/>
  <c r="AL209"/>
  <c r="AP207"/>
  <c r="AL207"/>
  <c r="AP205"/>
  <c r="AL205"/>
  <c r="AP203"/>
  <c r="AL203"/>
  <c r="AP201"/>
  <c r="AL201"/>
  <c r="AP199"/>
  <c r="AL199"/>
  <c r="AP197"/>
  <c r="AL197"/>
  <c r="AP195"/>
  <c r="AL195"/>
  <c r="AP193"/>
  <c r="AL193"/>
  <c r="AP191"/>
  <c r="AL191"/>
  <c r="AP189"/>
  <c r="AL189"/>
  <c r="AP187"/>
  <c r="AL187"/>
  <c r="AP185"/>
  <c r="AL185"/>
  <c r="AP183"/>
  <c r="AL183"/>
  <c r="AP181"/>
  <c r="AL181"/>
  <c r="AP179"/>
  <c r="AL179"/>
  <c r="AP177"/>
  <c r="AL177"/>
  <c r="AP175"/>
  <c r="AL175"/>
  <c r="AP173"/>
  <c r="AL173"/>
  <c r="AP171"/>
  <c r="AL171"/>
  <c r="AP169"/>
  <c r="AL169"/>
  <c r="AP167"/>
  <c r="AL167"/>
  <c r="AP165"/>
  <c r="AL165"/>
  <c r="AP163"/>
  <c r="AL163"/>
  <c r="AP161"/>
  <c r="AL161"/>
  <c r="AP159"/>
  <c r="AL159"/>
  <c r="AP157"/>
  <c r="AL157"/>
  <c r="AP155"/>
  <c r="AL155"/>
  <c r="AP153"/>
  <c r="AL153"/>
  <c r="AP151"/>
  <c r="AL151"/>
  <c r="AP149"/>
  <c r="AL149"/>
  <c r="AP147"/>
  <c r="AL147"/>
  <c r="AP145"/>
  <c r="AL145"/>
  <c r="AP143"/>
  <c r="AL143"/>
  <c r="AP141"/>
  <c r="AL141"/>
  <c r="AP139"/>
  <c r="AL139"/>
  <c r="AP137"/>
  <c r="AL137"/>
  <c r="AP135"/>
  <c r="AL135"/>
  <c r="AP133"/>
  <c r="AL133"/>
  <c r="AP131"/>
  <c r="AL131"/>
  <c r="AP129"/>
  <c r="AL129"/>
  <c r="AP127"/>
  <c r="AL127"/>
  <c r="AP125"/>
  <c r="AL125"/>
  <c r="AP123"/>
  <c r="AL123"/>
  <c r="AP121"/>
  <c r="AL121"/>
  <c r="AP119"/>
  <c r="AL119"/>
  <c r="AP117"/>
  <c r="AL117"/>
  <c r="AP115"/>
  <c r="AL115"/>
  <c r="AP113"/>
  <c r="AL113"/>
  <c r="AP111"/>
  <c r="AL111"/>
  <c r="AP109"/>
  <c r="AL109"/>
  <c r="AP107"/>
  <c r="AL107"/>
  <c r="AP105"/>
  <c r="AL105"/>
  <c r="AP103"/>
  <c r="AL103"/>
  <c r="AP101"/>
  <c r="AL101"/>
  <c r="AP99"/>
  <c r="AL99"/>
  <c r="AP97"/>
  <c r="AL97"/>
  <c r="AP95"/>
  <c r="AL95"/>
  <c r="AP93"/>
  <c r="AL93"/>
  <c r="AP91"/>
  <c r="AL91"/>
  <c r="AP89"/>
  <c r="AL89"/>
  <c r="AP87"/>
  <c r="AL87"/>
  <c r="AP85"/>
  <c r="AL85"/>
  <c r="AP83"/>
  <c r="AL83"/>
  <c r="AP81"/>
  <c r="AL81"/>
  <c r="AP79"/>
  <c r="AL79"/>
  <c r="AP77"/>
  <c r="AL77"/>
  <c r="AP75"/>
  <c r="AL75"/>
  <c r="AP73"/>
  <c r="AL73"/>
  <c r="AP71"/>
  <c r="AL71"/>
  <c r="AP69"/>
  <c r="AL69"/>
  <c r="AP67"/>
  <c r="AL67"/>
  <c r="AP65"/>
  <c r="AL65"/>
  <c r="AP63"/>
  <c r="AL63"/>
  <c r="AP61"/>
  <c r="AL61"/>
  <c r="AP59"/>
  <c r="AL59"/>
  <c r="AP57"/>
  <c r="AL57"/>
  <c r="AP55"/>
  <c r="AL55"/>
  <c r="AP53"/>
  <c r="AL53"/>
  <c r="AP51"/>
  <c r="AL51"/>
  <c r="AP49"/>
  <c r="AL49"/>
  <c r="AP47"/>
  <c r="AL47"/>
  <c r="AP45"/>
  <c r="AL45"/>
  <c r="AP43"/>
  <c r="AL43"/>
  <c r="AP41"/>
  <c r="AL41"/>
  <c r="AP39"/>
  <c r="AL39"/>
  <c r="AP37"/>
  <c r="AL37"/>
  <c r="AP35"/>
  <c r="AL35"/>
  <c r="AP33"/>
  <c r="AL33"/>
  <c r="AP31"/>
  <c r="AL31"/>
  <c r="AP29"/>
  <c r="AL29"/>
  <c r="AP27"/>
  <c r="AL27"/>
  <c r="AP25"/>
  <c r="AL25"/>
  <c r="AP23"/>
  <c r="AL23"/>
  <c r="AP21"/>
  <c r="AL21"/>
  <c r="AP19"/>
  <c r="AL19"/>
  <c r="AP17"/>
  <c r="AL17"/>
  <c r="AP15"/>
  <c r="AL15"/>
  <c r="AP13"/>
  <c r="AL13"/>
  <c r="AP11"/>
  <c r="AL11"/>
  <c r="AP9"/>
  <c r="AL9"/>
  <c r="AP7"/>
  <c r="AL7"/>
  <c r="AP5"/>
  <c r="AL5"/>
  <c r="AP3"/>
  <c r="AL3"/>
  <c r="AP2"/>
  <c r="AL2"/>
  <c r="AP248"/>
  <c r="AL248"/>
  <c r="AP234"/>
  <c r="AL234"/>
  <c r="AP224"/>
  <c r="AL224"/>
  <c r="AP220"/>
  <c r="AL220"/>
  <c r="AP216"/>
  <c r="AL216"/>
  <c r="AP210"/>
  <c r="AL210"/>
  <c r="AP206"/>
  <c r="AL206"/>
  <c r="AP204"/>
  <c r="AL204"/>
  <c r="AP202"/>
  <c r="AL202"/>
  <c r="AP200"/>
  <c r="AL200"/>
  <c r="AP196"/>
  <c r="AL196"/>
  <c r="AP194"/>
  <c r="AL194"/>
  <c r="AP192"/>
  <c r="AL192"/>
  <c r="AP190"/>
  <c r="AL190"/>
  <c r="AP188"/>
  <c r="AL188"/>
  <c r="AP186"/>
  <c r="AL186"/>
  <c r="AP184"/>
  <c r="AL184"/>
  <c r="AP182"/>
  <c r="AL182"/>
  <c r="AP180"/>
  <c r="AL180"/>
  <c r="AP178"/>
  <c r="AL178"/>
  <c r="AP176"/>
  <c r="AL176"/>
  <c r="AP174"/>
  <c r="AL174"/>
  <c r="AP172"/>
  <c r="AL172"/>
  <c r="AP170"/>
  <c r="AL170"/>
  <c r="AP168"/>
  <c r="AL168"/>
  <c r="AP166"/>
  <c r="AL166"/>
  <c r="AP164"/>
  <c r="AL164"/>
  <c r="AP162"/>
  <c r="AL162"/>
  <c r="AP160"/>
  <c r="AL160"/>
  <c r="AP158"/>
  <c r="AL158"/>
  <c r="AP156"/>
  <c r="AL156"/>
  <c r="AP154"/>
  <c r="AL154"/>
  <c r="AP152"/>
  <c r="AL152"/>
  <c r="AP150"/>
  <c r="AL150"/>
  <c r="AP148"/>
  <c r="AL148"/>
  <c r="AP146"/>
  <c r="AL146"/>
  <c r="AP144"/>
  <c r="AL144"/>
  <c r="AP142"/>
  <c r="AL142"/>
  <c r="AP140"/>
  <c r="AL140"/>
  <c r="AP138"/>
  <c r="AL138"/>
  <c r="AP136"/>
  <c r="AL136"/>
  <c r="AP134"/>
  <c r="AL134"/>
  <c r="AP132"/>
  <c r="AL132"/>
  <c r="AP130"/>
  <c r="AL130"/>
  <c r="AP128"/>
  <c r="AL128"/>
  <c r="AP126"/>
  <c r="AL126"/>
  <c r="AP124"/>
  <c r="AL124"/>
  <c r="AP122"/>
  <c r="AL122"/>
  <c r="AP120"/>
  <c r="AL120"/>
  <c r="AP118"/>
  <c r="AL118"/>
  <c r="AP116"/>
  <c r="AL116"/>
  <c r="AP114"/>
  <c r="AL114"/>
  <c r="AP112"/>
  <c r="AL112"/>
  <c r="AP110"/>
  <c r="AL110"/>
  <c r="AP108"/>
  <c r="AL108"/>
  <c r="AP106"/>
  <c r="AL106"/>
  <c r="AP104"/>
  <c r="AL104"/>
  <c r="AP102"/>
  <c r="AL102"/>
  <c r="AP100"/>
  <c r="AL100"/>
  <c r="AP98"/>
  <c r="AL98"/>
  <c r="AP96"/>
  <c r="AL96"/>
  <c r="AP94"/>
  <c r="AL94"/>
  <c r="AP92"/>
  <c r="AL92"/>
  <c r="AP90"/>
  <c r="AL90"/>
  <c r="AP88"/>
  <c r="AL88"/>
  <c r="AP86"/>
  <c r="AL86"/>
  <c r="AP84"/>
  <c r="AL84"/>
  <c r="AP82"/>
  <c r="AL82"/>
  <c r="AP80"/>
  <c r="AL80"/>
  <c r="AP78"/>
  <c r="AL78"/>
  <c r="AP76"/>
  <c r="AL76"/>
  <c r="AP74"/>
  <c r="AL74"/>
  <c r="AP72"/>
  <c r="AL72"/>
  <c r="AP70"/>
  <c r="AL70"/>
  <c r="AP68"/>
  <c r="AL68"/>
  <c r="AP66"/>
  <c r="AL66"/>
  <c r="AP64"/>
  <c r="AL64"/>
  <c r="AP62"/>
  <c r="AL62"/>
  <c r="AP60"/>
  <c r="AL60"/>
  <c r="AP58"/>
  <c r="AL58"/>
  <c r="AP56"/>
  <c r="AL56"/>
  <c r="AP54"/>
  <c r="AL54"/>
  <c r="AP52"/>
  <c r="AL52"/>
  <c r="AP50"/>
  <c r="AL50"/>
  <c r="AP48"/>
  <c r="AL48"/>
  <c r="AP46"/>
  <c r="AL46"/>
  <c r="AP44"/>
  <c r="AL44"/>
  <c r="AP42"/>
  <c r="AL42"/>
  <c r="AP40"/>
  <c r="AL40"/>
  <c r="AP38"/>
  <c r="AL38"/>
  <c r="AP36"/>
  <c r="AL36"/>
  <c r="AP34"/>
  <c r="AL34"/>
  <c r="AP32"/>
  <c r="AL32"/>
  <c r="AP30"/>
  <c r="AL30"/>
  <c r="AP28"/>
  <c r="AL28"/>
  <c r="AP26"/>
  <c r="AL26"/>
  <c r="AP24"/>
  <c r="AL24"/>
  <c r="AP22"/>
  <c r="AL22"/>
  <c r="AP20"/>
  <c r="AL20"/>
  <c r="AP18"/>
  <c r="AL18"/>
  <c r="AP16"/>
  <c r="AL16"/>
  <c r="AP14"/>
  <c r="AL14"/>
  <c r="AP12"/>
  <c r="AL12"/>
  <c r="AP10"/>
  <c r="AL10"/>
  <c r="AP8"/>
  <c r="AL8"/>
  <c r="AP6"/>
  <c r="AL6"/>
  <c r="AP4"/>
  <c r="AL4"/>
  <c r="AP250"/>
  <c r="AL250"/>
  <c r="AP246"/>
  <c r="AL246"/>
  <c r="AP244"/>
  <c r="AL244"/>
  <c r="AP242"/>
  <c r="AL242"/>
  <c r="AP240"/>
  <c r="AL240"/>
  <c r="AP238"/>
  <c r="AL238"/>
  <c r="AP236"/>
  <c r="AL236"/>
  <c r="AP232"/>
  <c r="AL232"/>
  <c r="AP230"/>
  <c r="AL230"/>
  <c r="AP228"/>
  <c r="AL228"/>
  <c r="AP226"/>
  <c r="AL226"/>
  <c r="AP222"/>
  <c r="AL222"/>
  <c r="AP218"/>
  <c r="AL218"/>
  <c r="AP214"/>
  <c r="AL214"/>
  <c r="AP212"/>
  <c r="AL212"/>
  <c r="AP208"/>
  <c r="AL208"/>
  <c r="AP198"/>
  <c r="AL198"/>
  <c r="H6" i="14"/>
  <c r="G6"/>
  <c r="G4"/>
  <c r="AF3" i="13"/>
  <c r="D2" i="14"/>
  <c r="H4" l="1"/>
  <c r="D20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AF13"/>
  <c r="AG13"/>
  <c r="BF13"/>
  <c r="AH13" s="1"/>
  <c r="BG13"/>
  <c r="AJ13" s="1"/>
  <c r="BN13"/>
  <c r="AQ13" s="1"/>
  <c r="BS13"/>
  <c r="AM13" s="1"/>
  <c r="BT13"/>
  <c r="CT13"/>
  <c r="CU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Z24" s="1"/>
  <c r="CT24"/>
  <c r="CU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Z68" s="1"/>
  <c r="CT68"/>
  <c r="CU68"/>
  <c r="CY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Z76" s="1"/>
  <c r="CT76"/>
  <c r="CU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Z82" s="1"/>
  <c r="CT82"/>
  <c r="CU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AF130"/>
  <c r="AG130"/>
  <c r="BF130"/>
  <c r="AH130" s="1"/>
  <c r="BG130"/>
  <c r="AJ130" s="1"/>
  <c r="BN130"/>
  <c r="BS130"/>
  <c r="AM130" s="1"/>
  <c r="BT130"/>
  <c r="AO130" s="1"/>
  <c r="CT130"/>
  <c r="CU130"/>
  <c r="AF131"/>
  <c r="AG131"/>
  <c r="BF131"/>
  <c r="BI131" s="1"/>
  <c r="BG131"/>
  <c r="AJ131" s="1"/>
  <c r="BN131"/>
  <c r="AQ131" s="1"/>
  <c r="BS131"/>
  <c r="CY131" s="1"/>
  <c r="BT131"/>
  <c r="AO131" s="1"/>
  <c r="CT131"/>
  <c r="CU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Z187" s="1"/>
  <c r="CT187"/>
  <c r="CU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CY185" i="13" l="1"/>
  <c r="CY163"/>
  <c r="CZ123"/>
  <c r="CY130"/>
  <c r="CY82"/>
  <c r="CY76"/>
  <c r="CY34"/>
  <c r="CY187"/>
  <c r="CY21"/>
  <c r="CZ21"/>
  <c r="CY129"/>
  <c r="CZ36"/>
  <c r="CY24"/>
  <c r="CY13"/>
  <c r="CY157"/>
  <c r="CY144"/>
  <c r="CZ91"/>
  <c r="CY85"/>
  <c r="AM1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U190" i="13" l="1"/>
  <c r="AK190" s="1"/>
  <c r="DB45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H17" l="1"/>
  <c r="AM17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O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<sst xmlns="http://schemas.openxmlformats.org/spreadsheetml/2006/main" count="1070" uniqueCount="499">
  <si>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</si>
  <si>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</si>
  <si>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</si>
  <si>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</si>
  <si>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</si>
  <si>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</si>
  <si>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</si>
  <si>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</si>
  <si>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</si>
  <si>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</si>
  <si>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</si>
  <si>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</si>
  <si>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</si>
  <si>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</si>
  <si>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</si>
  <si>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</si>
  <si>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</si>
  <si>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</si>
  <si>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</si>
  <si>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</si>
  <si>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</si>
  <si>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</si>
  <si>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</si>
  <si>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</si>
  <si>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</si>
  <si>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</si>
  <si>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</si>
  <si>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</si>
  <si>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</si>
  <si>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</si>
  <si>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</si>
  <si>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</si>
  <si>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</si>
  <si>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</si>
  <si>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</si>
  <si>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</si>
  <si>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</si>
  <si>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</si>
  <si>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</si>
  <si>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</si>
  <si>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</si>
  <si>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</si>
  <si>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</si>
  <si>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</si>
  <si>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</si>
  <si>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</si>
  <si>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</si>
  <si>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</si>
  <si>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</si>
  <si>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</si>
  <si>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</si>
  <si>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</si>
  <si>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</si>
  <si>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</si>
  <si>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</si>
  <si>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</si>
  <si>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</si>
  <si>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</si>
  <si>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</si>
  <si>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</si>
  <si>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</si>
  <si>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</si>
  <si>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</si>
  <si>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</si>
  <si>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</si>
  <si>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</si>
  <si>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</si>
  <si>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</si>
  <si>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</si>
  <si>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</si>
  <si>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</si>
  <si>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</si>
  <si>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</si>
  <si>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</si>
  <si>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</si>
  <si>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</si>
  <si>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</si>
  <si>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</si>
  <si>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</si>
  <si>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</si>
  <si>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</si>
  <si>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</si>
  <si>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</si>
  <si>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</si>
  <si>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</si>
  <si>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</si>
  <si>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</si>
  <si>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</si>
  <si>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</si>
  <si>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</si>
  <si>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</si>
  <si>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</si>
  <si>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</si>
  <si>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</si>
  <si>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</si>
  <si>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</si>
  <si>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</si>
  <si>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</si>
  <si>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</si>
  <si>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</si>
  <si>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</si>
  <si>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</si>
  <si>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</si>
  <si>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</si>
  <si>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</si>
  <si>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</si>
  <si>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</si>
  <si>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</si>
  <si>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</si>
  <si>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</si>
  <si>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</si>
  <si>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</si>
  <si>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</si>
  <si>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</si>
  <si>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</si>
  <si>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</si>
  <si>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</si>
  <si>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</si>
  <si>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</si>
  <si>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</si>
  <si>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</si>
  <si>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</si>
  <si>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</si>
  <si>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</si>
  <si>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</si>
  <si>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</si>
  <si>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</si>
  <si>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</si>
  <si>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</si>
  <si>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</si>
  <si>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</si>
  <si>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</si>
  <si>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</si>
  <si>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</si>
  <si>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</si>
  <si>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</si>
  <si>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</si>
  <si>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</si>
  <si>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</si>
  <si>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</si>
  <si>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</si>
  <si>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</si>
  <si>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</si>
  <si>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</si>
  <si>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</si>
  <si>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</si>
  <si>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</si>
  <si>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</si>
  <si>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</si>
  <si>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</si>
  <si>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</si>
  <si>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</si>
  <si>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</si>
  <si>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</si>
  <si>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</si>
  <si>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</si>
  <si>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</si>
  <si>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</si>
  <si>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</si>
  <si>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</si>
  <si>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</si>
  <si>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</si>
  <si>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</si>
  <si>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</si>
  <si>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</si>
  <si>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</si>
  <si>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</si>
  <si>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</si>
  <si>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</si>
  <si>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</si>
  <si>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</si>
  <si>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</si>
  <si>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</si>
  <si>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</si>
  <si>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</si>
  <si>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</si>
  <si>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</si>
  <si>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</si>
  <si>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</si>
  <si>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</si>
  <si>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</si>
  <si>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</si>
  <si>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</si>
  <si>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</si>
  <si>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</si>
  <si>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</si>
  <si>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</si>
  <si>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</si>
  <si>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</si>
  <si>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</si>
  <si>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</si>
  <si>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</si>
  <si>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</si>
  <si>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</si>
  <si>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</si>
  <si>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</si>
  <si>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</si>
  <si>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</si>
  <si>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</si>
  <si>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</si>
  <si>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</si>
  <si>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</si>
  <si>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</si>
  <si>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</si>
  <si>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</si>
  <si>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</si>
  <si>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</si>
  <si>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</si>
  <si>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</si>
  <si>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</si>
  <si>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</si>
  <si>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</si>
  <si>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</si>
  <si>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</si>
  <si>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</si>
  <si>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</si>
  <si>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</si>
  <si>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</si>
  <si>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</si>
  <si>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</si>
  <si>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</si>
  <si>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</si>
  <si>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</si>
  <si>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</si>
  <si>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</si>
  <si>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</si>
  <si>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</si>
  <si>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</si>
  <si>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</si>
  <si>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</si>
  <si>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</si>
  <si>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</si>
  <si>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</si>
  <si>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</si>
  <si>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</si>
  <si>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</si>
  <si>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</si>
  <si>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</si>
  <si>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</si>
  <si>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</si>
  <si>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</si>
  <si>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</si>
  <si>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</si>
  <si>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</si>
  <si>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</si>
  <si>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</si>
  <si>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</si>
  <si>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</si>
  <si>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</si>
  <si>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</si>
  <si>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</si>
  <si>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</si>
  <si>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</si>
  <si>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</si>
  <si>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</si>
  <si>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</si>
  <si>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</si>
  <si>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</si>
  <si>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</si>
  <si>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</si>
  <si>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</si>
  <si>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</si>
  <si>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</si>
  <si>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</si>
  <si>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</si>
  <si>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</si>
  <si>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</si>
  <si>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</si>
  <si>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</si>
  <si>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</si>
  <si>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</si>
  <si>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</si>
  <si>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</si>
  <si>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</si>
  <si>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</si>
  <si>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</si>
  <si>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</si>
  <si>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</si>
  <si>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</si>
  <si>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</si>
  <si>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</si>
  <si>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</si>
  <si>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</si>
  <si>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</si>
  <si>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</si>
  <si>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</si>
  <si>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</si>
  <si>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</si>
  <si>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</si>
  <si>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</si>
  <si>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</si>
  <si>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</si>
  <si>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</si>
  <si>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</si>
  <si>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</si>
  <si>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</si>
  <si>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</si>
  <si>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</si>
  <si>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</si>
  <si>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</si>
  <si>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</si>
  <si>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</si>
  <si>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</si>
  <si>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</si>
  <si>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</si>
  <si>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</si>
  <si>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</si>
  <si>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</si>
  <si>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</si>
  <si>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</si>
  <si>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</si>
  <si>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</si>
  <si>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</si>
  <si>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</si>
  <si>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</si>
  <si>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</si>
  <si>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</si>
  <si>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</si>
  <si>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</si>
  <si>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</si>
  <si>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</si>
  <si>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</si>
  <si>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</si>
  <si>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</si>
  <si>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</si>
  <si>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</si>
  <si>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</si>
  <si>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</si>
  <si>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</si>
  <si>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</si>
  <si>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</si>
  <si>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</si>
  <si>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</si>
  <si>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</si>
  <si>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</si>
  <si>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LV06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</si>
  <si>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</si>
  <si>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</si>
  <si>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</si>
  <si>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</si>
  <si>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</si>
  <si>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</si>
  <si>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</si>
  <si>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</si>
  <si>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</si>
  <si>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</si>
  <si>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</si>
  <si>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</si>
  <si>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</si>
  <si>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</si>
  <si>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Tồn đầu</t>
  </si>
  <si>
    <t>Nhập</t>
  </si>
  <si>
    <t>Chuyển đến</t>
  </si>
  <si>
    <t>Chuyển đi</t>
  </si>
  <si>
    <t>Tồn cuối</t>
  </si>
  <si>
    <t>Trọng lượng</t>
  </si>
  <si>
    <t>Trọng  lượng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</si>
  <si>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</si>
  <si>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</si>
  <si>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</si>
  <si>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</si>
  <si>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</si>
  <si>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</si>
  <si>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</si>
  <si>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</si>
  <si>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</si>
  <si>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</si>
  <si>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</si>
  <si>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</si>
  <si>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13.Thịt 13</t>
  </si>
  <si>
    <t>10_lô 10</t>
  </si>
  <si>
    <t>14.Thịt 14</t>
  </si>
  <si>
    <t>12_lô 12</t>
  </si>
  <si>
    <t>15.Thịt 15</t>
  </si>
  <si>
    <t>14_lô14</t>
  </si>
  <si>
    <t>2.Lương Tài</t>
  </si>
  <si>
    <t>12.Thịt 12</t>
  </si>
  <si>
    <t>11_lô 11</t>
  </si>
  <si>
    <t>13_lô 13</t>
  </si>
  <si>
    <t>15_lô 15</t>
  </si>
  <si>
    <t>Chết + loại</t>
  </si>
  <si>
    <t>Tỷ lệ chết + loại</t>
  </si>
  <si>
    <t>8_lô 8</t>
  </si>
  <si>
    <t>9_lô 9</t>
  </si>
  <si>
    <t>Y1145-8</t>
  </si>
  <si>
    <t>Y1145-8103</t>
  </si>
  <si>
    <t>Y1043-4</t>
  </si>
  <si>
    <t>Y1043-4103</t>
  </si>
  <si>
    <t>Y0983-6</t>
  </si>
  <si>
    <t>Y0983-6103</t>
  </si>
  <si>
    <t>Y0957-6</t>
  </si>
  <si>
    <t>Y0957-6103</t>
  </si>
  <si>
    <t>Y0953-12</t>
  </si>
  <si>
    <t>Y0953-12103</t>
  </si>
  <si>
    <t>L1884-7</t>
  </si>
  <si>
    <t>L1884-7103</t>
  </si>
  <si>
    <t>L1754-8</t>
  </si>
  <si>
    <t>L1754-8103</t>
  </si>
  <si>
    <t>L1161-12</t>
  </si>
  <si>
    <t>L1161-12103</t>
  </si>
  <si>
    <t>D1267-7</t>
  </si>
  <si>
    <t>D1267-7103</t>
  </si>
  <si>
    <t>D1261-8</t>
  </si>
  <si>
    <t>D1261-8103</t>
  </si>
  <si>
    <t>D1261-7</t>
  </si>
  <si>
    <t>D1261-7103</t>
  </si>
  <si>
    <t>D1254-9</t>
  </si>
  <si>
    <t>D1254-9103</t>
  </si>
  <si>
    <t>D1253-5</t>
  </si>
  <si>
    <t>D1253-5103</t>
  </si>
  <si>
    <t>D1248-7</t>
  </si>
  <si>
    <t>D1248-7103</t>
  </si>
  <si>
    <t>D1232-7</t>
  </si>
  <si>
    <t>D1232-7103</t>
  </si>
  <si>
    <t>D1216-4</t>
  </si>
  <si>
    <t>D1216-4103</t>
  </si>
  <si>
    <t>D1213-6</t>
  </si>
  <si>
    <t>D1213-6103</t>
  </si>
  <si>
    <t>D1205-6</t>
  </si>
  <si>
    <t>D1205-6103</t>
  </si>
  <si>
    <t>D1205-4</t>
  </si>
  <si>
    <t>D1205-4103</t>
  </si>
  <si>
    <t>D0664-6</t>
  </si>
  <si>
    <t>D0664-6103</t>
  </si>
  <si>
    <t>D0661-6</t>
  </si>
  <si>
    <t>D0661-6103</t>
  </si>
  <si>
    <t>D0659-10</t>
  </si>
  <si>
    <t>D0659-10103</t>
  </si>
  <si>
    <t>D0653-6</t>
  </si>
  <si>
    <t>D0653-6103</t>
  </si>
  <si>
    <t>D0646-8</t>
  </si>
  <si>
    <t>D0646-8103</t>
  </si>
  <si>
    <t>D0641-9</t>
  </si>
  <si>
    <t>D0641-9103</t>
  </si>
  <si>
    <t>D0641-7</t>
  </si>
  <si>
    <t>D0641-7103</t>
  </si>
  <si>
    <t>D0639-11</t>
  </si>
  <si>
    <t>D0639-11103</t>
  </si>
  <si>
    <t>D0627-4</t>
  </si>
  <si>
    <t>D0627-4103</t>
  </si>
  <si>
    <t>D0626-5</t>
  </si>
  <si>
    <t>D0626-5103</t>
  </si>
  <si>
    <t>D0626-10</t>
  </si>
  <si>
    <t>D0626-10103</t>
  </si>
  <si>
    <t>D0605-8</t>
  </si>
  <si>
    <t>D0605-8103</t>
  </si>
  <si>
    <t>D0605-12</t>
  </si>
  <si>
    <t>D0605-12103</t>
  </si>
  <si>
    <t>D0603-4</t>
  </si>
  <si>
    <t>D0603-4103</t>
  </si>
  <si>
    <t>D0597-5</t>
  </si>
  <si>
    <t>D0597-5103</t>
  </si>
  <si>
    <t>D0594-4</t>
  </si>
  <si>
    <t>D0594-4103</t>
  </si>
  <si>
    <t>D0589-8</t>
  </si>
  <si>
    <t>D0589-8103</t>
  </si>
  <si>
    <t>D0589-7</t>
  </si>
  <si>
    <t>D0589-7103</t>
  </si>
  <si>
    <t>D0102-08</t>
  </si>
  <si>
    <t>D0102-08103</t>
  </si>
  <si>
    <t>D0088-09</t>
  </si>
  <si>
    <t>D0088-09103</t>
  </si>
  <si>
    <t>D0082-08</t>
  </si>
  <si>
    <t>D0082-08103</t>
  </si>
  <si>
    <t>D0597-6</t>
  </si>
  <si>
    <t>D0597-6103</t>
  </si>
  <si>
    <t>LY2220-4</t>
  </si>
  <si>
    <t>LY2220-4103</t>
  </si>
  <si>
    <t>LY2294-2</t>
  </si>
  <si>
    <t>LY2294-2103</t>
  </si>
  <si>
    <t>LY2292-1</t>
  </si>
  <si>
    <t>LY2292-1103</t>
  </si>
  <si>
    <t>Y2323-1</t>
  </si>
  <si>
    <t>Y2323-1103</t>
  </si>
  <si>
    <t>LY2364-3</t>
  </si>
  <si>
    <t>LY2364-3103</t>
  </si>
  <si>
    <t>4.Thịt 4</t>
  </si>
  <si>
    <t>6_lô 6</t>
  </si>
  <si>
    <t>lo</t>
  </si>
  <si>
    <t>SELECT * FROM (SELECT data_thit.ma_lo_nhap as lo FROM data_thit WHERE data_thit.cong_ty = para_cong_ty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para_ngay_bat_dau AND data_thit.cong_ty = para_cong_ty and kho = '' AND ( data_thit.ngay_dong = 0 OR data_thit.ngay_dong &lt; para_ngay_bat_dau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para_cong_ty and kho = '' AND data_thit.ngay &gt;= para_ngay_bat_dau AND data_thit.ngay &lt;= para_ngay_ket_thuc GROUP BY data_thit.ma_lo_nhap ) as C  ) as D ON D.lo = A.lo WHERE  cong_ty_2 IS NOT NULL</t>
  </si>
  <si>
    <t>00-00</t>
  </si>
  <si>
    <t>1_lô 1</t>
  </si>
  <si>
    <t>3_lô 3</t>
  </si>
  <si>
    <t>2.Thịt 2</t>
  </si>
  <si>
    <t>5_lô 5</t>
  </si>
  <si>
    <t>3.Thịt 3</t>
  </si>
  <si>
    <t>7_lô 7</t>
  </si>
  <si>
    <t>5.Thịt 5</t>
  </si>
  <si>
    <t>chet</t>
  </si>
  <si>
    <t>loai</t>
  </si>
  <si>
    <t>ban</t>
  </si>
  <si>
    <t>kg ban</t>
  </si>
  <si>
    <t>ban giong</t>
  </si>
  <si>
    <t>kg ban giong</t>
  </si>
  <si>
    <t>chuen den</t>
  </si>
  <si>
    <t>chuyen di</t>
  </si>
  <si>
    <t>Bán thịt + giống</t>
  </si>
  <si>
    <t>1.Hà Nội</t>
  </si>
  <si>
    <t>1.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</si>
</sst>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43" fontId="0" fillId="0" borderId="0" xfId="311" applyFont="1" applyAlignment="1">
      <alignment wrapText="1"/>
    </xf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horizontal="center"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7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3" t="s">
        <v>21</v>
      </c>
      <c r="BF1" s="143"/>
      <c r="BG1" s="143"/>
      <c r="BH1" s="143"/>
      <c r="BI1" s="143"/>
      <c r="BJ1" s="143" t="s">
        <v>22</v>
      </c>
      <c r="BK1" s="143"/>
      <c r="BL1" s="143"/>
      <c r="BM1" s="143"/>
      <c r="BN1" s="143"/>
      <c r="BO1" s="143"/>
      <c r="BP1" s="144" t="s">
        <v>23</v>
      </c>
      <c r="BQ1" s="143" t="s">
        <v>24</v>
      </c>
      <c r="BR1" s="143" t="s">
        <v>25</v>
      </c>
      <c r="BS1" s="150" t="s">
        <v>26</v>
      </c>
      <c r="BT1" s="151" t="s">
        <v>27</v>
      </c>
      <c r="BU1" s="143" t="s">
        <v>28</v>
      </c>
      <c r="BV1" s="143" t="s">
        <v>29</v>
      </c>
      <c r="BW1" s="143" t="s">
        <v>30</v>
      </c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9" t="s">
        <v>39</v>
      </c>
      <c r="DD1" s="149"/>
      <c r="DE1" s="149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7"/>
      <c r="E2" s="119" t="s">
        <v>56</v>
      </c>
      <c r="F2" s="117" t="s">
        <v>318</v>
      </c>
      <c r="G2" s="119" t="s">
        <v>315</v>
      </c>
      <c r="H2" s="119" t="s">
        <v>316</v>
      </c>
      <c r="I2" s="119" t="s">
        <v>317</v>
      </c>
      <c r="J2" s="119" t="s">
        <v>319</v>
      </c>
      <c r="K2" s="148" t="s">
        <v>18</v>
      </c>
      <c r="L2" s="148" t="s">
        <v>19</v>
      </c>
      <c r="M2" s="144" t="s">
        <v>17</v>
      </c>
      <c r="N2" s="143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4"/>
      <c r="BQ2" s="143"/>
      <c r="BR2" s="143"/>
      <c r="BS2" s="150"/>
      <c r="BT2" s="151"/>
      <c r="BU2" s="143"/>
      <c r="BV2" s="143"/>
      <c r="BW2" s="144" t="s">
        <v>86</v>
      </c>
      <c r="BX2" s="144"/>
      <c r="BY2" s="144" t="s">
        <v>87</v>
      </c>
      <c r="BZ2" s="144"/>
      <c r="CA2" s="144" t="s">
        <v>88</v>
      </c>
      <c r="CB2" s="144"/>
      <c r="CC2" s="144" t="s">
        <v>89</v>
      </c>
      <c r="CD2" s="144"/>
      <c r="CE2" s="144" t="s">
        <v>90</v>
      </c>
      <c r="CF2" s="144"/>
      <c r="CG2" s="145" t="s">
        <v>91</v>
      </c>
      <c r="CH2" s="144"/>
      <c r="CI2" s="145" t="s">
        <v>92</v>
      </c>
      <c r="CJ2" s="144"/>
      <c r="CK2" s="145">
        <v>962</v>
      </c>
      <c r="CL2" s="144"/>
      <c r="CM2" s="144">
        <v>972</v>
      </c>
      <c r="CN2" s="144"/>
      <c r="CO2" s="144">
        <v>972</v>
      </c>
      <c r="CP2" s="144"/>
      <c r="CQ2" s="144">
        <v>982</v>
      </c>
      <c r="CR2" s="144"/>
      <c r="CS2" s="146" t="s">
        <v>93</v>
      </c>
      <c r="CT2" s="146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8"/>
      <c r="L3" s="148"/>
      <c r="M3" s="144"/>
      <c r="N3" s="143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340</v>
      </c>
      <c r="AD4" s="38" t="s">
        <v>337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325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313</v>
      </c>
      <c r="C5"/>
      <c r="D5"/>
      <c r="E5"/>
      <c r="F5"/>
      <c r="G5"/>
      <c r="H5"/>
      <c r="I5"/>
      <c r="J5"/>
      <c r="K5" s="105"/>
      <c r="L5" s="105"/>
      <c r="M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>+IF(E5&gt;0,"Xem chi tiết","")</f>
        <v/>
      </c>
      <c r="AD5" s="104" t="str">
        <f>+RIGHT(B5,2)</f>
        <v>1</v>
      </c>
      <c r="AE5" s="49" t="s">
        <v>336</v>
      </c>
      <c r="AF5" s="28" t="s">
        <v>336</v>
      </c>
      <c r="AG5" s="104">
        <f>+BE5</f>
        <v>0</v>
      </c>
      <c r="AH5" s="104">
        <f>+ROUND(IFERROR(BG5,0),1)</f>
        <v>0</v>
      </c>
      <c r="AI5" s="104">
        <f>+BF5</f>
        <v>0</v>
      </c>
      <c r="AJ5" s="104">
        <f>+DT5</f>
        <v>0</v>
      </c>
      <c r="AK5" s="104">
        <f>+ROUND(IFERROR(DU5,0),1)</f>
        <v>0</v>
      </c>
      <c r="AL5" s="104">
        <f>+BR5</f>
        <v>0</v>
      </c>
      <c r="AM5" s="104">
        <f>+ROUND(IFERROR(CZ5,0),1)</f>
        <v>0</v>
      </c>
      <c r="AN5" s="104">
        <f>+BS5</f>
        <v>0</v>
      </c>
      <c r="AO5" s="104">
        <f>+AN5-AI5</f>
        <v>0</v>
      </c>
      <c r="AP5" s="49">
        <f>+ROUND(BM5,0)</f>
        <v>0</v>
      </c>
      <c r="AQ5" s="104">
        <f>+ROUND(IFERROR(AP5/AL5,0),1)</f>
        <v>0</v>
      </c>
      <c r="AR5" s="104">
        <f>+ROUND(IFERROR(BJ5,0),3)</f>
        <v>0</v>
      </c>
      <c r="AS5" s="104">
        <f>+ROUND(IFERROR(BK5,0),3)</f>
        <v>0</v>
      </c>
      <c r="AT5" s="104">
        <f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si="0">+E5</f>
        <v>0</v>
      </c>
      <c r="BF5" s="49">
        <f t="shared" ref="BF5:BF16" si="1">+F5</f>
        <v>0</v>
      </c>
      <c r="BG5" s="54" t="e">
        <f t="shared" ref="BG5:BG16" si="2">BF5/BE5</f>
        <v>#DIV/0!</v>
      </c>
      <c r="BH5" s="112" t="e">
        <f>BI5/BE5</f>
        <v>#DIV/0!</v>
      </c>
      <c r="BI5" s="113"/>
      <c r="BJ5" s="55" t="e">
        <f>BM5/(BS5-BF5)</f>
        <v>#DIV/0!</v>
      </c>
      <c r="BK5" s="55" t="e">
        <f t="shared" ref="BK5:BK17" si="3">DR5</f>
        <v>#DIV/0!</v>
      </c>
      <c r="BL5" s="55" t="e">
        <f>BJ5-BK5</f>
        <v>#DIV/0!</v>
      </c>
      <c r="BM5" s="53">
        <f t="shared" ref="BM5:BM16" si="4">+G5</f>
        <v>0</v>
      </c>
      <c r="BN5" s="112" t="e">
        <f t="shared" ref="BN5:BN17" si="5">BO5/BM5</f>
        <v>#DIV/0!</v>
      </c>
      <c r="BO5" s="112"/>
      <c r="BP5" s="49"/>
      <c r="BQ5" s="53" t="e">
        <f>BP5/BS5</f>
        <v>#DIV/0!</v>
      </c>
      <c r="BR5" s="53">
        <f t="shared" ref="BR5:BR16" si="6">+I5</f>
        <v>0</v>
      </c>
      <c r="BS5" s="53">
        <f t="shared" ref="BS5:BS16" si="7">+J5</f>
        <v>0</v>
      </c>
      <c r="BT5" s="56" t="e">
        <f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si="9">BE5</f>
        <v>0</v>
      </c>
      <c r="CV5" s="53">
        <f t="shared" si="9"/>
        <v>0</v>
      </c>
      <c r="CW5" s="58" t="e">
        <f t="shared" ref="CW5:CW17" si="10">ROUND(BG5,2)</f>
        <v>#DIV/0!</v>
      </c>
      <c r="CX5" s="53">
        <f>BR5</f>
        <v>0</v>
      </c>
      <c r="CY5" s="53">
        <f>BS5</f>
        <v>0</v>
      </c>
      <c r="CZ5" s="58" t="e">
        <f>ROUND(BT5,2)</f>
        <v>#DIV/0!</v>
      </c>
      <c r="DA5" s="48" t="e">
        <f t="shared" ref="DA5:DA17" si="11">IF(CZ5&lt;100,(LEFT(CZ5,2)),IF(CZ5&gt;100,(LEFT(CZ5,3))))</f>
        <v>#DIV/0!</v>
      </c>
      <c r="DB5" s="48" t="e">
        <f t="shared" ref="DB5:DB17" si="12">+DA5+1</f>
        <v>#DIV/0!</v>
      </c>
      <c r="DC5" s="48" t="e">
        <f t="shared" ref="DC5:DC17" si="13">LEFT(CW5,2)</f>
        <v>#DIV/0!</v>
      </c>
      <c r="DD5" s="48" t="e">
        <f t="shared" ref="DD5:DD17" si="14">ROUND(DC5,0)</f>
        <v>#DIV/0!</v>
      </c>
      <c r="DE5" s="48" t="e">
        <f t="shared" ref="DE5:DE17" si="15">+DC5+1</f>
        <v>#DIV/0!</v>
      </c>
      <c r="DF5" s="48" t="e">
        <f t="shared" ref="DF5:DF17" si="16">DD5&amp;DA5</f>
        <v>#DIV/0!</v>
      </c>
      <c r="DG5" s="48">
        <f>SUMIF(FCR!$BZ$4:$DB$500,DF5,FCR!$DE$4:$EG$500)</f>
        <v>0</v>
      </c>
      <c r="DH5" s="48" t="e">
        <f t="shared" ref="DH5:DH17" si="17">DE5&amp;DA5</f>
        <v>#DIV/0!</v>
      </c>
      <c r="DI5" s="48">
        <f>SUMIF(FCR!$BZ$4:$DB$142,DH5,FCR!$DE$4:$EG$142)</f>
        <v>0</v>
      </c>
      <c r="DJ5" s="48" t="e">
        <f t="shared" ref="DJ5:DJ17" si="18">(CW5-DD5)*100</f>
        <v>#DIV/0!</v>
      </c>
      <c r="DK5" s="55" t="e">
        <f t="shared" ref="DK5:DK17" si="19">ROUND(DG5+(DI5-DG5)/100*DJ5,3)</f>
        <v>#DIV/0!</v>
      </c>
      <c r="DL5" s="48" t="e">
        <f t="shared" ref="DL5:DL17" si="20">DD5&amp;DB5</f>
        <v>#DIV/0!</v>
      </c>
      <c r="DM5" s="48">
        <f>SUMIF(FCR!$BZ$4:$DB$142,DL5,FCR!$DE$4:$EG$142)</f>
        <v>0</v>
      </c>
      <c r="DN5" s="53" t="e">
        <f t="shared" ref="DN5:DN17" si="21">(CZ5-DA5)*100</f>
        <v>#DIV/0!</v>
      </c>
      <c r="DO5" s="55" t="e">
        <f t="shared" ref="DO5:DO17" si="22">ROUND(DG5+(DM5-DG5)/100*DN5,3)</f>
        <v>#DIV/0!</v>
      </c>
      <c r="DP5" s="55" t="e">
        <f t="shared" ref="DP5:DP17" si="23">ROUND((DO5+DK5)/2,3)</f>
        <v>#DIV/0!</v>
      </c>
      <c r="DQ5" s="55"/>
      <c r="DR5" s="55" t="e">
        <f t="shared" ref="DR5:DR17" si="24">DQ5+DP5</f>
        <v>#DIV/0!</v>
      </c>
      <c r="DS5" s="55" t="e">
        <f>+DP5-BK5</f>
        <v>#DIV/0!</v>
      </c>
      <c r="DT5" s="53">
        <f>CU5-CX5</f>
        <v>0</v>
      </c>
      <c r="DU5" s="59" t="e">
        <f t="shared" ref="DU5:DU17" si="25">ROUND(DT5/CU5*100,2)</f>
        <v>#DIV/0!</v>
      </c>
    </row>
    <row r="6" spans="1:125" ht="15">
      <c r="A6">
        <v>2</v>
      </c>
      <c r="B6" t="s">
        <v>314</v>
      </c>
      <c r="C6"/>
      <c r="D6"/>
      <c r="E6"/>
      <c r="F6"/>
      <c r="G6"/>
      <c r="H6"/>
      <c r="I6"/>
      <c r="J6"/>
      <c r="K6" s="105"/>
      <c r="L6" s="105"/>
      <c r="M6"/>
      <c r="N6"/>
      <c r="AC6" s="129" t="str">
        <f t="shared" ref="AC6:AC16" si="26">+IF(E6&gt;0,"Xem chi tiết","")</f>
        <v/>
      </c>
      <c r="AD6" s="104" t="str">
        <f t="shared" ref="AD6:AD16" si="27">+RIGHT(B6,2)</f>
        <v>2</v>
      </c>
      <c r="AE6" s="49" t="s">
        <v>336</v>
      </c>
      <c r="AF6" s="28" t="s">
        <v>336</v>
      </c>
      <c r="AG6" s="104">
        <f t="shared" ref="AG6:AG16" si="28">+BE6</f>
        <v>0</v>
      </c>
      <c r="AH6" s="104">
        <f t="shared" ref="AH6:AH16" si="29">+ROUND(IFERROR(BG6,0),1)</f>
        <v>0</v>
      </c>
      <c r="AI6" s="104">
        <f t="shared" ref="AI6:AI16" si="30">+BF6</f>
        <v>0</v>
      </c>
      <c r="AJ6" s="104">
        <f t="shared" ref="AJ6:AJ16" si="31">+DT6</f>
        <v>0</v>
      </c>
      <c r="AK6" s="104">
        <f t="shared" ref="AK6:AK16" si="32">+ROUND(IFERROR(DU6,0),1)</f>
        <v>0</v>
      </c>
      <c r="AL6" s="104">
        <f t="shared" ref="AL6:AL16" si="33">+BR6</f>
        <v>0</v>
      </c>
      <c r="AM6" s="104">
        <f t="shared" ref="AM6:AM16" si="34">+ROUND(IFERROR(CZ6,0),1)</f>
        <v>0</v>
      </c>
      <c r="AN6" s="104">
        <f t="shared" ref="AN6:AN16" si="35">+BS6</f>
        <v>0</v>
      </c>
      <c r="AO6" s="104">
        <f t="shared" ref="AO6:AO16" si="36">+AN6-AI6</f>
        <v>0</v>
      </c>
      <c r="AP6" s="49">
        <f t="shared" ref="AP6:AP16" si="37">+ROUND(BM6,0)</f>
        <v>0</v>
      </c>
      <c r="AQ6" s="104">
        <f t="shared" ref="AQ6:AQ16" si="38">+ROUND(IFERROR(AP6/AL6,0),1)</f>
        <v>0</v>
      </c>
      <c r="AR6" s="104">
        <f t="shared" ref="AR6:AR16" si="39">+ROUND(IFERROR(BJ6,0),3)</f>
        <v>0</v>
      </c>
      <c r="AS6" s="104">
        <f t="shared" ref="AS6:AS16" si="40">+ROUND(IFERROR(BK6,0),3)</f>
        <v>0</v>
      </c>
      <c r="AT6" s="104">
        <f t="shared" ref="AT6:AT16" si="41">+ROUND(IFERROR(BL6,0),3)</f>
        <v>0</v>
      </c>
      <c r="BE6" s="49">
        <f t="shared" si="0"/>
        <v>0</v>
      </c>
      <c r="BF6" s="49">
        <f t="shared" si="1"/>
        <v>0</v>
      </c>
      <c r="BG6" s="54" t="e">
        <f t="shared" si="2"/>
        <v>#DIV/0!</v>
      </c>
      <c r="BH6" s="112" t="e">
        <f t="shared" ref="BH6:BH17" si="42">BI6/BE6</f>
        <v>#DIV/0!</v>
      </c>
      <c r="BJ6" s="55" t="e">
        <f t="shared" ref="BJ6:BJ16" si="43">BM6/(BS6-BF6)</f>
        <v>#DIV/0!</v>
      </c>
      <c r="BK6" s="55" t="e">
        <f t="shared" si="3"/>
        <v>#DIV/0!</v>
      </c>
      <c r="BL6" s="55" t="e">
        <f t="shared" ref="BL6:BL17" si="44">BJ6-BK6</f>
        <v>#DIV/0!</v>
      </c>
      <c r="BM6" s="53">
        <f t="shared" si="4"/>
        <v>0</v>
      </c>
      <c r="BN6" s="112" t="e">
        <f t="shared" si="5"/>
        <v>#DIV/0!</v>
      </c>
      <c r="BQ6" s="53" t="e">
        <f t="shared" ref="BQ6:BQ17" si="45">BP6/BS6</f>
        <v>#DIV/0!</v>
      </c>
      <c r="BR6" s="53">
        <f t="shared" si="6"/>
        <v>0</v>
      </c>
      <c r="BS6" s="53">
        <f t="shared" si="7"/>
        <v>0</v>
      </c>
      <c r="BT6" s="56" t="e">
        <f t="shared" ref="BT6:BT16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si="9"/>
        <v>0</v>
      </c>
      <c r="CV6" s="53">
        <f t="shared" si="9"/>
        <v>0</v>
      </c>
      <c r="CW6" s="58" t="e">
        <f t="shared" si="10"/>
        <v>#DIV/0!</v>
      </c>
      <c r="CX6" s="53">
        <f t="shared" ref="CX6:CY17" si="47">BR6</f>
        <v>0</v>
      </c>
      <c r="CY6" s="53">
        <f t="shared" si="47"/>
        <v>0</v>
      </c>
      <c r="CZ6" s="58" t="e">
        <f t="shared" ref="CZ6:CZ17" si="48">ROUND(BT6,2)</f>
        <v>#DIV/0!</v>
      </c>
      <c r="DA6" s="48" t="e">
        <f t="shared" si="11"/>
        <v>#DIV/0!</v>
      </c>
      <c r="DB6" s="48" t="e">
        <f t="shared" si="12"/>
        <v>#DIV/0!</v>
      </c>
      <c r="DC6" s="48" t="e">
        <f t="shared" si="13"/>
        <v>#DIV/0!</v>
      </c>
      <c r="DD6" s="48" t="e">
        <f t="shared" si="14"/>
        <v>#DIV/0!</v>
      </c>
      <c r="DE6" s="48" t="e">
        <f t="shared" si="15"/>
        <v>#DIV/0!</v>
      </c>
      <c r="DF6" s="48" t="e">
        <f t="shared" si="16"/>
        <v>#DIV/0!</v>
      </c>
      <c r="DG6" s="48">
        <f>SUMIF(FCR!$BZ$4:$DB$500,DF6,FCR!$DE$4:$EG$500)</f>
        <v>0</v>
      </c>
      <c r="DH6" s="48" t="e">
        <f t="shared" si="17"/>
        <v>#DIV/0!</v>
      </c>
      <c r="DI6" s="48">
        <f>SUMIF(FCR!$BZ$4:$DB$142,DH6,FCR!$DE$4:$EG$142)</f>
        <v>0</v>
      </c>
      <c r="DJ6" s="48" t="e">
        <f t="shared" si="18"/>
        <v>#DIV/0!</v>
      </c>
      <c r="DK6" s="55" t="e">
        <f t="shared" si="19"/>
        <v>#DIV/0!</v>
      </c>
      <c r="DL6" s="48" t="e">
        <f t="shared" si="20"/>
        <v>#DIV/0!</v>
      </c>
      <c r="DM6" s="48">
        <f>SUMIF(FCR!$BZ$4:$DB$142,DL6,FCR!$DE$4:$EG$142)</f>
        <v>0</v>
      </c>
      <c r="DN6" s="53" t="e">
        <f t="shared" si="21"/>
        <v>#DIV/0!</v>
      </c>
      <c r="DO6" s="55" t="e">
        <f t="shared" si="22"/>
        <v>#DIV/0!</v>
      </c>
      <c r="DP6" s="55" t="e">
        <f t="shared" si="23"/>
        <v>#DIV/0!</v>
      </c>
      <c r="DQ6" s="55"/>
      <c r="DR6" s="55" t="e">
        <f t="shared" si="24"/>
        <v>#DIV/0!</v>
      </c>
      <c r="DS6" s="55" t="e">
        <f t="shared" ref="DS6:DS17" si="49">+DP6-BK6</f>
        <v>#DIV/0!</v>
      </c>
      <c r="DT6" s="53">
        <f t="shared" ref="DT6:DT17" si="50">CU6-CX6</f>
        <v>0</v>
      </c>
      <c r="DU6" s="59" t="e">
        <f t="shared" si="25"/>
        <v>#DIV/0!</v>
      </c>
    </row>
    <row r="7" spans="1:125" ht="15">
      <c r="A7">
        <v>3</v>
      </c>
      <c r="B7" t="s">
        <v>324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si="26"/>
        <v/>
      </c>
      <c r="AD7" s="104" t="str">
        <f t="shared" si="27"/>
        <v>3</v>
      </c>
      <c r="AE7" s="49" t="s">
        <v>336</v>
      </c>
      <c r="AF7" s="28" t="s">
        <v>336</v>
      </c>
      <c r="AG7" s="104">
        <f t="shared" si="28"/>
        <v>0</v>
      </c>
      <c r="AH7" s="104">
        <f t="shared" si="29"/>
        <v>0</v>
      </c>
      <c r="AI7" s="104">
        <f t="shared" si="30"/>
        <v>0</v>
      </c>
      <c r="AJ7" s="104">
        <f t="shared" si="31"/>
        <v>0</v>
      </c>
      <c r="AK7" s="104">
        <f t="shared" si="32"/>
        <v>0</v>
      </c>
      <c r="AL7" s="104">
        <f t="shared" si="33"/>
        <v>0</v>
      </c>
      <c r="AM7" s="104">
        <f t="shared" si="34"/>
        <v>0</v>
      </c>
      <c r="AN7" s="104">
        <f t="shared" si="35"/>
        <v>0</v>
      </c>
      <c r="AO7" s="104">
        <f t="shared" si="36"/>
        <v>0</v>
      </c>
      <c r="AP7" s="49">
        <f t="shared" si="37"/>
        <v>0</v>
      </c>
      <c r="AQ7" s="104">
        <f t="shared" si="38"/>
        <v>0</v>
      </c>
      <c r="AR7" s="104">
        <f t="shared" si="39"/>
        <v>0</v>
      </c>
      <c r="AS7" s="104">
        <f t="shared" si="40"/>
        <v>0</v>
      </c>
      <c r="AT7" s="104">
        <f t="shared" si="41"/>
        <v>0</v>
      </c>
      <c r="BE7" s="49">
        <f t="shared" si="0"/>
        <v>0</v>
      </c>
      <c r="BF7" s="49">
        <f t="shared" si="1"/>
        <v>0</v>
      </c>
      <c r="BG7" s="54" t="e">
        <f t="shared" si="2"/>
        <v>#DIV/0!</v>
      </c>
      <c r="BH7" s="112" t="e">
        <f t="shared" si="42"/>
        <v>#DIV/0!</v>
      </c>
      <c r="BJ7" s="55" t="e">
        <f t="shared" si="43"/>
        <v>#DIV/0!</v>
      </c>
      <c r="BK7" s="55" t="e">
        <f t="shared" si="3"/>
        <v>#DIV/0!</v>
      </c>
      <c r="BL7" s="55" t="e">
        <f t="shared" si="44"/>
        <v>#DIV/0!</v>
      </c>
      <c r="BM7" s="53">
        <f t="shared" si="4"/>
        <v>0</v>
      </c>
      <c r="BN7" s="112" t="e">
        <f t="shared" si="5"/>
        <v>#DIV/0!</v>
      </c>
      <c r="BQ7" s="53" t="e">
        <f t="shared" si="45"/>
        <v>#DIV/0!</v>
      </c>
      <c r="BR7" s="53">
        <f t="shared" si="6"/>
        <v>0</v>
      </c>
      <c r="BS7" s="53">
        <f t="shared" si="7"/>
        <v>0</v>
      </c>
      <c r="BT7" s="56" t="e">
        <f t="shared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si="9"/>
        <v>0</v>
      </c>
      <c r="CV7" s="53">
        <f t="shared" si="9"/>
        <v>0</v>
      </c>
      <c r="CW7" s="58" t="e">
        <f t="shared" si="10"/>
        <v>#DIV/0!</v>
      </c>
      <c r="CX7" s="53">
        <f t="shared" si="47"/>
        <v>0</v>
      </c>
      <c r="CY7" s="53">
        <f t="shared" si="47"/>
        <v>0</v>
      </c>
      <c r="CZ7" s="58" t="e">
        <f t="shared" si="48"/>
        <v>#DIV/0!</v>
      </c>
      <c r="DA7" s="48" t="e">
        <f t="shared" si="11"/>
        <v>#DIV/0!</v>
      </c>
      <c r="DB7" s="48" t="e">
        <f t="shared" si="12"/>
        <v>#DIV/0!</v>
      </c>
      <c r="DC7" s="48" t="e">
        <f t="shared" si="13"/>
        <v>#DIV/0!</v>
      </c>
      <c r="DD7" s="48" t="e">
        <f t="shared" si="14"/>
        <v>#DIV/0!</v>
      </c>
      <c r="DE7" s="48" t="e">
        <f t="shared" si="15"/>
        <v>#DIV/0!</v>
      </c>
      <c r="DF7" s="48" t="e">
        <f t="shared" si="16"/>
        <v>#DIV/0!</v>
      </c>
      <c r="DG7" s="48">
        <f>SUMIF(FCR!$BZ$4:$DB$500,DF7,FCR!$DE$4:$EG$500)</f>
        <v>0</v>
      </c>
      <c r="DH7" s="48" t="e">
        <f t="shared" si="17"/>
        <v>#DIV/0!</v>
      </c>
      <c r="DI7" s="48">
        <f>SUMIF(FCR!$BZ$4:$DB$142,DH7,FCR!$DE$4:$EG$142)</f>
        <v>0</v>
      </c>
      <c r="DJ7" s="48" t="e">
        <f t="shared" si="18"/>
        <v>#DIV/0!</v>
      </c>
      <c r="DK7" s="55" t="e">
        <f t="shared" si="19"/>
        <v>#DIV/0!</v>
      </c>
      <c r="DL7" s="48" t="e">
        <f t="shared" si="20"/>
        <v>#DIV/0!</v>
      </c>
      <c r="DM7" s="48">
        <f>SUMIF(FCR!$BZ$4:$DB$142,DL7,FCR!$DE$4:$EG$142)</f>
        <v>0</v>
      </c>
      <c r="DN7" s="53" t="e">
        <f t="shared" si="21"/>
        <v>#DIV/0!</v>
      </c>
      <c r="DO7" s="55" t="e">
        <f t="shared" si="22"/>
        <v>#DIV/0!</v>
      </c>
      <c r="DP7" s="55" t="e">
        <f t="shared" si="23"/>
        <v>#DIV/0!</v>
      </c>
      <c r="DQ7" s="55"/>
      <c r="DR7" s="55" t="e">
        <f t="shared" si="24"/>
        <v>#DIV/0!</v>
      </c>
      <c r="DS7" s="55" t="e">
        <f t="shared" si="49"/>
        <v>#DIV/0!</v>
      </c>
      <c r="DT7" s="53">
        <f t="shared" si="50"/>
        <v>0</v>
      </c>
      <c r="DU7" s="59" t="e">
        <f t="shared" si="25"/>
        <v>#DIV/0!</v>
      </c>
    </row>
    <row r="8" spans="1:125" ht="15">
      <c r="A8">
        <v>4</v>
      </c>
      <c r="B8" t="s">
        <v>322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si="26"/>
        <v/>
      </c>
      <c r="AD8" s="104" t="str">
        <f t="shared" si="27"/>
        <v>4</v>
      </c>
      <c r="AE8" s="49" t="s">
        <v>336</v>
      </c>
      <c r="AF8" s="28" t="s">
        <v>336</v>
      </c>
      <c r="AG8" s="104">
        <f t="shared" si="28"/>
        <v>0</v>
      </c>
      <c r="AH8" s="104">
        <f t="shared" si="29"/>
        <v>0</v>
      </c>
      <c r="AI8" s="104">
        <f t="shared" si="30"/>
        <v>0</v>
      </c>
      <c r="AJ8" s="104">
        <f t="shared" si="31"/>
        <v>0</v>
      </c>
      <c r="AK8" s="104">
        <f t="shared" si="32"/>
        <v>0</v>
      </c>
      <c r="AL8" s="104">
        <f t="shared" si="33"/>
        <v>0</v>
      </c>
      <c r="AM8" s="104">
        <f t="shared" si="34"/>
        <v>0</v>
      </c>
      <c r="AN8" s="104">
        <f t="shared" si="35"/>
        <v>0</v>
      </c>
      <c r="AO8" s="104">
        <f t="shared" si="36"/>
        <v>0</v>
      </c>
      <c r="AP8" s="49">
        <f t="shared" si="37"/>
        <v>0</v>
      </c>
      <c r="AQ8" s="104">
        <f t="shared" si="38"/>
        <v>0</v>
      </c>
      <c r="AR8" s="104">
        <f t="shared" si="39"/>
        <v>0</v>
      </c>
      <c r="AS8" s="104">
        <f t="shared" si="40"/>
        <v>0</v>
      </c>
      <c r="AT8" s="104">
        <f t="shared" si="41"/>
        <v>0</v>
      </c>
      <c r="BE8" s="49">
        <f t="shared" si="0"/>
        <v>0</v>
      </c>
      <c r="BF8" s="49">
        <f t="shared" si="1"/>
        <v>0</v>
      </c>
      <c r="BG8" s="54" t="e">
        <f t="shared" si="2"/>
        <v>#DIV/0!</v>
      </c>
      <c r="BH8" s="112" t="e">
        <f t="shared" si="42"/>
        <v>#DIV/0!</v>
      </c>
      <c r="BJ8" s="55" t="e">
        <f t="shared" si="43"/>
        <v>#DIV/0!</v>
      </c>
      <c r="BK8" s="55" t="e">
        <f t="shared" si="3"/>
        <v>#DIV/0!</v>
      </c>
      <c r="BL8" s="55" t="e">
        <f t="shared" si="44"/>
        <v>#DIV/0!</v>
      </c>
      <c r="BM8" s="53">
        <f t="shared" si="4"/>
        <v>0</v>
      </c>
      <c r="BN8" s="112" t="e">
        <f t="shared" si="5"/>
        <v>#DIV/0!</v>
      </c>
      <c r="BQ8" s="53" t="e">
        <f t="shared" si="45"/>
        <v>#DIV/0!</v>
      </c>
      <c r="BR8" s="53">
        <f t="shared" si="6"/>
        <v>0</v>
      </c>
      <c r="BS8" s="53">
        <f t="shared" si="7"/>
        <v>0</v>
      </c>
      <c r="BT8" s="56" t="e">
        <f t="shared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si="9"/>
        <v>0</v>
      </c>
      <c r="CV8" s="53">
        <f t="shared" si="9"/>
        <v>0</v>
      </c>
      <c r="CW8" s="58" t="e">
        <f t="shared" si="10"/>
        <v>#DIV/0!</v>
      </c>
      <c r="CX8" s="53">
        <f t="shared" si="47"/>
        <v>0</v>
      </c>
      <c r="CY8" s="53">
        <f t="shared" si="47"/>
        <v>0</v>
      </c>
      <c r="CZ8" s="58" t="e">
        <f t="shared" si="48"/>
        <v>#DIV/0!</v>
      </c>
      <c r="DA8" s="48" t="e">
        <f t="shared" si="11"/>
        <v>#DIV/0!</v>
      </c>
      <c r="DB8" s="48" t="e">
        <f t="shared" si="12"/>
        <v>#DIV/0!</v>
      </c>
      <c r="DC8" s="48" t="e">
        <f t="shared" si="13"/>
        <v>#DIV/0!</v>
      </c>
      <c r="DD8" s="48" t="e">
        <f t="shared" si="14"/>
        <v>#DIV/0!</v>
      </c>
      <c r="DE8" s="48" t="e">
        <f t="shared" si="15"/>
        <v>#DIV/0!</v>
      </c>
      <c r="DF8" s="48" t="e">
        <f t="shared" si="16"/>
        <v>#DIV/0!</v>
      </c>
      <c r="DG8" s="48">
        <f>SUMIF(FCR!$BZ$4:$DB$500,DF8,FCR!$DE$4:$EG$500)</f>
        <v>0</v>
      </c>
      <c r="DH8" s="48" t="e">
        <f t="shared" si="17"/>
        <v>#DIV/0!</v>
      </c>
      <c r="DI8" s="48">
        <f>SUMIF(FCR!$BZ$4:$DB$142,DH8,FCR!$DE$4:$EG$142)</f>
        <v>0</v>
      </c>
      <c r="DJ8" s="48" t="e">
        <f t="shared" si="18"/>
        <v>#DIV/0!</v>
      </c>
      <c r="DK8" s="55" t="e">
        <f t="shared" si="19"/>
        <v>#DIV/0!</v>
      </c>
      <c r="DL8" s="48" t="e">
        <f t="shared" si="20"/>
        <v>#DIV/0!</v>
      </c>
      <c r="DM8" s="48">
        <f>SUMIF(FCR!$BZ$4:$DB$142,DL8,FCR!$DE$4:$EG$142)</f>
        <v>0</v>
      </c>
      <c r="DN8" s="53" t="e">
        <f t="shared" si="21"/>
        <v>#DIV/0!</v>
      </c>
      <c r="DO8" s="55" t="e">
        <f t="shared" si="22"/>
        <v>#DIV/0!</v>
      </c>
      <c r="DP8" s="55" t="e">
        <f t="shared" si="23"/>
        <v>#DIV/0!</v>
      </c>
      <c r="DQ8" s="55"/>
      <c r="DR8" s="55" t="e">
        <f t="shared" si="24"/>
        <v>#DIV/0!</v>
      </c>
      <c r="DS8" s="55" t="e">
        <f t="shared" si="49"/>
        <v>#DIV/0!</v>
      </c>
      <c r="DT8" s="53">
        <f t="shared" si="50"/>
        <v>0</v>
      </c>
      <c r="DU8" s="59" t="e">
        <f t="shared" si="25"/>
        <v>#DIV/0!</v>
      </c>
    </row>
    <row r="9" spans="1:125" ht="15">
      <c r="A9">
        <v>5</v>
      </c>
      <c r="B9" t="s">
        <v>323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si="26"/>
        <v/>
      </c>
      <c r="AD9" s="104" t="str">
        <f t="shared" si="27"/>
        <v>5</v>
      </c>
      <c r="AE9" s="49" t="s">
        <v>336</v>
      </c>
      <c r="AF9" s="28" t="s">
        <v>336</v>
      </c>
      <c r="AG9" s="104">
        <f t="shared" si="28"/>
        <v>0</v>
      </c>
      <c r="AH9" s="104">
        <f t="shared" si="29"/>
        <v>0</v>
      </c>
      <c r="AI9" s="104">
        <f t="shared" si="30"/>
        <v>0</v>
      </c>
      <c r="AJ9" s="104">
        <f t="shared" si="31"/>
        <v>0</v>
      </c>
      <c r="AK9" s="104">
        <f t="shared" si="32"/>
        <v>0</v>
      </c>
      <c r="AL9" s="104">
        <f t="shared" si="33"/>
        <v>0</v>
      </c>
      <c r="AM9" s="104">
        <f t="shared" si="34"/>
        <v>0</v>
      </c>
      <c r="AN9" s="104">
        <f t="shared" si="35"/>
        <v>0</v>
      </c>
      <c r="AO9" s="104">
        <f t="shared" si="36"/>
        <v>0</v>
      </c>
      <c r="AP9" s="49">
        <f t="shared" si="37"/>
        <v>0</v>
      </c>
      <c r="AQ9" s="104">
        <f t="shared" si="38"/>
        <v>0</v>
      </c>
      <c r="AR9" s="104">
        <f t="shared" si="39"/>
        <v>0</v>
      </c>
      <c r="AS9" s="104">
        <f t="shared" si="40"/>
        <v>0</v>
      </c>
      <c r="AT9" s="104">
        <f t="shared" si="41"/>
        <v>0</v>
      </c>
      <c r="BE9" s="49">
        <f t="shared" si="0"/>
        <v>0</v>
      </c>
      <c r="BF9" s="49">
        <f t="shared" si="1"/>
        <v>0</v>
      </c>
      <c r="BG9" s="54" t="e">
        <f t="shared" si="2"/>
        <v>#DIV/0!</v>
      </c>
      <c r="BH9" s="112" t="e">
        <f t="shared" si="42"/>
        <v>#DIV/0!</v>
      </c>
      <c r="BJ9" s="55" t="e">
        <f t="shared" si="43"/>
        <v>#DIV/0!</v>
      </c>
      <c r="BK9" s="55" t="e">
        <f t="shared" si="3"/>
        <v>#DIV/0!</v>
      </c>
      <c r="BL9" s="55" t="e">
        <f t="shared" si="44"/>
        <v>#DIV/0!</v>
      </c>
      <c r="BM9" s="53">
        <f t="shared" si="4"/>
        <v>0</v>
      </c>
      <c r="BN9" s="112" t="e">
        <f t="shared" si="5"/>
        <v>#DIV/0!</v>
      </c>
      <c r="BQ9" s="53" t="e">
        <f t="shared" si="45"/>
        <v>#DIV/0!</v>
      </c>
      <c r="BR9" s="53">
        <f t="shared" si="6"/>
        <v>0</v>
      </c>
      <c r="BS9" s="53">
        <f t="shared" si="7"/>
        <v>0</v>
      </c>
      <c r="BT9" s="56" t="e">
        <f t="shared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si="9"/>
        <v>0</v>
      </c>
      <c r="CV9" s="53">
        <f t="shared" si="9"/>
        <v>0</v>
      </c>
      <c r="CW9" s="58" t="e">
        <f t="shared" si="10"/>
        <v>#DIV/0!</v>
      </c>
      <c r="CX9" s="53">
        <f t="shared" si="47"/>
        <v>0</v>
      </c>
      <c r="CY9" s="53">
        <f t="shared" si="47"/>
        <v>0</v>
      </c>
      <c r="CZ9" s="58" t="e">
        <f t="shared" si="48"/>
        <v>#DIV/0!</v>
      </c>
      <c r="DA9" s="48" t="e">
        <f t="shared" si="11"/>
        <v>#DIV/0!</v>
      </c>
      <c r="DB9" s="48" t="e">
        <f t="shared" si="12"/>
        <v>#DIV/0!</v>
      </c>
      <c r="DC9" s="48" t="e">
        <f t="shared" si="13"/>
        <v>#DIV/0!</v>
      </c>
      <c r="DD9" s="48" t="e">
        <f t="shared" si="14"/>
        <v>#DIV/0!</v>
      </c>
      <c r="DE9" s="48" t="e">
        <f t="shared" si="15"/>
        <v>#DIV/0!</v>
      </c>
      <c r="DF9" s="48" t="e">
        <f t="shared" si="16"/>
        <v>#DIV/0!</v>
      </c>
      <c r="DG9" s="48">
        <f>SUMIF(FCR!$BZ$4:$DB$500,DF9,FCR!$DE$4:$EG$500)</f>
        <v>0</v>
      </c>
      <c r="DH9" s="48" t="e">
        <f t="shared" si="17"/>
        <v>#DIV/0!</v>
      </c>
      <c r="DI9" s="48">
        <f>SUMIF(FCR!$BZ$4:$DB$142,DH9,FCR!$DE$4:$EG$142)</f>
        <v>0</v>
      </c>
      <c r="DJ9" s="48" t="e">
        <f t="shared" si="18"/>
        <v>#DIV/0!</v>
      </c>
      <c r="DK9" s="55" t="e">
        <f t="shared" si="19"/>
        <v>#DIV/0!</v>
      </c>
      <c r="DL9" s="48" t="e">
        <f t="shared" si="20"/>
        <v>#DIV/0!</v>
      </c>
      <c r="DM9" s="48">
        <f>SUMIF(FCR!$BZ$4:$DB$142,DL9,FCR!$DE$4:$EG$142)</f>
        <v>0</v>
      </c>
      <c r="DN9" s="53" t="e">
        <f t="shared" si="21"/>
        <v>#DIV/0!</v>
      </c>
      <c r="DO9" s="55" t="e">
        <f t="shared" si="22"/>
        <v>#DIV/0!</v>
      </c>
      <c r="DP9" s="55" t="e">
        <f t="shared" si="23"/>
        <v>#DIV/0!</v>
      </c>
      <c r="DQ9" s="55"/>
      <c r="DR9" s="55" t="e">
        <f t="shared" si="24"/>
        <v>#DIV/0!</v>
      </c>
      <c r="DS9" s="55" t="e">
        <f t="shared" si="49"/>
        <v>#DIV/0!</v>
      </c>
      <c r="DT9" s="53">
        <f t="shared" si="50"/>
        <v>0</v>
      </c>
      <c r="DU9" s="59" t="e">
        <f t="shared" si="25"/>
        <v>#DIV/0!</v>
      </c>
    </row>
    <row r="10" spans="1:125" ht="15">
      <c r="A10">
        <v>6</v>
      </c>
      <c r="B10" t="s">
        <v>327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si="26"/>
        <v/>
      </c>
      <c r="AD10" s="104" t="str">
        <f t="shared" si="27"/>
        <v>6</v>
      </c>
      <c r="AE10" s="49" t="s">
        <v>336</v>
      </c>
      <c r="AF10" s="28" t="s">
        <v>336</v>
      </c>
      <c r="AG10" s="104">
        <f t="shared" si="28"/>
        <v>0</v>
      </c>
      <c r="AH10" s="104">
        <f t="shared" si="29"/>
        <v>0</v>
      </c>
      <c r="AI10" s="104">
        <f t="shared" si="30"/>
        <v>0</v>
      </c>
      <c r="AJ10" s="104">
        <f t="shared" si="31"/>
        <v>0</v>
      </c>
      <c r="AK10" s="104">
        <f t="shared" si="32"/>
        <v>0</v>
      </c>
      <c r="AL10" s="104">
        <f t="shared" si="33"/>
        <v>0</v>
      </c>
      <c r="AM10" s="104">
        <f t="shared" si="34"/>
        <v>0</v>
      </c>
      <c r="AN10" s="104">
        <f t="shared" si="35"/>
        <v>0</v>
      </c>
      <c r="AO10" s="104">
        <f t="shared" si="36"/>
        <v>0</v>
      </c>
      <c r="AP10" s="49">
        <f t="shared" si="37"/>
        <v>0</v>
      </c>
      <c r="AQ10" s="104">
        <f t="shared" si="38"/>
        <v>0</v>
      </c>
      <c r="AR10" s="104">
        <f t="shared" si="39"/>
        <v>0</v>
      </c>
      <c r="AS10" s="104">
        <f t="shared" si="40"/>
        <v>0</v>
      </c>
      <c r="AT10" s="104">
        <f t="shared" si="41"/>
        <v>0</v>
      </c>
      <c r="BE10" s="49">
        <f t="shared" si="0"/>
        <v>0</v>
      </c>
      <c r="BF10" s="49">
        <f t="shared" si="1"/>
        <v>0</v>
      </c>
      <c r="BG10" s="54" t="e">
        <f t="shared" si="2"/>
        <v>#DIV/0!</v>
      </c>
      <c r="BH10" s="112" t="e">
        <f t="shared" si="42"/>
        <v>#DIV/0!</v>
      </c>
      <c r="BJ10" s="55" t="e">
        <f t="shared" si="43"/>
        <v>#DIV/0!</v>
      </c>
      <c r="BK10" s="55" t="e">
        <f t="shared" si="3"/>
        <v>#DIV/0!</v>
      </c>
      <c r="BL10" s="55" t="e">
        <f t="shared" si="44"/>
        <v>#DIV/0!</v>
      </c>
      <c r="BM10" s="53">
        <f t="shared" si="4"/>
        <v>0</v>
      </c>
      <c r="BN10" s="112" t="e">
        <f t="shared" si="5"/>
        <v>#DIV/0!</v>
      </c>
      <c r="BQ10" s="53" t="e">
        <f t="shared" si="45"/>
        <v>#DIV/0!</v>
      </c>
      <c r="BR10" s="53">
        <f t="shared" si="6"/>
        <v>0</v>
      </c>
      <c r="BS10" s="53">
        <f t="shared" si="7"/>
        <v>0</v>
      </c>
      <c r="BT10" s="56" t="e">
        <f t="shared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si="9"/>
        <v>0</v>
      </c>
      <c r="CV10" s="53">
        <f t="shared" si="9"/>
        <v>0</v>
      </c>
      <c r="CW10" s="58" t="e">
        <f t="shared" si="10"/>
        <v>#DIV/0!</v>
      </c>
      <c r="CX10" s="53">
        <f t="shared" si="47"/>
        <v>0</v>
      </c>
      <c r="CY10" s="53">
        <f t="shared" si="47"/>
        <v>0</v>
      </c>
      <c r="CZ10" s="58" t="e">
        <f t="shared" si="48"/>
        <v>#DIV/0!</v>
      </c>
      <c r="DA10" s="48" t="e">
        <f t="shared" si="11"/>
        <v>#DIV/0!</v>
      </c>
      <c r="DB10" s="48" t="e">
        <f t="shared" si="12"/>
        <v>#DIV/0!</v>
      </c>
      <c r="DC10" s="48" t="e">
        <f t="shared" si="13"/>
        <v>#DIV/0!</v>
      </c>
      <c r="DD10" s="48" t="e">
        <f t="shared" si="14"/>
        <v>#DIV/0!</v>
      </c>
      <c r="DE10" s="48" t="e">
        <f t="shared" si="15"/>
        <v>#DIV/0!</v>
      </c>
      <c r="DF10" s="48" t="e">
        <f t="shared" si="16"/>
        <v>#DIV/0!</v>
      </c>
      <c r="DG10" s="48">
        <f>SUMIF(FCR!$BZ$4:$DB$500,DF10,FCR!$DE$4:$EG$500)</f>
        <v>0</v>
      </c>
      <c r="DH10" s="48" t="e">
        <f t="shared" si="17"/>
        <v>#DIV/0!</v>
      </c>
      <c r="DI10" s="48">
        <f>SUMIF(FCR!$BZ$4:$DB$142,DH10,FCR!$DE$4:$EG$142)</f>
        <v>0</v>
      </c>
      <c r="DJ10" s="48" t="e">
        <f t="shared" si="18"/>
        <v>#DIV/0!</v>
      </c>
      <c r="DK10" s="55" t="e">
        <f t="shared" si="19"/>
        <v>#DIV/0!</v>
      </c>
      <c r="DL10" s="48" t="e">
        <f t="shared" si="20"/>
        <v>#DIV/0!</v>
      </c>
      <c r="DM10" s="48">
        <f>SUMIF(FCR!$BZ$4:$DB$142,DL10,FCR!$DE$4:$EG$142)</f>
        <v>0</v>
      </c>
      <c r="DN10" s="53" t="e">
        <f t="shared" si="21"/>
        <v>#DIV/0!</v>
      </c>
      <c r="DO10" s="55" t="e">
        <f t="shared" si="22"/>
        <v>#DIV/0!</v>
      </c>
      <c r="DP10" s="55" t="e">
        <f t="shared" si="23"/>
        <v>#DIV/0!</v>
      </c>
      <c r="DQ10" s="55"/>
      <c r="DR10" s="55" t="e">
        <f t="shared" si="24"/>
        <v>#DIV/0!</v>
      </c>
      <c r="DS10" s="55" t="e">
        <f t="shared" si="49"/>
        <v>#DIV/0!</v>
      </c>
      <c r="DT10" s="53">
        <f t="shared" si="50"/>
        <v>0</v>
      </c>
      <c r="DU10" s="59" t="e">
        <f t="shared" si="25"/>
        <v>#DIV/0!</v>
      </c>
    </row>
    <row r="11" spans="1:125" ht="15">
      <c r="A11">
        <v>7</v>
      </c>
      <c r="B11" t="s">
        <v>328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si="26"/>
        <v/>
      </c>
      <c r="AD11" s="104" t="str">
        <f t="shared" si="27"/>
        <v>7</v>
      </c>
      <c r="AE11" s="49" t="s">
        <v>336</v>
      </c>
      <c r="AF11" s="28" t="s">
        <v>336</v>
      </c>
      <c r="AG11" s="104">
        <f t="shared" si="28"/>
        <v>0</v>
      </c>
      <c r="AH11" s="104">
        <f t="shared" si="29"/>
        <v>0</v>
      </c>
      <c r="AI11" s="104">
        <f t="shared" si="30"/>
        <v>0</v>
      </c>
      <c r="AJ11" s="104">
        <f t="shared" si="31"/>
        <v>0</v>
      </c>
      <c r="AK11" s="104">
        <f t="shared" si="32"/>
        <v>0</v>
      </c>
      <c r="AL11" s="104">
        <f t="shared" si="33"/>
        <v>0</v>
      </c>
      <c r="AM11" s="104">
        <f t="shared" si="34"/>
        <v>0</v>
      </c>
      <c r="AN11" s="104">
        <f t="shared" si="35"/>
        <v>0</v>
      </c>
      <c r="AO11" s="104">
        <f t="shared" si="36"/>
        <v>0</v>
      </c>
      <c r="AP11" s="49">
        <f t="shared" si="37"/>
        <v>0</v>
      </c>
      <c r="AQ11" s="104">
        <f t="shared" si="38"/>
        <v>0</v>
      </c>
      <c r="AR11" s="104">
        <f t="shared" si="39"/>
        <v>0</v>
      </c>
      <c r="AS11" s="104">
        <f t="shared" si="40"/>
        <v>0</v>
      </c>
      <c r="AT11" s="104">
        <f t="shared" si="41"/>
        <v>0</v>
      </c>
      <c r="BE11" s="49">
        <f t="shared" si="0"/>
        <v>0</v>
      </c>
      <c r="BF11" s="49">
        <f t="shared" si="1"/>
        <v>0</v>
      </c>
      <c r="BG11" s="54" t="e">
        <f t="shared" si="2"/>
        <v>#DIV/0!</v>
      </c>
      <c r="BH11" s="112" t="e">
        <f t="shared" si="42"/>
        <v>#DIV/0!</v>
      </c>
      <c r="BJ11" s="55" t="e">
        <f t="shared" si="43"/>
        <v>#DIV/0!</v>
      </c>
      <c r="BK11" s="55" t="e">
        <f t="shared" si="3"/>
        <v>#DIV/0!</v>
      </c>
      <c r="BL11" s="55" t="e">
        <f t="shared" si="44"/>
        <v>#DIV/0!</v>
      </c>
      <c r="BM11" s="53">
        <f t="shared" si="4"/>
        <v>0</v>
      </c>
      <c r="BN11" s="112" t="e">
        <f t="shared" si="5"/>
        <v>#DIV/0!</v>
      </c>
      <c r="BQ11" s="53" t="e">
        <f t="shared" si="45"/>
        <v>#DIV/0!</v>
      </c>
      <c r="BR11" s="53">
        <f t="shared" si="6"/>
        <v>0</v>
      </c>
      <c r="BS11" s="53">
        <f t="shared" si="7"/>
        <v>0</v>
      </c>
      <c r="BT11" s="56" t="e">
        <f t="shared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si="9"/>
        <v>0</v>
      </c>
      <c r="CV11" s="53">
        <f t="shared" si="9"/>
        <v>0</v>
      </c>
      <c r="CW11" s="58" t="e">
        <f t="shared" si="10"/>
        <v>#DIV/0!</v>
      </c>
      <c r="CX11" s="53">
        <f t="shared" si="47"/>
        <v>0</v>
      </c>
      <c r="CY11" s="53">
        <f t="shared" si="47"/>
        <v>0</v>
      </c>
      <c r="CZ11" s="58" t="e">
        <f t="shared" si="48"/>
        <v>#DIV/0!</v>
      </c>
      <c r="DA11" s="48" t="e">
        <f t="shared" si="11"/>
        <v>#DIV/0!</v>
      </c>
      <c r="DB11" s="48" t="e">
        <f t="shared" si="12"/>
        <v>#DIV/0!</v>
      </c>
      <c r="DC11" s="48" t="e">
        <f t="shared" si="13"/>
        <v>#DIV/0!</v>
      </c>
      <c r="DD11" s="48" t="e">
        <f t="shared" si="14"/>
        <v>#DIV/0!</v>
      </c>
      <c r="DE11" s="48" t="e">
        <f t="shared" si="15"/>
        <v>#DIV/0!</v>
      </c>
      <c r="DF11" s="48" t="e">
        <f t="shared" si="16"/>
        <v>#DIV/0!</v>
      </c>
      <c r="DG11" s="48">
        <f>SUMIF(FCR!$BZ$4:$DB$500,DF11,FCR!$DE$4:$EG$500)</f>
        <v>0</v>
      </c>
      <c r="DH11" s="48" t="e">
        <f t="shared" si="17"/>
        <v>#DIV/0!</v>
      </c>
      <c r="DI11" s="48">
        <f>SUMIF(FCR!$BZ$4:$DB$142,DH11,FCR!$DE$4:$EG$142)</f>
        <v>0</v>
      </c>
      <c r="DJ11" s="48" t="e">
        <f t="shared" si="18"/>
        <v>#DIV/0!</v>
      </c>
      <c r="DK11" s="55" t="e">
        <f t="shared" si="19"/>
        <v>#DIV/0!</v>
      </c>
      <c r="DL11" s="48" t="e">
        <f t="shared" si="20"/>
        <v>#DIV/0!</v>
      </c>
      <c r="DM11" s="48">
        <f>SUMIF(FCR!$BZ$4:$DB$142,DL11,FCR!$DE$4:$EG$142)</f>
        <v>0</v>
      </c>
      <c r="DN11" s="53" t="e">
        <f t="shared" si="21"/>
        <v>#DIV/0!</v>
      </c>
      <c r="DO11" s="55" t="e">
        <f t="shared" si="22"/>
        <v>#DIV/0!</v>
      </c>
      <c r="DP11" s="55" t="e">
        <f t="shared" si="23"/>
        <v>#DIV/0!</v>
      </c>
      <c r="DQ11" s="55"/>
      <c r="DR11" s="55" t="e">
        <f t="shared" si="24"/>
        <v>#DIV/0!</v>
      </c>
      <c r="DS11" s="55" t="e">
        <f t="shared" si="49"/>
        <v>#DIV/0!</v>
      </c>
      <c r="DT11" s="53">
        <f t="shared" si="50"/>
        <v>0</v>
      </c>
      <c r="DU11" s="59" t="e">
        <f t="shared" si="25"/>
        <v>#DIV/0!</v>
      </c>
    </row>
    <row r="12" spans="1:125" ht="15">
      <c r="A12">
        <v>8</v>
      </c>
      <c r="B12" t="s">
        <v>329</v>
      </c>
      <c r="C12">
        <v>8</v>
      </c>
      <c r="D12" t="s">
        <v>321</v>
      </c>
      <c r="E12">
        <v>3000</v>
      </c>
      <c r="F12">
        <v>19500</v>
      </c>
      <c r="G12">
        <v>757972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si="26"/>
        <v>Xem chi tiết</v>
      </c>
      <c r="AD12" s="104" t="str">
        <f t="shared" si="27"/>
        <v>8</v>
      </c>
      <c r="AE12" s="49" t="s">
        <v>336</v>
      </c>
      <c r="AF12" s="28" t="s">
        <v>336</v>
      </c>
      <c r="AG12" s="104">
        <f t="shared" si="28"/>
        <v>3000</v>
      </c>
      <c r="AH12" s="104">
        <f t="shared" si="29"/>
        <v>6.5</v>
      </c>
      <c r="AI12" s="104">
        <f t="shared" si="30"/>
        <v>19500</v>
      </c>
      <c r="AJ12" s="104">
        <f t="shared" si="31"/>
        <v>48</v>
      </c>
      <c r="AK12" s="104">
        <f t="shared" si="32"/>
        <v>1.6</v>
      </c>
      <c r="AL12" s="104">
        <f t="shared" si="33"/>
        <v>2952</v>
      </c>
      <c r="AM12" s="104">
        <f t="shared" si="34"/>
        <v>115</v>
      </c>
      <c r="AN12" s="104">
        <f t="shared" si="35"/>
        <v>339480</v>
      </c>
      <c r="AO12" s="104">
        <f t="shared" si="36"/>
        <v>319980</v>
      </c>
      <c r="AP12" s="49">
        <f t="shared" si="37"/>
        <v>757972</v>
      </c>
      <c r="AQ12" s="104">
        <f t="shared" si="38"/>
        <v>256.8</v>
      </c>
      <c r="AR12" s="104">
        <f t="shared" si="39"/>
        <v>2.3690000000000002</v>
      </c>
      <c r="AS12" s="104">
        <f t="shared" si="40"/>
        <v>2.4409999999999998</v>
      </c>
      <c r="AT12" s="104">
        <f t="shared" si="41"/>
        <v>-7.1999999999999995E-2</v>
      </c>
      <c r="BE12" s="49">
        <f t="shared" si="0"/>
        <v>3000</v>
      </c>
      <c r="BF12" s="49">
        <f t="shared" si="1"/>
        <v>19500</v>
      </c>
      <c r="BG12" s="54">
        <f t="shared" si="2"/>
        <v>6.5</v>
      </c>
      <c r="BH12" s="112">
        <f t="shared" si="42"/>
        <v>0</v>
      </c>
      <c r="BJ12" s="55">
        <f t="shared" si="43"/>
        <v>2.3688105506594161</v>
      </c>
      <c r="BK12" s="55">
        <f t="shared" si="3"/>
        <v>2.4409999999999998</v>
      </c>
      <c r="BL12" s="55">
        <f t="shared" si="44"/>
        <v>-7.2189449340583689E-2</v>
      </c>
      <c r="BM12" s="53">
        <f t="shared" si="4"/>
        <v>757972</v>
      </c>
      <c r="BN12" s="112">
        <f t="shared" si="5"/>
        <v>0</v>
      </c>
      <c r="BQ12" s="53">
        <f t="shared" si="45"/>
        <v>0</v>
      </c>
      <c r="BR12" s="53">
        <f t="shared" si="6"/>
        <v>2952</v>
      </c>
      <c r="BS12" s="53">
        <f t="shared" si="7"/>
        <v>339480</v>
      </c>
      <c r="BT12" s="56">
        <f t="shared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si="9"/>
        <v>3000</v>
      </c>
      <c r="CV12" s="53">
        <f t="shared" si="9"/>
        <v>19500</v>
      </c>
      <c r="CW12" s="58">
        <f t="shared" si="10"/>
        <v>6.5</v>
      </c>
      <c r="CX12" s="53">
        <f t="shared" si="47"/>
        <v>2952</v>
      </c>
      <c r="CY12" s="53">
        <f t="shared" si="47"/>
        <v>339480</v>
      </c>
      <c r="CZ12" s="58">
        <f t="shared" si="48"/>
        <v>115</v>
      </c>
      <c r="DA12" s="48" t="str">
        <f t="shared" si="11"/>
        <v>115</v>
      </c>
      <c r="DB12" s="48">
        <f t="shared" si="12"/>
        <v>116</v>
      </c>
      <c r="DC12" s="48" t="str">
        <f t="shared" si="13"/>
        <v>6.</v>
      </c>
      <c r="DD12" s="48">
        <f t="shared" si="14"/>
        <v>6</v>
      </c>
      <c r="DE12" s="48">
        <f t="shared" si="15"/>
        <v>7</v>
      </c>
      <c r="DF12" s="48" t="str">
        <f t="shared" si="16"/>
        <v>6115</v>
      </c>
      <c r="DG12" s="48">
        <f>SUMIF(FCR!$BZ$4:$DB$500,DF12,FCR!$DE$4:$EG$500)</f>
        <v>2.4359999999999999</v>
      </c>
      <c r="DH12" s="48" t="str">
        <f t="shared" si="17"/>
        <v>7115</v>
      </c>
      <c r="DI12" s="48">
        <f>SUMIF(FCR!$BZ$4:$DB$142,DH12,FCR!$DE$4:$EG$142)</f>
        <v>2.4540000000000002</v>
      </c>
      <c r="DJ12" s="48">
        <f t="shared" si="18"/>
        <v>50</v>
      </c>
      <c r="DK12" s="55">
        <f t="shared" si="19"/>
        <v>2.4449999999999998</v>
      </c>
      <c r="DL12" s="48" t="str">
        <f t="shared" si="20"/>
        <v>6116</v>
      </c>
      <c r="DM12" s="48">
        <f>SUMIF(FCR!$BZ$4:$DB$142,DL12,FCR!$DE$4:$EG$142)</f>
        <v>2.4430000000000001</v>
      </c>
      <c r="DN12" s="53">
        <f t="shared" si="21"/>
        <v>0</v>
      </c>
      <c r="DO12" s="55">
        <f t="shared" si="22"/>
        <v>2.4359999999999999</v>
      </c>
      <c r="DP12" s="55">
        <f t="shared" si="23"/>
        <v>2.4409999999999998</v>
      </c>
      <c r="DQ12" s="55"/>
      <c r="DR12" s="55">
        <f t="shared" si="24"/>
        <v>2.4409999999999998</v>
      </c>
      <c r="DS12" s="55">
        <f t="shared" si="49"/>
        <v>0</v>
      </c>
      <c r="DT12" s="53">
        <f t="shared" si="50"/>
        <v>48</v>
      </c>
      <c r="DU12" s="59">
        <f t="shared" si="25"/>
        <v>1.6</v>
      </c>
    </row>
    <row r="13" spans="1:125" ht="15">
      <c r="A13">
        <v>9</v>
      </c>
      <c r="B13" t="s">
        <v>330</v>
      </c>
      <c r="C13">
        <v>9</v>
      </c>
      <c r="D13" t="s">
        <v>321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si="26"/>
        <v>Xem chi tiết</v>
      </c>
      <c r="AD13" s="104" t="str">
        <f t="shared" si="27"/>
        <v>9</v>
      </c>
      <c r="AE13" s="49" t="s">
        <v>336</v>
      </c>
      <c r="AF13" s="28" t="s">
        <v>336</v>
      </c>
      <c r="AG13" s="104">
        <f t="shared" si="28"/>
        <v>3000</v>
      </c>
      <c r="AH13" s="104">
        <f t="shared" si="29"/>
        <v>6.5</v>
      </c>
      <c r="AI13" s="104">
        <f t="shared" si="30"/>
        <v>19500</v>
      </c>
      <c r="AJ13" s="104">
        <f t="shared" si="31"/>
        <v>48</v>
      </c>
      <c r="AK13" s="104">
        <f t="shared" si="32"/>
        <v>1.6</v>
      </c>
      <c r="AL13" s="104">
        <f t="shared" si="33"/>
        <v>2952</v>
      </c>
      <c r="AM13" s="104">
        <f t="shared" si="34"/>
        <v>115</v>
      </c>
      <c r="AN13" s="104">
        <f t="shared" si="35"/>
        <v>339480</v>
      </c>
      <c r="AO13" s="104">
        <f t="shared" si="36"/>
        <v>319980</v>
      </c>
      <c r="AP13" s="49">
        <f t="shared" si="37"/>
        <v>759752</v>
      </c>
      <c r="AQ13" s="104">
        <f t="shared" si="38"/>
        <v>257.39999999999998</v>
      </c>
      <c r="AR13" s="104">
        <f t="shared" si="39"/>
        <v>2.3740000000000001</v>
      </c>
      <c r="AS13" s="104">
        <f t="shared" si="40"/>
        <v>2.4409999999999998</v>
      </c>
      <c r="AT13" s="104">
        <f t="shared" si="41"/>
        <v>-6.7000000000000004E-2</v>
      </c>
      <c r="BE13" s="49">
        <f t="shared" si="0"/>
        <v>3000</v>
      </c>
      <c r="BF13" s="49">
        <f t="shared" si="1"/>
        <v>19500</v>
      </c>
      <c r="BG13" s="54">
        <f t="shared" si="2"/>
        <v>6.5</v>
      </c>
      <c r="BH13" s="112">
        <f t="shared" si="42"/>
        <v>0</v>
      </c>
      <c r="BJ13" s="55">
        <f t="shared" si="43"/>
        <v>2.3743733983373962</v>
      </c>
      <c r="BK13" s="55">
        <f t="shared" si="3"/>
        <v>2.4409999999999998</v>
      </c>
      <c r="BL13" s="55">
        <f t="shared" si="44"/>
        <v>-6.6626601662603591E-2</v>
      </c>
      <c r="BM13" s="53">
        <f t="shared" si="4"/>
        <v>759752</v>
      </c>
      <c r="BN13" s="112">
        <f t="shared" si="5"/>
        <v>0</v>
      </c>
      <c r="BQ13" s="53">
        <f t="shared" si="45"/>
        <v>0</v>
      </c>
      <c r="BR13" s="53">
        <f t="shared" si="6"/>
        <v>2952</v>
      </c>
      <c r="BS13" s="53">
        <f t="shared" si="7"/>
        <v>339480</v>
      </c>
      <c r="BT13" s="56">
        <f t="shared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si="9"/>
        <v>3000</v>
      </c>
      <c r="CV13" s="53">
        <f t="shared" si="9"/>
        <v>19500</v>
      </c>
      <c r="CW13" s="58">
        <f t="shared" si="10"/>
        <v>6.5</v>
      </c>
      <c r="CX13" s="53">
        <f t="shared" si="47"/>
        <v>2952</v>
      </c>
      <c r="CY13" s="53">
        <f t="shared" si="47"/>
        <v>339480</v>
      </c>
      <c r="CZ13" s="58">
        <f t="shared" si="48"/>
        <v>115</v>
      </c>
      <c r="DA13" s="48" t="str">
        <f t="shared" si="11"/>
        <v>115</v>
      </c>
      <c r="DB13" s="48">
        <f t="shared" si="12"/>
        <v>116</v>
      </c>
      <c r="DC13" s="48" t="str">
        <f t="shared" si="13"/>
        <v>6.</v>
      </c>
      <c r="DD13" s="48">
        <f t="shared" si="14"/>
        <v>6</v>
      </c>
      <c r="DE13" s="48">
        <f t="shared" si="15"/>
        <v>7</v>
      </c>
      <c r="DF13" s="48" t="str">
        <f t="shared" si="16"/>
        <v>6115</v>
      </c>
      <c r="DG13" s="48">
        <f>SUMIF(FCR!$BZ$4:$DB$500,DF13,FCR!$DE$4:$EG$500)</f>
        <v>2.4359999999999999</v>
      </c>
      <c r="DH13" s="48" t="str">
        <f t="shared" si="17"/>
        <v>7115</v>
      </c>
      <c r="DI13" s="48">
        <f>SUMIF(FCR!$BZ$4:$DB$142,DH13,FCR!$DE$4:$EG$142)</f>
        <v>2.4540000000000002</v>
      </c>
      <c r="DJ13" s="48">
        <f t="shared" si="18"/>
        <v>50</v>
      </c>
      <c r="DK13" s="55">
        <f t="shared" si="19"/>
        <v>2.4449999999999998</v>
      </c>
      <c r="DL13" s="48" t="str">
        <f t="shared" si="20"/>
        <v>6116</v>
      </c>
      <c r="DM13" s="48">
        <f>SUMIF(FCR!$BZ$4:$DB$142,DL13,FCR!$DE$4:$EG$142)</f>
        <v>2.4430000000000001</v>
      </c>
      <c r="DN13" s="53">
        <f t="shared" si="21"/>
        <v>0</v>
      </c>
      <c r="DO13" s="55">
        <f t="shared" si="22"/>
        <v>2.4359999999999999</v>
      </c>
      <c r="DP13" s="55">
        <f t="shared" si="23"/>
        <v>2.4409999999999998</v>
      </c>
      <c r="DQ13" s="55"/>
      <c r="DR13" s="55">
        <f t="shared" si="24"/>
        <v>2.4409999999999998</v>
      </c>
      <c r="DS13" s="55">
        <f t="shared" si="49"/>
        <v>0</v>
      </c>
      <c r="DT13" s="53">
        <f t="shared" si="50"/>
        <v>48</v>
      </c>
      <c r="DU13" s="59">
        <f t="shared" si="25"/>
        <v>1.6</v>
      </c>
    </row>
    <row r="14" spans="1:125" ht="15">
      <c r="A14">
        <v>10</v>
      </c>
      <c r="B14" t="s">
        <v>331</v>
      </c>
      <c r="C14">
        <v>10</v>
      </c>
      <c r="D14" t="s">
        <v>321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si="26"/>
        <v>Xem chi tiết</v>
      </c>
      <c r="AD14" s="104" t="str">
        <f t="shared" si="27"/>
        <v>10</v>
      </c>
      <c r="AE14" s="49" t="s">
        <v>336</v>
      </c>
      <c r="AF14" s="28" t="s">
        <v>336</v>
      </c>
      <c r="AG14" s="104">
        <f t="shared" si="28"/>
        <v>3000</v>
      </c>
      <c r="AH14" s="104">
        <f t="shared" si="29"/>
        <v>6.5</v>
      </c>
      <c r="AI14" s="104">
        <f t="shared" si="30"/>
        <v>19500</v>
      </c>
      <c r="AJ14" s="104">
        <f t="shared" si="31"/>
        <v>48</v>
      </c>
      <c r="AK14" s="104">
        <f t="shared" si="32"/>
        <v>1.6</v>
      </c>
      <c r="AL14" s="104">
        <f t="shared" si="33"/>
        <v>2952</v>
      </c>
      <c r="AM14" s="104">
        <f t="shared" si="34"/>
        <v>115</v>
      </c>
      <c r="AN14" s="104">
        <f t="shared" si="35"/>
        <v>339480</v>
      </c>
      <c r="AO14" s="104">
        <f t="shared" si="36"/>
        <v>319980</v>
      </c>
      <c r="AP14" s="49">
        <f t="shared" si="37"/>
        <v>759752</v>
      </c>
      <c r="AQ14" s="104">
        <f t="shared" si="38"/>
        <v>257.39999999999998</v>
      </c>
      <c r="AR14" s="104">
        <f t="shared" si="39"/>
        <v>2.3740000000000001</v>
      </c>
      <c r="AS14" s="104">
        <f t="shared" si="40"/>
        <v>2.4409999999999998</v>
      </c>
      <c r="AT14" s="104">
        <f t="shared" si="41"/>
        <v>-6.7000000000000004E-2</v>
      </c>
      <c r="BE14" s="49">
        <f t="shared" si="0"/>
        <v>3000</v>
      </c>
      <c r="BF14" s="49">
        <f t="shared" si="1"/>
        <v>19500</v>
      </c>
      <c r="BG14" s="54">
        <f t="shared" si="2"/>
        <v>6.5</v>
      </c>
      <c r="BH14" s="112">
        <f t="shared" si="42"/>
        <v>0</v>
      </c>
      <c r="BJ14" s="55">
        <f t="shared" si="43"/>
        <v>2.3743733983373962</v>
      </c>
      <c r="BK14" s="55">
        <f t="shared" si="3"/>
        <v>2.4409999999999998</v>
      </c>
      <c r="BL14" s="55">
        <f t="shared" si="44"/>
        <v>-6.6626601662603591E-2</v>
      </c>
      <c r="BM14" s="53">
        <f t="shared" si="4"/>
        <v>759752</v>
      </c>
      <c r="BN14" s="112">
        <f t="shared" si="5"/>
        <v>0</v>
      </c>
      <c r="BQ14" s="53">
        <f t="shared" si="45"/>
        <v>0</v>
      </c>
      <c r="BR14" s="53">
        <f t="shared" si="6"/>
        <v>2952</v>
      </c>
      <c r="BS14" s="53">
        <f t="shared" si="7"/>
        <v>339480</v>
      </c>
      <c r="BT14" s="56">
        <f t="shared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si="9"/>
        <v>3000</v>
      </c>
      <c r="CV14" s="53">
        <f t="shared" si="9"/>
        <v>19500</v>
      </c>
      <c r="CW14" s="58">
        <f t="shared" si="10"/>
        <v>6.5</v>
      </c>
      <c r="CX14" s="53">
        <f t="shared" si="47"/>
        <v>2952</v>
      </c>
      <c r="CY14" s="53">
        <f t="shared" si="47"/>
        <v>339480</v>
      </c>
      <c r="CZ14" s="58">
        <f t="shared" si="48"/>
        <v>115</v>
      </c>
      <c r="DA14" s="48" t="str">
        <f t="shared" si="11"/>
        <v>115</v>
      </c>
      <c r="DB14" s="48">
        <f t="shared" si="12"/>
        <v>116</v>
      </c>
      <c r="DC14" s="48" t="str">
        <f t="shared" si="13"/>
        <v>6.</v>
      </c>
      <c r="DD14" s="48">
        <f t="shared" si="14"/>
        <v>6</v>
      </c>
      <c r="DE14" s="48">
        <f t="shared" si="15"/>
        <v>7</v>
      </c>
      <c r="DF14" s="48" t="str">
        <f t="shared" si="16"/>
        <v>6115</v>
      </c>
      <c r="DG14" s="48">
        <f>SUMIF(FCR!$BZ$4:$DB$500,DF14,FCR!$DE$4:$EG$500)</f>
        <v>2.4359999999999999</v>
      </c>
      <c r="DH14" s="48" t="str">
        <f t="shared" si="17"/>
        <v>7115</v>
      </c>
      <c r="DI14" s="48">
        <f>SUMIF(FCR!$BZ$4:$DB$142,DH14,FCR!$DE$4:$EG$142)</f>
        <v>2.4540000000000002</v>
      </c>
      <c r="DJ14" s="48">
        <f t="shared" si="18"/>
        <v>50</v>
      </c>
      <c r="DK14" s="55">
        <f t="shared" si="19"/>
        <v>2.4449999999999998</v>
      </c>
      <c r="DL14" s="48" t="str">
        <f t="shared" si="20"/>
        <v>6116</v>
      </c>
      <c r="DM14" s="48">
        <f>SUMIF(FCR!$BZ$4:$DB$142,DL14,FCR!$DE$4:$EG$142)</f>
        <v>2.4430000000000001</v>
      </c>
      <c r="DN14" s="53">
        <f t="shared" si="21"/>
        <v>0</v>
      </c>
      <c r="DO14" s="55">
        <f t="shared" si="22"/>
        <v>2.4359999999999999</v>
      </c>
      <c r="DP14" s="55">
        <f t="shared" si="23"/>
        <v>2.4409999999999998</v>
      </c>
      <c r="DQ14" s="55"/>
      <c r="DR14" s="55">
        <f t="shared" si="24"/>
        <v>2.4409999999999998</v>
      </c>
      <c r="DS14" s="55">
        <f t="shared" si="49"/>
        <v>0</v>
      </c>
      <c r="DT14" s="53">
        <f t="shared" si="50"/>
        <v>48</v>
      </c>
      <c r="DU14" s="59">
        <f t="shared" si="25"/>
        <v>1.6</v>
      </c>
    </row>
    <row r="15" spans="1:125" ht="15">
      <c r="A15">
        <v>11</v>
      </c>
      <c r="B15" t="s">
        <v>332</v>
      </c>
      <c r="C15">
        <v>11</v>
      </c>
      <c r="D15" t="s">
        <v>321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si="26"/>
        <v>Xem chi tiết</v>
      </c>
      <c r="AD15" s="104" t="str">
        <f t="shared" si="27"/>
        <v>11</v>
      </c>
      <c r="AE15" s="49" t="s">
        <v>336</v>
      </c>
      <c r="AF15" s="28" t="s">
        <v>336</v>
      </c>
      <c r="AG15" s="104">
        <f t="shared" si="28"/>
        <v>2991</v>
      </c>
      <c r="AH15" s="104">
        <f t="shared" si="29"/>
        <v>6.7</v>
      </c>
      <c r="AI15" s="104">
        <f t="shared" si="30"/>
        <v>19937</v>
      </c>
      <c r="AJ15" s="104">
        <f t="shared" si="31"/>
        <v>39</v>
      </c>
      <c r="AK15" s="104">
        <f t="shared" si="32"/>
        <v>1.3</v>
      </c>
      <c r="AL15" s="104">
        <f t="shared" si="33"/>
        <v>2952</v>
      </c>
      <c r="AM15" s="104">
        <f t="shared" si="34"/>
        <v>115</v>
      </c>
      <c r="AN15" s="104">
        <f t="shared" si="35"/>
        <v>339480</v>
      </c>
      <c r="AO15" s="104">
        <f t="shared" si="36"/>
        <v>319543</v>
      </c>
      <c r="AP15" s="49">
        <f t="shared" si="37"/>
        <v>737272</v>
      </c>
      <c r="AQ15" s="104">
        <f t="shared" si="38"/>
        <v>249.8</v>
      </c>
      <c r="AR15" s="104">
        <f t="shared" si="39"/>
        <v>2.3069999999999999</v>
      </c>
      <c r="AS15" s="104">
        <f t="shared" si="40"/>
        <v>2.4420000000000002</v>
      </c>
      <c r="AT15" s="104">
        <f t="shared" si="41"/>
        <v>-0.13500000000000001</v>
      </c>
      <c r="BE15" s="49">
        <f t="shared" si="0"/>
        <v>2991</v>
      </c>
      <c r="BF15" s="49">
        <f t="shared" si="1"/>
        <v>19937</v>
      </c>
      <c r="BG15" s="54">
        <f t="shared" si="2"/>
        <v>6.6656636576395858</v>
      </c>
      <c r="BH15" s="112">
        <f t="shared" si="42"/>
        <v>0</v>
      </c>
      <c r="BJ15" s="55">
        <f t="shared" si="43"/>
        <v>2.3072700700688169</v>
      </c>
      <c r="BK15" s="55">
        <f t="shared" si="3"/>
        <v>2.4420000000000002</v>
      </c>
      <c r="BL15" s="55">
        <f t="shared" si="44"/>
        <v>-0.13472992993118327</v>
      </c>
      <c r="BM15" s="53">
        <f t="shared" si="4"/>
        <v>737272</v>
      </c>
      <c r="BN15" s="112">
        <f t="shared" si="5"/>
        <v>0</v>
      </c>
      <c r="BQ15" s="53">
        <f t="shared" si="45"/>
        <v>0</v>
      </c>
      <c r="BR15" s="53">
        <f t="shared" si="6"/>
        <v>2952</v>
      </c>
      <c r="BS15" s="53">
        <f t="shared" si="7"/>
        <v>339480</v>
      </c>
      <c r="BT15" s="56">
        <f t="shared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si="9"/>
        <v>2991</v>
      </c>
      <c r="CV15" s="53">
        <f t="shared" si="9"/>
        <v>19937</v>
      </c>
      <c r="CW15" s="58">
        <f t="shared" si="10"/>
        <v>6.67</v>
      </c>
      <c r="CX15" s="53">
        <f t="shared" si="47"/>
        <v>2952</v>
      </c>
      <c r="CY15" s="53">
        <f t="shared" si="47"/>
        <v>339480</v>
      </c>
      <c r="CZ15" s="58">
        <f t="shared" si="48"/>
        <v>115</v>
      </c>
      <c r="DA15" s="48" t="str">
        <f t="shared" si="11"/>
        <v>115</v>
      </c>
      <c r="DB15" s="48">
        <f t="shared" si="12"/>
        <v>116</v>
      </c>
      <c r="DC15" s="48" t="str">
        <f t="shared" si="13"/>
        <v>6.</v>
      </c>
      <c r="DD15" s="48">
        <f t="shared" si="14"/>
        <v>6</v>
      </c>
      <c r="DE15" s="48">
        <f t="shared" si="15"/>
        <v>7</v>
      </c>
      <c r="DF15" s="48" t="str">
        <f t="shared" si="16"/>
        <v>6115</v>
      </c>
      <c r="DG15" s="48">
        <f>SUMIF(FCR!$BZ$4:$DB$500,DF15,FCR!$DE$4:$EG$500)</f>
        <v>2.4359999999999999</v>
      </c>
      <c r="DH15" s="48" t="str">
        <f t="shared" si="17"/>
        <v>7115</v>
      </c>
      <c r="DI15" s="48">
        <f>SUMIF(FCR!$BZ$4:$DB$142,DH15,FCR!$DE$4:$EG$142)</f>
        <v>2.4540000000000002</v>
      </c>
      <c r="DJ15" s="48">
        <f t="shared" si="18"/>
        <v>67</v>
      </c>
      <c r="DK15" s="55">
        <f t="shared" si="19"/>
        <v>2.448</v>
      </c>
      <c r="DL15" s="48" t="str">
        <f t="shared" si="20"/>
        <v>6116</v>
      </c>
      <c r="DM15" s="48">
        <f>SUMIF(FCR!$BZ$4:$DB$142,DL15,FCR!$DE$4:$EG$142)</f>
        <v>2.4430000000000001</v>
      </c>
      <c r="DN15" s="53">
        <f t="shared" si="21"/>
        <v>0</v>
      </c>
      <c r="DO15" s="55">
        <f t="shared" si="22"/>
        <v>2.4359999999999999</v>
      </c>
      <c r="DP15" s="55">
        <f t="shared" si="23"/>
        <v>2.4420000000000002</v>
      </c>
      <c r="DQ15" s="55"/>
      <c r="DR15" s="55">
        <f t="shared" si="24"/>
        <v>2.4420000000000002</v>
      </c>
      <c r="DS15" s="55">
        <f t="shared" si="49"/>
        <v>0</v>
      </c>
      <c r="DT15" s="53">
        <f t="shared" si="50"/>
        <v>39</v>
      </c>
      <c r="DU15" s="59">
        <f t="shared" si="25"/>
        <v>1.3</v>
      </c>
    </row>
    <row r="16" spans="1:125" ht="15">
      <c r="A16">
        <v>12</v>
      </c>
      <c r="B16" t="s">
        <v>333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si="26"/>
        <v/>
      </c>
      <c r="AD16" s="104" t="str">
        <f t="shared" si="27"/>
        <v>12</v>
      </c>
      <c r="AE16" s="49" t="s">
        <v>336</v>
      </c>
      <c r="AF16" s="28" t="s">
        <v>336</v>
      </c>
      <c r="AG16" s="104">
        <f t="shared" si="28"/>
        <v>0</v>
      </c>
      <c r="AH16" s="104">
        <f t="shared" si="29"/>
        <v>0</v>
      </c>
      <c r="AI16" s="104">
        <f t="shared" si="30"/>
        <v>0</v>
      </c>
      <c r="AJ16" s="104">
        <f t="shared" si="31"/>
        <v>0</v>
      </c>
      <c r="AK16" s="104">
        <f t="shared" si="32"/>
        <v>0</v>
      </c>
      <c r="AL16" s="104">
        <f t="shared" si="33"/>
        <v>0</v>
      </c>
      <c r="AM16" s="104">
        <f t="shared" si="34"/>
        <v>0</v>
      </c>
      <c r="AN16" s="104">
        <f t="shared" si="35"/>
        <v>0</v>
      </c>
      <c r="AO16" s="104">
        <f t="shared" si="36"/>
        <v>0</v>
      </c>
      <c r="AP16" s="49">
        <f t="shared" si="37"/>
        <v>0</v>
      </c>
      <c r="AQ16" s="104">
        <f t="shared" si="38"/>
        <v>0</v>
      </c>
      <c r="AR16" s="104">
        <f t="shared" si="39"/>
        <v>0</v>
      </c>
      <c r="AS16" s="104">
        <f t="shared" si="40"/>
        <v>0</v>
      </c>
      <c r="AT16" s="104">
        <f t="shared" si="41"/>
        <v>0</v>
      </c>
      <c r="BE16" s="49">
        <f t="shared" si="0"/>
        <v>0</v>
      </c>
      <c r="BF16" s="49">
        <f t="shared" si="1"/>
        <v>0</v>
      </c>
      <c r="BG16" s="54" t="e">
        <f t="shared" si="2"/>
        <v>#DIV/0!</v>
      </c>
      <c r="BH16" s="112" t="e">
        <f t="shared" si="42"/>
        <v>#DIV/0!</v>
      </c>
      <c r="BJ16" s="55" t="e">
        <f t="shared" si="43"/>
        <v>#DIV/0!</v>
      </c>
      <c r="BK16" s="55" t="e">
        <f t="shared" si="3"/>
        <v>#DIV/0!</v>
      </c>
      <c r="BL16" s="55" t="e">
        <f t="shared" si="44"/>
        <v>#DIV/0!</v>
      </c>
      <c r="BM16" s="53">
        <f t="shared" si="4"/>
        <v>0</v>
      </c>
      <c r="BN16" s="112" t="e">
        <f t="shared" si="5"/>
        <v>#DIV/0!</v>
      </c>
      <c r="BQ16" s="53" t="e">
        <f t="shared" si="45"/>
        <v>#DIV/0!</v>
      </c>
      <c r="BR16" s="53">
        <f t="shared" si="6"/>
        <v>0</v>
      </c>
      <c r="BS16" s="53">
        <f t="shared" si="7"/>
        <v>0</v>
      </c>
      <c r="BT16" s="56" t="e">
        <f t="shared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si="9"/>
        <v>0</v>
      </c>
      <c r="CV16" s="53">
        <f t="shared" si="9"/>
        <v>0</v>
      </c>
      <c r="CW16" s="58" t="e">
        <f t="shared" si="10"/>
        <v>#DIV/0!</v>
      </c>
      <c r="CX16" s="53">
        <f t="shared" si="47"/>
        <v>0</v>
      </c>
      <c r="CY16" s="53">
        <f t="shared" si="47"/>
        <v>0</v>
      </c>
      <c r="CZ16" s="58" t="e">
        <f t="shared" si="48"/>
        <v>#DIV/0!</v>
      </c>
      <c r="DA16" s="48" t="e">
        <f t="shared" si="11"/>
        <v>#DIV/0!</v>
      </c>
      <c r="DB16" s="48" t="e">
        <f t="shared" si="12"/>
        <v>#DIV/0!</v>
      </c>
      <c r="DC16" s="48" t="e">
        <f t="shared" si="13"/>
        <v>#DIV/0!</v>
      </c>
      <c r="DD16" s="48" t="e">
        <f t="shared" si="14"/>
        <v>#DIV/0!</v>
      </c>
      <c r="DE16" s="48" t="e">
        <f t="shared" si="15"/>
        <v>#DIV/0!</v>
      </c>
      <c r="DF16" s="48" t="e">
        <f t="shared" si="16"/>
        <v>#DIV/0!</v>
      </c>
      <c r="DG16" s="48">
        <f>SUMIF(FCR!$BZ$4:$DB$500,DF16,FCR!$DE$4:$EG$500)</f>
        <v>0</v>
      </c>
      <c r="DH16" s="48" t="e">
        <f t="shared" si="17"/>
        <v>#DIV/0!</v>
      </c>
      <c r="DI16" s="48">
        <f>SUMIF(FCR!$BZ$4:$DB$142,DH16,FCR!$DE$4:$EG$142)</f>
        <v>0</v>
      </c>
      <c r="DJ16" s="48" t="e">
        <f t="shared" si="18"/>
        <v>#DIV/0!</v>
      </c>
      <c r="DK16" s="55" t="e">
        <f t="shared" si="19"/>
        <v>#DIV/0!</v>
      </c>
      <c r="DL16" s="48" t="e">
        <f t="shared" si="20"/>
        <v>#DIV/0!</v>
      </c>
      <c r="DM16" s="48">
        <f>SUMIF(FCR!$BZ$4:$DB$142,DL16,FCR!$DE$4:$EG$142)</f>
        <v>0</v>
      </c>
      <c r="DN16" s="53" t="e">
        <f t="shared" si="21"/>
        <v>#DIV/0!</v>
      </c>
      <c r="DO16" s="55" t="e">
        <f t="shared" si="22"/>
        <v>#DIV/0!</v>
      </c>
      <c r="DP16" s="55" t="e">
        <f t="shared" si="23"/>
        <v>#DIV/0!</v>
      </c>
      <c r="DQ16" s="55"/>
      <c r="DR16" s="55" t="e">
        <f t="shared" si="24"/>
        <v>#DIV/0!</v>
      </c>
      <c r="DS16" s="55" t="e">
        <f t="shared" si="49"/>
        <v>#DIV/0!</v>
      </c>
      <c r="DT16" s="53">
        <f t="shared" si="50"/>
        <v>0</v>
      </c>
      <c r="DU16" s="59" t="e">
        <f t="shared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336</v>
      </c>
      <c r="AD17" s="104" t="s">
        <v>334</v>
      </c>
      <c r="AE17" s="49" t="s">
        <v>336</v>
      </c>
      <c r="AF17" s="28" t="s">
        <v>336</v>
      </c>
      <c r="AG17" s="104">
        <f>+SUM(AG5:AG16)</f>
        <v>11991</v>
      </c>
      <c r="AH17" s="104">
        <f>IFERROR(ROUND(AI17/AG17,1),0)</f>
        <v>6.5</v>
      </c>
      <c r="AI17" s="104">
        <f>+SUM(AI5:AI16)</f>
        <v>78437</v>
      </c>
      <c r="AJ17" s="104">
        <f>+SUM(AJ5:AJ16)</f>
        <v>183</v>
      </c>
      <c r="AK17" s="104">
        <f>+IFERROR(ROUND(AJ17/AG17*100,1),0)</f>
        <v>1.5</v>
      </c>
      <c r="AL17" s="104">
        <f>+SUM(AL5:AL16)</f>
        <v>11808</v>
      </c>
      <c r="AM17" s="104">
        <f>+IFERROR(ROUND(AN17/AL17,1),0)</f>
        <v>115</v>
      </c>
      <c r="AN17" s="104">
        <f>+SUM(AN5:AN16)</f>
        <v>1357920</v>
      </c>
      <c r="AO17" s="104">
        <f>+SUM(AO5:AO16)</f>
        <v>1279483</v>
      </c>
      <c r="AP17" s="104">
        <f>+ROUND(SUM(AP5:AP16),0)</f>
        <v>3014748</v>
      </c>
      <c r="AQ17" s="104">
        <f>+IFERROR(ROUND(AP17/AL17,1),0)</f>
        <v>255.3</v>
      </c>
      <c r="AR17" s="104">
        <f>+ROUND(IFERROR(BJ17,0),3)</f>
        <v>2.3559999999999999</v>
      </c>
      <c r="AS17" s="104">
        <f>+ROUND(IFERROR(BK17,0),3)</f>
        <v>2.4409999999999998</v>
      </c>
      <c r="AT17" s="104">
        <f>+ROUND(IFERROR(BL17,0),3)</f>
        <v>-8.5000000000000006E-2</v>
      </c>
      <c r="BE17" s="49">
        <f>+SUM(BE5:BE16)</f>
        <v>11991</v>
      </c>
      <c r="BF17" s="49">
        <f>+SUM(BF5:BF16)</f>
        <v>78437</v>
      </c>
      <c r="BG17" s="54">
        <f>+BF17/BE17</f>
        <v>6.5413226586606621</v>
      </c>
      <c r="BH17" s="112">
        <f t="shared" si="42"/>
        <v>0</v>
      </c>
      <c r="BJ17" s="55">
        <f>BM17/(BS17-BF17)</f>
        <v>2.3562235684256843</v>
      </c>
      <c r="BK17" s="55">
        <f t="shared" si="3"/>
        <v>2.4409999999999998</v>
      </c>
      <c r="BL17" s="55">
        <f t="shared" si="44"/>
        <v>-8.4776431574315581E-2</v>
      </c>
      <c r="BM17" s="53">
        <f>+SUM(BM5:BM16)</f>
        <v>3014748</v>
      </c>
      <c r="BN17" s="112">
        <f t="shared" si="5"/>
        <v>0</v>
      </c>
      <c r="BQ17" s="53">
        <f t="shared" si="45"/>
        <v>0</v>
      </c>
      <c r="BR17" s="53">
        <f>+SUM(BR5:BR16)</f>
        <v>11808</v>
      </c>
      <c r="BS17" s="53">
        <f>+SUM(BS5:BS16)</f>
        <v>1357920</v>
      </c>
      <c r="BT17" s="56">
        <f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si="9"/>
        <v>11991</v>
      </c>
      <c r="CV17" s="53">
        <f>BF17</f>
        <v>78437</v>
      </c>
      <c r="CW17" s="58">
        <f t="shared" si="10"/>
        <v>6.54</v>
      </c>
      <c r="CX17" s="53">
        <f t="shared" si="47"/>
        <v>11808</v>
      </c>
      <c r="CY17" s="53">
        <f t="shared" si="47"/>
        <v>1357920</v>
      </c>
      <c r="CZ17" s="58">
        <f t="shared" si="48"/>
        <v>115</v>
      </c>
      <c r="DA17" s="48" t="str">
        <f t="shared" si="11"/>
        <v>115</v>
      </c>
      <c r="DB17" s="48">
        <f t="shared" si="12"/>
        <v>116</v>
      </c>
      <c r="DC17" s="48" t="str">
        <f t="shared" si="13"/>
        <v>6.</v>
      </c>
      <c r="DD17" s="48">
        <f t="shared" si="14"/>
        <v>6</v>
      </c>
      <c r="DE17" s="48">
        <f t="shared" si="15"/>
        <v>7</v>
      </c>
      <c r="DF17" s="48" t="str">
        <f t="shared" si="16"/>
        <v>6115</v>
      </c>
      <c r="DG17" s="48">
        <f>SUMIF(FCR!$BZ$4:$DB$500,DF17,FCR!$DE$4:$EG$500)</f>
        <v>2.4359999999999999</v>
      </c>
      <c r="DH17" s="48" t="str">
        <f t="shared" si="17"/>
        <v>7115</v>
      </c>
      <c r="DI17" s="48">
        <f>SUMIF(FCR!$BZ$4:$DB$142,DH17,FCR!$DE$4:$EG$142)</f>
        <v>2.4540000000000002</v>
      </c>
      <c r="DJ17" s="48">
        <f t="shared" si="18"/>
        <v>54</v>
      </c>
      <c r="DK17" s="55">
        <f t="shared" si="19"/>
        <v>2.4460000000000002</v>
      </c>
      <c r="DL17" s="48" t="str">
        <f t="shared" si="20"/>
        <v>6116</v>
      </c>
      <c r="DM17" s="48">
        <f>SUMIF(FCR!$BZ$4:$DB$142,DL17,FCR!$DE$4:$EG$142)</f>
        <v>2.4430000000000001</v>
      </c>
      <c r="DN17" s="53">
        <f t="shared" si="21"/>
        <v>0</v>
      </c>
      <c r="DO17" s="55">
        <f t="shared" si="22"/>
        <v>2.4359999999999999</v>
      </c>
      <c r="DP17" s="55">
        <f t="shared" si="23"/>
        <v>2.4409999999999998</v>
      </c>
      <c r="DQ17" s="55"/>
      <c r="DR17" s="55">
        <f t="shared" si="24"/>
        <v>2.4409999999999998</v>
      </c>
      <c r="DS17" s="55">
        <f t="shared" si="49"/>
        <v>0</v>
      </c>
      <c r="DT17" s="53">
        <f t="shared" si="50"/>
        <v>183</v>
      </c>
      <c r="DU17" s="59">
        <f t="shared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topLeftCell="I1"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4" t="s">
        <v>338</v>
      </c>
      <c r="B1" s="147" t="s">
        <v>14</v>
      </c>
      <c r="C1" s="152" t="s">
        <v>15</v>
      </c>
      <c r="D1" s="153" t="s">
        <v>16</v>
      </c>
      <c r="E1" s="155" t="s">
        <v>320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3" t="s">
        <v>21</v>
      </c>
      <c r="BG1" s="143"/>
      <c r="BH1" s="143"/>
      <c r="BI1" s="143"/>
      <c r="BJ1" s="143"/>
      <c r="BK1" s="143" t="s">
        <v>22</v>
      </c>
      <c r="BL1" s="143"/>
      <c r="BM1" s="143"/>
      <c r="BN1" s="143"/>
      <c r="BO1" s="143"/>
      <c r="BP1" s="143"/>
      <c r="BQ1" s="144" t="s">
        <v>23</v>
      </c>
      <c r="BR1" s="143" t="s">
        <v>24</v>
      </c>
      <c r="BS1" s="143" t="s">
        <v>25</v>
      </c>
      <c r="BT1" s="150" t="s">
        <v>26</v>
      </c>
      <c r="BU1" s="151" t="s">
        <v>27</v>
      </c>
      <c r="BV1" s="143" t="s">
        <v>28</v>
      </c>
      <c r="BW1" s="143" t="s">
        <v>29</v>
      </c>
      <c r="BX1" s="143" t="s">
        <v>30</v>
      </c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9" t="s">
        <v>39</v>
      </c>
      <c r="DE1" s="149"/>
      <c r="DF1" s="149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4"/>
      <c r="B2" s="147"/>
      <c r="C2" s="152"/>
      <c r="D2" s="153"/>
      <c r="E2" s="155"/>
      <c r="F2" s="119" t="s">
        <v>56</v>
      </c>
      <c r="G2" s="117" t="s">
        <v>318</v>
      </c>
      <c r="H2" s="119" t="s">
        <v>315</v>
      </c>
      <c r="I2" s="119" t="s">
        <v>316</v>
      </c>
      <c r="J2" s="119" t="s">
        <v>317</v>
      </c>
      <c r="K2" s="119" t="s">
        <v>319</v>
      </c>
      <c r="L2" s="148" t="s">
        <v>18</v>
      </c>
      <c r="M2" s="148" t="s">
        <v>19</v>
      </c>
      <c r="N2" s="144" t="s">
        <v>17</v>
      </c>
      <c r="O2" s="143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4"/>
      <c r="BR2" s="143"/>
      <c r="BS2" s="143"/>
      <c r="BT2" s="150"/>
      <c r="BU2" s="151"/>
      <c r="BV2" s="143"/>
      <c r="BW2" s="143"/>
      <c r="BX2" s="144" t="s">
        <v>86</v>
      </c>
      <c r="BY2" s="144"/>
      <c r="BZ2" s="144" t="s">
        <v>87</v>
      </c>
      <c r="CA2" s="144"/>
      <c r="CB2" s="144" t="s">
        <v>88</v>
      </c>
      <c r="CC2" s="144"/>
      <c r="CD2" s="144" t="s">
        <v>89</v>
      </c>
      <c r="CE2" s="144"/>
      <c r="CF2" s="144" t="s">
        <v>90</v>
      </c>
      <c r="CG2" s="144"/>
      <c r="CH2" s="145" t="s">
        <v>91</v>
      </c>
      <c r="CI2" s="144"/>
      <c r="CJ2" s="145" t="s">
        <v>92</v>
      </c>
      <c r="CK2" s="144"/>
      <c r="CL2" s="145">
        <v>962</v>
      </c>
      <c r="CM2" s="144"/>
      <c r="CN2" s="144">
        <v>972</v>
      </c>
      <c r="CO2" s="144"/>
      <c r="CP2" s="144">
        <v>972</v>
      </c>
      <c r="CQ2" s="144"/>
      <c r="CR2" s="144">
        <v>982</v>
      </c>
      <c r="CS2" s="144"/>
      <c r="CT2" s="146" t="s">
        <v>93</v>
      </c>
      <c r="CU2" s="146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8"/>
      <c r="M3" s="148"/>
      <c r="N3" s="144"/>
      <c r="O3" s="143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339</v>
      </c>
      <c r="AE4" s="38" t="s">
        <v>338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325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9</v>
      </c>
      <c r="B5" t="s">
        <v>321</v>
      </c>
      <c r="C5" t="s">
        <v>367</v>
      </c>
      <c r="D5" t="s">
        <v>476</v>
      </c>
      <c r="E5" t="s">
        <v>477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43931</v>
      </c>
      <c r="M5" s="105">
        <v>43931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336</v>
      </c>
      <c r="AE5" s="49">
        <f>+A5</f>
        <v>9</v>
      </c>
      <c r="AF5" s="49" t="str">
        <f>+C5</f>
        <v>1.Gia bình</v>
      </c>
      <c r="AG5" s="114" t="str">
        <f>+D5</f>
        <v>4.Thịt 4</v>
      </c>
      <c r="AH5" s="104">
        <f>+BF5</f>
        <v>1000</v>
      </c>
      <c r="AI5" s="104">
        <f>+ROUND(IFERROR(BH5,0),1)</f>
        <v>6.5</v>
      </c>
      <c r="AJ5" s="104">
        <f>+BG5</f>
        <v>6500</v>
      </c>
      <c r="AK5" s="104">
        <f>+DU5</f>
        <v>18</v>
      </c>
      <c r="AL5" s="104">
        <f>+ROUND(IFERROR(DV5,0),1)</f>
        <v>1.8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106430</v>
      </c>
      <c r="AQ5" s="49">
        <f>+ROUND(BN5,0)</f>
        <v>247951</v>
      </c>
      <c r="AR5" s="104">
        <f>+ROUND(IFERROR(AQ5/AM5,0),1)</f>
        <v>252.5</v>
      </c>
      <c r="AS5" s="104">
        <f>+ROUND(IFERROR(BK5,0),3)</f>
        <v>2.33</v>
      </c>
      <c r="AT5" s="104">
        <f>+ROUND(IFERROR(BL5,0),3)</f>
        <v>2.4409999999999998</v>
      </c>
      <c r="AU5" s="104">
        <f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1000</v>
      </c>
      <c r="BG5" s="49">
        <f t="shared" si="0"/>
        <v>6500</v>
      </c>
      <c r="BH5" s="54">
        <f t="shared" ref="BH5:BH12" si="1">BG5/BF5</f>
        <v>6.5</v>
      </c>
      <c r="BI5" s="112">
        <f>BJ5/BF5</f>
        <v>0</v>
      </c>
      <c r="BJ5" s="113"/>
      <c r="BK5" s="55">
        <f>BN5/(BT5-BG5)</f>
        <v>2.3297096683265996</v>
      </c>
      <c r="BL5" s="55">
        <f t="shared" ref="BL5:BL12" si="2">DS5</f>
        <v>2.4409999999999998</v>
      </c>
      <c r="BM5" s="55">
        <f>BK5-BL5</f>
        <v>-0.11129033167340019</v>
      </c>
      <c r="BN5" s="53">
        <f t="shared" ref="BN5:BN12" si="3">+H5</f>
        <v>247951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1000</v>
      </c>
      <c r="CW5" s="53">
        <f t="shared" si="7"/>
        <v>6500</v>
      </c>
      <c r="CX5" s="58">
        <f t="shared" ref="CX5:CX12" si="8">ROUND(BH5,2)</f>
        <v>6.5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6.</v>
      </c>
      <c r="DE5" s="48">
        <f t="shared" ref="DE5:DE12" si="12">ROUND(DD5,0)</f>
        <v>6</v>
      </c>
      <c r="DF5" s="48">
        <f t="shared" ref="DF5:DF12" si="13">+DD5+1</f>
        <v>7</v>
      </c>
      <c r="DG5" s="48" t="str">
        <f t="shared" ref="DG5:DG12" si="14">DE5&amp;DB5</f>
        <v>6115</v>
      </c>
      <c r="DH5" s="48">
        <f>SUMIF(FCR!$BZ$4:$DB$500,DG5,FCR!$DE$4:$EG$500)</f>
        <v>2.4359999999999999</v>
      </c>
      <c r="DI5" s="48" t="str">
        <f t="shared" ref="DI5:DI12" si="15">DF5&amp;DB5</f>
        <v>7115</v>
      </c>
      <c r="DJ5" s="48">
        <f>SUMIF(FCR!$BZ$4:$DB$142,DI5,FCR!$DE$4:$EG$142)</f>
        <v>2.4540000000000002</v>
      </c>
      <c r="DK5" s="48">
        <f t="shared" ref="DK5:DK12" si="16">(CX5-DE5)*100</f>
        <v>50</v>
      </c>
      <c r="DL5" s="55">
        <f t="shared" ref="DL5:DL12" si="17">ROUND(DH5+(DJ5-DH5)/100*DK5,3)</f>
        <v>2.4449999999999998</v>
      </c>
      <c r="DM5" s="48" t="str">
        <f t="shared" ref="DM5:DM12" si="18">DE5&amp;DC5</f>
        <v>6116</v>
      </c>
      <c r="DN5" s="48">
        <f>SUMIF(FCR!$BZ$4:$DB$142,DM5,FCR!$DE$4:$EG$142)</f>
        <v>2.4430000000000001</v>
      </c>
      <c r="DO5" s="53">
        <f t="shared" ref="DO5:DO12" si="19">(DA5-DB5)*100</f>
        <v>0</v>
      </c>
      <c r="DP5" s="55">
        <f t="shared" ref="DP5:DP12" si="20">ROUND(DH5+(DN5-DH5)/100*DO5,3)</f>
        <v>2.4359999999999999</v>
      </c>
      <c r="DQ5" s="55">
        <f t="shared" ref="DQ5:DQ12" si="21">ROUND((DP5+DL5)/2,3)</f>
        <v>2.4409999999999998</v>
      </c>
      <c r="DR5" s="55"/>
      <c r="DS5" s="55">
        <f t="shared" ref="DS5:DS12" si="22">DR5+DQ5</f>
        <v>2.4409999999999998</v>
      </c>
      <c r="DT5" s="55">
        <f>+DQ5-BL5</f>
        <v>0</v>
      </c>
      <c r="DU5" s="53">
        <f>CV5-CY5</f>
        <v>18</v>
      </c>
      <c r="DV5" s="59">
        <f t="shared" ref="DV5:DV12" si="23">ROUND(DU5/CV5*100,2)</f>
        <v>1.8</v>
      </c>
    </row>
    <row r="6" spans="1:126" ht="15">
      <c r="A6">
        <v>9</v>
      </c>
      <c r="B6" t="s">
        <v>321</v>
      </c>
      <c r="C6" t="s">
        <v>375</v>
      </c>
      <c r="D6" t="s">
        <v>476</v>
      </c>
      <c r="E6" t="s">
        <v>477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43931</v>
      </c>
      <c r="M6" s="105">
        <v>43931</v>
      </c>
      <c r="N6"/>
      <c r="O6"/>
      <c r="AD6" s="49" t="s">
        <v>336</v>
      </c>
      <c r="AE6" s="49">
        <f t="shared" ref="AE6:AE69" si="24">+A6</f>
        <v>9</v>
      </c>
      <c r="AF6" s="49" t="str">
        <f t="shared" ref="AF6:AF12" si="25">+C6</f>
        <v>2.Lương Tài</v>
      </c>
      <c r="AG6" s="114" t="str">
        <f t="shared" ref="AG6:AG12" si="26">+D6</f>
        <v>4.Thịt 4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511801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2.3966331070007025</v>
      </c>
      <c r="BL6" s="55">
        <f t="shared" si="2"/>
        <v>2.4409999999999998</v>
      </c>
      <c r="BM6" s="55">
        <f t="shared" ref="BM6:BM12" si="41">BK6-BL6</f>
        <v>-4.4366892999297303E-2</v>
      </c>
      <c r="BN6" s="53">
        <f t="shared" si="3"/>
        <v>511801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336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336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336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336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336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336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336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336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336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336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336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336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336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336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336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336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336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336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336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336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336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336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336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336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336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336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336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336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336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336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336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336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336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336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336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336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336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336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336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336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336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336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336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336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336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336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336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336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336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336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336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336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336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336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336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336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336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336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336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336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336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336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336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336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336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336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336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336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336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336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336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336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336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336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336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336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336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336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336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336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336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336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336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336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336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336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336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336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336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336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336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336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336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336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336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336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336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336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336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336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336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336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336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336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336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336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336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336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336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336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336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336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336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336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336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336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336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336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336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336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336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336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336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336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336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336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336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336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336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336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336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336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336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336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336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336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336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336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336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336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336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336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336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336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336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336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336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336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336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336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336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336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336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336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336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336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336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336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336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336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336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336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336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336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336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336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336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336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336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336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336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336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336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336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336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336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336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336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336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336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336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336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336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336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336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336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336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336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336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336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336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336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336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336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DD1:DF1"/>
    <mergeCell ref="BX2:BY2"/>
    <mergeCell ref="BZ2:CA2"/>
    <mergeCell ref="CB2:CC2"/>
    <mergeCell ref="CD2:CE2"/>
    <mergeCell ref="CR2:CS2"/>
    <mergeCell ref="CT2:CU2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B1:B2"/>
    <mergeCell ref="C1:C2"/>
    <mergeCell ref="D1:D2"/>
    <mergeCell ref="CN2:CO2"/>
    <mergeCell ref="CP2:CQ2"/>
    <mergeCell ref="L2:L3"/>
    <mergeCell ref="M2:M3"/>
    <mergeCell ref="N2:N3"/>
    <mergeCell ref="O2:O3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7" t="s">
        <v>14</v>
      </c>
      <c r="B1" s="152" t="s">
        <v>15</v>
      </c>
      <c r="C1" s="153" t="s">
        <v>16</v>
      </c>
      <c r="D1" s="155" t="s">
        <v>320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3" t="s">
        <v>21</v>
      </c>
      <c r="AS1" s="143"/>
      <c r="AT1" s="143"/>
      <c r="AU1" s="143"/>
      <c r="AV1" s="143"/>
      <c r="AW1" s="143" t="s">
        <v>22</v>
      </c>
      <c r="AX1" s="143"/>
      <c r="AY1" s="143"/>
      <c r="AZ1" s="143"/>
      <c r="BA1" s="143"/>
      <c r="BB1" s="143"/>
      <c r="BC1" s="144" t="s">
        <v>23</v>
      </c>
      <c r="BD1" s="143" t="s">
        <v>24</v>
      </c>
      <c r="BE1" s="143" t="s">
        <v>25</v>
      </c>
      <c r="BF1" s="150" t="s">
        <v>26</v>
      </c>
      <c r="BG1" s="151" t="s">
        <v>27</v>
      </c>
      <c r="BH1" s="143" t="s">
        <v>28</v>
      </c>
      <c r="BI1" s="143" t="s">
        <v>29</v>
      </c>
      <c r="BJ1" s="143" t="s">
        <v>30</v>
      </c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9" t="s">
        <v>39</v>
      </c>
      <c r="CQ1" s="149"/>
      <c r="CR1" s="149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7"/>
      <c r="B2" s="152"/>
      <c r="C2" s="153"/>
      <c r="D2" s="155"/>
      <c r="E2" s="107" t="s">
        <v>56</v>
      </c>
      <c r="F2" s="106" t="s">
        <v>318</v>
      </c>
      <c r="G2" s="107" t="s">
        <v>315</v>
      </c>
      <c r="H2" s="107" t="s">
        <v>316</v>
      </c>
      <c r="I2" s="107" t="s">
        <v>317</v>
      </c>
      <c r="J2" s="107" t="s">
        <v>319</v>
      </c>
      <c r="K2" s="148" t="s">
        <v>18</v>
      </c>
      <c r="L2" s="148" t="s">
        <v>19</v>
      </c>
      <c r="M2" s="144" t="s">
        <v>17</v>
      </c>
      <c r="N2" s="143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325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4"/>
      <c r="BD2" s="143"/>
      <c r="BE2" s="143"/>
      <c r="BF2" s="150"/>
      <c r="BG2" s="151"/>
      <c r="BH2" s="143"/>
      <c r="BI2" s="143"/>
      <c r="BJ2" s="144" t="s">
        <v>86</v>
      </c>
      <c r="BK2" s="144"/>
      <c r="BL2" s="144" t="s">
        <v>87</v>
      </c>
      <c r="BM2" s="144"/>
      <c r="BN2" s="144" t="s">
        <v>88</v>
      </c>
      <c r="BO2" s="144"/>
      <c r="BP2" s="144" t="s">
        <v>89</v>
      </c>
      <c r="BQ2" s="144"/>
      <c r="BR2" s="144" t="s">
        <v>90</v>
      </c>
      <c r="BS2" s="144"/>
      <c r="BT2" s="145" t="s">
        <v>91</v>
      </c>
      <c r="BU2" s="144"/>
      <c r="BV2" s="145" t="s">
        <v>92</v>
      </c>
      <c r="BW2" s="144"/>
      <c r="BX2" s="145">
        <v>962</v>
      </c>
      <c r="BY2" s="144"/>
      <c r="BZ2" s="144">
        <v>972</v>
      </c>
      <c r="CA2" s="144"/>
      <c r="CB2" s="144">
        <v>972</v>
      </c>
      <c r="CC2" s="144"/>
      <c r="CD2" s="144">
        <v>982</v>
      </c>
      <c r="CE2" s="144"/>
      <c r="CF2" s="146" t="s">
        <v>93</v>
      </c>
      <c r="CG2" s="146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8"/>
      <c r="L3" s="148"/>
      <c r="M3" s="144"/>
      <c r="N3" s="143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321</v>
      </c>
      <c r="B5" s="123" t="s">
        <v>100</v>
      </c>
      <c r="C5" s="114" t="s">
        <v>322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326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321</v>
      </c>
      <c r="B6" s="123" t="s">
        <v>101</v>
      </c>
      <c r="C6" s="114" t="s">
        <v>322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326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6" t="s">
        <v>104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7" t="s">
        <v>105</v>
      </c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46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AB4:AD50</v>
      </c>
      <c r="AB2" s="3" t="s">
        <v>2</v>
      </c>
    </row>
    <row r="3" spans="1:36" ht="14.25">
      <c r="A3" s="1"/>
      <c r="B3" s="11"/>
      <c r="C3" s="1"/>
      <c r="D3" s="1"/>
      <c r="Z3" s="1">
        <v>2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>
        <v>254</v>
      </c>
      <c r="AD4" s="12">
        <v>2554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384</v>
      </c>
      <c r="AB5" s="2" t="s">
        <v>385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386</v>
      </c>
      <c r="AB6" s="2" t="s">
        <v>387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388</v>
      </c>
      <c r="AB7" s="2" t="s">
        <v>389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390</v>
      </c>
      <c r="AB8" s="2" t="s">
        <v>391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392</v>
      </c>
      <c r="AB9" s="2" t="s">
        <v>393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394</v>
      </c>
      <c r="AB10" s="2" t="s">
        <v>395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396</v>
      </c>
      <c r="AB11" s="2" t="s">
        <v>397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398</v>
      </c>
      <c r="AB12" s="2" t="s">
        <v>399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400</v>
      </c>
      <c r="AB13" s="2" t="s">
        <v>401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402</v>
      </c>
      <c r="AB14" s="2" t="s">
        <v>403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404</v>
      </c>
      <c r="AB15" s="2" t="s">
        <v>405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406</v>
      </c>
      <c r="AB16" s="2" t="s">
        <v>407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408</v>
      </c>
      <c r="AB17" s="2" t="s">
        <v>409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410</v>
      </c>
      <c r="AB18" s="2" t="s">
        <v>411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412</v>
      </c>
      <c r="AB19" s="2" t="s">
        <v>413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414</v>
      </c>
      <c r="AB20" s="2" t="s">
        <v>415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416</v>
      </c>
      <c r="AB21" s="2" t="s">
        <v>417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418</v>
      </c>
      <c r="AB22" s="2" t="s">
        <v>419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420</v>
      </c>
      <c r="AB23" s="2" t="s">
        <v>421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422</v>
      </c>
      <c r="AB24" s="2" t="s">
        <v>423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424</v>
      </c>
      <c r="AB25" s="2" t="s">
        <v>425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426</v>
      </c>
      <c r="AB26" s="2" t="s">
        <v>427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428</v>
      </c>
      <c r="AB27" s="2" t="s">
        <v>429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430</v>
      </c>
      <c r="AB28" s="2" t="s">
        <v>431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432</v>
      </c>
      <c r="AB29" s="2" t="s">
        <v>433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434</v>
      </c>
      <c r="AB30" s="2" t="s">
        <v>435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436</v>
      </c>
      <c r="AB31" s="2" t="s">
        <v>437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438</v>
      </c>
      <c r="AB32" s="2" t="s">
        <v>439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440</v>
      </c>
      <c r="AB33" s="2" t="s">
        <v>441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442</v>
      </c>
      <c r="AB34" s="2" t="s">
        <v>443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444</v>
      </c>
      <c r="AB35" s="2" t="s">
        <v>445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446</v>
      </c>
      <c r="AB36" s="2" t="s">
        <v>447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448</v>
      </c>
      <c r="AB37" s="2" t="s">
        <v>449</v>
      </c>
      <c r="AC37" s="17">
        <v>0</v>
      </c>
      <c r="AD37" s="2">
        <v>0</v>
      </c>
    </row>
    <row r="38" spans="1:36" ht="15.75" customHeight="1">
      <c r="A38" s="1"/>
      <c r="B38" s="11"/>
      <c r="C38" s="1"/>
      <c r="D38" s="1"/>
      <c r="AA38" s="2" t="s">
        <v>450</v>
      </c>
      <c r="AB38" s="2" t="s">
        <v>451</v>
      </c>
      <c r="AC38" s="17">
        <v>0</v>
      </c>
      <c r="AD38" s="2">
        <v>0</v>
      </c>
    </row>
    <row r="39" spans="1:36" ht="15.75" customHeight="1">
      <c r="A39" s="1"/>
      <c r="B39" s="11"/>
      <c r="C39" s="1"/>
      <c r="D39" s="1"/>
      <c r="AA39" s="2" t="s">
        <v>452</v>
      </c>
      <c r="AB39" s="2" t="s">
        <v>453</v>
      </c>
      <c r="AC39" s="17">
        <v>0</v>
      </c>
      <c r="AD39" s="2">
        <v>0</v>
      </c>
    </row>
    <row r="40" spans="1:36" ht="15.75" customHeight="1">
      <c r="A40" s="1"/>
      <c r="B40" s="11"/>
      <c r="C40" s="1"/>
      <c r="D40" s="1"/>
      <c r="AA40" s="2" t="s">
        <v>454</v>
      </c>
      <c r="AB40" s="2" t="s">
        <v>455</v>
      </c>
      <c r="AC40" s="17">
        <v>0</v>
      </c>
      <c r="AD40" s="2">
        <v>0</v>
      </c>
    </row>
    <row r="41" spans="1:36" ht="15.75" customHeight="1">
      <c r="A41" s="1"/>
      <c r="B41" s="11"/>
      <c r="C41" s="1"/>
      <c r="D41" s="1"/>
      <c r="AA41" s="2" t="s">
        <v>456</v>
      </c>
      <c r="AB41" s="2" t="s">
        <v>457</v>
      </c>
      <c r="AC41" s="17">
        <v>0</v>
      </c>
      <c r="AD41" s="2">
        <v>0</v>
      </c>
    </row>
    <row r="42" spans="1:36" ht="15.75" customHeight="1">
      <c r="A42" s="1"/>
      <c r="B42" s="11"/>
      <c r="C42" s="1"/>
      <c r="D42" s="1"/>
      <c r="AA42" s="2" t="s">
        <v>458</v>
      </c>
      <c r="AB42" s="2" t="s">
        <v>459</v>
      </c>
      <c r="AC42" s="17">
        <v>0</v>
      </c>
      <c r="AD42" s="2">
        <v>0</v>
      </c>
    </row>
    <row r="43" spans="1:36" ht="15.75" customHeight="1">
      <c r="A43" s="1"/>
      <c r="B43" s="11"/>
      <c r="C43" s="1"/>
      <c r="D43" s="1"/>
      <c r="AA43" s="2" t="s">
        <v>460</v>
      </c>
      <c r="AB43" s="2" t="s">
        <v>461</v>
      </c>
      <c r="AC43" s="17">
        <v>0</v>
      </c>
      <c r="AD43" s="2">
        <v>0</v>
      </c>
    </row>
    <row r="44" spans="1:36" ht="15.75" customHeight="1">
      <c r="A44" s="1"/>
      <c r="B44" s="11"/>
      <c r="C44" s="1"/>
      <c r="D44" s="1"/>
      <c r="AA44" s="2" t="s">
        <v>462</v>
      </c>
      <c r="AB44" s="2" t="s">
        <v>463</v>
      </c>
      <c r="AC44" s="17">
        <v>0</v>
      </c>
      <c r="AD44" s="2">
        <v>0</v>
      </c>
    </row>
    <row r="45" spans="1:36" ht="15.75" customHeight="1">
      <c r="A45" s="1"/>
      <c r="B45" s="11"/>
      <c r="C45" s="1"/>
      <c r="D45" s="1"/>
      <c r="AA45" s="2" t="s">
        <v>464</v>
      </c>
      <c r="AB45" s="2" t="s">
        <v>465</v>
      </c>
      <c r="AC45" s="17">
        <v>0</v>
      </c>
      <c r="AD45" s="2">
        <v>0</v>
      </c>
    </row>
    <row r="46" spans="1:36" ht="15.75" customHeight="1">
      <c r="A46" s="1"/>
      <c r="B46" s="11"/>
      <c r="C46" s="1"/>
      <c r="D46" s="1"/>
      <c r="AA46" s="2" t="s">
        <v>466</v>
      </c>
      <c r="AB46" s="2" t="s">
        <v>467</v>
      </c>
      <c r="AC46" s="17">
        <v>0</v>
      </c>
      <c r="AD46" s="2">
        <v>0</v>
      </c>
    </row>
    <row r="47" spans="1:36" ht="15.75" customHeight="1">
      <c r="A47" s="1"/>
      <c r="B47" s="11"/>
      <c r="C47" s="1"/>
      <c r="D47" s="1"/>
      <c r="AA47" s="2" t="s">
        <v>468</v>
      </c>
      <c r="AB47" s="2" t="s">
        <v>469</v>
      </c>
      <c r="AC47" s="17">
        <v>0</v>
      </c>
      <c r="AD47" s="2">
        <v>0</v>
      </c>
    </row>
    <row r="48" spans="1:36" ht="15.75" customHeight="1">
      <c r="A48" s="1"/>
      <c r="B48" s="11"/>
      <c r="C48" s="1"/>
      <c r="D48" s="1"/>
      <c r="AA48" s="2" t="s">
        <v>470</v>
      </c>
      <c r="AB48" s="2" t="s">
        <v>471</v>
      </c>
      <c r="AC48" s="17">
        <v>0</v>
      </c>
      <c r="AD48" s="2">
        <v>0</v>
      </c>
    </row>
    <row r="49" spans="1:30" ht="15.75" customHeight="1">
      <c r="A49" s="1"/>
      <c r="B49" s="11"/>
      <c r="C49" s="1"/>
      <c r="D49" s="1"/>
      <c r="AA49" s="2" t="s">
        <v>472</v>
      </c>
      <c r="AB49" s="2" t="s">
        <v>473</v>
      </c>
      <c r="AC49" s="17">
        <v>0</v>
      </c>
      <c r="AD49" s="2">
        <v>0</v>
      </c>
    </row>
    <row r="50" spans="1:30" ht="15.75" customHeight="1">
      <c r="A50" s="1"/>
      <c r="B50" s="11"/>
      <c r="C50" s="1"/>
      <c r="D50" s="1"/>
      <c r="AA50" s="2" t="s">
        <v>474</v>
      </c>
      <c r="AB50" s="2" t="s">
        <v>475</v>
      </c>
      <c r="AC50" s="17">
        <v>0</v>
      </c>
      <c r="AD50" s="2">
        <v>0</v>
      </c>
    </row>
    <row r="51" spans="1:30" ht="15.75" customHeight="1">
      <c r="A51" s="1"/>
      <c r="B51" s="11"/>
      <c r="C51" s="1"/>
      <c r="D51" s="1"/>
    </row>
    <row r="52" spans="1:30" ht="15.75" customHeight="1">
      <c r="A52" s="1"/>
      <c r="B52" s="11"/>
      <c r="C52" s="1"/>
      <c r="D52" s="1"/>
    </row>
    <row r="53" spans="1:30" ht="15.75" customHeight="1">
      <c r="A53" s="1"/>
      <c r="B53" s="11"/>
      <c r="C53" s="1"/>
      <c r="D53" s="1"/>
    </row>
    <row r="54" spans="1:30" ht="15.75" customHeight="1">
      <c r="A54" s="1"/>
      <c r="B54" s="11"/>
      <c r="C54" s="1"/>
      <c r="D54" s="1"/>
    </row>
    <row r="55" spans="1:30" ht="15.75" customHeight="1">
      <c r="A55" s="1"/>
      <c r="B55" s="11"/>
      <c r="C55" s="1"/>
      <c r="D55" s="1"/>
    </row>
    <row r="56" spans="1:30" ht="15.75" customHeight="1">
      <c r="A56" s="1"/>
      <c r="B56" s="11"/>
      <c r="C56" s="1"/>
      <c r="D56" s="1"/>
    </row>
    <row r="57" spans="1:30" ht="15.75" customHeight="1">
      <c r="A57" s="1"/>
      <c r="B57" s="11"/>
      <c r="C57" s="1"/>
      <c r="D57" s="1"/>
    </row>
    <row r="58" spans="1:30" ht="15.75" customHeight="1">
      <c r="A58" s="1"/>
      <c r="B58" s="11"/>
      <c r="C58" s="1"/>
      <c r="D58" s="1"/>
    </row>
    <row r="59" spans="1:30" ht="15.75" customHeight="1">
      <c r="A59" s="1"/>
      <c r="B59" s="11"/>
      <c r="C59" s="1"/>
      <c r="D59" s="1"/>
    </row>
    <row r="60" spans="1:30" ht="15.75" customHeight="1">
      <c r="A60" s="1"/>
      <c r="B60" s="11"/>
      <c r="C60" s="1"/>
      <c r="D60" s="1"/>
    </row>
    <row r="61" spans="1:30" ht="15.75" customHeight="1">
      <c r="A61" s="1"/>
      <c r="B61" s="11"/>
      <c r="C61" s="1"/>
      <c r="D61" s="1"/>
    </row>
    <row r="62" spans="1:30" ht="15.75" customHeight="1">
      <c r="A62" s="1"/>
      <c r="B62" s="11"/>
      <c r="C62" s="1"/>
      <c r="D62" s="1"/>
    </row>
    <row r="63" spans="1:30" ht="15.75" customHeight="1">
      <c r="A63" s="1"/>
      <c r="B63" s="11"/>
      <c r="C63" s="1"/>
      <c r="D63" s="1"/>
    </row>
    <row r="64" spans="1:30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I25" sqref="I2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335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334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opLeftCell="E1" zoomScale="115" zoomScaleNormal="115" workbookViewId="0">
      <selection activeCell="L3" sqref="L3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480</v>
      </c>
      <c r="B1" s="133" t="s">
        <v>362</v>
      </c>
      <c r="C1" s="133"/>
      <c r="D1" s="133" t="s">
        <v>341</v>
      </c>
      <c r="E1" s="133" t="s">
        <v>342</v>
      </c>
      <c r="F1" s="133"/>
      <c r="G1" s="133" t="s">
        <v>344</v>
      </c>
      <c r="H1" s="133" t="s">
        <v>345</v>
      </c>
      <c r="I1" s="133" t="s">
        <v>344</v>
      </c>
      <c r="J1" s="133" t="s">
        <v>345</v>
      </c>
      <c r="K1" s="133" t="s">
        <v>360</v>
      </c>
      <c r="L1" s="134" t="s">
        <v>479</v>
      </c>
    </row>
    <row r="2" spans="1:12" ht="138.75" customHeight="1">
      <c r="A2" s="135">
        <f>(VALUE(LEFT(A1,2)))</f>
        <v>0</v>
      </c>
      <c r="B2" s="135">
        <v>2020</v>
      </c>
      <c r="C2" s="136">
        <f>++DATE(B2,1,1)</f>
        <v>43831</v>
      </c>
      <c r="D2" s="136">
        <f>+WEEKDAY(DATE(B2,1,1),1)</f>
        <v>4</v>
      </c>
      <c r="E2" s="136">
        <f>+C2-D2+1</f>
        <v>43828</v>
      </c>
      <c r="F2" s="133" t="s">
        <v>343</v>
      </c>
      <c r="G2" s="136">
        <f>+E2+A2*7</f>
        <v>43828</v>
      </c>
      <c r="H2" s="136">
        <f>+G2-7</f>
        <v>43821</v>
      </c>
      <c r="I2" s="138" t="str">
        <f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321</v>
      </c>
      <c r="L2" s="133" t="str">
        <f>SUBSTITUTE(SUBSTITUTE(+SUBSTITUTE(L1,"para_ngay_bat_dau",$J$2),"para_ngay_ket_thuc",$I$2),"para_cong_ty",$K$2)</f>
        <v>SELECT * FROM (SELECT data_thit.ma_lo_nhap as lo FROM data_thit WHERE data_thit.cong_ty = 103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"2020-1-1" AND data_thit.cong_ty = 103 and kho = '' AND ( data_thit.ngay_dong = 0 OR data_thit.ngay_dong &lt; "2020-1-1"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103 and kho = '' AND data_thit.ngay &gt;= "2020-1-1" AND data_thit.ngay &lt;= "2020-12-31" GROUP BY data_thit.ma_lo_nhap ) as C  ) as D ON D.lo = A.lo WHERE  cong_ty_2 IS NOT NULL</v>
      </c>
    </row>
    <row r="3" spans="1:12">
      <c r="A3" s="135" t="s">
        <v>361</v>
      </c>
      <c r="D3" s="136"/>
      <c r="G3" s="135" t="s">
        <v>364</v>
      </c>
      <c r="H3" s="133" t="s">
        <v>363</v>
      </c>
    </row>
    <row r="4" spans="1:12">
      <c r="A4" s="135">
        <f>+VALUE(RIGHT(A1,2))</f>
        <v>0</v>
      </c>
      <c r="D4" s="136"/>
      <c r="G4" s="136">
        <f>++DATE(B2,A4+1,1)-1</f>
        <v>43830</v>
      </c>
      <c r="H4" s="136">
        <f>+DATE(B2,A4,1)</f>
        <v>43800</v>
      </c>
    </row>
    <row r="5" spans="1:12">
      <c r="D5" s="136"/>
      <c r="G5" s="135" t="s">
        <v>365</v>
      </c>
      <c r="H5" s="133" t="s">
        <v>366</v>
      </c>
    </row>
    <row r="6" spans="1:12">
      <c r="D6" s="136"/>
      <c r="G6" s="136">
        <f>++DATE(B2+1,1,1)-1</f>
        <v>44196</v>
      </c>
      <c r="H6" s="136">
        <f>+DATE(B2,1,1)</f>
        <v>43831</v>
      </c>
    </row>
    <row r="16" spans="1:12">
      <c r="A16" s="135" t="s">
        <v>346</v>
      </c>
      <c r="D16" s="136"/>
    </row>
    <row r="17" spans="1:5">
      <c r="A17" s="135" t="s">
        <v>347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Q999"/>
  <sheetViews>
    <sheetView tabSelected="1" topLeftCell="U1" workbookViewId="0">
      <selection activeCell="AS21" sqref="AS21"/>
    </sheetView>
  </sheetViews>
  <sheetFormatPr defaultRowHeight="15"/>
  <cols>
    <col min="2" max="2" width="9.140625" style="131"/>
    <col min="3" max="3" width="17.28515625" style="131" customWidth="1"/>
    <col min="4" max="5" width="9.140625" style="131"/>
    <col min="6" max="6" width="11.28515625" style="131" customWidth="1"/>
    <col min="7" max="11" width="9.140625" style="131"/>
    <col min="12" max="12" width="19.7109375" style="131" customWidth="1"/>
    <col min="13" max="13" width="11.140625" style="131" customWidth="1"/>
    <col min="14" max="14" width="19.5703125" style="131" customWidth="1"/>
    <col min="15" max="15" width="13.42578125" style="131" customWidth="1"/>
    <col min="16" max="17" width="9.140625" style="131"/>
    <col min="18" max="18" width="14" style="131" customWidth="1"/>
    <col min="19" max="19" width="9.140625" style="131"/>
    <col min="20" max="20" width="24.42578125" style="131" customWidth="1"/>
    <col min="29" max="32" width="9.140625" style="131"/>
    <col min="33" max="33" width="12.5703125" style="140" customWidth="1"/>
    <col min="34" max="35" width="9.140625" style="140"/>
    <col min="36" max="36" width="7.5703125" style="131" customWidth="1"/>
    <col min="37" max="37" width="7.140625" style="131" customWidth="1"/>
    <col min="38" max="38" width="10.7109375" style="127" customWidth="1"/>
    <col min="39" max="39" width="9.5703125" style="140" bestFit="1" customWidth="1"/>
    <col min="40" max="40" width="11.5703125" style="140" bestFit="1" customWidth="1"/>
    <col min="41" max="41" width="9.28515625" style="140" bestFit="1" customWidth="1"/>
    <col min="42" max="42" width="9.5703125" style="140" bestFit="1" customWidth="1"/>
    <col min="43" max="43" width="9.140625" style="131"/>
  </cols>
  <sheetData>
    <row r="1" spans="1:43" s="130" customFormat="1" ht="66.75" customHeight="1">
      <c r="A1" s="130" t="s">
        <v>478</v>
      </c>
      <c r="B1" s="132" t="s">
        <v>310</v>
      </c>
      <c r="C1" s="132" t="s">
        <v>309</v>
      </c>
      <c r="D1" s="132" t="s">
        <v>311</v>
      </c>
      <c r="E1" s="132" t="s">
        <v>478</v>
      </c>
      <c r="F1" s="132" t="s">
        <v>357</v>
      </c>
      <c r="G1" s="132" t="s">
        <v>358</v>
      </c>
      <c r="H1" s="132" t="s">
        <v>310</v>
      </c>
      <c r="I1" s="132" t="s">
        <v>309</v>
      </c>
      <c r="J1" s="132" t="s">
        <v>311</v>
      </c>
      <c r="K1" s="132" t="s">
        <v>312</v>
      </c>
      <c r="L1" s="132" t="s">
        <v>348</v>
      </c>
      <c r="M1" s="132" t="s">
        <v>349</v>
      </c>
      <c r="N1" s="132" t="s">
        <v>488</v>
      </c>
      <c r="O1" s="132" t="s">
        <v>489</v>
      </c>
      <c r="P1" s="132" t="s">
        <v>490</v>
      </c>
      <c r="Q1" s="132" t="s">
        <v>491</v>
      </c>
      <c r="R1" s="132" t="s">
        <v>492</v>
      </c>
      <c r="S1" s="132" t="s">
        <v>493</v>
      </c>
      <c r="T1" s="132" t="s">
        <v>494</v>
      </c>
      <c r="U1" s="130" t="s">
        <v>495</v>
      </c>
      <c r="AB1" s="130" t="str">
        <f>++ADDRESS(1,29,4)&amp;":"&amp;ADDRESS(COUNTA(A1:A1000),28+14,4)</f>
        <v>AC1:AP14</v>
      </c>
      <c r="AC1" s="132" t="s">
        <v>14</v>
      </c>
      <c r="AD1" s="132" t="s">
        <v>15</v>
      </c>
      <c r="AE1" s="132" t="s">
        <v>16</v>
      </c>
      <c r="AF1" s="132" t="s">
        <v>320</v>
      </c>
      <c r="AG1" s="139" t="s">
        <v>350</v>
      </c>
      <c r="AH1" s="139" t="s">
        <v>351</v>
      </c>
      <c r="AI1" s="139" t="s">
        <v>355</v>
      </c>
      <c r="AJ1" s="132" t="s">
        <v>352</v>
      </c>
      <c r="AK1" s="132" t="s">
        <v>380</v>
      </c>
      <c r="AL1" s="142" t="s">
        <v>381</v>
      </c>
      <c r="AM1" s="139" t="s">
        <v>496</v>
      </c>
      <c r="AN1" s="139" t="s">
        <v>356</v>
      </c>
      <c r="AO1" s="139" t="s">
        <v>353</v>
      </c>
      <c r="AP1" s="139" t="s">
        <v>354</v>
      </c>
      <c r="AQ1" s="132"/>
    </row>
    <row r="2" spans="1:43">
      <c r="A2" t="s">
        <v>481</v>
      </c>
      <c r="B2"/>
      <c r="C2"/>
      <c r="D2"/>
      <c r="E2"/>
      <c r="F2" s="105"/>
      <c r="G2"/>
      <c r="H2" t="s">
        <v>321</v>
      </c>
      <c r="I2" t="s">
        <v>497</v>
      </c>
      <c r="J2" t="s">
        <v>498</v>
      </c>
      <c r="K2" t="s">
        <v>481</v>
      </c>
      <c r="L2">
        <v>1000</v>
      </c>
      <c r="M2">
        <v>6500</v>
      </c>
      <c r="N2">
        <v>18</v>
      </c>
      <c r="O2">
        <v>0</v>
      </c>
      <c r="P2">
        <v>982</v>
      </c>
      <c r="Q2">
        <v>112930</v>
      </c>
      <c r="R2">
        <v>0</v>
      </c>
      <c r="S2">
        <v>0</v>
      </c>
      <c r="T2">
        <v>0</v>
      </c>
      <c r="U2">
        <v>0</v>
      </c>
      <c r="AC2" s="131" t="str">
        <f>+H2</f>
        <v>103</v>
      </c>
      <c r="AD2" s="131" t="str">
        <f>+I2</f>
        <v>1.Hà Nội</v>
      </c>
      <c r="AE2" s="131" t="str">
        <f>+J2</f>
        <v>1.</v>
      </c>
      <c r="AF2" s="131" t="str">
        <f>+K2</f>
        <v>1_lô 1</v>
      </c>
      <c r="AG2" s="140">
        <f>+G2</f>
        <v>0</v>
      </c>
      <c r="AH2" s="140">
        <f>+L2</f>
        <v>1000</v>
      </c>
      <c r="AI2" s="140">
        <f>+M2</f>
        <v>6500</v>
      </c>
      <c r="AJ2" s="131">
        <f>+T2</f>
        <v>0</v>
      </c>
      <c r="AK2" s="131">
        <f>+N2+O2</f>
        <v>18</v>
      </c>
      <c r="AL2" s="127">
        <f>ROUND(IFERROR(+AK2/AH2*100,0),2)</f>
        <v>1.8</v>
      </c>
      <c r="AM2" s="140">
        <f>+P2+R2</f>
        <v>982</v>
      </c>
      <c r="AN2" s="140">
        <f>+Q2+S2</f>
        <v>112930</v>
      </c>
      <c r="AO2" s="140">
        <f>+U2</f>
        <v>0</v>
      </c>
      <c r="AP2" s="140">
        <f>+AG2+AH2+AJ2-AK2-AM2-AO2</f>
        <v>0</v>
      </c>
    </row>
    <row r="3" spans="1:43">
      <c r="A3" t="s">
        <v>370</v>
      </c>
      <c r="B3"/>
      <c r="C3"/>
      <c r="D3"/>
      <c r="E3"/>
      <c r="F3" s="105"/>
      <c r="G3"/>
      <c r="H3" t="s">
        <v>321</v>
      </c>
      <c r="I3" t="s">
        <v>497</v>
      </c>
      <c r="J3" t="s">
        <v>369</v>
      </c>
      <c r="K3" t="s">
        <v>370</v>
      </c>
      <c r="L3">
        <v>991</v>
      </c>
      <c r="M3">
        <v>6937</v>
      </c>
      <c r="N3">
        <v>9</v>
      </c>
      <c r="O3">
        <v>0</v>
      </c>
      <c r="P3">
        <v>700</v>
      </c>
      <c r="Q3">
        <v>80500</v>
      </c>
      <c r="R3">
        <v>0</v>
      </c>
      <c r="S3">
        <v>0</v>
      </c>
      <c r="T3">
        <v>0</v>
      </c>
      <c r="U3">
        <v>0</v>
      </c>
      <c r="AC3" s="131" t="str">
        <f t="shared" ref="AC3:AC66" si="0">+H3</f>
        <v>103</v>
      </c>
      <c r="AD3" s="131" t="str">
        <f t="shared" ref="AD3:AD66" si="1">+I3</f>
        <v>1.Hà Nội</v>
      </c>
      <c r="AE3" s="131" t="str">
        <f t="shared" ref="AE3:AE66" si="2">+J3</f>
        <v>13.Thịt 13</v>
      </c>
      <c r="AF3" s="131" t="str">
        <f t="shared" ref="AF3:AF66" si="3">+K3</f>
        <v>10_lô 10</v>
      </c>
      <c r="AG3" s="140">
        <f t="shared" ref="AG3:AG66" si="4">+G3</f>
        <v>0</v>
      </c>
      <c r="AH3" s="140">
        <f t="shared" ref="AH3:AH66" si="5">+L3</f>
        <v>991</v>
      </c>
      <c r="AI3" s="140">
        <f t="shared" ref="AI3:AI66" si="6">+M3</f>
        <v>6937</v>
      </c>
      <c r="AJ3" s="131">
        <f t="shared" ref="AJ3:AJ66" si="7">+T3</f>
        <v>0</v>
      </c>
      <c r="AK3" s="131">
        <f t="shared" ref="AK3:AK66" si="8">+N3+O3</f>
        <v>9</v>
      </c>
      <c r="AL3" s="127">
        <f t="shared" ref="AL3:AL66" si="9">ROUND(IFERROR(+AK3/AH3*100,0),2)</f>
        <v>0.91</v>
      </c>
      <c r="AM3" s="140">
        <f t="shared" ref="AM3:AM66" si="10">+P3+R3</f>
        <v>700</v>
      </c>
      <c r="AN3" s="140">
        <f t="shared" ref="AN3:AN66" si="11">+Q3+S3</f>
        <v>80500</v>
      </c>
      <c r="AO3" s="140">
        <f t="shared" ref="AO3:AO66" si="12">+U3</f>
        <v>0</v>
      </c>
      <c r="AP3" s="140">
        <f t="shared" ref="AP3:AP66" si="13">+AG3+AH3+AJ3-AK3-AM3-AO3</f>
        <v>282</v>
      </c>
    </row>
    <row r="4" spans="1:43">
      <c r="A4" t="s">
        <v>377</v>
      </c>
      <c r="B4"/>
      <c r="C4"/>
      <c r="D4"/>
      <c r="E4"/>
      <c r="F4" s="105"/>
      <c r="G4"/>
      <c r="H4" t="s">
        <v>321</v>
      </c>
      <c r="I4" t="s">
        <v>375</v>
      </c>
      <c r="J4" t="s">
        <v>369</v>
      </c>
      <c r="K4" t="s">
        <v>377</v>
      </c>
      <c r="L4">
        <v>2000</v>
      </c>
      <c r="M4">
        <v>13000</v>
      </c>
      <c r="N4">
        <v>30</v>
      </c>
      <c r="O4">
        <v>0</v>
      </c>
      <c r="P4">
        <v>1500</v>
      </c>
      <c r="Q4">
        <v>172500</v>
      </c>
      <c r="R4">
        <v>0</v>
      </c>
      <c r="S4">
        <v>0</v>
      </c>
      <c r="T4">
        <v>0</v>
      </c>
      <c r="U4">
        <v>0</v>
      </c>
      <c r="AC4" s="131" t="str">
        <f t="shared" si="0"/>
        <v>103</v>
      </c>
      <c r="AD4" s="131" t="str">
        <f t="shared" si="1"/>
        <v>2.Lương Tài</v>
      </c>
      <c r="AE4" s="131" t="str">
        <f t="shared" si="2"/>
        <v>13.Thịt 13</v>
      </c>
      <c r="AF4" s="131" t="str">
        <f t="shared" si="3"/>
        <v>11_lô 11</v>
      </c>
      <c r="AG4" s="140">
        <f t="shared" si="4"/>
        <v>0</v>
      </c>
      <c r="AH4" s="140">
        <f t="shared" si="5"/>
        <v>2000</v>
      </c>
      <c r="AI4" s="140">
        <f t="shared" si="6"/>
        <v>13000</v>
      </c>
      <c r="AJ4" s="131">
        <f t="shared" si="7"/>
        <v>0</v>
      </c>
      <c r="AK4" s="131">
        <f t="shared" si="8"/>
        <v>30</v>
      </c>
      <c r="AL4" s="127">
        <f t="shared" si="9"/>
        <v>1.5</v>
      </c>
      <c r="AM4" s="140">
        <f t="shared" si="10"/>
        <v>1500</v>
      </c>
      <c r="AN4" s="140">
        <f t="shared" si="11"/>
        <v>172500</v>
      </c>
      <c r="AO4" s="140">
        <f t="shared" si="12"/>
        <v>0</v>
      </c>
      <c r="AP4" s="140">
        <f t="shared" si="13"/>
        <v>470</v>
      </c>
    </row>
    <row r="5" spans="1:43">
      <c r="A5" t="s">
        <v>372</v>
      </c>
      <c r="B5"/>
      <c r="C5"/>
      <c r="D5"/>
      <c r="E5"/>
      <c r="F5" s="105"/>
      <c r="G5"/>
      <c r="H5" t="s">
        <v>321</v>
      </c>
      <c r="I5" t="s">
        <v>497</v>
      </c>
      <c r="J5" t="s">
        <v>371</v>
      </c>
      <c r="K5" t="s">
        <v>372</v>
      </c>
      <c r="L5">
        <v>1000</v>
      </c>
      <c r="M5">
        <v>6500</v>
      </c>
      <c r="N5">
        <v>18</v>
      </c>
      <c r="O5">
        <v>0</v>
      </c>
      <c r="P5">
        <v>800</v>
      </c>
      <c r="Q5">
        <v>92000</v>
      </c>
      <c r="R5">
        <v>0</v>
      </c>
      <c r="S5">
        <v>0</v>
      </c>
      <c r="T5">
        <v>0</v>
      </c>
      <c r="U5">
        <v>0</v>
      </c>
      <c r="AC5" s="131" t="str">
        <f t="shared" si="0"/>
        <v>103</v>
      </c>
      <c r="AD5" s="131" t="str">
        <f t="shared" si="1"/>
        <v>1.Hà Nội</v>
      </c>
      <c r="AE5" s="131" t="str">
        <f t="shared" si="2"/>
        <v>14.Thịt 14</v>
      </c>
      <c r="AF5" s="131" t="str">
        <f t="shared" si="3"/>
        <v>12_lô 12</v>
      </c>
      <c r="AG5" s="140">
        <f t="shared" si="4"/>
        <v>0</v>
      </c>
      <c r="AH5" s="140">
        <f t="shared" si="5"/>
        <v>1000</v>
      </c>
      <c r="AI5" s="140">
        <f t="shared" si="6"/>
        <v>6500</v>
      </c>
      <c r="AJ5" s="131">
        <f t="shared" si="7"/>
        <v>0</v>
      </c>
      <c r="AK5" s="131">
        <f t="shared" si="8"/>
        <v>18</v>
      </c>
      <c r="AL5" s="127">
        <f t="shared" si="9"/>
        <v>1.8</v>
      </c>
      <c r="AM5" s="140">
        <f t="shared" si="10"/>
        <v>800</v>
      </c>
      <c r="AN5" s="140">
        <f t="shared" si="11"/>
        <v>92000</v>
      </c>
      <c r="AO5" s="140">
        <f t="shared" si="12"/>
        <v>0</v>
      </c>
      <c r="AP5" s="140">
        <f t="shared" si="13"/>
        <v>182</v>
      </c>
    </row>
    <row r="6" spans="1:43">
      <c r="A6" t="s">
        <v>378</v>
      </c>
      <c r="B6"/>
      <c r="C6"/>
      <c r="D6"/>
      <c r="E6"/>
      <c r="F6" s="105"/>
      <c r="G6"/>
      <c r="H6" t="s">
        <v>321</v>
      </c>
      <c r="I6" t="s">
        <v>375</v>
      </c>
      <c r="J6" t="s">
        <v>371</v>
      </c>
      <c r="K6" t="s">
        <v>378</v>
      </c>
      <c r="L6">
        <v>2000</v>
      </c>
      <c r="M6">
        <v>13000</v>
      </c>
      <c r="N6">
        <v>30</v>
      </c>
      <c r="O6">
        <v>0</v>
      </c>
      <c r="P6">
        <v>1700</v>
      </c>
      <c r="Q6">
        <v>195500</v>
      </c>
      <c r="R6">
        <v>0</v>
      </c>
      <c r="S6">
        <v>0</v>
      </c>
      <c r="T6">
        <v>0</v>
      </c>
      <c r="U6">
        <v>0</v>
      </c>
      <c r="AC6" s="131" t="str">
        <f t="shared" si="0"/>
        <v>103</v>
      </c>
      <c r="AD6" s="131" t="str">
        <f t="shared" si="1"/>
        <v>2.Lương Tài</v>
      </c>
      <c r="AE6" s="131" t="str">
        <f t="shared" si="2"/>
        <v>14.Thịt 14</v>
      </c>
      <c r="AF6" s="131" t="str">
        <f t="shared" si="3"/>
        <v>13_lô 13</v>
      </c>
      <c r="AG6" s="140">
        <f t="shared" si="4"/>
        <v>0</v>
      </c>
      <c r="AH6" s="140">
        <f t="shared" si="5"/>
        <v>2000</v>
      </c>
      <c r="AI6" s="140">
        <f t="shared" si="6"/>
        <v>13000</v>
      </c>
      <c r="AJ6" s="131">
        <f t="shared" si="7"/>
        <v>0</v>
      </c>
      <c r="AK6" s="131">
        <f t="shared" si="8"/>
        <v>30</v>
      </c>
      <c r="AL6" s="127">
        <f t="shared" si="9"/>
        <v>1.5</v>
      </c>
      <c r="AM6" s="140">
        <f t="shared" si="10"/>
        <v>1700</v>
      </c>
      <c r="AN6" s="140">
        <f t="shared" si="11"/>
        <v>195500</v>
      </c>
      <c r="AO6" s="140">
        <f t="shared" si="12"/>
        <v>0</v>
      </c>
      <c r="AP6" s="140">
        <f t="shared" si="13"/>
        <v>270</v>
      </c>
    </row>
    <row r="7" spans="1:43">
      <c r="A7" t="s">
        <v>374</v>
      </c>
      <c r="B7"/>
      <c r="C7"/>
      <c r="D7"/>
      <c r="E7"/>
      <c r="F7" s="105"/>
      <c r="G7"/>
      <c r="H7" t="s">
        <v>321</v>
      </c>
      <c r="I7" t="s">
        <v>497</v>
      </c>
      <c r="J7" t="s">
        <v>373</v>
      </c>
      <c r="K7" t="s">
        <v>374</v>
      </c>
      <c r="L7">
        <v>1000</v>
      </c>
      <c r="M7">
        <v>6500</v>
      </c>
      <c r="N7">
        <v>18</v>
      </c>
      <c r="O7">
        <v>0</v>
      </c>
      <c r="P7">
        <v>800</v>
      </c>
      <c r="Q7">
        <v>92000</v>
      </c>
      <c r="R7">
        <v>0</v>
      </c>
      <c r="S7">
        <v>0</v>
      </c>
      <c r="T7">
        <v>0</v>
      </c>
      <c r="U7">
        <v>0</v>
      </c>
      <c r="AC7" s="131" t="str">
        <f t="shared" si="0"/>
        <v>103</v>
      </c>
      <c r="AD7" s="131" t="str">
        <f t="shared" si="1"/>
        <v>1.Hà Nội</v>
      </c>
      <c r="AE7" s="131" t="str">
        <f t="shared" si="2"/>
        <v>15.Thịt 15</v>
      </c>
      <c r="AF7" s="131" t="str">
        <f t="shared" si="3"/>
        <v>14_lô14</v>
      </c>
      <c r="AG7" s="140">
        <f t="shared" si="4"/>
        <v>0</v>
      </c>
      <c r="AH7" s="140">
        <f t="shared" si="5"/>
        <v>1000</v>
      </c>
      <c r="AI7" s="140">
        <f t="shared" si="6"/>
        <v>6500</v>
      </c>
      <c r="AJ7" s="131">
        <f t="shared" si="7"/>
        <v>0</v>
      </c>
      <c r="AK7" s="131">
        <f t="shared" si="8"/>
        <v>18</v>
      </c>
      <c r="AL7" s="127">
        <f t="shared" si="9"/>
        <v>1.8</v>
      </c>
      <c r="AM7" s="140">
        <f t="shared" si="10"/>
        <v>800</v>
      </c>
      <c r="AN7" s="140">
        <f t="shared" si="11"/>
        <v>92000</v>
      </c>
      <c r="AO7" s="140">
        <f t="shared" si="12"/>
        <v>0</v>
      </c>
      <c r="AP7" s="140">
        <f t="shared" si="13"/>
        <v>182</v>
      </c>
    </row>
    <row r="8" spans="1:43">
      <c r="A8" t="s">
        <v>379</v>
      </c>
      <c r="B8"/>
      <c r="C8"/>
      <c r="D8"/>
      <c r="E8"/>
      <c r="F8" s="105"/>
      <c r="G8"/>
      <c r="H8" t="s">
        <v>321</v>
      </c>
      <c r="I8" t="s">
        <v>375</v>
      </c>
      <c r="J8" t="s">
        <v>373</v>
      </c>
      <c r="K8" t="s">
        <v>379</v>
      </c>
      <c r="L8">
        <v>2000</v>
      </c>
      <c r="M8">
        <v>13000</v>
      </c>
      <c r="N8">
        <v>30</v>
      </c>
      <c r="O8">
        <v>0</v>
      </c>
      <c r="P8">
        <v>1700</v>
      </c>
      <c r="Q8">
        <v>195500</v>
      </c>
      <c r="R8">
        <v>0</v>
      </c>
      <c r="S8">
        <v>0</v>
      </c>
      <c r="T8">
        <v>0</v>
      </c>
      <c r="U8">
        <v>0</v>
      </c>
      <c r="AC8" s="131" t="str">
        <f t="shared" si="0"/>
        <v>103</v>
      </c>
      <c r="AD8" s="131" t="str">
        <f t="shared" si="1"/>
        <v>2.Lương Tài</v>
      </c>
      <c r="AE8" s="131" t="str">
        <f t="shared" si="2"/>
        <v>15.Thịt 15</v>
      </c>
      <c r="AF8" s="131" t="str">
        <f t="shared" si="3"/>
        <v>15_lô 15</v>
      </c>
      <c r="AG8" s="140">
        <f t="shared" si="4"/>
        <v>0</v>
      </c>
      <c r="AH8" s="140">
        <f t="shared" si="5"/>
        <v>2000</v>
      </c>
      <c r="AI8" s="140">
        <f t="shared" si="6"/>
        <v>13000</v>
      </c>
      <c r="AJ8" s="131">
        <f t="shared" si="7"/>
        <v>0</v>
      </c>
      <c r="AK8" s="131">
        <f t="shared" si="8"/>
        <v>30</v>
      </c>
      <c r="AL8" s="127">
        <f t="shared" si="9"/>
        <v>1.5</v>
      </c>
      <c r="AM8" s="140">
        <f t="shared" si="10"/>
        <v>1700</v>
      </c>
      <c r="AN8" s="140">
        <f t="shared" si="11"/>
        <v>195500</v>
      </c>
      <c r="AO8" s="140">
        <f t="shared" si="12"/>
        <v>0</v>
      </c>
      <c r="AP8" s="140">
        <f t="shared" si="13"/>
        <v>270</v>
      </c>
    </row>
    <row r="9" spans="1:43">
      <c r="A9" t="s">
        <v>482</v>
      </c>
      <c r="B9"/>
      <c r="C9"/>
      <c r="D9"/>
      <c r="E9"/>
      <c r="F9" s="105"/>
      <c r="G9"/>
      <c r="H9" t="s">
        <v>321</v>
      </c>
      <c r="I9" t="s">
        <v>375</v>
      </c>
      <c r="J9" t="s">
        <v>483</v>
      </c>
      <c r="K9" t="s">
        <v>482</v>
      </c>
      <c r="L9">
        <v>2000</v>
      </c>
      <c r="M9">
        <v>13000</v>
      </c>
      <c r="N9">
        <v>30</v>
      </c>
      <c r="O9">
        <v>0</v>
      </c>
      <c r="P9">
        <v>1970</v>
      </c>
      <c r="Q9">
        <v>226550</v>
      </c>
      <c r="R9">
        <v>0</v>
      </c>
      <c r="S9">
        <v>0</v>
      </c>
      <c r="T9">
        <v>0</v>
      </c>
      <c r="U9">
        <v>0</v>
      </c>
      <c r="AC9" s="131" t="str">
        <f t="shared" si="0"/>
        <v>103</v>
      </c>
      <c r="AD9" s="131" t="str">
        <f t="shared" si="1"/>
        <v>2.Lương Tài</v>
      </c>
      <c r="AE9" s="131" t="str">
        <f t="shared" si="2"/>
        <v>2.Thịt 2</v>
      </c>
      <c r="AF9" s="131" t="str">
        <f t="shared" si="3"/>
        <v>3_lô 3</v>
      </c>
      <c r="AG9" s="140">
        <f t="shared" si="4"/>
        <v>0</v>
      </c>
      <c r="AH9" s="140">
        <f t="shared" si="5"/>
        <v>2000</v>
      </c>
      <c r="AI9" s="140">
        <f t="shared" si="6"/>
        <v>13000</v>
      </c>
      <c r="AJ9" s="131">
        <f t="shared" si="7"/>
        <v>0</v>
      </c>
      <c r="AK9" s="131">
        <f t="shared" si="8"/>
        <v>30</v>
      </c>
      <c r="AL9" s="127">
        <f t="shared" si="9"/>
        <v>1.5</v>
      </c>
      <c r="AM9" s="140">
        <f t="shared" si="10"/>
        <v>1970</v>
      </c>
      <c r="AN9" s="140">
        <f t="shared" si="11"/>
        <v>226550</v>
      </c>
      <c r="AO9" s="140">
        <f t="shared" si="12"/>
        <v>0</v>
      </c>
      <c r="AP9" s="140">
        <f t="shared" si="13"/>
        <v>0</v>
      </c>
    </row>
    <row r="10" spans="1:43">
      <c r="A10" t="s">
        <v>484</v>
      </c>
      <c r="B10"/>
      <c r="C10"/>
      <c r="D10"/>
      <c r="E10"/>
      <c r="F10" s="105"/>
      <c r="G10"/>
      <c r="H10" t="s">
        <v>321</v>
      </c>
      <c r="I10" t="s">
        <v>375</v>
      </c>
      <c r="J10" t="s">
        <v>485</v>
      </c>
      <c r="K10" t="s">
        <v>484</v>
      </c>
      <c r="L10">
        <v>2991</v>
      </c>
      <c r="M10">
        <v>19937</v>
      </c>
      <c r="N10">
        <v>39</v>
      </c>
      <c r="O10">
        <v>0</v>
      </c>
      <c r="P10">
        <v>2952</v>
      </c>
      <c r="Q10">
        <v>339480</v>
      </c>
      <c r="R10">
        <v>0</v>
      </c>
      <c r="S10">
        <v>0</v>
      </c>
      <c r="T10">
        <v>0</v>
      </c>
      <c r="U10">
        <v>0</v>
      </c>
      <c r="AC10" s="131" t="str">
        <f t="shared" si="0"/>
        <v>103</v>
      </c>
      <c r="AD10" s="131" t="str">
        <f t="shared" si="1"/>
        <v>2.Lương Tài</v>
      </c>
      <c r="AE10" s="131" t="str">
        <f t="shared" si="2"/>
        <v>3.Thịt 3</v>
      </c>
      <c r="AF10" s="131" t="str">
        <f t="shared" si="3"/>
        <v>5_lô 5</v>
      </c>
      <c r="AG10" s="140">
        <f t="shared" si="4"/>
        <v>0</v>
      </c>
      <c r="AH10" s="140">
        <f t="shared" si="5"/>
        <v>2991</v>
      </c>
      <c r="AI10" s="140">
        <f t="shared" si="6"/>
        <v>19937</v>
      </c>
      <c r="AJ10" s="131">
        <f t="shared" si="7"/>
        <v>0</v>
      </c>
      <c r="AK10" s="131">
        <f t="shared" si="8"/>
        <v>39</v>
      </c>
      <c r="AL10" s="127">
        <f t="shared" si="9"/>
        <v>1.3</v>
      </c>
      <c r="AM10" s="140">
        <f t="shared" si="10"/>
        <v>2952</v>
      </c>
      <c r="AN10" s="140">
        <f t="shared" si="11"/>
        <v>339480</v>
      </c>
      <c r="AO10" s="140">
        <f t="shared" si="12"/>
        <v>0</v>
      </c>
      <c r="AP10" s="140">
        <f t="shared" si="13"/>
        <v>0</v>
      </c>
    </row>
    <row r="11" spans="1:43">
      <c r="A11" t="s">
        <v>477</v>
      </c>
      <c r="B11"/>
      <c r="C11"/>
      <c r="D11"/>
      <c r="E11"/>
      <c r="F11" s="105"/>
      <c r="G11"/>
      <c r="H11" t="s">
        <v>321</v>
      </c>
      <c r="I11" t="s">
        <v>497</v>
      </c>
      <c r="J11" t="s">
        <v>476</v>
      </c>
      <c r="K11" t="s">
        <v>477</v>
      </c>
      <c r="L11">
        <v>3000</v>
      </c>
      <c r="M11">
        <v>19500</v>
      </c>
      <c r="N11">
        <v>48</v>
      </c>
      <c r="O11">
        <v>0</v>
      </c>
      <c r="P11">
        <v>2952</v>
      </c>
      <c r="Q11">
        <v>339480</v>
      </c>
      <c r="R11">
        <v>0</v>
      </c>
      <c r="S11">
        <v>0</v>
      </c>
      <c r="T11">
        <v>0</v>
      </c>
      <c r="U11">
        <v>0</v>
      </c>
      <c r="AC11" s="131" t="str">
        <f t="shared" si="0"/>
        <v>103</v>
      </c>
      <c r="AD11" s="131" t="str">
        <f t="shared" si="1"/>
        <v>1.Hà Nội</v>
      </c>
      <c r="AE11" s="131" t="str">
        <f t="shared" si="2"/>
        <v>4.Thịt 4</v>
      </c>
      <c r="AF11" s="131" t="str">
        <f t="shared" si="3"/>
        <v>6_lô 6</v>
      </c>
      <c r="AG11" s="140">
        <f t="shared" si="4"/>
        <v>0</v>
      </c>
      <c r="AH11" s="140">
        <f t="shared" si="5"/>
        <v>3000</v>
      </c>
      <c r="AI11" s="140">
        <f t="shared" si="6"/>
        <v>19500</v>
      </c>
      <c r="AJ11" s="131">
        <f t="shared" si="7"/>
        <v>0</v>
      </c>
      <c r="AK11" s="131">
        <f t="shared" si="8"/>
        <v>48</v>
      </c>
      <c r="AL11" s="127">
        <f t="shared" si="9"/>
        <v>1.6</v>
      </c>
      <c r="AM11" s="140">
        <f t="shared" si="10"/>
        <v>2952</v>
      </c>
      <c r="AN11" s="140">
        <f t="shared" si="11"/>
        <v>339480</v>
      </c>
      <c r="AO11" s="140">
        <f t="shared" si="12"/>
        <v>0</v>
      </c>
      <c r="AP11" s="140">
        <f t="shared" si="13"/>
        <v>0</v>
      </c>
    </row>
    <row r="12" spans="1:43">
      <c r="A12" t="s">
        <v>486</v>
      </c>
      <c r="B12"/>
      <c r="C12"/>
      <c r="D12"/>
      <c r="E12"/>
      <c r="F12" s="105"/>
      <c r="G12"/>
      <c r="H12" t="s">
        <v>321</v>
      </c>
      <c r="I12" t="s">
        <v>497</v>
      </c>
      <c r="J12" t="s">
        <v>487</v>
      </c>
      <c r="K12" t="s">
        <v>486</v>
      </c>
      <c r="L12">
        <v>3000</v>
      </c>
      <c r="M12">
        <v>19500</v>
      </c>
      <c r="N12">
        <v>48</v>
      </c>
      <c r="O12">
        <v>0</v>
      </c>
      <c r="P12">
        <v>2952</v>
      </c>
      <c r="Q12">
        <v>339480</v>
      </c>
      <c r="R12">
        <v>0</v>
      </c>
      <c r="S12">
        <v>0</v>
      </c>
      <c r="T12">
        <v>0</v>
      </c>
      <c r="U12">
        <v>0</v>
      </c>
      <c r="AC12" s="131" t="str">
        <f t="shared" si="0"/>
        <v>103</v>
      </c>
      <c r="AD12" s="131" t="str">
        <f t="shared" si="1"/>
        <v>1.Hà Nội</v>
      </c>
      <c r="AE12" s="131" t="str">
        <f t="shared" si="2"/>
        <v>5.Thịt 5</v>
      </c>
      <c r="AF12" s="131" t="str">
        <f t="shared" si="3"/>
        <v>7_lô 7</v>
      </c>
      <c r="AG12" s="140">
        <f t="shared" si="4"/>
        <v>0</v>
      </c>
      <c r="AH12" s="140">
        <f t="shared" si="5"/>
        <v>3000</v>
      </c>
      <c r="AI12" s="140">
        <f t="shared" si="6"/>
        <v>19500</v>
      </c>
      <c r="AJ12" s="131">
        <f t="shared" si="7"/>
        <v>0</v>
      </c>
      <c r="AK12" s="131">
        <f t="shared" si="8"/>
        <v>48</v>
      </c>
      <c r="AL12" s="127">
        <f t="shared" si="9"/>
        <v>1.6</v>
      </c>
      <c r="AM12" s="140">
        <f t="shared" si="10"/>
        <v>2952</v>
      </c>
      <c r="AN12" s="140">
        <f t="shared" si="11"/>
        <v>339480</v>
      </c>
      <c r="AO12" s="140">
        <f t="shared" si="12"/>
        <v>0</v>
      </c>
      <c r="AP12" s="140">
        <f t="shared" si="13"/>
        <v>0</v>
      </c>
    </row>
    <row r="13" spans="1:43">
      <c r="A13" t="s">
        <v>382</v>
      </c>
      <c r="B13"/>
      <c r="C13"/>
      <c r="D13"/>
      <c r="E13"/>
      <c r="F13" s="105"/>
      <c r="G13"/>
      <c r="H13" t="s">
        <v>321</v>
      </c>
      <c r="I13" t="s">
        <v>497</v>
      </c>
      <c r="J13" t="s">
        <v>368</v>
      </c>
      <c r="K13" t="s">
        <v>382</v>
      </c>
      <c r="L13">
        <v>1000</v>
      </c>
      <c r="M13">
        <v>6500</v>
      </c>
      <c r="N13">
        <v>18</v>
      </c>
      <c r="O13">
        <v>0</v>
      </c>
      <c r="P13">
        <v>800</v>
      </c>
      <c r="Q13">
        <v>92000</v>
      </c>
      <c r="R13">
        <v>0</v>
      </c>
      <c r="S13">
        <v>0</v>
      </c>
      <c r="T13">
        <v>0</v>
      </c>
      <c r="U13">
        <v>0</v>
      </c>
      <c r="AC13" s="131" t="str">
        <f t="shared" si="0"/>
        <v>103</v>
      </c>
      <c r="AD13" s="131" t="str">
        <f t="shared" si="1"/>
        <v>1.Hà Nội</v>
      </c>
      <c r="AE13" s="131" t="str">
        <f t="shared" si="2"/>
        <v>11.Thịt 11</v>
      </c>
      <c r="AF13" s="131" t="str">
        <f t="shared" si="3"/>
        <v>8_lô 8</v>
      </c>
      <c r="AG13" s="140">
        <f t="shared" si="4"/>
        <v>0</v>
      </c>
      <c r="AH13" s="140">
        <f t="shared" si="5"/>
        <v>1000</v>
      </c>
      <c r="AI13" s="140">
        <f t="shared" si="6"/>
        <v>6500</v>
      </c>
      <c r="AJ13" s="131">
        <f t="shared" si="7"/>
        <v>0</v>
      </c>
      <c r="AK13" s="131">
        <f t="shared" si="8"/>
        <v>18</v>
      </c>
      <c r="AL13" s="127">
        <f t="shared" si="9"/>
        <v>1.8</v>
      </c>
      <c r="AM13" s="140">
        <f t="shared" si="10"/>
        <v>800</v>
      </c>
      <c r="AN13" s="140">
        <f t="shared" si="11"/>
        <v>92000</v>
      </c>
      <c r="AO13" s="140">
        <f t="shared" si="12"/>
        <v>0</v>
      </c>
      <c r="AP13" s="140">
        <f t="shared" si="13"/>
        <v>182</v>
      </c>
    </row>
    <row r="14" spans="1:43">
      <c r="A14" t="s">
        <v>383</v>
      </c>
      <c r="B14"/>
      <c r="C14"/>
      <c r="D14"/>
      <c r="E14"/>
      <c r="F14" s="105"/>
      <c r="G14"/>
      <c r="H14" t="s">
        <v>321</v>
      </c>
      <c r="I14" t="s">
        <v>375</v>
      </c>
      <c r="J14" t="s">
        <v>376</v>
      </c>
      <c r="K14" t="s">
        <v>383</v>
      </c>
      <c r="L14">
        <v>2000</v>
      </c>
      <c r="M14">
        <v>13000</v>
      </c>
      <c r="N14">
        <v>30</v>
      </c>
      <c r="O14">
        <v>0</v>
      </c>
      <c r="P14">
        <v>1500</v>
      </c>
      <c r="Q14">
        <v>172500</v>
      </c>
      <c r="R14">
        <v>0</v>
      </c>
      <c r="S14">
        <v>0</v>
      </c>
      <c r="T14">
        <v>0</v>
      </c>
      <c r="U14">
        <v>0</v>
      </c>
      <c r="AC14" s="131" t="str">
        <f t="shared" si="0"/>
        <v>103</v>
      </c>
      <c r="AD14" s="131" t="str">
        <f t="shared" si="1"/>
        <v>2.Lương Tài</v>
      </c>
      <c r="AE14" s="131" t="str">
        <f t="shared" si="2"/>
        <v>12.Thịt 12</v>
      </c>
      <c r="AF14" s="131" t="str">
        <f t="shared" si="3"/>
        <v>9_lô 9</v>
      </c>
      <c r="AG14" s="140">
        <f t="shared" si="4"/>
        <v>0</v>
      </c>
      <c r="AH14" s="140">
        <f t="shared" si="5"/>
        <v>2000</v>
      </c>
      <c r="AI14" s="140">
        <f t="shared" si="6"/>
        <v>13000</v>
      </c>
      <c r="AJ14" s="131">
        <f t="shared" si="7"/>
        <v>0</v>
      </c>
      <c r="AK14" s="131">
        <f t="shared" si="8"/>
        <v>30</v>
      </c>
      <c r="AL14" s="127">
        <f t="shared" si="9"/>
        <v>1.5</v>
      </c>
      <c r="AM14" s="140">
        <f t="shared" si="10"/>
        <v>1500</v>
      </c>
      <c r="AN14" s="140">
        <f t="shared" si="11"/>
        <v>172500</v>
      </c>
      <c r="AO14" s="140">
        <f t="shared" si="12"/>
        <v>0</v>
      </c>
      <c r="AP14" s="140">
        <f t="shared" si="13"/>
        <v>470</v>
      </c>
    </row>
    <row r="15" spans="1:4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AC15" s="131">
        <f t="shared" si="0"/>
        <v>0</v>
      </c>
      <c r="AD15" s="131">
        <f t="shared" si="1"/>
        <v>0</v>
      </c>
      <c r="AE15" s="131">
        <f t="shared" si="2"/>
        <v>0</v>
      </c>
      <c r="AF15" s="131">
        <f t="shared" si="3"/>
        <v>0</v>
      </c>
      <c r="AG15" s="140">
        <f t="shared" si="4"/>
        <v>0</v>
      </c>
      <c r="AH15" s="140">
        <f t="shared" si="5"/>
        <v>0</v>
      </c>
      <c r="AI15" s="140">
        <f t="shared" si="6"/>
        <v>0</v>
      </c>
      <c r="AJ15" s="131">
        <f t="shared" si="7"/>
        <v>0</v>
      </c>
      <c r="AK15" s="131">
        <f t="shared" si="8"/>
        <v>0</v>
      </c>
      <c r="AL15" s="127">
        <f t="shared" si="9"/>
        <v>0</v>
      </c>
      <c r="AM15" s="140">
        <f t="shared" si="10"/>
        <v>0</v>
      </c>
      <c r="AN15" s="140">
        <f t="shared" si="11"/>
        <v>0</v>
      </c>
      <c r="AO15" s="140">
        <f t="shared" si="12"/>
        <v>0</v>
      </c>
      <c r="AP15" s="140">
        <f t="shared" si="13"/>
        <v>0</v>
      </c>
    </row>
    <row r="16" spans="1:4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AC16" s="131">
        <f t="shared" si="0"/>
        <v>0</v>
      </c>
      <c r="AD16" s="131">
        <f t="shared" si="1"/>
        <v>0</v>
      </c>
      <c r="AE16" s="131">
        <f t="shared" si="2"/>
        <v>0</v>
      </c>
      <c r="AF16" s="131">
        <f t="shared" si="3"/>
        <v>0</v>
      </c>
      <c r="AG16" s="140">
        <f t="shared" si="4"/>
        <v>0</v>
      </c>
      <c r="AH16" s="140">
        <f t="shared" si="5"/>
        <v>0</v>
      </c>
      <c r="AI16" s="140">
        <f t="shared" si="6"/>
        <v>0</v>
      </c>
      <c r="AJ16" s="131">
        <f t="shared" si="7"/>
        <v>0</v>
      </c>
      <c r="AK16" s="131">
        <f t="shared" si="8"/>
        <v>0</v>
      </c>
      <c r="AL16" s="127">
        <f t="shared" si="9"/>
        <v>0</v>
      </c>
      <c r="AM16" s="140">
        <f t="shared" si="10"/>
        <v>0</v>
      </c>
      <c r="AN16" s="140">
        <f t="shared" si="11"/>
        <v>0</v>
      </c>
      <c r="AO16" s="140">
        <f t="shared" si="12"/>
        <v>0</v>
      </c>
      <c r="AP16" s="140">
        <f t="shared" si="13"/>
        <v>0</v>
      </c>
    </row>
    <row r="17" spans="2:4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AC17" s="131">
        <f t="shared" si="0"/>
        <v>0</v>
      </c>
      <c r="AD17" s="131">
        <f t="shared" si="1"/>
        <v>0</v>
      </c>
      <c r="AE17" s="131">
        <f t="shared" si="2"/>
        <v>0</v>
      </c>
      <c r="AF17" s="131">
        <f t="shared" si="3"/>
        <v>0</v>
      </c>
      <c r="AG17" s="140">
        <f t="shared" si="4"/>
        <v>0</v>
      </c>
      <c r="AH17" s="140">
        <f t="shared" si="5"/>
        <v>0</v>
      </c>
      <c r="AI17" s="140">
        <f t="shared" si="6"/>
        <v>0</v>
      </c>
      <c r="AJ17" s="131">
        <f t="shared" si="7"/>
        <v>0</v>
      </c>
      <c r="AK17" s="131">
        <f t="shared" si="8"/>
        <v>0</v>
      </c>
      <c r="AL17" s="127">
        <f t="shared" si="9"/>
        <v>0</v>
      </c>
      <c r="AM17" s="140">
        <f t="shared" si="10"/>
        <v>0</v>
      </c>
      <c r="AN17" s="140">
        <f t="shared" si="11"/>
        <v>0</v>
      </c>
      <c r="AO17" s="140">
        <f t="shared" si="12"/>
        <v>0</v>
      </c>
      <c r="AP17" s="140">
        <f t="shared" si="13"/>
        <v>0</v>
      </c>
    </row>
    <row r="18" spans="2:4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AC18" s="131">
        <f t="shared" si="0"/>
        <v>0</v>
      </c>
      <c r="AD18" s="131">
        <f t="shared" si="1"/>
        <v>0</v>
      </c>
      <c r="AE18" s="131">
        <f t="shared" si="2"/>
        <v>0</v>
      </c>
      <c r="AF18" s="131">
        <f t="shared" si="3"/>
        <v>0</v>
      </c>
      <c r="AG18" s="140">
        <f t="shared" si="4"/>
        <v>0</v>
      </c>
      <c r="AH18" s="140">
        <f t="shared" si="5"/>
        <v>0</v>
      </c>
      <c r="AI18" s="140">
        <f t="shared" si="6"/>
        <v>0</v>
      </c>
      <c r="AJ18" s="131">
        <f t="shared" si="7"/>
        <v>0</v>
      </c>
      <c r="AK18" s="131">
        <f t="shared" si="8"/>
        <v>0</v>
      </c>
      <c r="AL18" s="127">
        <f t="shared" si="9"/>
        <v>0</v>
      </c>
      <c r="AM18" s="140">
        <f t="shared" si="10"/>
        <v>0</v>
      </c>
      <c r="AN18" s="140">
        <f t="shared" si="11"/>
        <v>0</v>
      </c>
      <c r="AO18" s="140">
        <f t="shared" si="12"/>
        <v>0</v>
      </c>
      <c r="AP18" s="140">
        <f t="shared" si="13"/>
        <v>0</v>
      </c>
    </row>
    <row r="19" spans="2:4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AC19" s="131">
        <f t="shared" si="0"/>
        <v>0</v>
      </c>
      <c r="AD19" s="131">
        <f t="shared" si="1"/>
        <v>0</v>
      </c>
      <c r="AE19" s="131">
        <f t="shared" si="2"/>
        <v>0</v>
      </c>
      <c r="AF19" s="131">
        <f t="shared" si="3"/>
        <v>0</v>
      </c>
      <c r="AG19" s="140">
        <f t="shared" si="4"/>
        <v>0</v>
      </c>
      <c r="AH19" s="140">
        <f t="shared" si="5"/>
        <v>0</v>
      </c>
      <c r="AI19" s="140">
        <f t="shared" si="6"/>
        <v>0</v>
      </c>
      <c r="AJ19" s="131">
        <f t="shared" si="7"/>
        <v>0</v>
      </c>
      <c r="AK19" s="131">
        <f t="shared" si="8"/>
        <v>0</v>
      </c>
      <c r="AL19" s="127">
        <f t="shared" si="9"/>
        <v>0</v>
      </c>
      <c r="AM19" s="140">
        <f t="shared" si="10"/>
        <v>0</v>
      </c>
      <c r="AN19" s="140">
        <f t="shared" si="11"/>
        <v>0</v>
      </c>
      <c r="AO19" s="140">
        <f t="shared" si="12"/>
        <v>0</v>
      </c>
      <c r="AP19" s="140">
        <f t="shared" si="13"/>
        <v>0</v>
      </c>
    </row>
    <row r="20" spans="2:4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AC20" s="131">
        <f t="shared" si="0"/>
        <v>0</v>
      </c>
      <c r="AD20" s="131">
        <f t="shared" si="1"/>
        <v>0</v>
      </c>
      <c r="AE20" s="131">
        <f t="shared" si="2"/>
        <v>0</v>
      </c>
      <c r="AF20" s="131">
        <f t="shared" si="3"/>
        <v>0</v>
      </c>
      <c r="AG20" s="140">
        <f t="shared" si="4"/>
        <v>0</v>
      </c>
      <c r="AH20" s="140">
        <f t="shared" si="5"/>
        <v>0</v>
      </c>
      <c r="AI20" s="140">
        <f t="shared" si="6"/>
        <v>0</v>
      </c>
      <c r="AJ20" s="131">
        <f t="shared" si="7"/>
        <v>0</v>
      </c>
      <c r="AK20" s="131">
        <f t="shared" si="8"/>
        <v>0</v>
      </c>
      <c r="AL20" s="127">
        <f t="shared" si="9"/>
        <v>0</v>
      </c>
      <c r="AM20" s="140">
        <f t="shared" si="10"/>
        <v>0</v>
      </c>
      <c r="AN20" s="140">
        <f t="shared" si="11"/>
        <v>0</v>
      </c>
      <c r="AO20" s="140">
        <f t="shared" si="12"/>
        <v>0</v>
      </c>
      <c r="AP20" s="140">
        <f t="shared" si="13"/>
        <v>0</v>
      </c>
    </row>
    <row r="21" spans="2:4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AC21" s="131">
        <f t="shared" si="0"/>
        <v>0</v>
      </c>
      <c r="AD21" s="131">
        <f t="shared" si="1"/>
        <v>0</v>
      </c>
      <c r="AE21" s="131">
        <f t="shared" si="2"/>
        <v>0</v>
      </c>
      <c r="AF21" s="131">
        <f t="shared" si="3"/>
        <v>0</v>
      </c>
      <c r="AG21" s="140">
        <f t="shared" si="4"/>
        <v>0</v>
      </c>
      <c r="AH21" s="140">
        <f t="shared" si="5"/>
        <v>0</v>
      </c>
      <c r="AI21" s="140">
        <f t="shared" si="6"/>
        <v>0</v>
      </c>
      <c r="AJ21" s="131">
        <f t="shared" si="7"/>
        <v>0</v>
      </c>
      <c r="AK21" s="131">
        <f t="shared" si="8"/>
        <v>0</v>
      </c>
      <c r="AL21" s="127">
        <f t="shared" si="9"/>
        <v>0</v>
      </c>
      <c r="AM21" s="140">
        <f t="shared" si="10"/>
        <v>0</v>
      </c>
      <c r="AN21" s="140">
        <f t="shared" si="11"/>
        <v>0</v>
      </c>
      <c r="AO21" s="140">
        <f t="shared" si="12"/>
        <v>0</v>
      </c>
      <c r="AP21" s="140">
        <f t="shared" si="13"/>
        <v>0</v>
      </c>
    </row>
    <row r="22" spans="2:4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AC22" s="131">
        <f t="shared" si="0"/>
        <v>0</v>
      </c>
      <c r="AD22" s="131">
        <f t="shared" si="1"/>
        <v>0</v>
      </c>
      <c r="AE22" s="131">
        <f t="shared" si="2"/>
        <v>0</v>
      </c>
      <c r="AF22" s="131">
        <f t="shared" si="3"/>
        <v>0</v>
      </c>
      <c r="AG22" s="140">
        <f t="shared" si="4"/>
        <v>0</v>
      </c>
      <c r="AH22" s="140">
        <f t="shared" si="5"/>
        <v>0</v>
      </c>
      <c r="AI22" s="140">
        <f t="shared" si="6"/>
        <v>0</v>
      </c>
      <c r="AJ22" s="131">
        <f t="shared" si="7"/>
        <v>0</v>
      </c>
      <c r="AK22" s="131">
        <f t="shared" si="8"/>
        <v>0</v>
      </c>
      <c r="AL22" s="127">
        <f t="shared" si="9"/>
        <v>0</v>
      </c>
      <c r="AM22" s="140">
        <f t="shared" si="10"/>
        <v>0</v>
      </c>
      <c r="AN22" s="140">
        <f t="shared" si="11"/>
        <v>0</v>
      </c>
      <c r="AO22" s="140">
        <f t="shared" si="12"/>
        <v>0</v>
      </c>
      <c r="AP22" s="140">
        <f t="shared" si="13"/>
        <v>0</v>
      </c>
    </row>
    <row r="23" spans="2:4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AC23" s="131">
        <f t="shared" si="0"/>
        <v>0</v>
      </c>
      <c r="AD23" s="131">
        <f t="shared" si="1"/>
        <v>0</v>
      </c>
      <c r="AE23" s="131">
        <f t="shared" si="2"/>
        <v>0</v>
      </c>
      <c r="AF23" s="131">
        <f t="shared" si="3"/>
        <v>0</v>
      </c>
      <c r="AG23" s="140">
        <f t="shared" si="4"/>
        <v>0</v>
      </c>
      <c r="AH23" s="140">
        <f t="shared" si="5"/>
        <v>0</v>
      </c>
      <c r="AI23" s="140">
        <f t="shared" si="6"/>
        <v>0</v>
      </c>
      <c r="AJ23" s="131">
        <f t="shared" si="7"/>
        <v>0</v>
      </c>
      <c r="AK23" s="131">
        <f t="shared" si="8"/>
        <v>0</v>
      </c>
      <c r="AL23" s="127">
        <f t="shared" si="9"/>
        <v>0</v>
      </c>
      <c r="AM23" s="140">
        <f t="shared" si="10"/>
        <v>0</v>
      </c>
      <c r="AN23" s="140">
        <f t="shared" si="11"/>
        <v>0</v>
      </c>
      <c r="AO23" s="140">
        <f t="shared" si="12"/>
        <v>0</v>
      </c>
      <c r="AP23" s="140">
        <f t="shared" si="13"/>
        <v>0</v>
      </c>
    </row>
    <row r="24" spans="2:4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AC24" s="131">
        <f t="shared" si="0"/>
        <v>0</v>
      </c>
      <c r="AD24" s="131">
        <f t="shared" si="1"/>
        <v>0</v>
      </c>
      <c r="AE24" s="131">
        <f t="shared" si="2"/>
        <v>0</v>
      </c>
      <c r="AF24" s="131">
        <f t="shared" si="3"/>
        <v>0</v>
      </c>
      <c r="AG24" s="140">
        <f t="shared" si="4"/>
        <v>0</v>
      </c>
      <c r="AH24" s="140">
        <f t="shared" si="5"/>
        <v>0</v>
      </c>
      <c r="AI24" s="140">
        <f t="shared" si="6"/>
        <v>0</v>
      </c>
      <c r="AJ24" s="131">
        <f t="shared" si="7"/>
        <v>0</v>
      </c>
      <c r="AK24" s="131">
        <f t="shared" si="8"/>
        <v>0</v>
      </c>
      <c r="AL24" s="127">
        <f t="shared" si="9"/>
        <v>0</v>
      </c>
      <c r="AM24" s="140">
        <f t="shared" si="10"/>
        <v>0</v>
      </c>
      <c r="AN24" s="140">
        <f t="shared" si="11"/>
        <v>0</v>
      </c>
      <c r="AO24" s="140">
        <f t="shared" si="12"/>
        <v>0</v>
      </c>
      <c r="AP24" s="140">
        <f t="shared" si="13"/>
        <v>0</v>
      </c>
    </row>
    <row r="25" spans="2:4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AC25" s="131">
        <f t="shared" si="0"/>
        <v>0</v>
      </c>
      <c r="AD25" s="131">
        <f t="shared" si="1"/>
        <v>0</v>
      </c>
      <c r="AE25" s="131">
        <f t="shared" si="2"/>
        <v>0</v>
      </c>
      <c r="AF25" s="131">
        <f t="shared" si="3"/>
        <v>0</v>
      </c>
      <c r="AG25" s="140">
        <f t="shared" si="4"/>
        <v>0</v>
      </c>
      <c r="AH25" s="140">
        <f t="shared" si="5"/>
        <v>0</v>
      </c>
      <c r="AI25" s="140">
        <f t="shared" si="6"/>
        <v>0</v>
      </c>
      <c r="AJ25" s="131">
        <f t="shared" si="7"/>
        <v>0</v>
      </c>
      <c r="AK25" s="131">
        <f t="shared" si="8"/>
        <v>0</v>
      </c>
      <c r="AL25" s="127">
        <f t="shared" si="9"/>
        <v>0</v>
      </c>
      <c r="AM25" s="140">
        <f t="shared" si="10"/>
        <v>0</v>
      </c>
      <c r="AN25" s="140">
        <f t="shared" si="11"/>
        <v>0</v>
      </c>
      <c r="AO25" s="140">
        <f t="shared" si="12"/>
        <v>0</v>
      </c>
      <c r="AP25" s="140">
        <f t="shared" si="13"/>
        <v>0</v>
      </c>
    </row>
    <row r="26" spans="2:4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AC26" s="131">
        <f t="shared" si="0"/>
        <v>0</v>
      </c>
      <c r="AD26" s="131">
        <f t="shared" si="1"/>
        <v>0</v>
      </c>
      <c r="AE26" s="131">
        <f t="shared" si="2"/>
        <v>0</v>
      </c>
      <c r="AF26" s="131">
        <f t="shared" si="3"/>
        <v>0</v>
      </c>
      <c r="AG26" s="140">
        <f t="shared" si="4"/>
        <v>0</v>
      </c>
      <c r="AH26" s="140">
        <f t="shared" si="5"/>
        <v>0</v>
      </c>
      <c r="AI26" s="140">
        <f t="shared" si="6"/>
        <v>0</v>
      </c>
      <c r="AJ26" s="131">
        <f t="shared" si="7"/>
        <v>0</v>
      </c>
      <c r="AK26" s="131">
        <f t="shared" si="8"/>
        <v>0</v>
      </c>
      <c r="AL26" s="127">
        <f t="shared" si="9"/>
        <v>0</v>
      </c>
      <c r="AM26" s="140">
        <f t="shared" si="10"/>
        <v>0</v>
      </c>
      <c r="AN26" s="140">
        <f t="shared" si="11"/>
        <v>0</v>
      </c>
      <c r="AO26" s="140">
        <f t="shared" si="12"/>
        <v>0</v>
      </c>
      <c r="AP26" s="140">
        <f t="shared" si="13"/>
        <v>0</v>
      </c>
    </row>
    <row r="27" spans="2:4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AC27" s="131">
        <f t="shared" si="0"/>
        <v>0</v>
      </c>
      <c r="AD27" s="131">
        <f t="shared" si="1"/>
        <v>0</v>
      </c>
      <c r="AE27" s="131">
        <f t="shared" si="2"/>
        <v>0</v>
      </c>
      <c r="AF27" s="131">
        <f t="shared" si="3"/>
        <v>0</v>
      </c>
      <c r="AG27" s="140">
        <f t="shared" si="4"/>
        <v>0</v>
      </c>
      <c r="AH27" s="140">
        <f t="shared" si="5"/>
        <v>0</v>
      </c>
      <c r="AI27" s="140">
        <f t="shared" si="6"/>
        <v>0</v>
      </c>
      <c r="AJ27" s="131">
        <f t="shared" si="7"/>
        <v>0</v>
      </c>
      <c r="AK27" s="131">
        <f t="shared" si="8"/>
        <v>0</v>
      </c>
      <c r="AL27" s="127">
        <f t="shared" si="9"/>
        <v>0</v>
      </c>
      <c r="AM27" s="140">
        <f t="shared" si="10"/>
        <v>0</v>
      </c>
      <c r="AN27" s="140">
        <f t="shared" si="11"/>
        <v>0</v>
      </c>
      <c r="AO27" s="140">
        <f t="shared" si="12"/>
        <v>0</v>
      </c>
      <c r="AP27" s="140">
        <f t="shared" si="13"/>
        <v>0</v>
      </c>
    </row>
    <row r="28" spans="2:4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AC28" s="131">
        <f t="shared" si="0"/>
        <v>0</v>
      </c>
      <c r="AD28" s="131">
        <f t="shared" si="1"/>
        <v>0</v>
      </c>
      <c r="AE28" s="131">
        <f t="shared" si="2"/>
        <v>0</v>
      </c>
      <c r="AF28" s="131">
        <f t="shared" si="3"/>
        <v>0</v>
      </c>
      <c r="AG28" s="140">
        <f t="shared" si="4"/>
        <v>0</v>
      </c>
      <c r="AH28" s="140">
        <f t="shared" si="5"/>
        <v>0</v>
      </c>
      <c r="AI28" s="140">
        <f t="shared" si="6"/>
        <v>0</v>
      </c>
      <c r="AJ28" s="131">
        <f t="shared" si="7"/>
        <v>0</v>
      </c>
      <c r="AK28" s="131">
        <f t="shared" si="8"/>
        <v>0</v>
      </c>
      <c r="AL28" s="127">
        <f t="shared" si="9"/>
        <v>0</v>
      </c>
      <c r="AM28" s="140">
        <f t="shared" si="10"/>
        <v>0</v>
      </c>
      <c r="AN28" s="140">
        <f t="shared" si="11"/>
        <v>0</v>
      </c>
      <c r="AO28" s="140">
        <f t="shared" si="12"/>
        <v>0</v>
      </c>
      <c r="AP28" s="140">
        <f t="shared" si="13"/>
        <v>0</v>
      </c>
    </row>
    <row r="29" spans="2:4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AC29" s="131">
        <f t="shared" si="0"/>
        <v>0</v>
      </c>
      <c r="AD29" s="131">
        <f t="shared" si="1"/>
        <v>0</v>
      </c>
      <c r="AE29" s="131">
        <f t="shared" si="2"/>
        <v>0</v>
      </c>
      <c r="AF29" s="131">
        <f t="shared" si="3"/>
        <v>0</v>
      </c>
      <c r="AG29" s="140">
        <f t="shared" si="4"/>
        <v>0</v>
      </c>
      <c r="AH29" s="140">
        <f t="shared" si="5"/>
        <v>0</v>
      </c>
      <c r="AI29" s="140">
        <f t="shared" si="6"/>
        <v>0</v>
      </c>
      <c r="AJ29" s="131">
        <f t="shared" si="7"/>
        <v>0</v>
      </c>
      <c r="AK29" s="131">
        <f t="shared" si="8"/>
        <v>0</v>
      </c>
      <c r="AL29" s="127">
        <f t="shared" si="9"/>
        <v>0</v>
      </c>
      <c r="AM29" s="140">
        <f t="shared" si="10"/>
        <v>0</v>
      </c>
      <c r="AN29" s="140">
        <f t="shared" si="11"/>
        <v>0</v>
      </c>
      <c r="AO29" s="140">
        <f t="shared" si="12"/>
        <v>0</v>
      </c>
      <c r="AP29" s="140">
        <f t="shared" si="13"/>
        <v>0</v>
      </c>
    </row>
    <row r="30" spans="2:4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AC30" s="131">
        <f t="shared" si="0"/>
        <v>0</v>
      </c>
      <c r="AD30" s="131">
        <f t="shared" si="1"/>
        <v>0</v>
      </c>
      <c r="AE30" s="131">
        <f t="shared" si="2"/>
        <v>0</v>
      </c>
      <c r="AF30" s="131">
        <f t="shared" si="3"/>
        <v>0</v>
      </c>
      <c r="AG30" s="140">
        <f t="shared" si="4"/>
        <v>0</v>
      </c>
      <c r="AH30" s="140">
        <f t="shared" si="5"/>
        <v>0</v>
      </c>
      <c r="AI30" s="140">
        <f t="shared" si="6"/>
        <v>0</v>
      </c>
      <c r="AJ30" s="131">
        <f t="shared" si="7"/>
        <v>0</v>
      </c>
      <c r="AK30" s="131">
        <f t="shared" si="8"/>
        <v>0</v>
      </c>
      <c r="AL30" s="127">
        <f t="shared" si="9"/>
        <v>0</v>
      </c>
      <c r="AM30" s="140">
        <f t="shared" si="10"/>
        <v>0</v>
      </c>
      <c r="AN30" s="140">
        <f t="shared" si="11"/>
        <v>0</v>
      </c>
      <c r="AO30" s="140">
        <f t="shared" si="12"/>
        <v>0</v>
      </c>
      <c r="AP30" s="140">
        <f t="shared" si="13"/>
        <v>0</v>
      </c>
    </row>
    <row r="31" spans="2:4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AC31" s="131">
        <f t="shared" si="0"/>
        <v>0</v>
      </c>
      <c r="AD31" s="131">
        <f t="shared" si="1"/>
        <v>0</v>
      </c>
      <c r="AE31" s="131">
        <f t="shared" si="2"/>
        <v>0</v>
      </c>
      <c r="AF31" s="131">
        <f t="shared" si="3"/>
        <v>0</v>
      </c>
      <c r="AG31" s="140">
        <f t="shared" si="4"/>
        <v>0</v>
      </c>
      <c r="AH31" s="140">
        <f t="shared" si="5"/>
        <v>0</v>
      </c>
      <c r="AI31" s="140">
        <f t="shared" si="6"/>
        <v>0</v>
      </c>
      <c r="AJ31" s="131">
        <f t="shared" si="7"/>
        <v>0</v>
      </c>
      <c r="AK31" s="131">
        <f t="shared" si="8"/>
        <v>0</v>
      </c>
      <c r="AL31" s="127">
        <f t="shared" si="9"/>
        <v>0</v>
      </c>
      <c r="AM31" s="140">
        <f t="shared" si="10"/>
        <v>0</v>
      </c>
      <c r="AN31" s="140">
        <f t="shared" si="11"/>
        <v>0</v>
      </c>
      <c r="AO31" s="140">
        <f t="shared" si="12"/>
        <v>0</v>
      </c>
      <c r="AP31" s="140">
        <f t="shared" si="13"/>
        <v>0</v>
      </c>
    </row>
    <row r="32" spans="2:4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AC32" s="131">
        <f t="shared" si="0"/>
        <v>0</v>
      </c>
      <c r="AD32" s="131">
        <f t="shared" si="1"/>
        <v>0</v>
      </c>
      <c r="AE32" s="131">
        <f t="shared" si="2"/>
        <v>0</v>
      </c>
      <c r="AF32" s="131">
        <f t="shared" si="3"/>
        <v>0</v>
      </c>
      <c r="AG32" s="140">
        <f t="shared" si="4"/>
        <v>0</v>
      </c>
      <c r="AH32" s="140">
        <f t="shared" si="5"/>
        <v>0</v>
      </c>
      <c r="AI32" s="140">
        <f t="shared" si="6"/>
        <v>0</v>
      </c>
      <c r="AJ32" s="131">
        <f t="shared" si="7"/>
        <v>0</v>
      </c>
      <c r="AK32" s="131">
        <f t="shared" si="8"/>
        <v>0</v>
      </c>
      <c r="AL32" s="127">
        <f t="shared" si="9"/>
        <v>0</v>
      </c>
      <c r="AM32" s="140">
        <f t="shared" si="10"/>
        <v>0</v>
      </c>
      <c r="AN32" s="140">
        <f t="shared" si="11"/>
        <v>0</v>
      </c>
      <c r="AO32" s="140">
        <f t="shared" si="12"/>
        <v>0</v>
      </c>
      <c r="AP32" s="140">
        <f t="shared" si="13"/>
        <v>0</v>
      </c>
    </row>
    <row r="33" spans="2:4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AC33" s="131">
        <f t="shared" si="0"/>
        <v>0</v>
      </c>
      <c r="AD33" s="131">
        <f t="shared" si="1"/>
        <v>0</v>
      </c>
      <c r="AE33" s="131">
        <f t="shared" si="2"/>
        <v>0</v>
      </c>
      <c r="AF33" s="131">
        <f t="shared" si="3"/>
        <v>0</v>
      </c>
      <c r="AG33" s="140">
        <f t="shared" si="4"/>
        <v>0</v>
      </c>
      <c r="AH33" s="140">
        <f t="shared" si="5"/>
        <v>0</v>
      </c>
      <c r="AI33" s="140">
        <f t="shared" si="6"/>
        <v>0</v>
      </c>
      <c r="AJ33" s="131">
        <f t="shared" si="7"/>
        <v>0</v>
      </c>
      <c r="AK33" s="131">
        <f t="shared" si="8"/>
        <v>0</v>
      </c>
      <c r="AL33" s="127">
        <f t="shared" si="9"/>
        <v>0</v>
      </c>
      <c r="AM33" s="140">
        <f t="shared" si="10"/>
        <v>0</v>
      </c>
      <c r="AN33" s="140">
        <f t="shared" si="11"/>
        <v>0</v>
      </c>
      <c r="AO33" s="140">
        <f t="shared" si="12"/>
        <v>0</v>
      </c>
      <c r="AP33" s="140">
        <f t="shared" si="13"/>
        <v>0</v>
      </c>
    </row>
    <row r="34" spans="2:4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AC34" s="131">
        <f t="shared" si="0"/>
        <v>0</v>
      </c>
      <c r="AD34" s="131">
        <f t="shared" si="1"/>
        <v>0</v>
      </c>
      <c r="AE34" s="131">
        <f t="shared" si="2"/>
        <v>0</v>
      </c>
      <c r="AF34" s="131">
        <f t="shared" si="3"/>
        <v>0</v>
      </c>
      <c r="AG34" s="140">
        <f t="shared" si="4"/>
        <v>0</v>
      </c>
      <c r="AH34" s="140">
        <f t="shared" si="5"/>
        <v>0</v>
      </c>
      <c r="AI34" s="140">
        <f t="shared" si="6"/>
        <v>0</v>
      </c>
      <c r="AJ34" s="131">
        <f t="shared" si="7"/>
        <v>0</v>
      </c>
      <c r="AK34" s="131">
        <f t="shared" si="8"/>
        <v>0</v>
      </c>
      <c r="AL34" s="127">
        <f t="shared" si="9"/>
        <v>0</v>
      </c>
      <c r="AM34" s="140">
        <f t="shared" si="10"/>
        <v>0</v>
      </c>
      <c r="AN34" s="140">
        <f t="shared" si="11"/>
        <v>0</v>
      </c>
      <c r="AO34" s="140">
        <f t="shared" si="12"/>
        <v>0</v>
      </c>
      <c r="AP34" s="140">
        <f t="shared" si="13"/>
        <v>0</v>
      </c>
    </row>
    <row r="35" spans="2:4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AC35" s="131">
        <f t="shared" si="0"/>
        <v>0</v>
      </c>
      <c r="AD35" s="131">
        <f t="shared" si="1"/>
        <v>0</v>
      </c>
      <c r="AE35" s="131">
        <f t="shared" si="2"/>
        <v>0</v>
      </c>
      <c r="AF35" s="131">
        <f t="shared" si="3"/>
        <v>0</v>
      </c>
      <c r="AG35" s="140">
        <f t="shared" si="4"/>
        <v>0</v>
      </c>
      <c r="AH35" s="140">
        <f t="shared" si="5"/>
        <v>0</v>
      </c>
      <c r="AI35" s="140">
        <f t="shared" si="6"/>
        <v>0</v>
      </c>
      <c r="AJ35" s="131">
        <f t="shared" si="7"/>
        <v>0</v>
      </c>
      <c r="AK35" s="131">
        <f t="shared" si="8"/>
        <v>0</v>
      </c>
      <c r="AL35" s="127">
        <f t="shared" si="9"/>
        <v>0</v>
      </c>
      <c r="AM35" s="140">
        <f t="shared" si="10"/>
        <v>0</v>
      </c>
      <c r="AN35" s="140">
        <f t="shared" si="11"/>
        <v>0</v>
      </c>
      <c r="AO35" s="140">
        <f t="shared" si="12"/>
        <v>0</v>
      </c>
      <c r="AP35" s="140">
        <f t="shared" si="13"/>
        <v>0</v>
      </c>
    </row>
    <row r="36" spans="2:4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AC36" s="131">
        <f t="shared" si="0"/>
        <v>0</v>
      </c>
      <c r="AD36" s="131">
        <f t="shared" si="1"/>
        <v>0</v>
      </c>
      <c r="AE36" s="131">
        <f t="shared" si="2"/>
        <v>0</v>
      </c>
      <c r="AF36" s="131">
        <f t="shared" si="3"/>
        <v>0</v>
      </c>
      <c r="AG36" s="140">
        <f t="shared" si="4"/>
        <v>0</v>
      </c>
      <c r="AH36" s="140">
        <f t="shared" si="5"/>
        <v>0</v>
      </c>
      <c r="AI36" s="140">
        <f t="shared" si="6"/>
        <v>0</v>
      </c>
      <c r="AJ36" s="131">
        <f t="shared" si="7"/>
        <v>0</v>
      </c>
      <c r="AK36" s="131">
        <f t="shared" si="8"/>
        <v>0</v>
      </c>
      <c r="AL36" s="127">
        <f t="shared" si="9"/>
        <v>0</v>
      </c>
      <c r="AM36" s="140">
        <f t="shared" si="10"/>
        <v>0</v>
      </c>
      <c r="AN36" s="140">
        <f t="shared" si="11"/>
        <v>0</v>
      </c>
      <c r="AO36" s="140">
        <f t="shared" si="12"/>
        <v>0</v>
      </c>
      <c r="AP36" s="140">
        <f t="shared" si="13"/>
        <v>0</v>
      </c>
    </row>
    <row r="37" spans="2:4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AC37" s="131">
        <f t="shared" si="0"/>
        <v>0</v>
      </c>
      <c r="AD37" s="131">
        <f t="shared" si="1"/>
        <v>0</v>
      </c>
      <c r="AE37" s="131">
        <f t="shared" si="2"/>
        <v>0</v>
      </c>
      <c r="AF37" s="131">
        <f t="shared" si="3"/>
        <v>0</v>
      </c>
      <c r="AG37" s="140">
        <f t="shared" si="4"/>
        <v>0</v>
      </c>
      <c r="AH37" s="140">
        <f t="shared" si="5"/>
        <v>0</v>
      </c>
      <c r="AI37" s="140">
        <f t="shared" si="6"/>
        <v>0</v>
      </c>
      <c r="AJ37" s="131">
        <f t="shared" si="7"/>
        <v>0</v>
      </c>
      <c r="AK37" s="131">
        <f t="shared" si="8"/>
        <v>0</v>
      </c>
      <c r="AL37" s="127">
        <f t="shared" si="9"/>
        <v>0</v>
      </c>
      <c r="AM37" s="140">
        <f t="shared" si="10"/>
        <v>0</v>
      </c>
      <c r="AN37" s="140">
        <f t="shared" si="11"/>
        <v>0</v>
      </c>
      <c r="AO37" s="140">
        <f t="shared" si="12"/>
        <v>0</v>
      </c>
      <c r="AP37" s="140">
        <f t="shared" si="13"/>
        <v>0</v>
      </c>
    </row>
    <row r="38" spans="2:4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AC38" s="131">
        <f t="shared" si="0"/>
        <v>0</v>
      </c>
      <c r="AD38" s="131">
        <f t="shared" si="1"/>
        <v>0</v>
      </c>
      <c r="AE38" s="131">
        <f t="shared" si="2"/>
        <v>0</v>
      </c>
      <c r="AF38" s="131">
        <f t="shared" si="3"/>
        <v>0</v>
      </c>
      <c r="AG38" s="140">
        <f t="shared" si="4"/>
        <v>0</v>
      </c>
      <c r="AH38" s="140">
        <f t="shared" si="5"/>
        <v>0</v>
      </c>
      <c r="AI38" s="140">
        <f t="shared" si="6"/>
        <v>0</v>
      </c>
      <c r="AJ38" s="131">
        <f t="shared" si="7"/>
        <v>0</v>
      </c>
      <c r="AK38" s="131">
        <f t="shared" si="8"/>
        <v>0</v>
      </c>
      <c r="AL38" s="127">
        <f t="shared" si="9"/>
        <v>0</v>
      </c>
      <c r="AM38" s="140">
        <f t="shared" si="10"/>
        <v>0</v>
      </c>
      <c r="AN38" s="140">
        <f t="shared" si="11"/>
        <v>0</v>
      </c>
      <c r="AO38" s="140">
        <f t="shared" si="12"/>
        <v>0</v>
      </c>
      <c r="AP38" s="140">
        <f t="shared" si="13"/>
        <v>0</v>
      </c>
    </row>
    <row r="39" spans="2:4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AC39" s="131">
        <f t="shared" si="0"/>
        <v>0</v>
      </c>
      <c r="AD39" s="131">
        <f t="shared" si="1"/>
        <v>0</v>
      </c>
      <c r="AE39" s="131">
        <f t="shared" si="2"/>
        <v>0</v>
      </c>
      <c r="AF39" s="131">
        <f t="shared" si="3"/>
        <v>0</v>
      </c>
      <c r="AG39" s="140">
        <f t="shared" si="4"/>
        <v>0</v>
      </c>
      <c r="AH39" s="140">
        <f t="shared" si="5"/>
        <v>0</v>
      </c>
      <c r="AI39" s="140">
        <f t="shared" si="6"/>
        <v>0</v>
      </c>
      <c r="AJ39" s="131">
        <f t="shared" si="7"/>
        <v>0</v>
      </c>
      <c r="AK39" s="131">
        <f t="shared" si="8"/>
        <v>0</v>
      </c>
      <c r="AL39" s="127">
        <f t="shared" si="9"/>
        <v>0</v>
      </c>
      <c r="AM39" s="140">
        <f t="shared" si="10"/>
        <v>0</v>
      </c>
      <c r="AN39" s="140">
        <f t="shared" si="11"/>
        <v>0</v>
      </c>
      <c r="AO39" s="140">
        <f t="shared" si="12"/>
        <v>0</v>
      </c>
      <c r="AP39" s="140">
        <f t="shared" si="13"/>
        <v>0</v>
      </c>
    </row>
    <row r="40" spans="2:4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AC40" s="131">
        <f t="shared" si="0"/>
        <v>0</v>
      </c>
      <c r="AD40" s="131">
        <f t="shared" si="1"/>
        <v>0</v>
      </c>
      <c r="AE40" s="131">
        <f t="shared" si="2"/>
        <v>0</v>
      </c>
      <c r="AF40" s="131">
        <f t="shared" si="3"/>
        <v>0</v>
      </c>
      <c r="AG40" s="140">
        <f t="shared" si="4"/>
        <v>0</v>
      </c>
      <c r="AH40" s="140">
        <f t="shared" si="5"/>
        <v>0</v>
      </c>
      <c r="AI40" s="140">
        <f t="shared" si="6"/>
        <v>0</v>
      </c>
      <c r="AJ40" s="131">
        <f t="shared" si="7"/>
        <v>0</v>
      </c>
      <c r="AK40" s="131">
        <f t="shared" si="8"/>
        <v>0</v>
      </c>
      <c r="AL40" s="127">
        <f t="shared" si="9"/>
        <v>0</v>
      </c>
      <c r="AM40" s="140">
        <f t="shared" si="10"/>
        <v>0</v>
      </c>
      <c r="AN40" s="140">
        <f t="shared" si="11"/>
        <v>0</v>
      </c>
      <c r="AO40" s="140">
        <f t="shared" si="12"/>
        <v>0</v>
      </c>
      <c r="AP40" s="140">
        <f t="shared" si="13"/>
        <v>0</v>
      </c>
    </row>
    <row r="41" spans="2:4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AC41" s="131">
        <f t="shared" si="0"/>
        <v>0</v>
      </c>
      <c r="AD41" s="131">
        <f t="shared" si="1"/>
        <v>0</v>
      </c>
      <c r="AE41" s="131">
        <f t="shared" si="2"/>
        <v>0</v>
      </c>
      <c r="AF41" s="131">
        <f t="shared" si="3"/>
        <v>0</v>
      </c>
      <c r="AG41" s="140">
        <f t="shared" si="4"/>
        <v>0</v>
      </c>
      <c r="AH41" s="140">
        <f t="shared" si="5"/>
        <v>0</v>
      </c>
      <c r="AI41" s="140">
        <f t="shared" si="6"/>
        <v>0</v>
      </c>
      <c r="AJ41" s="131">
        <f t="shared" si="7"/>
        <v>0</v>
      </c>
      <c r="AK41" s="131">
        <f t="shared" si="8"/>
        <v>0</v>
      </c>
      <c r="AL41" s="127">
        <f t="shared" si="9"/>
        <v>0</v>
      </c>
      <c r="AM41" s="140">
        <f t="shared" si="10"/>
        <v>0</v>
      </c>
      <c r="AN41" s="140">
        <f t="shared" si="11"/>
        <v>0</v>
      </c>
      <c r="AO41" s="140">
        <f t="shared" si="12"/>
        <v>0</v>
      </c>
      <c r="AP41" s="140">
        <f t="shared" si="13"/>
        <v>0</v>
      </c>
    </row>
    <row r="42" spans="2:4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AC42" s="131">
        <f t="shared" si="0"/>
        <v>0</v>
      </c>
      <c r="AD42" s="131">
        <f t="shared" si="1"/>
        <v>0</v>
      </c>
      <c r="AE42" s="131">
        <f t="shared" si="2"/>
        <v>0</v>
      </c>
      <c r="AF42" s="131">
        <f t="shared" si="3"/>
        <v>0</v>
      </c>
      <c r="AG42" s="140">
        <f t="shared" si="4"/>
        <v>0</v>
      </c>
      <c r="AH42" s="140">
        <f t="shared" si="5"/>
        <v>0</v>
      </c>
      <c r="AI42" s="140">
        <f t="shared" si="6"/>
        <v>0</v>
      </c>
      <c r="AJ42" s="131">
        <f t="shared" si="7"/>
        <v>0</v>
      </c>
      <c r="AK42" s="131">
        <f t="shared" si="8"/>
        <v>0</v>
      </c>
      <c r="AL42" s="127">
        <f t="shared" si="9"/>
        <v>0</v>
      </c>
      <c r="AM42" s="140">
        <f t="shared" si="10"/>
        <v>0</v>
      </c>
      <c r="AN42" s="140">
        <f t="shared" si="11"/>
        <v>0</v>
      </c>
      <c r="AO42" s="140">
        <f t="shared" si="12"/>
        <v>0</v>
      </c>
      <c r="AP42" s="140">
        <f t="shared" si="13"/>
        <v>0</v>
      </c>
    </row>
    <row r="43" spans="2:4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AC43" s="131">
        <f t="shared" si="0"/>
        <v>0</v>
      </c>
      <c r="AD43" s="131">
        <f t="shared" si="1"/>
        <v>0</v>
      </c>
      <c r="AE43" s="131">
        <f t="shared" si="2"/>
        <v>0</v>
      </c>
      <c r="AF43" s="131">
        <f t="shared" si="3"/>
        <v>0</v>
      </c>
      <c r="AG43" s="140">
        <f t="shared" si="4"/>
        <v>0</v>
      </c>
      <c r="AH43" s="140">
        <f t="shared" si="5"/>
        <v>0</v>
      </c>
      <c r="AI43" s="140">
        <f t="shared" si="6"/>
        <v>0</v>
      </c>
      <c r="AJ43" s="131">
        <f t="shared" si="7"/>
        <v>0</v>
      </c>
      <c r="AK43" s="131">
        <f t="shared" si="8"/>
        <v>0</v>
      </c>
      <c r="AL43" s="127">
        <f t="shared" si="9"/>
        <v>0</v>
      </c>
      <c r="AM43" s="140">
        <f t="shared" si="10"/>
        <v>0</v>
      </c>
      <c r="AN43" s="140">
        <f t="shared" si="11"/>
        <v>0</v>
      </c>
      <c r="AO43" s="140">
        <f t="shared" si="12"/>
        <v>0</v>
      </c>
      <c r="AP43" s="140">
        <f t="shared" si="13"/>
        <v>0</v>
      </c>
    </row>
    <row r="44" spans="2:4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AC44" s="131">
        <f t="shared" si="0"/>
        <v>0</v>
      </c>
      <c r="AD44" s="131">
        <f t="shared" si="1"/>
        <v>0</v>
      </c>
      <c r="AE44" s="131">
        <f t="shared" si="2"/>
        <v>0</v>
      </c>
      <c r="AF44" s="131">
        <f t="shared" si="3"/>
        <v>0</v>
      </c>
      <c r="AG44" s="140">
        <f t="shared" si="4"/>
        <v>0</v>
      </c>
      <c r="AH44" s="140">
        <f t="shared" si="5"/>
        <v>0</v>
      </c>
      <c r="AI44" s="140">
        <f t="shared" si="6"/>
        <v>0</v>
      </c>
      <c r="AJ44" s="131">
        <f t="shared" si="7"/>
        <v>0</v>
      </c>
      <c r="AK44" s="131">
        <f t="shared" si="8"/>
        <v>0</v>
      </c>
      <c r="AL44" s="127">
        <f t="shared" si="9"/>
        <v>0</v>
      </c>
      <c r="AM44" s="140">
        <f t="shared" si="10"/>
        <v>0</v>
      </c>
      <c r="AN44" s="140">
        <f t="shared" si="11"/>
        <v>0</v>
      </c>
      <c r="AO44" s="140">
        <f t="shared" si="12"/>
        <v>0</v>
      </c>
      <c r="AP44" s="140">
        <f t="shared" si="13"/>
        <v>0</v>
      </c>
    </row>
    <row r="45" spans="2:4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AC45" s="131">
        <f t="shared" si="0"/>
        <v>0</v>
      </c>
      <c r="AD45" s="131">
        <f t="shared" si="1"/>
        <v>0</v>
      </c>
      <c r="AE45" s="131">
        <f t="shared" si="2"/>
        <v>0</v>
      </c>
      <c r="AF45" s="131">
        <f t="shared" si="3"/>
        <v>0</v>
      </c>
      <c r="AG45" s="140">
        <f t="shared" si="4"/>
        <v>0</v>
      </c>
      <c r="AH45" s="140">
        <f t="shared" si="5"/>
        <v>0</v>
      </c>
      <c r="AI45" s="140">
        <f t="shared" si="6"/>
        <v>0</v>
      </c>
      <c r="AJ45" s="131">
        <f t="shared" si="7"/>
        <v>0</v>
      </c>
      <c r="AK45" s="131">
        <f t="shared" si="8"/>
        <v>0</v>
      </c>
      <c r="AL45" s="127">
        <f t="shared" si="9"/>
        <v>0</v>
      </c>
      <c r="AM45" s="140">
        <f t="shared" si="10"/>
        <v>0</v>
      </c>
      <c r="AN45" s="140">
        <f t="shared" si="11"/>
        <v>0</v>
      </c>
      <c r="AO45" s="140">
        <f t="shared" si="12"/>
        <v>0</v>
      </c>
      <c r="AP45" s="140">
        <f t="shared" si="13"/>
        <v>0</v>
      </c>
    </row>
    <row r="46" spans="2:4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AC46" s="131">
        <f t="shared" si="0"/>
        <v>0</v>
      </c>
      <c r="AD46" s="131">
        <f t="shared" si="1"/>
        <v>0</v>
      </c>
      <c r="AE46" s="131">
        <f t="shared" si="2"/>
        <v>0</v>
      </c>
      <c r="AF46" s="131">
        <f t="shared" si="3"/>
        <v>0</v>
      </c>
      <c r="AG46" s="140">
        <f t="shared" si="4"/>
        <v>0</v>
      </c>
      <c r="AH46" s="140">
        <f t="shared" si="5"/>
        <v>0</v>
      </c>
      <c r="AI46" s="140">
        <f t="shared" si="6"/>
        <v>0</v>
      </c>
      <c r="AJ46" s="131">
        <f t="shared" si="7"/>
        <v>0</v>
      </c>
      <c r="AK46" s="131">
        <f t="shared" si="8"/>
        <v>0</v>
      </c>
      <c r="AL46" s="127">
        <f t="shared" si="9"/>
        <v>0</v>
      </c>
      <c r="AM46" s="140">
        <f t="shared" si="10"/>
        <v>0</v>
      </c>
      <c r="AN46" s="140">
        <f t="shared" si="11"/>
        <v>0</v>
      </c>
      <c r="AO46" s="140">
        <f t="shared" si="12"/>
        <v>0</v>
      </c>
      <c r="AP46" s="140">
        <f t="shared" si="13"/>
        <v>0</v>
      </c>
    </row>
    <row r="47" spans="2:4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AC47" s="131">
        <f t="shared" si="0"/>
        <v>0</v>
      </c>
      <c r="AD47" s="131">
        <f t="shared" si="1"/>
        <v>0</v>
      </c>
      <c r="AE47" s="131">
        <f t="shared" si="2"/>
        <v>0</v>
      </c>
      <c r="AF47" s="131">
        <f t="shared" si="3"/>
        <v>0</v>
      </c>
      <c r="AG47" s="140">
        <f t="shared" si="4"/>
        <v>0</v>
      </c>
      <c r="AH47" s="140">
        <f t="shared" si="5"/>
        <v>0</v>
      </c>
      <c r="AI47" s="140">
        <f t="shared" si="6"/>
        <v>0</v>
      </c>
      <c r="AJ47" s="131">
        <f t="shared" si="7"/>
        <v>0</v>
      </c>
      <c r="AK47" s="131">
        <f t="shared" si="8"/>
        <v>0</v>
      </c>
      <c r="AL47" s="127">
        <f t="shared" si="9"/>
        <v>0</v>
      </c>
      <c r="AM47" s="140">
        <f t="shared" si="10"/>
        <v>0</v>
      </c>
      <c r="AN47" s="140">
        <f t="shared" si="11"/>
        <v>0</v>
      </c>
      <c r="AO47" s="140">
        <f t="shared" si="12"/>
        <v>0</v>
      </c>
      <c r="AP47" s="140">
        <f t="shared" si="13"/>
        <v>0</v>
      </c>
    </row>
    <row r="48" spans="2:4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AC48" s="131">
        <f t="shared" si="0"/>
        <v>0</v>
      </c>
      <c r="AD48" s="131">
        <f t="shared" si="1"/>
        <v>0</v>
      </c>
      <c r="AE48" s="131">
        <f t="shared" si="2"/>
        <v>0</v>
      </c>
      <c r="AF48" s="131">
        <f t="shared" si="3"/>
        <v>0</v>
      </c>
      <c r="AG48" s="140">
        <f t="shared" si="4"/>
        <v>0</v>
      </c>
      <c r="AH48" s="140">
        <f t="shared" si="5"/>
        <v>0</v>
      </c>
      <c r="AI48" s="140">
        <f t="shared" si="6"/>
        <v>0</v>
      </c>
      <c r="AJ48" s="131">
        <f t="shared" si="7"/>
        <v>0</v>
      </c>
      <c r="AK48" s="131">
        <f t="shared" si="8"/>
        <v>0</v>
      </c>
      <c r="AL48" s="127">
        <f t="shared" si="9"/>
        <v>0</v>
      </c>
      <c r="AM48" s="140">
        <f t="shared" si="10"/>
        <v>0</v>
      </c>
      <c r="AN48" s="140">
        <f t="shared" si="11"/>
        <v>0</v>
      </c>
      <c r="AO48" s="140">
        <f t="shared" si="12"/>
        <v>0</v>
      </c>
      <c r="AP48" s="140">
        <f t="shared" si="13"/>
        <v>0</v>
      </c>
    </row>
    <row r="49" spans="2:4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AC49" s="131">
        <f t="shared" si="0"/>
        <v>0</v>
      </c>
      <c r="AD49" s="131">
        <f t="shared" si="1"/>
        <v>0</v>
      </c>
      <c r="AE49" s="131">
        <f t="shared" si="2"/>
        <v>0</v>
      </c>
      <c r="AF49" s="131">
        <f t="shared" si="3"/>
        <v>0</v>
      </c>
      <c r="AG49" s="140">
        <f t="shared" si="4"/>
        <v>0</v>
      </c>
      <c r="AH49" s="140">
        <f t="shared" si="5"/>
        <v>0</v>
      </c>
      <c r="AI49" s="140">
        <f t="shared" si="6"/>
        <v>0</v>
      </c>
      <c r="AJ49" s="131">
        <f t="shared" si="7"/>
        <v>0</v>
      </c>
      <c r="AK49" s="131">
        <f t="shared" si="8"/>
        <v>0</v>
      </c>
      <c r="AL49" s="127">
        <f t="shared" si="9"/>
        <v>0</v>
      </c>
      <c r="AM49" s="140">
        <f t="shared" si="10"/>
        <v>0</v>
      </c>
      <c r="AN49" s="140">
        <f t="shared" si="11"/>
        <v>0</v>
      </c>
      <c r="AO49" s="140">
        <f t="shared" si="12"/>
        <v>0</v>
      </c>
      <c r="AP49" s="140">
        <f t="shared" si="13"/>
        <v>0</v>
      </c>
    </row>
    <row r="50" spans="2:4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AC50" s="131">
        <f t="shared" si="0"/>
        <v>0</v>
      </c>
      <c r="AD50" s="131">
        <f t="shared" si="1"/>
        <v>0</v>
      </c>
      <c r="AE50" s="131">
        <f t="shared" si="2"/>
        <v>0</v>
      </c>
      <c r="AF50" s="131">
        <f t="shared" si="3"/>
        <v>0</v>
      </c>
      <c r="AG50" s="140">
        <f t="shared" si="4"/>
        <v>0</v>
      </c>
      <c r="AH50" s="140">
        <f t="shared" si="5"/>
        <v>0</v>
      </c>
      <c r="AI50" s="140">
        <f t="shared" si="6"/>
        <v>0</v>
      </c>
      <c r="AJ50" s="131">
        <f t="shared" si="7"/>
        <v>0</v>
      </c>
      <c r="AK50" s="131">
        <f t="shared" si="8"/>
        <v>0</v>
      </c>
      <c r="AL50" s="127">
        <f t="shared" si="9"/>
        <v>0</v>
      </c>
      <c r="AM50" s="140">
        <f t="shared" si="10"/>
        <v>0</v>
      </c>
      <c r="AN50" s="140">
        <f t="shared" si="11"/>
        <v>0</v>
      </c>
      <c r="AO50" s="140">
        <f t="shared" si="12"/>
        <v>0</v>
      </c>
      <c r="AP50" s="140">
        <f t="shared" si="13"/>
        <v>0</v>
      </c>
    </row>
    <row r="51" spans="2:4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AC51" s="131">
        <f t="shared" si="0"/>
        <v>0</v>
      </c>
      <c r="AD51" s="131">
        <f t="shared" si="1"/>
        <v>0</v>
      </c>
      <c r="AE51" s="131">
        <f t="shared" si="2"/>
        <v>0</v>
      </c>
      <c r="AF51" s="131">
        <f t="shared" si="3"/>
        <v>0</v>
      </c>
      <c r="AG51" s="140">
        <f t="shared" si="4"/>
        <v>0</v>
      </c>
      <c r="AH51" s="140">
        <f t="shared" si="5"/>
        <v>0</v>
      </c>
      <c r="AI51" s="140">
        <f t="shared" si="6"/>
        <v>0</v>
      </c>
      <c r="AJ51" s="131">
        <f t="shared" si="7"/>
        <v>0</v>
      </c>
      <c r="AK51" s="131">
        <f t="shared" si="8"/>
        <v>0</v>
      </c>
      <c r="AL51" s="127">
        <f t="shared" si="9"/>
        <v>0</v>
      </c>
      <c r="AM51" s="140">
        <f t="shared" si="10"/>
        <v>0</v>
      </c>
      <c r="AN51" s="140">
        <f t="shared" si="11"/>
        <v>0</v>
      </c>
      <c r="AO51" s="140">
        <f t="shared" si="12"/>
        <v>0</v>
      </c>
      <c r="AP51" s="140">
        <f t="shared" si="13"/>
        <v>0</v>
      </c>
    </row>
    <row r="52" spans="2:4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AC52" s="131">
        <f t="shared" si="0"/>
        <v>0</v>
      </c>
      <c r="AD52" s="131">
        <f t="shared" si="1"/>
        <v>0</v>
      </c>
      <c r="AE52" s="131">
        <f t="shared" si="2"/>
        <v>0</v>
      </c>
      <c r="AF52" s="131">
        <f t="shared" si="3"/>
        <v>0</v>
      </c>
      <c r="AG52" s="140">
        <f t="shared" si="4"/>
        <v>0</v>
      </c>
      <c r="AH52" s="140">
        <f t="shared" si="5"/>
        <v>0</v>
      </c>
      <c r="AI52" s="140">
        <f t="shared" si="6"/>
        <v>0</v>
      </c>
      <c r="AJ52" s="131">
        <f t="shared" si="7"/>
        <v>0</v>
      </c>
      <c r="AK52" s="131">
        <f t="shared" si="8"/>
        <v>0</v>
      </c>
      <c r="AL52" s="127">
        <f t="shared" si="9"/>
        <v>0</v>
      </c>
      <c r="AM52" s="140">
        <f t="shared" si="10"/>
        <v>0</v>
      </c>
      <c r="AN52" s="140">
        <f t="shared" si="11"/>
        <v>0</v>
      </c>
      <c r="AO52" s="140">
        <f t="shared" si="12"/>
        <v>0</v>
      </c>
      <c r="AP52" s="140">
        <f t="shared" si="13"/>
        <v>0</v>
      </c>
    </row>
    <row r="53" spans="2:4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AC53" s="131">
        <f t="shared" si="0"/>
        <v>0</v>
      </c>
      <c r="AD53" s="131">
        <f t="shared" si="1"/>
        <v>0</v>
      </c>
      <c r="AE53" s="131">
        <f t="shared" si="2"/>
        <v>0</v>
      </c>
      <c r="AF53" s="131">
        <f t="shared" si="3"/>
        <v>0</v>
      </c>
      <c r="AG53" s="140">
        <f t="shared" si="4"/>
        <v>0</v>
      </c>
      <c r="AH53" s="140">
        <f t="shared" si="5"/>
        <v>0</v>
      </c>
      <c r="AI53" s="140">
        <f t="shared" si="6"/>
        <v>0</v>
      </c>
      <c r="AJ53" s="131">
        <f t="shared" si="7"/>
        <v>0</v>
      </c>
      <c r="AK53" s="131">
        <f t="shared" si="8"/>
        <v>0</v>
      </c>
      <c r="AL53" s="127">
        <f t="shared" si="9"/>
        <v>0</v>
      </c>
      <c r="AM53" s="140">
        <f t="shared" si="10"/>
        <v>0</v>
      </c>
      <c r="AN53" s="140">
        <f t="shared" si="11"/>
        <v>0</v>
      </c>
      <c r="AO53" s="140">
        <f t="shared" si="12"/>
        <v>0</v>
      </c>
      <c r="AP53" s="140">
        <f t="shared" si="13"/>
        <v>0</v>
      </c>
    </row>
    <row r="54" spans="2:4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AC54" s="131">
        <f t="shared" si="0"/>
        <v>0</v>
      </c>
      <c r="AD54" s="131">
        <f t="shared" si="1"/>
        <v>0</v>
      </c>
      <c r="AE54" s="131">
        <f t="shared" si="2"/>
        <v>0</v>
      </c>
      <c r="AF54" s="131">
        <f t="shared" si="3"/>
        <v>0</v>
      </c>
      <c r="AG54" s="140">
        <f t="shared" si="4"/>
        <v>0</v>
      </c>
      <c r="AH54" s="140">
        <f t="shared" si="5"/>
        <v>0</v>
      </c>
      <c r="AI54" s="140">
        <f t="shared" si="6"/>
        <v>0</v>
      </c>
      <c r="AJ54" s="131">
        <f t="shared" si="7"/>
        <v>0</v>
      </c>
      <c r="AK54" s="131">
        <f t="shared" si="8"/>
        <v>0</v>
      </c>
      <c r="AL54" s="127">
        <f t="shared" si="9"/>
        <v>0</v>
      </c>
      <c r="AM54" s="140">
        <f t="shared" si="10"/>
        <v>0</v>
      </c>
      <c r="AN54" s="140">
        <f t="shared" si="11"/>
        <v>0</v>
      </c>
      <c r="AO54" s="140">
        <f t="shared" si="12"/>
        <v>0</v>
      </c>
      <c r="AP54" s="140">
        <f t="shared" si="13"/>
        <v>0</v>
      </c>
    </row>
    <row r="55" spans="2:4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AC55" s="131">
        <f t="shared" si="0"/>
        <v>0</v>
      </c>
      <c r="AD55" s="131">
        <f t="shared" si="1"/>
        <v>0</v>
      </c>
      <c r="AE55" s="131">
        <f t="shared" si="2"/>
        <v>0</v>
      </c>
      <c r="AF55" s="131">
        <f t="shared" si="3"/>
        <v>0</v>
      </c>
      <c r="AG55" s="140">
        <f t="shared" si="4"/>
        <v>0</v>
      </c>
      <c r="AH55" s="140">
        <f t="shared" si="5"/>
        <v>0</v>
      </c>
      <c r="AI55" s="140">
        <f t="shared" si="6"/>
        <v>0</v>
      </c>
      <c r="AJ55" s="131">
        <f t="shared" si="7"/>
        <v>0</v>
      </c>
      <c r="AK55" s="131">
        <f t="shared" si="8"/>
        <v>0</v>
      </c>
      <c r="AL55" s="127">
        <f t="shared" si="9"/>
        <v>0</v>
      </c>
      <c r="AM55" s="140">
        <f t="shared" si="10"/>
        <v>0</v>
      </c>
      <c r="AN55" s="140">
        <f t="shared" si="11"/>
        <v>0</v>
      </c>
      <c r="AO55" s="140">
        <f t="shared" si="12"/>
        <v>0</v>
      </c>
      <c r="AP55" s="140">
        <f t="shared" si="13"/>
        <v>0</v>
      </c>
    </row>
    <row r="56" spans="2:4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AC56" s="131">
        <f t="shared" si="0"/>
        <v>0</v>
      </c>
      <c r="AD56" s="131">
        <f t="shared" si="1"/>
        <v>0</v>
      </c>
      <c r="AE56" s="131">
        <f t="shared" si="2"/>
        <v>0</v>
      </c>
      <c r="AF56" s="131">
        <f t="shared" si="3"/>
        <v>0</v>
      </c>
      <c r="AG56" s="140">
        <f t="shared" si="4"/>
        <v>0</v>
      </c>
      <c r="AH56" s="140">
        <f t="shared" si="5"/>
        <v>0</v>
      </c>
      <c r="AI56" s="140">
        <f t="shared" si="6"/>
        <v>0</v>
      </c>
      <c r="AJ56" s="131">
        <f t="shared" si="7"/>
        <v>0</v>
      </c>
      <c r="AK56" s="131">
        <f t="shared" si="8"/>
        <v>0</v>
      </c>
      <c r="AL56" s="127">
        <f t="shared" si="9"/>
        <v>0</v>
      </c>
      <c r="AM56" s="140">
        <f t="shared" si="10"/>
        <v>0</v>
      </c>
      <c r="AN56" s="140">
        <f t="shared" si="11"/>
        <v>0</v>
      </c>
      <c r="AO56" s="140">
        <f t="shared" si="12"/>
        <v>0</v>
      </c>
      <c r="AP56" s="140">
        <f t="shared" si="13"/>
        <v>0</v>
      </c>
    </row>
    <row r="57" spans="2:4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AC57" s="131">
        <f t="shared" si="0"/>
        <v>0</v>
      </c>
      <c r="AD57" s="131">
        <f t="shared" si="1"/>
        <v>0</v>
      </c>
      <c r="AE57" s="131">
        <f t="shared" si="2"/>
        <v>0</v>
      </c>
      <c r="AF57" s="131">
        <f t="shared" si="3"/>
        <v>0</v>
      </c>
      <c r="AG57" s="140">
        <f t="shared" si="4"/>
        <v>0</v>
      </c>
      <c r="AH57" s="140">
        <f t="shared" si="5"/>
        <v>0</v>
      </c>
      <c r="AI57" s="140">
        <f t="shared" si="6"/>
        <v>0</v>
      </c>
      <c r="AJ57" s="131">
        <f t="shared" si="7"/>
        <v>0</v>
      </c>
      <c r="AK57" s="131">
        <f t="shared" si="8"/>
        <v>0</v>
      </c>
      <c r="AL57" s="127">
        <f t="shared" si="9"/>
        <v>0</v>
      </c>
      <c r="AM57" s="140">
        <f t="shared" si="10"/>
        <v>0</v>
      </c>
      <c r="AN57" s="140">
        <f t="shared" si="11"/>
        <v>0</v>
      </c>
      <c r="AO57" s="140">
        <f t="shared" si="12"/>
        <v>0</v>
      </c>
      <c r="AP57" s="140">
        <f t="shared" si="13"/>
        <v>0</v>
      </c>
    </row>
    <row r="58" spans="2:4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AC58" s="131">
        <f t="shared" si="0"/>
        <v>0</v>
      </c>
      <c r="AD58" s="131">
        <f t="shared" si="1"/>
        <v>0</v>
      </c>
      <c r="AE58" s="131">
        <f t="shared" si="2"/>
        <v>0</v>
      </c>
      <c r="AF58" s="131">
        <f t="shared" si="3"/>
        <v>0</v>
      </c>
      <c r="AG58" s="140">
        <f t="shared" si="4"/>
        <v>0</v>
      </c>
      <c r="AH58" s="140">
        <f t="shared" si="5"/>
        <v>0</v>
      </c>
      <c r="AI58" s="140">
        <f t="shared" si="6"/>
        <v>0</v>
      </c>
      <c r="AJ58" s="131">
        <f t="shared" si="7"/>
        <v>0</v>
      </c>
      <c r="AK58" s="131">
        <f t="shared" si="8"/>
        <v>0</v>
      </c>
      <c r="AL58" s="127">
        <f t="shared" si="9"/>
        <v>0</v>
      </c>
      <c r="AM58" s="140">
        <f t="shared" si="10"/>
        <v>0</v>
      </c>
      <c r="AN58" s="140">
        <f t="shared" si="11"/>
        <v>0</v>
      </c>
      <c r="AO58" s="140">
        <f t="shared" si="12"/>
        <v>0</v>
      </c>
      <c r="AP58" s="140">
        <f t="shared" si="13"/>
        <v>0</v>
      </c>
    </row>
    <row r="59" spans="2:4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AC59" s="131">
        <f t="shared" si="0"/>
        <v>0</v>
      </c>
      <c r="AD59" s="131">
        <f t="shared" si="1"/>
        <v>0</v>
      </c>
      <c r="AE59" s="131">
        <f t="shared" si="2"/>
        <v>0</v>
      </c>
      <c r="AF59" s="131">
        <f t="shared" si="3"/>
        <v>0</v>
      </c>
      <c r="AG59" s="140">
        <f t="shared" si="4"/>
        <v>0</v>
      </c>
      <c r="AH59" s="140">
        <f t="shared" si="5"/>
        <v>0</v>
      </c>
      <c r="AI59" s="140">
        <f t="shared" si="6"/>
        <v>0</v>
      </c>
      <c r="AJ59" s="131">
        <f t="shared" si="7"/>
        <v>0</v>
      </c>
      <c r="AK59" s="131">
        <f t="shared" si="8"/>
        <v>0</v>
      </c>
      <c r="AL59" s="127">
        <f t="shared" si="9"/>
        <v>0</v>
      </c>
      <c r="AM59" s="140">
        <f t="shared" si="10"/>
        <v>0</v>
      </c>
      <c r="AN59" s="140">
        <f t="shared" si="11"/>
        <v>0</v>
      </c>
      <c r="AO59" s="140">
        <f t="shared" si="12"/>
        <v>0</v>
      </c>
      <c r="AP59" s="140">
        <f t="shared" si="13"/>
        <v>0</v>
      </c>
    </row>
    <row r="60" spans="2:4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AC60" s="131">
        <f t="shared" si="0"/>
        <v>0</v>
      </c>
      <c r="AD60" s="131">
        <f t="shared" si="1"/>
        <v>0</v>
      </c>
      <c r="AE60" s="131">
        <f t="shared" si="2"/>
        <v>0</v>
      </c>
      <c r="AF60" s="131">
        <f t="shared" si="3"/>
        <v>0</v>
      </c>
      <c r="AG60" s="140">
        <f t="shared" si="4"/>
        <v>0</v>
      </c>
      <c r="AH60" s="140">
        <f t="shared" si="5"/>
        <v>0</v>
      </c>
      <c r="AI60" s="140">
        <f t="shared" si="6"/>
        <v>0</v>
      </c>
      <c r="AJ60" s="131">
        <f t="shared" si="7"/>
        <v>0</v>
      </c>
      <c r="AK60" s="131">
        <f t="shared" si="8"/>
        <v>0</v>
      </c>
      <c r="AL60" s="127">
        <f t="shared" si="9"/>
        <v>0</v>
      </c>
      <c r="AM60" s="140">
        <f t="shared" si="10"/>
        <v>0</v>
      </c>
      <c r="AN60" s="140">
        <f t="shared" si="11"/>
        <v>0</v>
      </c>
      <c r="AO60" s="140">
        <f t="shared" si="12"/>
        <v>0</v>
      </c>
      <c r="AP60" s="140">
        <f t="shared" si="13"/>
        <v>0</v>
      </c>
    </row>
    <row r="61" spans="2:4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AC61" s="131">
        <f t="shared" si="0"/>
        <v>0</v>
      </c>
      <c r="AD61" s="131">
        <f t="shared" si="1"/>
        <v>0</v>
      </c>
      <c r="AE61" s="131">
        <f t="shared" si="2"/>
        <v>0</v>
      </c>
      <c r="AF61" s="131">
        <f t="shared" si="3"/>
        <v>0</v>
      </c>
      <c r="AG61" s="140">
        <f t="shared" si="4"/>
        <v>0</v>
      </c>
      <c r="AH61" s="140">
        <f t="shared" si="5"/>
        <v>0</v>
      </c>
      <c r="AI61" s="140">
        <f t="shared" si="6"/>
        <v>0</v>
      </c>
      <c r="AJ61" s="131">
        <f t="shared" si="7"/>
        <v>0</v>
      </c>
      <c r="AK61" s="131">
        <f t="shared" si="8"/>
        <v>0</v>
      </c>
      <c r="AL61" s="127">
        <f t="shared" si="9"/>
        <v>0</v>
      </c>
      <c r="AM61" s="140">
        <f t="shared" si="10"/>
        <v>0</v>
      </c>
      <c r="AN61" s="140">
        <f t="shared" si="11"/>
        <v>0</v>
      </c>
      <c r="AO61" s="140">
        <f t="shared" si="12"/>
        <v>0</v>
      </c>
      <c r="AP61" s="140">
        <f t="shared" si="13"/>
        <v>0</v>
      </c>
    </row>
    <row r="62" spans="2:4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AC62" s="131">
        <f t="shared" si="0"/>
        <v>0</v>
      </c>
      <c r="AD62" s="131">
        <f t="shared" si="1"/>
        <v>0</v>
      </c>
      <c r="AE62" s="131">
        <f t="shared" si="2"/>
        <v>0</v>
      </c>
      <c r="AF62" s="131">
        <f t="shared" si="3"/>
        <v>0</v>
      </c>
      <c r="AG62" s="140">
        <f t="shared" si="4"/>
        <v>0</v>
      </c>
      <c r="AH62" s="140">
        <f t="shared" si="5"/>
        <v>0</v>
      </c>
      <c r="AI62" s="140">
        <f t="shared" si="6"/>
        <v>0</v>
      </c>
      <c r="AJ62" s="131">
        <f t="shared" si="7"/>
        <v>0</v>
      </c>
      <c r="AK62" s="131">
        <f t="shared" si="8"/>
        <v>0</v>
      </c>
      <c r="AL62" s="127">
        <f t="shared" si="9"/>
        <v>0</v>
      </c>
      <c r="AM62" s="140">
        <f t="shared" si="10"/>
        <v>0</v>
      </c>
      <c r="AN62" s="140">
        <f t="shared" si="11"/>
        <v>0</v>
      </c>
      <c r="AO62" s="140">
        <f t="shared" si="12"/>
        <v>0</v>
      </c>
      <c r="AP62" s="140">
        <f t="shared" si="13"/>
        <v>0</v>
      </c>
    </row>
    <row r="63" spans="2:4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AC63" s="131">
        <f t="shared" si="0"/>
        <v>0</v>
      </c>
      <c r="AD63" s="131">
        <f t="shared" si="1"/>
        <v>0</v>
      </c>
      <c r="AE63" s="131">
        <f t="shared" si="2"/>
        <v>0</v>
      </c>
      <c r="AF63" s="131">
        <f t="shared" si="3"/>
        <v>0</v>
      </c>
      <c r="AG63" s="140">
        <f t="shared" si="4"/>
        <v>0</v>
      </c>
      <c r="AH63" s="140">
        <f t="shared" si="5"/>
        <v>0</v>
      </c>
      <c r="AI63" s="140">
        <f t="shared" si="6"/>
        <v>0</v>
      </c>
      <c r="AJ63" s="131">
        <f t="shared" si="7"/>
        <v>0</v>
      </c>
      <c r="AK63" s="131">
        <f t="shared" si="8"/>
        <v>0</v>
      </c>
      <c r="AL63" s="127">
        <f t="shared" si="9"/>
        <v>0</v>
      </c>
      <c r="AM63" s="140">
        <f t="shared" si="10"/>
        <v>0</v>
      </c>
      <c r="AN63" s="140">
        <f t="shared" si="11"/>
        <v>0</v>
      </c>
      <c r="AO63" s="140">
        <f t="shared" si="12"/>
        <v>0</v>
      </c>
      <c r="AP63" s="140">
        <f t="shared" si="13"/>
        <v>0</v>
      </c>
    </row>
    <row r="64" spans="2:4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AC64" s="131">
        <f t="shared" si="0"/>
        <v>0</v>
      </c>
      <c r="AD64" s="131">
        <f t="shared" si="1"/>
        <v>0</v>
      </c>
      <c r="AE64" s="131">
        <f t="shared" si="2"/>
        <v>0</v>
      </c>
      <c r="AF64" s="131">
        <f t="shared" si="3"/>
        <v>0</v>
      </c>
      <c r="AG64" s="140">
        <f t="shared" si="4"/>
        <v>0</v>
      </c>
      <c r="AH64" s="140">
        <f t="shared" si="5"/>
        <v>0</v>
      </c>
      <c r="AI64" s="140">
        <f t="shared" si="6"/>
        <v>0</v>
      </c>
      <c r="AJ64" s="131">
        <f t="shared" si="7"/>
        <v>0</v>
      </c>
      <c r="AK64" s="131">
        <f t="shared" si="8"/>
        <v>0</v>
      </c>
      <c r="AL64" s="127">
        <f t="shared" si="9"/>
        <v>0</v>
      </c>
      <c r="AM64" s="140">
        <f t="shared" si="10"/>
        <v>0</v>
      </c>
      <c r="AN64" s="140">
        <f t="shared" si="11"/>
        <v>0</v>
      </c>
      <c r="AO64" s="140">
        <f t="shared" si="12"/>
        <v>0</v>
      </c>
      <c r="AP64" s="140">
        <f t="shared" si="13"/>
        <v>0</v>
      </c>
    </row>
    <row r="65" spans="2:4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AC65" s="131">
        <f t="shared" si="0"/>
        <v>0</v>
      </c>
      <c r="AD65" s="131">
        <f t="shared" si="1"/>
        <v>0</v>
      </c>
      <c r="AE65" s="131">
        <f t="shared" si="2"/>
        <v>0</v>
      </c>
      <c r="AF65" s="131">
        <f t="shared" si="3"/>
        <v>0</v>
      </c>
      <c r="AG65" s="140">
        <f t="shared" si="4"/>
        <v>0</v>
      </c>
      <c r="AH65" s="140">
        <f t="shared" si="5"/>
        <v>0</v>
      </c>
      <c r="AI65" s="140">
        <f t="shared" si="6"/>
        <v>0</v>
      </c>
      <c r="AJ65" s="131">
        <f t="shared" si="7"/>
        <v>0</v>
      </c>
      <c r="AK65" s="131">
        <f t="shared" si="8"/>
        <v>0</v>
      </c>
      <c r="AL65" s="127">
        <f t="shared" si="9"/>
        <v>0</v>
      </c>
      <c r="AM65" s="140">
        <f t="shared" si="10"/>
        <v>0</v>
      </c>
      <c r="AN65" s="140">
        <f t="shared" si="11"/>
        <v>0</v>
      </c>
      <c r="AO65" s="140">
        <f t="shared" si="12"/>
        <v>0</v>
      </c>
      <c r="AP65" s="140">
        <f t="shared" si="13"/>
        <v>0</v>
      </c>
    </row>
    <row r="66" spans="2:4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AC66" s="131">
        <f t="shared" si="0"/>
        <v>0</v>
      </c>
      <c r="AD66" s="131">
        <f t="shared" si="1"/>
        <v>0</v>
      </c>
      <c r="AE66" s="131">
        <f t="shared" si="2"/>
        <v>0</v>
      </c>
      <c r="AF66" s="131">
        <f t="shared" si="3"/>
        <v>0</v>
      </c>
      <c r="AG66" s="140">
        <f t="shared" si="4"/>
        <v>0</v>
      </c>
      <c r="AH66" s="140">
        <f t="shared" si="5"/>
        <v>0</v>
      </c>
      <c r="AI66" s="140">
        <f t="shared" si="6"/>
        <v>0</v>
      </c>
      <c r="AJ66" s="131">
        <f t="shared" si="7"/>
        <v>0</v>
      </c>
      <c r="AK66" s="131">
        <f t="shared" si="8"/>
        <v>0</v>
      </c>
      <c r="AL66" s="127">
        <f t="shared" si="9"/>
        <v>0</v>
      </c>
      <c r="AM66" s="140">
        <f t="shared" si="10"/>
        <v>0</v>
      </c>
      <c r="AN66" s="140">
        <f t="shared" si="11"/>
        <v>0</v>
      </c>
      <c r="AO66" s="140">
        <f t="shared" si="12"/>
        <v>0</v>
      </c>
      <c r="AP66" s="140">
        <f t="shared" si="13"/>
        <v>0</v>
      </c>
    </row>
    <row r="67" spans="2:4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AC67" s="131">
        <f t="shared" ref="AC67:AC130" si="14">+H67</f>
        <v>0</v>
      </c>
      <c r="AD67" s="131">
        <f t="shared" ref="AD67:AD130" si="15">+I67</f>
        <v>0</v>
      </c>
      <c r="AE67" s="131">
        <f t="shared" ref="AE67:AE130" si="16">+J67</f>
        <v>0</v>
      </c>
      <c r="AF67" s="131">
        <f t="shared" ref="AF67:AF130" si="17">+K67</f>
        <v>0</v>
      </c>
      <c r="AG67" s="140">
        <f t="shared" ref="AG67:AG130" si="18">+G67</f>
        <v>0</v>
      </c>
      <c r="AH67" s="140">
        <f t="shared" ref="AH67:AH130" si="19">+L67</f>
        <v>0</v>
      </c>
      <c r="AI67" s="140">
        <f t="shared" ref="AI67:AI130" si="20">+M67</f>
        <v>0</v>
      </c>
      <c r="AJ67" s="131">
        <f t="shared" ref="AJ67:AJ130" si="21">+T67</f>
        <v>0</v>
      </c>
      <c r="AK67" s="131">
        <f t="shared" ref="AK67:AK130" si="22">+N67+O67</f>
        <v>0</v>
      </c>
      <c r="AL67" s="127">
        <f t="shared" ref="AL67:AL130" si="23">ROUND(IFERROR(+AK67/AH67*100,0),2)</f>
        <v>0</v>
      </c>
      <c r="AM67" s="140">
        <f t="shared" ref="AM67:AM130" si="24">+P67+R67</f>
        <v>0</v>
      </c>
      <c r="AN67" s="140">
        <f t="shared" ref="AN67:AN130" si="25">+Q67+S67</f>
        <v>0</v>
      </c>
      <c r="AO67" s="140">
        <f t="shared" ref="AO67:AO130" si="26">+U67</f>
        <v>0</v>
      </c>
      <c r="AP67" s="140">
        <f t="shared" ref="AP67:AP130" si="27">+AG67+AH67+AJ67-AK67-AM67-AO67</f>
        <v>0</v>
      </c>
    </row>
    <row r="68" spans="2:4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AC68" s="131">
        <f t="shared" si="14"/>
        <v>0</v>
      </c>
      <c r="AD68" s="131">
        <f t="shared" si="15"/>
        <v>0</v>
      </c>
      <c r="AE68" s="131">
        <f t="shared" si="16"/>
        <v>0</v>
      </c>
      <c r="AF68" s="131">
        <f t="shared" si="17"/>
        <v>0</v>
      </c>
      <c r="AG68" s="140">
        <f t="shared" si="18"/>
        <v>0</v>
      </c>
      <c r="AH68" s="140">
        <f t="shared" si="19"/>
        <v>0</v>
      </c>
      <c r="AI68" s="140">
        <f t="shared" si="20"/>
        <v>0</v>
      </c>
      <c r="AJ68" s="131">
        <f t="shared" si="21"/>
        <v>0</v>
      </c>
      <c r="AK68" s="131">
        <f t="shared" si="22"/>
        <v>0</v>
      </c>
      <c r="AL68" s="127">
        <f t="shared" si="23"/>
        <v>0</v>
      </c>
      <c r="AM68" s="140">
        <f t="shared" si="24"/>
        <v>0</v>
      </c>
      <c r="AN68" s="140">
        <f t="shared" si="25"/>
        <v>0</v>
      </c>
      <c r="AO68" s="140">
        <f t="shared" si="26"/>
        <v>0</v>
      </c>
      <c r="AP68" s="140">
        <f t="shared" si="27"/>
        <v>0</v>
      </c>
    </row>
    <row r="69" spans="2:4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AC69" s="131">
        <f t="shared" si="14"/>
        <v>0</v>
      </c>
      <c r="AD69" s="131">
        <f t="shared" si="15"/>
        <v>0</v>
      </c>
      <c r="AE69" s="131">
        <f t="shared" si="16"/>
        <v>0</v>
      </c>
      <c r="AF69" s="131">
        <f t="shared" si="17"/>
        <v>0</v>
      </c>
      <c r="AG69" s="140">
        <f t="shared" si="18"/>
        <v>0</v>
      </c>
      <c r="AH69" s="140">
        <f t="shared" si="19"/>
        <v>0</v>
      </c>
      <c r="AI69" s="140">
        <f t="shared" si="20"/>
        <v>0</v>
      </c>
      <c r="AJ69" s="131">
        <f t="shared" si="21"/>
        <v>0</v>
      </c>
      <c r="AK69" s="131">
        <f t="shared" si="22"/>
        <v>0</v>
      </c>
      <c r="AL69" s="127">
        <f t="shared" si="23"/>
        <v>0</v>
      </c>
      <c r="AM69" s="140">
        <f t="shared" si="24"/>
        <v>0</v>
      </c>
      <c r="AN69" s="140">
        <f t="shared" si="25"/>
        <v>0</v>
      </c>
      <c r="AO69" s="140">
        <f t="shared" si="26"/>
        <v>0</v>
      </c>
      <c r="AP69" s="140">
        <f t="shared" si="27"/>
        <v>0</v>
      </c>
    </row>
    <row r="70" spans="2:4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AC70" s="131">
        <f t="shared" si="14"/>
        <v>0</v>
      </c>
      <c r="AD70" s="131">
        <f t="shared" si="15"/>
        <v>0</v>
      </c>
      <c r="AE70" s="131">
        <f t="shared" si="16"/>
        <v>0</v>
      </c>
      <c r="AF70" s="131">
        <f t="shared" si="17"/>
        <v>0</v>
      </c>
      <c r="AG70" s="140">
        <f t="shared" si="18"/>
        <v>0</v>
      </c>
      <c r="AH70" s="140">
        <f t="shared" si="19"/>
        <v>0</v>
      </c>
      <c r="AI70" s="140">
        <f t="shared" si="20"/>
        <v>0</v>
      </c>
      <c r="AJ70" s="131">
        <f t="shared" si="21"/>
        <v>0</v>
      </c>
      <c r="AK70" s="131">
        <f t="shared" si="22"/>
        <v>0</v>
      </c>
      <c r="AL70" s="127">
        <f t="shared" si="23"/>
        <v>0</v>
      </c>
      <c r="AM70" s="140">
        <f t="shared" si="24"/>
        <v>0</v>
      </c>
      <c r="AN70" s="140">
        <f t="shared" si="25"/>
        <v>0</v>
      </c>
      <c r="AO70" s="140">
        <f t="shared" si="26"/>
        <v>0</v>
      </c>
      <c r="AP70" s="140">
        <f t="shared" si="27"/>
        <v>0</v>
      </c>
    </row>
    <row r="71" spans="2:4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AC71" s="131">
        <f t="shared" si="14"/>
        <v>0</v>
      </c>
      <c r="AD71" s="131">
        <f t="shared" si="15"/>
        <v>0</v>
      </c>
      <c r="AE71" s="131">
        <f t="shared" si="16"/>
        <v>0</v>
      </c>
      <c r="AF71" s="131">
        <f t="shared" si="17"/>
        <v>0</v>
      </c>
      <c r="AG71" s="140">
        <f t="shared" si="18"/>
        <v>0</v>
      </c>
      <c r="AH71" s="140">
        <f t="shared" si="19"/>
        <v>0</v>
      </c>
      <c r="AI71" s="140">
        <f t="shared" si="20"/>
        <v>0</v>
      </c>
      <c r="AJ71" s="131">
        <f t="shared" si="21"/>
        <v>0</v>
      </c>
      <c r="AK71" s="131">
        <f t="shared" si="22"/>
        <v>0</v>
      </c>
      <c r="AL71" s="127">
        <f t="shared" si="23"/>
        <v>0</v>
      </c>
      <c r="AM71" s="140">
        <f t="shared" si="24"/>
        <v>0</v>
      </c>
      <c r="AN71" s="140">
        <f t="shared" si="25"/>
        <v>0</v>
      </c>
      <c r="AO71" s="140">
        <f t="shared" si="26"/>
        <v>0</v>
      </c>
      <c r="AP71" s="140">
        <f t="shared" si="27"/>
        <v>0</v>
      </c>
    </row>
    <row r="72" spans="2:4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AC72" s="131">
        <f t="shared" si="14"/>
        <v>0</v>
      </c>
      <c r="AD72" s="131">
        <f t="shared" si="15"/>
        <v>0</v>
      </c>
      <c r="AE72" s="131">
        <f t="shared" si="16"/>
        <v>0</v>
      </c>
      <c r="AF72" s="131">
        <f t="shared" si="17"/>
        <v>0</v>
      </c>
      <c r="AG72" s="140">
        <f t="shared" si="18"/>
        <v>0</v>
      </c>
      <c r="AH72" s="140">
        <f t="shared" si="19"/>
        <v>0</v>
      </c>
      <c r="AI72" s="140">
        <f t="shared" si="20"/>
        <v>0</v>
      </c>
      <c r="AJ72" s="131">
        <f t="shared" si="21"/>
        <v>0</v>
      </c>
      <c r="AK72" s="131">
        <f t="shared" si="22"/>
        <v>0</v>
      </c>
      <c r="AL72" s="127">
        <f t="shared" si="23"/>
        <v>0</v>
      </c>
      <c r="AM72" s="140">
        <f t="shared" si="24"/>
        <v>0</v>
      </c>
      <c r="AN72" s="140">
        <f t="shared" si="25"/>
        <v>0</v>
      </c>
      <c r="AO72" s="140">
        <f t="shared" si="26"/>
        <v>0</v>
      </c>
      <c r="AP72" s="140">
        <f t="shared" si="27"/>
        <v>0</v>
      </c>
    </row>
    <row r="73" spans="2:4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AC73" s="131">
        <f t="shared" si="14"/>
        <v>0</v>
      </c>
      <c r="AD73" s="131">
        <f t="shared" si="15"/>
        <v>0</v>
      </c>
      <c r="AE73" s="131">
        <f t="shared" si="16"/>
        <v>0</v>
      </c>
      <c r="AF73" s="131">
        <f t="shared" si="17"/>
        <v>0</v>
      </c>
      <c r="AG73" s="140">
        <f t="shared" si="18"/>
        <v>0</v>
      </c>
      <c r="AH73" s="140">
        <f t="shared" si="19"/>
        <v>0</v>
      </c>
      <c r="AI73" s="140">
        <f t="shared" si="20"/>
        <v>0</v>
      </c>
      <c r="AJ73" s="131">
        <f t="shared" si="21"/>
        <v>0</v>
      </c>
      <c r="AK73" s="131">
        <f t="shared" si="22"/>
        <v>0</v>
      </c>
      <c r="AL73" s="127">
        <f t="shared" si="23"/>
        <v>0</v>
      </c>
      <c r="AM73" s="140">
        <f t="shared" si="24"/>
        <v>0</v>
      </c>
      <c r="AN73" s="140">
        <f t="shared" si="25"/>
        <v>0</v>
      </c>
      <c r="AO73" s="140">
        <f t="shared" si="26"/>
        <v>0</v>
      </c>
      <c r="AP73" s="140">
        <f t="shared" si="27"/>
        <v>0</v>
      </c>
    </row>
    <row r="74" spans="2:4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AC74" s="131">
        <f t="shared" si="14"/>
        <v>0</v>
      </c>
      <c r="AD74" s="131">
        <f t="shared" si="15"/>
        <v>0</v>
      </c>
      <c r="AE74" s="131">
        <f t="shared" si="16"/>
        <v>0</v>
      </c>
      <c r="AF74" s="131">
        <f t="shared" si="17"/>
        <v>0</v>
      </c>
      <c r="AG74" s="140">
        <f t="shared" si="18"/>
        <v>0</v>
      </c>
      <c r="AH74" s="140">
        <f t="shared" si="19"/>
        <v>0</v>
      </c>
      <c r="AI74" s="140">
        <f t="shared" si="20"/>
        <v>0</v>
      </c>
      <c r="AJ74" s="131">
        <f t="shared" si="21"/>
        <v>0</v>
      </c>
      <c r="AK74" s="131">
        <f t="shared" si="22"/>
        <v>0</v>
      </c>
      <c r="AL74" s="127">
        <f t="shared" si="23"/>
        <v>0</v>
      </c>
      <c r="AM74" s="140">
        <f t="shared" si="24"/>
        <v>0</v>
      </c>
      <c r="AN74" s="140">
        <f t="shared" si="25"/>
        <v>0</v>
      </c>
      <c r="AO74" s="140">
        <f t="shared" si="26"/>
        <v>0</v>
      </c>
      <c r="AP74" s="140">
        <f t="shared" si="27"/>
        <v>0</v>
      </c>
    </row>
    <row r="75" spans="2:4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AC75" s="131">
        <f t="shared" si="14"/>
        <v>0</v>
      </c>
      <c r="AD75" s="131">
        <f t="shared" si="15"/>
        <v>0</v>
      </c>
      <c r="AE75" s="131">
        <f t="shared" si="16"/>
        <v>0</v>
      </c>
      <c r="AF75" s="131">
        <f t="shared" si="17"/>
        <v>0</v>
      </c>
      <c r="AG75" s="140">
        <f t="shared" si="18"/>
        <v>0</v>
      </c>
      <c r="AH75" s="140">
        <f t="shared" si="19"/>
        <v>0</v>
      </c>
      <c r="AI75" s="140">
        <f t="shared" si="20"/>
        <v>0</v>
      </c>
      <c r="AJ75" s="131">
        <f t="shared" si="21"/>
        <v>0</v>
      </c>
      <c r="AK75" s="131">
        <f t="shared" si="22"/>
        <v>0</v>
      </c>
      <c r="AL75" s="127">
        <f t="shared" si="23"/>
        <v>0</v>
      </c>
      <c r="AM75" s="140">
        <f t="shared" si="24"/>
        <v>0</v>
      </c>
      <c r="AN75" s="140">
        <f t="shared" si="25"/>
        <v>0</v>
      </c>
      <c r="AO75" s="140">
        <f t="shared" si="26"/>
        <v>0</v>
      </c>
      <c r="AP75" s="140">
        <f t="shared" si="27"/>
        <v>0</v>
      </c>
    </row>
    <row r="76" spans="2:4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AC76" s="131">
        <f t="shared" si="14"/>
        <v>0</v>
      </c>
      <c r="AD76" s="131">
        <f t="shared" si="15"/>
        <v>0</v>
      </c>
      <c r="AE76" s="131">
        <f t="shared" si="16"/>
        <v>0</v>
      </c>
      <c r="AF76" s="131">
        <f t="shared" si="17"/>
        <v>0</v>
      </c>
      <c r="AG76" s="140">
        <f t="shared" si="18"/>
        <v>0</v>
      </c>
      <c r="AH76" s="140">
        <f t="shared" si="19"/>
        <v>0</v>
      </c>
      <c r="AI76" s="140">
        <f t="shared" si="20"/>
        <v>0</v>
      </c>
      <c r="AJ76" s="131">
        <f t="shared" si="21"/>
        <v>0</v>
      </c>
      <c r="AK76" s="131">
        <f t="shared" si="22"/>
        <v>0</v>
      </c>
      <c r="AL76" s="127">
        <f t="shared" si="23"/>
        <v>0</v>
      </c>
      <c r="AM76" s="140">
        <f t="shared" si="24"/>
        <v>0</v>
      </c>
      <c r="AN76" s="140">
        <f t="shared" si="25"/>
        <v>0</v>
      </c>
      <c r="AO76" s="140">
        <f t="shared" si="26"/>
        <v>0</v>
      </c>
      <c r="AP76" s="140">
        <f t="shared" si="27"/>
        <v>0</v>
      </c>
    </row>
    <row r="77" spans="2:4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AC77" s="131">
        <f t="shared" si="14"/>
        <v>0</v>
      </c>
      <c r="AD77" s="131">
        <f t="shared" si="15"/>
        <v>0</v>
      </c>
      <c r="AE77" s="131">
        <f t="shared" si="16"/>
        <v>0</v>
      </c>
      <c r="AF77" s="131">
        <f t="shared" si="17"/>
        <v>0</v>
      </c>
      <c r="AG77" s="140">
        <f t="shared" si="18"/>
        <v>0</v>
      </c>
      <c r="AH77" s="140">
        <f t="shared" si="19"/>
        <v>0</v>
      </c>
      <c r="AI77" s="140">
        <f t="shared" si="20"/>
        <v>0</v>
      </c>
      <c r="AJ77" s="131">
        <f t="shared" si="21"/>
        <v>0</v>
      </c>
      <c r="AK77" s="131">
        <f t="shared" si="22"/>
        <v>0</v>
      </c>
      <c r="AL77" s="127">
        <f t="shared" si="23"/>
        <v>0</v>
      </c>
      <c r="AM77" s="140">
        <f t="shared" si="24"/>
        <v>0</v>
      </c>
      <c r="AN77" s="140">
        <f t="shared" si="25"/>
        <v>0</v>
      </c>
      <c r="AO77" s="140">
        <f t="shared" si="26"/>
        <v>0</v>
      </c>
      <c r="AP77" s="140">
        <f t="shared" si="27"/>
        <v>0</v>
      </c>
    </row>
    <row r="78" spans="2:4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AC78" s="131">
        <f t="shared" si="14"/>
        <v>0</v>
      </c>
      <c r="AD78" s="131">
        <f t="shared" si="15"/>
        <v>0</v>
      </c>
      <c r="AE78" s="131">
        <f t="shared" si="16"/>
        <v>0</v>
      </c>
      <c r="AF78" s="131">
        <f t="shared" si="17"/>
        <v>0</v>
      </c>
      <c r="AG78" s="140">
        <f t="shared" si="18"/>
        <v>0</v>
      </c>
      <c r="AH78" s="140">
        <f t="shared" si="19"/>
        <v>0</v>
      </c>
      <c r="AI78" s="140">
        <f t="shared" si="20"/>
        <v>0</v>
      </c>
      <c r="AJ78" s="131">
        <f t="shared" si="21"/>
        <v>0</v>
      </c>
      <c r="AK78" s="131">
        <f t="shared" si="22"/>
        <v>0</v>
      </c>
      <c r="AL78" s="127">
        <f t="shared" si="23"/>
        <v>0</v>
      </c>
      <c r="AM78" s="140">
        <f t="shared" si="24"/>
        <v>0</v>
      </c>
      <c r="AN78" s="140">
        <f t="shared" si="25"/>
        <v>0</v>
      </c>
      <c r="AO78" s="140">
        <f t="shared" si="26"/>
        <v>0</v>
      </c>
      <c r="AP78" s="140">
        <f t="shared" si="27"/>
        <v>0</v>
      </c>
    </row>
    <row r="79" spans="2:4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AC79" s="131">
        <f t="shared" si="14"/>
        <v>0</v>
      </c>
      <c r="AD79" s="131">
        <f t="shared" si="15"/>
        <v>0</v>
      </c>
      <c r="AE79" s="131">
        <f t="shared" si="16"/>
        <v>0</v>
      </c>
      <c r="AF79" s="131">
        <f t="shared" si="17"/>
        <v>0</v>
      </c>
      <c r="AG79" s="140">
        <f t="shared" si="18"/>
        <v>0</v>
      </c>
      <c r="AH79" s="140">
        <f t="shared" si="19"/>
        <v>0</v>
      </c>
      <c r="AI79" s="140">
        <f t="shared" si="20"/>
        <v>0</v>
      </c>
      <c r="AJ79" s="131">
        <f t="shared" si="21"/>
        <v>0</v>
      </c>
      <c r="AK79" s="131">
        <f t="shared" si="22"/>
        <v>0</v>
      </c>
      <c r="AL79" s="127">
        <f t="shared" si="23"/>
        <v>0</v>
      </c>
      <c r="AM79" s="140">
        <f t="shared" si="24"/>
        <v>0</v>
      </c>
      <c r="AN79" s="140">
        <f t="shared" si="25"/>
        <v>0</v>
      </c>
      <c r="AO79" s="140">
        <f t="shared" si="26"/>
        <v>0</v>
      </c>
      <c r="AP79" s="140">
        <f t="shared" si="27"/>
        <v>0</v>
      </c>
    </row>
    <row r="80" spans="2:4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AC80" s="131">
        <f t="shared" si="14"/>
        <v>0</v>
      </c>
      <c r="AD80" s="131">
        <f t="shared" si="15"/>
        <v>0</v>
      </c>
      <c r="AE80" s="131">
        <f t="shared" si="16"/>
        <v>0</v>
      </c>
      <c r="AF80" s="131">
        <f t="shared" si="17"/>
        <v>0</v>
      </c>
      <c r="AG80" s="140">
        <f t="shared" si="18"/>
        <v>0</v>
      </c>
      <c r="AH80" s="140">
        <f t="shared" si="19"/>
        <v>0</v>
      </c>
      <c r="AI80" s="140">
        <f t="shared" si="20"/>
        <v>0</v>
      </c>
      <c r="AJ80" s="131">
        <f t="shared" si="21"/>
        <v>0</v>
      </c>
      <c r="AK80" s="131">
        <f t="shared" si="22"/>
        <v>0</v>
      </c>
      <c r="AL80" s="127">
        <f t="shared" si="23"/>
        <v>0</v>
      </c>
      <c r="AM80" s="140">
        <f t="shared" si="24"/>
        <v>0</v>
      </c>
      <c r="AN80" s="140">
        <f t="shared" si="25"/>
        <v>0</v>
      </c>
      <c r="AO80" s="140">
        <f t="shared" si="26"/>
        <v>0</v>
      </c>
      <c r="AP80" s="140">
        <f t="shared" si="27"/>
        <v>0</v>
      </c>
    </row>
    <row r="81" spans="2:4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AC81" s="131">
        <f t="shared" si="14"/>
        <v>0</v>
      </c>
      <c r="AD81" s="131">
        <f t="shared" si="15"/>
        <v>0</v>
      </c>
      <c r="AE81" s="131">
        <f t="shared" si="16"/>
        <v>0</v>
      </c>
      <c r="AF81" s="131">
        <f t="shared" si="17"/>
        <v>0</v>
      </c>
      <c r="AG81" s="140">
        <f t="shared" si="18"/>
        <v>0</v>
      </c>
      <c r="AH81" s="140">
        <f t="shared" si="19"/>
        <v>0</v>
      </c>
      <c r="AI81" s="140">
        <f t="shared" si="20"/>
        <v>0</v>
      </c>
      <c r="AJ81" s="131">
        <f t="shared" si="21"/>
        <v>0</v>
      </c>
      <c r="AK81" s="131">
        <f t="shared" si="22"/>
        <v>0</v>
      </c>
      <c r="AL81" s="127">
        <f t="shared" si="23"/>
        <v>0</v>
      </c>
      <c r="AM81" s="140">
        <f t="shared" si="24"/>
        <v>0</v>
      </c>
      <c r="AN81" s="140">
        <f t="shared" si="25"/>
        <v>0</v>
      </c>
      <c r="AO81" s="140">
        <f t="shared" si="26"/>
        <v>0</v>
      </c>
      <c r="AP81" s="140">
        <f t="shared" si="27"/>
        <v>0</v>
      </c>
    </row>
    <row r="82" spans="2:4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AC82" s="131">
        <f t="shared" si="14"/>
        <v>0</v>
      </c>
      <c r="AD82" s="131">
        <f t="shared" si="15"/>
        <v>0</v>
      </c>
      <c r="AE82" s="131">
        <f t="shared" si="16"/>
        <v>0</v>
      </c>
      <c r="AF82" s="131">
        <f t="shared" si="17"/>
        <v>0</v>
      </c>
      <c r="AG82" s="140">
        <f t="shared" si="18"/>
        <v>0</v>
      </c>
      <c r="AH82" s="140">
        <f t="shared" si="19"/>
        <v>0</v>
      </c>
      <c r="AI82" s="140">
        <f t="shared" si="20"/>
        <v>0</v>
      </c>
      <c r="AJ82" s="131">
        <f t="shared" si="21"/>
        <v>0</v>
      </c>
      <c r="AK82" s="131">
        <f t="shared" si="22"/>
        <v>0</v>
      </c>
      <c r="AL82" s="127">
        <f t="shared" si="23"/>
        <v>0</v>
      </c>
      <c r="AM82" s="140">
        <f t="shared" si="24"/>
        <v>0</v>
      </c>
      <c r="AN82" s="140">
        <f t="shared" si="25"/>
        <v>0</v>
      </c>
      <c r="AO82" s="140">
        <f t="shared" si="26"/>
        <v>0</v>
      </c>
      <c r="AP82" s="140">
        <f t="shared" si="27"/>
        <v>0</v>
      </c>
    </row>
    <row r="83" spans="2:42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AC83" s="131">
        <f t="shared" si="14"/>
        <v>0</v>
      </c>
      <c r="AD83" s="131">
        <f t="shared" si="15"/>
        <v>0</v>
      </c>
      <c r="AE83" s="131">
        <f t="shared" si="16"/>
        <v>0</v>
      </c>
      <c r="AF83" s="131">
        <f t="shared" si="17"/>
        <v>0</v>
      </c>
      <c r="AG83" s="140">
        <f t="shared" si="18"/>
        <v>0</v>
      </c>
      <c r="AH83" s="140">
        <f t="shared" si="19"/>
        <v>0</v>
      </c>
      <c r="AI83" s="140">
        <f t="shared" si="20"/>
        <v>0</v>
      </c>
      <c r="AJ83" s="131">
        <f t="shared" si="21"/>
        <v>0</v>
      </c>
      <c r="AK83" s="131">
        <f t="shared" si="22"/>
        <v>0</v>
      </c>
      <c r="AL83" s="127">
        <f t="shared" si="23"/>
        <v>0</v>
      </c>
      <c r="AM83" s="140">
        <f t="shared" si="24"/>
        <v>0</v>
      </c>
      <c r="AN83" s="140">
        <f t="shared" si="25"/>
        <v>0</v>
      </c>
      <c r="AO83" s="140">
        <f t="shared" si="26"/>
        <v>0</v>
      </c>
      <c r="AP83" s="140">
        <f t="shared" si="27"/>
        <v>0</v>
      </c>
    </row>
    <row r="84" spans="2:42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AC84" s="131">
        <f t="shared" si="14"/>
        <v>0</v>
      </c>
      <c r="AD84" s="131">
        <f t="shared" si="15"/>
        <v>0</v>
      </c>
      <c r="AE84" s="131">
        <f t="shared" si="16"/>
        <v>0</v>
      </c>
      <c r="AF84" s="131">
        <f t="shared" si="17"/>
        <v>0</v>
      </c>
      <c r="AG84" s="140">
        <f t="shared" si="18"/>
        <v>0</v>
      </c>
      <c r="AH84" s="140">
        <f t="shared" si="19"/>
        <v>0</v>
      </c>
      <c r="AI84" s="140">
        <f t="shared" si="20"/>
        <v>0</v>
      </c>
      <c r="AJ84" s="131">
        <f t="shared" si="21"/>
        <v>0</v>
      </c>
      <c r="AK84" s="131">
        <f t="shared" si="22"/>
        <v>0</v>
      </c>
      <c r="AL84" s="127">
        <f t="shared" si="23"/>
        <v>0</v>
      </c>
      <c r="AM84" s="140">
        <f t="shared" si="24"/>
        <v>0</v>
      </c>
      <c r="AN84" s="140">
        <f t="shared" si="25"/>
        <v>0</v>
      </c>
      <c r="AO84" s="140">
        <f t="shared" si="26"/>
        <v>0</v>
      </c>
      <c r="AP84" s="140">
        <f t="shared" si="27"/>
        <v>0</v>
      </c>
    </row>
    <row r="85" spans="2:42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AC85" s="131">
        <f t="shared" si="14"/>
        <v>0</v>
      </c>
      <c r="AD85" s="131">
        <f t="shared" si="15"/>
        <v>0</v>
      </c>
      <c r="AE85" s="131">
        <f t="shared" si="16"/>
        <v>0</v>
      </c>
      <c r="AF85" s="131">
        <f t="shared" si="17"/>
        <v>0</v>
      </c>
      <c r="AG85" s="140">
        <f t="shared" si="18"/>
        <v>0</v>
      </c>
      <c r="AH85" s="140">
        <f t="shared" si="19"/>
        <v>0</v>
      </c>
      <c r="AI85" s="140">
        <f t="shared" si="20"/>
        <v>0</v>
      </c>
      <c r="AJ85" s="131">
        <f t="shared" si="21"/>
        <v>0</v>
      </c>
      <c r="AK85" s="131">
        <f t="shared" si="22"/>
        <v>0</v>
      </c>
      <c r="AL85" s="127">
        <f t="shared" si="23"/>
        <v>0</v>
      </c>
      <c r="AM85" s="140">
        <f t="shared" si="24"/>
        <v>0</v>
      </c>
      <c r="AN85" s="140">
        <f t="shared" si="25"/>
        <v>0</v>
      </c>
      <c r="AO85" s="140">
        <f t="shared" si="26"/>
        <v>0</v>
      </c>
      <c r="AP85" s="140">
        <f t="shared" si="27"/>
        <v>0</v>
      </c>
    </row>
    <row r="86" spans="2:42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AC86" s="131">
        <f t="shared" si="14"/>
        <v>0</v>
      </c>
      <c r="AD86" s="131">
        <f t="shared" si="15"/>
        <v>0</v>
      </c>
      <c r="AE86" s="131">
        <f t="shared" si="16"/>
        <v>0</v>
      </c>
      <c r="AF86" s="131">
        <f t="shared" si="17"/>
        <v>0</v>
      </c>
      <c r="AG86" s="140">
        <f t="shared" si="18"/>
        <v>0</v>
      </c>
      <c r="AH86" s="140">
        <f t="shared" si="19"/>
        <v>0</v>
      </c>
      <c r="AI86" s="140">
        <f t="shared" si="20"/>
        <v>0</v>
      </c>
      <c r="AJ86" s="131">
        <f t="shared" si="21"/>
        <v>0</v>
      </c>
      <c r="AK86" s="131">
        <f t="shared" si="22"/>
        <v>0</v>
      </c>
      <c r="AL86" s="127">
        <f t="shared" si="23"/>
        <v>0</v>
      </c>
      <c r="AM86" s="140">
        <f t="shared" si="24"/>
        <v>0</v>
      </c>
      <c r="AN86" s="140">
        <f t="shared" si="25"/>
        <v>0</v>
      </c>
      <c r="AO86" s="140">
        <f t="shared" si="26"/>
        <v>0</v>
      </c>
      <c r="AP86" s="140">
        <f t="shared" si="27"/>
        <v>0</v>
      </c>
    </row>
    <row r="87" spans="2:42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AC87" s="131">
        <f t="shared" si="14"/>
        <v>0</v>
      </c>
      <c r="AD87" s="131">
        <f t="shared" si="15"/>
        <v>0</v>
      </c>
      <c r="AE87" s="131">
        <f t="shared" si="16"/>
        <v>0</v>
      </c>
      <c r="AF87" s="131">
        <f t="shared" si="17"/>
        <v>0</v>
      </c>
      <c r="AG87" s="140">
        <f t="shared" si="18"/>
        <v>0</v>
      </c>
      <c r="AH87" s="140">
        <f t="shared" si="19"/>
        <v>0</v>
      </c>
      <c r="AI87" s="140">
        <f t="shared" si="20"/>
        <v>0</v>
      </c>
      <c r="AJ87" s="131">
        <f t="shared" si="21"/>
        <v>0</v>
      </c>
      <c r="AK87" s="131">
        <f t="shared" si="22"/>
        <v>0</v>
      </c>
      <c r="AL87" s="127">
        <f t="shared" si="23"/>
        <v>0</v>
      </c>
      <c r="AM87" s="140">
        <f t="shared" si="24"/>
        <v>0</v>
      </c>
      <c r="AN87" s="140">
        <f t="shared" si="25"/>
        <v>0</v>
      </c>
      <c r="AO87" s="140">
        <f t="shared" si="26"/>
        <v>0</v>
      </c>
      <c r="AP87" s="140">
        <f t="shared" si="27"/>
        <v>0</v>
      </c>
    </row>
    <row r="88" spans="2:42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AC88" s="131">
        <f t="shared" si="14"/>
        <v>0</v>
      </c>
      <c r="AD88" s="131">
        <f t="shared" si="15"/>
        <v>0</v>
      </c>
      <c r="AE88" s="131">
        <f t="shared" si="16"/>
        <v>0</v>
      </c>
      <c r="AF88" s="131">
        <f t="shared" si="17"/>
        <v>0</v>
      </c>
      <c r="AG88" s="140">
        <f t="shared" si="18"/>
        <v>0</v>
      </c>
      <c r="AH88" s="140">
        <f t="shared" si="19"/>
        <v>0</v>
      </c>
      <c r="AI88" s="140">
        <f t="shared" si="20"/>
        <v>0</v>
      </c>
      <c r="AJ88" s="131">
        <f t="shared" si="21"/>
        <v>0</v>
      </c>
      <c r="AK88" s="131">
        <f t="shared" si="22"/>
        <v>0</v>
      </c>
      <c r="AL88" s="127">
        <f t="shared" si="23"/>
        <v>0</v>
      </c>
      <c r="AM88" s="140">
        <f t="shared" si="24"/>
        <v>0</v>
      </c>
      <c r="AN88" s="140">
        <f t="shared" si="25"/>
        <v>0</v>
      </c>
      <c r="AO88" s="140">
        <f t="shared" si="26"/>
        <v>0</v>
      </c>
      <c r="AP88" s="140">
        <f t="shared" si="27"/>
        <v>0</v>
      </c>
    </row>
    <row r="89" spans="2:42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AC89" s="131">
        <f t="shared" si="14"/>
        <v>0</v>
      </c>
      <c r="AD89" s="131">
        <f t="shared" si="15"/>
        <v>0</v>
      </c>
      <c r="AE89" s="131">
        <f t="shared" si="16"/>
        <v>0</v>
      </c>
      <c r="AF89" s="131">
        <f t="shared" si="17"/>
        <v>0</v>
      </c>
      <c r="AG89" s="140">
        <f t="shared" si="18"/>
        <v>0</v>
      </c>
      <c r="AH89" s="140">
        <f t="shared" si="19"/>
        <v>0</v>
      </c>
      <c r="AI89" s="140">
        <f t="shared" si="20"/>
        <v>0</v>
      </c>
      <c r="AJ89" s="131">
        <f t="shared" si="21"/>
        <v>0</v>
      </c>
      <c r="AK89" s="131">
        <f t="shared" si="22"/>
        <v>0</v>
      </c>
      <c r="AL89" s="127">
        <f t="shared" si="23"/>
        <v>0</v>
      </c>
      <c r="AM89" s="140">
        <f t="shared" si="24"/>
        <v>0</v>
      </c>
      <c r="AN89" s="140">
        <f t="shared" si="25"/>
        <v>0</v>
      </c>
      <c r="AO89" s="140">
        <f t="shared" si="26"/>
        <v>0</v>
      </c>
      <c r="AP89" s="140">
        <f t="shared" si="27"/>
        <v>0</v>
      </c>
    </row>
    <row r="90" spans="2:42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AC90" s="131">
        <f t="shared" si="14"/>
        <v>0</v>
      </c>
      <c r="AD90" s="131">
        <f t="shared" si="15"/>
        <v>0</v>
      </c>
      <c r="AE90" s="131">
        <f t="shared" si="16"/>
        <v>0</v>
      </c>
      <c r="AF90" s="131">
        <f t="shared" si="17"/>
        <v>0</v>
      </c>
      <c r="AG90" s="140">
        <f t="shared" si="18"/>
        <v>0</v>
      </c>
      <c r="AH90" s="140">
        <f t="shared" si="19"/>
        <v>0</v>
      </c>
      <c r="AI90" s="140">
        <f t="shared" si="20"/>
        <v>0</v>
      </c>
      <c r="AJ90" s="131">
        <f t="shared" si="21"/>
        <v>0</v>
      </c>
      <c r="AK90" s="131">
        <f t="shared" si="22"/>
        <v>0</v>
      </c>
      <c r="AL90" s="127">
        <f t="shared" si="23"/>
        <v>0</v>
      </c>
      <c r="AM90" s="140">
        <f t="shared" si="24"/>
        <v>0</v>
      </c>
      <c r="AN90" s="140">
        <f t="shared" si="25"/>
        <v>0</v>
      </c>
      <c r="AO90" s="140">
        <f t="shared" si="26"/>
        <v>0</v>
      </c>
      <c r="AP90" s="140">
        <f t="shared" si="27"/>
        <v>0</v>
      </c>
    </row>
    <row r="91" spans="2:42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AC91" s="131">
        <f t="shared" si="14"/>
        <v>0</v>
      </c>
      <c r="AD91" s="131">
        <f t="shared" si="15"/>
        <v>0</v>
      </c>
      <c r="AE91" s="131">
        <f t="shared" si="16"/>
        <v>0</v>
      </c>
      <c r="AF91" s="131">
        <f t="shared" si="17"/>
        <v>0</v>
      </c>
      <c r="AG91" s="140">
        <f t="shared" si="18"/>
        <v>0</v>
      </c>
      <c r="AH91" s="140">
        <f t="shared" si="19"/>
        <v>0</v>
      </c>
      <c r="AI91" s="140">
        <f t="shared" si="20"/>
        <v>0</v>
      </c>
      <c r="AJ91" s="131">
        <f t="shared" si="21"/>
        <v>0</v>
      </c>
      <c r="AK91" s="131">
        <f t="shared" si="22"/>
        <v>0</v>
      </c>
      <c r="AL91" s="127">
        <f t="shared" si="23"/>
        <v>0</v>
      </c>
      <c r="AM91" s="140">
        <f t="shared" si="24"/>
        <v>0</v>
      </c>
      <c r="AN91" s="140">
        <f t="shared" si="25"/>
        <v>0</v>
      </c>
      <c r="AO91" s="140">
        <f t="shared" si="26"/>
        <v>0</v>
      </c>
      <c r="AP91" s="140">
        <f t="shared" si="27"/>
        <v>0</v>
      </c>
    </row>
    <row r="92" spans="2:42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AC92" s="131">
        <f t="shared" si="14"/>
        <v>0</v>
      </c>
      <c r="AD92" s="131">
        <f t="shared" si="15"/>
        <v>0</v>
      </c>
      <c r="AE92" s="131">
        <f t="shared" si="16"/>
        <v>0</v>
      </c>
      <c r="AF92" s="131">
        <f t="shared" si="17"/>
        <v>0</v>
      </c>
      <c r="AG92" s="140">
        <f t="shared" si="18"/>
        <v>0</v>
      </c>
      <c r="AH92" s="140">
        <f t="shared" si="19"/>
        <v>0</v>
      </c>
      <c r="AI92" s="140">
        <f t="shared" si="20"/>
        <v>0</v>
      </c>
      <c r="AJ92" s="131">
        <f t="shared" si="21"/>
        <v>0</v>
      </c>
      <c r="AK92" s="131">
        <f t="shared" si="22"/>
        <v>0</v>
      </c>
      <c r="AL92" s="127">
        <f t="shared" si="23"/>
        <v>0</v>
      </c>
      <c r="AM92" s="140">
        <f t="shared" si="24"/>
        <v>0</v>
      </c>
      <c r="AN92" s="140">
        <f t="shared" si="25"/>
        <v>0</v>
      </c>
      <c r="AO92" s="140">
        <f t="shared" si="26"/>
        <v>0</v>
      </c>
      <c r="AP92" s="140">
        <f t="shared" si="27"/>
        <v>0</v>
      </c>
    </row>
    <row r="93" spans="2:42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AC93" s="131">
        <f t="shared" si="14"/>
        <v>0</v>
      </c>
      <c r="AD93" s="131">
        <f t="shared" si="15"/>
        <v>0</v>
      </c>
      <c r="AE93" s="131">
        <f t="shared" si="16"/>
        <v>0</v>
      </c>
      <c r="AF93" s="131">
        <f t="shared" si="17"/>
        <v>0</v>
      </c>
      <c r="AG93" s="140">
        <f t="shared" si="18"/>
        <v>0</v>
      </c>
      <c r="AH93" s="140">
        <f t="shared" si="19"/>
        <v>0</v>
      </c>
      <c r="AI93" s="140">
        <f t="shared" si="20"/>
        <v>0</v>
      </c>
      <c r="AJ93" s="131">
        <f t="shared" si="21"/>
        <v>0</v>
      </c>
      <c r="AK93" s="131">
        <f t="shared" si="22"/>
        <v>0</v>
      </c>
      <c r="AL93" s="127">
        <f t="shared" si="23"/>
        <v>0</v>
      </c>
      <c r="AM93" s="140">
        <f t="shared" si="24"/>
        <v>0</v>
      </c>
      <c r="AN93" s="140">
        <f t="shared" si="25"/>
        <v>0</v>
      </c>
      <c r="AO93" s="140">
        <f t="shared" si="26"/>
        <v>0</v>
      </c>
      <c r="AP93" s="140">
        <f t="shared" si="27"/>
        <v>0</v>
      </c>
    </row>
    <row r="94" spans="2:42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AC94" s="131">
        <f t="shared" si="14"/>
        <v>0</v>
      </c>
      <c r="AD94" s="131">
        <f t="shared" si="15"/>
        <v>0</v>
      </c>
      <c r="AE94" s="131">
        <f t="shared" si="16"/>
        <v>0</v>
      </c>
      <c r="AF94" s="131">
        <f t="shared" si="17"/>
        <v>0</v>
      </c>
      <c r="AG94" s="140">
        <f t="shared" si="18"/>
        <v>0</v>
      </c>
      <c r="AH94" s="140">
        <f t="shared" si="19"/>
        <v>0</v>
      </c>
      <c r="AI94" s="140">
        <f t="shared" si="20"/>
        <v>0</v>
      </c>
      <c r="AJ94" s="131">
        <f t="shared" si="21"/>
        <v>0</v>
      </c>
      <c r="AK94" s="131">
        <f t="shared" si="22"/>
        <v>0</v>
      </c>
      <c r="AL94" s="127">
        <f t="shared" si="23"/>
        <v>0</v>
      </c>
      <c r="AM94" s="140">
        <f t="shared" si="24"/>
        <v>0</v>
      </c>
      <c r="AN94" s="140">
        <f t="shared" si="25"/>
        <v>0</v>
      </c>
      <c r="AO94" s="140">
        <f t="shared" si="26"/>
        <v>0</v>
      </c>
      <c r="AP94" s="140">
        <f t="shared" si="27"/>
        <v>0</v>
      </c>
    </row>
    <row r="95" spans="2:42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AC95" s="131">
        <f t="shared" si="14"/>
        <v>0</v>
      </c>
      <c r="AD95" s="131">
        <f t="shared" si="15"/>
        <v>0</v>
      </c>
      <c r="AE95" s="131">
        <f t="shared" si="16"/>
        <v>0</v>
      </c>
      <c r="AF95" s="131">
        <f t="shared" si="17"/>
        <v>0</v>
      </c>
      <c r="AG95" s="140">
        <f t="shared" si="18"/>
        <v>0</v>
      </c>
      <c r="AH95" s="140">
        <f t="shared" si="19"/>
        <v>0</v>
      </c>
      <c r="AI95" s="140">
        <f t="shared" si="20"/>
        <v>0</v>
      </c>
      <c r="AJ95" s="131">
        <f t="shared" si="21"/>
        <v>0</v>
      </c>
      <c r="AK95" s="131">
        <f t="shared" si="22"/>
        <v>0</v>
      </c>
      <c r="AL95" s="127">
        <f t="shared" si="23"/>
        <v>0</v>
      </c>
      <c r="AM95" s="140">
        <f t="shared" si="24"/>
        <v>0</v>
      </c>
      <c r="AN95" s="140">
        <f t="shared" si="25"/>
        <v>0</v>
      </c>
      <c r="AO95" s="140">
        <f t="shared" si="26"/>
        <v>0</v>
      </c>
      <c r="AP95" s="140">
        <f t="shared" si="27"/>
        <v>0</v>
      </c>
    </row>
    <row r="96" spans="2:42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AC96" s="131">
        <f t="shared" si="14"/>
        <v>0</v>
      </c>
      <c r="AD96" s="131">
        <f t="shared" si="15"/>
        <v>0</v>
      </c>
      <c r="AE96" s="131">
        <f t="shared" si="16"/>
        <v>0</v>
      </c>
      <c r="AF96" s="131">
        <f t="shared" si="17"/>
        <v>0</v>
      </c>
      <c r="AG96" s="140">
        <f t="shared" si="18"/>
        <v>0</v>
      </c>
      <c r="AH96" s="140">
        <f t="shared" si="19"/>
        <v>0</v>
      </c>
      <c r="AI96" s="140">
        <f t="shared" si="20"/>
        <v>0</v>
      </c>
      <c r="AJ96" s="131">
        <f t="shared" si="21"/>
        <v>0</v>
      </c>
      <c r="AK96" s="131">
        <f t="shared" si="22"/>
        <v>0</v>
      </c>
      <c r="AL96" s="127">
        <f t="shared" si="23"/>
        <v>0</v>
      </c>
      <c r="AM96" s="140">
        <f t="shared" si="24"/>
        <v>0</v>
      </c>
      <c r="AN96" s="140">
        <f t="shared" si="25"/>
        <v>0</v>
      </c>
      <c r="AO96" s="140">
        <f t="shared" si="26"/>
        <v>0</v>
      </c>
      <c r="AP96" s="140">
        <f t="shared" si="27"/>
        <v>0</v>
      </c>
    </row>
    <row r="97" spans="2:42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AC97" s="131">
        <f t="shared" si="14"/>
        <v>0</v>
      </c>
      <c r="AD97" s="131">
        <f t="shared" si="15"/>
        <v>0</v>
      </c>
      <c r="AE97" s="131">
        <f t="shared" si="16"/>
        <v>0</v>
      </c>
      <c r="AF97" s="131">
        <f t="shared" si="17"/>
        <v>0</v>
      </c>
      <c r="AG97" s="140">
        <f t="shared" si="18"/>
        <v>0</v>
      </c>
      <c r="AH97" s="140">
        <f t="shared" si="19"/>
        <v>0</v>
      </c>
      <c r="AI97" s="140">
        <f t="shared" si="20"/>
        <v>0</v>
      </c>
      <c r="AJ97" s="131">
        <f t="shared" si="21"/>
        <v>0</v>
      </c>
      <c r="AK97" s="131">
        <f t="shared" si="22"/>
        <v>0</v>
      </c>
      <c r="AL97" s="127">
        <f t="shared" si="23"/>
        <v>0</v>
      </c>
      <c r="AM97" s="140">
        <f t="shared" si="24"/>
        <v>0</v>
      </c>
      <c r="AN97" s="140">
        <f t="shared" si="25"/>
        <v>0</v>
      </c>
      <c r="AO97" s="140">
        <f t="shared" si="26"/>
        <v>0</v>
      </c>
      <c r="AP97" s="140">
        <f t="shared" si="27"/>
        <v>0</v>
      </c>
    </row>
    <row r="98" spans="2:42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AC98" s="131">
        <f t="shared" si="14"/>
        <v>0</v>
      </c>
      <c r="AD98" s="131">
        <f t="shared" si="15"/>
        <v>0</v>
      </c>
      <c r="AE98" s="131">
        <f t="shared" si="16"/>
        <v>0</v>
      </c>
      <c r="AF98" s="131">
        <f t="shared" si="17"/>
        <v>0</v>
      </c>
      <c r="AG98" s="140">
        <f t="shared" si="18"/>
        <v>0</v>
      </c>
      <c r="AH98" s="140">
        <f t="shared" si="19"/>
        <v>0</v>
      </c>
      <c r="AI98" s="140">
        <f t="shared" si="20"/>
        <v>0</v>
      </c>
      <c r="AJ98" s="131">
        <f t="shared" si="21"/>
        <v>0</v>
      </c>
      <c r="AK98" s="131">
        <f t="shared" si="22"/>
        <v>0</v>
      </c>
      <c r="AL98" s="127">
        <f t="shared" si="23"/>
        <v>0</v>
      </c>
      <c r="AM98" s="140">
        <f t="shared" si="24"/>
        <v>0</v>
      </c>
      <c r="AN98" s="140">
        <f t="shared" si="25"/>
        <v>0</v>
      </c>
      <c r="AO98" s="140">
        <f t="shared" si="26"/>
        <v>0</v>
      </c>
      <c r="AP98" s="140">
        <f t="shared" si="27"/>
        <v>0</v>
      </c>
    </row>
    <row r="99" spans="2:42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AC99" s="131">
        <f t="shared" si="14"/>
        <v>0</v>
      </c>
      <c r="AD99" s="131">
        <f t="shared" si="15"/>
        <v>0</v>
      </c>
      <c r="AE99" s="131">
        <f t="shared" si="16"/>
        <v>0</v>
      </c>
      <c r="AF99" s="131">
        <f t="shared" si="17"/>
        <v>0</v>
      </c>
      <c r="AG99" s="140">
        <f t="shared" si="18"/>
        <v>0</v>
      </c>
      <c r="AH99" s="140">
        <f t="shared" si="19"/>
        <v>0</v>
      </c>
      <c r="AI99" s="140">
        <f t="shared" si="20"/>
        <v>0</v>
      </c>
      <c r="AJ99" s="131">
        <f t="shared" si="21"/>
        <v>0</v>
      </c>
      <c r="AK99" s="131">
        <f t="shared" si="22"/>
        <v>0</v>
      </c>
      <c r="AL99" s="127">
        <f t="shared" si="23"/>
        <v>0</v>
      </c>
      <c r="AM99" s="140">
        <f t="shared" si="24"/>
        <v>0</v>
      </c>
      <c r="AN99" s="140">
        <f t="shared" si="25"/>
        <v>0</v>
      </c>
      <c r="AO99" s="140">
        <f t="shared" si="26"/>
        <v>0</v>
      </c>
      <c r="AP99" s="140">
        <f t="shared" si="27"/>
        <v>0</v>
      </c>
    </row>
    <row r="100" spans="2:42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AC100" s="131">
        <f t="shared" si="14"/>
        <v>0</v>
      </c>
      <c r="AD100" s="131">
        <f t="shared" si="15"/>
        <v>0</v>
      </c>
      <c r="AE100" s="131">
        <f t="shared" si="16"/>
        <v>0</v>
      </c>
      <c r="AF100" s="131">
        <f t="shared" si="17"/>
        <v>0</v>
      </c>
      <c r="AG100" s="140">
        <f t="shared" si="18"/>
        <v>0</v>
      </c>
      <c r="AH100" s="140">
        <f t="shared" si="19"/>
        <v>0</v>
      </c>
      <c r="AI100" s="140">
        <f t="shared" si="20"/>
        <v>0</v>
      </c>
      <c r="AJ100" s="131">
        <f t="shared" si="21"/>
        <v>0</v>
      </c>
      <c r="AK100" s="131">
        <f t="shared" si="22"/>
        <v>0</v>
      </c>
      <c r="AL100" s="127">
        <f t="shared" si="23"/>
        <v>0</v>
      </c>
      <c r="AM100" s="140">
        <f t="shared" si="24"/>
        <v>0</v>
      </c>
      <c r="AN100" s="140">
        <f t="shared" si="25"/>
        <v>0</v>
      </c>
      <c r="AO100" s="140">
        <f t="shared" si="26"/>
        <v>0</v>
      </c>
      <c r="AP100" s="140">
        <f t="shared" si="27"/>
        <v>0</v>
      </c>
    </row>
    <row r="101" spans="2:42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AC101" s="131">
        <f t="shared" si="14"/>
        <v>0</v>
      </c>
      <c r="AD101" s="131">
        <f t="shared" si="15"/>
        <v>0</v>
      </c>
      <c r="AE101" s="131">
        <f t="shared" si="16"/>
        <v>0</v>
      </c>
      <c r="AF101" s="131">
        <f t="shared" si="17"/>
        <v>0</v>
      </c>
      <c r="AG101" s="140">
        <f t="shared" si="18"/>
        <v>0</v>
      </c>
      <c r="AH101" s="140">
        <f t="shared" si="19"/>
        <v>0</v>
      </c>
      <c r="AI101" s="140">
        <f t="shared" si="20"/>
        <v>0</v>
      </c>
      <c r="AJ101" s="131">
        <f t="shared" si="21"/>
        <v>0</v>
      </c>
      <c r="AK101" s="131">
        <f t="shared" si="22"/>
        <v>0</v>
      </c>
      <c r="AL101" s="127">
        <f t="shared" si="23"/>
        <v>0</v>
      </c>
      <c r="AM101" s="140">
        <f t="shared" si="24"/>
        <v>0</v>
      </c>
      <c r="AN101" s="140">
        <f t="shared" si="25"/>
        <v>0</v>
      </c>
      <c r="AO101" s="140">
        <f t="shared" si="26"/>
        <v>0</v>
      </c>
      <c r="AP101" s="140">
        <f t="shared" si="27"/>
        <v>0</v>
      </c>
    </row>
    <row r="102" spans="2:42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AC102" s="131">
        <f t="shared" si="14"/>
        <v>0</v>
      </c>
      <c r="AD102" s="131">
        <f t="shared" si="15"/>
        <v>0</v>
      </c>
      <c r="AE102" s="131">
        <f t="shared" si="16"/>
        <v>0</v>
      </c>
      <c r="AF102" s="131">
        <f t="shared" si="17"/>
        <v>0</v>
      </c>
      <c r="AG102" s="140">
        <f t="shared" si="18"/>
        <v>0</v>
      </c>
      <c r="AH102" s="140">
        <f t="shared" si="19"/>
        <v>0</v>
      </c>
      <c r="AI102" s="140">
        <f t="shared" si="20"/>
        <v>0</v>
      </c>
      <c r="AJ102" s="131">
        <f t="shared" si="21"/>
        <v>0</v>
      </c>
      <c r="AK102" s="131">
        <f t="shared" si="22"/>
        <v>0</v>
      </c>
      <c r="AL102" s="127">
        <f t="shared" si="23"/>
        <v>0</v>
      </c>
      <c r="AM102" s="140">
        <f t="shared" si="24"/>
        <v>0</v>
      </c>
      <c r="AN102" s="140">
        <f t="shared" si="25"/>
        <v>0</v>
      </c>
      <c r="AO102" s="140">
        <f t="shared" si="26"/>
        <v>0</v>
      </c>
      <c r="AP102" s="140">
        <f t="shared" si="27"/>
        <v>0</v>
      </c>
    </row>
    <row r="103" spans="2:42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AC103" s="131">
        <f t="shared" si="14"/>
        <v>0</v>
      </c>
      <c r="AD103" s="131">
        <f t="shared" si="15"/>
        <v>0</v>
      </c>
      <c r="AE103" s="131">
        <f t="shared" si="16"/>
        <v>0</v>
      </c>
      <c r="AF103" s="131">
        <f t="shared" si="17"/>
        <v>0</v>
      </c>
      <c r="AG103" s="140">
        <f t="shared" si="18"/>
        <v>0</v>
      </c>
      <c r="AH103" s="140">
        <f t="shared" si="19"/>
        <v>0</v>
      </c>
      <c r="AI103" s="140">
        <f t="shared" si="20"/>
        <v>0</v>
      </c>
      <c r="AJ103" s="131">
        <f t="shared" si="21"/>
        <v>0</v>
      </c>
      <c r="AK103" s="131">
        <f t="shared" si="22"/>
        <v>0</v>
      </c>
      <c r="AL103" s="127">
        <f t="shared" si="23"/>
        <v>0</v>
      </c>
      <c r="AM103" s="140">
        <f t="shared" si="24"/>
        <v>0</v>
      </c>
      <c r="AN103" s="140">
        <f t="shared" si="25"/>
        <v>0</v>
      </c>
      <c r="AO103" s="140">
        <f t="shared" si="26"/>
        <v>0</v>
      </c>
      <c r="AP103" s="140">
        <f t="shared" si="27"/>
        <v>0</v>
      </c>
    </row>
    <row r="104" spans="2:42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AC104" s="131">
        <f t="shared" si="14"/>
        <v>0</v>
      </c>
      <c r="AD104" s="131">
        <f t="shared" si="15"/>
        <v>0</v>
      </c>
      <c r="AE104" s="131">
        <f t="shared" si="16"/>
        <v>0</v>
      </c>
      <c r="AF104" s="131">
        <f t="shared" si="17"/>
        <v>0</v>
      </c>
      <c r="AG104" s="140">
        <f t="shared" si="18"/>
        <v>0</v>
      </c>
      <c r="AH104" s="140">
        <f t="shared" si="19"/>
        <v>0</v>
      </c>
      <c r="AI104" s="140">
        <f t="shared" si="20"/>
        <v>0</v>
      </c>
      <c r="AJ104" s="131">
        <f t="shared" si="21"/>
        <v>0</v>
      </c>
      <c r="AK104" s="131">
        <f t="shared" si="22"/>
        <v>0</v>
      </c>
      <c r="AL104" s="127">
        <f t="shared" si="23"/>
        <v>0</v>
      </c>
      <c r="AM104" s="140">
        <f t="shared" si="24"/>
        <v>0</v>
      </c>
      <c r="AN104" s="140">
        <f t="shared" si="25"/>
        <v>0</v>
      </c>
      <c r="AO104" s="140">
        <f t="shared" si="26"/>
        <v>0</v>
      </c>
      <c r="AP104" s="140">
        <f t="shared" si="27"/>
        <v>0</v>
      </c>
    </row>
    <row r="105" spans="2:42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AC105" s="131">
        <f t="shared" si="14"/>
        <v>0</v>
      </c>
      <c r="AD105" s="131">
        <f t="shared" si="15"/>
        <v>0</v>
      </c>
      <c r="AE105" s="131">
        <f t="shared" si="16"/>
        <v>0</v>
      </c>
      <c r="AF105" s="131">
        <f t="shared" si="17"/>
        <v>0</v>
      </c>
      <c r="AG105" s="140">
        <f t="shared" si="18"/>
        <v>0</v>
      </c>
      <c r="AH105" s="140">
        <f t="shared" si="19"/>
        <v>0</v>
      </c>
      <c r="AI105" s="140">
        <f t="shared" si="20"/>
        <v>0</v>
      </c>
      <c r="AJ105" s="131">
        <f t="shared" si="21"/>
        <v>0</v>
      </c>
      <c r="AK105" s="131">
        <f t="shared" si="22"/>
        <v>0</v>
      </c>
      <c r="AL105" s="127">
        <f t="shared" si="23"/>
        <v>0</v>
      </c>
      <c r="AM105" s="140">
        <f t="shared" si="24"/>
        <v>0</v>
      </c>
      <c r="AN105" s="140">
        <f t="shared" si="25"/>
        <v>0</v>
      </c>
      <c r="AO105" s="140">
        <f t="shared" si="26"/>
        <v>0</v>
      </c>
      <c r="AP105" s="140">
        <f t="shared" si="27"/>
        <v>0</v>
      </c>
    </row>
    <row r="106" spans="2:42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AC106" s="131">
        <f t="shared" si="14"/>
        <v>0</v>
      </c>
      <c r="AD106" s="131">
        <f t="shared" si="15"/>
        <v>0</v>
      </c>
      <c r="AE106" s="131">
        <f t="shared" si="16"/>
        <v>0</v>
      </c>
      <c r="AF106" s="131">
        <f t="shared" si="17"/>
        <v>0</v>
      </c>
      <c r="AG106" s="140">
        <f t="shared" si="18"/>
        <v>0</v>
      </c>
      <c r="AH106" s="140">
        <f t="shared" si="19"/>
        <v>0</v>
      </c>
      <c r="AI106" s="140">
        <f t="shared" si="20"/>
        <v>0</v>
      </c>
      <c r="AJ106" s="131">
        <f t="shared" si="21"/>
        <v>0</v>
      </c>
      <c r="AK106" s="131">
        <f t="shared" si="22"/>
        <v>0</v>
      </c>
      <c r="AL106" s="127">
        <f t="shared" si="23"/>
        <v>0</v>
      </c>
      <c r="AM106" s="140">
        <f t="shared" si="24"/>
        <v>0</v>
      </c>
      <c r="AN106" s="140">
        <f t="shared" si="25"/>
        <v>0</v>
      </c>
      <c r="AO106" s="140">
        <f t="shared" si="26"/>
        <v>0</v>
      </c>
      <c r="AP106" s="140">
        <f t="shared" si="27"/>
        <v>0</v>
      </c>
    </row>
    <row r="107" spans="2:42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AC107" s="131">
        <f t="shared" si="14"/>
        <v>0</v>
      </c>
      <c r="AD107" s="131">
        <f t="shared" si="15"/>
        <v>0</v>
      </c>
      <c r="AE107" s="131">
        <f t="shared" si="16"/>
        <v>0</v>
      </c>
      <c r="AF107" s="131">
        <f t="shared" si="17"/>
        <v>0</v>
      </c>
      <c r="AG107" s="140">
        <f t="shared" si="18"/>
        <v>0</v>
      </c>
      <c r="AH107" s="140">
        <f t="shared" si="19"/>
        <v>0</v>
      </c>
      <c r="AI107" s="140">
        <f t="shared" si="20"/>
        <v>0</v>
      </c>
      <c r="AJ107" s="131">
        <f t="shared" si="21"/>
        <v>0</v>
      </c>
      <c r="AK107" s="131">
        <f t="shared" si="22"/>
        <v>0</v>
      </c>
      <c r="AL107" s="127">
        <f t="shared" si="23"/>
        <v>0</v>
      </c>
      <c r="AM107" s="140">
        <f t="shared" si="24"/>
        <v>0</v>
      </c>
      <c r="AN107" s="140">
        <f t="shared" si="25"/>
        <v>0</v>
      </c>
      <c r="AO107" s="140">
        <f t="shared" si="26"/>
        <v>0</v>
      </c>
      <c r="AP107" s="140">
        <f t="shared" si="27"/>
        <v>0</v>
      </c>
    </row>
    <row r="108" spans="2:42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AC108" s="131">
        <f t="shared" si="14"/>
        <v>0</v>
      </c>
      <c r="AD108" s="131">
        <f t="shared" si="15"/>
        <v>0</v>
      </c>
      <c r="AE108" s="131">
        <f t="shared" si="16"/>
        <v>0</v>
      </c>
      <c r="AF108" s="131">
        <f t="shared" si="17"/>
        <v>0</v>
      </c>
      <c r="AG108" s="140">
        <f t="shared" si="18"/>
        <v>0</v>
      </c>
      <c r="AH108" s="140">
        <f t="shared" si="19"/>
        <v>0</v>
      </c>
      <c r="AI108" s="140">
        <f t="shared" si="20"/>
        <v>0</v>
      </c>
      <c r="AJ108" s="131">
        <f t="shared" si="21"/>
        <v>0</v>
      </c>
      <c r="AK108" s="131">
        <f t="shared" si="22"/>
        <v>0</v>
      </c>
      <c r="AL108" s="127">
        <f t="shared" si="23"/>
        <v>0</v>
      </c>
      <c r="AM108" s="140">
        <f t="shared" si="24"/>
        <v>0</v>
      </c>
      <c r="AN108" s="140">
        <f t="shared" si="25"/>
        <v>0</v>
      </c>
      <c r="AO108" s="140">
        <f t="shared" si="26"/>
        <v>0</v>
      </c>
      <c r="AP108" s="140">
        <f t="shared" si="27"/>
        <v>0</v>
      </c>
    </row>
    <row r="109" spans="2:42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AC109" s="131">
        <f t="shared" si="14"/>
        <v>0</v>
      </c>
      <c r="AD109" s="131">
        <f t="shared" si="15"/>
        <v>0</v>
      </c>
      <c r="AE109" s="131">
        <f t="shared" si="16"/>
        <v>0</v>
      </c>
      <c r="AF109" s="131">
        <f t="shared" si="17"/>
        <v>0</v>
      </c>
      <c r="AG109" s="140">
        <f t="shared" si="18"/>
        <v>0</v>
      </c>
      <c r="AH109" s="140">
        <f t="shared" si="19"/>
        <v>0</v>
      </c>
      <c r="AI109" s="140">
        <f t="shared" si="20"/>
        <v>0</v>
      </c>
      <c r="AJ109" s="131">
        <f t="shared" si="21"/>
        <v>0</v>
      </c>
      <c r="AK109" s="131">
        <f t="shared" si="22"/>
        <v>0</v>
      </c>
      <c r="AL109" s="127">
        <f t="shared" si="23"/>
        <v>0</v>
      </c>
      <c r="AM109" s="140">
        <f t="shared" si="24"/>
        <v>0</v>
      </c>
      <c r="AN109" s="140">
        <f t="shared" si="25"/>
        <v>0</v>
      </c>
      <c r="AO109" s="140">
        <f t="shared" si="26"/>
        <v>0</v>
      </c>
      <c r="AP109" s="140">
        <f t="shared" si="27"/>
        <v>0</v>
      </c>
    </row>
    <row r="110" spans="2:4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AC110" s="131">
        <f t="shared" si="14"/>
        <v>0</v>
      </c>
      <c r="AD110" s="131">
        <f t="shared" si="15"/>
        <v>0</v>
      </c>
      <c r="AE110" s="131">
        <f t="shared" si="16"/>
        <v>0</v>
      </c>
      <c r="AF110" s="131">
        <f t="shared" si="17"/>
        <v>0</v>
      </c>
      <c r="AG110" s="140">
        <f t="shared" si="18"/>
        <v>0</v>
      </c>
      <c r="AH110" s="140">
        <f t="shared" si="19"/>
        <v>0</v>
      </c>
      <c r="AI110" s="140">
        <f t="shared" si="20"/>
        <v>0</v>
      </c>
      <c r="AJ110" s="131">
        <f t="shared" si="21"/>
        <v>0</v>
      </c>
      <c r="AK110" s="131">
        <f t="shared" si="22"/>
        <v>0</v>
      </c>
      <c r="AL110" s="127">
        <f t="shared" si="23"/>
        <v>0</v>
      </c>
      <c r="AM110" s="140">
        <f t="shared" si="24"/>
        <v>0</v>
      </c>
      <c r="AN110" s="140">
        <f t="shared" si="25"/>
        <v>0</v>
      </c>
      <c r="AO110" s="140">
        <f t="shared" si="26"/>
        <v>0</v>
      </c>
      <c r="AP110" s="140">
        <f t="shared" si="27"/>
        <v>0</v>
      </c>
    </row>
    <row r="111" spans="2:4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AC111" s="131">
        <f t="shared" si="14"/>
        <v>0</v>
      </c>
      <c r="AD111" s="131">
        <f t="shared" si="15"/>
        <v>0</v>
      </c>
      <c r="AE111" s="131">
        <f t="shared" si="16"/>
        <v>0</v>
      </c>
      <c r="AF111" s="131">
        <f t="shared" si="17"/>
        <v>0</v>
      </c>
      <c r="AG111" s="140">
        <f t="shared" si="18"/>
        <v>0</v>
      </c>
      <c r="AH111" s="140">
        <f t="shared" si="19"/>
        <v>0</v>
      </c>
      <c r="AI111" s="140">
        <f t="shared" si="20"/>
        <v>0</v>
      </c>
      <c r="AJ111" s="131">
        <f t="shared" si="21"/>
        <v>0</v>
      </c>
      <c r="AK111" s="131">
        <f t="shared" si="22"/>
        <v>0</v>
      </c>
      <c r="AL111" s="127">
        <f t="shared" si="23"/>
        <v>0</v>
      </c>
      <c r="AM111" s="140">
        <f t="shared" si="24"/>
        <v>0</v>
      </c>
      <c r="AN111" s="140">
        <f t="shared" si="25"/>
        <v>0</v>
      </c>
      <c r="AO111" s="140">
        <f t="shared" si="26"/>
        <v>0</v>
      </c>
      <c r="AP111" s="140">
        <f t="shared" si="27"/>
        <v>0</v>
      </c>
    </row>
    <row r="112" spans="2:4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AC112" s="131">
        <f t="shared" si="14"/>
        <v>0</v>
      </c>
      <c r="AD112" s="131">
        <f t="shared" si="15"/>
        <v>0</v>
      </c>
      <c r="AE112" s="131">
        <f t="shared" si="16"/>
        <v>0</v>
      </c>
      <c r="AF112" s="131">
        <f t="shared" si="17"/>
        <v>0</v>
      </c>
      <c r="AG112" s="140">
        <f t="shared" si="18"/>
        <v>0</v>
      </c>
      <c r="AH112" s="140">
        <f t="shared" si="19"/>
        <v>0</v>
      </c>
      <c r="AI112" s="140">
        <f t="shared" si="20"/>
        <v>0</v>
      </c>
      <c r="AJ112" s="131">
        <f t="shared" si="21"/>
        <v>0</v>
      </c>
      <c r="AK112" s="131">
        <f t="shared" si="22"/>
        <v>0</v>
      </c>
      <c r="AL112" s="127">
        <f t="shared" si="23"/>
        <v>0</v>
      </c>
      <c r="AM112" s="140">
        <f t="shared" si="24"/>
        <v>0</v>
      </c>
      <c r="AN112" s="140">
        <f t="shared" si="25"/>
        <v>0</v>
      </c>
      <c r="AO112" s="140">
        <f t="shared" si="26"/>
        <v>0</v>
      </c>
      <c r="AP112" s="140">
        <f t="shared" si="27"/>
        <v>0</v>
      </c>
    </row>
    <row r="113" spans="2:4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AC113" s="131">
        <f t="shared" si="14"/>
        <v>0</v>
      </c>
      <c r="AD113" s="131">
        <f t="shared" si="15"/>
        <v>0</v>
      </c>
      <c r="AE113" s="131">
        <f t="shared" si="16"/>
        <v>0</v>
      </c>
      <c r="AF113" s="131">
        <f t="shared" si="17"/>
        <v>0</v>
      </c>
      <c r="AG113" s="140">
        <f t="shared" si="18"/>
        <v>0</v>
      </c>
      <c r="AH113" s="140">
        <f t="shared" si="19"/>
        <v>0</v>
      </c>
      <c r="AI113" s="140">
        <f t="shared" si="20"/>
        <v>0</v>
      </c>
      <c r="AJ113" s="131">
        <f t="shared" si="21"/>
        <v>0</v>
      </c>
      <c r="AK113" s="131">
        <f t="shared" si="22"/>
        <v>0</v>
      </c>
      <c r="AL113" s="127">
        <f t="shared" si="23"/>
        <v>0</v>
      </c>
      <c r="AM113" s="140">
        <f t="shared" si="24"/>
        <v>0</v>
      </c>
      <c r="AN113" s="140">
        <f t="shared" si="25"/>
        <v>0</v>
      </c>
      <c r="AO113" s="140">
        <f t="shared" si="26"/>
        <v>0</v>
      </c>
      <c r="AP113" s="140">
        <f t="shared" si="27"/>
        <v>0</v>
      </c>
    </row>
    <row r="114" spans="2:42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AC114" s="131">
        <f t="shared" si="14"/>
        <v>0</v>
      </c>
      <c r="AD114" s="131">
        <f t="shared" si="15"/>
        <v>0</v>
      </c>
      <c r="AE114" s="131">
        <f t="shared" si="16"/>
        <v>0</v>
      </c>
      <c r="AF114" s="131">
        <f t="shared" si="17"/>
        <v>0</v>
      </c>
      <c r="AG114" s="140">
        <f t="shared" si="18"/>
        <v>0</v>
      </c>
      <c r="AH114" s="140">
        <f t="shared" si="19"/>
        <v>0</v>
      </c>
      <c r="AI114" s="140">
        <f t="shared" si="20"/>
        <v>0</v>
      </c>
      <c r="AJ114" s="131">
        <f t="shared" si="21"/>
        <v>0</v>
      </c>
      <c r="AK114" s="131">
        <f t="shared" si="22"/>
        <v>0</v>
      </c>
      <c r="AL114" s="127">
        <f t="shared" si="23"/>
        <v>0</v>
      </c>
      <c r="AM114" s="140">
        <f t="shared" si="24"/>
        <v>0</v>
      </c>
      <c r="AN114" s="140">
        <f t="shared" si="25"/>
        <v>0</v>
      </c>
      <c r="AO114" s="140">
        <f t="shared" si="26"/>
        <v>0</v>
      </c>
      <c r="AP114" s="140">
        <f t="shared" si="27"/>
        <v>0</v>
      </c>
    </row>
    <row r="115" spans="2:42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AC115" s="131">
        <f t="shared" si="14"/>
        <v>0</v>
      </c>
      <c r="AD115" s="131">
        <f t="shared" si="15"/>
        <v>0</v>
      </c>
      <c r="AE115" s="131">
        <f t="shared" si="16"/>
        <v>0</v>
      </c>
      <c r="AF115" s="131">
        <f t="shared" si="17"/>
        <v>0</v>
      </c>
      <c r="AG115" s="140">
        <f t="shared" si="18"/>
        <v>0</v>
      </c>
      <c r="AH115" s="140">
        <f t="shared" si="19"/>
        <v>0</v>
      </c>
      <c r="AI115" s="140">
        <f t="shared" si="20"/>
        <v>0</v>
      </c>
      <c r="AJ115" s="131">
        <f t="shared" si="21"/>
        <v>0</v>
      </c>
      <c r="AK115" s="131">
        <f t="shared" si="22"/>
        <v>0</v>
      </c>
      <c r="AL115" s="127">
        <f t="shared" si="23"/>
        <v>0</v>
      </c>
      <c r="AM115" s="140">
        <f t="shared" si="24"/>
        <v>0</v>
      </c>
      <c r="AN115" s="140">
        <f t="shared" si="25"/>
        <v>0</v>
      </c>
      <c r="AO115" s="140">
        <f t="shared" si="26"/>
        <v>0</v>
      </c>
      <c r="AP115" s="140">
        <f t="shared" si="27"/>
        <v>0</v>
      </c>
    </row>
    <row r="116" spans="2:42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AC116" s="131">
        <f t="shared" si="14"/>
        <v>0</v>
      </c>
      <c r="AD116" s="131">
        <f t="shared" si="15"/>
        <v>0</v>
      </c>
      <c r="AE116" s="131">
        <f t="shared" si="16"/>
        <v>0</v>
      </c>
      <c r="AF116" s="131">
        <f t="shared" si="17"/>
        <v>0</v>
      </c>
      <c r="AG116" s="140">
        <f t="shared" si="18"/>
        <v>0</v>
      </c>
      <c r="AH116" s="140">
        <f t="shared" si="19"/>
        <v>0</v>
      </c>
      <c r="AI116" s="140">
        <f t="shared" si="20"/>
        <v>0</v>
      </c>
      <c r="AJ116" s="131">
        <f t="shared" si="21"/>
        <v>0</v>
      </c>
      <c r="AK116" s="131">
        <f t="shared" si="22"/>
        <v>0</v>
      </c>
      <c r="AL116" s="127">
        <f t="shared" si="23"/>
        <v>0</v>
      </c>
      <c r="AM116" s="140">
        <f t="shared" si="24"/>
        <v>0</v>
      </c>
      <c r="AN116" s="140">
        <f t="shared" si="25"/>
        <v>0</v>
      </c>
      <c r="AO116" s="140">
        <f t="shared" si="26"/>
        <v>0</v>
      </c>
      <c r="AP116" s="140">
        <f t="shared" si="27"/>
        <v>0</v>
      </c>
    </row>
    <row r="117" spans="2:42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AC117" s="131">
        <f t="shared" si="14"/>
        <v>0</v>
      </c>
      <c r="AD117" s="131">
        <f t="shared" si="15"/>
        <v>0</v>
      </c>
      <c r="AE117" s="131">
        <f t="shared" si="16"/>
        <v>0</v>
      </c>
      <c r="AF117" s="131">
        <f t="shared" si="17"/>
        <v>0</v>
      </c>
      <c r="AG117" s="140">
        <f t="shared" si="18"/>
        <v>0</v>
      </c>
      <c r="AH117" s="140">
        <f t="shared" si="19"/>
        <v>0</v>
      </c>
      <c r="AI117" s="140">
        <f t="shared" si="20"/>
        <v>0</v>
      </c>
      <c r="AJ117" s="131">
        <f t="shared" si="21"/>
        <v>0</v>
      </c>
      <c r="AK117" s="131">
        <f t="shared" si="22"/>
        <v>0</v>
      </c>
      <c r="AL117" s="127">
        <f t="shared" si="23"/>
        <v>0</v>
      </c>
      <c r="AM117" s="140">
        <f t="shared" si="24"/>
        <v>0</v>
      </c>
      <c r="AN117" s="140">
        <f t="shared" si="25"/>
        <v>0</v>
      </c>
      <c r="AO117" s="140">
        <f t="shared" si="26"/>
        <v>0</v>
      </c>
      <c r="AP117" s="140">
        <f t="shared" si="27"/>
        <v>0</v>
      </c>
    </row>
    <row r="118" spans="2:42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AC118" s="131">
        <f t="shared" si="14"/>
        <v>0</v>
      </c>
      <c r="AD118" s="131">
        <f t="shared" si="15"/>
        <v>0</v>
      </c>
      <c r="AE118" s="131">
        <f t="shared" si="16"/>
        <v>0</v>
      </c>
      <c r="AF118" s="131">
        <f t="shared" si="17"/>
        <v>0</v>
      </c>
      <c r="AG118" s="140">
        <f t="shared" si="18"/>
        <v>0</v>
      </c>
      <c r="AH118" s="140">
        <f t="shared" si="19"/>
        <v>0</v>
      </c>
      <c r="AI118" s="140">
        <f t="shared" si="20"/>
        <v>0</v>
      </c>
      <c r="AJ118" s="131">
        <f t="shared" si="21"/>
        <v>0</v>
      </c>
      <c r="AK118" s="131">
        <f t="shared" si="22"/>
        <v>0</v>
      </c>
      <c r="AL118" s="127">
        <f t="shared" si="23"/>
        <v>0</v>
      </c>
      <c r="AM118" s="140">
        <f t="shared" si="24"/>
        <v>0</v>
      </c>
      <c r="AN118" s="140">
        <f t="shared" si="25"/>
        <v>0</v>
      </c>
      <c r="AO118" s="140">
        <f t="shared" si="26"/>
        <v>0</v>
      </c>
      <c r="AP118" s="140">
        <f t="shared" si="27"/>
        <v>0</v>
      </c>
    </row>
    <row r="119" spans="2:42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AC119" s="131">
        <f t="shared" si="14"/>
        <v>0</v>
      </c>
      <c r="AD119" s="131">
        <f t="shared" si="15"/>
        <v>0</v>
      </c>
      <c r="AE119" s="131">
        <f t="shared" si="16"/>
        <v>0</v>
      </c>
      <c r="AF119" s="131">
        <f t="shared" si="17"/>
        <v>0</v>
      </c>
      <c r="AG119" s="140">
        <f t="shared" si="18"/>
        <v>0</v>
      </c>
      <c r="AH119" s="140">
        <f t="shared" si="19"/>
        <v>0</v>
      </c>
      <c r="AI119" s="140">
        <f t="shared" si="20"/>
        <v>0</v>
      </c>
      <c r="AJ119" s="131">
        <f t="shared" si="21"/>
        <v>0</v>
      </c>
      <c r="AK119" s="131">
        <f t="shared" si="22"/>
        <v>0</v>
      </c>
      <c r="AL119" s="127">
        <f t="shared" si="23"/>
        <v>0</v>
      </c>
      <c r="AM119" s="140">
        <f t="shared" si="24"/>
        <v>0</v>
      </c>
      <c r="AN119" s="140">
        <f t="shared" si="25"/>
        <v>0</v>
      </c>
      <c r="AO119" s="140">
        <f t="shared" si="26"/>
        <v>0</v>
      </c>
      <c r="AP119" s="140">
        <f t="shared" si="27"/>
        <v>0</v>
      </c>
    </row>
    <row r="120" spans="2:42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AC120" s="131">
        <f t="shared" si="14"/>
        <v>0</v>
      </c>
      <c r="AD120" s="131">
        <f t="shared" si="15"/>
        <v>0</v>
      </c>
      <c r="AE120" s="131">
        <f t="shared" si="16"/>
        <v>0</v>
      </c>
      <c r="AF120" s="131">
        <f t="shared" si="17"/>
        <v>0</v>
      </c>
      <c r="AG120" s="140">
        <f t="shared" si="18"/>
        <v>0</v>
      </c>
      <c r="AH120" s="140">
        <f t="shared" si="19"/>
        <v>0</v>
      </c>
      <c r="AI120" s="140">
        <f t="shared" si="20"/>
        <v>0</v>
      </c>
      <c r="AJ120" s="131">
        <f t="shared" si="21"/>
        <v>0</v>
      </c>
      <c r="AK120" s="131">
        <f t="shared" si="22"/>
        <v>0</v>
      </c>
      <c r="AL120" s="127">
        <f t="shared" si="23"/>
        <v>0</v>
      </c>
      <c r="AM120" s="140">
        <f t="shared" si="24"/>
        <v>0</v>
      </c>
      <c r="AN120" s="140">
        <f t="shared" si="25"/>
        <v>0</v>
      </c>
      <c r="AO120" s="140">
        <f t="shared" si="26"/>
        <v>0</v>
      </c>
      <c r="AP120" s="140">
        <f t="shared" si="27"/>
        <v>0</v>
      </c>
    </row>
    <row r="121" spans="2:4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AC121" s="131">
        <f t="shared" si="14"/>
        <v>0</v>
      </c>
      <c r="AD121" s="131">
        <f t="shared" si="15"/>
        <v>0</v>
      </c>
      <c r="AE121" s="131">
        <f t="shared" si="16"/>
        <v>0</v>
      </c>
      <c r="AF121" s="131">
        <f t="shared" si="17"/>
        <v>0</v>
      </c>
      <c r="AG121" s="140">
        <f t="shared" si="18"/>
        <v>0</v>
      </c>
      <c r="AH121" s="140">
        <f t="shared" si="19"/>
        <v>0</v>
      </c>
      <c r="AI121" s="140">
        <f t="shared" si="20"/>
        <v>0</v>
      </c>
      <c r="AJ121" s="131">
        <f t="shared" si="21"/>
        <v>0</v>
      </c>
      <c r="AK121" s="131">
        <f t="shared" si="22"/>
        <v>0</v>
      </c>
      <c r="AL121" s="127">
        <f t="shared" si="23"/>
        <v>0</v>
      </c>
      <c r="AM121" s="140">
        <f t="shared" si="24"/>
        <v>0</v>
      </c>
      <c r="AN121" s="140">
        <f t="shared" si="25"/>
        <v>0</v>
      </c>
      <c r="AO121" s="140">
        <f t="shared" si="26"/>
        <v>0</v>
      </c>
      <c r="AP121" s="140">
        <f t="shared" si="27"/>
        <v>0</v>
      </c>
    </row>
    <row r="122" spans="2:4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AC122" s="131">
        <f t="shared" si="14"/>
        <v>0</v>
      </c>
      <c r="AD122" s="131">
        <f t="shared" si="15"/>
        <v>0</v>
      </c>
      <c r="AE122" s="131">
        <f t="shared" si="16"/>
        <v>0</v>
      </c>
      <c r="AF122" s="131">
        <f t="shared" si="17"/>
        <v>0</v>
      </c>
      <c r="AG122" s="140">
        <f t="shared" si="18"/>
        <v>0</v>
      </c>
      <c r="AH122" s="140">
        <f t="shared" si="19"/>
        <v>0</v>
      </c>
      <c r="AI122" s="140">
        <f t="shared" si="20"/>
        <v>0</v>
      </c>
      <c r="AJ122" s="131">
        <f t="shared" si="21"/>
        <v>0</v>
      </c>
      <c r="AK122" s="131">
        <f t="shared" si="22"/>
        <v>0</v>
      </c>
      <c r="AL122" s="127">
        <f t="shared" si="23"/>
        <v>0</v>
      </c>
      <c r="AM122" s="140">
        <f t="shared" si="24"/>
        <v>0</v>
      </c>
      <c r="AN122" s="140">
        <f t="shared" si="25"/>
        <v>0</v>
      </c>
      <c r="AO122" s="140">
        <f t="shared" si="26"/>
        <v>0</v>
      </c>
      <c r="AP122" s="140">
        <f t="shared" si="27"/>
        <v>0</v>
      </c>
    </row>
    <row r="123" spans="2:4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AC123" s="131">
        <f t="shared" si="14"/>
        <v>0</v>
      </c>
      <c r="AD123" s="131">
        <f t="shared" si="15"/>
        <v>0</v>
      </c>
      <c r="AE123" s="131">
        <f t="shared" si="16"/>
        <v>0</v>
      </c>
      <c r="AF123" s="131">
        <f t="shared" si="17"/>
        <v>0</v>
      </c>
      <c r="AG123" s="140">
        <f t="shared" si="18"/>
        <v>0</v>
      </c>
      <c r="AH123" s="140">
        <f t="shared" si="19"/>
        <v>0</v>
      </c>
      <c r="AI123" s="140">
        <f t="shared" si="20"/>
        <v>0</v>
      </c>
      <c r="AJ123" s="131">
        <f t="shared" si="21"/>
        <v>0</v>
      </c>
      <c r="AK123" s="131">
        <f t="shared" si="22"/>
        <v>0</v>
      </c>
      <c r="AL123" s="127">
        <f t="shared" si="23"/>
        <v>0</v>
      </c>
      <c r="AM123" s="140">
        <f t="shared" si="24"/>
        <v>0</v>
      </c>
      <c r="AN123" s="140">
        <f t="shared" si="25"/>
        <v>0</v>
      </c>
      <c r="AO123" s="140">
        <f t="shared" si="26"/>
        <v>0</v>
      </c>
      <c r="AP123" s="140">
        <f t="shared" si="27"/>
        <v>0</v>
      </c>
    </row>
    <row r="124" spans="2:4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AC124" s="131">
        <f t="shared" si="14"/>
        <v>0</v>
      </c>
      <c r="AD124" s="131">
        <f t="shared" si="15"/>
        <v>0</v>
      </c>
      <c r="AE124" s="131">
        <f t="shared" si="16"/>
        <v>0</v>
      </c>
      <c r="AF124" s="131">
        <f t="shared" si="17"/>
        <v>0</v>
      </c>
      <c r="AG124" s="140">
        <f t="shared" si="18"/>
        <v>0</v>
      </c>
      <c r="AH124" s="140">
        <f t="shared" si="19"/>
        <v>0</v>
      </c>
      <c r="AI124" s="140">
        <f t="shared" si="20"/>
        <v>0</v>
      </c>
      <c r="AJ124" s="131">
        <f t="shared" si="21"/>
        <v>0</v>
      </c>
      <c r="AK124" s="131">
        <f t="shared" si="22"/>
        <v>0</v>
      </c>
      <c r="AL124" s="127">
        <f t="shared" si="23"/>
        <v>0</v>
      </c>
      <c r="AM124" s="140">
        <f t="shared" si="24"/>
        <v>0</v>
      </c>
      <c r="AN124" s="140">
        <f t="shared" si="25"/>
        <v>0</v>
      </c>
      <c r="AO124" s="140">
        <f t="shared" si="26"/>
        <v>0</v>
      </c>
      <c r="AP124" s="140">
        <f t="shared" si="27"/>
        <v>0</v>
      </c>
    </row>
    <row r="125" spans="2:4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C125" s="131">
        <f t="shared" si="14"/>
        <v>0</v>
      </c>
      <c r="AD125" s="131">
        <f t="shared" si="15"/>
        <v>0</v>
      </c>
      <c r="AE125" s="131">
        <f t="shared" si="16"/>
        <v>0</v>
      </c>
      <c r="AF125" s="131">
        <f t="shared" si="17"/>
        <v>0</v>
      </c>
      <c r="AG125" s="140">
        <f t="shared" si="18"/>
        <v>0</v>
      </c>
      <c r="AH125" s="140">
        <f t="shared" si="19"/>
        <v>0</v>
      </c>
      <c r="AI125" s="140">
        <f t="shared" si="20"/>
        <v>0</v>
      </c>
      <c r="AJ125" s="131">
        <f t="shared" si="21"/>
        <v>0</v>
      </c>
      <c r="AK125" s="131">
        <f t="shared" si="22"/>
        <v>0</v>
      </c>
      <c r="AL125" s="127">
        <f t="shared" si="23"/>
        <v>0</v>
      </c>
      <c r="AM125" s="140">
        <f t="shared" si="24"/>
        <v>0</v>
      </c>
      <c r="AN125" s="140">
        <f t="shared" si="25"/>
        <v>0</v>
      </c>
      <c r="AO125" s="140">
        <f t="shared" si="26"/>
        <v>0</v>
      </c>
      <c r="AP125" s="140">
        <f t="shared" si="27"/>
        <v>0</v>
      </c>
    </row>
    <row r="126" spans="2:4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C126" s="131">
        <f t="shared" si="14"/>
        <v>0</v>
      </c>
      <c r="AD126" s="131">
        <f t="shared" si="15"/>
        <v>0</v>
      </c>
      <c r="AE126" s="131">
        <f t="shared" si="16"/>
        <v>0</v>
      </c>
      <c r="AF126" s="131">
        <f t="shared" si="17"/>
        <v>0</v>
      </c>
      <c r="AG126" s="140">
        <f t="shared" si="18"/>
        <v>0</v>
      </c>
      <c r="AH126" s="140">
        <f t="shared" si="19"/>
        <v>0</v>
      </c>
      <c r="AI126" s="140">
        <f t="shared" si="20"/>
        <v>0</v>
      </c>
      <c r="AJ126" s="131">
        <f t="shared" si="21"/>
        <v>0</v>
      </c>
      <c r="AK126" s="131">
        <f t="shared" si="22"/>
        <v>0</v>
      </c>
      <c r="AL126" s="127">
        <f t="shared" si="23"/>
        <v>0</v>
      </c>
      <c r="AM126" s="140">
        <f t="shared" si="24"/>
        <v>0</v>
      </c>
      <c r="AN126" s="140">
        <f t="shared" si="25"/>
        <v>0</v>
      </c>
      <c r="AO126" s="140">
        <f t="shared" si="26"/>
        <v>0</v>
      </c>
      <c r="AP126" s="140">
        <f t="shared" si="27"/>
        <v>0</v>
      </c>
    </row>
    <row r="127" spans="2:42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AC127" s="131">
        <f t="shared" si="14"/>
        <v>0</v>
      </c>
      <c r="AD127" s="131">
        <f t="shared" si="15"/>
        <v>0</v>
      </c>
      <c r="AE127" s="131">
        <f t="shared" si="16"/>
        <v>0</v>
      </c>
      <c r="AF127" s="131">
        <f t="shared" si="17"/>
        <v>0</v>
      </c>
      <c r="AG127" s="140">
        <f t="shared" si="18"/>
        <v>0</v>
      </c>
      <c r="AH127" s="140">
        <f t="shared" si="19"/>
        <v>0</v>
      </c>
      <c r="AI127" s="140">
        <f t="shared" si="20"/>
        <v>0</v>
      </c>
      <c r="AJ127" s="131">
        <f t="shared" si="21"/>
        <v>0</v>
      </c>
      <c r="AK127" s="131">
        <f t="shared" si="22"/>
        <v>0</v>
      </c>
      <c r="AL127" s="127">
        <f t="shared" si="23"/>
        <v>0</v>
      </c>
      <c r="AM127" s="140">
        <f t="shared" si="24"/>
        <v>0</v>
      </c>
      <c r="AN127" s="140">
        <f t="shared" si="25"/>
        <v>0</v>
      </c>
      <c r="AO127" s="140">
        <f t="shared" si="26"/>
        <v>0</v>
      </c>
      <c r="AP127" s="140">
        <f t="shared" si="27"/>
        <v>0</v>
      </c>
    </row>
    <row r="128" spans="2:42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AC128" s="131">
        <f t="shared" si="14"/>
        <v>0</v>
      </c>
      <c r="AD128" s="131">
        <f t="shared" si="15"/>
        <v>0</v>
      </c>
      <c r="AE128" s="131">
        <f t="shared" si="16"/>
        <v>0</v>
      </c>
      <c r="AF128" s="131">
        <f t="shared" si="17"/>
        <v>0</v>
      </c>
      <c r="AG128" s="140">
        <f t="shared" si="18"/>
        <v>0</v>
      </c>
      <c r="AH128" s="140">
        <f t="shared" si="19"/>
        <v>0</v>
      </c>
      <c r="AI128" s="140">
        <f t="shared" si="20"/>
        <v>0</v>
      </c>
      <c r="AJ128" s="131">
        <f t="shared" si="21"/>
        <v>0</v>
      </c>
      <c r="AK128" s="131">
        <f t="shared" si="22"/>
        <v>0</v>
      </c>
      <c r="AL128" s="127">
        <f t="shared" si="23"/>
        <v>0</v>
      </c>
      <c r="AM128" s="140">
        <f t="shared" si="24"/>
        <v>0</v>
      </c>
      <c r="AN128" s="140">
        <f t="shared" si="25"/>
        <v>0</v>
      </c>
      <c r="AO128" s="140">
        <f t="shared" si="26"/>
        <v>0</v>
      </c>
      <c r="AP128" s="140">
        <f t="shared" si="27"/>
        <v>0</v>
      </c>
    </row>
    <row r="129" spans="2:42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AC129" s="131">
        <f t="shared" si="14"/>
        <v>0</v>
      </c>
      <c r="AD129" s="131">
        <f t="shared" si="15"/>
        <v>0</v>
      </c>
      <c r="AE129" s="131">
        <f t="shared" si="16"/>
        <v>0</v>
      </c>
      <c r="AF129" s="131">
        <f t="shared" si="17"/>
        <v>0</v>
      </c>
      <c r="AG129" s="140">
        <f t="shared" si="18"/>
        <v>0</v>
      </c>
      <c r="AH129" s="140">
        <f t="shared" si="19"/>
        <v>0</v>
      </c>
      <c r="AI129" s="140">
        <f t="shared" si="20"/>
        <v>0</v>
      </c>
      <c r="AJ129" s="131">
        <f t="shared" si="21"/>
        <v>0</v>
      </c>
      <c r="AK129" s="131">
        <f t="shared" si="22"/>
        <v>0</v>
      </c>
      <c r="AL129" s="127">
        <f t="shared" si="23"/>
        <v>0</v>
      </c>
      <c r="AM129" s="140">
        <f t="shared" si="24"/>
        <v>0</v>
      </c>
      <c r="AN129" s="140">
        <f t="shared" si="25"/>
        <v>0</v>
      </c>
      <c r="AO129" s="140">
        <f t="shared" si="26"/>
        <v>0</v>
      </c>
      <c r="AP129" s="140">
        <f t="shared" si="27"/>
        <v>0</v>
      </c>
    </row>
    <row r="130" spans="2:42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AC130" s="131">
        <f t="shared" si="14"/>
        <v>0</v>
      </c>
      <c r="AD130" s="131">
        <f t="shared" si="15"/>
        <v>0</v>
      </c>
      <c r="AE130" s="131">
        <f t="shared" si="16"/>
        <v>0</v>
      </c>
      <c r="AF130" s="131">
        <f t="shared" si="17"/>
        <v>0</v>
      </c>
      <c r="AG130" s="140">
        <f t="shared" si="18"/>
        <v>0</v>
      </c>
      <c r="AH130" s="140">
        <f t="shared" si="19"/>
        <v>0</v>
      </c>
      <c r="AI130" s="140">
        <f t="shared" si="20"/>
        <v>0</v>
      </c>
      <c r="AJ130" s="131">
        <f t="shared" si="21"/>
        <v>0</v>
      </c>
      <c r="AK130" s="131">
        <f t="shared" si="22"/>
        <v>0</v>
      </c>
      <c r="AL130" s="127">
        <f t="shared" si="23"/>
        <v>0</v>
      </c>
      <c r="AM130" s="140">
        <f t="shared" si="24"/>
        <v>0</v>
      </c>
      <c r="AN130" s="140">
        <f t="shared" si="25"/>
        <v>0</v>
      </c>
      <c r="AO130" s="140">
        <f t="shared" si="26"/>
        <v>0</v>
      </c>
      <c r="AP130" s="140">
        <f t="shared" si="27"/>
        <v>0</v>
      </c>
    </row>
    <row r="131" spans="2:42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AC131" s="131">
        <f t="shared" ref="AC131:AC194" si="28">+H131</f>
        <v>0</v>
      </c>
      <c r="AD131" s="131">
        <f t="shared" ref="AD131:AD194" si="29">+I131</f>
        <v>0</v>
      </c>
      <c r="AE131" s="131">
        <f t="shared" ref="AE131:AE194" si="30">+J131</f>
        <v>0</v>
      </c>
      <c r="AF131" s="131">
        <f t="shared" ref="AF131:AF194" si="31">+K131</f>
        <v>0</v>
      </c>
      <c r="AG131" s="140">
        <f t="shared" ref="AG131:AG194" si="32">+G131</f>
        <v>0</v>
      </c>
      <c r="AH131" s="140">
        <f t="shared" ref="AH131:AH194" si="33">+L131</f>
        <v>0</v>
      </c>
      <c r="AI131" s="140">
        <f t="shared" ref="AI131:AI194" si="34">+M131</f>
        <v>0</v>
      </c>
      <c r="AJ131" s="131">
        <f t="shared" ref="AJ131:AJ194" si="35">+T131</f>
        <v>0</v>
      </c>
      <c r="AK131" s="131">
        <f t="shared" ref="AK131:AK194" si="36">+N131+O131</f>
        <v>0</v>
      </c>
      <c r="AL131" s="127">
        <f t="shared" ref="AL131:AL194" si="37">ROUND(IFERROR(+AK131/AH131*100,0),2)</f>
        <v>0</v>
      </c>
      <c r="AM131" s="140">
        <f t="shared" ref="AM131:AM194" si="38">+P131+R131</f>
        <v>0</v>
      </c>
      <c r="AN131" s="140">
        <f t="shared" ref="AN131:AN194" si="39">+Q131+S131</f>
        <v>0</v>
      </c>
      <c r="AO131" s="140">
        <f t="shared" ref="AO131:AO194" si="40">+U131</f>
        <v>0</v>
      </c>
      <c r="AP131" s="140">
        <f t="shared" ref="AP131:AP194" si="41">+AG131+AH131+AJ131-AK131-AM131-AO131</f>
        <v>0</v>
      </c>
    </row>
    <row r="132" spans="2:42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AC132" s="131">
        <f t="shared" si="28"/>
        <v>0</v>
      </c>
      <c r="AD132" s="131">
        <f t="shared" si="29"/>
        <v>0</v>
      </c>
      <c r="AE132" s="131">
        <f t="shared" si="30"/>
        <v>0</v>
      </c>
      <c r="AF132" s="131">
        <f t="shared" si="31"/>
        <v>0</v>
      </c>
      <c r="AG132" s="140">
        <f t="shared" si="32"/>
        <v>0</v>
      </c>
      <c r="AH132" s="140">
        <f t="shared" si="33"/>
        <v>0</v>
      </c>
      <c r="AI132" s="140">
        <f t="shared" si="34"/>
        <v>0</v>
      </c>
      <c r="AJ132" s="131">
        <f t="shared" si="35"/>
        <v>0</v>
      </c>
      <c r="AK132" s="131">
        <f t="shared" si="36"/>
        <v>0</v>
      </c>
      <c r="AL132" s="127">
        <f t="shared" si="37"/>
        <v>0</v>
      </c>
      <c r="AM132" s="140">
        <f t="shared" si="38"/>
        <v>0</v>
      </c>
      <c r="AN132" s="140">
        <f t="shared" si="39"/>
        <v>0</v>
      </c>
      <c r="AO132" s="140">
        <f t="shared" si="40"/>
        <v>0</v>
      </c>
      <c r="AP132" s="140">
        <f t="shared" si="41"/>
        <v>0</v>
      </c>
    </row>
    <row r="133" spans="2:42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AC133" s="131">
        <f t="shared" si="28"/>
        <v>0</v>
      </c>
      <c r="AD133" s="131">
        <f t="shared" si="29"/>
        <v>0</v>
      </c>
      <c r="AE133" s="131">
        <f t="shared" si="30"/>
        <v>0</v>
      </c>
      <c r="AF133" s="131">
        <f t="shared" si="31"/>
        <v>0</v>
      </c>
      <c r="AG133" s="140">
        <f t="shared" si="32"/>
        <v>0</v>
      </c>
      <c r="AH133" s="140">
        <f t="shared" si="33"/>
        <v>0</v>
      </c>
      <c r="AI133" s="140">
        <f t="shared" si="34"/>
        <v>0</v>
      </c>
      <c r="AJ133" s="131">
        <f t="shared" si="35"/>
        <v>0</v>
      </c>
      <c r="AK133" s="131">
        <f t="shared" si="36"/>
        <v>0</v>
      </c>
      <c r="AL133" s="127">
        <f t="shared" si="37"/>
        <v>0</v>
      </c>
      <c r="AM133" s="140">
        <f t="shared" si="38"/>
        <v>0</v>
      </c>
      <c r="AN133" s="140">
        <f t="shared" si="39"/>
        <v>0</v>
      </c>
      <c r="AO133" s="140">
        <f t="shared" si="40"/>
        <v>0</v>
      </c>
      <c r="AP133" s="140">
        <f t="shared" si="41"/>
        <v>0</v>
      </c>
    </row>
    <row r="134" spans="2:42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AC134" s="131">
        <f t="shared" si="28"/>
        <v>0</v>
      </c>
      <c r="AD134" s="131">
        <f t="shared" si="29"/>
        <v>0</v>
      </c>
      <c r="AE134" s="131">
        <f t="shared" si="30"/>
        <v>0</v>
      </c>
      <c r="AF134" s="131">
        <f t="shared" si="31"/>
        <v>0</v>
      </c>
      <c r="AG134" s="140">
        <f t="shared" si="32"/>
        <v>0</v>
      </c>
      <c r="AH134" s="140">
        <f t="shared" si="33"/>
        <v>0</v>
      </c>
      <c r="AI134" s="140">
        <f t="shared" si="34"/>
        <v>0</v>
      </c>
      <c r="AJ134" s="131">
        <f t="shared" si="35"/>
        <v>0</v>
      </c>
      <c r="AK134" s="131">
        <f t="shared" si="36"/>
        <v>0</v>
      </c>
      <c r="AL134" s="127">
        <f t="shared" si="37"/>
        <v>0</v>
      </c>
      <c r="AM134" s="140">
        <f t="shared" si="38"/>
        <v>0</v>
      </c>
      <c r="AN134" s="140">
        <f t="shared" si="39"/>
        <v>0</v>
      </c>
      <c r="AO134" s="140">
        <f t="shared" si="40"/>
        <v>0</v>
      </c>
      <c r="AP134" s="140">
        <f t="shared" si="41"/>
        <v>0</v>
      </c>
    </row>
    <row r="135" spans="2:42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AC135" s="131">
        <f t="shared" si="28"/>
        <v>0</v>
      </c>
      <c r="AD135" s="131">
        <f t="shared" si="29"/>
        <v>0</v>
      </c>
      <c r="AE135" s="131">
        <f t="shared" si="30"/>
        <v>0</v>
      </c>
      <c r="AF135" s="131">
        <f t="shared" si="31"/>
        <v>0</v>
      </c>
      <c r="AG135" s="140">
        <f t="shared" si="32"/>
        <v>0</v>
      </c>
      <c r="AH135" s="140">
        <f t="shared" si="33"/>
        <v>0</v>
      </c>
      <c r="AI135" s="140">
        <f t="shared" si="34"/>
        <v>0</v>
      </c>
      <c r="AJ135" s="131">
        <f t="shared" si="35"/>
        <v>0</v>
      </c>
      <c r="AK135" s="131">
        <f t="shared" si="36"/>
        <v>0</v>
      </c>
      <c r="AL135" s="127">
        <f t="shared" si="37"/>
        <v>0</v>
      </c>
      <c r="AM135" s="140">
        <f t="shared" si="38"/>
        <v>0</v>
      </c>
      <c r="AN135" s="140">
        <f t="shared" si="39"/>
        <v>0</v>
      </c>
      <c r="AO135" s="140">
        <f t="shared" si="40"/>
        <v>0</v>
      </c>
      <c r="AP135" s="140">
        <f t="shared" si="41"/>
        <v>0</v>
      </c>
    </row>
    <row r="136" spans="2:42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AC136" s="131">
        <f t="shared" si="28"/>
        <v>0</v>
      </c>
      <c r="AD136" s="131">
        <f t="shared" si="29"/>
        <v>0</v>
      </c>
      <c r="AE136" s="131">
        <f t="shared" si="30"/>
        <v>0</v>
      </c>
      <c r="AF136" s="131">
        <f t="shared" si="31"/>
        <v>0</v>
      </c>
      <c r="AG136" s="140">
        <f t="shared" si="32"/>
        <v>0</v>
      </c>
      <c r="AH136" s="140">
        <f t="shared" si="33"/>
        <v>0</v>
      </c>
      <c r="AI136" s="140">
        <f t="shared" si="34"/>
        <v>0</v>
      </c>
      <c r="AJ136" s="131">
        <f t="shared" si="35"/>
        <v>0</v>
      </c>
      <c r="AK136" s="131">
        <f t="shared" si="36"/>
        <v>0</v>
      </c>
      <c r="AL136" s="127">
        <f t="shared" si="37"/>
        <v>0</v>
      </c>
      <c r="AM136" s="140">
        <f t="shared" si="38"/>
        <v>0</v>
      </c>
      <c r="AN136" s="140">
        <f t="shared" si="39"/>
        <v>0</v>
      </c>
      <c r="AO136" s="140">
        <f t="shared" si="40"/>
        <v>0</v>
      </c>
      <c r="AP136" s="140">
        <f t="shared" si="41"/>
        <v>0</v>
      </c>
    </row>
    <row r="137" spans="2:42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AC137" s="131">
        <f t="shared" si="28"/>
        <v>0</v>
      </c>
      <c r="AD137" s="131">
        <f t="shared" si="29"/>
        <v>0</v>
      </c>
      <c r="AE137" s="131">
        <f t="shared" si="30"/>
        <v>0</v>
      </c>
      <c r="AF137" s="131">
        <f t="shared" si="31"/>
        <v>0</v>
      </c>
      <c r="AG137" s="140">
        <f t="shared" si="32"/>
        <v>0</v>
      </c>
      <c r="AH137" s="140">
        <f t="shared" si="33"/>
        <v>0</v>
      </c>
      <c r="AI137" s="140">
        <f t="shared" si="34"/>
        <v>0</v>
      </c>
      <c r="AJ137" s="131">
        <f t="shared" si="35"/>
        <v>0</v>
      </c>
      <c r="AK137" s="131">
        <f t="shared" si="36"/>
        <v>0</v>
      </c>
      <c r="AL137" s="127">
        <f t="shared" si="37"/>
        <v>0</v>
      </c>
      <c r="AM137" s="140">
        <f t="shared" si="38"/>
        <v>0</v>
      </c>
      <c r="AN137" s="140">
        <f t="shared" si="39"/>
        <v>0</v>
      </c>
      <c r="AO137" s="140">
        <f t="shared" si="40"/>
        <v>0</v>
      </c>
      <c r="AP137" s="140">
        <f t="shared" si="41"/>
        <v>0</v>
      </c>
    </row>
    <row r="138" spans="2:42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AC138" s="131">
        <f t="shared" si="28"/>
        <v>0</v>
      </c>
      <c r="AD138" s="131">
        <f t="shared" si="29"/>
        <v>0</v>
      </c>
      <c r="AE138" s="131">
        <f t="shared" si="30"/>
        <v>0</v>
      </c>
      <c r="AF138" s="131">
        <f t="shared" si="31"/>
        <v>0</v>
      </c>
      <c r="AG138" s="140">
        <f t="shared" si="32"/>
        <v>0</v>
      </c>
      <c r="AH138" s="140">
        <f t="shared" si="33"/>
        <v>0</v>
      </c>
      <c r="AI138" s="140">
        <f t="shared" si="34"/>
        <v>0</v>
      </c>
      <c r="AJ138" s="131">
        <f t="shared" si="35"/>
        <v>0</v>
      </c>
      <c r="AK138" s="131">
        <f t="shared" si="36"/>
        <v>0</v>
      </c>
      <c r="AL138" s="127">
        <f t="shared" si="37"/>
        <v>0</v>
      </c>
      <c r="AM138" s="140">
        <f t="shared" si="38"/>
        <v>0</v>
      </c>
      <c r="AN138" s="140">
        <f t="shared" si="39"/>
        <v>0</v>
      </c>
      <c r="AO138" s="140">
        <f t="shared" si="40"/>
        <v>0</v>
      </c>
      <c r="AP138" s="140">
        <f t="shared" si="41"/>
        <v>0</v>
      </c>
    </row>
    <row r="139" spans="2:42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AC139" s="131">
        <f t="shared" si="28"/>
        <v>0</v>
      </c>
      <c r="AD139" s="131">
        <f t="shared" si="29"/>
        <v>0</v>
      </c>
      <c r="AE139" s="131">
        <f t="shared" si="30"/>
        <v>0</v>
      </c>
      <c r="AF139" s="131">
        <f t="shared" si="31"/>
        <v>0</v>
      </c>
      <c r="AG139" s="140">
        <f t="shared" si="32"/>
        <v>0</v>
      </c>
      <c r="AH139" s="140">
        <f t="shared" si="33"/>
        <v>0</v>
      </c>
      <c r="AI139" s="140">
        <f t="shared" si="34"/>
        <v>0</v>
      </c>
      <c r="AJ139" s="131">
        <f t="shared" si="35"/>
        <v>0</v>
      </c>
      <c r="AK139" s="131">
        <f t="shared" si="36"/>
        <v>0</v>
      </c>
      <c r="AL139" s="127">
        <f t="shared" si="37"/>
        <v>0</v>
      </c>
      <c r="AM139" s="140">
        <f t="shared" si="38"/>
        <v>0</v>
      </c>
      <c r="AN139" s="140">
        <f t="shared" si="39"/>
        <v>0</v>
      </c>
      <c r="AO139" s="140">
        <f t="shared" si="40"/>
        <v>0</v>
      </c>
      <c r="AP139" s="140">
        <f t="shared" si="41"/>
        <v>0</v>
      </c>
    </row>
    <row r="140" spans="2:42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AC140" s="131">
        <f t="shared" si="28"/>
        <v>0</v>
      </c>
      <c r="AD140" s="131">
        <f t="shared" si="29"/>
        <v>0</v>
      </c>
      <c r="AE140" s="131">
        <f t="shared" si="30"/>
        <v>0</v>
      </c>
      <c r="AF140" s="131">
        <f t="shared" si="31"/>
        <v>0</v>
      </c>
      <c r="AG140" s="140">
        <f t="shared" si="32"/>
        <v>0</v>
      </c>
      <c r="AH140" s="140">
        <f t="shared" si="33"/>
        <v>0</v>
      </c>
      <c r="AI140" s="140">
        <f t="shared" si="34"/>
        <v>0</v>
      </c>
      <c r="AJ140" s="131">
        <f t="shared" si="35"/>
        <v>0</v>
      </c>
      <c r="AK140" s="131">
        <f t="shared" si="36"/>
        <v>0</v>
      </c>
      <c r="AL140" s="127">
        <f t="shared" si="37"/>
        <v>0</v>
      </c>
      <c r="AM140" s="140">
        <f t="shared" si="38"/>
        <v>0</v>
      </c>
      <c r="AN140" s="140">
        <f t="shared" si="39"/>
        <v>0</v>
      </c>
      <c r="AO140" s="140">
        <f t="shared" si="40"/>
        <v>0</v>
      </c>
      <c r="AP140" s="140">
        <f t="shared" si="41"/>
        <v>0</v>
      </c>
    </row>
    <row r="141" spans="2:42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AC141" s="131">
        <f t="shared" si="28"/>
        <v>0</v>
      </c>
      <c r="AD141" s="131">
        <f t="shared" si="29"/>
        <v>0</v>
      </c>
      <c r="AE141" s="131">
        <f t="shared" si="30"/>
        <v>0</v>
      </c>
      <c r="AF141" s="131">
        <f t="shared" si="31"/>
        <v>0</v>
      </c>
      <c r="AG141" s="140">
        <f t="shared" si="32"/>
        <v>0</v>
      </c>
      <c r="AH141" s="140">
        <f t="shared" si="33"/>
        <v>0</v>
      </c>
      <c r="AI141" s="140">
        <f t="shared" si="34"/>
        <v>0</v>
      </c>
      <c r="AJ141" s="131">
        <f t="shared" si="35"/>
        <v>0</v>
      </c>
      <c r="AK141" s="131">
        <f t="shared" si="36"/>
        <v>0</v>
      </c>
      <c r="AL141" s="127">
        <f t="shared" si="37"/>
        <v>0</v>
      </c>
      <c r="AM141" s="140">
        <f t="shared" si="38"/>
        <v>0</v>
      </c>
      <c r="AN141" s="140">
        <f t="shared" si="39"/>
        <v>0</v>
      </c>
      <c r="AO141" s="140">
        <f t="shared" si="40"/>
        <v>0</v>
      </c>
      <c r="AP141" s="140">
        <f t="shared" si="41"/>
        <v>0</v>
      </c>
    </row>
    <row r="142" spans="2:42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AC142" s="131">
        <f t="shared" si="28"/>
        <v>0</v>
      </c>
      <c r="AD142" s="131">
        <f t="shared" si="29"/>
        <v>0</v>
      </c>
      <c r="AE142" s="131">
        <f t="shared" si="30"/>
        <v>0</v>
      </c>
      <c r="AF142" s="131">
        <f t="shared" si="31"/>
        <v>0</v>
      </c>
      <c r="AG142" s="140">
        <f t="shared" si="32"/>
        <v>0</v>
      </c>
      <c r="AH142" s="140">
        <f t="shared" si="33"/>
        <v>0</v>
      </c>
      <c r="AI142" s="140">
        <f t="shared" si="34"/>
        <v>0</v>
      </c>
      <c r="AJ142" s="131">
        <f t="shared" si="35"/>
        <v>0</v>
      </c>
      <c r="AK142" s="131">
        <f t="shared" si="36"/>
        <v>0</v>
      </c>
      <c r="AL142" s="127">
        <f t="shared" si="37"/>
        <v>0</v>
      </c>
      <c r="AM142" s="140">
        <f t="shared" si="38"/>
        <v>0</v>
      </c>
      <c r="AN142" s="140">
        <f t="shared" si="39"/>
        <v>0</v>
      </c>
      <c r="AO142" s="140">
        <f t="shared" si="40"/>
        <v>0</v>
      </c>
      <c r="AP142" s="140">
        <f t="shared" si="41"/>
        <v>0</v>
      </c>
    </row>
    <row r="143" spans="2:42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AC143" s="131">
        <f t="shared" si="28"/>
        <v>0</v>
      </c>
      <c r="AD143" s="131">
        <f t="shared" si="29"/>
        <v>0</v>
      </c>
      <c r="AE143" s="131">
        <f t="shared" si="30"/>
        <v>0</v>
      </c>
      <c r="AF143" s="131">
        <f t="shared" si="31"/>
        <v>0</v>
      </c>
      <c r="AG143" s="140">
        <f t="shared" si="32"/>
        <v>0</v>
      </c>
      <c r="AH143" s="140">
        <f t="shared" si="33"/>
        <v>0</v>
      </c>
      <c r="AI143" s="140">
        <f t="shared" si="34"/>
        <v>0</v>
      </c>
      <c r="AJ143" s="131">
        <f t="shared" si="35"/>
        <v>0</v>
      </c>
      <c r="AK143" s="131">
        <f t="shared" si="36"/>
        <v>0</v>
      </c>
      <c r="AL143" s="127">
        <f t="shared" si="37"/>
        <v>0</v>
      </c>
      <c r="AM143" s="140">
        <f t="shared" si="38"/>
        <v>0</v>
      </c>
      <c r="AN143" s="140">
        <f t="shared" si="39"/>
        <v>0</v>
      </c>
      <c r="AO143" s="140">
        <f t="shared" si="40"/>
        <v>0</v>
      </c>
      <c r="AP143" s="140">
        <f t="shared" si="41"/>
        <v>0</v>
      </c>
    </row>
    <row r="144" spans="2:42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AC144" s="131">
        <f t="shared" si="28"/>
        <v>0</v>
      </c>
      <c r="AD144" s="131">
        <f t="shared" si="29"/>
        <v>0</v>
      </c>
      <c r="AE144" s="131">
        <f t="shared" si="30"/>
        <v>0</v>
      </c>
      <c r="AF144" s="131">
        <f t="shared" si="31"/>
        <v>0</v>
      </c>
      <c r="AG144" s="140">
        <f t="shared" si="32"/>
        <v>0</v>
      </c>
      <c r="AH144" s="140">
        <f t="shared" si="33"/>
        <v>0</v>
      </c>
      <c r="AI144" s="140">
        <f t="shared" si="34"/>
        <v>0</v>
      </c>
      <c r="AJ144" s="131">
        <f t="shared" si="35"/>
        <v>0</v>
      </c>
      <c r="AK144" s="131">
        <f t="shared" si="36"/>
        <v>0</v>
      </c>
      <c r="AL144" s="127">
        <f t="shared" si="37"/>
        <v>0</v>
      </c>
      <c r="AM144" s="140">
        <f t="shared" si="38"/>
        <v>0</v>
      </c>
      <c r="AN144" s="140">
        <f t="shared" si="39"/>
        <v>0</v>
      </c>
      <c r="AO144" s="140">
        <f t="shared" si="40"/>
        <v>0</v>
      </c>
      <c r="AP144" s="140">
        <f t="shared" si="41"/>
        <v>0</v>
      </c>
    </row>
    <row r="145" spans="2:42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AC145" s="131">
        <f t="shared" si="28"/>
        <v>0</v>
      </c>
      <c r="AD145" s="131">
        <f t="shared" si="29"/>
        <v>0</v>
      </c>
      <c r="AE145" s="131">
        <f t="shared" si="30"/>
        <v>0</v>
      </c>
      <c r="AF145" s="131">
        <f t="shared" si="31"/>
        <v>0</v>
      </c>
      <c r="AG145" s="140">
        <f t="shared" si="32"/>
        <v>0</v>
      </c>
      <c r="AH145" s="140">
        <f t="shared" si="33"/>
        <v>0</v>
      </c>
      <c r="AI145" s="140">
        <f t="shared" si="34"/>
        <v>0</v>
      </c>
      <c r="AJ145" s="131">
        <f t="shared" si="35"/>
        <v>0</v>
      </c>
      <c r="AK145" s="131">
        <f t="shared" si="36"/>
        <v>0</v>
      </c>
      <c r="AL145" s="127">
        <f t="shared" si="37"/>
        <v>0</v>
      </c>
      <c r="AM145" s="140">
        <f t="shared" si="38"/>
        <v>0</v>
      </c>
      <c r="AN145" s="140">
        <f t="shared" si="39"/>
        <v>0</v>
      </c>
      <c r="AO145" s="140">
        <f t="shared" si="40"/>
        <v>0</v>
      </c>
      <c r="AP145" s="140">
        <f t="shared" si="41"/>
        <v>0</v>
      </c>
    </row>
    <row r="146" spans="2:42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AC146" s="131">
        <f t="shared" si="28"/>
        <v>0</v>
      </c>
      <c r="AD146" s="131">
        <f t="shared" si="29"/>
        <v>0</v>
      </c>
      <c r="AE146" s="131">
        <f t="shared" si="30"/>
        <v>0</v>
      </c>
      <c r="AF146" s="131">
        <f t="shared" si="31"/>
        <v>0</v>
      </c>
      <c r="AG146" s="140">
        <f t="shared" si="32"/>
        <v>0</v>
      </c>
      <c r="AH146" s="140">
        <f t="shared" si="33"/>
        <v>0</v>
      </c>
      <c r="AI146" s="140">
        <f t="shared" si="34"/>
        <v>0</v>
      </c>
      <c r="AJ146" s="131">
        <f t="shared" si="35"/>
        <v>0</v>
      </c>
      <c r="AK146" s="131">
        <f t="shared" si="36"/>
        <v>0</v>
      </c>
      <c r="AL146" s="127">
        <f t="shared" si="37"/>
        <v>0</v>
      </c>
      <c r="AM146" s="140">
        <f t="shared" si="38"/>
        <v>0</v>
      </c>
      <c r="AN146" s="140">
        <f t="shared" si="39"/>
        <v>0</v>
      </c>
      <c r="AO146" s="140">
        <f t="shared" si="40"/>
        <v>0</v>
      </c>
      <c r="AP146" s="140">
        <f t="shared" si="41"/>
        <v>0</v>
      </c>
    </row>
    <row r="147" spans="2:42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AC147" s="131">
        <f t="shared" si="28"/>
        <v>0</v>
      </c>
      <c r="AD147" s="131">
        <f t="shared" si="29"/>
        <v>0</v>
      </c>
      <c r="AE147" s="131">
        <f t="shared" si="30"/>
        <v>0</v>
      </c>
      <c r="AF147" s="131">
        <f t="shared" si="31"/>
        <v>0</v>
      </c>
      <c r="AG147" s="140">
        <f t="shared" si="32"/>
        <v>0</v>
      </c>
      <c r="AH147" s="140">
        <f t="shared" si="33"/>
        <v>0</v>
      </c>
      <c r="AI147" s="140">
        <f t="shared" si="34"/>
        <v>0</v>
      </c>
      <c r="AJ147" s="131">
        <f t="shared" si="35"/>
        <v>0</v>
      </c>
      <c r="AK147" s="131">
        <f t="shared" si="36"/>
        <v>0</v>
      </c>
      <c r="AL147" s="127">
        <f t="shared" si="37"/>
        <v>0</v>
      </c>
      <c r="AM147" s="140">
        <f t="shared" si="38"/>
        <v>0</v>
      </c>
      <c r="AN147" s="140">
        <f t="shared" si="39"/>
        <v>0</v>
      </c>
      <c r="AO147" s="140">
        <f t="shared" si="40"/>
        <v>0</v>
      </c>
      <c r="AP147" s="140">
        <f t="shared" si="41"/>
        <v>0</v>
      </c>
    </row>
    <row r="148" spans="2:42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AC148" s="131">
        <f t="shared" si="28"/>
        <v>0</v>
      </c>
      <c r="AD148" s="131">
        <f t="shared" si="29"/>
        <v>0</v>
      </c>
      <c r="AE148" s="131">
        <f t="shared" si="30"/>
        <v>0</v>
      </c>
      <c r="AF148" s="131">
        <f t="shared" si="31"/>
        <v>0</v>
      </c>
      <c r="AG148" s="140">
        <f t="shared" si="32"/>
        <v>0</v>
      </c>
      <c r="AH148" s="140">
        <f t="shared" si="33"/>
        <v>0</v>
      </c>
      <c r="AI148" s="140">
        <f t="shared" si="34"/>
        <v>0</v>
      </c>
      <c r="AJ148" s="131">
        <f t="shared" si="35"/>
        <v>0</v>
      </c>
      <c r="AK148" s="131">
        <f t="shared" si="36"/>
        <v>0</v>
      </c>
      <c r="AL148" s="127">
        <f t="shared" si="37"/>
        <v>0</v>
      </c>
      <c r="AM148" s="140">
        <f t="shared" si="38"/>
        <v>0</v>
      </c>
      <c r="AN148" s="140">
        <f t="shared" si="39"/>
        <v>0</v>
      </c>
      <c r="AO148" s="140">
        <f t="shared" si="40"/>
        <v>0</v>
      </c>
      <c r="AP148" s="140">
        <f t="shared" si="41"/>
        <v>0</v>
      </c>
    </row>
    <row r="149" spans="2:42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AC149" s="131">
        <f t="shared" si="28"/>
        <v>0</v>
      </c>
      <c r="AD149" s="131">
        <f t="shared" si="29"/>
        <v>0</v>
      </c>
      <c r="AE149" s="131">
        <f t="shared" si="30"/>
        <v>0</v>
      </c>
      <c r="AF149" s="131">
        <f t="shared" si="31"/>
        <v>0</v>
      </c>
      <c r="AG149" s="140">
        <f t="shared" si="32"/>
        <v>0</v>
      </c>
      <c r="AH149" s="140">
        <f t="shared" si="33"/>
        <v>0</v>
      </c>
      <c r="AI149" s="140">
        <f t="shared" si="34"/>
        <v>0</v>
      </c>
      <c r="AJ149" s="131">
        <f t="shared" si="35"/>
        <v>0</v>
      </c>
      <c r="AK149" s="131">
        <f t="shared" si="36"/>
        <v>0</v>
      </c>
      <c r="AL149" s="127">
        <f t="shared" si="37"/>
        <v>0</v>
      </c>
      <c r="AM149" s="140">
        <f t="shared" si="38"/>
        <v>0</v>
      </c>
      <c r="AN149" s="140">
        <f t="shared" si="39"/>
        <v>0</v>
      </c>
      <c r="AO149" s="140">
        <f t="shared" si="40"/>
        <v>0</v>
      </c>
      <c r="AP149" s="140">
        <f t="shared" si="41"/>
        <v>0</v>
      </c>
    </row>
    <row r="150" spans="2:42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AC150" s="131">
        <f t="shared" si="28"/>
        <v>0</v>
      </c>
      <c r="AD150" s="131">
        <f t="shared" si="29"/>
        <v>0</v>
      </c>
      <c r="AE150" s="131">
        <f t="shared" si="30"/>
        <v>0</v>
      </c>
      <c r="AF150" s="131">
        <f t="shared" si="31"/>
        <v>0</v>
      </c>
      <c r="AG150" s="140">
        <f t="shared" si="32"/>
        <v>0</v>
      </c>
      <c r="AH150" s="140">
        <f t="shared" si="33"/>
        <v>0</v>
      </c>
      <c r="AI150" s="140">
        <f t="shared" si="34"/>
        <v>0</v>
      </c>
      <c r="AJ150" s="131">
        <f t="shared" si="35"/>
        <v>0</v>
      </c>
      <c r="AK150" s="131">
        <f t="shared" si="36"/>
        <v>0</v>
      </c>
      <c r="AL150" s="127">
        <f t="shared" si="37"/>
        <v>0</v>
      </c>
      <c r="AM150" s="140">
        <f t="shared" si="38"/>
        <v>0</v>
      </c>
      <c r="AN150" s="140">
        <f t="shared" si="39"/>
        <v>0</v>
      </c>
      <c r="AO150" s="140">
        <f t="shared" si="40"/>
        <v>0</v>
      </c>
      <c r="AP150" s="140">
        <f t="shared" si="41"/>
        <v>0</v>
      </c>
    </row>
    <row r="151" spans="2:42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AC151" s="131">
        <f t="shared" si="28"/>
        <v>0</v>
      </c>
      <c r="AD151" s="131">
        <f t="shared" si="29"/>
        <v>0</v>
      </c>
      <c r="AE151" s="131">
        <f t="shared" si="30"/>
        <v>0</v>
      </c>
      <c r="AF151" s="131">
        <f t="shared" si="31"/>
        <v>0</v>
      </c>
      <c r="AG151" s="140">
        <f t="shared" si="32"/>
        <v>0</v>
      </c>
      <c r="AH151" s="140">
        <f t="shared" si="33"/>
        <v>0</v>
      </c>
      <c r="AI151" s="140">
        <f t="shared" si="34"/>
        <v>0</v>
      </c>
      <c r="AJ151" s="131">
        <f t="shared" si="35"/>
        <v>0</v>
      </c>
      <c r="AK151" s="131">
        <f t="shared" si="36"/>
        <v>0</v>
      </c>
      <c r="AL151" s="127">
        <f t="shared" si="37"/>
        <v>0</v>
      </c>
      <c r="AM151" s="140">
        <f t="shared" si="38"/>
        <v>0</v>
      </c>
      <c r="AN151" s="140">
        <f t="shared" si="39"/>
        <v>0</v>
      </c>
      <c r="AO151" s="140">
        <f t="shared" si="40"/>
        <v>0</v>
      </c>
      <c r="AP151" s="140">
        <f t="shared" si="41"/>
        <v>0</v>
      </c>
    </row>
    <row r="152" spans="2:42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AC152" s="131">
        <f t="shared" si="28"/>
        <v>0</v>
      </c>
      <c r="AD152" s="131">
        <f t="shared" si="29"/>
        <v>0</v>
      </c>
      <c r="AE152" s="131">
        <f t="shared" si="30"/>
        <v>0</v>
      </c>
      <c r="AF152" s="131">
        <f t="shared" si="31"/>
        <v>0</v>
      </c>
      <c r="AG152" s="140">
        <f t="shared" si="32"/>
        <v>0</v>
      </c>
      <c r="AH152" s="140">
        <f t="shared" si="33"/>
        <v>0</v>
      </c>
      <c r="AI152" s="140">
        <f t="shared" si="34"/>
        <v>0</v>
      </c>
      <c r="AJ152" s="131">
        <f t="shared" si="35"/>
        <v>0</v>
      </c>
      <c r="AK152" s="131">
        <f t="shared" si="36"/>
        <v>0</v>
      </c>
      <c r="AL152" s="127">
        <f t="shared" si="37"/>
        <v>0</v>
      </c>
      <c r="AM152" s="140">
        <f t="shared" si="38"/>
        <v>0</v>
      </c>
      <c r="AN152" s="140">
        <f t="shared" si="39"/>
        <v>0</v>
      </c>
      <c r="AO152" s="140">
        <f t="shared" si="40"/>
        <v>0</v>
      </c>
      <c r="AP152" s="140">
        <f t="shared" si="41"/>
        <v>0</v>
      </c>
    </row>
    <row r="153" spans="2:42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AC153" s="131">
        <f t="shared" si="28"/>
        <v>0</v>
      </c>
      <c r="AD153" s="131">
        <f t="shared" si="29"/>
        <v>0</v>
      </c>
      <c r="AE153" s="131">
        <f t="shared" si="30"/>
        <v>0</v>
      </c>
      <c r="AF153" s="131">
        <f t="shared" si="31"/>
        <v>0</v>
      </c>
      <c r="AG153" s="140">
        <f t="shared" si="32"/>
        <v>0</v>
      </c>
      <c r="AH153" s="140">
        <f t="shared" si="33"/>
        <v>0</v>
      </c>
      <c r="AI153" s="140">
        <f t="shared" si="34"/>
        <v>0</v>
      </c>
      <c r="AJ153" s="131">
        <f t="shared" si="35"/>
        <v>0</v>
      </c>
      <c r="AK153" s="131">
        <f t="shared" si="36"/>
        <v>0</v>
      </c>
      <c r="AL153" s="127">
        <f t="shared" si="37"/>
        <v>0</v>
      </c>
      <c r="AM153" s="140">
        <f t="shared" si="38"/>
        <v>0</v>
      </c>
      <c r="AN153" s="140">
        <f t="shared" si="39"/>
        <v>0</v>
      </c>
      <c r="AO153" s="140">
        <f t="shared" si="40"/>
        <v>0</v>
      </c>
      <c r="AP153" s="140">
        <f t="shared" si="41"/>
        <v>0</v>
      </c>
    </row>
    <row r="154" spans="2:42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AC154" s="131">
        <f t="shared" si="28"/>
        <v>0</v>
      </c>
      <c r="AD154" s="131">
        <f t="shared" si="29"/>
        <v>0</v>
      </c>
      <c r="AE154" s="131">
        <f t="shared" si="30"/>
        <v>0</v>
      </c>
      <c r="AF154" s="131">
        <f t="shared" si="31"/>
        <v>0</v>
      </c>
      <c r="AG154" s="140">
        <f t="shared" si="32"/>
        <v>0</v>
      </c>
      <c r="AH154" s="140">
        <f t="shared" si="33"/>
        <v>0</v>
      </c>
      <c r="AI154" s="140">
        <f t="shared" si="34"/>
        <v>0</v>
      </c>
      <c r="AJ154" s="131">
        <f t="shared" si="35"/>
        <v>0</v>
      </c>
      <c r="AK154" s="131">
        <f t="shared" si="36"/>
        <v>0</v>
      </c>
      <c r="AL154" s="127">
        <f t="shared" si="37"/>
        <v>0</v>
      </c>
      <c r="AM154" s="140">
        <f t="shared" si="38"/>
        <v>0</v>
      </c>
      <c r="AN154" s="140">
        <f t="shared" si="39"/>
        <v>0</v>
      </c>
      <c r="AO154" s="140">
        <f t="shared" si="40"/>
        <v>0</v>
      </c>
      <c r="AP154" s="140">
        <f t="shared" si="41"/>
        <v>0</v>
      </c>
    </row>
    <row r="155" spans="2:42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AC155" s="131">
        <f t="shared" si="28"/>
        <v>0</v>
      </c>
      <c r="AD155" s="131">
        <f t="shared" si="29"/>
        <v>0</v>
      </c>
      <c r="AE155" s="131">
        <f t="shared" si="30"/>
        <v>0</v>
      </c>
      <c r="AF155" s="131">
        <f t="shared" si="31"/>
        <v>0</v>
      </c>
      <c r="AG155" s="140">
        <f t="shared" si="32"/>
        <v>0</v>
      </c>
      <c r="AH155" s="140">
        <f t="shared" si="33"/>
        <v>0</v>
      </c>
      <c r="AI155" s="140">
        <f t="shared" si="34"/>
        <v>0</v>
      </c>
      <c r="AJ155" s="131">
        <f t="shared" si="35"/>
        <v>0</v>
      </c>
      <c r="AK155" s="131">
        <f t="shared" si="36"/>
        <v>0</v>
      </c>
      <c r="AL155" s="127">
        <f t="shared" si="37"/>
        <v>0</v>
      </c>
      <c r="AM155" s="140">
        <f t="shared" si="38"/>
        <v>0</v>
      </c>
      <c r="AN155" s="140">
        <f t="shared" si="39"/>
        <v>0</v>
      </c>
      <c r="AO155" s="140">
        <f t="shared" si="40"/>
        <v>0</v>
      </c>
      <c r="AP155" s="140">
        <f t="shared" si="41"/>
        <v>0</v>
      </c>
    </row>
    <row r="156" spans="2:42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AC156" s="131">
        <f t="shared" si="28"/>
        <v>0</v>
      </c>
      <c r="AD156" s="131">
        <f t="shared" si="29"/>
        <v>0</v>
      </c>
      <c r="AE156" s="131">
        <f t="shared" si="30"/>
        <v>0</v>
      </c>
      <c r="AF156" s="131">
        <f t="shared" si="31"/>
        <v>0</v>
      </c>
      <c r="AG156" s="140">
        <f t="shared" si="32"/>
        <v>0</v>
      </c>
      <c r="AH156" s="140">
        <f t="shared" si="33"/>
        <v>0</v>
      </c>
      <c r="AI156" s="140">
        <f t="shared" si="34"/>
        <v>0</v>
      </c>
      <c r="AJ156" s="131">
        <f t="shared" si="35"/>
        <v>0</v>
      </c>
      <c r="AK156" s="131">
        <f t="shared" si="36"/>
        <v>0</v>
      </c>
      <c r="AL156" s="127">
        <f t="shared" si="37"/>
        <v>0</v>
      </c>
      <c r="AM156" s="140">
        <f t="shared" si="38"/>
        <v>0</v>
      </c>
      <c r="AN156" s="140">
        <f t="shared" si="39"/>
        <v>0</v>
      </c>
      <c r="AO156" s="140">
        <f t="shared" si="40"/>
        <v>0</v>
      </c>
      <c r="AP156" s="140">
        <f t="shared" si="41"/>
        <v>0</v>
      </c>
    </row>
    <row r="157" spans="2:42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AC157" s="131">
        <f t="shared" si="28"/>
        <v>0</v>
      </c>
      <c r="AD157" s="131">
        <f t="shared" si="29"/>
        <v>0</v>
      </c>
      <c r="AE157" s="131">
        <f t="shared" si="30"/>
        <v>0</v>
      </c>
      <c r="AF157" s="131">
        <f t="shared" si="31"/>
        <v>0</v>
      </c>
      <c r="AG157" s="140">
        <f t="shared" si="32"/>
        <v>0</v>
      </c>
      <c r="AH157" s="140">
        <f t="shared" si="33"/>
        <v>0</v>
      </c>
      <c r="AI157" s="140">
        <f t="shared" si="34"/>
        <v>0</v>
      </c>
      <c r="AJ157" s="131">
        <f t="shared" si="35"/>
        <v>0</v>
      </c>
      <c r="AK157" s="131">
        <f t="shared" si="36"/>
        <v>0</v>
      </c>
      <c r="AL157" s="127">
        <f t="shared" si="37"/>
        <v>0</v>
      </c>
      <c r="AM157" s="140">
        <f t="shared" si="38"/>
        <v>0</v>
      </c>
      <c r="AN157" s="140">
        <f t="shared" si="39"/>
        <v>0</v>
      </c>
      <c r="AO157" s="140">
        <f t="shared" si="40"/>
        <v>0</v>
      </c>
      <c r="AP157" s="140">
        <f t="shared" si="41"/>
        <v>0</v>
      </c>
    </row>
    <row r="158" spans="2:42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AC158" s="131">
        <f t="shared" si="28"/>
        <v>0</v>
      </c>
      <c r="AD158" s="131">
        <f t="shared" si="29"/>
        <v>0</v>
      </c>
      <c r="AE158" s="131">
        <f t="shared" si="30"/>
        <v>0</v>
      </c>
      <c r="AF158" s="131">
        <f t="shared" si="31"/>
        <v>0</v>
      </c>
      <c r="AG158" s="140">
        <f t="shared" si="32"/>
        <v>0</v>
      </c>
      <c r="AH158" s="140">
        <f t="shared" si="33"/>
        <v>0</v>
      </c>
      <c r="AI158" s="140">
        <f t="shared" si="34"/>
        <v>0</v>
      </c>
      <c r="AJ158" s="131">
        <f t="shared" si="35"/>
        <v>0</v>
      </c>
      <c r="AK158" s="131">
        <f t="shared" si="36"/>
        <v>0</v>
      </c>
      <c r="AL158" s="127">
        <f t="shared" si="37"/>
        <v>0</v>
      </c>
      <c r="AM158" s="140">
        <f t="shared" si="38"/>
        <v>0</v>
      </c>
      <c r="AN158" s="140">
        <f t="shared" si="39"/>
        <v>0</v>
      </c>
      <c r="AO158" s="140">
        <f t="shared" si="40"/>
        <v>0</v>
      </c>
      <c r="AP158" s="140">
        <f t="shared" si="41"/>
        <v>0</v>
      </c>
    </row>
    <row r="159" spans="2:42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AC159" s="131">
        <f t="shared" si="28"/>
        <v>0</v>
      </c>
      <c r="AD159" s="131">
        <f t="shared" si="29"/>
        <v>0</v>
      </c>
      <c r="AE159" s="131">
        <f t="shared" si="30"/>
        <v>0</v>
      </c>
      <c r="AF159" s="131">
        <f t="shared" si="31"/>
        <v>0</v>
      </c>
      <c r="AG159" s="140">
        <f t="shared" si="32"/>
        <v>0</v>
      </c>
      <c r="AH159" s="140">
        <f t="shared" si="33"/>
        <v>0</v>
      </c>
      <c r="AI159" s="140">
        <f t="shared" si="34"/>
        <v>0</v>
      </c>
      <c r="AJ159" s="131">
        <f t="shared" si="35"/>
        <v>0</v>
      </c>
      <c r="AK159" s="131">
        <f t="shared" si="36"/>
        <v>0</v>
      </c>
      <c r="AL159" s="127">
        <f t="shared" si="37"/>
        <v>0</v>
      </c>
      <c r="AM159" s="140">
        <f t="shared" si="38"/>
        <v>0</v>
      </c>
      <c r="AN159" s="140">
        <f t="shared" si="39"/>
        <v>0</v>
      </c>
      <c r="AO159" s="140">
        <f t="shared" si="40"/>
        <v>0</v>
      </c>
      <c r="AP159" s="140">
        <f t="shared" si="41"/>
        <v>0</v>
      </c>
    </row>
    <row r="160" spans="2:42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AC160" s="131">
        <f t="shared" si="28"/>
        <v>0</v>
      </c>
      <c r="AD160" s="131">
        <f t="shared" si="29"/>
        <v>0</v>
      </c>
      <c r="AE160" s="131">
        <f t="shared" si="30"/>
        <v>0</v>
      </c>
      <c r="AF160" s="131">
        <f t="shared" si="31"/>
        <v>0</v>
      </c>
      <c r="AG160" s="140">
        <f t="shared" si="32"/>
        <v>0</v>
      </c>
      <c r="AH160" s="140">
        <f t="shared" si="33"/>
        <v>0</v>
      </c>
      <c r="AI160" s="140">
        <f t="shared" si="34"/>
        <v>0</v>
      </c>
      <c r="AJ160" s="131">
        <f t="shared" si="35"/>
        <v>0</v>
      </c>
      <c r="AK160" s="131">
        <f t="shared" si="36"/>
        <v>0</v>
      </c>
      <c r="AL160" s="127">
        <f t="shared" si="37"/>
        <v>0</v>
      </c>
      <c r="AM160" s="140">
        <f t="shared" si="38"/>
        <v>0</v>
      </c>
      <c r="AN160" s="140">
        <f t="shared" si="39"/>
        <v>0</v>
      </c>
      <c r="AO160" s="140">
        <f t="shared" si="40"/>
        <v>0</v>
      </c>
      <c r="AP160" s="140">
        <f t="shared" si="41"/>
        <v>0</v>
      </c>
    </row>
    <row r="161" spans="2:42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AC161" s="131">
        <f t="shared" si="28"/>
        <v>0</v>
      </c>
      <c r="AD161" s="131">
        <f t="shared" si="29"/>
        <v>0</v>
      </c>
      <c r="AE161" s="131">
        <f t="shared" si="30"/>
        <v>0</v>
      </c>
      <c r="AF161" s="131">
        <f t="shared" si="31"/>
        <v>0</v>
      </c>
      <c r="AG161" s="140">
        <f t="shared" si="32"/>
        <v>0</v>
      </c>
      <c r="AH161" s="140">
        <f t="shared" si="33"/>
        <v>0</v>
      </c>
      <c r="AI161" s="140">
        <f t="shared" si="34"/>
        <v>0</v>
      </c>
      <c r="AJ161" s="131">
        <f t="shared" si="35"/>
        <v>0</v>
      </c>
      <c r="AK161" s="131">
        <f t="shared" si="36"/>
        <v>0</v>
      </c>
      <c r="AL161" s="127">
        <f t="shared" si="37"/>
        <v>0</v>
      </c>
      <c r="AM161" s="140">
        <f t="shared" si="38"/>
        <v>0</v>
      </c>
      <c r="AN161" s="140">
        <f t="shared" si="39"/>
        <v>0</v>
      </c>
      <c r="AO161" s="140">
        <f t="shared" si="40"/>
        <v>0</v>
      </c>
      <c r="AP161" s="140">
        <f t="shared" si="41"/>
        <v>0</v>
      </c>
    </row>
    <row r="162" spans="2:42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AC162" s="131">
        <f t="shared" si="28"/>
        <v>0</v>
      </c>
      <c r="AD162" s="131">
        <f t="shared" si="29"/>
        <v>0</v>
      </c>
      <c r="AE162" s="131">
        <f t="shared" si="30"/>
        <v>0</v>
      </c>
      <c r="AF162" s="131">
        <f t="shared" si="31"/>
        <v>0</v>
      </c>
      <c r="AG162" s="140">
        <f t="shared" si="32"/>
        <v>0</v>
      </c>
      <c r="AH162" s="140">
        <f t="shared" si="33"/>
        <v>0</v>
      </c>
      <c r="AI162" s="140">
        <f t="shared" si="34"/>
        <v>0</v>
      </c>
      <c r="AJ162" s="131">
        <f t="shared" si="35"/>
        <v>0</v>
      </c>
      <c r="AK162" s="131">
        <f t="shared" si="36"/>
        <v>0</v>
      </c>
      <c r="AL162" s="127">
        <f t="shared" si="37"/>
        <v>0</v>
      </c>
      <c r="AM162" s="140">
        <f t="shared" si="38"/>
        <v>0</v>
      </c>
      <c r="AN162" s="140">
        <f t="shared" si="39"/>
        <v>0</v>
      </c>
      <c r="AO162" s="140">
        <f t="shared" si="40"/>
        <v>0</v>
      </c>
      <c r="AP162" s="140">
        <f t="shared" si="41"/>
        <v>0</v>
      </c>
    </row>
    <row r="163" spans="2:42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AC163" s="131">
        <f t="shared" si="28"/>
        <v>0</v>
      </c>
      <c r="AD163" s="131">
        <f t="shared" si="29"/>
        <v>0</v>
      </c>
      <c r="AE163" s="131">
        <f t="shared" si="30"/>
        <v>0</v>
      </c>
      <c r="AF163" s="131">
        <f t="shared" si="31"/>
        <v>0</v>
      </c>
      <c r="AG163" s="140">
        <f t="shared" si="32"/>
        <v>0</v>
      </c>
      <c r="AH163" s="140">
        <f t="shared" si="33"/>
        <v>0</v>
      </c>
      <c r="AI163" s="140">
        <f t="shared" si="34"/>
        <v>0</v>
      </c>
      <c r="AJ163" s="131">
        <f t="shared" si="35"/>
        <v>0</v>
      </c>
      <c r="AK163" s="131">
        <f t="shared" si="36"/>
        <v>0</v>
      </c>
      <c r="AL163" s="127">
        <f t="shared" si="37"/>
        <v>0</v>
      </c>
      <c r="AM163" s="140">
        <f t="shared" si="38"/>
        <v>0</v>
      </c>
      <c r="AN163" s="140">
        <f t="shared" si="39"/>
        <v>0</v>
      </c>
      <c r="AO163" s="140">
        <f t="shared" si="40"/>
        <v>0</v>
      </c>
      <c r="AP163" s="140">
        <f t="shared" si="41"/>
        <v>0</v>
      </c>
    </row>
    <row r="164" spans="2:42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AC164" s="131">
        <f t="shared" si="28"/>
        <v>0</v>
      </c>
      <c r="AD164" s="131">
        <f t="shared" si="29"/>
        <v>0</v>
      </c>
      <c r="AE164" s="131">
        <f t="shared" si="30"/>
        <v>0</v>
      </c>
      <c r="AF164" s="131">
        <f t="shared" si="31"/>
        <v>0</v>
      </c>
      <c r="AG164" s="140">
        <f t="shared" si="32"/>
        <v>0</v>
      </c>
      <c r="AH164" s="140">
        <f t="shared" si="33"/>
        <v>0</v>
      </c>
      <c r="AI164" s="140">
        <f t="shared" si="34"/>
        <v>0</v>
      </c>
      <c r="AJ164" s="131">
        <f t="shared" si="35"/>
        <v>0</v>
      </c>
      <c r="AK164" s="131">
        <f t="shared" si="36"/>
        <v>0</v>
      </c>
      <c r="AL164" s="127">
        <f t="shared" si="37"/>
        <v>0</v>
      </c>
      <c r="AM164" s="140">
        <f t="shared" si="38"/>
        <v>0</v>
      </c>
      <c r="AN164" s="140">
        <f t="shared" si="39"/>
        <v>0</v>
      </c>
      <c r="AO164" s="140">
        <f t="shared" si="40"/>
        <v>0</v>
      </c>
      <c r="AP164" s="140">
        <f t="shared" si="41"/>
        <v>0</v>
      </c>
    </row>
    <row r="165" spans="2:42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AC165" s="131">
        <f t="shared" si="28"/>
        <v>0</v>
      </c>
      <c r="AD165" s="131">
        <f t="shared" si="29"/>
        <v>0</v>
      </c>
      <c r="AE165" s="131">
        <f t="shared" si="30"/>
        <v>0</v>
      </c>
      <c r="AF165" s="131">
        <f t="shared" si="31"/>
        <v>0</v>
      </c>
      <c r="AG165" s="140">
        <f t="shared" si="32"/>
        <v>0</v>
      </c>
      <c r="AH165" s="140">
        <f t="shared" si="33"/>
        <v>0</v>
      </c>
      <c r="AI165" s="140">
        <f t="shared" si="34"/>
        <v>0</v>
      </c>
      <c r="AJ165" s="131">
        <f t="shared" si="35"/>
        <v>0</v>
      </c>
      <c r="AK165" s="131">
        <f t="shared" si="36"/>
        <v>0</v>
      </c>
      <c r="AL165" s="127">
        <f t="shared" si="37"/>
        <v>0</v>
      </c>
      <c r="AM165" s="140">
        <f t="shared" si="38"/>
        <v>0</v>
      </c>
      <c r="AN165" s="140">
        <f t="shared" si="39"/>
        <v>0</v>
      </c>
      <c r="AO165" s="140">
        <f t="shared" si="40"/>
        <v>0</v>
      </c>
      <c r="AP165" s="140">
        <f t="shared" si="41"/>
        <v>0</v>
      </c>
    </row>
    <row r="166" spans="2:42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AC166" s="131">
        <f t="shared" si="28"/>
        <v>0</v>
      </c>
      <c r="AD166" s="131">
        <f t="shared" si="29"/>
        <v>0</v>
      </c>
      <c r="AE166" s="131">
        <f t="shared" si="30"/>
        <v>0</v>
      </c>
      <c r="AF166" s="131">
        <f t="shared" si="31"/>
        <v>0</v>
      </c>
      <c r="AG166" s="140">
        <f t="shared" si="32"/>
        <v>0</v>
      </c>
      <c r="AH166" s="140">
        <f t="shared" si="33"/>
        <v>0</v>
      </c>
      <c r="AI166" s="140">
        <f t="shared" si="34"/>
        <v>0</v>
      </c>
      <c r="AJ166" s="131">
        <f t="shared" si="35"/>
        <v>0</v>
      </c>
      <c r="AK166" s="131">
        <f t="shared" si="36"/>
        <v>0</v>
      </c>
      <c r="AL166" s="127">
        <f t="shared" si="37"/>
        <v>0</v>
      </c>
      <c r="AM166" s="140">
        <f t="shared" si="38"/>
        <v>0</v>
      </c>
      <c r="AN166" s="140">
        <f t="shared" si="39"/>
        <v>0</v>
      </c>
      <c r="AO166" s="140">
        <f t="shared" si="40"/>
        <v>0</v>
      </c>
      <c r="AP166" s="140">
        <f t="shared" si="41"/>
        <v>0</v>
      </c>
    </row>
    <row r="167" spans="2:42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AC167" s="131">
        <f t="shared" si="28"/>
        <v>0</v>
      </c>
      <c r="AD167" s="131">
        <f t="shared" si="29"/>
        <v>0</v>
      </c>
      <c r="AE167" s="131">
        <f t="shared" si="30"/>
        <v>0</v>
      </c>
      <c r="AF167" s="131">
        <f t="shared" si="31"/>
        <v>0</v>
      </c>
      <c r="AG167" s="140">
        <f t="shared" si="32"/>
        <v>0</v>
      </c>
      <c r="AH167" s="140">
        <f t="shared" si="33"/>
        <v>0</v>
      </c>
      <c r="AI167" s="140">
        <f t="shared" si="34"/>
        <v>0</v>
      </c>
      <c r="AJ167" s="131">
        <f t="shared" si="35"/>
        <v>0</v>
      </c>
      <c r="AK167" s="131">
        <f t="shared" si="36"/>
        <v>0</v>
      </c>
      <c r="AL167" s="127">
        <f t="shared" si="37"/>
        <v>0</v>
      </c>
      <c r="AM167" s="140">
        <f t="shared" si="38"/>
        <v>0</v>
      </c>
      <c r="AN167" s="140">
        <f t="shared" si="39"/>
        <v>0</v>
      </c>
      <c r="AO167" s="140">
        <f t="shared" si="40"/>
        <v>0</v>
      </c>
      <c r="AP167" s="140">
        <f t="shared" si="41"/>
        <v>0</v>
      </c>
    </row>
    <row r="168" spans="2:42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AC168" s="131">
        <f t="shared" si="28"/>
        <v>0</v>
      </c>
      <c r="AD168" s="131">
        <f t="shared" si="29"/>
        <v>0</v>
      </c>
      <c r="AE168" s="131">
        <f t="shared" si="30"/>
        <v>0</v>
      </c>
      <c r="AF168" s="131">
        <f t="shared" si="31"/>
        <v>0</v>
      </c>
      <c r="AG168" s="140">
        <f t="shared" si="32"/>
        <v>0</v>
      </c>
      <c r="AH168" s="140">
        <f t="shared" si="33"/>
        <v>0</v>
      </c>
      <c r="AI168" s="140">
        <f t="shared" si="34"/>
        <v>0</v>
      </c>
      <c r="AJ168" s="131">
        <f t="shared" si="35"/>
        <v>0</v>
      </c>
      <c r="AK168" s="131">
        <f t="shared" si="36"/>
        <v>0</v>
      </c>
      <c r="AL168" s="127">
        <f t="shared" si="37"/>
        <v>0</v>
      </c>
      <c r="AM168" s="140">
        <f t="shared" si="38"/>
        <v>0</v>
      </c>
      <c r="AN168" s="140">
        <f t="shared" si="39"/>
        <v>0</v>
      </c>
      <c r="AO168" s="140">
        <f t="shared" si="40"/>
        <v>0</v>
      </c>
      <c r="AP168" s="140">
        <f t="shared" si="41"/>
        <v>0</v>
      </c>
    </row>
    <row r="169" spans="2:42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AC169" s="131">
        <f t="shared" si="28"/>
        <v>0</v>
      </c>
      <c r="AD169" s="131">
        <f t="shared" si="29"/>
        <v>0</v>
      </c>
      <c r="AE169" s="131">
        <f t="shared" si="30"/>
        <v>0</v>
      </c>
      <c r="AF169" s="131">
        <f t="shared" si="31"/>
        <v>0</v>
      </c>
      <c r="AG169" s="140">
        <f t="shared" si="32"/>
        <v>0</v>
      </c>
      <c r="AH169" s="140">
        <f t="shared" si="33"/>
        <v>0</v>
      </c>
      <c r="AI169" s="140">
        <f t="shared" si="34"/>
        <v>0</v>
      </c>
      <c r="AJ169" s="131">
        <f t="shared" si="35"/>
        <v>0</v>
      </c>
      <c r="AK169" s="131">
        <f t="shared" si="36"/>
        <v>0</v>
      </c>
      <c r="AL169" s="127">
        <f t="shared" si="37"/>
        <v>0</v>
      </c>
      <c r="AM169" s="140">
        <f t="shared" si="38"/>
        <v>0</v>
      </c>
      <c r="AN169" s="140">
        <f t="shared" si="39"/>
        <v>0</v>
      </c>
      <c r="AO169" s="140">
        <f t="shared" si="40"/>
        <v>0</v>
      </c>
      <c r="AP169" s="140">
        <f t="shared" si="41"/>
        <v>0</v>
      </c>
    </row>
    <row r="170" spans="2:42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AC170" s="131">
        <f t="shared" si="28"/>
        <v>0</v>
      </c>
      <c r="AD170" s="131">
        <f t="shared" si="29"/>
        <v>0</v>
      </c>
      <c r="AE170" s="131">
        <f t="shared" si="30"/>
        <v>0</v>
      </c>
      <c r="AF170" s="131">
        <f t="shared" si="31"/>
        <v>0</v>
      </c>
      <c r="AG170" s="140">
        <f t="shared" si="32"/>
        <v>0</v>
      </c>
      <c r="AH170" s="140">
        <f t="shared" si="33"/>
        <v>0</v>
      </c>
      <c r="AI170" s="140">
        <f t="shared" si="34"/>
        <v>0</v>
      </c>
      <c r="AJ170" s="131">
        <f t="shared" si="35"/>
        <v>0</v>
      </c>
      <c r="AK170" s="131">
        <f t="shared" si="36"/>
        <v>0</v>
      </c>
      <c r="AL170" s="127">
        <f t="shared" si="37"/>
        <v>0</v>
      </c>
      <c r="AM170" s="140">
        <f t="shared" si="38"/>
        <v>0</v>
      </c>
      <c r="AN170" s="140">
        <f t="shared" si="39"/>
        <v>0</v>
      </c>
      <c r="AO170" s="140">
        <f t="shared" si="40"/>
        <v>0</v>
      </c>
      <c r="AP170" s="140">
        <f t="shared" si="41"/>
        <v>0</v>
      </c>
    </row>
    <row r="171" spans="2:42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AC171" s="131">
        <f t="shared" si="28"/>
        <v>0</v>
      </c>
      <c r="AD171" s="131">
        <f t="shared" si="29"/>
        <v>0</v>
      </c>
      <c r="AE171" s="131">
        <f t="shared" si="30"/>
        <v>0</v>
      </c>
      <c r="AF171" s="131">
        <f t="shared" si="31"/>
        <v>0</v>
      </c>
      <c r="AG171" s="140">
        <f t="shared" si="32"/>
        <v>0</v>
      </c>
      <c r="AH171" s="140">
        <f t="shared" si="33"/>
        <v>0</v>
      </c>
      <c r="AI171" s="140">
        <f t="shared" si="34"/>
        <v>0</v>
      </c>
      <c r="AJ171" s="131">
        <f t="shared" si="35"/>
        <v>0</v>
      </c>
      <c r="AK171" s="131">
        <f t="shared" si="36"/>
        <v>0</v>
      </c>
      <c r="AL171" s="127">
        <f t="shared" si="37"/>
        <v>0</v>
      </c>
      <c r="AM171" s="140">
        <f t="shared" si="38"/>
        <v>0</v>
      </c>
      <c r="AN171" s="140">
        <f t="shared" si="39"/>
        <v>0</v>
      </c>
      <c r="AO171" s="140">
        <f t="shared" si="40"/>
        <v>0</v>
      </c>
      <c r="AP171" s="140">
        <f t="shared" si="41"/>
        <v>0</v>
      </c>
    </row>
    <row r="172" spans="2:42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AC172" s="131">
        <f t="shared" si="28"/>
        <v>0</v>
      </c>
      <c r="AD172" s="131">
        <f t="shared" si="29"/>
        <v>0</v>
      </c>
      <c r="AE172" s="131">
        <f t="shared" si="30"/>
        <v>0</v>
      </c>
      <c r="AF172" s="131">
        <f t="shared" si="31"/>
        <v>0</v>
      </c>
      <c r="AG172" s="140">
        <f t="shared" si="32"/>
        <v>0</v>
      </c>
      <c r="AH172" s="140">
        <f t="shared" si="33"/>
        <v>0</v>
      </c>
      <c r="AI172" s="140">
        <f t="shared" si="34"/>
        <v>0</v>
      </c>
      <c r="AJ172" s="131">
        <f t="shared" si="35"/>
        <v>0</v>
      </c>
      <c r="AK172" s="131">
        <f t="shared" si="36"/>
        <v>0</v>
      </c>
      <c r="AL172" s="127">
        <f t="shared" si="37"/>
        <v>0</v>
      </c>
      <c r="AM172" s="140">
        <f t="shared" si="38"/>
        <v>0</v>
      </c>
      <c r="AN172" s="140">
        <f t="shared" si="39"/>
        <v>0</v>
      </c>
      <c r="AO172" s="140">
        <f t="shared" si="40"/>
        <v>0</v>
      </c>
      <c r="AP172" s="140">
        <f t="shared" si="41"/>
        <v>0</v>
      </c>
    </row>
    <row r="173" spans="2:42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AC173" s="131">
        <f t="shared" si="28"/>
        <v>0</v>
      </c>
      <c r="AD173" s="131">
        <f t="shared" si="29"/>
        <v>0</v>
      </c>
      <c r="AE173" s="131">
        <f t="shared" si="30"/>
        <v>0</v>
      </c>
      <c r="AF173" s="131">
        <f t="shared" si="31"/>
        <v>0</v>
      </c>
      <c r="AG173" s="140">
        <f t="shared" si="32"/>
        <v>0</v>
      </c>
      <c r="AH173" s="140">
        <f t="shared" si="33"/>
        <v>0</v>
      </c>
      <c r="AI173" s="140">
        <f t="shared" si="34"/>
        <v>0</v>
      </c>
      <c r="AJ173" s="131">
        <f t="shared" si="35"/>
        <v>0</v>
      </c>
      <c r="AK173" s="131">
        <f t="shared" si="36"/>
        <v>0</v>
      </c>
      <c r="AL173" s="127">
        <f t="shared" si="37"/>
        <v>0</v>
      </c>
      <c r="AM173" s="140">
        <f t="shared" si="38"/>
        <v>0</v>
      </c>
      <c r="AN173" s="140">
        <f t="shared" si="39"/>
        <v>0</v>
      </c>
      <c r="AO173" s="140">
        <f t="shared" si="40"/>
        <v>0</v>
      </c>
      <c r="AP173" s="140">
        <f t="shared" si="41"/>
        <v>0</v>
      </c>
    </row>
    <row r="174" spans="2:42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AC174" s="131">
        <f t="shared" si="28"/>
        <v>0</v>
      </c>
      <c r="AD174" s="131">
        <f t="shared" si="29"/>
        <v>0</v>
      </c>
      <c r="AE174" s="131">
        <f t="shared" si="30"/>
        <v>0</v>
      </c>
      <c r="AF174" s="131">
        <f t="shared" si="31"/>
        <v>0</v>
      </c>
      <c r="AG174" s="140">
        <f t="shared" si="32"/>
        <v>0</v>
      </c>
      <c r="AH174" s="140">
        <f t="shared" si="33"/>
        <v>0</v>
      </c>
      <c r="AI174" s="140">
        <f t="shared" si="34"/>
        <v>0</v>
      </c>
      <c r="AJ174" s="131">
        <f t="shared" si="35"/>
        <v>0</v>
      </c>
      <c r="AK174" s="131">
        <f t="shared" si="36"/>
        <v>0</v>
      </c>
      <c r="AL174" s="127">
        <f t="shared" si="37"/>
        <v>0</v>
      </c>
      <c r="AM174" s="140">
        <f t="shared" si="38"/>
        <v>0</v>
      </c>
      <c r="AN174" s="140">
        <f t="shared" si="39"/>
        <v>0</v>
      </c>
      <c r="AO174" s="140">
        <f t="shared" si="40"/>
        <v>0</v>
      </c>
      <c r="AP174" s="140">
        <f t="shared" si="41"/>
        <v>0</v>
      </c>
    </row>
    <row r="175" spans="2:42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AC175" s="131">
        <f t="shared" si="28"/>
        <v>0</v>
      </c>
      <c r="AD175" s="131">
        <f t="shared" si="29"/>
        <v>0</v>
      </c>
      <c r="AE175" s="131">
        <f t="shared" si="30"/>
        <v>0</v>
      </c>
      <c r="AF175" s="131">
        <f t="shared" si="31"/>
        <v>0</v>
      </c>
      <c r="AG175" s="140">
        <f t="shared" si="32"/>
        <v>0</v>
      </c>
      <c r="AH175" s="140">
        <f t="shared" si="33"/>
        <v>0</v>
      </c>
      <c r="AI175" s="140">
        <f t="shared" si="34"/>
        <v>0</v>
      </c>
      <c r="AJ175" s="131">
        <f t="shared" si="35"/>
        <v>0</v>
      </c>
      <c r="AK175" s="131">
        <f t="shared" si="36"/>
        <v>0</v>
      </c>
      <c r="AL175" s="127">
        <f t="shared" si="37"/>
        <v>0</v>
      </c>
      <c r="AM175" s="140">
        <f t="shared" si="38"/>
        <v>0</v>
      </c>
      <c r="AN175" s="140">
        <f t="shared" si="39"/>
        <v>0</v>
      </c>
      <c r="AO175" s="140">
        <f t="shared" si="40"/>
        <v>0</v>
      </c>
      <c r="AP175" s="140">
        <f t="shared" si="41"/>
        <v>0</v>
      </c>
    </row>
    <row r="176" spans="2:42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AC176" s="131">
        <f t="shared" si="28"/>
        <v>0</v>
      </c>
      <c r="AD176" s="131">
        <f t="shared" si="29"/>
        <v>0</v>
      </c>
      <c r="AE176" s="131">
        <f t="shared" si="30"/>
        <v>0</v>
      </c>
      <c r="AF176" s="131">
        <f t="shared" si="31"/>
        <v>0</v>
      </c>
      <c r="AG176" s="140">
        <f t="shared" si="32"/>
        <v>0</v>
      </c>
      <c r="AH176" s="140">
        <f t="shared" si="33"/>
        <v>0</v>
      </c>
      <c r="AI176" s="140">
        <f t="shared" si="34"/>
        <v>0</v>
      </c>
      <c r="AJ176" s="131">
        <f t="shared" si="35"/>
        <v>0</v>
      </c>
      <c r="AK176" s="131">
        <f t="shared" si="36"/>
        <v>0</v>
      </c>
      <c r="AL176" s="127">
        <f t="shared" si="37"/>
        <v>0</v>
      </c>
      <c r="AM176" s="140">
        <f t="shared" si="38"/>
        <v>0</v>
      </c>
      <c r="AN176" s="140">
        <f t="shared" si="39"/>
        <v>0</v>
      </c>
      <c r="AO176" s="140">
        <f t="shared" si="40"/>
        <v>0</v>
      </c>
      <c r="AP176" s="140">
        <f t="shared" si="41"/>
        <v>0</v>
      </c>
    </row>
    <row r="177" spans="2:42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AC177" s="131">
        <f t="shared" si="28"/>
        <v>0</v>
      </c>
      <c r="AD177" s="131">
        <f t="shared" si="29"/>
        <v>0</v>
      </c>
      <c r="AE177" s="131">
        <f t="shared" si="30"/>
        <v>0</v>
      </c>
      <c r="AF177" s="131">
        <f t="shared" si="31"/>
        <v>0</v>
      </c>
      <c r="AG177" s="140">
        <f t="shared" si="32"/>
        <v>0</v>
      </c>
      <c r="AH177" s="140">
        <f t="shared" si="33"/>
        <v>0</v>
      </c>
      <c r="AI177" s="140">
        <f t="shared" si="34"/>
        <v>0</v>
      </c>
      <c r="AJ177" s="131">
        <f t="shared" si="35"/>
        <v>0</v>
      </c>
      <c r="AK177" s="131">
        <f t="shared" si="36"/>
        <v>0</v>
      </c>
      <c r="AL177" s="127">
        <f t="shared" si="37"/>
        <v>0</v>
      </c>
      <c r="AM177" s="140">
        <f t="shared" si="38"/>
        <v>0</v>
      </c>
      <c r="AN177" s="140">
        <f t="shared" si="39"/>
        <v>0</v>
      </c>
      <c r="AO177" s="140">
        <f t="shared" si="40"/>
        <v>0</v>
      </c>
      <c r="AP177" s="140">
        <f t="shared" si="41"/>
        <v>0</v>
      </c>
    </row>
    <row r="178" spans="2:42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AC178" s="131">
        <f t="shared" si="28"/>
        <v>0</v>
      </c>
      <c r="AD178" s="131">
        <f t="shared" si="29"/>
        <v>0</v>
      </c>
      <c r="AE178" s="131">
        <f t="shared" si="30"/>
        <v>0</v>
      </c>
      <c r="AF178" s="131">
        <f t="shared" si="31"/>
        <v>0</v>
      </c>
      <c r="AG178" s="140">
        <f t="shared" si="32"/>
        <v>0</v>
      </c>
      <c r="AH178" s="140">
        <f t="shared" si="33"/>
        <v>0</v>
      </c>
      <c r="AI178" s="140">
        <f t="shared" si="34"/>
        <v>0</v>
      </c>
      <c r="AJ178" s="131">
        <f t="shared" si="35"/>
        <v>0</v>
      </c>
      <c r="AK178" s="131">
        <f t="shared" si="36"/>
        <v>0</v>
      </c>
      <c r="AL178" s="127">
        <f t="shared" si="37"/>
        <v>0</v>
      </c>
      <c r="AM178" s="140">
        <f t="shared" si="38"/>
        <v>0</v>
      </c>
      <c r="AN178" s="140">
        <f t="shared" si="39"/>
        <v>0</v>
      </c>
      <c r="AO178" s="140">
        <f t="shared" si="40"/>
        <v>0</v>
      </c>
      <c r="AP178" s="140">
        <f t="shared" si="41"/>
        <v>0</v>
      </c>
    </row>
    <row r="179" spans="2:42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AC179" s="131">
        <f t="shared" si="28"/>
        <v>0</v>
      </c>
      <c r="AD179" s="131">
        <f t="shared" si="29"/>
        <v>0</v>
      </c>
      <c r="AE179" s="131">
        <f t="shared" si="30"/>
        <v>0</v>
      </c>
      <c r="AF179" s="131">
        <f t="shared" si="31"/>
        <v>0</v>
      </c>
      <c r="AG179" s="140">
        <f t="shared" si="32"/>
        <v>0</v>
      </c>
      <c r="AH179" s="140">
        <f t="shared" si="33"/>
        <v>0</v>
      </c>
      <c r="AI179" s="140">
        <f t="shared" si="34"/>
        <v>0</v>
      </c>
      <c r="AJ179" s="131">
        <f t="shared" si="35"/>
        <v>0</v>
      </c>
      <c r="AK179" s="131">
        <f t="shared" si="36"/>
        <v>0</v>
      </c>
      <c r="AL179" s="127">
        <f t="shared" si="37"/>
        <v>0</v>
      </c>
      <c r="AM179" s="140">
        <f t="shared" si="38"/>
        <v>0</v>
      </c>
      <c r="AN179" s="140">
        <f t="shared" si="39"/>
        <v>0</v>
      </c>
      <c r="AO179" s="140">
        <f t="shared" si="40"/>
        <v>0</v>
      </c>
      <c r="AP179" s="140">
        <f t="shared" si="41"/>
        <v>0</v>
      </c>
    </row>
    <row r="180" spans="2:42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AC180" s="131">
        <f t="shared" si="28"/>
        <v>0</v>
      </c>
      <c r="AD180" s="131">
        <f t="shared" si="29"/>
        <v>0</v>
      </c>
      <c r="AE180" s="131">
        <f t="shared" si="30"/>
        <v>0</v>
      </c>
      <c r="AF180" s="131">
        <f t="shared" si="31"/>
        <v>0</v>
      </c>
      <c r="AG180" s="140">
        <f t="shared" si="32"/>
        <v>0</v>
      </c>
      <c r="AH180" s="140">
        <f t="shared" si="33"/>
        <v>0</v>
      </c>
      <c r="AI180" s="140">
        <f t="shared" si="34"/>
        <v>0</v>
      </c>
      <c r="AJ180" s="131">
        <f t="shared" si="35"/>
        <v>0</v>
      </c>
      <c r="AK180" s="131">
        <f t="shared" si="36"/>
        <v>0</v>
      </c>
      <c r="AL180" s="127">
        <f t="shared" si="37"/>
        <v>0</v>
      </c>
      <c r="AM180" s="140">
        <f t="shared" si="38"/>
        <v>0</v>
      </c>
      <c r="AN180" s="140">
        <f t="shared" si="39"/>
        <v>0</v>
      </c>
      <c r="AO180" s="140">
        <f t="shared" si="40"/>
        <v>0</v>
      </c>
      <c r="AP180" s="140">
        <f t="shared" si="41"/>
        <v>0</v>
      </c>
    </row>
    <row r="181" spans="2:42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AC181" s="131">
        <f t="shared" si="28"/>
        <v>0</v>
      </c>
      <c r="AD181" s="131">
        <f t="shared" si="29"/>
        <v>0</v>
      </c>
      <c r="AE181" s="131">
        <f t="shared" si="30"/>
        <v>0</v>
      </c>
      <c r="AF181" s="131">
        <f t="shared" si="31"/>
        <v>0</v>
      </c>
      <c r="AG181" s="140">
        <f t="shared" si="32"/>
        <v>0</v>
      </c>
      <c r="AH181" s="140">
        <f t="shared" si="33"/>
        <v>0</v>
      </c>
      <c r="AI181" s="140">
        <f t="shared" si="34"/>
        <v>0</v>
      </c>
      <c r="AJ181" s="131">
        <f t="shared" si="35"/>
        <v>0</v>
      </c>
      <c r="AK181" s="131">
        <f t="shared" si="36"/>
        <v>0</v>
      </c>
      <c r="AL181" s="127">
        <f t="shared" si="37"/>
        <v>0</v>
      </c>
      <c r="AM181" s="140">
        <f t="shared" si="38"/>
        <v>0</v>
      </c>
      <c r="AN181" s="140">
        <f t="shared" si="39"/>
        <v>0</v>
      </c>
      <c r="AO181" s="140">
        <f t="shared" si="40"/>
        <v>0</v>
      </c>
      <c r="AP181" s="140">
        <f t="shared" si="41"/>
        <v>0</v>
      </c>
    </row>
    <row r="182" spans="2:42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AC182" s="131">
        <f t="shared" si="28"/>
        <v>0</v>
      </c>
      <c r="AD182" s="131">
        <f t="shared" si="29"/>
        <v>0</v>
      </c>
      <c r="AE182" s="131">
        <f t="shared" si="30"/>
        <v>0</v>
      </c>
      <c r="AF182" s="131">
        <f t="shared" si="31"/>
        <v>0</v>
      </c>
      <c r="AG182" s="140">
        <f t="shared" si="32"/>
        <v>0</v>
      </c>
      <c r="AH182" s="140">
        <f t="shared" si="33"/>
        <v>0</v>
      </c>
      <c r="AI182" s="140">
        <f t="shared" si="34"/>
        <v>0</v>
      </c>
      <c r="AJ182" s="131">
        <f t="shared" si="35"/>
        <v>0</v>
      </c>
      <c r="AK182" s="131">
        <f t="shared" si="36"/>
        <v>0</v>
      </c>
      <c r="AL182" s="127">
        <f t="shared" si="37"/>
        <v>0</v>
      </c>
      <c r="AM182" s="140">
        <f t="shared" si="38"/>
        <v>0</v>
      </c>
      <c r="AN182" s="140">
        <f t="shared" si="39"/>
        <v>0</v>
      </c>
      <c r="AO182" s="140">
        <f t="shared" si="40"/>
        <v>0</v>
      </c>
      <c r="AP182" s="140">
        <f t="shared" si="41"/>
        <v>0</v>
      </c>
    </row>
    <row r="183" spans="2:42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AC183" s="131">
        <f t="shared" si="28"/>
        <v>0</v>
      </c>
      <c r="AD183" s="131">
        <f t="shared" si="29"/>
        <v>0</v>
      </c>
      <c r="AE183" s="131">
        <f t="shared" si="30"/>
        <v>0</v>
      </c>
      <c r="AF183" s="131">
        <f t="shared" si="31"/>
        <v>0</v>
      </c>
      <c r="AG183" s="140">
        <f t="shared" si="32"/>
        <v>0</v>
      </c>
      <c r="AH183" s="140">
        <f t="shared" si="33"/>
        <v>0</v>
      </c>
      <c r="AI183" s="140">
        <f t="shared" si="34"/>
        <v>0</v>
      </c>
      <c r="AJ183" s="131">
        <f t="shared" si="35"/>
        <v>0</v>
      </c>
      <c r="AK183" s="131">
        <f t="shared" si="36"/>
        <v>0</v>
      </c>
      <c r="AL183" s="127">
        <f t="shared" si="37"/>
        <v>0</v>
      </c>
      <c r="AM183" s="140">
        <f t="shared" si="38"/>
        <v>0</v>
      </c>
      <c r="AN183" s="140">
        <f t="shared" si="39"/>
        <v>0</v>
      </c>
      <c r="AO183" s="140">
        <f t="shared" si="40"/>
        <v>0</v>
      </c>
      <c r="AP183" s="140">
        <f t="shared" si="41"/>
        <v>0</v>
      </c>
    </row>
    <row r="184" spans="2:42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AC184" s="131">
        <f t="shared" si="28"/>
        <v>0</v>
      </c>
      <c r="AD184" s="131">
        <f t="shared" si="29"/>
        <v>0</v>
      </c>
      <c r="AE184" s="131">
        <f t="shared" si="30"/>
        <v>0</v>
      </c>
      <c r="AF184" s="131">
        <f t="shared" si="31"/>
        <v>0</v>
      </c>
      <c r="AG184" s="140">
        <f t="shared" si="32"/>
        <v>0</v>
      </c>
      <c r="AH184" s="140">
        <f t="shared" si="33"/>
        <v>0</v>
      </c>
      <c r="AI184" s="140">
        <f t="shared" si="34"/>
        <v>0</v>
      </c>
      <c r="AJ184" s="131">
        <f t="shared" si="35"/>
        <v>0</v>
      </c>
      <c r="AK184" s="131">
        <f t="shared" si="36"/>
        <v>0</v>
      </c>
      <c r="AL184" s="127">
        <f t="shared" si="37"/>
        <v>0</v>
      </c>
      <c r="AM184" s="140">
        <f t="shared" si="38"/>
        <v>0</v>
      </c>
      <c r="AN184" s="140">
        <f t="shared" si="39"/>
        <v>0</v>
      </c>
      <c r="AO184" s="140">
        <f t="shared" si="40"/>
        <v>0</v>
      </c>
      <c r="AP184" s="140">
        <f t="shared" si="41"/>
        <v>0</v>
      </c>
    </row>
    <row r="185" spans="2:42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AC185" s="131">
        <f t="shared" si="28"/>
        <v>0</v>
      </c>
      <c r="AD185" s="131">
        <f t="shared" si="29"/>
        <v>0</v>
      </c>
      <c r="AE185" s="131">
        <f t="shared" si="30"/>
        <v>0</v>
      </c>
      <c r="AF185" s="131">
        <f t="shared" si="31"/>
        <v>0</v>
      </c>
      <c r="AG185" s="140">
        <f t="shared" si="32"/>
        <v>0</v>
      </c>
      <c r="AH185" s="140">
        <f t="shared" si="33"/>
        <v>0</v>
      </c>
      <c r="AI185" s="140">
        <f t="shared" si="34"/>
        <v>0</v>
      </c>
      <c r="AJ185" s="131">
        <f t="shared" si="35"/>
        <v>0</v>
      </c>
      <c r="AK185" s="131">
        <f t="shared" si="36"/>
        <v>0</v>
      </c>
      <c r="AL185" s="127">
        <f t="shared" si="37"/>
        <v>0</v>
      </c>
      <c r="AM185" s="140">
        <f t="shared" si="38"/>
        <v>0</v>
      </c>
      <c r="AN185" s="140">
        <f t="shared" si="39"/>
        <v>0</v>
      </c>
      <c r="AO185" s="140">
        <f t="shared" si="40"/>
        <v>0</v>
      </c>
      <c r="AP185" s="140">
        <f t="shared" si="41"/>
        <v>0</v>
      </c>
    </row>
    <row r="186" spans="2:42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AC186" s="131">
        <f t="shared" si="28"/>
        <v>0</v>
      </c>
      <c r="AD186" s="131">
        <f t="shared" si="29"/>
        <v>0</v>
      </c>
      <c r="AE186" s="131">
        <f t="shared" si="30"/>
        <v>0</v>
      </c>
      <c r="AF186" s="131">
        <f t="shared" si="31"/>
        <v>0</v>
      </c>
      <c r="AG186" s="140">
        <f t="shared" si="32"/>
        <v>0</v>
      </c>
      <c r="AH186" s="140">
        <f t="shared" si="33"/>
        <v>0</v>
      </c>
      <c r="AI186" s="140">
        <f t="shared" si="34"/>
        <v>0</v>
      </c>
      <c r="AJ186" s="131">
        <f t="shared" si="35"/>
        <v>0</v>
      </c>
      <c r="AK186" s="131">
        <f t="shared" si="36"/>
        <v>0</v>
      </c>
      <c r="AL186" s="127">
        <f t="shared" si="37"/>
        <v>0</v>
      </c>
      <c r="AM186" s="140">
        <f t="shared" si="38"/>
        <v>0</v>
      </c>
      <c r="AN186" s="140">
        <f t="shared" si="39"/>
        <v>0</v>
      </c>
      <c r="AO186" s="140">
        <f t="shared" si="40"/>
        <v>0</v>
      </c>
      <c r="AP186" s="140">
        <f t="shared" si="41"/>
        <v>0</v>
      </c>
    </row>
    <row r="187" spans="2:42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AC187" s="131">
        <f t="shared" si="28"/>
        <v>0</v>
      </c>
      <c r="AD187" s="131">
        <f t="shared" si="29"/>
        <v>0</v>
      </c>
      <c r="AE187" s="131">
        <f t="shared" si="30"/>
        <v>0</v>
      </c>
      <c r="AF187" s="131">
        <f t="shared" si="31"/>
        <v>0</v>
      </c>
      <c r="AG187" s="140">
        <f t="shared" si="32"/>
        <v>0</v>
      </c>
      <c r="AH187" s="140">
        <f t="shared" si="33"/>
        <v>0</v>
      </c>
      <c r="AI187" s="140">
        <f t="shared" si="34"/>
        <v>0</v>
      </c>
      <c r="AJ187" s="131">
        <f t="shared" si="35"/>
        <v>0</v>
      </c>
      <c r="AK187" s="131">
        <f t="shared" si="36"/>
        <v>0</v>
      </c>
      <c r="AL187" s="127">
        <f t="shared" si="37"/>
        <v>0</v>
      </c>
      <c r="AM187" s="140">
        <f t="shared" si="38"/>
        <v>0</v>
      </c>
      <c r="AN187" s="140">
        <f t="shared" si="39"/>
        <v>0</v>
      </c>
      <c r="AO187" s="140">
        <f t="shared" si="40"/>
        <v>0</v>
      </c>
      <c r="AP187" s="140">
        <f t="shared" si="41"/>
        <v>0</v>
      </c>
    </row>
    <row r="188" spans="2:42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AC188" s="131">
        <f t="shared" si="28"/>
        <v>0</v>
      </c>
      <c r="AD188" s="131">
        <f t="shared" si="29"/>
        <v>0</v>
      </c>
      <c r="AE188" s="131">
        <f t="shared" si="30"/>
        <v>0</v>
      </c>
      <c r="AF188" s="131">
        <f t="shared" si="31"/>
        <v>0</v>
      </c>
      <c r="AG188" s="140">
        <f t="shared" si="32"/>
        <v>0</v>
      </c>
      <c r="AH188" s="140">
        <f t="shared" si="33"/>
        <v>0</v>
      </c>
      <c r="AI188" s="140">
        <f t="shared" si="34"/>
        <v>0</v>
      </c>
      <c r="AJ188" s="131">
        <f t="shared" si="35"/>
        <v>0</v>
      </c>
      <c r="AK188" s="131">
        <f t="shared" si="36"/>
        <v>0</v>
      </c>
      <c r="AL188" s="127">
        <f t="shared" si="37"/>
        <v>0</v>
      </c>
      <c r="AM188" s="140">
        <f t="shared" si="38"/>
        <v>0</v>
      </c>
      <c r="AN188" s="140">
        <f t="shared" si="39"/>
        <v>0</v>
      </c>
      <c r="AO188" s="140">
        <f t="shared" si="40"/>
        <v>0</v>
      </c>
      <c r="AP188" s="140">
        <f t="shared" si="41"/>
        <v>0</v>
      </c>
    </row>
    <row r="189" spans="2:42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AC189" s="131">
        <f t="shared" si="28"/>
        <v>0</v>
      </c>
      <c r="AD189" s="131">
        <f t="shared" si="29"/>
        <v>0</v>
      </c>
      <c r="AE189" s="131">
        <f t="shared" si="30"/>
        <v>0</v>
      </c>
      <c r="AF189" s="131">
        <f t="shared" si="31"/>
        <v>0</v>
      </c>
      <c r="AG189" s="140">
        <f t="shared" si="32"/>
        <v>0</v>
      </c>
      <c r="AH189" s="140">
        <f t="shared" si="33"/>
        <v>0</v>
      </c>
      <c r="AI189" s="140">
        <f t="shared" si="34"/>
        <v>0</v>
      </c>
      <c r="AJ189" s="131">
        <f t="shared" si="35"/>
        <v>0</v>
      </c>
      <c r="AK189" s="131">
        <f t="shared" si="36"/>
        <v>0</v>
      </c>
      <c r="AL189" s="127">
        <f t="shared" si="37"/>
        <v>0</v>
      </c>
      <c r="AM189" s="140">
        <f t="shared" si="38"/>
        <v>0</v>
      </c>
      <c r="AN189" s="140">
        <f t="shared" si="39"/>
        <v>0</v>
      </c>
      <c r="AO189" s="140">
        <f t="shared" si="40"/>
        <v>0</v>
      </c>
      <c r="AP189" s="140">
        <f t="shared" si="41"/>
        <v>0</v>
      </c>
    </row>
    <row r="190" spans="2:42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AC190" s="131">
        <f t="shared" si="28"/>
        <v>0</v>
      </c>
      <c r="AD190" s="131">
        <f t="shared" si="29"/>
        <v>0</v>
      </c>
      <c r="AE190" s="131">
        <f t="shared" si="30"/>
        <v>0</v>
      </c>
      <c r="AF190" s="131">
        <f t="shared" si="31"/>
        <v>0</v>
      </c>
      <c r="AG190" s="140">
        <f t="shared" si="32"/>
        <v>0</v>
      </c>
      <c r="AH190" s="140">
        <f t="shared" si="33"/>
        <v>0</v>
      </c>
      <c r="AI190" s="140">
        <f t="shared" si="34"/>
        <v>0</v>
      </c>
      <c r="AJ190" s="131">
        <f t="shared" si="35"/>
        <v>0</v>
      </c>
      <c r="AK190" s="131">
        <f t="shared" si="36"/>
        <v>0</v>
      </c>
      <c r="AL190" s="127">
        <f t="shared" si="37"/>
        <v>0</v>
      </c>
      <c r="AM190" s="140">
        <f t="shared" si="38"/>
        <v>0</v>
      </c>
      <c r="AN190" s="140">
        <f t="shared" si="39"/>
        <v>0</v>
      </c>
      <c r="AO190" s="140">
        <f t="shared" si="40"/>
        <v>0</v>
      </c>
      <c r="AP190" s="140">
        <f t="shared" si="41"/>
        <v>0</v>
      </c>
    </row>
    <row r="191" spans="2:42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AC191" s="131">
        <f t="shared" si="28"/>
        <v>0</v>
      </c>
      <c r="AD191" s="131">
        <f t="shared" si="29"/>
        <v>0</v>
      </c>
      <c r="AE191" s="131">
        <f t="shared" si="30"/>
        <v>0</v>
      </c>
      <c r="AF191" s="131">
        <f t="shared" si="31"/>
        <v>0</v>
      </c>
      <c r="AG191" s="140">
        <f t="shared" si="32"/>
        <v>0</v>
      </c>
      <c r="AH191" s="140">
        <f t="shared" si="33"/>
        <v>0</v>
      </c>
      <c r="AI191" s="140">
        <f t="shared" si="34"/>
        <v>0</v>
      </c>
      <c r="AJ191" s="131">
        <f t="shared" si="35"/>
        <v>0</v>
      </c>
      <c r="AK191" s="131">
        <f t="shared" si="36"/>
        <v>0</v>
      </c>
      <c r="AL191" s="127">
        <f t="shared" si="37"/>
        <v>0</v>
      </c>
      <c r="AM191" s="140">
        <f t="shared" si="38"/>
        <v>0</v>
      </c>
      <c r="AN191" s="140">
        <f t="shared" si="39"/>
        <v>0</v>
      </c>
      <c r="AO191" s="140">
        <f t="shared" si="40"/>
        <v>0</v>
      </c>
      <c r="AP191" s="140">
        <f t="shared" si="41"/>
        <v>0</v>
      </c>
    </row>
    <row r="192" spans="2:42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AC192" s="131">
        <f t="shared" si="28"/>
        <v>0</v>
      </c>
      <c r="AD192" s="131">
        <f t="shared" si="29"/>
        <v>0</v>
      </c>
      <c r="AE192" s="131">
        <f t="shared" si="30"/>
        <v>0</v>
      </c>
      <c r="AF192" s="131">
        <f t="shared" si="31"/>
        <v>0</v>
      </c>
      <c r="AG192" s="140">
        <f t="shared" si="32"/>
        <v>0</v>
      </c>
      <c r="AH192" s="140">
        <f t="shared" si="33"/>
        <v>0</v>
      </c>
      <c r="AI192" s="140">
        <f t="shared" si="34"/>
        <v>0</v>
      </c>
      <c r="AJ192" s="131">
        <f t="shared" si="35"/>
        <v>0</v>
      </c>
      <c r="AK192" s="131">
        <f t="shared" si="36"/>
        <v>0</v>
      </c>
      <c r="AL192" s="127">
        <f t="shared" si="37"/>
        <v>0</v>
      </c>
      <c r="AM192" s="140">
        <f t="shared" si="38"/>
        <v>0</v>
      </c>
      <c r="AN192" s="140">
        <f t="shared" si="39"/>
        <v>0</v>
      </c>
      <c r="AO192" s="140">
        <f t="shared" si="40"/>
        <v>0</v>
      </c>
      <c r="AP192" s="140">
        <f t="shared" si="41"/>
        <v>0</v>
      </c>
    </row>
    <row r="193" spans="2:42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AC193" s="131">
        <f t="shared" si="28"/>
        <v>0</v>
      </c>
      <c r="AD193" s="131">
        <f t="shared" si="29"/>
        <v>0</v>
      </c>
      <c r="AE193" s="131">
        <f t="shared" si="30"/>
        <v>0</v>
      </c>
      <c r="AF193" s="131">
        <f t="shared" si="31"/>
        <v>0</v>
      </c>
      <c r="AG193" s="140">
        <f t="shared" si="32"/>
        <v>0</v>
      </c>
      <c r="AH193" s="140">
        <f t="shared" si="33"/>
        <v>0</v>
      </c>
      <c r="AI193" s="140">
        <f t="shared" si="34"/>
        <v>0</v>
      </c>
      <c r="AJ193" s="131">
        <f t="shared" si="35"/>
        <v>0</v>
      </c>
      <c r="AK193" s="131">
        <f t="shared" si="36"/>
        <v>0</v>
      </c>
      <c r="AL193" s="127">
        <f t="shared" si="37"/>
        <v>0</v>
      </c>
      <c r="AM193" s="140">
        <f t="shared" si="38"/>
        <v>0</v>
      </c>
      <c r="AN193" s="140">
        <f t="shared" si="39"/>
        <v>0</v>
      </c>
      <c r="AO193" s="140">
        <f t="shared" si="40"/>
        <v>0</v>
      </c>
      <c r="AP193" s="140">
        <f t="shared" si="41"/>
        <v>0</v>
      </c>
    </row>
    <row r="194" spans="2:42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AC194" s="131">
        <f t="shared" si="28"/>
        <v>0</v>
      </c>
      <c r="AD194" s="131">
        <f t="shared" si="29"/>
        <v>0</v>
      </c>
      <c r="AE194" s="131">
        <f t="shared" si="30"/>
        <v>0</v>
      </c>
      <c r="AF194" s="131">
        <f t="shared" si="31"/>
        <v>0</v>
      </c>
      <c r="AG194" s="140">
        <f t="shared" si="32"/>
        <v>0</v>
      </c>
      <c r="AH194" s="140">
        <f t="shared" si="33"/>
        <v>0</v>
      </c>
      <c r="AI194" s="140">
        <f t="shared" si="34"/>
        <v>0</v>
      </c>
      <c r="AJ194" s="131">
        <f t="shared" si="35"/>
        <v>0</v>
      </c>
      <c r="AK194" s="131">
        <f t="shared" si="36"/>
        <v>0</v>
      </c>
      <c r="AL194" s="127">
        <f t="shared" si="37"/>
        <v>0</v>
      </c>
      <c r="AM194" s="140">
        <f t="shared" si="38"/>
        <v>0</v>
      </c>
      <c r="AN194" s="140">
        <f t="shared" si="39"/>
        <v>0</v>
      </c>
      <c r="AO194" s="140">
        <f t="shared" si="40"/>
        <v>0</v>
      </c>
      <c r="AP194" s="140">
        <f t="shared" si="41"/>
        <v>0</v>
      </c>
    </row>
    <row r="195" spans="2:42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AC195" s="131">
        <f t="shared" ref="AC195:AC250" si="42">+H195</f>
        <v>0</v>
      </c>
      <c r="AD195" s="131">
        <f t="shared" ref="AD195:AD250" si="43">+I195</f>
        <v>0</v>
      </c>
      <c r="AE195" s="131">
        <f t="shared" ref="AE195:AE250" si="44">+J195</f>
        <v>0</v>
      </c>
      <c r="AF195" s="131">
        <f t="shared" ref="AF195:AF250" si="45">+K195</f>
        <v>0</v>
      </c>
      <c r="AG195" s="140">
        <f t="shared" ref="AG195:AG250" si="46">+G195</f>
        <v>0</v>
      </c>
      <c r="AH195" s="140">
        <f t="shared" ref="AH195:AH250" si="47">+L195</f>
        <v>0</v>
      </c>
      <c r="AI195" s="140">
        <f t="shared" ref="AI195:AI250" si="48">+M195</f>
        <v>0</v>
      </c>
      <c r="AJ195" s="131">
        <f t="shared" ref="AJ195:AJ250" si="49">+T195</f>
        <v>0</v>
      </c>
      <c r="AK195" s="131">
        <f t="shared" ref="AK195:AK250" si="50">+N195+O195</f>
        <v>0</v>
      </c>
      <c r="AL195" s="127">
        <f t="shared" ref="AL195:AL258" si="51">ROUND(IFERROR(+AK195/AH195*100,0),2)</f>
        <v>0</v>
      </c>
      <c r="AM195" s="140">
        <f t="shared" ref="AM195:AM250" si="52">+P195+R195</f>
        <v>0</v>
      </c>
      <c r="AN195" s="140">
        <f t="shared" ref="AN195:AN250" si="53">+Q195+S195</f>
        <v>0</v>
      </c>
      <c r="AO195" s="140">
        <f t="shared" ref="AO195:AO250" si="54">+U195</f>
        <v>0</v>
      </c>
      <c r="AP195" s="140">
        <f t="shared" ref="AP195:AP250" si="55">+AG195+AH195+AJ195-AK195-AM195-AO195</f>
        <v>0</v>
      </c>
    </row>
    <row r="196" spans="2:42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AC196" s="131">
        <f t="shared" si="42"/>
        <v>0</v>
      </c>
      <c r="AD196" s="131">
        <f t="shared" si="43"/>
        <v>0</v>
      </c>
      <c r="AE196" s="131">
        <f t="shared" si="44"/>
        <v>0</v>
      </c>
      <c r="AF196" s="131">
        <f t="shared" si="45"/>
        <v>0</v>
      </c>
      <c r="AG196" s="140">
        <f t="shared" si="46"/>
        <v>0</v>
      </c>
      <c r="AH196" s="140">
        <f t="shared" si="47"/>
        <v>0</v>
      </c>
      <c r="AI196" s="140">
        <f t="shared" si="48"/>
        <v>0</v>
      </c>
      <c r="AJ196" s="131">
        <f t="shared" si="49"/>
        <v>0</v>
      </c>
      <c r="AK196" s="131">
        <f t="shared" si="50"/>
        <v>0</v>
      </c>
      <c r="AL196" s="127">
        <f t="shared" si="51"/>
        <v>0</v>
      </c>
      <c r="AM196" s="140">
        <f t="shared" si="52"/>
        <v>0</v>
      </c>
      <c r="AN196" s="140">
        <f t="shared" si="53"/>
        <v>0</v>
      </c>
      <c r="AO196" s="140">
        <f t="shared" si="54"/>
        <v>0</v>
      </c>
      <c r="AP196" s="140">
        <f t="shared" si="55"/>
        <v>0</v>
      </c>
    </row>
    <row r="197" spans="2:42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AC197" s="131">
        <f t="shared" si="42"/>
        <v>0</v>
      </c>
      <c r="AD197" s="131">
        <f t="shared" si="43"/>
        <v>0</v>
      </c>
      <c r="AE197" s="131">
        <f t="shared" si="44"/>
        <v>0</v>
      </c>
      <c r="AF197" s="131">
        <f t="shared" si="45"/>
        <v>0</v>
      </c>
      <c r="AG197" s="140">
        <f t="shared" si="46"/>
        <v>0</v>
      </c>
      <c r="AH197" s="140">
        <f t="shared" si="47"/>
        <v>0</v>
      </c>
      <c r="AI197" s="140">
        <f t="shared" si="48"/>
        <v>0</v>
      </c>
      <c r="AJ197" s="131">
        <f t="shared" si="49"/>
        <v>0</v>
      </c>
      <c r="AK197" s="131">
        <f t="shared" si="50"/>
        <v>0</v>
      </c>
      <c r="AL197" s="127">
        <f t="shared" si="51"/>
        <v>0</v>
      </c>
      <c r="AM197" s="140">
        <f t="shared" si="52"/>
        <v>0</v>
      </c>
      <c r="AN197" s="140">
        <f t="shared" si="53"/>
        <v>0</v>
      </c>
      <c r="AO197" s="140">
        <f t="shared" si="54"/>
        <v>0</v>
      </c>
      <c r="AP197" s="140">
        <f t="shared" si="55"/>
        <v>0</v>
      </c>
    </row>
    <row r="198" spans="2:42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AC198" s="131">
        <f t="shared" si="42"/>
        <v>0</v>
      </c>
      <c r="AD198" s="131">
        <f t="shared" si="43"/>
        <v>0</v>
      </c>
      <c r="AE198" s="131">
        <f t="shared" si="44"/>
        <v>0</v>
      </c>
      <c r="AF198" s="131">
        <f t="shared" si="45"/>
        <v>0</v>
      </c>
      <c r="AG198" s="140">
        <f t="shared" si="46"/>
        <v>0</v>
      </c>
      <c r="AH198" s="140">
        <f t="shared" si="47"/>
        <v>0</v>
      </c>
      <c r="AI198" s="140">
        <f t="shared" si="48"/>
        <v>0</v>
      </c>
      <c r="AJ198" s="131">
        <f t="shared" si="49"/>
        <v>0</v>
      </c>
      <c r="AK198" s="131">
        <f t="shared" si="50"/>
        <v>0</v>
      </c>
      <c r="AL198" s="127">
        <f t="shared" si="51"/>
        <v>0</v>
      </c>
      <c r="AM198" s="140">
        <f t="shared" si="52"/>
        <v>0</v>
      </c>
      <c r="AN198" s="140">
        <f t="shared" si="53"/>
        <v>0</v>
      </c>
      <c r="AO198" s="140">
        <f t="shared" si="54"/>
        <v>0</v>
      </c>
      <c r="AP198" s="140">
        <f t="shared" si="55"/>
        <v>0</v>
      </c>
    </row>
    <row r="199" spans="2:42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AC199" s="131">
        <f t="shared" si="42"/>
        <v>0</v>
      </c>
      <c r="AD199" s="131">
        <f t="shared" si="43"/>
        <v>0</v>
      </c>
      <c r="AE199" s="131">
        <f t="shared" si="44"/>
        <v>0</v>
      </c>
      <c r="AF199" s="131">
        <f t="shared" si="45"/>
        <v>0</v>
      </c>
      <c r="AG199" s="140">
        <f t="shared" si="46"/>
        <v>0</v>
      </c>
      <c r="AH199" s="140">
        <f t="shared" si="47"/>
        <v>0</v>
      </c>
      <c r="AI199" s="140">
        <f t="shared" si="48"/>
        <v>0</v>
      </c>
      <c r="AJ199" s="131">
        <f t="shared" si="49"/>
        <v>0</v>
      </c>
      <c r="AK199" s="131">
        <f t="shared" si="50"/>
        <v>0</v>
      </c>
      <c r="AL199" s="127">
        <f t="shared" si="51"/>
        <v>0</v>
      </c>
      <c r="AM199" s="140">
        <f t="shared" si="52"/>
        <v>0</v>
      </c>
      <c r="AN199" s="140">
        <f t="shared" si="53"/>
        <v>0</v>
      </c>
      <c r="AO199" s="140">
        <f t="shared" si="54"/>
        <v>0</v>
      </c>
      <c r="AP199" s="140">
        <f t="shared" si="55"/>
        <v>0</v>
      </c>
    </row>
    <row r="200" spans="2:42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AC200" s="131">
        <f t="shared" si="42"/>
        <v>0</v>
      </c>
      <c r="AD200" s="131">
        <f t="shared" si="43"/>
        <v>0</v>
      </c>
      <c r="AE200" s="131">
        <f t="shared" si="44"/>
        <v>0</v>
      </c>
      <c r="AF200" s="131">
        <f t="shared" si="45"/>
        <v>0</v>
      </c>
      <c r="AG200" s="140">
        <f t="shared" si="46"/>
        <v>0</v>
      </c>
      <c r="AH200" s="140">
        <f t="shared" si="47"/>
        <v>0</v>
      </c>
      <c r="AI200" s="140">
        <f t="shared" si="48"/>
        <v>0</v>
      </c>
      <c r="AJ200" s="131">
        <f t="shared" si="49"/>
        <v>0</v>
      </c>
      <c r="AK200" s="131">
        <f t="shared" si="50"/>
        <v>0</v>
      </c>
      <c r="AL200" s="127">
        <f t="shared" si="51"/>
        <v>0</v>
      </c>
      <c r="AM200" s="140">
        <f t="shared" si="52"/>
        <v>0</v>
      </c>
      <c r="AN200" s="140">
        <f t="shared" si="53"/>
        <v>0</v>
      </c>
      <c r="AO200" s="140">
        <f t="shared" si="54"/>
        <v>0</v>
      </c>
      <c r="AP200" s="140">
        <f t="shared" si="55"/>
        <v>0</v>
      </c>
    </row>
    <row r="201" spans="2:42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AC201" s="131">
        <f t="shared" si="42"/>
        <v>0</v>
      </c>
      <c r="AD201" s="131">
        <f t="shared" si="43"/>
        <v>0</v>
      </c>
      <c r="AE201" s="131">
        <f t="shared" si="44"/>
        <v>0</v>
      </c>
      <c r="AF201" s="131">
        <f t="shared" si="45"/>
        <v>0</v>
      </c>
      <c r="AG201" s="140">
        <f t="shared" si="46"/>
        <v>0</v>
      </c>
      <c r="AH201" s="140">
        <f t="shared" si="47"/>
        <v>0</v>
      </c>
      <c r="AI201" s="140">
        <f t="shared" si="48"/>
        <v>0</v>
      </c>
      <c r="AJ201" s="131">
        <f t="shared" si="49"/>
        <v>0</v>
      </c>
      <c r="AK201" s="131">
        <f t="shared" si="50"/>
        <v>0</v>
      </c>
      <c r="AL201" s="127">
        <f t="shared" si="51"/>
        <v>0</v>
      </c>
      <c r="AM201" s="140">
        <f t="shared" si="52"/>
        <v>0</v>
      </c>
      <c r="AN201" s="140">
        <f t="shared" si="53"/>
        <v>0</v>
      </c>
      <c r="AO201" s="140">
        <f t="shared" si="54"/>
        <v>0</v>
      </c>
      <c r="AP201" s="140">
        <f t="shared" si="55"/>
        <v>0</v>
      </c>
    </row>
    <row r="202" spans="2:42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AC202" s="131">
        <f t="shared" si="42"/>
        <v>0</v>
      </c>
      <c r="AD202" s="131">
        <f t="shared" si="43"/>
        <v>0</v>
      </c>
      <c r="AE202" s="131">
        <f t="shared" si="44"/>
        <v>0</v>
      </c>
      <c r="AF202" s="131">
        <f t="shared" si="45"/>
        <v>0</v>
      </c>
      <c r="AG202" s="140">
        <f t="shared" si="46"/>
        <v>0</v>
      </c>
      <c r="AH202" s="140">
        <f t="shared" si="47"/>
        <v>0</v>
      </c>
      <c r="AI202" s="140">
        <f t="shared" si="48"/>
        <v>0</v>
      </c>
      <c r="AJ202" s="131">
        <f t="shared" si="49"/>
        <v>0</v>
      </c>
      <c r="AK202" s="131">
        <f t="shared" si="50"/>
        <v>0</v>
      </c>
      <c r="AL202" s="127">
        <f t="shared" si="51"/>
        <v>0</v>
      </c>
      <c r="AM202" s="140">
        <f t="shared" si="52"/>
        <v>0</v>
      </c>
      <c r="AN202" s="140">
        <f t="shared" si="53"/>
        <v>0</v>
      </c>
      <c r="AO202" s="140">
        <f t="shared" si="54"/>
        <v>0</v>
      </c>
      <c r="AP202" s="140">
        <f t="shared" si="55"/>
        <v>0</v>
      </c>
    </row>
    <row r="203" spans="2:42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AC203" s="131">
        <f t="shared" si="42"/>
        <v>0</v>
      </c>
      <c r="AD203" s="131">
        <f t="shared" si="43"/>
        <v>0</v>
      </c>
      <c r="AE203" s="131">
        <f t="shared" si="44"/>
        <v>0</v>
      </c>
      <c r="AF203" s="131">
        <f t="shared" si="45"/>
        <v>0</v>
      </c>
      <c r="AG203" s="140">
        <f t="shared" si="46"/>
        <v>0</v>
      </c>
      <c r="AH203" s="140">
        <f t="shared" si="47"/>
        <v>0</v>
      </c>
      <c r="AI203" s="140">
        <f t="shared" si="48"/>
        <v>0</v>
      </c>
      <c r="AJ203" s="131">
        <f t="shared" si="49"/>
        <v>0</v>
      </c>
      <c r="AK203" s="131">
        <f t="shared" si="50"/>
        <v>0</v>
      </c>
      <c r="AL203" s="127">
        <f t="shared" si="51"/>
        <v>0</v>
      </c>
      <c r="AM203" s="140">
        <f t="shared" si="52"/>
        <v>0</v>
      </c>
      <c r="AN203" s="140">
        <f t="shared" si="53"/>
        <v>0</v>
      </c>
      <c r="AO203" s="140">
        <f t="shared" si="54"/>
        <v>0</v>
      </c>
      <c r="AP203" s="140">
        <f t="shared" si="55"/>
        <v>0</v>
      </c>
    </row>
    <row r="204" spans="2:42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AC204" s="131">
        <f t="shared" si="42"/>
        <v>0</v>
      </c>
      <c r="AD204" s="131">
        <f t="shared" si="43"/>
        <v>0</v>
      </c>
      <c r="AE204" s="131">
        <f t="shared" si="44"/>
        <v>0</v>
      </c>
      <c r="AF204" s="131">
        <f t="shared" si="45"/>
        <v>0</v>
      </c>
      <c r="AG204" s="140">
        <f t="shared" si="46"/>
        <v>0</v>
      </c>
      <c r="AH204" s="140">
        <f t="shared" si="47"/>
        <v>0</v>
      </c>
      <c r="AI204" s="140">
        <f t="shared" si="48"/>
        <v>0</v>
      </c>
      <c r="AJ204" s="131">
        <f t="shared" si="49"/>
        <v>0</v>
      </c>
      <c r="AK204" s="131">
        <f t="shared" si="50"/>
        <v>0</v>
      </c>
      <c r="AL204" s="127">
        <f t="shared" si="51"/>
        <v>0</v>
      </c>
      <c r="AM204" s="140">
        <f t="shared" si="52"/>
        <v>0</v>
      </c>
      <c r="AN204" s="140">
        <f t="shared" si="53"/>
        <v>0</v>
      </c>
      <c r="AO204" s="140">
        <f t="shared" si="54"/>
        <v>0</v>
      </c>
      <c r="AP204" s="140">
        <f t="shared" si="55"/>
        <v>0</v>
      </c>
    </row>
    <row r="205" spans="2:42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AC205" s="131">
        <f t="shared" si="42"/>
        <v>0</v>
      </c>
      <c r="AD205" s="131">
        <f t="shared" si="43"/>
        <v>0</v>
      </c>
      <c r="AE205" s="131">
        <f t="shared" si="44"/>
        <v>0</v>
      </c>
      <c r="AF205" s="131">
        <f t="shared" si="45"/>
        <v>0</v>
      </c>
      <c r="AG205" s="140">
        <f t="shared" si="46"/>
        <v>0</v>
      </c>
      <c r="AH205" s="140">
        <f t="shared" si="47"/>
        <v>0</v>
      </c>
      <c r="AI205" s="140">
        <f t="shared" si="48"/>
        <v>0</v>
      </c>
      <c r="AJ205" s="131">
        <f t="shared" si="49"/>
        <v>0</v>
      </c>
      <c r="AK205" s="131">
        <f t="shared" si="50"/>
        <v>0</v>
      </c>
      <c r="AL205" s="127">
        <f t="shared" si="51"/>
        <v>0</v>
      </c>
      <c r="AM205" s="140">
        <f t="shared" si="52"/>
        <v>0</v>
      </c>
      <c r="AN205" s="140">
        <f t="shared" si="53"/>
        <v>0</v>
      </c>
      <c r="AO205" s="140">
        <f t="shared" si="54"/>
        <v>0</v>
      </c>
      <c r="AP205" s="140">
        <f t="shared" si="55"/>
        <v>0</v>
      </c>
    </row>
    <row r="206" spans="2:42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AC206" s="131">
        <f t="shared" si="42"/>
        <v>0</v>
      </c>
      <c r="AD206" s="131">
        <f t="shared" si="43"/>
        <v>0</v>
      </c>
      <c r="AE206" s="131">
        <f t="shared" si="44"/>
        <v>0</v>
      </c>
      <c r="AF206" s="131">
        <f t="shared" si="45"/>
        <v>0</v>
      </c>
      <c r="AG206" s="140">
        <f t="shared" si="46"/>
        <v>0</v>
      </c>
      <c r="AH206" s="140">
        <f t="shared" si="47"/>
        <v>0</v>
      </c>
      <c r="AI206" s="140">
        <f t="shared" si="48"/>
        <v>0</v>
      </c>
      <c r="AJ206" s="131">
        <f t="shared" si="49"/>
        <v>0</v>
      </c>
      <c r="AK206" s="131">
        <f t="shared" si="50"/>
        <v>0</v>
      </c>
      <c r="AL206" s="127">
        <f t="shared" si="51"/>
        <v>0</v>
      </c>
      <c r="AM206" s="140">
        <f t="shared" si="52"/>
        <v>0</v>
      </c>
      <c r="AN206" s="140">
        <f t="shared" si="53"/>
        <v>0</v>
      </c>
      <c r="AO206" s="140">
        <f t="shared" si="54"/>
        <v>0</v>
      </c>
      <c r="AP206" s="140">
        <f t="shared" si="55"/>
        <v>0</v>
      </c>
    </row>
    <row r="207" spans="2:42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AC207" s="131">
        <f t="shared" si="42"/>
        <v>0</v>
      </c>
      <c r="AD207" s="131">
        <f t="shared" si="43"/>
        <v>0</v>
      </c>
      <c r="AE207" s="131">
        <f t="shared" si="44"/>
        <v>0</v>
      </c>
      <c r="AF207" s="131">
        <f t="shared" si="45"/>
        <v>0</v>
      </c>
      <c r="AG207" s="140">
        <f t="shared" si="46"/>
        <v>0</v>
      </c>
      <c r="AH207" s="140">
        <f t="shared" si="47"/>
        <v>0</v>
      </c>
      <c r="AI207" s="140">
        <f t="shared" si="48"/>
        <v>0</v>
      </c>
      <c r="AJ207" s="131">
        <f t="shared" si="49"/>
        <v>0</v>
      </c>
      <c r="AK207" s="131">
        <f t="shared" si="50"/>
        <v>0</v>
      </c>
      <c r="AL207" s="127">
        <f t="shared" si="51"/>
        <v>0</v>
      </c>
      <c r="AM207" s="140">
        <f t="shared" si="52"/>
        <v>0</v>
      </c>
      <c r="AN207" s="140">
        <f t="shared" si="53"/>
        <v>0</v>
      </c>
      <c r="AO207" s="140">
        <f t="shared" si="54"/>
        <v>0</v>
      </c>
      <c r="AP207" s="140">
        <f t="shared" si="55"/>
        <v>0</v>
      </c>
    </row>
    <row r="208" spans="2:42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AC208" s="131">
        <f t="shared" si="42"/>
        <v>0</v>
      </c>
      <c r="AD208" s="131">
        <f t="shared" si="43"/>
        <v>0</v>
      </c>
      <c r="AE208" s="131">
        <f t="shared" si="44"/>
        <v>0</v>
      </c>
      <c r="AF208" s="131">
        <f t="shared" si="45"/>
        <v>0</v>
      </c>
      <c r="AG208" s="140">
        <f t="shared" si="46"/>
        <v>0</v>
      </c>
      <c r="AH208" s="140">
        <f t="shared" si="47"/>
        <v>0</v>
      </c>
      <c r="AI208" s="140">
        <f t="shared" si="48"/>
        <v>0</v>
      </c>
      <c r="AJ208" s="131">
        <f t="shared" si="49"/>
        <v>0</v>
      </c>
      <c r="AK208" s="131">
        <f t="shared" si="50"/>
        <v>0</v>
      </c>
      <c r="AL208" s="127">
        <f t="shared" si="51"/>
        <v>0</v>
      </c>
      <c r="AM208" s="140">
        <f t="shared" si="52"/>
        <v>0</v>
      </c>
      <c r="AN208" s="140">
        <f t="shared" si="53"/>
        <v>0</v>
      </c>
      <c r="AO208" s="140">
        <f t="shared" si="54"/>
        <v>0</v>
      </c>
      <c r="AP208" s="140">
        <f t="shared" si="55"/>
        <v>0</v>
      </c>
    </row>
    <row r="209" spans="2:42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AC209" s="131">
        <f t="shared" si="42"/>
        <v>0</v>
      </c>
      <c r="AD209" s="131">
        <f t="shared" si="43"/>
        <v>0</v>
      </c>
      <c r="AE209" s="131">
        <f t="shared" si="44"/>
        <v>0</v>
      </c>
      <c r="AF209" s="131">
        <f t="shared" si="45"/>
        <v>0</v>
      </c>
      <c r="AG209" s="140">
        <f t="shared" si="46"/>
        <v>0</v>
      </c>
      <c r="AH209" s="140">
        <f t="shared" si="47"/>
        <v>0</v>
      </c>
      <c r="AI209" s="140">
        <f t="shared" si="48"/>
        <v>0</v>
      </c>
      <c r="AJ209" s="131">
        <f t="shared" si="49"/>
        <v>0</v>
      </c>
      <c r="AK209" s="131">
        <f t="shared" si="50"/>
        <v>0</v>
      </c>
      <c r="AL209" s="127">
        <f t="shared" si="51"/>
        <v>0</v>
      </c>
      <c r="AM209" s="140">
        <f t="shared" si="52"/>
        <v>0</v>
      </c>
      <c r="AN209" s="140">
        <f t="shared" si="53"/>
        <v>0</v>
      </c>
      <c r="AO209" s="140">
        <f t="shared" si="54"/>
        <v>0</v>
      </c>
      <c r="AP209" s="140">
        <f t="shared" si="55"/>
        <v>0</v>
      </c>
    </row>
    <row r="210" spans="2:42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AC210" s="131">
        <f t="shared" si="42"/>
        <v>0</v>
      </c>
      <c r="AD210" s="131">
        <f t="shared" si="43"/>
        <v>0</v>
      </c>
      <c r="AE210" s="131">
        <f t="shared" si="44"/>
        <v>0</v>
      </c>
      <c r="AF210" s="131">
        <f t="shared" si="45"/>
        <v>0</v>
      </c>
      <c r="AG210" s="140">
        <f t="shared" si="46"/>
        <v>0</v>
      </c>
      <c r="AH210" s="140">
        <f t="shared" si="47"/>
        <v>0</v>
      </c>
      <c r="AI210" s="140">
        <f t="shared" si="48"/>
        <v>0</v>
      </c>
      <c r="AJ210" s="131">
        <f t="shared" si="49"/>
        <v>0</v>
      </c>
      <c r="AK210" s="131">
        <f t="shared" si="50"/>
        <v>0</v>
      </c>
      <c r="AL210" s="127">
        <f t="shared" si="51"/>
        <v>0</v>
      </c>
      <c r="AM210" s="140">
        <f t="shared" si="52"/>
        <v>0</v>
      </c>
      <c r="AN210" s="140">
        <f t="shared" si="53"/>
        <v>0</v>
      </c>
      <c r="AO210" s="140">
        <f t="shared" si="54"/>
        <v>0</v>
      </c>
      <c r="AP210" s="140">
        <f t="shared" si="55"/>
        <v>0</v>
      </c>
    </row>
    <row r="211" spans="2:42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AC211" s="131">
        <f t="shared" si="42"/>
        <v>0</v>
      </c>
      <c r="AD211" s="131">
        <f t="shared" si="43"/>
        <v>0</v>
      </c>
      <c r="AE211" s="131">
        <f t="shared" si="44"/>
        <v>0</v>
      </c>
      <c r="AF211" s="131">
        <f t="shared" si="45"/>
        <v>0</v>
      </c>
      <c r="AG211" s="140">
        <f t="shared" si="46"/>
        <v>0</v>
      </c>
      <c r="AH211" s="140">
        <f t="shared" si="47"/>
        <v>0</v>
      </c>
      <c r="AI211" s="140">
        <f t="shared" si="48"/>
        <v>0</v>
      </c>
      <c r="AJ211" s="131">
        <f t="shared" si="49"/>
        <v>0</v>
      </c>
      <c r="AK211" s="131">
        <f t="shared" si="50"/>
        <v>0</v>
      </c>
      <c r="AL211" s="127">
        <f t="shared" si="51"/>
        <v>0</v>
      </c>
      <c r="AM211" s="140">
        <f t="shared" si="52"/>
        <v>0</v>
      </c>
      <c r="AN211" s="140">
        <f t="shared" si="53"/>
        <v>0</v>
      </c>
      <c r="AO211" s="140">
        <f t="shared" si="54"/>
        <v>0</v>
      </c>
      <c r="AP211" s="140">
        <f t="shared" si="55"/>
        <v>0</v>
      </c>
    </row>
    <row r="212" spans="2:42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AC212" s="131">
        <f t="shared" si="42"/>
        <v>0</v>
      </c>
      <c r="AD212" s="131">
        <f t="shared" si="43"/>
        <v>0</v>
      </c>
      <c r="AE212" s="131">
        <f t="shared" si="44"/>
        <v>0</v>
      </c>
      <c r="AF212" s="131">
        <f t="shared" si="45"/>
        <v>0</v>
      </c>
      <c r="AG212" s="140">
        <f t="shared" si="46"/>
        <v>0</v>
      </c>
      <c r="AH212" s="140">
        <f t="shared" si="47"/>
        <v>0</v>
      </c>
      <c r="AI212" s="140">
        <f t="shared" si="48"/>
        <v>0</v>
      </c>
      <c r="AJ212" s="131">
        <f t="shared" si="49"/>
        <v>0</v>
      </c>
      <c r="AK212" s="131">
        <f t="shared" si="50"/>
        <v>0</v>
      </c>
      <c r="AL212" s="127">
        <f t="shared" si="51"/>
        <v>0</v>
      </c>
      <c r="AM212" s="140">
        <f t="shared" si="52"/>
        <v>0</v>
      </c>
      <c r="AN212" s="140">
        <f t="shared" si="53"/>
        <v>0</v>
      </c>
      <c r="AO212" s="140">
        <f t="shared" si="54"/>
        <v>0</v>
      </c>
      <c r="AP212" s="140">
        <f t="shared" si="55"/>
        <v>0</v>
      </c>
    </row>
    <row r="213" spans="2:4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AC213" s="131">
        <f t="shared" si="42"/>
        <v>0</v>
      </c>
      <c r="AD213" s="131">
        <f t="shared" si="43"/>
        <v>0</v>
      </c>
      <c r="AE213" s="131">
        <f t="shared" si="44"/>
        <v>0</v>
      </c>
      <c r="AF213" s="131">
        <f t="shared" si="45"/>
        <v>0</v>
      </c>
      <c r="AG213" s="140">
        <f t="shared" si="46"/>
        <v>0</v>
      </c>
      <c r="AH213" s="140">
        <f t="shared" si="47"/>
        <v>0</v>
      </c>
      <c r="AI213" s="140">
        <f t="shared" si="48"/>
        <v>0</v>
      </c>
      <c r="AJ213" s="131">
        <f t="shared" si="49"/>
        <v>0</v>
      </c>
      <c r="AK213" s="131">
        <f t="shared" si="50"/>
        <v>0</v>
      </c>
      <c r="AL213" s="127">
        <f t="shared" si="51"/>
        <v>0</v>
      </c>
      <c r="AM213" s="140">
        <f t="shared" si="52"/>
        <v>0</v>
      </c>
      <c r="AN213" s="140">
        <f t="shared" si="53"/>
        <v>0</v>
      </c>
      <c r="AO213" s="140">
        <f t="shared" si="54"/>
        <v>0</v>
      </c>
      <c r="AP213" s="140">
        <f t="shared" si="55"/>
        <v>0</v>
      </c>
    </row>
    <row r="214" spans="2:4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AC214" s="131">
        <f t="shared" si="42"/>
        <v>0</v>
      </c>
      <c r="AD214" s="131">
        <f t="shared" si="43"/>
        <v>0</v>
      </c>
      <c r="AE214" s="131">
        <f t="shared" si="44"/>
        <v>0</v>
      </c>
      <c r="AF214" s="131">
        <f t="shared" si="45"/>
        <v>0</v>
      </c>
      <c r="AG214" s="140">
        <f t="shared" si="46"/>
        <v>0</v>
      </c>
      <c r="AH214" s="140">
        <f t="shared" si="47"/>
        <v>0</v>
      </c>
      <c r="AI214" s="140">
        <f t="shared" si="48"/>
        <v>0</v>
      </c>
      <c r="AJ214" s="131">
        <f t="shared" si="49"/>
        <v>0</v>
      </c>
      <c r="AK214" s="131">
        <f t="shared" si="50"/>
        <v>0</v>
      </c>
      <c r="AL214" s="127">
        <f t="shared" si="51"/>
        <v>0</v>
      </c>
      <c r="AM214" s="140">
        <f t="shared" si="52"/>
        <v>0</v>
      </c>
      <c r="AN214" s="140">
        <f t="shared" si="53"/>
        <v>0</v>
      </c>
      <c r="AO214" s="140">
        <f t="shared" si="54"/>
        <v>0</v>
      </c>
      <c r="AP214" s="140">
        <f t="shared" si="55"/>
        <v>0</v>
      </c>
    </row>
    <row r="215" spans="2:4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AC215" s="131">
        <f t="shared" si="42"/>
        <v>0</v>
      </c>
      <c r="AD215" s="131">
        <f t="shared" si="43"/>
        <v>0</v>
      </c>
      <c r="AE215" s="131">
        <f t="shared" si="44"/>
        <v>0</v>
      </c>
      <c r="AF215" s="131">
        <f t="shared" si="45"/>
        <v>0</v>
      </c>
      <c r="AG215" s="140">
        <f t="shared" si="46"/>
        <v>0</v>
      </c>
      <c r="AH215" s="140">
        <f t="shared" si="47"/>
        <v>0</v>
      </c>
      <c r="AI215" s="140">
        <f t="shared" si="48"/>
        <v>0</v>
      </c>
      <c r="AJ215" s="131">
        <f t="shared" si="49"/>
        <v>0</v>
      </c>
      <c r="AK215" s="131">
        <f t="shared" si="50"/>
        <v>0</v>
      </c>
      <c r="AL215" s="127">
        <f t="shared" si="51"/>
        <v>0</v>
      </c>
      <c r="AM215" s="140">
        <f t="shared" si="52"/>
        <v>0</v>
      </c>
      <c r="AN215" s="140">
        <f t="shared" si="53"/>
        <v>0</v>
      </c>
      <c r="AO215" s="140">
        <f t="shared" si="54"/>
        <v>0</v>
      </c>
      <c r="AP215" s="140">
        <f t="shared" si="55"/>
        <v>0</v>
      </c>
    </row>
    <row r="216" spans="2:4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AC216" s="131">
        <f t="shared" si="42"/>
        <v>0</v>
      </c>
      <c r="AD216" s="131">
        <f t="shared" si="43"/>
        <v>0</v>
      </c>
      <c r="AE216" s="131">
        <f t="shared" si="44"/>
        <v>0</v>
      </c>
      <c r="AF216" s="131">
        <f t="shared" si="45"/>
        <v>0</v>
      </c>
      <c r="AG216" s="140">
        <f t="shared" si="46"/>
        <v>0</v>
      </c>
      <c r="AH216" s="140">
        <f t="shared" si="47"/>
        <v>0</v>
      </c>
      <c r="AI216" s="140">
        <f t="shared" si="48"/>
        <v>0</v>
      </c>
      <c r="AJ216" s="131">
        <f t="shared" si="49"/>
        <v>0</v>
      </c>
      <c r="AK216" s="131">
        <f t="shared" si="50"/>
        <v>0</v>
      </c>
      <c r="AL216" s="127">
        <f t="shared" si="51"/>
        <v>0</v>
      </c>
      <c r="AM216" s="140">
        <f t="shared" si="52"/>
        <v>0</v>
      </c>
      <c r="AN216" s="140">
        <f t="shared" si="53"/>
        <v>0</v>
      </c>
      <c r="AO216" s="140">
        <f t="shared" si="54"/>
        <v>0</v>
      </c>
      <c r="AP216" s="140">
        <f t="shared" si="55"/>
        <v>0</v>
      </c>
    </row>
    <row r="217" spans="2:4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AC217" s="131">
        <f t="shared" si="42"/>
        <v>0</v>
      </c>
      <c r="AD217" s="131">
        <f t="shared" si="43"/>
        <v>0</v>
      </c>
      <c r="AE217" s="131">
        <f t="shared" si="44"/>
        <v>0</v>
      </c>
      <c r="AF217" s="131">
        <f t="shared" si="45"/>
        <v>0</v>
      </c>
      <c r="AG217" s="140">
        <f t="shared" si="46"/>
        <v>0</v>
      </c>
      <c r="AH217" s="140">
        <f t="shared" si="47"/>
        <v>0</v>
      </c>
      <c r="AI217" s="140">
        <f t="shared" si="48"/>
        <v>0</v>
      </c>
      <c r="AJ217" s="131">
        <f t="shared" si="49"/>
        <v>0</v>
      </c>
      <c r="AK217" s="131">
        <f t="shared" si="50"/>
        <v>0</v>
      </c>
      <c r="AL217" s="127">
        <f t="shared" si="51"/>
        <v>0</v>
      </c>
      <c r="AM217" s="140">
        <f t="shared" si="52"/>
        <v>0</v>
      </c>
      <c r="AN217" s="140">
        <f t="shared" si="53"/>
        <v>0</v>
      </c>
      <c r="AO217" s="140">
        <f t="shared" si="54"/>
        <v>0</v>
      </c>
      <c r="AP217" s="140">
        <f t="shared" si="55"/>
        <v>0</v>
      </c>
    </row>
    <row r="218" spans="2:4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AC218" s="131">
        <f t="shared" si="42"/>
        <v>0</v>
      </c>
      <c r="AD218" s="131">
        <f t="shared" si="43"/>
        <v>0</v>
      </c>
      <c r="AE218" s="131">
        <f t="shared" si="44"/>
        <v>0</v>
      </c>
      <c r="AF218" s="131">
        <f t="shared" si="45"/>
        <v>0</v>
      </c>
      <c r="AG218" s="140">
        <f t="shared" si="46"/>
        <v>0</v>
      </c>
      <c r="AH218" s="140">
        <f t="shared" si="47"/>
        <v>0</v>
      </c>
      <c r="AI218" s="140">
        <f t="shared" si="48"/>
        <v>0</v>
      </c>
      <c r="AJ218" s="131">
        <f t="shared" si="49"/>
        <v>0</v>
      </c>
      <c r="AK218" s="131">
        <f t="shared" si="50"/>
        <v>0</v>
      </c>
      <c r="AL218" s="127">
        <f t="shared" si="51"/>
        <v>0</v>
      </c>
      <c r="AM218" s="140">
        <f t="shared" si="52"/>
        <v>0</v>
      </c>
      <c r="AN218" s="140">
        <f t="shared" si="53"/>
        <v>0</v>
      </c>
      <c r="AO218" s="140">
        <f t="shared" si="54"/>
        <v>0</v>
      </c>
      <c r="AP218" s="140">
        <f t="shared" si="55"/>
        <v>0</v>
      </c>
    </row>
    <row r="219" spans="2:4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AC219" s="131">
        <f t="shared" si="42"/>
        <v>0</v>
      </c>
      <c r="AD219" s="131">
        <f t="shared" si="43"/>
        <v>0</v>
      </c>
      <c r="AE219" s="131">
        <f t="shared" si="44"/>
        <v>0</v>
      </c>
      <c r="AF219" s="131">
        <f t="shared" si="45"/>
        <v>0</v>
      </c>
      <c r="AG219" s="140">
        <f t="shared" si="46"/>
        <v>0</v>
      </c>
      <c r="AH219" s="140">
        <f t="shared" si="47"/>
        <v>0</v>
      </c>
      <c r="AI219" s="140">
        <f t="shared" si="48"/>
        <v>0</v>
      </c>
      <c r="AJ219" s="131">
        <f t="shared" si="49"/>
        <v>0</v>
      </c>
      <c r="AK219" s="131">
        <f t="shared" si="50"/>
        <v>0</v>
      </c>
      <c r="AL219" s="127">
        <f t="shared" si="51"/>
        <v>0</v>
      </c>
      <c r="AM219" s="140">
        <f t="shared" si="52"/>
        <v>0</v>
      </c>
      <c r="AN219" s="140">
        <f t="shared" si="53"/>
        <v>0</v>
      </c>
      <c r="AO219" s="140">
        <f t="shared" si="54"/>
        <v>0</v>
      </c>
      <c r="AP219" s="140">
        <f t="shared" si="55"/>
        <v>0</v>
      </c>
    </row>
    <row r="220" spans="2:4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AC220" s="131">
        <f t="shared" si="42"/>
        <v>0</v>
      </c>
      <c r="AD220" s="131">
        <f t="shared" si="43"/>
        <v>0</v>
      </c>
      <c r="AE220" s="131">
        <f t="shared" si="44"/>
        <v>0</v>
      </c>
      <c r="AF220" s="131">
        <f t="shared" si="45"/>
        <v>0</v>
      </c>
      <c r="AG220" s="140">
        <f t="shared" si="46"/>
        <v>0</v>
      </c>
      <c r="AH220" s="140">
        <f t="shared" si="47"/>
        <v>0</v>
      </c>
      <c r="AI220" s="140">
        <f t="shared" si="48"/>
        <v>0</v>
      </c>
      <c r="AJ220" s="131">
        <f t="shared" si="49"/>
        <v>0</v>
      </c>
      <c r="AK220" s="131">
        <f t="shared" si="50"/>
        <v>0</v>
      </c>
      <c r="AL220" s="127">
        <f t="shared" si="51"/>
        <v>0</v>
      </c>
      <c r="AM220" s="140">
        <f t="shared" si="52"/>
        <v>0</v>
      </c>
      <c r="AN220" s="140">
        <f t="shared" si="53"/>
        <v>0</v>
      </c>
      <c r="AO220" s="140">
        <f t="shared" si="54"/>
        <v>0</v>
      </c>
      <c r="AP220" s="140">
        <f t="shared" si="55"/>
        <v>0</v>
      </c>
    </row>
    <row r="221" spans="2:4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AC221" s="131">
        <f t="shared" si="42"/>
        <v>0</v>
      </c>
      <c r="AD221" s="131">
        <f t="shared" si="43"/>
        <v>0</v>
      </c>
      <c r="AE221" s="131">
        <f t="shared" si="44"/>
        <v>0</v>
      </c>
      <c r="AF221" s="131">
        <f t="shared" si="45"/>
        <v>0</v>
      </c>
      <c r="AG221" s="140">
        <f t="shared" si="46"/>
        <v>0</v>
      </c>
      <c r="AH221" s="140">
        <f t="shared" si="47"/>
        <v>0</v>
      </c>
      <c r="AI221" s="140">
        <f t="shared" si="48"/>
        <v>0</v>
      </c>
      <c r="AJ221" s="131">
        <f t="shared" si="49"/>
        <v>0</v>
      </c>
      <c r="AK221" s="131">
        <f t="shared" si="50"/>
        <v>0</v>
      </c>
      <c r="AL221" s="127">
        <f t="shared" si="51"/>
        <v>0</v>
      </c>
      <c r="AM221" s="140">
        <f t="shared" si="52"/>
        <v>0</v>
      </c>
      <c r="AN221" s="140">
        <f t="shared" si="53"/>
        <v>0</v>
      </c>
      <c r="AO221" s="140">
        <f t="shared" si="54"/>
        <v>0</v>
      </c>
      <c r="AP221" s="140">
        <f t="shared" si="55"/>
        <v>0</v>
      </c>
    </row>
    <row r="222" spans="2:4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AC222" s="131">
        <f t="shared" si="42"/>
        <v>0</v>
      </c>
      <c r="AD222" s="131">
        <f t="shared" si="43"/>
        <v>0</v>
      </c>
      <c r="AE222" s="131">
        <f t="shared" si="44"/>
        <v>0</v>
      </c>
      <c r="AF222" s="131">
        <f t="shared" si="45"/>
        <v>0</v>
      </c>
      <c r="AG222" s="140">
        <f t="shared" si="46"/>
        <v>0</v>
      </c>
      <c r="AH222" s="140">
        <f t="shared" si="47"/>
        <v>0</v>
      </c>
      <c r="AI222" s="140">
        <f t="shared" si="48"/>
        <v>0</v>
      </c>
      <c r="AJ222" s="131">
        <f t="shared" si="49"/>
        <v>0</v>
      </c>
      <c r="AK222" s="131">
        <f t="shared" si="50"/>
        <v>0</v>
      </c>
      <c r="AL222" s="127">
        <f t="shared" si="51"/>
        <v>0</v>
      </c>
      <c r="AM222" s="140">
        <f t="shared" si="52"/>
        <v>0</v>
      </c>
      <c r="AN222" s="140">
        <f t="shared" si="53"/>
        <v>0</v>
      </c>
      <c r="AO222" s="140">
        <f t="shared" si="54"/>
        <v>0</v>
      </c>
      <c r="AP222" s="140">
        <f t="shared" si="55"/>
        <v>0</v>
      </c>
    </row>
    <row r="223" spans="2:4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AC223" s="131">
        <f t="shared" si="42"/>
        <v>0</v>
      </c>
      <c r="AD223" s="131">
        <f t="shared" si="43"/>
        <v>0</v>
      </c>
      <c r="AE223" s="131">
        <f t="shared" si="44"/>
        <v>0</v>
      </c>
      <c r="AF223" s="131">
        <f t="shared" si="45"/>
        <v>0</v>
      </c>
      <c r="AG223" s="140">
        <f t="shared" si="46"/>
        <v>0</v>
      </c>
      <c r="AH223" s="140">
        <f t="shared" si="47"/>
        <v>0</v>
      </c>
      <c r="AI223" s="140">
        <f t="shared" si="48"/>
        <v>0</v>
      </c>
      <c r="AJ223" s="131">
        <f t="shared" si="49"/>
        <v>0</v>
      </c>
      <c r="AK223" s="131">
        <f t="shared" si="50"/>
        <v>0</v>
      </c>
      <c r="AL223" s="127">
        <f t="shared" si="51"/>
        <v>0</v>
      </c>
      <c r="AM223" s="140">
        <f t="shared" si="52"/>
        <v>0</v>
      </c>
      <c r="AN223" s="140">
        <f t="shared" si="53"/>
        <v>0</v>
      </c>
      <c r="AO223" s="140">
        <f t="shared" si="54"/>
        <v>0</v>
      </c>
      <c r="AP223" s="140">
        <f t="shared" si="55"/>
        <v>0</v>
      </c>
    </row>
    <row r="224" spans="2:4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AC224" s="131">
        <f t="shared" si="42"/>
        <v>0</v>
      </c>
      <c r="AD224" s="131">
        <f t="shared" si="43"/>
        <v>0</v>
      </c>
      <c r="AE224" s="131">
        <f t="shared" si="44"/>
        <v>0</v>
      </c>
      <c r="AF224" s="131">
        <f t="shared" si="45"/>
        <v>0</v>
      </c>
      <c r="AG224" s="140">
        <f t="shared" si="46"/>
        <v>0</v>
      </c>
      <c r="AH224" s="140">
        <f t="shared" si="47"/>
        <v>0</v>
      </c>
      <c r="AI224" s="140">
        <f t="shared" si="48"/>
        <v>0</v>
      </c>
      <c r="AJ224" s="131">
        <f t="shared" si="49"/>
        <v>0</v>
      </c>
      <c r="AK224" s="131">
        <f t="shared" si="50"/>
        <v>0</v>
      </c>
      <c r="AL224" s="127">
        <f t="shared" si="51"/>
        <v>0</v>
      </c>
      <c r="AM224" s="140">
        <f t="shared" si="52"/>
        <v>0</v>
      </c>
      <c r="AN224" s="140">
        <f t="shared" si="53"/>
        <v>0</v>
      </c>
      <c r="AO224" s="140">
        <f t="shared" si="54"/>
        <v>0</v>
      </c>
      <c r="AP224" s="140">
        <f t="shared" si="55"/>
        <v>0</v>
      </c>
    </row>
    <row r="225" spans="2:4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AC225" s="131">
        <f t="shared" si="42"/>
        <v>0</v>
      </c>
      <c r="AD225" s="131">
        <f t="shared" si="43"/>
        <v>0</v>
      </c>
      <c r="AE225" s="131">
        <f t="shared" si="44"/>
        <v>0</v>
      </c>
      <c r="AF225" s="131">
        <f t="shared" si="45"/>
        <v>0</v>
      </c>
      <c r="AG225" s="140">
        <f t="shared" si="46"/>
        <v>0</v>
      </c>
      <c r="AH225" s="140">
        <f t="shared" si="47"/>
        <v>0</v>
      </c>
      <c r="AI225" s="140">
        <f t="shared" si="48"/>
        <v>0</v>
      </c>
      <c r="AJ225" s="131">
        <f t="shared" si="49"/>
        <v>0</v>
      </c>
      <c r="AK225" s="131">
        <f t="shared" si="50"/>
        <v>0</v>
      </c>
      <c r="AL225" s="127">
        <f t="shared" si="51"/>
        <v>0</v>
      </c>
      <c r="AM225" s="140">
        <f t="shared" si="52"/>
        <v>0</v>
      </c>
      <c r="AN225" s="140">
        <f t="shared" si="53"/>
        <v>0</v>
      </c>
      <c r="AO225" s="140">
        <f t="shared" si="54"/>
        <v>0</v>
      </c>
      <c r="AP225" s="140">
        <f t="shared" si="55"/>
        <v>0</v>
      </c>
    </row>
    <row r="226" spans="2:4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AC226" s="131">
        <f t="shared" si="42"/>
        <v>0</v>
      </c>
      <c r="AD226" s="131">
        <f t="shared" si="43"/>
        <v>0</v>
      </c>
      <c r="AE226" s="131">
        <f t="shared" si="44"/>
        <v>0</v>
      </c>
      <c r="AF226" s="131">
        <f t="shared" si="45"/>
        <v>0</v>
      </c>
      <c r="AG226" s="140">
        <f t="shared" si="46"/>
        <v>0</v>
      </c>
      <c r="AH226" s="140">
        <f t="shared" si="47"/>
        <v>0</v>
      </c>
      <c r="AI226" s="140">
        <f t="shared" si="48"/>
        <v>0</v>
      </c>
      <c r="AJ226" s="131">
        <f t="shared" si="49"/>
        <v>0</v>
      </c>
      <c r="AK226" s="131">
        <f t="shared" si="50"/>
        <v>0</v>
      </c>
      <c r="AL226" s="127">
        <f t="shared" si="51"/>
        <v>0</v>
      </c>
      <c r="AM226" s="140">
        <f t="shared" si="52"/>
        <v>0</v>
      </c>
      <c r="AN226" s="140">
        <f t="shared" si="53"/>
        <v>0</v>
      </c>
      <c r="AO226" s="140">
        <f t="shared" si="54"/>
        <v>0</v>
      </c>
      <c r="AP226" s="140">
        <f t="shared" si="55"/>
        <v>0</v>
      </c>
    </row>
    <row r="227" spans="2:4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AC227" s="131">
        <f t="shared" si="42"/>
        <v>0</v>
      </c>
      <c r="AD227" s="131">
        <f t="shared" si="43"/>
        <v>0</v>
      </c>
      <c r="AE227" s="131">
        <f t="shared" si="44"/>
        <v>0</v>
      </c>
      <c r="AF227" s="131">
        <f t="shared" si="45"/>
        <v>0</v>
      </c>
      <c r="AG227" s="140">
        <f t="shared" si="46"/>
        <v>0</v>
      </c>
      <c r="AH227" s="140">
        <f t="shared" si="47"/>
        <v>0</v>
      </c>
      <c r="AI227" s="140">
        <f t="shared" si="48"/>
        <v>0</v>
      </c>
      <c r="AJ227" s="131">
        <f t="shared" si="49"/>
        <v>0</v>
      </c>
      <c r="AK227" s="131">
        <f t="shared" si="50"/>
        <v>0</v>
      </c>
      <c r="AL227" s="127">
        <f t="shared" si="51"/>
        <v>0</v>
      </c>
      <c r="AM227" s="140">
        <f t="shared" si="52"/>
        <v>0</v>
      </c>
      <c r="AN227" s="140">
        <f t="shared" si="53"/>
        <v>0</v>
      </c>
      <c r="AO227" s="140">
        <f t="shared" si="54"/>
        <v>0</v>
      </c>
      <c r="AP227" s="140">
        <f t="shared" si="55"/>
        <v>0</v>
      </c>
    </row>
    <row r="228" spans="2:4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AC228" s="131">
        <f t="shared" si="42"/>
        <v>0</v>
      </c>
      <c r="AD228" s="131">
        <f t="shared" si="43"/>
        <v>0</v>
      </c>
      <c r="AE228" s="131">
        <f t="shared" si="44"/>
        <v>0</v>
      </c>
      <c r="AF228" s="131">
        <f t="shared" si="45"/>
        <v>0</v>
      </c>
      <c r="AG228" s="140">
        <f t="shared" si="46"/>
        <v>0</v>
      </c>
      <c r="AH228" s="140">
        <f t="shared" si="47"/>
        <v>0</v>
      </c>
      <c r="AI228" s="140">
        <f t="shared" si="48"/>
        <v>0</v>
      </c>
      <c r="AJ228" s="131">
        <f t="shared" si="49"/>
        <v>0</v>
      </c>
      <c r="AK228" s="131">
        <f t="shared" si="50"/>
        <v>0</v>
      </c>
      <c r="AL228" s="127">
        <f t="shared" si="51"/>
        <v>0</v>
      </c>
      <c r="AM228" s="140">
        <f t="shared" si="52"/>
        <v>0</v>
      </c>
      <c r="AN228" s="140">
        <f t="shared" si="53"/>
        <v>0</v>
      </c>
      <c r="AO228" s="140">
        <f t="shared" si="54"/>
        <v>0</v>
      </c>
      <c r="AP228" s="140">
        <f t="shared" si="55"/>
        <v>0</v>
      </c>
    </row>
    <row r="229" spans="2:4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AC229" s="131">
        <f t="shared" si="42"/>
        <v>0</v>
      </c>
      <c r="AD229" s="131">
        <f t="shared" si="43"/>
        <v>0</v>
      </c>
      <c r="AE229" s="131">
        <f t="shared" si="44"/>
        <v>0</v>
      </c>
      <c r="AF229" s="131">
        <f t="shared" si="45"/>
        <v>0</v>
      </c>
      <c r="AG229" s="140">
        <f t="shared" si="46"/>
        <v>0</v>
      </c>
      <c r="AH229" s="140">
        <f t="shared" si="47"/>
        <v>0</v>
      </c>
      <c r="AI229" s="140">
        <f t="shared" si="48"/>
        <v>0</v>
      </c>
      <c r="AJ229" s="131">
        <f t="shared" si="49"/>
        <v>0</v>
      </c>
      <c r="AK229" s="131">
        <f t="shared" si="50"/>
        <v>0</v>
      </c>
      <c r="AL229" s="127">
        <f t="shared" si="51"/>
        <v>0</v>
      </c>
      <c r="AM229" s="140">
        <f t="shared" si="52"/>
        <v>0</v>
      </c>
      <c r="AN229" s="140">
        <f t="shared" si="53"/>
        <v>0</v>
      </c>
      <c r="AO229" s="140">
        <f t="shared" si="54"/>
        <v>0</v>
      </c>
      <c r="AP229" s="140">
        <f t="shared" si="55"/>
        <v>0</v>
      </c>
    </row>
    <row r="230" spans="2:4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AC230" s="131">
        <f t="shared" si="42"/>
        <v>0</v>
      </c>
      <c r="AD230" s="131">
        <f t="shared" si="43"/>
        <v>0</v>
      </c>
      <c r="AE230" s="131">
        <f t="shared" si="44"/>
        <v>0</v>
      </c>
      <c r="AF230" s="131">
        <f t="shared" si="45"/>
        <v>0</v>
      </c>
      <c r="AG230" s="140">
        <f t="shared" si="46"/>
        <v>0</v>
      </c>
      <c r="AH230" s="140">
        <f t="shared" si="47"/>
        <v>0</v>
      </c>
      <c r="AI230" s="140">
        <f t="shared" si="48"/>
        <v>0</v>
      </c>
      <c r="AJ230" s="131">
        <f t="shared" si="49"/>
        <v>0</v>
      </c>
      <c r="AK230" s="131">
        <f t="shared" si="50"/>
        <v>0</v>
      </c>
      <c r="AL230" s="127">
        <f t="shared" si="51"/>
        <v>0</v>
      </c>
      <c r="AM230" s="140">
        <f t="shared" si="52"/>
        <v>0</v>
      </c>
      <c r="AN230" s="140">
        <f t="shared" si="53"/>
        <v>0</v>
      </c>
      <c r="AO230" s="140">
        <f t="shared" si="54"/>
        <v>0</v>
      </c>
      <c r="AP230" s="140">
        <f t="shared" si="55"/>
        <v>0</v>
      </c>
    </row>
    <row r="231" spans="2:4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AC231" s="131">
        <f t="shared" si="42"/>
        <v>0</v>
      </c>
      <c r="AD231" s="131">
        <f t="shared" si="43"/>
        <v>0</v>
      </c>
      <c r="AE231" s="131">
        <f t="shared" si="44"/>
        <v>0</v>
      </c>
      <c r="AF231" s="131">
        <f t="shared" si="45"/>
        <v>0</v>
      </c>
      <c r="AG231" s="140">
        <f t="shared" si="46"/>
        <v>0</v>
      </c>
      <c r="AH231" s="140">
        <f t="shared" si="47"/>
        <v>0</v>
      </c>
      <c r="AI231" s="140">
        <f t="shared" si="48"/>
        <v>0</v>
      </c>
      <c r="AJ231" s="131">
        <f t="shared" si="49"/>
        <v>0</v>
      </c>
      <c r="AK231" s="131">
        <f t="shared" si="50"/>
        <v>0</v>
      </c>
      <c r="AL231" s="127">
        <f t="shared" si="51"/>
        <v>0</v>
      </c>
      <c r="AM231" s="140">
        <f t="shared" si="52"/>
        <v>0</v>
      </c>
      <c r="AN231" s="140">
        <f t="shared" si="53"/>
        <v>0</v>
      </c>
      <c r="AO231" s="140">
        <f t="shared" si="54"/>
        <v>0</v>
      </c>
      <c r="AP231" s="140">
        <f t="shared" si="55"/>
        <v>0</v>
      </c>
    </row>
    <row r="232" spans="2:4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AC232" s="131">
        <f t="shared" si="42"/>
        <v>0</v>
      </c>
      <c r="AD232" s="131">
        <f t="shared" si="43"/>
        <v>0</v>
      </c>
      <c r="AE232" s="131">
        <f t="shared" si="44"/>
        <v>0</v>
      </c>
      <c r="AF232" s="131">
        <f t="shared" si="45"/>
        <v>0</v>
      </c>
      <c r="AG232" s="140">
        <f t="shared" si="46"/>
        <v>0</v>
      </c>
      <c r="AH232" s="140">
        <f t="shared" si="47"/>
        <v>0</v>
      </c>
      <c r="AI232" s="140">
        <f t="shared" si="48"/>
        <v>0</v>
      </c>
      <c r="AJ232" s="131">
        <f t="shared" si="49"/>
        <v>0</v>
      </c>
      <c r="AK232" s="131">
        <f t="shared" si="50"/>
        <v>0</v>
      </c>
      <c r="AL232" s="127">
        <f t="shared" si="51"/>
        <v>0</v>
      </c>
      <c r="AM232" s="140">
        <f t="shared" si="52"/>
        <v>0</v>
      </c>
      <c r="AN232" s="140">
        <f t="shared" si="53"/>
        <v>0</v>
      </c>
      <c r="AO232" s="140">
        <f t="shared" si="54"/>
        <v>0</v>
      </c>
      <c r="AP232" s="140">
        <f t="shared" si="55"/>
        <v>0</v>
      </c>
    </row>
    <row r="233" spans="2:4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AC233" s="131">
        <f t="shared" si="42"/>
        <v>0</v>
      </c>
      <c r="AD233" s="131">
        <f t="shared" si="43"/>
        <v>0</v>
      </c>
      <c r="AE233" s="131">
        <f t="shared" si="44"/>
        <v>0</v>
      </c>
      <c r="AF233" s="131">
        <f t="shared" si="45"/>
        <v>0</v>
      </c>
      <c r="AG233" s="140">
        <f t="shared" si="46"/>
        <v>0</v>
      </c>
      <c r="AH233" s="140">
        <f t="shared" si="47"/>
        <v>0</v>
      </c>
      <c r="AI233" s="140">
        <f t="shared" si="48"/>
        <v>0</v>
      </c>
      <c r="AJ233" s="131">
        <f t="shared" si="49"/>
        <v>0</v>
      </c>
      <c r="AK233" s="131">
        <f t="shared" si="50"/>
        <v>0</v>
      </c>
      <c r="AL233" s="127">
        <f t="shared" si="51"/>
        <v>0</v>
      </c>
      <c r="AM233" s="140">
        <f t="shared" si="52"/>
        <v>0</v>
      </c>
      <c r="AN233" s="140">
        <f t="shared" si="53"/>
        <v>0</v>
      </c>
      <c r="AO233" s="140">
        <f t="shared" si="54"/>
        <v>0</v>
      </c>
      <c r="AP233" s="140">
        <f t="shared" si="55"/>
        <v>0</v>
      </c>
    </row>
    <row r="234" spans="2:4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AC234" s="131">
        <f t="shared" si="42"/>
        <v>0</v>
      </c>
      <c r="AD234" s="131">
        <f t="shared" si="43"/>
        <v>0</v>
      </c>
      <c r="AE234" s="131">
        <f t="shared" si="44"/>
        <v>0</v>
      </c>
      <c r="AF234" s="131">
        <f t="shared" si="45"/>
        <v>0</v>
      </c>
      <c r="AG234" s="140">
        <f t="shared" si="46"/>
        <v>0</v>
      </c>
      <c r="AH234" s="140">
        <f t="shared" si="47"/>
        <v>0</v>
      </c>
      <c r="AI234" s="140">
        <f t="shared" si="48"/>
        <v>0</v>
      </c>
      <c r="AJ234" s="131">
        <f t="shared" si="49"/>
        <v>0</v>
      </c>
      <c r="AK234" s="131">
        <f t="shared" si="50"/>
        <v>0</v>
      </c>
      <c r="AL234" s="127">
        <f t="shared" si="51"/>
        <v>0</v>
      </c>
      <c r="AM234" s="140">
        <f t="shared" si="52"/>
        <v>0</v>
      </c>
      <c r="AN234" s="140">
        <f t="shared" si="53"/>
        <v>0</v>
      </c>
      <c r="AO234" s="140">
        <f t="shared" si="54"/>
        <v>0</v>
      </c>
      <c r="AP234" s="140">
        <f t="shared" si="55"/>
        <v>0</v>
      </c>
    </row>
    <row r="235" spans="2:4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AC235" s="131">
        <f t="shared" si="42"/>
        <v>0</v>
      </c>
      <c r="AD235" s="131">
        <f t="shared" si="43"/>
        <v>0</v>
      </c>
      <c r="AE235" s="131">
        <f t="shared" si="44"/>
        <v>0</v>
      </c>
      <c r="AF235" s="131">
        <f t="shared" si="45"/>
        <v>0</v>
      </c>
      <c r="AG235" s="140">
        <f t="shared" si="46"/>
        <v>0</v>
      </c>
      <c r="AH235" s="140">
        <f t="shared" si="47"/>
        <v>0</v>
      </c>
      <c r="AI235" s="140">
        <f t="shared" si="48"/>
        <v>0</v>
      </c>
      <c r="AJ235" s="131">
        <f t="shared" si="49"/>
        <v>0</v>
      </c>
      <c r="AK235" s="131">
        <f t="shared" si="50"/>
        <v>0</v>
      </c>
      <c r="AL235" s="127">
        <f t="shared" si="51"/>
        <v>0</v>
      </c>
      <c r="AM235" s="140">
        <f t="shared" si="52"/>
        <v>0</v>
      </c>
      <c r="AN235" s="140">
        <f t="shared" si="53"/>
        <v>0</v>
      </c>
      <c r="AO235" s="140">
        <f t="shared" si="54"/>
        <v>0</v>
      </c>
      <c r="AP235" s="140">
        <f t="shared" si="55"/>
        <v>0</v>
      </c>
    </row>
    <row r="236" spans="2:4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AC236" s="131">
        <f t="shared" si="42"/>
        <v>0</v>
      </c>
      <c r="AD236" s="131">
        <f t="shared" si="43"/>
        <v>0</v>
      </c>
      <c r="AE236" s="131">
        <f t="shared" si="44"/>
        <v>0</v>
      </c>
      <c r="AF236" s="131">
        <f t="shared" si="45"/>
        <v>0</v>
      </c>
      <c r="AG236" s="140">
        <f t="shared" si="46"/>
        <v>0</v>
      </c>
      <c r="AH236" s="140">
        <f t="shared" si="47"/>
        <v>0</v>
      </c>
      <c r="AI236" s="140">
        <f t="shared" si="48"/>
        <v>0</v>
      </c>
      <c r="AJ236" s="131">
        <f t="shared" si="49"/>
        <v>0</v>
      </c>
      <c r="AK236" s="131">
        <f t="shared" si="50"/>
        <v>0</v>
      </c>
      <c r="AL236" s="127">
        <f t="shared" si="51"/>
        <v>0</v>
      </c>
      <c r="AM236" s="140">
        <f t="shared" si="52"/>
        <v>0</v>
      </c>
      <c r="AN236" s="140">
        <f t="shared" si="53"/>
        <v>0</v>
      </c>
      <c r="AO236" s="140">
        <f t="shared" si="54"/>
        <v>0</v>
      </c>
      <c r="AP236" s="140">
        <f t="shared" si="55"/>
        <v>0</v>
      </c>
    </row>
    <row r="237" spans="2:4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AC237" s="131">
        <f t="shared" si="42"/>
        <v>0</v>
      </c>
      <c r="AD237" s="131">
        <f t="shared" si="43"/>
        <v>0</v>
      </c>
      <c r="AE237" s="131">
        <f t="shared" si="44"/>
        <v>0</v>
      </c>
      <c r="AF237" s="131">
        <f t="shared" si="45"/>
        <v>0</v>
      </c>
      <c r="AG237" s="140">
        <f t="shared" si="46"/>
        <v>0</v>
      </c>
      <c r="AH237" s="140">
        <f t="shared" si="47"/>
        <v>0</v>
      </c>
      <c r="AI237" s="140">
        <f t="shared" si="48"/>
        <v>0</v>
      </c>
      <c r="AJ237" s="131">
        <f t="shared" si="49"/>
        <v>0</v>
      </c>
      <c r="AK237" s="131">
        <f t="shared" si="50"/>
        <v>0</v>
      </c>
      <c r="AL237" s="127">
        <f t="shared" si="51"/>
        <v>0</v>
      </c>
      <c r="AM237" s="140">
        <f t="shared" si="52"/>
        <v>0</v>
      </c>
      <c r="AN237" s="140">
        <f t="shared" si="53"/>
        <v>0</v>
      </c>
      <c r="AO237" s="140">
        <f t="shared" si="54"/>
        <v>0</v>
      </c>
      <c r="AP237" s="140">
        <f t="shared" si="55"/>
        <v>0</v>
      </c>
    </row>
    <row r="238" spans="2:4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AC238" s="131">
        <f t="shared" si="42"/>
        <v>0</v>
      </c>
      <c r="AD238" s="131">
        <f t="shared" si="43"/>
        <v>0</v>
      </c>
      <c r="AE238" s="131">
        <f t="shared" si="44"/>
        <v>0</v>
      </c>
      <c r="AF238" s="131">
        <f t="shared" si="45"/>
        <v>0</v>
      </c>
      <c r="AG238" s="140">
        <f t="shared" si="46"/>
        <v>0</v>
      </c>
      <c r="AH238" s="140">
        <f t="shared" si="47"/>
        <v>0</v>
      </c>
      <c r="AI238" s="140">
        <f t="shared" si="48"/>
        <v>0</v>
      </c>
      <c r="AJ238" s="131">
        <f t="shared" si="49"/>
        <v>0</v>
      </c>
      <c r="AK238" s="131">
        <f t="shared" si="50"/>
        <v>0</v>
      </c>
      <c r="AL238" s="127">
        <f t="shared" si="51"/>
        <v>0</v>
      </c>
      <c r="AM238" s="140">
        <f t="shared" si="52"/>
        <v>0</v>
      </c>
      <c r="AN238" s="140">
        <f t="shared" si="53"/>
        <v>0</v>
      </c>
      <c r="AO238" s="140">
        <f t="shared" si="54"/>
        <v>0</v>
      </c>
      <c r="AP238" s="140">
        <f t="shared" si="55"/>
        <v>0</v>
      </c>
    </row>
    <row r="239" spans="2:4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AC239" s="131">
        <f t="shared" si="42"/>
        <v>0</v>
      </c>
      <c r="AD239" s="131">
        <f t="shared" si="43"/>
        <v>0</v>
      </c>
      <c r="AE239" s="131">
        <f t="shared" si="44"/>
        <v>0</v>
      </c>
      <c r="AF239" s="131">
        <f t="shared" si="45"/>
        <v>0</v>
      </c>
      <c r="AG239" s="140">
        <f t="shared" si="46"/>
        <v>0</v>
      </c>
      <c r="AH239" s="140">
        <f t="shared" si="47"/>
        <v>0</v>
      </c>
      <c r="AI239" s="140">
        <f t="shared" si="48"/>
        <v>0</v>
      </c>
      <c r="AJ239" s="131">
        <f t="shared" si="49"/>
        <v>0</v>
      </c>
      <c r="AK239" s="131">
        <f t="shared" si="50"/>
        <v>0</v>
      </c>
      <c r="AL239" s="127">
        <f t="shared" si="51"/>
        <v>0</v>
      </c>
      <c r="AM239" s="140">
        <f t="shared" si="52"/>
        <v>0</v>
      </c>
      <c r="AN239" s="140">
        <f t="shared" si="53"/>
        <v>0</v>
      </c>
      <c r="AO239" s="140">
        <f t="shared" si="54"/>
        <v>0</v>
      </c>
      <c r="AP239" s="140">
        <f t="shared" si="55"/>
        <v>0</v>
      </c>
    </row>
    <row r="240" spans="2:4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AC240" s="131">
        <f t="shared" si="42"/>
        <v>0</v>
      </c>
      <c r="AD240" s="131">
        <f t="shared" si="43"/>
        <v>0</v>
      </c>
      <c r="AE240" s="131">
        <f t="shared" si="44"/>
        <v>0</v>
      </c>
      <c r="AF240" s="131">
        <f t="shared" si="45"/>
        <v>0</v>
      </c>
      <c r="AG240" s="140">
        <f t="shared" si="46"/>
        <v>0</v>
      </c>
      <c r="AH240" s="140">
        <f t="shared" si="47"/>
        <v>0</v>
      </c>
      <c r="AI240" s="140">
        <f t="shared" si="48"/>
        <v>0</v>
      </c>
      <c r="AJ240" s="131">
        <f t="shared" si="49"/>
        <v>0</v>
      </c>
      <c r="AK240" s="131">
        <f t="shared" si="50"/>
        <v>0</v>
      </c>
      <c r="AL240" s="127">
        <f t="shared" si="51"/>
        <v>0</v>
      </c>
      <c r="AM240" s="140">
        <f t="shared" si="52"/>
        <v>0</v>
      </c>
      <c r="AN240" s="140">
        <f t="shared" si="53"/>
        <v>0</v>
      </c>
      <c r="AO240" s="140">
        <f t="shared" si="54"/>
        <v>0</v>
      </c>
      <c r="AP240" s="140">
        <f t="shared" si="55"/>
        <v>0</v>
      </c>
    </row>
    <row r="241" spans="2:4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AC241" s="131">
        <f t="shared" si="42"/>
        <v>0</v>
      </c>
      <c r="AD241" s="131">
        <f t="shared" si="43"/>
        <v>0</v>
      </c>
      <c r="AE241" s="131">
        <f t="shared" si="44"/>
        <v>0</v>
      </c>
      <c r="AF241" s="131">
        <f t="shared" si="45"/>
        <v>0</v>
      </c>
      <c r="AG241" s="140">
        <f t="shared" si="46"/>
        <v>0</v>
      </c>
      <c r="AH241" s="140">
        <f t="shared" si="47"/>
        <v>0</v>
      </c>
      <c r="AI241" s="140">
        <f t="shared" si="48"/>
        <v>0</v>
      </c>
      <c r="AJ241" s="131">
        <f t="shared" si="49"/>
        <v>0</v>
      </c>
      <c r="AK241" s="131">
        <f t="shared" si="50"/>
        <v>0</v>
      </c>
      <c r="AL241" s="127">
        <f t="shared" si="51"/>
        <v>0</v>
      </c>
      <c r="AM241" s="140">
        <f t="shared" si="52"/>
        <v>0</v>
      </c>
      <c r="AN241" s="140">
        <f t="shared" si="53"/>
        <v>0</v>
      </c>
      <c r="AO241" s="140">
        <f t="shared" si="54"/>
        <v>0</v>
      </c>
      <c r="AP241" s="140">
        <f t="shared" si="55"/>
        <v>0</v>
      </c>
    </row>
    <row r="242" spans="2:4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AC242" s="131">
        <f t="shared" si="42"/>
        <v>0</v>
      </c>
      <c r="AD242" s="131">
        <f t="shared" si="43"/>
        <v>0</v>
      </c>
      <c r="AE242" s="131">
        <f t="shared" si="44"/>
        <v>0</v>
      </c>
      <c r="AF242" s="131">
        <f t="shared" si="45"/>
        <v>0</v>
      </c>
      <c r="AG242" s="140">
        <f t="shared" si="46"/>
        <v>0</v>
      </c>
      <c r="AH242" s="140">
        <f t="shared" si="47"/>
        <v>0</v>
      </c>
      <c r="AI242" s="140">
        <f t="shared" si="48"/>
        <v>0</v>
      </c>
      <c r="AJ242" s="131">
        <f t="shared" si="49"/>
        <v>0</v>
      </c>
      <c r="AK242" s="131">
        <f t="shared" si="50"/>
        <v>0</v>
      </c>
      <c r="AL242" s="127">
        <f t="shared" si="51"/>
        <v>0</v>
      </c>
      <c r="AM242" s="140">
        <f t="shared" si="52"/>
        <v>0</v>
      </c>
      <c r="AN242" s="140">
        <f t="shared" si="53"/>
        <v>0</v>
      </c>
      <c r="AO242" s="140">
        <f t="shared" si="54"/>
        <v>0</v>
      </c>
      <c r="AP242" s="140">
        <f t="shared" si="55"/>
        <v>0</v>
      </c>
    </row>
    <row r="243" spans="2:4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AC243" s="131">
        <f t="shared" si="42"/>
        <v>0</v>
      </c>
      <c r="AD243" s="131">
        <f t="shared" si="43"/>
        <v>0</v>
      </c>
      <c r="AE243" s="131">
        <f t="shared" si="44"/>
        <v>0</v>
      </c>
      <c r="AF243" s="131">
        <f t="shared" si="45"/>
        <v>0</v>
      </c>
      <c r="AG243" s="140">
        <f t="shared" si="46"/>
        <v>0</v>
      </c>
      <c r="AH243" s="140">
        <f t="shared" si="47"/>
        <v>0</v>
      </c>
      <c r="AI243" s="140">
        <f t="shared" si="48"/>
        <v>0</v>
      </c>
      <c r="AJ243" s="131">
        <f t="shared" si="49"/>
        <v>0</v>
      </c>
      <c r="AK243" s="131">
        <f t="shared" si="50"/>
        <v>0</v>
      </c>
      <c r="AL243" s="127">
        <f t="shared" si="51"/>
        <v>0</v>
      </c>
      <c r="AM243" s="140">
        <f t="shared" si="52"/>
        <v>0</v>
      </c>
      <c r="AN243" s="140">
        <f t="shared" si="53"/>
        <v>0</v>
      </c>
      <c r="AO243" s="140">
        <f t="shared" si="54"/>
        <v>0</v>
      </c>
      <c r="AP243" s="140">
        <f t="shared" si="55"/>
        <v>0</v>
      </c>
    </row>
    <row r="244" spans="2:4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AC244" s="131">
        <f t="shared" si="42"/>
        <v>0</v>
      </c>
      <c r="AD244" s="131">
        <f t="shared" si="43"/>
        <v>0</v>
      </c>
      <c r="AE244" s="131">
        <f t="shared" si="44"/>
        <v>0</v>
      </c>
      <c r="AF244" s="131">
        <f t="shared" si="45"/>
        <v>0</v>
      </c>
      <c r="AG244" s="140">
        <f t="shared" si="46"/>
        <v>0</v>
      </c>
      <c r="AH244" s="140">
        <f t="shared" si="47"/>
        <v>0</v>
      </c>
      <c r="AI244" s="140">
        <f t="shared" si="48"/>
        <v>0</v>
      </c>
      <c r="AJ244" s="131">
        <f t="shared" si="49"/>
        <v>0</v>
      </c>
      <c r="AK244" s="131">
        <f t="shared" si="50"/>
        <v>0</v>
      </c>
      <c r="AL244" s="127">
        <f t="shared" si="51"/>
        <v>0</v>
      </c>
      <c r="AM244" s="140">
        <f t="shared" si="52"/>
        <v>0</v>
      </c>
      <c r="AN244" s="140">
        <f t="shared" si="53"/>
        <v>0</v>
      </c>
      <c r="AO244" s="140">
        <f t="shared" si="54"/>
        <v>0</v>
      </c>
      <c r="AP244" s="140">
        <f t="shared" si="55"/>
        <v>0</v>
      </c>
    </row>
    <row r="245" spans="2:4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AC245" s="131">
        <f t="shared" si="42"/>
        <v>0</v>
      </c>
      <c r="AD245" s="131">
        <f t="shared" si="43"/>
        <v>0</v>
      </c>
      <c r="AE245" s="131">
        <f t="shared" si="44"/>
        <v>0</v>
      </c>
      <c r="AF245" s="131">
        <f t="shared" si="45"/>
        <v>0</v>
      </c>
      <c r="AG245" s="140">
        <f t="shared" si="46"/>
        <v>0</v>
      </c>
      <c r="AH245" s="140">
        <f t="shared" si="47"/>
        <v>0</v>
      </c>
      <c r="AI245" s="140">
        <f t="shared" si="48"/>
        <v>0</v>
      </c>
      <c r="AJ245" s="131">
        <f t="shared" si="49"/>
        <v>0</v>
      </c>
      <c r="AK245" s="131">
        <f t="shared" si="50"/>
        <v>0</v>
      </c>
      <c r="AL245" s="127">
        <f t="shared" si="51"/>
        <v>0</v>
      </c>
      <c r="AM245" s="140">
        <f t="shared" si="52"/>
        <v>0</v>
      </c>
      <c r="AN245" s="140">
        <f t="shared" si="53"/>
        <v>0</v>
      </c>
      <c r="AO245" s="140">
        <f t="shared" si="54"/>
        <v>0</v>
      </c>
      <c r="AP245" s="140">
        <f t="shared" si="55"/>
        <v>0</v>
      </c>
    </row>
    <row r="246" spans="2:42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AC246" s="131">
        <f t="shared" si="42"/>
        <v>0</v>
      </c>
      <c r="AD246" s="131">
        <f t="shared" si="43"/>
        <v>0</v>
      </c>
      <c r="AE246" s="131">
        <f t="shared" si="44"/>
        <v>0</v>
      </c>
      <c r="AF246" s="131">
        <f t="shared" si="45"/>
        <v>0</v>
      </c>
      <c r="AG246" s="140">
        <f t="shared" si="46"/>
        <v>0</v>
      </c>
      <c r="AH246" s="140">
        <f t="shared" si="47"/>
        <v>0</v>
      </c>
      <c r="AI246" s="140">
        <f t="shared" si="48"/>
        <v>0</v>
      </c>
      <c r="AJ246" s="131">
        <f t="shared" si="49"/>
        <v>0</v>
      </c>
      <c r="AK246" s="131">
        <f t="shared" si="50"/>
        <v>0</v>
      </c>
      <c r="AL246" s="127">
        <f t="shared" si="51"/>
        <v>0</v>
      </c>
      <c r="AM246" s="140">
        <f t="shared" si="52"/>
        <v>0</v>
      </c>
      <c r="AN246" s="140">
        <f t="shared" si="53"/>
        <v>0</v>
      </c>
      <c r="AO246" s="140">
        <f t="shared" si="54"/>
        <v>0</v>
      </c>
      <c r="AP246" s="140">
        <f t="shared" si="55"/>
        <v>0</v>
      </c>
    </row>
    <row r="247" spans="2:42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AC247" s="131">
        <f t="shared" si="42"/>
        <v>0</v>
      </c>
      <c r="AD247" s="131">
        <f t="shared" si="43"/>
        <v>0</v>
      </c>
      <c r="AE247" s="131">
        <f t="shared" si="44"/>
        <v>0</v>
      </c>
      <c r="AF247" s="131">
        <f t="shared" si="45"/>
        <v>0</v>
      </c>
      <c r="AG247" s="140">
        <f t="shared" si="46"/>
        <v>0</v>
      </c>
      <c r="AH247" s="140">
        <f t="shared" si="47"/>
        <v>0</v>
      </c>
      <c r="AI247" s="140">
        <f t="shared" si="48"/>
        <v>0</v>
      </c>
      <c r="AJ247" s="131">
        <f t="shared" si="49"/>
        <v>0</v>
      </c>
      <c r="AK247" s="131">
        <f t="shared" si="50"/>
        <v>0</v>
      </c>
      <c r="AL247" s="127">
        <f t="shared" si="51"/>
        <v>0</v>
      </c>
      <c r="AM247" s="140">
        <f t="shared" si="52"/>
        <v>0</v>
      </c>
      <c r="AN247" s="140">
        <f t="shared" si="53"/>
        <v>0</v>
      </c>
      <c r="AO247" s="140">
        <f t="shared" si="54"/>
        <v>0</v>
      </c>
      <c r="AP247" s="140">
        <f t="shared" si="55"/>
        <v>0</v>
      </c>
    </row>
    <row r="248" spans="2:4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AC248" s="131">
        <f t="shared" si="42"/>
        <v>0</v>
      </c>
      <c r="AD248" s="131">
        <f t="shared" si="43"/>
        <v>0</v>
      </c>
      <c r="AE248" s="131">
        <f t="shared" si="44"/>
        <v>0</v>
      </c>
      <c r="AF248" s="131">
        <f t="shared" si="45"/>
        <v>0</v>
      </c>
      <c r="AG248" s="140">
        <f t="shared" si="46"/>
        <v>0</v>
      </c>
      <c r="AH248" s="140">
        <f t="shared" si="47"/>
        <v>0</v>
      </c>
      <c r="AI248" s="140">
        <f t="shared" si="48"/>
        <v>0</v>
      </c>
      <c r="AJ248" s="131">
        <f t="shared" si="49"/>
        <v>0</v>
      </c>
      <c r="AK248" s="131">
        <f t="shared" si="50"/>
        <v>0</v>
      </c>
      <c r="AL248" s="127">
        <f t="shared" si="51"/>
        <v>0</v>
      </c>
      <c r="AM248" s="140">
        <f t="shared" si="52"/>
        <v>0</v>
      </c>
      <c r="AN248" s="140">
        <f t="shared" si="53"/>
        <v>0</v>
      </c>
      <c r="AO248" s="140">
        <f t="shared" si="54"/>
        <v>0</v>
      </c>
      <c r="AP248" s="140">
        <f t="shared" si="55"/>
        <v>0</v>
      </c>
    </row>
    <row r="249" spans="2:42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AC249" s="131">
        <f t="shared" si="42"/>
        <v>0</v>
      </c>
      <c r="AD249" s="131">
        <f t="shared" si="43"/>
        <v>0</v>
      </c>
      <c r="AE249" s="131">
        <f t="shared" si="44"/>
        <v>0</v>
      </c>
      <c r="AF249" s="131">
        <f t="shared" si="45"/>
        <v>0</v>
      </c>
      <c r="AG249" s="140">
        <f t="shared" si="46"/>
        <v>0</v>
      </c>
      <c r="AH249" s="140">
        <f t="shared" si="47"/>
        <v>0</v>
      </c>
      <c r="AI249" s="140">
        <f t="shared" si="48"/>
        <v>0</v>
      </c>
      <c r="AJ249" s="131">
        <f t="shared" si="49"/>
        <v>0</v>
      </c>
      <c r="AK249" s="131">
        <f t="shared" si="50"/>
        <v>0</v>
      </c>
      <c r="AL249" s="127">
        <f t="shared" si="51"/>
        <v>0</v>
      </c>
      <c r="AM249" s="140">
        <f t="shared" si="52"/>
        <v>0</v>
      </c>
      <c r="AN249" s="140">
        <f t="shared" si="53"/>
        <v>0</v>
      </c>
      <c r="AO249" s="140">
        <f t="shared" si="54"/>
        <v>0</v>
      </c>
      <c r="AP249" s="140">
        <f t="shared" si="55"/>
        <v>0</v>
      </c>
    </row>
    <row r="250" spans="2:42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AC250" s="131">
        <f t="shared" si="42"/>
        <v>0</v>
      </c>
      <c r="AD250" s="131">
        <f t="shared" si="43"/>
        <v>0</v>
      </c>
      <c r="AE250" s="131">
        <f t="shared" si="44"/>
        <v>0</v>
      </c>
      <c r="AF250" s="131">
        <f t="shared" si="45"/>
        <v>0</v>
      </c>
      <c r="AG250" s="140">
        <f t="shared" si="46"/>
        <v>0</v>
      </c>
      <c r="AH250" s="140">
        <f t="shared" si="47"/>
        <v>0</v>
      </c>
      <c r="AI250" s="140">
        <f t="shared" si="48"/>
        <v>0</v>
      </c>
      <c r="AJ250" s="131">
        <f t="shared" si="49"/>
        <v>0</v>
      </c>
      <c r="AK250" s="131">
        <f t="shared" si="50"/>
        <v>0</v>
      </c>
      <c r="AL250" s="127">
        <f t="shared" si="51"/>
        <v>0</v>
      </c>
      <c r="AM250" s="140">
        <f t="shared" si="52"/>
        <v>0</v>
      </c>
      <c r="AN250" s="140">
        <f t="shared" si="53"/>
        <v>0</v>
      </c>
      <c r="AO250" s="140">
        <f t="shared" si="54"/>
        <v>0</v>
      </c>
      <c r="AP250" s="140">
        <f t="shared" si="55"/>
        <v>0</v>
      </c>
    </row>
    <row r="251" spans="2:42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AC251" s="131">
        <f t="shared" ref="AC251:AC314" si="56">+H251</f>
        <v>0</v>
      </c>
      <c r="AD251" s="131">
        <f t="shared" ref="AD251:AD314" si="57">+I251</f>
        <v>0</v>
      </c>
      <c r="AE251" s="131">
        <f t="shared" ref="AE251:AE314" si="58">+J251</f>
        <v>0</v>
      </c>
      <c r="AF251" s="131">
        <f t="shared" ref="AF251:AF314" si="59">+K251</f>
        <v>0</v>
      </c>
      <c r="AG251" s="140">
        <f t="shared" ref="AG251:AG314" si="60">+G251</f>
        <v>0</v>
      </c>
      <c r="AH251" s="140">
        <f t="shared" ref="AH251:AH314" si="61">+L251</f>
        <v>0</v>
      </c>
      <c r="AI251" s="140">
        <f t="shared" ref="AI251:AI314" si="62">+M251</f>
        <v>0</v>
      </c>
      <c r="AJ251" s="131">
        <f t="shared" ref="AJ251:AJ314" si="63">+T251</f>
        <v>0</v>
      </c>
      <c r="AK251" s="131">
        <f t="shared" ref="AK251:AK314" si="64">+N251+O251</f>
        <v>0</v>
      </c>
      <c r="AL251" s="127">
        <f t="shared" si="51"/>
        <v>0</v>
      </c>
      <c r="AM251" s="140">
        <f t="shared" ref="AM251:AM314" si="65">+P251+R251</f>
        <v>0</v>
      </c>
      <c r="AN251" s="140">
        <f t="shared" ref="AN251:AN314" si="66">+Q251+S251</f>
        <v>0</v>
      </c>
      <c r="AO251" s="140">
        <f t="shared" ref="AO251:AO314" si="67">+U251</f>
        <v>0</v>
      </c>
      <c r="AP251" s="140">
        <f t="shared" ref="AP251:AP314" si="68">+AG251+AH251+AJ251-AK251-AM251-AO251</f>
        <v>0</v>
      </c>
    </row>
    <row r="252" spans="2:4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AC252" s="131">
        <f t="shared" si="56"/>
        <v>0</v>
      </c>
      <c r="AD252" s="131">
        <f t="shared" si="57"/>
        <v>0</v>
      </c>
      <c r="AE252" s="131">
        <f t="shared" si="58"/>
        <v>0</v>
      </c>
      <c r="AF252" s="131">
        <f t="shared" si="59"/>
        <v>0</v>
      </c>
      <c r="AG252" s="140">
        <f t="shared" si="60"/>
        <v>0</v>
      </c>
      <c r="AH252" s="140">
        <f t="shared" si="61"/>
        <v>0</v>
      </c>
      <c r="AI252" s="140">
        <f t="shared" si="62"/>
        <v>0</v>
      </c>
      <c r="AJ252" s="131">
        <f t="shared" si="63"/>
        <v>0</v>
      </c>
      <c r="AK252" s="131">
        <f t="shared" si="64"/>
        <v>0</v>
      </c>
      <c r="AL252" s="127">
        <f t="shared" si="51"/>
        <v>0</v>
      </c>
      <c r="AM252" s="140">
        <f t="shared" si="65"/>
        <v>0</v>
      </c>
      <c r="AN252" s="140">
        <f t="shared" si="66"/>
        <v>0</v>
      </c>
      <c r="AO252" s="140">
        <f t="shared" si="67"/>
        <v>0</v>
      </c>
      <c r="AP252" s="140">
        <f t="shared" si="68"/>
        <v>0</v>
      </c>
    </row>
    <row r="253" spans="2:42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AC253" s="131">
        <f t="shared" si="56"/>
        <v>0</v>
      </c>
      <c r="AD253" s="131">
        <f t="shared" si="57"/>
        <v>0</v>
      </c>
      <c r="AE253" s="131">
        <f t="shared" si="58"/>
        <v>0</v>
      </c>
      <c r="AF253" s="131">
        <f t="shared" si="59"/>
        <v>0</v>
      </c>
      <c r="AG253" s="140">
        <f t="shared" si="60"/>
        <v>0</v>
      </c>
      <c r="AH253" s="140">
        <f t="shared" si="61"/>
        <v>0</v>
      </c>
      <c r="AI253" s="140">
        <f t="shared" si="62"/>
        <v>0</v>
      </c>
      <c r="AJ253" s="131">
        <f t="shared" si="63"/>
        <v>0</v>
      </c>
      <c r="AK253" s="131">
        <f t="shared" si="64"/>
        <v>0</v>
      </c>
      <c r="AL253" s="127">
        <f t="shared" si="51"/>
        <v>0</v>
      </c>
      <c r="AM253" s="140">
        <f t="shared" si="65"/>
        <v>0</v>
      </c>
      <c r="AN253" s="140">
        <f t="shared" si="66"/>
        <v>0</v>
      </c>
      <c r="AO253" s="140">
        <f t="shared" si="67"/>
        <v>0</v>
      </c>
      <c r="AP253" s="140">
        <f t="shared" si="68"/>
        <v>0</v>
      </c>
    </row>
    <row r="254" spans="2:4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AC254" s="131">
        <f t="shared" si="56"/>
        <v>0</v>
      </c>
      <c r="AD254" s="131">
        <f t="shared" si="57"/>
        <v>0</v>
      </c>
      <c r="AE254" s="131">
        <f t="shared" si="58"/>
        <v>0</v>
      </c>
      <c r="AF254" s="131">
        <f t="shared" si="59"/>
        <v>0</v>
      </c>
      <c r="AG254" s="140">
        <f t="shared" si="60"/>
        <v>0</v>
      </c>
      <c r="AH254" s="140">
        <f t="shared" si="61"/>
        <v>0</v>
      </c>
      <c r="AI254" s="140">
        <f t="shared" si="62"/>
        <v>0</v>
      </c>
      <c r="AJ254" s="131">
        <f t="shared" si="63"/>
        <v>0</v>
      </c>
      <c r="AK254" s="131">
        <f t="shared" si="64"/>
        <v>0</v>
      </c>
      <c r="AL254" s="127">
        <f t="shared" si="51"/>
        <v>0</v>
      </c>
      <c r="AM254" s="140">
        <f t="shared" si="65"/>
        <v>0</v>
      </c>
      <c r="AN254" s="140">
        <f t="shared" si="66"/>
        <v>0</v>
      </c>
      <c r="AO254" s="140">
        <f t="shared" si="67"/>
        <v>0</v>
      </c>
      <c r="AP254" s="140">
        <f t="shared" si="68"/>
        <v>0</v>
      </c>
    </row>
    <row r="255" spans="2:42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AC255" s="131">
        <f t="shared" si="56"/>
        <v>0</v>
      </c>
      <c r="AD255" s="131">
        <f t="shared" si="57"/>
        <v>0</v>
      </c>
      <c r="AE255" s="131">
        <f t="shared" si="58"/>
        <v>0</v>
      </c>
      <c r="AF255" s="131">
        <f t="shared" si="59"/>
        <v>0</v>
      </c>
      <c r="AG255" s="140">
        <f t="shared" si="60"/>
        <v>0</v>
      </c>
      <c r="AH255" s="140">
        <f t="shared" si="61"/>
        <v>0</v>
      </c>
      <c r="AI255" s="140">
        <f t="shared" si="62"/>
        <v>0</v>
      </c>
      <c r="AJ255" s="131">
        <f t="shared" si="63"/>
        <v>0</v>
      </c>
      <c r="AK255" s="131">
        <f t="shared" si="64"/>
        <v>0</v>
      </c>
      <c r="AL255" s="127">
        <f t="shared" si="51"/>
        <v>0</v>
      </c>
      <c r="AM255" s="140">
        <f t="shared" si="65"/>
        <v>0</v>
      </c>
      <c r="AN255" s="140">
        <f t="shared" si="66"/>
        <v>0</v>
      </c>
      <c r="AO255" s="140">
        <f t="shared" si="67"/>
        <v>0</v>
      </c>
      <c r="AP255" s="140">
        <f t="shared" si="68"/>
        <v>0</v>
      </c>
    </row>
    <row r="256" spans="2:42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AC256" s="131">
        <f t="shared" si="56"/>
        <v>0</v>
      </c>
      <c r="AD256" s="131">
        <f t="shared" si="57"/>
        <v>0</v>
      </c>
      <c r="AE256" s="131">
        <f t="shared" si="58"/>
        <v>0</v>
      </c>
      <c r="AF256" s="131">
        <f t="shared" si="59"/>
        <v>0</v>
      </c>
      <c r="AG256" s="140">
        <f t="shared" si="60"/>
        <v>0</v>
      </c>
      <c r="AH256" s="140">
        <f t="shared" si="61"/>
        <v>0</v>
      </c>
      <c r="AI256" s="140">
        <f t="shared" si="62"/>
        <v>0</v>
      </c>
      <c r="AJ256" s="131">
        <f t="shared" si="63"/>
        <v>0</v>
      </c>
      <c r="AK256" s="131">
        <f t="shared" si="64"/>
        <v>0</v>
      </c>
      <c r="AL256" s="127">
        <f t="shared" si="51"/>
        <v>0</v>
      </c>
      <c r="AM256" s="140">
        <f t="shared" si="65"/>
        <v>0</v>
      </c>
      <c r="AN256" s="140">
        <f t="shared" si="66"/>
        <v>0</v>
      </c>
      <c r="AO256" s="140">
        <f t="shared" si="67"/>
        <v>0</v>
      </c>
      <c r="AP256" s="140">
        <f t="shared" si="68"/>
        <v>0</v>
      </c>
    </row>
    <row r="257" spans="2:42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AC257" s="131">
        <f t="shared" si="56"/>
        <v>0</v>
      </c>
      <c r="AD257" s="131">
        <f t="shared" si="57"/>
        <v>0</v>
      </c>
      <c r="AE257" s="131">
        <f t="shared" si="58"/>
        <v>0</v>
      </c>
      <c r="AF257" s="131">
        <f t="shared" si="59"/>
        <v>0</v>
      </c>
      <c r="AG257" s="140">
        <f t="shared" si="60"/>
        <v>0</v>
      </c>
      <c r="AH257" s="140">
        <f t="shared" si="61"/>
        <v>0</v>
      </c>
      <c r="AI257" s="140">
        <f t="shared" si="62"/>
        <v>0</v>
      </c>
      <c r="AJ257" s="131">
        <f t="shared" si="63"/>
        <v>0</v>
      </c>
      <c r="AK257" s="131">
        <f t="shared" si="64"/>
        <v>0</v>
      </c>
      <c r="AL257" s="127">
        <f t="shared" si="51"/>
        <v>0</v>
      </c>
      <c r="AM257" s="140">
        <f t="shared" si="65"/>
        <v>0</v>
      </c>
      <c r="AN257" s="140">
        <f t="shared" si="66"/>
        <v>0</v>
      </c>
      <c r="AO257" s="140">
        <f t="shared" si="67"/>
        <v>0</v>
      </c>
      <c r="AP257" s="140">
        <f t="shared" si="68"/>
        <v>0</v>
      </c>
    </row>
    <row r="258" spans="2:42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AC258" s="131">
        <f t="shared" si="56"/>
        <v>0</v>
      </c>
      <c r="AD258" s="131">
        <f t="shared" si="57"/>
        <v>0</v>
      </c>
      <c r="AE258" s="131">
        <f t="shared" si="58"/>
        <v>0</v>
      </c>
      <c r="AF258" s="131">
        <f t="shared" si="59"/>
        <v>0</v>
      </c>
      <c r="AG258" s="140">
        <f t="shared" si="60"/>
        <v>0</v>
      </c>
      <c r="AH258" s="140">
        <f t="shared" si="61"/>
        <v>0</v>
      </c>
      <c r="AI258" s="140">
        <f t="shared" si="62"/>
        <v>0</v>
      </c>
      <c r="AJ258" s="131">
        <f t="shared" si="63"/>
        <v>0</v>
      </c>
      <c r="AK258" s="131">
        <f t="shared" si="64"/>
        <v>0</v>
      </c>
      <c r="AL258" s="127">
        <f t="shared" si="51"/>
        <v>0</v>
      </c>
      <c r="AM258" s="140">
        <f t="shared" si="65"/>
        <v>0</v>
      </c>
      <c r="AN258" s="140">
        <f t="shared" si="66"/>
        <v>0</v>
      </c>
      <c r="AO258" s="140">
        <f t="shared" si="67"/>
        <v>0</v>
      </c>
      <c r="AP258" s="140">
        <f t="shared" si="68"/>
        <v>0</v>
      </c>
    </row>
    <row r="259" spans="2:42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AC259" s="131">
        <f t="shared" si="56"/>
        <v>0</v>
      </c>
      <c r="AD259" s="131">
        <f t="shared" si="57"/>
        <v>0</v>
      </c>
      <c r="AE259" s="131">
        <f t="shared" si="58"/>
        <v>0</v>
      </c>
      <c r="AF259" s="131">
        <f t="shared" si="59"/>
        <v>0</v>
      </c>
      <c r="AG259" s="140">
        <f t="shared" si="60"/>
        <v>0</v>
      </c>
      <c r="AH259" s="140">
        <f t="shared" si="61"/>
        <v>0</v>
      </c>
      <c r="AI259" s="140">
        <f t="shared" si="62"/>
        <v>0</v>
      </c>
      <c r="AJ259" s="131">
        <f t="shared" si="63"/>
        <v>0</v>
      </c>
      <c r="AK259" s="131">
        <f t="shared" si="64"/>
        <v>0</v>
      </c>
      <c r="AL259" s="127">
        <f t="shared" ref="AL259:AL322" si="69">ROUND(IFERROR(+AK259/AH259*100,0),2)</f>
        <v>0</v>
      </c>
      <c r="AM259" s="140">
        <f t="shared" si="65"/>
        <v>0</v>
      </c>
      <c r="AN259" s="140">
        <f t="shared" si="66"/>
        <v>0</v>
      </c>
      <c r="AO259" s="140">
        <f t="shared" si="67"/>
        <v>0</v>
      </c>
      <c r="AP259" s="140">
        <f t="shared" si="68"/>
        <v>0</v>
      </c>
    </row>
    <row r="260" spans="2:42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AC260" s="131">
        <f t="shared" si="56"/>
        <v>0</v>
      </c>
      <c r="AD260" s="131">
        <f t="shared" si="57"/>
        <v>0</v>
      </c>
      <c r="AE260" s="131">
        <f t="shared" si="58"/>
        <v>0</v>
      </c>
      <c r="AF260" s="131">
        <f t="shared" si="59"/>
        <v>0</v>
      </c>
      <c r="AG260" s="140">
        <f t="shared" si="60"/>
        <v>0</v>
      </c>
      <c r="AH260" s="140">
        <f t="shared" si="61"/>
        <v>0</v>
      </c>
      <c r="AI260" s="140">
        <f t="shared" si="62"/>
        <v>0</v>
      </c>
      <c r="AJ260" s="131">
        <f t="shared" si="63"/>
        <v>0</v>
      </c>
      <c r="AK260" s="131">
        <f t="shared" si="64"/>
        <v>0</v>
      </c>
      <c r="AL260" s="127">
        <f t="shared" si="69"/>
        <v>0</v>
      </c>
      <c r="AM260" s="140">
        <f t="shared" si="65"/>
        <v>0</v>
      </c>
      <c r="AN260" s="140">
        <f t="shared" si="66"/>
        <v>0</v>
      </c>
      <c r="AO260" s="140">
        <f t="shared" si="67"/>
        <v>0</v>
      </c>
      <c r="AP260" s="140">
        <f t="shared" si="68"/>
        <v>0</v>
      </c>
    </row>
    <row r="261" spans="2:42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AC261" s="131">
        <f t="shared" si="56"/>
        <v>0</v>
      </c>
      <c r="AD261" s="131">
        <f t="shared" si="57"/>
        <v>0</v>
      </c>
      <c r="AE261" s="131">
        <f t="shared" si="58"/>
        <v>0</v>
      </c>
      <c r="AF261" s="131">
        <f t="shared" si="59"/>
        <v>0</v>
      </c>
      <c r="AG261" s="140">
        <f t="shared" si="60"/>
        <v>0</v>
      </c>
      <c r="AH261" s="140">
        <f t="shared" si="61"/>
        <v>0</v>
      </c>
      <c r="AI261" s="140">
        <f t="shared" si="62"/>
        <v>0</v>
      </c>
      <c r="AJ261" s="131">
        <f t="shared" si="63"/>
        <v>0</v>
      </c>
      <c r="AK261" s="131">
        <f t="shared" si="64"/>
        <v>0</v>
      </c>
      <c r="AL261" s="127">
        <f t="shared" si="69"/>
        <v>0</v>
      </c>
      <c r="AM261" s="140">
        <f t="shared" si="65"/>
        <v>0</v>
      </c>
      <c r="AN261" s="140">
        <f t="shared" si="66"/>
        <v>0</v>
      </c>
      <c r="AO261" s="140">
        <f t="shared" si="67"/>
        <v>0</v>
      </c>
      <c r="AP261" s="140">
        <f t="shared" si="68"/>
        <v>0</v>
      </c>
    </row>
    <row r="262" spans="2:42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AC262" s="131">
        <f t="shared" si="56"/>
        <v>0</v>
      </c>
      <c r="AD262" s="131">
        <f t="shared" si="57"/>
        <v>0</v>
      </c>
      <c r="AE262" s="131">
        <f t="shared" si="58"/>
        <v>0</v>
      </c>
      <c r="AF262" s="131">
        <f t="shared" si="59"/>
        <v>0</v>
      </c>
      <c r="AG262" s="140">
        <f t="shared" si="60"/>
        <v>0</v>
      </c>
      <c r="AH262" s="140">
        <f t="shared" si="61"/>
        <v>0</v>
      </c>
      <c r="AI262" s="140">
        <f t="shared" si="62"/>
        <v>0</v>
      </c>
      <c r="AJ262" s="131">
        <f t="shared" si="63"/>
        <v>0</v>
      </c>
      <c r="AK262" s="131">
        <f t="shared" si="64"/>
        <v>0</v>
      </c>
      <c r="AL262" s="127">
        <f t="shared" si="69"/>
        <v>0</v>
      </c>
      <c r="AM262" s="140">
        <f t="shared" si="65"/>
        <v>0</v>
      </c>
      <c r="AN262" s="140">
        <f t="shared" si="66"/>
        <v>0</v>
      </c>
      <c r="AO262" s="140">
        <f t="shared" si="67"/>
        <v>0</v>
      </c>
      <c r="AP262" s="140">
        <f t="shared" si="68"/>
        <v>0</v>
      </c>
    </row>
    <row r="263" spans="2:42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AC263" s="131">
        <f t="shared" si="56"/>
        <v>0</v>
      </c>
      <c r="AD263" s="131">
        <f t="shared" si="57"/>
        <v>0</v>
      </c>
      <c r="AE263" s="131">
        <f t="shared" si="58"/>
        <v>0</v>
      </c>
      <c r="AF263" s="131">
        <f t="shared" si="59"/>
        <v>0</v>
      </c>
      <c r="AG263" s="140">
        <f t="shared" si="60"/>
        <v>0</v>
      </c>
      <c r="AH263" s="140">
        <f t="shared" si="61"/>
        <v>0</v>
      </c>
      <c r="AI263" s="140">
        <f t="shared" si="62"/>
        <v>0</v>
      </c>
      <c r="AJ263" s="131">
        <f t="shared" si="63"/>
        <v>0</v>
      </c>
      <c r="AK263" s="131">
        <f t="shared" si="64"/>
        <v>0</v>
      </c>
      <c r="AL263" s="127">
        <f t="shared" si="69"/>
        <v>0</v>
      </c>
      <c r="AM263" s="140">
        <f t="shared" si="65"/>
        <v>0</v>
      </c>
      <c r="AN263" s="140">
        <f t="shared" si="66"/>
        <v>0</v>
      </c>
      <c r="AO263" s="140">
        <f t="shared" si="67"/>
        <v>0</v>
      </c>
      <c r="AP263" s="140">
        <f t="shared" si="68"/>
        <v>0</v>
      </c>
    </row>
    <row r="264" spans="2:42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AC264" s="131">
        <f t="shared" si="56"/>
        <v>0</v>
      </c>
      <c r="AD264" s="131">
        <f t="shared" si="57"/>
        <v>0</v>
      </c>
      <c r="AE264" s="131">
        <f t="shared" si="58"/>
        <v>0</v>
      </c>
      <c r="AF264" s="131">
        <f t="shared" si="59"/>
        <v>0</v>
      </c>
      <c r="AG264" s="140">
        <f t="shared" si="60"/>
        <v>0</v>
      </c>
      <c r="AH264" s="140">
        <f t="shared" si="61"/>
        <v>0</v>
      </c>
      <c r="AI264" s="140">
        <f t="shared" si="62"/>
        <v>0</v>
      </c>
      <c r="AJ264" s="131">
        <f t="shared" si="63"/>
        <v>0</v>
      </c>
      <c r="AK264" s="131">
        <f t="shared" si="64"/>
        <v>0</v>
      </c>
      <c r="AL264" s="127">
        <f t="shared" si="69"/>
        <v>0</v>
      </c>
      <c r="AM264" s="140">
        <f t="shared" si="65"/>
        <v>0</v>
      </c>
      <c r="AN264" s="140">
        <f t="shared" si="66"/>
        <v>0</v>
      </c>
      <c r="AO264" s="140">
        <f t="shared" si="67"/>
        <v>0</v>
      </c>
      <c r="AP264" s="140">
        <f t="shared" si="68"/>
        <v>0</v>
      </c>
    </row>
    <row r="265" spans="2:42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AC265" s="131">
        <f t="shared" si="56"/>
        <v>0</v>
      </c>
      <c r="AD265" s="131">
        <f t="shared" si="57"/>
        <v>0</v>
      </c>
      <c r="AE265" s="131">
        <f t="shared" si="58"/>
        <v>0</v>
      </c>
      <c r="AF265" s="131">
        <f t="shared" si="59"/>
        <v>0</v>
      </c>
      <c r="AG265" s="140">
        <f t="shared" si="60"/>
        <v>0</v>
      </c>
      <c r="AH265" s="140">
        <f t="shared" si="61"/>
        <v>0</v>
      </c>
      <c r="AI265" s="140">
        <f t="shared" si="62"/>
        <v>0</v>
      </c>
      <c r="AJ265" s="131">
        <f t="shared" si="63"/>
        <v>0</v>
      </c>
      <c r="AK265" s="131">
        <f t="shared" si="64"/>
        <v>0</v>
      </c>
      <c r="AL265" s="127">
        <f t="shared" si="69"/>
        <v>0</v>
      </c>
      <c r="AM265" s="140">
        <f t="shared" si="65"/>
        <v>0</v>
      </c>
      <c r="AN265" s="140">
        <f t="shared" si="66"/>
        <v>0</v>
      </c>
      <c r="AO265" s="140">
        <f t="shared" si="67"/>
        <v>0</v>
      </c>
      <c r="AP265" s="140">
        <f t="shared" si="68"/>
        <v>0</v>
      </c>
    </row>
    <row r="266" spans="2:42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AC266" s="131">
        <f t="shared" si="56"/>
        <v>0</v>
      </c>
      <c r="AD266" s="131">
        <f t="shared" si="57"/>
        <v>0</v>
      </c>
      <c r="AE266" s="131">
        <f t="shared" si="58"/>
        <v>0</v>
      </c>
      <c r="AF266" s="131">
        <f t="shared" si="59"/>
        <v>0</v>
      </c>
      <c r="AG266" s="140">
        <f t="shared" si="60"/>
        <v>0</v>
      </c>
      <c r="AH266" s="140">
        <f t="shared" si="61"/>
        <v>0</v>
      </c>
      <c r="AI266" s="140">
        <f t="shared" si="62"/>
        <v>0</v>
      </c>
      <c r="AJ266" s="131">
        <f t="shared" si="63"/>
        <v>0</v>
      </c>
      <c r="AK266" s="131">
        <f t="shared" si="64"/>
        <v>0</v>
      </c>
      <c r="AL266" s="127">
        <f t="shared" si="69"/>
        <v>0</v>
      </c>
      <c r="AM266" s="140">
        <f t="shared" si="65"/>
        <v>0</v>
      </c>
      <c r="AN266" s="140">
        <f t="shared" si="66"/>
        <v>0</v>
      </c>
      <c r="AO266" s="140">
        <f t="shared" si="67"/>
        <v>0</v>
      </c>
      <c r="AP266" s="140">
        <f t="shared" si="68"/>
        <v>0</v>
      </c>
    </row>
    <row r="267" spans="2:42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AC267" s="131">
        <f t="shared" si="56"/>
        <v>0</v>
      </c>
      <c r="AD267" s="131">
        <f t="shared" si="57"/>
        <v>0</v>
      </c>
      <c r="AE267" s="131">
        <f t="shared" si="58"/>
        <v>0</v>
      </c>
      <c r="AF267" s="131">
        <f t="shared" si="59"/>
        <v>0</v>
      </c>
      <c r="AG267" s="140">
        <f t="shared" si="60"/>
        <v>0</v>
      </c>
      <c r="AH267" s="140">
        <f t="shared" si="61"/>
        <v>0</v>
      </c>
      <c r="AI267" s="140">
        <f t="shared" si="62"/>
        <v>0</v>
      </c>
      <c r="AJ267" s="131">
        <f t="shared" si="63"/>
        <v>0</v>
      </c>
      <c r="AK267" s="131">
        <f t="shared" si="64"/>
        <v>0</v>
      </c>
      <c r="AL267" s="127">
        <f t="shared" si="69"/>
        <v>0</v>
      </c>
      <c r="AM267" s="140">
        <f t="shared" si="65"/>
        <v>0</v>
      </c>
      <c r="AN267" s="140">
        <f t="shared" si="66"/>
        <v>0</v>
      </c>
      <c r="AO267" s="140">
        <f t="shared" si="67"/>
        <v>0</v>
      </c>
      <c r="AP267" s="140">
        <f t="shared" si="68"/>
        <v>0</v>
      </c>
    </row>
    <row r="268" spans="2:42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AC268" s="131">
        <f t="shared" si="56"/>
        <v>0</v>
      </c>
      <c r="AD268" s="131">
        <f t="shared" si="57"/>
        <v>0</v>
      </c>
      <c r="AE268" s="131">
        <f t="shared" si="58"/>
        <v>0</v>
      </c>
      <c r="AF268" s="131">
        <f t="shared" si="59"/>
        <v>0</v>
      </c>
      <c r="AG268" s="140">
        <f t="shared" si="60"/>
        <v>0</v>
      </c>
      <c r="AH268" s="140">
        <f t="shared" si="61"/>
        <v>0</v>
      </c>
      <c r="AI268" s="140">
        <f t="shared" si="62"/>
        <v>0</v>
      </c>
      <c r="AJ268" s="131">
        <f t="shared" si="63"/>
        <v>0</v>
      </c>
      <c r="AK268" s="131">
        <f t="shared" si="64"/>
        <v>0</v>
      </c>
      <c r="AL268" s="127">
        <f t="shared" si="69"/>
        <v>0</v>
      </c>
      <c r="AM268" s="140">
        <f t="shared" si="65"/>
        <v>0</v>
      </c>
      <c r="AN268" s="140">
        <f t="shared" si="66"/>
        <v>0</v>
      </c>
      <c r="AO268" s="140">
        <f t="shared" si="67"/>
        <v>0</v>
      </c>
      <c r="AP268" s="140">
        <f t="shared" si="68"/>
        <v>0</v>
      </c>
    </row>
    <row r="269" spans="2:42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AC269" s="131">
        <f t="shared" si="56"/>
        <v>0</v>
      </c>
      <c r="AD269" s="131">
        <f t="shared" si="57"/>
        <v>0</v>
      </c>
      <c r="AE269" s="131">
        <f t="shared" si="58"/>
        <v>0</v>
      </c>
      <c r="AF269" s="131">
        <f t="shared" si="59"/>
        <v>0</v>
      </c>
      <c r="AG269" s="140">
        <f t="shared" si="60"/>
        <v>0</v>
      </c>
      <c r="AH269" s="140">
        <f t="shared" si="61"/>
        <v>0</v>
      </c>
      <c r="AI269" s="140">
        <f t="shared" si="62"/>
        <v>0</v>
      </c>
      <c r="AJ269" s="131">
        <f t="shared" si="63"/>
        <v>0</v>
      </c>
      <c r="AK269" s="131">
        <f t="shared" si="64"/>
        <v>0</v>
      </c>
      <c r="AL269" s="127">
        <f t="shared" si="69"/>
        <v>0</v>
      </c>
      <c r="AM269" s="140">
        <f t="shared" si="65"/>
        <v>0</v>
      </c>
      <c r="AN269" s="140">
        <f t="shared" si="66"/>
        <v>0</v>
      </c>
      <c r="AO269" s="140">
        <f t="shared" si="67"/>
        <v>0</v>
      </c>
      <c r="AP269" s="140">
        <f t="shared" si="68"/>
        <v>0</v>
      </c>
    </row>
    <row r="270" spans="2:42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AC270" s="131">
        <f t="shared" si="56"/>
        <v>0</v>
      </c>
      <c r="AD270" s="131">
        <f t="shared" si="57"/>
        <v>0</v>
      </c>
      <c r="AE270" s="131">
        <f t="shared" si="58"/>
        <v>0</v>
      </c>
      <c r="AF270" s="131">
        <f t="shared" si="59"/>
        <v>0</v>
      </c>
      <c r="AG270" s="140">
        <f t="shared" si="60"/>
        <v>0</v>
      </c>
      <c r="AH270" s="140">
        <f t="shared" si="61"/>
        <v>0</v>
      </c>
      <c r="AI270" s="140">
        <f t="shared" si="62"/>
        <v>0</v>
      </c>
      <c r="AJ270" s="131">
        <f t="shared" si="63"/>
        <v>0</v>
      </c>
      <c r="AK270" s="131">
        <f t="shared" si="64"/>
        <v>0</v>
      </c>
      <c r="AL270" s="127">
        <f t="shared" si="69"/>
        <v>0</v>
      </c>
      <c r="AM270" s="140">
        <f t="shared" si="65"/>
        <v>0</v>
      </c>
      <c r="AN270" s="140">
        <f t="shared" si="66"/>
        <v>0</v>
      </c>
      <c r="AO270" s="140">
        <f t="shared" si="67"/>
        <v>0</v>
      </c>
      <c r="AP270" s="140">
        <f t="shared" si="68"/>
        <v>0</v>
      </c>
    </row>
    <row r="271" spans="2:42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AC271" s="131">
        <f t="shared" si="56"/>
        <v>0</v>
      </c>
      <c r="AD271" s="131">
        <f t="shared" si="57"/>
        <v>0</v>
      </c>
      <c r="AE271" s="131">
        <f t="shared" si="58"/>
        <v>0</v>
      </c>
      <c r="AF271" s="131">
        <f t="shared" si="59"/>
        <v>0</v>
      </c>
      <c r="AG271" s="140">
        <f t="shared" si="60"/>
        <v>0</v>
      </c>
      <c r="AH271" s="140">
        <f t="shared" si="61"/>
        <v>0</v>
      </c>
      <c r="AI271" s="140">
        <f t="shared" si="62"/>
        <v>0</v>
      </c>
      <c r="AJ271" s="131">
        <f t="shared" si="63"/>
        <v>0</v>
      </c>
      <c r="AK271" s="131">
        <f t="shared" si="64"/>
        <v>0</v>
      </c>
      <c r="AL271" s="127">
        <f t="shared" si="69"/>
        <v>0</v>
      </c>
      <c r="AM271" s="140">
        <f t="shared" si="65"/>
        <v>0</v>
      </c>
      <c r="AN271" s="140">
        <f t="shared" si="66"/>
        <v>0</v>
      </c>
      <c r="AO271" s="140">
        <f t="shared" si="67"/>
        <v>0</v>
      </c>
      <c r="AP271" s="140">
        <f t="shared" si="68"/>
        <v>0</v>
      </c>
    </row>
    <row r="272" spans="2:42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AC272" s="131">
        <f t="shared" si="56"/>
        <v>0</v>
      </c>
      <c r="AD272" s="131">
        <f t="shared" si="57"/>
        <v>0</v>
      </c>
      <c r="AE272" s="131">
        <f t="shared" si="58"/>
        <v>0</v>
      </c>
      <c r="AF272" s="131">
        <f t="shared" si="59"/>
        <v>0</v>
      </c>
      <c r="AG272" s="140">
        <f t="shared" si="60"/>
        <v>0</v>
      </c>
      <c r="AH272" s="140">
        <f t="shared" si="61"/>
        <v>0</v>
      </c>
      <c r="AI272" s="140">
        <f t="shared" si="62"/>
        <v>0</v>
      </c>
      <c r="AJ272" s="131">
        <f t="shared" si="63"/>
        <v>0</v>
      </c>
      <c r="AK272" s="131">
        <f t="shared" si="64"/>
        <v>0</v>
      </c>
      <c r="AL272" s="127">
        <f t="shared" si="69"/>
        <v>0</v>
      </c>
      <c r="AM272" s="140">
        <f t="shared" si="65"/>
        <v>0</v>
      </c>
      <c r="AN272" s="140">
        <f t="shared" si="66"/>
        <v>0</v>
      </c>
      <c r="AO272" s="140">
        <f t="shared" si="67"/>
        <v>0</v>
      </c>
      <c r="AP272" s="140">
        <f t="shared" si="68"/>
        <v>0</v>
      </c>
    </row>
    <row r="273" spans="2:42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AC273" s="131">
        <f t="shared" si="56"/>
        <v>0</v>
      </c>
      <c r="AD273" s="131">
        <f t="shared" si="57"/>
        <v>0</v>
      </c>
      <c r="AE273" s="131">
        <f t="shared" si="58"/>
        <v>0</v>
      </c>
      <c r="AF273" s="131">
        <f t="shared" si="59"/>
        <v>0</v>
      </c>
      <c r="AG273" s="140">
        <f t="shared" si="60"/>
        <v>0</v>
      </c>
      <c r="AH273" s="140">
        <f t="shared" si="61"/>
        <v>0</v>
      </c>
      <c r="AI273" s="140">
        <f t="shared" si="62"/>
        <v>0</v>
      </c>
      <c r="AJ273" s="131">
        <f t="shared" si="63"/>
        <v>0</v>
      </c>
      <c r="AK273" s="131">
        <f t="shared" si="64"/>
        <v>0</v>
      </c>
      <c r="AL273" s="127">
        <f t="shared" si="69"/>
        <v>0</v>
      </c>
      <c r="AM273" s="140">
        <f t="shared" si="65"/>
        <v>0</v>
      </c>
      <c r="AN273" s="140">
        <f t="shared" si="66"/>
        <v>0</v>
      </c>
      <c r="AO273" s="140">
        <f t="shared" si="67"/>
        <v>0</v>
      </c>
      <c r="AP273" s="140">
        <f t="shared" si="68"/>
        <v>0</v>
      </c>
    </row>
    <row r="274" spans="2:42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AC274" s="131">
        <f t="shared" si="56"/>
        <v>0</v>
      </c>
      <c r="AD274" s="131">
        <f t="shared" si="57"/>
        <v>0</v>
      </c>
      <c r="AE274" s="131">
        <f t="shared" si="58"/>
        <v>0</v>
      </c>
      <c r="AF274" s="131">
        <f t="shared" si="59"/>
        <v>0</v>
      </c>
      <c r="AG274" s="140">
        <f t="shared" si="60"/>
        <v>0</v>
      </c>
      <c r="AH274" s="140">
        <f t="shared" si="61"/>
        <v>0</v>
      </c>
      <c r="AI274" s="140">
        <f t="shared" si="62"/>
        <v>0</v>
      </c>
      <c r="AJ274" s="131">
        <f t="shared" si="63"/>
        <v>0</v>
      </c>
      <c r="AK274" s="131">
        <f t="shared" si="64"/>
        <v>0</v>
      </c>
      <c r="AL274" s="127">
        <f t="shared" si="69"/>
        <v>0</v>
      </c>
      <c r="AM274" s="140">
        <f t="shared" si="65"/>
        <v>0</v>
      </c>
      <c r="AN274" s="140">
        <f t="shared" si="66"/>
        <v>0</v>
      </c>
      <c r="AO274" s="140">
        <f t="shared" si="67"/>
        <v>0</v>
      </c>
      <c r="AP274" s="140">
        <f t="shared" si="68"/>
        <v>0</v>
      </c>
    </row>
    <row r="275" spans="2:42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AC275" s="131">
        <f t="shared" si="56"/>
        <v>0</v>
      </c>
      <c r="AD275" s="131">
        <f t="shared" si="57"/>
        <v>0</v>
      </c>
      <c r="AE275" s="131">
        <f t="shared" si="58"/>
        <v>0</v>
      </c>
      <c r="AF275" s="131">
        <f t="shared" si="59"/>
        <v>0</v>
      </c>
      <c r="AG275" s="140">
        <f t="shared" si="60"/>
        <v>0</v>
      </c>
      <c r="AH275" s="140">
        <f t="shared" si="61"/>
        <v>0</v>
      </c>
      <c r="AI275" s="140">
        <f t="shared" si="62"/>
        <v>0</v>
      </c>
      <c r="AJ275" s="131">
        <f t="shared" si="63"/>
        <v>0</v>
      </c>
      <c r="AK275" s="131">
        <f t="shared" si="64"/>
        <v>0</v>
      </c>
      <c r="AL275" s="127">
        <f t="shared" si="69"/>
        <v>0</v>
      </c>
      <c r="AM275" s="140">
        <f t="shared" si="65"/>
        <v>0</v>
      </c>
      <c r="AN275" s="140">
        <f t="shared" si="66"/>
        <v>0</v>
      </c>
      <c r="AO275" s="140">
        <f t="shared" si="67"/>
        <v>0</v>
      </c>
      <c r="AP275" s="140">
        <f t="shared" si="68"/>
        <v>0</v>
      </c>
    </row>
    <row r="276" spans="2:42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AC276" s="131">
        <f t="shared" si="56"/>
        <v>0</v>
      </c>
      <c r="AD276" s="131">
        <f t="shared" si="57"/>
        <v>0</v>
      </c>
      <c r="AE276" s="131">
        <f t="shared" si="58"/>
        <v>0</v>
      </c>
      <c r="AF276" s="131">
        <f t="shared" si="59"/>
        <v>0</v>
      </c>
      <c r="AG276" s="140">
        <f t="shared" si="60"/>
        <v>0</v>
      </c>
      <c r="AH276" s="140">
        <f t="shared" si="61"/>
        <v>0</v>
      </c>
      <c r="AI276" s="140">
        <f t="shared" si="62"/>
        <v>0</v>
      </c>
      <c r="AJ276" s="131">
        <f t="shared" si="63"/>
        <v>0</v>
      </c>
      <c r="AK276" s="131">
        <f t="shared" si="64"/>
        <v>0</v>
      </c>
      <c r="AL276" s="127">
        <f t="shared" si="69"/>
        <v>0</v>
      </c>
      <c r="AM276" s="140">
        <f t="shared" si="65"/>
        <v>0</v>
      </c>
      <c r="AN276" s="140">
        <f t="shared" si="66"/>
        <v>0</v>
      </c>
      <c r="AO276" s="140">
        <f t="shared" si="67"/>
        <v>0</v>
      </c>
      <c r="AP276" s="140">
        <f t="shared" si="68"/>
        <v>0</v>
      </c>
    </row>
    <row r="277" spans="2:42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AC277" s="131">
        <f t="shared" si="56"/>
        <v>0</v>
      </c>
      <c r="AD277" s="131">
        <f t="shared" si="57"/>
        <v>0</v>
      </c>
      <c r="AE277" s="131">
        <f t="shared" si="58"/>
        <v>0</v>
      </c>
      <c r="AF277" s="131">
        <f t="shared" si="59"/>
        <v>0</v>
      </c>
      <c r="AG277" s="140">
        <f t="shared" si="60"/>
        <v>0</v>
      </c>
      <c r="AH277" s="140">
        <f t="shared" si="61"/>
        <v>0</v>
      </c>
      <c r="AI277" s="140">
        <f t="shared" si="62"/>
        <v>0</v>
      </c>
      <c r="AJ277" s="131">
        <f t="shared" si="63"/>
        <v>0</v>
      </c>
      <c r="AK277" s="131">
        <f t="shared" si="64"/>
        <v>0</v>
      </c>
      <c r="AL277" s="127">
        <f t="shared" si="69"/>
        <v>0</v>
      </c>
      <c r="AM277" s="140">
        <f t="shared" si="65"/>
        <v>0</v>
      </c>
      <c r="AN277" s="140">
        <f t="shared" si="66"/>
        <v>0</v>
      </c>
      <c r="AO277" s="140">
        <f t="shared" si="67"/>
        <v>0</v>
      </c>
      <c r="AP277" s="140">
        <f t="shared" si="68"/>
        <v>0</v>
      </c>
    </row>
    <row r="278" spans="2:42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AC278" s="131">
        <f t="shared" si="56"/>
        <v>0</v>
      </c>
      <c r="AD278" s="131">
        <f t="shared" si="57"/>
        <v>0</v>
      </c>
      <c r="AE278" s="131">
        <f t="shared" si="58"/>
        <v>0</v>
      </c>
      <c r="AF278" s="131">
        <f t="shared" si="59"/>
        <v>0</v>
      </c>
      <c r="AG278" s="140">
        <f t="shared" si="60"/>
        <v>0</v>
      </c>
      <c r="AH278" s="140">
        <f t="shared" si="61"/>
        <v>0</v>
      </c>
      <c r="AI278" s="140">
        <f t="shared" si="62"/>
        <v>0</v>
      </c>
      <c r="AJ278" s="131">
        <f t="shared" si="63"/>
        <v>0</v>
      </c>
      <c r="AK278" s="131">
        <f t="shared" si="64"/>
        <v>0</v>
      </c>
      <c r="AL278" s="127">
        <f t="shared" si="69"/>
        <v>0</v>
      </c>
      <c r="AM278" s="140">
        <f t="shared" si="65"/>
        <v>0</v>
      </c>
      <c r="AN278" s="140">
        <f t="shared" si="66"/>
        <v>0</v>
      </c>
      <c r="AO278" s="140">
        <f t="shared" si="67"/>
        <v>0</v>
      </c>
      <c r="AP278" s="140">
        <f t="shared" si="68"/>
        <v>0</v>
      </c>
    </row>
    <row r="279" spans="2:42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AC279" s="131">
        <f t="shared" si="56"/>
        <v>0</v>
      </c>
      <c r="AD279" s="131">
        <f t="shared" si="57"/>
        <v>0</v>
      </c>
      <c r="AE279" s="131">
        <f t="shared" si="58"/>
        <v>0</v>
      </c>
      <c r="AF279" s="131">
        <f t="shared" si="59"/>
        <v>0</v>
      </c>
      <c r="AG279" s="140">
        <f t="shared" si="60"/>
        <v>0</v>
      </c>
      <c r="AH279" s="140">
        <f t="shared" si="61"/>
        <v>0</v>
      </c>
      <c r="AI279" s="140">
        <f t="shared" si="62"/>
        <v>0</v>
      </c>
      <c r="AJ279" s="131">
        <f t="shared" si="63"/>
        <v>0</v>
      </c>
      <c r="AK279" s="131">
        <f t="shared" si="64"/>
        <v>0</v>
      </c>
      <c r="AL279" s="127">
        <f t="shared" si="69"/>
        <v>0</v>
      </c>
      <c r="AM279" s="140">
        <f t="shared" si="65"/>
        <v>0</v>
      </c>
      <c r="AN279" s="140">
        <f t="shared" si="66"/>
        <v>0</v>
      </c>
      <c r="AO279" s="140">
        <f t="shared" si="67"/>
        <v>0</v>
      </c>
      <c r="AP279" s="140">
        <f t="shared" si="68"/>
        <v>0</v>
      </c>
    </row>
    <row r="280" spans="2:42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AC280" s="131">
        <f t="shared" si="56"/>
        <v>0</v>
      </c>
      <c r="AD280" s="131">
        <f t="shared" si="57"/>
        <v>0</v>
      </c>
      <c r="AE280" s="131">
        <f t="shared" si="58"/>
        <v>0</v>
      </c>
      <c r="AF280" s="131">
        <f t="shared" si="59"/>
        <v>0</v>
      </c>
      <c r="AG280" s="140">
        <f t="shared" si="60"/>
        <v>0</v>
      </c>
      <c r="AH280" s="140">
        <f t="shared" si="61"/>
        <v>0</v>
      </c>
      <c r="AI280" s="140">
        <f t="shared" si="62"/>
        <v>0</v>
      </c>
      <c r="AJ280" s="131">
        <f t="shared" si="63"/>
        <v>0</v>
      </c>
      <c r="AK280" s="131">
        <f t="shared" si="64"/>
        <v>0</v>
      </c>
      <c r="AL280" s="127">
        <f t="shared" si="69"/>
        <v>0</v>
      </c>
      <c r="AM280" s="140">
        <f t="shared" si="65"/>
        <v>0</v>
      </c>
      <c r="AN280" s="140">
        <f t="shared" si="66"/>
        <v>0</v>
      </c>
      <c r="AO280" s="140">
        <f t="shared" si="67"/>
        <v>0</v>
      </c>
      <c r="AP280" s="140">
        <f t="shared" si="68"/>
        <v>0</v>
      </c>
    </row>
    <row r="281" spans="2:42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AC281" s="131">
        <f t="shared" si="56"/>
        <v>0</v>
      </c>
      <c r="AD281" s="131">
        <f t="shared" si="57"/>
        <v>0</v>
      </c>
      <c r="AE281" s="131">
        <f t="shared" si="58"/>
        <v>0</v>
      </c>
      <c r="AF281" s="131">
        <f t="shared" si="59"/>
        <v>0</v>
      </c>
      <c r="AG281" s="140">
        <f t="shared" si="60"/>
        <v>0</v>
      </c>
      <c r="AH281" s="140">
        <f t="shared" si="61"/>
        <v>0</v>
      </c>
      <c r="AI281" s="140">
        <f t="shared" si="62"/>
        <v>0</v>
      </c>
      <c r="AJ281" s="131">
        <f t="shared" si="63"/>
        <v>0</v>
      </c>
      <c r="AK281" s="131">
        <f t="shared" si="64"/>
        <v>0</v>
      </c>
      <c r="AL281" s="127">
        <f t="shared" si="69"/>
        <v>0</v>
      </c>
      <c r="AM281" s="140">
        <f t="shared" si="65"/>
        <v>0</v>
      </c>
      <c r="AN281" s="140">
        <f t="shared" si="66"/>
        <v>0</v>
      </c>
      <c r="AO281" s="140">
        <f t="shared" si="67"/>
        <v>0</v>
      </c>
      <c r="AP281" s="140">
        <f t="shared" si="68"/>
        <v>0</v>
      </c>
    </row>
    <row r="282" spans="2:42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AC282" s="131">
        <f t="shared" si="56"/>
        <v>0</v>
      </c>
      <c r="AD282" s="131">
        <f t="shared" si="57"/>
        <v>0</v>
      </c>
      <c r="AE282" s="131">
        <f t="shared" si="58"/>
        <v>0</v>
      </c>
      <c r="AF282" s="131">
        <f t="shared" si="59"/>
        <v>0</v>
      </c>
      <c r="AG282" s="140">
        <f t="shared" si="60"/>
        <v>0</v>
      </c>
      <c r="AH282" s="140">
        <f t="shared" si="61"/>
        <v>0</v>
      </c>
      <c r="AI282" s="140">
        <f t="shared" si="62"/>
        <v>0</v>
      </c>
      <c r="AJ282" s="131">
        <f t="shared" si="63"/>
        <v>0</v>
      </c>
      <c r="AK282" s="131">
        <f t="shared" si="64"/>
        <v>0</v>
      </c>
      <c r="AL282" s="127">
        <f t="shared" si="69"/>
        <v>0</v>
      </c>
      <c r="AM282" s="140">
        <f t="shared" si="65"/>
        <v>0</v>
      </c>
      <c r="AN282" s="140">
        <f t="shared" si="66"/>
        <v>0</v>
      </c>
      <c r="AO282" s="140">
        <f t="shared" si="67"/>
        <v>0</v>
      </c>
      <c r="AP282" s="140">
        <f t="shared" si="68"/>
        <v>0</v>
      </c>
    </row>
    <row r="283" spans="2:42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AC283" s="131">
        <f t="shared" si="56"/>
        <v>0</v>
      </c>
      <c r="AD283" s="131">
        <f t="shared" si="57"/>
        <v>0</v>
      </c>
      <c r="AE283" s="131">
        <f t="shared" si="58"/>
        <v>0</v>
      </c>
      <c r="AF283" s="131">
        <f t="shared" si="59"/>
        <v>0</v>
      </c>
      <c r="AG283" s="140">
        <f t="shared" si="60"/>
        <v>0</v>
      </c>
      <c r="AH283" s="140">
        <f t="shared" si="61"/>
        <v>0</v>
      </c>
      <c r="AI283" s="140">
        <f t="shared" si="62"/>
        <v>0</v>
      </c>
      <c r="AJ283" s="131">
        <f t="shared" si="63"/>
        <v>0</v>
      </c>
      <c r="AK283" s="131">
        <f t="shared" si="64"/>
        <v>0</v>
      </c>
      <c r="AL283" s="127">
        <f t="shared" si="69"/>
        <v>0</v>
      </c>
      <c r="AM283" s="140">
        <f t="shared" si="65"/>
        <v>0</v>
      </c>
      <c r="AN283" s="140">
        <f t="shared" si="66"/>
        <v>0</v>
      </c>
      <c r="AO283" s="140">
        <f t="shared" si="67"/>
        <v>0</v>
      </c>
      <c r="AP283" s="140">
        <f t="shared" si="68"/>
        <v>0</v>
      </c>
    </row>
    <row r="284" spans="2:42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AC284" s="131">
        <f t="shared" si="56"/>
        <v>0</v>
      </c>
      <c r="AD284" s="131">
        <f t="shared" si="57"/>
        <v>0</v>
      </c>
      <c r="AE284" s="131">
        <f t="shared" si="58"/>
        <v>0</v>
      </c>
      <c r="AF284" s="131">
        <f t="shared" si="59"/>
        <v>0</v>
      </c>
      <c r="AG284" s="140">
        <f t="shared" si="60"/>
        <v>0</v>
      </c>
      <c r="AH284" s="140">
        <f t="shared" si="61"/>
        <v>0</v>
      </c>
      <c r="AI284" s="140">
        <f t="shared" si="62"/>
        <v>0</v>
      </c>
      <c r="AJ284" s="131">
        <f t="shared" si="63"/>
        <v>0</v>
      </c>
      <c r="AK284" s="131">
        <f t="shared" si="64"/>
        <v>0</v>
      </c>
      <c r="AL284" s="127">
        <f t="shared" si="69"/>
        <v>0</v>
      </c>
      <c r="AM284" s="140">
        <f t="shared" si="65"/>
        <v>0</v>
      </c>
      <c r="AN284" s="140">
        <f t="shared" si="66"/>
        <v>0</v>
      </c>
      <c r="AO284" s="140">
        <f t="shared" si="67"/>
        <v>0</v>
      </c>
      <c r="AP284" s="140">
        <f t="shared" si="68"/>
        <v>0</v>
      </c>
    </row>
    <row r="285" spans="2:42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AC285" s="131">
        <f t="shared" si="56"/>
        <v>0</v>
      </c>
      <c r="AD285" s="131">
        <f t="shared" si="57"/>
        <v>0</v>
      </c>
      <c r="AE285" s="131">
        <f t="shared" si="58"/>
        <v>0</v>
      </c>
      <c r="AF285" s="131">
        <f t="shared" si="59"/>
        <v>0</v>
      </c>
      <c r="AG285" s="140">
        <f t="shared" si="60"/>
        <v>0</v>
      </c>
      <c r="AH285" s="140">
        <f t="shared" si="61"/>
        <v>0</v>
      </c>
      <c r="AI285" s="140">
        <f t="shared" si="62"/>
        <v>0</v>
      </c>
      <c r="AJ285" s="131">
        <f t="shared" si="63"/>
        <v>0</v>
      </c>
      <c r="AK285" s="131">
        <f t="shared" si="64"/>
        <v>0</v>
      </c>
      <c r="AL285" s="127">
        <f t="shared" si="69"/>
        <v>0</v>
      </c>
      <c r="AM285" s="140">
        <f t="shared" si="65"/>
        <v>0</v>
      </c>
      <c r="AN285" s="140">
        <f t="shared" si="66"/>
        <v>0</v>
      </c>
      <c r="AO285" s="140">
        <f t="shared" si="67"/>
        <v>0</v>
      </c>
      <c r="AP285" s="140">
        <f t="shared" si="68"/>
        <v>0</v>
      </c>
    </row>
    <row r="286" spans="2:42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AC286" s="131">
        <f t="shared" si="56"/>
        <v>0</v>
      </c>
      <c r="AD286" s="131">
        <f t="shared" si="57"/>
        <v>0</v>
      </c>
      <c r="AE286" s="131">
        <f t="shared" si="58"/>
        <v>0</v>
      </c>
      <c r="AF286" s="131">
        <f t="shared" si="59"/>
        <v>0</v>
      </c>
      <c r="AG286" s="140">
        <f t="shared" si="60"/>
        <v>0</v>
      </c>
      <c r="AH286" s="140">
        <f t="shared" si="61"/>
        <v>0</v>
      </c>
      <c r="AI286" s="140">
        <f t="shared" si="62"/>
        <v>0</v>
      </c>
      <c r="AJ286" s="131">
        <f t="shared" si="63"/>
        <v>0</v>
      </c>
      <c r="AK286" s="131">
        <f t="shared" si="64"/>
        <v>0</v>
      </c>
      <c r="AL286" s="127">
        <f t="shared" si="69"/>
        <v>0</v>
      </c>
      <c r="AM286" s="140">
        <f t="shared" si="65"/>
        <v>0</v>
      </c>
      <c r="AN286" s="140">
        <f t="shared" si="66"/>
        <v>0</v>
      </c>
      <c r="AO286" s="140">
        <f t="shared" si="67"/>
        <v>0</v>
      </c>
      <c r="AP286" s="140">
        <f t="shared" si="68"/>
        <v>0</v>
      </c>
    </row>
    <row r="287" spans="2:42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AC287" s="131">
        <f t="shared" si="56"/>
        <v>0</v>
      </c>
      <c r="AD287" s="131">
        <f t="shared" si="57"/>
        <v>0</v>
      </c>
      <c r="AE287" s="131">
        <f t="shared" si="58"/>
        <v>0</v>
      </c>
      <c r="AF287" s="131">
        <f t="shared" si="59"/>
        <v>0</v>
      </c>
      <c r="AG287" s="140">
        <f t="shared" si="60"/>
        <v>0</v>
      </c>
      <c r="AH287" s="140">
        <f t="shared" si="61"/>
        <v>0</v>
      </c>
      <c r="AI287" s="140">
        <f t="shared" si="62"/>
        <v>0</v>
      </c>
      <c r="AJ287" s="131">
        <f t="shared" si="63"/>
        <v>0</v>
      </c>
      <c r="AK287" s="131">
        <f t="shared" si="64"/>
        <v>0</v>
      </c>
      <c r="AL287" s="127">
        <f t="shared" si="69"/>
        <v>0</v>
      </c>
      <c r="AM287" s="140">
        <f t="shared" si="65"/>
        <v>0</v>
      </c>
      <c r="AN287" s="140">
        <f t="shared" si="66"/>
        <v>0</v>
      </c>
      <c r="AO287" s="140">
        <f t="shared" si="67"/>
        <v>0</v>
      </c>
      <c r="AP287" s="140">
        <f t="shared" si="68"/>
        <v>0</v>
      </c>
    </row>
    <row r="288" spans="2:42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AC288" s="131">
        <f t="shared" si="56"/>
        <v>0</v>
      </c>
      <c r="AD288" s="131">
        <f t="shared" si="57"/>
        <v>0</v>
      </c>
      <c r="AE288" s="131">
        <f t="shared" si="58"/>
        <v>0</v>
      </c>
      <c r="AF288" s="131">
        <f t="shared" si="59"/>
        <v>0</v>
      </c>
      <c r="AG288" s="140">
        <f t="shared" si="60"/>
        <v>0</v>
      </c>
      <c r="AH288" s="140">
        <f t="shared" si="61"/>
        <v>0</v>
      </c>
      <c r="AI288" s="140">
        <f t="shared" si="62"/>
        <v>0</v>
      </c>
      <c r="AJ288" s="131">
        <f t="shared" si="63"/>
        <v>0</v>
      </c>
      <c r="AK288" s="131">
        <f t="shared" si="64"/>
        <v>0</v>
      </c>
      <c r="AL288" s="127">
        <f t="shared" si="69"/>
        <v>0</v>
      </c>
      <c r="AM288" s="140">
        <f t="shared" si="65"/>
        <v>0</v>
      </c>
      <c r="AN288" s="140">
        <f t="shared" si="66"/>
        <v>0</v>
      </c>
      <c r="AO288" s="140">
        <f t="shared" si="67"/>
        <v>0</v>
      </c>
      <c r="AP288" s="140">
        <f t="shared" si="68"/>
        <v>0</v>
      </c>
    </row>
    <row r="289" spans="2:42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AC289" s="131">
        <f t="shared" si="56"/>
        <v>0</v>
      </c>
      <c r="AD289" s="131">
        <f t="shared" si="57"/>
        <v>0</v>
      </c>
      <c r="AE289" s="131">
        <f t="shared" si="58"/>
        <v>0</v>
      </c>
      <c r="AF289" s="131">
        <f t="shared" si="59"/>
        <v>0</v>
      </c>
      <c r="AG289" s="140">
        <f t="shared" si="60"/>
        <v>0</v>
      </c>
      <c r="AH289" s="140">
        <f t="shared" si="61"/>
        <v>0</v>
      </c>
      <c r="AI289" s="140">
        <f t="shared" si="62"/>
        <v>0</v>
      </c>
      <c r="AJ289" s="131">
        <f t="shared" si="63"/>
        <v>0</v>
      </c>
      <c r="AK289" s="131">
        <f t="shared" si="64"/>
        <v>0</v>
      </c>
      <c r="AL289" s="127">
        <f t="shared" si="69"/>
        <v>0</v>
      </c>
      <c r="AM289" s="140">
        <f t="shared" si="65"/>
        <v>0</v>
      </c>
      <c r="AN289" s="140">
        <f t="shared" si="66"/>
        <v>0</v>
      </c>
      <c r="AO289" s="140">
        <f t="shared" si="67"/>
        <v>0</v>
      </c>
      <c r="AP289" s="140">
        <f t="shared" si="68"/>
        <v>0</v>
      </c>
    </row>
    <row r="290" spans="2:42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AC290" s="131">
        <f t="shared" si="56"/>
        <v>0</v>
      </c>
      <c r="AD290" s="131">
        <f t="shared" si="57"/>
        <v>0</v>
      </c>
      <c r="AE290" s="131">
        <f t="shared" si="58"/>
        <v>0</v>
      </c>
      <c r="AF290" s="131">
        <f t="shared" si="59"/>
        <v>0</v>
      </c>
      <c r="AG290" s="140">
        <f t="shared" si="60"/>
        <v>0</v>
      </c>
      <c r="AH290" s="140">
        <f t="shared" si="61"/>
        <v>0</v>
      </c>
      <c r="AI290" s="140">
        <f t="shared" si="62"/>
        <v>0</v>
      </c>
      <c r="AJ290" s="131">
        <f t="shared" si="63"/>
        <v>0</v>
      </c>
      <c r="AK290" s="131">
        <f t="shared" si="64"/>
        <v>0</v>
      </c>
      <c r="AL290" s="127">
        <f t="shared" si="69"/>
        <v>0</v>
      </c>
      <c r="AM290" s="140">
        <f t="shared" si="65"/>
        <v>0</v>
      </c>
      <c r="AN290" s="140">
        <f t="shared" si="66"/>
        <v>0</v>
      </c>
      <c r="AO290" s="140">
        <f t="shared" si="67"/>
        <v>0</v>
      </c>
      <c r="AP290" s="140">
        <f t="shared" si="68"/>
        <v>0</v>
      </c>
    </row>
    <row r="291" spans="2:42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AC291" s="131">
        <f t="shared" si="56"/>
        <v>0</v>
      </c>
      <c r="AD291" s="131">
        <f t="shared" si="57"/>
        <v>0</v>
      </c>
      <c r="AE291" s="131">
        <f t="shared" si="58"/>
        <v>0</v>
      </c>
      <c r="AF291" s="131">
        <f t="shared" si="59"/>
        <v>0</v>
      </c>
      <c r="AG291" s="140">
        <f t="shared" si="60"/>
        <v>0</v>
      </c>
      <c r="AH291" s="140">
        <f t="shared" si="61"/>
        <v>0</v>
      </c>
      <c r="AI291" s="140">
        <f t="shared" si="62"/>
        <v>0</v>
      </c>
      <c r="AJ291" s="131">
        <f t="shared" si="63"/>
        <v>0</v>
      </c>
      <c r="AK291" s="131">
        <f t="shared" si="64"/>
        <v>0</v>
      </c>
      <c r="AL291" s="127">
        <f t="shared" si="69"/>
        <v>0</v>
      </c>
      <c r="AM291" s="140">
        <f t="shared" si="65"/>
        <v>0</v>
      </c>
      <c r="AN291" s="140">
        <f t="shared" si="66"/>
        <v>0</v>
      </c>
      <c r="AO291" s="140">
        <f t="shared" si="67"/>
        <v>0</v>
      </c>
      <c r="AP291" s="140">
        <f t="shared" si="68"/>
        <v>0</v>
      </c>
    </row>
    <row r="292" spans="2:42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AC292" s="131">
        <f t="shared" si="56"/>
        <v>0</v>
      </c>
      <c r="AD292" s="131">
        <f t="shared" si="57"/>
        <v>0</v>
      </c>
      <c r="AE292" s="131">
        <f t="shared" si="58"/>
        <v>0</v>
      </c>
      <c r="AF292" s="131">
        <f t="shared" si="59"/>
        <v>0</v>
      </c>
      <c r="AG292" s="140">
        <f t="shared" si="60"/>
        <v>0</v>
      </c>
      <c r="AH292" s="140">
        <f t="shared" si="61"/>
        <v>0</v>
      </c>
      <c r="AI292" s="140">
        <f t="shared" si="62"/>
        <v>0</v>
      </c>
      <c r="AJ292" s="131">
        <f t="shared" si="63"/>
        <v>0</v>
      </c>
      <c r="AK292" s="131">
        <f t="shared" si="64"/>
        <v>0</v>
      </c>
      <c r="AL292" s="127">
        <f t="shared" si="69"/>
        <v>0</v>
      </c>
      <c r="AM292" s="140">
        <f t="shared" si="65"/>
        <v>0</v>
      </c>
      <c r="AN292" s="140">
        <f t="shared" si="66"/>
        <v>0</v>
      </c>
      <c r="AO292" s="140">
        <f t="shared" si="67"/>
        <v>0</v>
      </c>
      <c r="AP292" s="140">
        <f t="shared" si="68"/>
        <v>0</v>
      </c>
    </row>
    <row r="293" spans="2:42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AC293" s="131">
        <f t="shared" si="56"/>
        <v>0</v>
      </c>
      <c r="AD293" s="131">
        <f t="shared" si="57"/>
        <v>0</v>
      </c>
      <c r="AE293" s="131">
        <f t="shared" si="58"/>
        <v>0</v>
      </c>
      <c r="AF293" s="131">
        <f t="shared" si="59"/>
        <v>0</v>
      </c>
      <c r="AG293" s="140">
        <f t="shared" si="60"/>
        <v>0</v>
      </c>
      <c r="AH293" s="140">
        <f t="shared" si="61"/>
        <v>0</v>
      </c>
      <c r="AI293" s="140">
        <f t="shared" si="62"/>
        <v>0</v>
      </c>
      <c r="AJ293" s="131">
        <f t="shared" si="63"/>
        <v>0</v>
      </c>
      <c r="AK293" s="131">
        <f t="shared" si="64"/>
        <v>0</v>
      </c>
      <c r="AL293" s="127">
        <f t="shared" si="69"/>
        <v>0</v>
      </c>
      <c r="AM293" s="140">
        <f t="shared" si="65"/>
        <v>0</v>
      </c>
      <c r="AN293" s="140">
        <f t="shared" si="66"/>
        <v>0</v>
      </c>
      <c r="AO293" s="140">
        <f t="shared" si="67"/>
        <v>0</v>
      </c>
      <c r="AP293" s="140">
        <f t="shared" si="68"/>
        <v>0</v>
      </c>
    </row>
    <row r="294" spans="2:42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AC294" s="131">
        <f t="shared" si="56"/>
        <v>0</v>
      </c>
      <c r="AD294" s="131">
        <f t="shared" si="57"/>
        <v>0</v>
      </c>
      <c r="AE294" s="131">
        <f t="shared" si="58"/>
        <v>0</v>
      </c>
      <c r="AF294" s="131">
        <f t="shared" si="59"/>
        <v>0</v>
      </c>
      <c r="AG294" s="140">
        <f t="shared" si="60"/>
        <v>0</v>
      </c>
      <c r="AH294" s="140">
        <f t="shared" si="61"/>
        <v>0</v>
      </c>
      <c r="AI294" s="140">
        <f t="shared" si="62"/>
        <v>0</v>
      </c>
      <c r="AJ294" s="131">
        <f t="shared" si="63"/>
        <v>0</v>
      </c>
      <c r="AK294" s="131">
        <f t="shared" si="64"/>
        <v>0</v>
      </c>
      <c r="AL294" s="127">
        <f t="shared" si="69"/>
        <v>0</v>
      </c>
      <c r="AM294" s="140">
        <f t="shared" si="65"/>
        <v>0</v>
      </c>
      <c r="AN294" s="140">
        <f t="shared" si="66"/>
        <v>0</v>
      </c>
      <c r="AO294" s="140">
        <f t="shared" si="67"/>
        <v>0</v>
      </c>
      <c r="AP294" s="140">
        <f t="shared" si="68"/>
        <v>0</v>
      </c>
    </row>
    <row r="295" spans="2:42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AC295" s="131">
        <f t="shared" si="56"/>
        <v>0</v>
      </c>
      <c r="AD295" s="131">
        <f t="shared" si="57"/>
        <v>0</v>
      </c>
      <c r="AE295" s="131">
        <f t="shared" si="58"/>
        <v>0</v>
      </c>
      <c r="AF295" s="131">
        <f t="shared" si="59"/>
        <v>0</v>
      </c>
      <c r="AG295" s="140">
        <f t="shared" si="60"/>
        <v>0</v>
      </c>
      <c r="AH295" s="140">
        <f t="shared" si="61"/>
        <v>0</v>
      </c>
      <c r="AI295" s="140">
        <f t="shared" si="62"/>
        <v>0</v>
      </c>
      <c r="AJ295" s="131">
        <f t="shared" si="63"/>
        <v>0</v>
      </c>
      <c r="AK295" s="131">
        <f t="shared" si="64"/>
        <v>0</v>
      </c>
      <c r="AL295" s="127">
        <f t="shared" si="69"/>
        <v>0</v>
      </c>
      <c r="AM295" s="140">
        <f t="shared" si="65"/>
        <v>0</v>
      </c>
      <c r="AN295" s="140">
        <f t="shared" si="66"/>
        <v>0</v>
      </c>
      <c r="AO295" s="140">
        <f t="shared" si="67"/>
        <v>0</v>
      </c>
      <c r="AP295" s="140">
        <f t="shared" si="68"/>
        <v>0</v>
      </c>
    </row>
    <row r="296" spans="2:42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AC296" s="131">
        <f t="shared" si="56"/>
        <v>0</v>
      </c>
      <c r="AD296" s="131">
        <f t="shared" si="57"/>
        <v>0</v>
      </c>
      <c r="AE296" s="131">
        <f t="shared" si="58"/>
        <v>0</v>
      </c>
      <c r="AF296" s="131">
        <f t="shared" si="59"/>
        <v>0</v>
      </c>
      <c r="AG296" s="140">
        <f t="shared" si="60"/>
        <v>0</v>
      </c>
      <c r="AH296" s="140">
        <f t="shared" si="61"/>
        <v>0</v>
      </c>
      <c r="AI296" s="140">
        <f t="shared" si="62"/>
        <v>0</v>
      </c>
      <c r="AJ296" s="131">
        <f t="shared" si="63"/>
        <v>0</v>
      </c>
      <c r="AK296" s="131">
        <f t="shared" si="64"/>
        <v>0</v>
      </c>
      <c r="AL296" s="127">
        <f t="shared" si="69"/>
        <v>0</v>
      </c>
      <c r="AM296" s="140">
        <f t="shared" si="65"/>
        <v>0</v>
      </c>
      <c r="AN296" s="140">
        <f t="shared" si="66"/>
        <v>0</v>
      </c>
      <c r="AO296" s="140">
        <f t="shared" si="67"/>
        <v>0</v>
      </c>
      <c r="AP296" s="140">
        <f t="shared" si="68"/>
        <v>0</v>
      </c>
    </row>
    <row r="297" spans="2:42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AC297" s="131">
        <f t="shared" si="56"/>
        <v>0</v>
      </c>
      <c r="AD297" s="131">
        <f t="shared" si="57"/>
        <v>0</v>
      </c>
      <c r="AE297" s="131">
        <f t="shared" si="58"/>
        <v>0</v>
      </c>
      <c r="AF297" s="131">
        <f t="shared" si="59"/>
        <v>0</v>
      </c>
      <c r="AG297" s="140">
        <f t="shared" si="60"/>
        <v>0</v>
      </c>
      <c r="AH297" s="140">
        <f t="shared" si="61"/>
        <v>0</v>
      </c>
      <c r="AI297" s="140">
        <f t="shared" si="62"/>
        <v>0</v>
      </c>
      <c r="AJ297" s="131">
        <f t="shared" si="63"/>
        <v>0</v>
      </c>
      <c r="AK297" s="131">
        <f t="shared" si="64"/>
        <v>0</v>
      </c>
      <c r="AL297" s="127">
        <f t="shared" si="69"/>
        <v>0</v>
      </c>
      <c r="AM297" s="140">
        <f t="shared" si="65"/>
        <v>0</v>
      </c>
      <c r="AN297" s="140">
        <f t="shared" si="66"/>
        <v>0</v>
      </c>
      <c r="AO297" s="140">
        <f t="shared" si="67"/>
        <v>0</v>
      </c>
      <c r="AP297" s="140">
        <f t="shared" si="68"/>
        <v>0</v>
      </c>
    </row>
    <row r="298" spans="2:42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AC298" s="131">
        <f t="shared" si="56"/>
        <v>0</v>
      </c>
      <c r="AD298" s="131">
        <f t="shared" si="57"/>
        <v>0</v>
      </c>
      <c r="AE298" s="131">
        <f t="shared" si="58"/>
        <v>0</v>
      </c>
      <c r="AF298" s="131">
        <f t="shared" si="59"/>
        <v>0</v>
      </c>
      <c r="AG298" s="140">
        <f t="shared" si="60"/>
        <v>0</v>
      </c>
      <c r="AH298" s="140">
        <f t="shared" si="61"/>
        <v>0</v>
      </c>
      <c r="AI298" s="140">
        <f t="shared" si="62"/>
        <v>0</v>
      </c>
      <c r="AJ298" s="131">
        <f t="shared" si="63"/>
        <v>0</v>
      </c>
      <c r="AK298" s="131">
        <f t="shared" si="64"/>
        <v>0</v>
      </c>
      <c r="AL298" s="127">
        <f t="shared" si="69"/>
        <v>0</v>
      </c>
      <c r="AM298" s="140">
        <f t="shared" si="65"/>
        <v>0</v>
      </c>
      <c r="AN298" s="140">
        <f t="shared" si="66"/>
        <v>0</v>
      </c>
      <c r="AO298" s="140">
        <f t="shared" si="67"/>
        <v>0</v>
      </c>
      <c r="AP298" s="140">
        <f t="shared" si="68"/>
        <v>0</v>
      </c>
    </row>
    <row r="299" spans="2:42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AC299" s="131">
        <f t="shared" si="56"/>
        <v>0</v>
      </c>
      <c r="AD299" s="131">
        <f t="shared" si="57"/>
        <v>0</v>
      </c>
      <c r="AE299" s="131">
        <f t="shared" si="58"/>
        <v>0</v>
      </c>
      <c r="AF299" s="131">
        <f t="shared" si="59"/>
        <v>0</v>
      </c>
      <c r="AG299" s="140">
        <f t="shared" si="60"/>
        <v>0</v>
      </c>
      <c r="AH299" s="140">
        <f t="shared" si="61"/>
        <v>0</v>
      </c>
      <c r="AI299" s="140">
        <f t="shared" si="62"/>
        <v>0</v>
      </c>
      <c r="AJ299" s="131">
        <f t="shared" si="63"/>
        <v>0</v>
      </c>
      <c r="AK299" s="131">
        <f t="shared" si="64"/>
        <v>0</v>
      </c>
      <c r="AL299" s="127">
        <f t="shared" si="69"/>
        <v>0</v>
      </c>
      <c r="AM299" s="140">
        <f t="shared" si="65"/>
        <v>0</v>
      </c>
      <c r="AN299" s="140">
        <f t="shared" si="66"/>
        <v>0</v>
      </c>
      <c r="AO299" s="140">
        <f t="shared" si="67"/>
        <v>0</v>
      </c>
      <c r="AP299" s="140">
        <f t="shared" si="68"/>
        <v>0</v>
      </c>
    </row>
    <row r="300" spans="2:42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AC300" s="131">
        <f t="shared" si="56"/>
        <v>0</v>
      </c>
      <c r="AD300" s="131">
        <f t="shared" si="57"/>
        <v>0</v>
      </c>
      <c r="AE300" s="131">
        <f t="shared" si="58"/>
        <v>0</v>
      </c>
      <c r="AF300" s="131">
        <f t="shared" si="59"/>
        <v>0</v>
      </c>
      <c r="AG300" s="140">
        <f t="shared" si="60"/>
        <v>0</v>
      </c>
      <c r="AH300" s="140">
        <f t="shared" si="61"/>
        <v>0</v>
      </c>
      <c r="AI300" s="140">
        <f t="shared" si="62"/>
        <v>0</v>
      </c>
      <c r="AJ300" s="131">
        <f t="shared" si="63"/>
        <v>0</v>
      </c>
      <c r="AK300" s="131">
        <f t="shared" si="64"/>
        <v>0</v>
      </c>
      <c r="AL300" s="127">
        <f t="shared" si="69"/>
        <v>0</v>
      </c>
      <c r="AM300" s="140">
        <f t="shared" si="65"/>
        <v>0</v>
      </c>
      <c r="AN300" s="140">
        <f t="shared" si="66"/>
        <v>0</v>
      </c>
      <c r="AO300" s="140">
        <f t="shared" si="67"/>
        <v>0</v>
      </c>
      <c r="AP300" s="140">
        <f t="shared" si="68"/>
        <v>0</v>
      </c>
    </row>
    <row r="301" spans="2:42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AC301" s="131">
        <f t="shared" si="56"/>
        <v>0</v>
      </c>
      <c r="AD301" s="131">
        <f t="shared" si="57"/>
        <v>0</v>
      </c>
      <c r="AE301" s="131">
        <f t="shared" si="58"/>
        <v>0</v>
      </c>
      <c r="AF301" s="131">
        <f t="shared" si="59"/>
        <v>0</v>
      </c>
      <c r="AG301" s="140">
        <f t="shared" si="60"/>
        <v>0</v>
      </c>
      <c r="AH301" s="140">
        <f t="shared" si="61"/>
        <v>0</v>
      </c>
      <c r="AI301" s="140">
        <f t="shared" si="62"/>
        <v>0</v>
      </c>
      <c r="AJ301" s="131">
        <f t="shared" si="63"/>
        <v>0</v>
      </c>
      <c r="AK301" s="131">
        <f t="shared" si="64"/>
        <v>0</v>
      </c>
      <c r="AL301" s="127">
        <f t="shared" si="69"/>
        <v>0</v>
      </c>
      <c r="AM301" s="140">
        <f t="shared" si="65"/>
        <v>0</v>
      </c>
      <c r="AN301" s="140">
        <f t="shared" si="66"/>
        <v>0</v>
      </c>
      <c r="AO301" s="140">
        <f t="shared" si="67"/>
        <v>0</v>
      </c>
      <c r="AP301" s="140">
        <f t="shared" si="68"/>
        <v>0</v>
      </c>
    </row>
    <row r="302" spans="2:42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AC302" s="131">
        <f t="shared" si="56"/>
        <v>0</v>
      </c>
      <c r="AD302" s="131">
        <f t="shared" si="57"/>
        <v>0</v>
      </c>
      <c r="AE302" s="131">
        <f t="shared" si="58"/>
        <v>0</v>
      </c>
      <c r="AF302" s="131">
        <f t="shared" si="59"/>
        <v>0</v>
      </c>
      <c r="AG302" s="140">
        <f t="shared" si="60"/>
        <v>0</v>
      </c>
      <c r="AH302" s="140">
        <f t="shared" si="61"/>
        <v>0</v>
      </c>
      <c r="AI302" s="140">
        <f t="shared" si="62"/>
        <v>0</v>
      </c>
      <c r="AJ302" s="131">
        <f t="shared" si="63"/>
        <v>0</v>
      </c>
      <c r="AK302" s="131">
        <f t="shared" si="64"/>
        <v>0</v>
      </c>
      <c r="AL302" s="127">
        <f t="shared" si="69"/>
        <v>0</v>
      </c>
      <c r="AM302" s="140">
        <f t="shared" si="65"/>
        <v>0</v>
      </c>
      <c r="AN302" s="140">
        <f t="shared" si="66"/>
        <v>0</v>
      </c>
      <c r="AO302" s="140">
        <f t="shared" si="67"/>
        <v>0</v>
      </c>
      <c r="AP302" s="140">
        <f t="shared" si="68"/>
        <v>0</v>
      </c>
    </row>
    <row r="303" spans="2:42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AC303" s="131">
        <f t="shared" si="56"/>
        <v>0</v>
      </c>
      <c r="AD303" s="131">
        <f t="shared" si="57"/>
        <v>0</v>
      </c>
      <c r="AE303" s="131">
        <f t="shared" si="58"/>
        <v>0</v>
      </c>
      <c r="AF303" s="131">
        <f t="shared" si="59"/>
        <v>0</v>
      </c>
      <c r="AG303" s="140">
        <f t="shared" si="60"/>
        <v>0</v>
      </c>
      <c r="AH303" s="140">
        <f t="shared" si="61"/>
        <v>0</v>
      </c>
      <c r="AI303" s="140">
        <f t="shared" si="62"/>
        <v>0</v>
      </c>
      <c r="AJ303" s="131">
        <f t="shared" si="63"/>
        <v>0</v>
      </c>
      <c r="AK303" s="131">
        <f t="shared" si="64"/>
        <v>0</v>
      </c>
      <c r="AL303" s="127">
        <f t="shared" si="69"/>
        <v>0</v>
      </c>
      <c r="AM303" s="140">
        <f t="shared" si="65"/>
        <v>0</v>
      </c>
      <c r="AN303" s="140">
        <f t="shared" si="66"/>
        <v>0</v>
      </c>
      <c r="AO303" s="140">
        <f t="shared" si="67"/>
        <v>0</v>
      </c>
      <c r="AP303" s="140">
        <f t="shared" si="68"/>
        <v>0</v>
      </c>
    </row>
    <row r="304" spans="2:42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AC304" s="131">
        <f t="shared" si="56"/>
        <v>0</v>
      </c>
      <c r="AD304" s="131">
        <f t="shared" si="57"/>
        <v>0</v>
      </c>
      <c r="AE304" s="131">
        <f t="shared" si="58"/>
        <v>0</v>
      </c>
      <c r="AF304" s="131">
        <f t="shared" si="59"/>
        <v>0</v>
      </c>
      <c r="AG304" s="140">
        <f t="shared" si="60"/>
        <v>0</v>
      </c>
      <c r="AH304" s="140">
        <f t="shared" si="61"/>
        <v>0</v>
      </c>
      <c r="AI304" s="140">
        <f t="shared" si="62"/>
        <v>0</v>
      </c>
      <c r="AJ304" s="131">
        <f t="shared" si="63"/>
        <v>0</v>
      </c>
      <c r="AK304" s="131">
        <f t="shared" si="64"/>
        <v>0</v>
      </c>
      <c r="AL304" s="127">
        <f t="shared" si="69"/>
        <v>0</v>
      </c>
      <c r="AM304" s="140">
        <f t="shared" si="65"/>
        <v>0</v>
      </c>
      <c r="AN304" s="140">
        <f t="shared" si="66"/>
        <v>0</v>
      </c>
      <c r="AO304" s="140">
        <f t="shared" si="67"/>
        <v>0</v>
      </c>
      <c r="AP304" s="140">
        <f t="shared" si="68"/>
        <v>0</v>
      </c>
    </row>
    <row r="305" spans="2:42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AC305" s="131">
        <f t="shared" si="56"/>
        <v>0</v>
      </c>
      <c r="AD305" s="131">
        <f t="shared" si="57"/>
        <v>0</v>
      </c>
      <c r="AE305" s="131">
        <f t="shared" si="58"/>
        <v>0</v>
      </c>
      <c r="AF305" s="131">
        <f t="shared" si="59"/>
        <v>0</v>
      </c>
      <c r="AG305" s="140">
        <f t="shared" si="60"/>
        <v>0</v>
      </c>
      <c r="AH305" s="140">
        <f t="shared" si="61"/>
        <v>0</v>
      </c>
      <c r="AI305" s="140">
        <f t="shared" si="62"/>
        <v>0</v>
      </c>
      <c r="AJ305" s="131">
        <f t="shared" si="63"/>
        <v>0</v>
      </c>
      <c r="AK305" s="131">
        <f t="shared" si="64"/>
        <v>0</v>
      </c>
      <c r="AL305" s="127">
        <f t="shared" si="69"/>
        <v>0</v>
      </c>
      <c r="AM305" s="140">
        <f t="shared" si="65"/>
        <v>0</v>
      </c>
      <c r="AN305" s="140">
        <f t="shared" si="66"/>
        <v>0</v>
      </c>
      <c r="AO305" s="140">
        <f t="shared" si="67"/>
        <v>0</v>
      </c>
      <c r="AP305" s="140">
        <f t="shared" si="68"/>
        <v>0</v>
      </c>
    </row>
    <row r="306" spans="2:42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AC306" s="131">
        <f t="shared" si="56"/>
        <v>0</v>
      </c>
      <c r="AD306" s="131">
        <f t="shared" si="57"/>
        <v>0</v>
      </c>
      <c r="AE306" s="131">
        <f t="shared" si="58"/>
        <v>0</v>
      </c>
      <c r="AF306" s="131">
        <f t="shared" si="59"/>
        <v>0</v>
      </c>
      <c r="AG306" s="140">
        <f t="shared" si="60"/>
        <v>0</v>
      </c>
      <c r="AH306" s="140">
        <f t="shared" si="61"/>
        <v>0</v>
      </c>
      <c r="AI306" s="140">
        <f t="shared" si="62"/>
        <v>0</v>
      </c>
      <c r="AJ306" s="131">
        <f t="shared" si="63"/>
        <v>0</v>
      </c>
      <c r="AK306" s="131">
        <f t="shared" si="64"/>
        <v>0</v>
      </c>
      <c r="AL306" s="127">
        <f t="shared" si="69"/>
        <v>0</v>
      </c>
      <c r="AM306" s="140">
        <f t="shared" si="65"/>
        <v>0</v>
      </c>
      <c r="AN306" s="140">
        <f t="shared" si="66"/>
        <v>0</v>
      </c>
      <c r="AO306" s="140">
        <f t="shared" si="67"/>
        <v>0</v>
      </c>
      <c r="AP306" s="140">
        <f t="shared" si="68"/>
        <v>0</v>
      </c>
    </row>
    <row r="307" spans="2:42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AC307" s="131">
        <f t="shared" si="56"/>
        <v>0</v>
      </c>
      <c r="AD307" s="131">
        <f t="shared" si="57"/>
        <v>0</v>
      </c>
      <c r="AE307" s="131">
        <f t="shared" si="58"/>
        <v>0</v>
      </c>
      <c r="AF307" s="131">
        <f t="shared" si="59"/>
        <v>0</v>
      </c>
      <c r="AG307" s="140">
        <f t="shared" si="60"/>
        <v>0</v>
      </c>
      <c r="AH307" s="140">
        <f t="shared" si="61"/>
        <v>0</v>
      </c>
      <c r="AI307" s="140">
        <f t="shared" si="62"/>
        <v>0</v>
      </c>
      <c r="AJ307" s="131">
        <f t="shared" si="63"/>
        <v>0</v>
      </c>
      <c r="AK307" s="131">
        <f t="shared" si="64"/>
        <v>0</v>
      </c>
      <c r="AL307" s="127">
        <f t="shared" si="69"/>
        <v>0</v>
      </c>
      <c r="AM307" s="140">
        <f t="shared" si="65"/>
        <v>0</v>
      </c>
      <c r="AN307" s="140">
        <f t="shared" si="66"/>
        <v>0</v>
      </c>
      <c r="AO307" s="140">
        <f t="shared" si="67"/>
        <v>0</v>
      </c>
      <c r="AP307" s="140">
        <f t="shared" si="68"/>
        <v>0</v>
      </c>
    </row>
    <row r="308" spans="2:42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AC308" s="131">
        <f t="shared" si="56"/>
        <v>0</v>
      </c>
      <c r="AD308" s="131">
        <f t="shared" si="57"/>
        <v>0</v>
      </c>
      <c r="AE308" s="131">
        <f t="shared" si="58"/>
        <v>0</v>
      </c>
      <c r="AF308" s="131">
        <f t="shared" si="59"/>
        <v>0</v>
      </c>
      <c r="AG308" s="140">
        <f t="shared" si="60"/>
        <v>0</v>
      </c>
      <c r="AH308" s="140">
        <f t="shared" si="61"/>
        <v>0</v>
      </c>
      <c r="AI308" s="140">
        <f t="shared" si="62"/>
        <v>0</v>
      </c>
      <c r="AJ308" s="131">
        <f t="shared" si="63"/>
        <v>0</v>
      </c>
      <c r="AK308" s="131">
        <f t="shared" si="64"/>
        <v>0</v>
      </c>
      <c r="AL308" s="127">
        <f t="shared" si="69"/>
        <v>0</v>
      </c>
      <c r="AM308" s="140">
        <f t="shared" si="65"/>
        <v>0</v>
      </c>
      <c r="AN308" s="140">
        <f t="shared" si="66"/>
        <v>0</v>
      </c>
      <c r="AO308" s="140">
        <f t="shared" si="67"/>
        <v>0</v>
      </c>
      <c r="AP308" s="140">
        <f t="shared" si="68"/>
        <v>0</v>
      </c>
    </row>
    <row r="309" spans="2:42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AC309" s="131">
        <f t="shared" si="56"/>
        <v>0</v>
      </c>
      <c r="AD309" s="131">
        <f t="shared" si="57"/>
        <v>0</v>
      </c>
      <c r="AE309" s="131">
        <f t="shared" si="58"/>
        <v>0</v>
      </c>
      <c r="AF309" s="131">
        <f t="shared" si="59"/>
        <v>0</v>
      </c>
      <c r="AG309" s="140">
        <f t="shared" si="60"/>
        <v>0</v>
      </c>
      <c r="AH309" s="140">
        <f t="shared" si="61"/>
        <v>0</v>
      </c>
      <c r="AI309" s="140">
        <f t="shared" si="62"/>
        <v>0</v>
      </c>
      <c r="AJ309" s="131">
        <f t="shared" si="63"/>
        <v>0</v>
      </c>
      <c r="AK309" s="131">
        <f t="shared" si="64"/>
        <v>0</v>
      </c>
      <c r="AL309" s="127">
        <f t="shared" si="69"/>
        <v>0</v>
      </c>
      <c r="AM309" s="140">
        <f t="shared" si="65"/>
        <v>0</v>
      </c>
      <c r="AN309" s="140">
        <f t="shared" si="66"/>
        <v>0</v>
      </c>
      <c r="AO309" s="140">
        <f t="shared" si="67"/>
        <v>0</v>
      </c>
      <c r="AP309" s="140">
        <f t="shared" si="68"/>
        <v>0</v>
      </c>
    </row>
    <row r="310" spans="2:42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AC310" s="131">
        <f t="shared" si="56"/>
        <v>0</v>
      </c>
      <c r="AD310" s="131">
        <f t="shared" si="57"/>
        <v>0</v>
      </c>
      <c r="AE310" s="131">
        <f t="shared" si="58"/>
        <v>0</v>
      </c>
      <c r="AF310" s="131">
        <f t="shared" si="59"/>
        <v>0</v>
      </c>
      <c r="AG310" s="140">
        <f t="shared" si="60"/>
        <v>0</v>
      </c>
      <c r="AH310" s="140">
        <f t="shared" si="61"/>
        <v>0</v>
      </c>
      <c r="AI310" s="140">
        <f t="shared" si="62"/>
        <v>0</v>
      </c>
      <c r="AJ310" s="131">
        <f t="shared" si="63"/>
        <v>0</v>
      </c>
      <c r="AK310" s="131">
        <f t="shared" si="64"/>
        <v>0</v>
      </c>
      <c r="AL310" s="127">
        <f t="shared" si="69"/>
        <v>0</v>
      </c>
      <c r="AM310" s="140">
        <f t="shared" si="65"/>
        <v>0</v>
      </c>
      <c r="AN310" s="140">
        <f t="shared" si="66"/>
        <v>0</v>
      </c>
      <c r="AO310" s="140">
        <f t="shared" si="67"/>
        <v>0</v>
      </c>
      <c r="AP310" s="140">
        <f t="shared" si="68"/>
        <v>0</v>
      </c>
    </row>
    <row r="311" spans="2:42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AC311" s="131">
        <f t="shared" si="56"/>
        <v>0</v>
      </c>
      <c r="AD311" s="131">
        <f t="shared" si="57"/>
        <v>0</v>
      </c>
      <c r="AE311" s="131">
        <f t="shared" si="58"/>
        <v>0</v>
      </c>
      <c r="AF311" s="131">
        <f t="shared" si="59"/>
        <v>0</v>
      </c>
      <c r="AG311" s="140">
        <f t="shared" si="60"/>
        <v>0</v>
      </c>
      <c r="AH311" s="140">
        <f t="shared" si="61"/>
        <v>0</v>
      </c>
      <c r="AI311" s="140">
        <f t="shared" si="62"/>
        <v>0</v>
      </c>
      <c r="AJ311" s="131">
        <f t="shared" si="63"/>
        <v>0</v>
      </c>
      <c r="AK311" s="131">
        <f t="shared" si="64"/>
        <v>0</v>
      </c>
      <c r="AL311" s="127">
        <f t="shared" si="69"/>
        <v>0</v>
      </c>
      <c r="AM311" s="140">
        <f t="shared" si="65"/>
        <v>0</v>
      </c>
      <c r="AN311" s="140">
        <f t="shared" si="66"/>
        <v>0</v>
      </c>
      <c r="AO311" s="140">
        <f t="shared" si="67"/>
        <v>0</v>
      </c>
      <c r="AP311" s="140">
        <f t="shared" si="68"/>
        <v>0</v>
      </c>
    </row>
    <row r="312" spans="2:42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AC312" s="131">
        <f t="shared" si="56"/>
        <v>0</v>
      </c>
      <c r="AD312" s="131">
        <f t="shared" si="57"/>
        <v>0</v>
      </c>
      <c r="AE312" s="131">
        <f t="shared" si="58"/>
        <v>0</v>
      </c>
      <c r="AF312" s="131">
        <f t="shared" si="59"/>
        <v>0</v>
      </c>
      <c r="AG312" s="140">
        <f t="shared" si="60"/>
        <v>0</v>
      </c>
      <c r="AH312" s="140">
        <f t="shared" si="61"/>
        <v>0</v>
      </c>
      <c r="AI312" s="140">
        <f t="shared" si="62"/>
        <v>0</v>
      </c>
      <c r="AJ312" s="131">
        <f t="shared" si="63"/>
        <v>0</v>
      </c>
      <c r="AK312" s="131">
        <f t="shared" si="64"/>
        <v>0</v>
      </c>
      <c r="AL312" s="127">
        <f t="shared" si="69"/>
        <v>0</v>
      </c>
      <c r="AM312" s="140">
        <f t="shared" si="65"/>
        <v>0</v>
      </c>
      <c r="AN312" s="140">
        <f t="shared" si="66"/>
        <v>0</v>
      </c>
      <c r="AO312" s="140">
        <f t="shared" si="67"/>
        <v>0</v>
      </c>
      <c r="AP312" s="140">
        <f t="shared" si="68"/>
        <v>0</v>
      </c>
    </row>
    <row r="313" spans="2:42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AC313" s="131">
        <f t="shared" si="56"/>
        <v>0</v>
      </c>
      <c r="AD313" s="131">
        <f t="shared" si="57"/>
        <v>0</v>
      </c>
      <c r="AE313" s="131">
        <f t="shared" si="58"/>
        <v>0</v>
      </c>
      <c r="AF313" s="131">
        <f t="shared" si="59"/>
        <v>0</v>
      </c>
      <c r="AG313" s="140">
        <f t="shared" si="60"/>
        <v>0</v>
      </c>
      <c r="AH313" s="140">
        <f t="shared" si="61"/>
        <v>0</v>
      </c>
      <c r="AI313" s="140">
        <f t="shared" si="62"/>
        <v>0</v>
      </c>
      <c r="AJ313" s="131">
        <f t="shared" si="63"/>
        <v>0</v>
      </c>
      <c r="AK313" s="131">
        <f t="shared" si="64"/>
        <v>0</v>
      </c>
      <c r="AL313" s="127">
        <f t="shared" si="69"/>
        <v>0</v>
      </c>
      <c r="AM313" s="140">
        <f t="shared" si="65"/>
        <v>0</v>
      </c>
      <c r="AN313" s="140">
        <f t="shared" si="66"/>
        <v>0</v>
      </c>
      <c r="AO313" s="140">
        <f t="shared" si="67"/>
        <v>0</v>
      </c>
      <c r="AP313" s="140">
        <f t="shared" si="68"/>
        <v>0</v>
      </c>
    </row>
    <row r="314" spans="2:42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AC314" s="131">
        <f t="shared" si="56"/>
        <v>0</v>
      </c>
      <c r="AD314" s="131">
        <f t="shared" si="57"/>
        <v>0</v>
      </c>
      <c r="AE314" s="131">
        <f t="shared" si="58"/>
        <v>0</v>
      </c>
      <c r="AF314" s="131">
        <f t="shared" si="59"/>
        <v>0</v>
      </c>
      <c r="AG314" s="140">
        <f t="shared" si="60"/>
        <v>0</v>
      </c>
      <c r="AH314" s="140">
        <f t="shared" si="61"/>
        <v>0</v>
      </c>
      <c r="AI314" s="140">
        <f t="shared" si="62"/>
        <v>0</v>
      </c>
      <c r="AJ314" s="131">
        <f t="shared" si="63"/>
        <v>0</v>
      </c>
      <c r="AK314" s="131">
        <f t="shared" si="64"/>
        <v>0</v>
      </c>
      <c r="AL314" s="127">
        <f t="shared" si="69"/>
        <v>0</v>
      </c>
      <c r="AM314" s="140">
        <f t="shared" si="65"/>
        <v>0</v>
      </c>
      <c r="AN314" s="140">
        <f t="shared" si="66"/>
        <v>0</v>
      </c>
      <c r="AO314" s="140">
        <f t="shared" si="67"/>
        <v>0</v>
      </c>
      <c r="AP314" s="140">
        <f t="shared" si="68"/>
        <v>0</v>
      </c>
    </row>
    <row r="315" spans="2:42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AC315" s="131">
        <f t="shared" ref="AC315:AC378" si="70">+H315</f>
        <v>0</v>
      </c>
      <c r="AD315" s="131">
        <f t="shared" ref="AD315:AD378" si="71">+I315</f>
        <v>0</v>
      </c>
      <c r="AE315" s="131">
        <f t="shared" ref="AE315:AE378" si="72">+J315</f>
        <v>0</v>
      </c>
      <c r="AF315" s="131">
        <f t="shared" ref="AF315:AF378" si="73">+K315</f>
        <v>0</v>
      </c>
      <c r="AG315" s="140">
        <f t="shared" ref="AG315:AG378" si="74">+G315</f>
        <v>0</v>
      </c>
      <c r="AH315" s="140">
        <f t="shared" ref="AH315:AH378" si="75">+L315</f>
        <v>0</v>
      </c>
      <c r="AI315" s="140">
        <f t="shared" ref="AI315:AI378" si="76">+M315</f>
        <v>0</v>
      </c>
      <c r="AJ315" s="131">
        <f t="shared" ref="AJ315:AJ378" si="77">+T315</f>
        <v>0</v>
      </c>
      <c r="AK315" s="131">
        <f t="shared" ref="AK315:AK378" si="78">+N315+O315</f>
        <v>0</v>
      </c>
      <c r="AL315" s="127">
        <f t="shared" si="69"/>
        <v>0</v>
      </c>
      <c r="AM315" s="140">
        <f t="shared" ref="AM315:AM378" si="79">+P315+R315</f>
        <v>0</v>
      </c>
      <c r="AN315" s="140">
        <f t="shared" ref="AN315:AN378" si="80">+Q315+S315</f>
        <v>0</v>
      </c>
      <c r="AO315" s="140">
        <f t="shared" ref="AO315:AO378" si="81">+U315</f>
        <v>0</v>
      </c>
      <c r="AP315" s="140">
        <f t="shared" ref="AP315:AP378" si="82">+AG315+AH315+AJ315-AK315-AM315-AO315</f>
        <v>0</v>
      </c>
    </row>
    <row r="316" spans="2:42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AC316" s="131">
        <f t="shared" si="70"/>
        <v>0</v>
      </c>
      <c r="AD316" s="131">
        <f t="shared" si="71"/>
        <v>0</v>
      </c>
      <c r="AE316" s="131">
        <f t="shared" si="72"/>
        <v>0</v>
      </c>
      <c r="AF316" s="131">
        <f t="shared" si="73"/>
        <v>0</v>
      </c>
      <c r="AG316" s="140">
        <f t="shared" si="74"/>
        <v>0</v>
      </c>
      <c r="AH316" s="140">
        <f t="shared" si="75"/>
        <v>0</v>
      </c>
      <c r="AI316" s="140">
        <f t="shared" si="76"/>
        <v>0</v>
      </c>
      <c r="AJ316" s="131">
        <f t="shared" si="77"/>
        <v>0</v>
      </c>
      <c r="AK316" s="131">
        <f t="shared" si="78"/>
        <v>0</v>
      </c>
      <c r="AL316" s="127">
        <f t="shared" si="69"/>
        <v>0</v>
      </c>
      <c r="AM316" s="140">
        <f t="shared" si="79"/>
        <v>0</v>
      </c>
      <c r="AN316" s="140">
        <f t="shared" si="80"/>
        <v>0</v>
      </c>
      <c r="AO316" s="140">
        <f t="shared" si="81"/>
        <v>0</v>
      </c>
      <c r="AP316" s="140">
        <f t="shared" si="82"/>
        <v>0</v>
      </c>
    </row>
    <row r="317" spans="2:42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AC317" s="131">
        <f t="shared" si="70"/>
        <v>0</v>
      </c>
      <c r="AD317" s="131">
        <f t="shared" si="71"/>
        <v>0</v>
      </c>
      <c r="AE317" s="131">
        <f t="shared" si="72"/>
        <v>0</v>
      </c>
      <c r="AF317" s="131">
        <f t="shared" si="73"/>
        <v>0</v>
      </c>
      <c r="AG317" s="140">
        <f t="shared" si="74"/>
        <v>0</v>
      </c>
      <c r="AH317" s="140">
        <f t="shared" si="75"/>
        <v>0</v>
      </c>
      <c r="AI317" s="140">
        <f t="shared" si="76"/>
        <v>0</v>
      </c>
      <c r="AJ317" s="131">
        <f t="shared" si="77"/>
        <v>0</v>
      </c>
      <c r="AK317" s="131">
        <f t="shared" si="78"/>
        <v>0</v>
      </c>
      <c r="AL317" s="127">
        <f t="shared" si="69"/>
        <v>0</v>
      </c>
      <c r="AM317" s="140">
        <f t="shared" si="79"/>
        <v>0</v>
      </c>
      <c r="AN317" s="140">
        <f t="shared" si="80"/>
        <v>0</v>
      </c>
      <c r="AO317" s="140">
        <f t="shared" si="81"/>
        <v>0</v>
      </c>
      <c r="AP317" s="140">
        <f t="shared" si="82"/>
        <v>0</v>
      </c>
    </row>
    <row r="318" spans="2:42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AC318" s="131">
        <f t="shared" si="70"/>
        <v>0</v>
      </c>
      <c r="AD318" s="131">
        <f t="shared" si="71"/>
        <v>0</v>
      </c>
      <c r="AE318" s="131">
        <f t="shared" si="72"/>
        <v>0</v>
      </c>
      <c r="AF318" s="131">
        <f t="shared" si="73"/>
        <v>0</v>
      </c>
      <c r="AG318" s="140">
        <f t="shared" si="74"/>
        <v>0</v>
      </c>
      <c r="AH318" s="140">
        <f t="shared" si="75"/>
        <v>0</v>
      </c>
      <c r="AI318" s="140">
        <f t="shared" si="76"/>
        <v>0</v>
      </c>
      <c r="AJ318" s="131">
        <f t="shared" si="77"/>
        <v>0</v>
      </c>
      <c r="AK318" s="131">
        <f t="shared" si="78"/>
        <v>0</v>
      </c>
      <c r="AL318" s="127">
        <f t="shared" si="69"/>
        <v>0</v>
      </c>
      <c r="AM318" s="140">
        <f t="shared" si="79"/>
        <v>0</v>
      </c>
      <c r="AN318" s="140">
        <f t="shared" si="80"/>
        <v>0</v>
      </c>
      <c r="AO318" s="140">
        <f t="shared" si="81"/>
        <v>0</v>
      </c>
      <c r="AP318" s="140">
        <f t="shared" si="82"/>
        <v>0</v>
      </c>
    </row>
    <row r="319" spans="2:42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AC319" s="131">
        <f t="shared" si="70"/>
        <v>0</v>
      </c>
      <c r="AD319" s="131">
        <f t="shared" si="71"/>
        <v>0</v>
      </c>
      <c r="AE319" s="131">
        <f t="shared" si="72"/>
        <v>0</v>
      </c>
      <c r="AF319" s="131">
        <f t="shared" si="73"/>
        <v>0</v>
      </c>
      <c r="AG319" s="140">
        <f t="shared" si="74"/>
        <v>0</v>
      </c>
      <c r="AH319" s="140">
        <f t="shared" si="75"/>
        <v>0</v>
      </c>
      <c r="AI319" s="140">
        <f t="shared" si="76"/>
        <v>0</v>
      </c>
      <c r="AJ319" s="131">
        <f t="shared" si="77"/>
        <v>0</v>
      </c>
      <c r="AK319" s="131">
        <f t="shared" si="78"/>
        <v>0</v>
      </c>
      <c r="AL319" s="127">
        <f t="shared" si="69"/>
        <v>0</v>
      </c>
      <c r="AM319" s="140">
        <f t="shared" si="79"/>
        <v>0</v>
      </c>
      <c r="AN319" s="140">
        <f t="shared" si="80"/>
        <v>0</v>
      </c>
      <c r="AO319" s="140">
        <f t="shared" si="81"/>
        <v>0</v>
      </c>
      <c r="AP319" s="140">
        <f t="shared" si="82"/>
        <v>0</v>
      </c>
    </row>
    <row r="320" spans="2:42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AC320" s="131">
        <f t="shared" si="70"/>
        <v>0</v>
      </c>
      <c r="AD320" s="131">
        <f t="shared" si="71"/>
        <v>0</v>
      </c>
      <c r="AE320" s="131">
        <f t="shared" si="72"/>
        <v>0</v>
      </c>
      <c r="AF320" s="131">
        <f t="shared" si="73"/>
        <v>0</v>
      </c>
      <c r="AG320" s="140">
        <f t="shared" si="74"/>
        <v>0</v>
      </c>
      <c r="AH320" s="140">
        <f t="shared" si="75"/>
        <v>0</v>
      </c>
      <c r="AI320" s="140">
        <f t="shared" si="76"/>
        <v>0</v>
      </c>
      <c r="AJ320" s="131">
        <f t="shared" si="77"/>
        <v>0</v>
      </c>
      <c r="AK320" s="131">
        <f t="shared" si="78"/>
        <v>0</v>
      </c>
      <c r="AL320" s="127">
        <f t="shared" si="69"/>
        <v>0</v>
      </c>
      <c r="AM320" s="140">
        <f t="shared" si="79"/>
        <v>0</v>
      </c>
      <c r="AN320" s="140">
        <f t="shared" si="80"/>
        <v>0</v>
      </c>
      <c r="AO320" s="140">
        <f t="shared" si="81"/>
        <v>0</v>
      </c>
      <c r="AP320" s="140">
        <f t="shared" si="82"/>
        <v>0</v>
      </c>
    </row>
    <row r="321" spans="2:42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AC321" s="131">
        <f t="shared" si="70"/>
        <v>0</v>
      </c>
      <c r="AD321" s="131">
        <f t="shared" si="71"/>
        <v>0</v>
      </c>
      <c r="AE321" s="131">
        <f t="shared" si="72"/>
        <v>0</v>
      </c>
      <c r="AF321" s="131">
        <f t="shared" si="73"/>
        <v>0</v>
      </c>
      <c r="AG321" s="140">
        <f t="shared" si="74"/>
        <v>0</v>
      </c>
      <c r="AH321" s="140">
        <f t="shared" si="75"/>
        <v>0</v>
      </c>
      <c r="AI321" s="140">
        <f t="shared" si="76"/>
        <v>0</v>
      </c>
      <c r="AJ321" s="131">
        <f t="shared" si="77"/>
        <v>0</v>
      </c>
      <c r="AK321" s="131">
        <f t="shared" si="78"/>
        <v>0</v>
      </c>
      <c r="AL321" s="127">
        <f t="shared" si="69"/>
        <v>0</v>
      </c>
      <c r="AM321" s="140">
        <f t="shared" si="79"/>
        <v>0</v>
      </c>
      <c r="AN321" s="140">
        <f t="shared" si="80"/>
        <v>0</v>
      </c>
      <c r="AO321" s="140">
        <f t="shared" si="81"/>
        <v>0</v>
      </c>
      <c r="AP321" s="140">
        <f t="shared" si="82"/>
        <v>0</v>
      </c>
    </row>
    <row r="322" spans="2:42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AC322" s="131">
        <f t="shared" si="70"/>
        <v>0</v>
      </c>
      <c r="AD322" s="131">
        <f t="shared" si="71"/>
        <v>0</v>
      </c>
      <c r="AE322" s="131">
        <f t="shared" si="72"/>
        <v>0</v>
      </c>
      <c r="AF322" s="131">
        <f t="shared" si="73"/>
        <v>0</v>
      </c>
      <c r="AG322" s="140">
        <f t="shared" si="74"/>
        <v>0</v>
      </c>
      <c r="AH322" s="140">
        <f t="shared" si="75"/>
        <v>0</v>
      </c>
      <c r="AI322" s="140">
        <f t="shared" si="76"/>
        <v>0</v>
      </c>
      <c r="AJ322" s="131">
        <f t="shared" si="77"/>
        <v>0</v>
      </c>
      <c r="AK322" s="131">
        <f t="shared" si="78"/>
        <v>0</v>
      </c>
      <c r="AL322" s="127">
        <f t="shared" si="69"/>
        <v>0</v>
      </c>
      <c r="AM322" s="140">
        <f t="shared" si="79"/>
        <v>0</v>
      </c>
      <c r="AN322" s="140">
        <f t="shared" si="80"/>
        <v>0</v>
      </c>
      <c r="AO322" s="140">
        <f t="shared" si="81"/>
        <v>0</v>
      </c>
      <c r="AP322" s="140">
        <f t="shared" si="82"/>
        <v>0</v>
      </c>
    </row>
    <row r="323" spans="2:42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AC323" s="131">
        <f t="shared" si="70"/>
        <v>0</v>
      </c>
      <c r="AD323" s="131">
        <f t="shared" si="71"/>
        <v>0</v>
      </c>
      <c r="AE323" s="131">
        <f t="shared" si="72"/>
        <v>0</v>
      </c>
      <c r="AF323" s="131">
        <f t="shared" si="73"/>
        <v>0</v>
      </c>
      <c r="AG323" s="140">
        <f t="shared" si="74"/>
        <v>0</v>
      </c>
      <c r="AH323" s="140">
        <f t="shared" si="75"/>
        <v>0</v>
      </c>
      <c r="AI323" s="140">
        <f t="shared" si="76"/>
        <v>0</v>
      </c>
      <c r="AJ323" s="131">
        <f t="shared" si="77"/>
        <v>0</v>
      </c>
      <c r="AK323" s="131">
        <f t="shared" si="78"/>
        <v>0</v>
      </c>
      <c r="AL323" s="127">
        <f t="shared" ref="AL323:AL386" si="83">ROUND(IFERROR(+AK323/AH323*100,0),2)</f>
        <v>0</v>
      </c>
      <c r="AM323" s="140">
        <f t="shared" si="79"/>
        <v>0</v>
      </c>
      <c r="AN323" s="140">
        <f t="shared" si="80"/>
        <v>0</v>
      </c>
      <c r="AO323" s="140">
        <f t="shared" si="81"/>
        <v>0</v>
      </c>
      <c r="AP323" s="140">
        <f t="shared" si="82"/>
        <v>0</v>
      </c>
    </row>
    <row r="324" spans="2:42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AC324" s="131">
        <f t="shared" si="70"/>
        <v>0</v>
      </c>
      <c r="AD324" s="131">
        <f t="shared" si="71"/>
        <v>0</v>
      </c>
      <c r="AE324" s="131">
        <f t="shared" si="72"/>
        <v>0</v>
      </c>
      <c r="AF324" s="131">
        <f t="shared" si="73"/>
        <v>0</v>
      </c>
      <c r="AG324" s="140">
        <f t="shared" si="74"/>
        <v>0</v>
      </c>
      <c r="AH324" s="140">
        <f t="shared" si="75"/>
        <v>0</v>
      </c>
      <c r="AI324" s="140">
        <f t="shared" si="76"/>
        <v>0</v>
      </c>
      <c r="AJ324" s="131">
        <f t="shared" si="77"/>
        <v>0</v>
      </c>
      <c r="AK324" s="131">
        <f t="shared" si="78"/>
        <v>0</v>
      </c>
      <c r="AL324" s="127">
        <f t="shared" si="83"/>
        <v>0</v>
      </c>
      <c r="AM324" s="140">
        <f t="shared" si="79"/>
        <v>0</v>
      </c>
      <c r="AN324" s="140">
        <f t="shared" si="80"/>
        <v>0</v>
      </c>
      <c r="AO324" s="140">
        <f t="shared" si="81"/>
        <v>0</v>
      </c>
      <c r="AP324" s="140">
        <f t="shared" si="82"/>
        <v>0</v>
      </c>
    </row>
    <row r="325" spans="2:42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AC325" s="131">
        <f t="shared" si="70"/>
        <v>0</v>
      </c>
      <c r="AD325" s="131">
        <f t="shared" si="71"/>
        <v>0</v>
      </c>
      <c r="AE325" s="131">
        <f t="shared" si="72"/>
        <v>0</v>
      </c>
      <c r="AF325" s="131">
        <f t="shared" si="73"/>
        <v>0</v>
      </c>
      <c r="AG325" s="140">
        <f t="shared" si="74"/>
        <v>0</v>
      </c>
      <c r="AH325" s="140">
        <f t="shared" si="75"/>
        <v>0</v>
      </c>
      <c r="AI325" s="140">
        <f t="shared" si="76"/>
        <v>0</v>
      </c>
      <c r="AJ325" s="131">
        <f t="shared" si="77"/>
        <v>0</v>
      </c>
      <c r="AK325" s="131">
        <f t="shared" si="78"/>
        <v>0</v>
      </c>
      <c r="AL325" s="127">
        <f t="shared" si="83"/>
        <v>0</v>
      </c>
      <c r="AM325" s="140">
        <f t="shared" si="79"/>
        <v>0</v>
      </c>
      <c r="AN325" s="140">
        <f t="shared" si="80"/>
        <v>0</v>
      </c>
      <c r="AO325" s="140">
        <f t="shared" si="81"/>
        <v>0</v>
      </c>
      <c r="AP325" s="140">
        <f t="shared" si="82"/>
        <v>0</v>
      </c>
    </row>
    <row r="326" spans="2:42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AC326" s="131">
        <f t="shared" si="70"/>
        <v>0</v>
      </c>
      <c r="AD326" s="131">
        <f t="shared" si="71"/>
        <v>0</v>
      </c>
      <c r="AE326" s="131">
        <f t="shared" si="72"/>
        <v>0</v>
      </c>
      <c r="AF326" s="131">
        <f t="shared" si="73"/>
        <v>0</v>
      </c>
      <c r="AG326" s="140">
        <f t="shared" si="74"/>
        <v>0</v>
      </c>
      <c r="AH326" s="140">
        <f t="shared" si="75"/>
        <v>0</v>
      </c>
      <c r="AI326" s="140">
        <f t="shared" si="76"/>
        <v>0</v>
      </c>
      <c r="AJ326" s="131">
        <f t="shared" si="77"/>
        <v>0</v>
      </c>
      <c r="AK326" s="131">
        <f t="shared" si="78"/>
        <v>0</v>
      </c>
      <c r="AL326" s="127">
        <f t="shared" si="83"/>
        <v>0</v>
      </c>
      <c r="AM326" s="140">
        <f t="shared" si="79"/>
        <v>0</v>
      </c>
      <c r="AN326" s="140">
        <f t="shared" si="80"/>
        <v>0</v>
      </c>
      <c r="AO326" s="140">
        <f t="shared" si="81"/>
        <v>0</v>
      </c>
      <c r="AP326" s="140">
        <f t="shared" si="82"/>
        <v>0</v>
      </c>
    </row>
    <row r="327" spans="2:42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AC327" s="131">
        <f t="shared" si="70"/>
        <v>0</v>
      </c>
      <c r="AD327" s="131">
        <f t="shared" si="71"/>
        <v>0</v>
      </c>
      <c r="AE327" s="131">
        <f t="shared" si="72"/>
        <v>0</v>
      </c>
      <c r="AF327" s="131">
        <f t="shared" si="73"/>
        <v>0</v>
      </c>
      <c r="AG327" s="140">
        <f t="shared" si="74"/>
        <v>0</v>
      </c>
      <c r="AH327" s="140">
        <f t="shared" si="75"/>
        <v>0</v>
      </c>
      <c r="AI327" s="140">
        <f t="shared" si="76"/>
        <v>0</v>
      </c>
      <c r="AJ327" s="131">
        <f t="shared" si="77"/>
        <v>0</v>
      </c>
      <c r="AK327" s="131">
        <f t="shared" si="78"/>
        <v>0</v>
      </c>
      <c r="AL327" s="127">
        <f t="shared" si="83"/>
        <v>0</v>
      </c>
      <c r="AM327" s="140">
        <f t="shared" si="79"/>
        <v>0</v>
      </c>
      <c r="AN327" s="140">
        <f t="shared" si="80"/>
        <v>0</v>
      </c>
      <c r="AO327" s="140">
        <f t="shared" si="81"/>
        <v>0</v>
      </c>
      <c r="AP327" s="140">
        <f t="shared" si="82"/>
        <v>0</v>
      </c>
    </row>
    <row r="328" spans="2:42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AC328" s="131">
        <f t="shared" si="70"/>
        <v>0</v>
      </c>
      <c r="AD328" s="131">
        <f t="shared" si="71"/>
        <v>0</v>
      </c>
      <c r="AE328" s="131">
        <f t="shared" si="72"/>
        <v>0</v>
      </c>
      <c r="AF328" s="131">
        <f t="shared" si="73"/>
        <v>0</v>
      </c>
      <c r="AG328" s="140">
        <f t="shared" si="74"/>
        <v>0</v>
      </c>
      <c r="AH328" s="140">
        <f t="shared" si="75"/>
        <v>0</v>
      </c>
      <c r="AI328" s="140">
        <f t="shared" si="76"/>
        <v>0</v>
      </c>
      <c r="AJ328" s="131">
        <f t="shared" si="77"/>
        <v>0</v>
      </c>
      <c r="AK328" s="131">
        <f t="shared" si="78"/>
        <v>0</v>
      </c>
      <c r="AL328" s="127">
        <f t="shared" si="83"/>
        <v>0</v>
      </c>
      <c r="AM328" s="140">
        <f t="shared" si="79"/>
        <v>0</v>
      </c>
      <c r="AN328" s="140">
        <f t="shared" si="80"/>
        <v>0</v>
      </c>
      <c r="AO328" s="140">
        <f t="shared" si="81"/>
        <v>0</v>
      </c>
      <c r="AP328" s="140">
        <f t="shared" si="82"/>
        <v>0</v>
      </c>
    </row>
    <row r="329" spans="2:42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AC329" s="131">
        <f t="shared" si="70"/>
        <v>0</v>
      </c>
      <c r="AD329" s="131">
        <f t="shared" si="71"/>
        <v>0</v>
      </c>
      <c r="AE329" s="131">
        <f t="shared" si="72"/>
        <v>0</v>
      </c>
      <c r="AF329" s="131">
        <f t="shared" si="73"/>
        <v>0</v>
      </c>
      <c r="AG329" s="140">
        <f t="shared" si="74"/>
        <v>0</v>
      </c>
      <c r="AH329" s="140">
        <f t="shared" si="75"/>
        <v>0</v>
      </c>
      <c r="AI329" s="140">
        <f t="shared" si="76"/>
        <v>0</v>
      </c>
      <c r="AJ329" s="131">
        <f t="shared" si="77"/>
        <v>0</v>
      </c>
      <c r="AK329" s="131">
        <f t="shared" si="78"/>
        <v>0</v>
      </c>
      <c r="AL329" s="127">
        <f t="shared" si="83"/>
        <v>0</v>
      </c>
      <c r="AM329" s="140">
        <f t="shared" si="79"/>
        <v>0</v>
      </c>
      <c r="AN329" s="140">
        <f t="shared" si="80"/>
        <v>0</v>
      </c>
      <c r="AO329" s="140">
        <f t="shared" si="81"/>
        <v>0</v>
      </c>
      <c r="AP329" s="140">
        <f t="shared" si="82"/>
        <v>0</v>
      </c>
    </row>
    <row r="330" spans="2:42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AC330" s="131">
        <f t="shared" si="70"/>
        <v>0</v>
      </c>
      <c r="AD330" s="131">
        <f t="shared" si="71"/>
        <v>0</v>
      </c>
      <c r="AE330" s="131">
        <f t="shared" si="72"/>
        <v>0</v>
      </c>
      <c r="AF330" s="131">
        <f t="shared" si="73"/>
        <v>0</v>
      </c>
      <c r="AG330" s="140">
        <f t="shared" si="74"/>
        <v>0</v>
      </c>
      <c r="AH330" s="140">
        <f t="shared" si="75"/>
        <v>0</v>
      </c>
      <c r="AI330" s="140">
        <f t="shared" si="76"/>
        <v>0</v>
      </c>
      <c r="AJ330" s="131">
        <f t="shared" si="77"/>
        <v>0</v>
      </c>
      <c r="AK330" s="131">
        <f t="shared" si="78"/>
        <v>0</v>
      </c>
      <c r="AL330" s="127">
        <f t="shared" si="83"/>
        <v>0</v>
      </c>
      <c r="AM330" s="140">
        <f t="shared" si="79"/>
        <v>0</v>
      </c>
      <c r="AN330" s="140">
        <f t="shared" si="80"/>
        <v>0</v>
      </c>
      <c r="AO330" s="140">
        <f t="shared" si="81"/>
        <v>0</v>
      </c>
      <c r="AP330" s="140">
        <f t="shared" si="82"/>
        <v>0</v>
      </c>
    </row>
    <row r="331" spans="2:42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AC331" s="131">
        <f t="shared" si="70"/>
        <v>0</v>
      </c>
      <c r="AD331" s="131">
        <f t="shared" si="71"/>
        <v>0</v>
      </c>
      <c r="AE331" s="131">
        <f t="shared" si="72"/>
        <v>0</v>
      </c>
      <c r="AF331" s="131">
        <f t="shared" si="73"/>
        <v>0</v>
      </c>
      <c r="AG331" s="140">
        <f t="shared" si="74"/>
        <v>0</v>
      </c>
      <c r="AH331" s="140">
        <f t="shared" si="75"/>
        <v>0</v>
      </c>
      <c r="AI331" s="140">
        <f t="shared" si="76"/>
        <v>0</v>
      </c>
      <c r="AJ331" s="131">
        <f t="shared" si="77"/>
        <v>0</v>
      </c>
      <c r="AK331" s="131">
        <f t="shared" si="78"/>
        <v>0</v>
      </c>
      <c r="AL331" s="127">
        <f t="shared" si="83"/>
        <v>0</v>
      </c>
      <c r="AM331" s="140">
        <f t="shared" si="79"/>
        <v>0</v>
      </c>
      <c r="AN331" s="140">
        <f t="shared" si="80"/>
        <v>0</v>
      </c>
      <c r="AO331" s="140">
        <f t="shared" si="81"/>
        <v>0</v>
      </c>
      <c r="AP331" s="140">
        <f t="shared" si="82"/>
        <v>0</v>
      </c>
    </row>
    <row r="332" spans="2:42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AC332" s="131">
        <f t="shared" si="70"/>
        <v>0</v>
      </c>
      <c r="AD332" s="131">
        <f t="shared" si="71"/>
        <v>0</v>
      </c>
      <c r="AE332" s="131">
        <f t="shared" si="72"/>
        <v>0</v>
      </c>
      <c r="AF332" s="131">
        <f t="shared" si="73"/>
        <v>0</v>
      </c>
      <c r="AG332" s="140">
        <f t="shared" si="74"/>
        <v>0</v>
      </c>
      <c r="AH332" s="140">
        <f t="shared" si="75"/>
        <v>0</v>
      </c>
      <c r="AI332" s="140">
        <f t="shared" si="76"/>
        <v>0</v>
      </c>
      <c r="AJ332" s="131">
        <f t="shared" si="77"/>
        <v>0</v>
      </c>
      <c r="AK332" s="131">
        <f t="shared" si="78"/>
        <v>0</v>
      </c>
      <c r="AL332" s="127">
        <f t="shared" si="83"/>
        <v>0</v>
      </c>
      <c r="AM332" s="140">
        <f t="shared" si="79"/>
        <v>0</v>
      </c>
      <c r="AN332" s="140">
        <f t="shared" si="80"/>
        <v>0</v>
      </c>
      <c r="AO332" s="140">
        <f t="shared" si="81"/>
        <v>0</v>
      </c>
      <c r="AP332" s="140">
        <f t="shared" si="82"/>
        <v>0</v>
      </c>
    </row>
    <row r="333" spans="2:42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AC333" s="131">
        <f t="shared" si="70"/>
        <v>0</v>
      </c>
      <c r="AD333" s="131">
        <f t="shared" si="71"/>
        <v>0</v>
      </c>
      <c r="AE333" s="131">
        <f t="shared" si="72"/>
        <v>0</v>
      </c>
      <c r="AF333" s="131">
        <f t="shared" si="73"/>
        <v>0</v>
      </c>
      <c r="AG333" s="140">
        <f t="shared" si="74"/>
        <v>0</v>
      </c>
      <c r="AH333" s="140">
        <f t="shared" si="75"/>
        <v>0</v>
      </c>
      <c r="AI333" s="140">
        <f t="shared" si="76"/>
        <v>0</v>
      </c>
      <c r="AJ333" s="131">
        <f t="shared" si="77"/>
        <v>0</v>
      </c>
      <c r="AK333" s="131">
        <f t="shared" si="78"/>
        <v>0</v>
      </c>
      <c r="AL333" s="127">
        <f t="shared" si="83"/>
        <v>0</v>
      </c>
      <c r="AM333" s="140">
        <f t="shared" si="79"/>
        <v>0</v>
      </c>
      <c r="AN333" s="140">
        <f t="shared" si="80"/>
        <v>0</v>
      </c>
      <c r="AO333" s="140">
        <f t="shared" si="81"/>
        <v>0</v>
      </c>
      <c r="AP333" s="140">
        <f t="shared" si="82"/>
        <v>0</v>
      </c>
    </row>
    <row r="334" spans="2:42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AC334" s="131">
        <f t="shared" si="70"/>
        <v>0</v>
      </c>
      <c r="AD334" s="131">
        <f t="shared" si="71"/>
        <v>0</v>
      </c>
      <c r="AE334" s="131">
        <f t="shared" si="72"/>
        <v>0</v>
      </c>
      <c r="AF334" s="131">
        <f t="shared" si="73"/>
        <v>0</v>
      </c>
      <c r="AG334" s="140">
        <f t="shared" si="74"/>
        <v>0</v>
      </c>
      <c r="AH334" s="140">
        <f t="shared" si="75"/>
        <v>0</v>
      </c>
      <c r="AI334" s="140">
        <f t="shared" si="76"/>
        <v>0</v>
      </c>
      <c r="AJ334" s="131">
        <f t="shared" si="77"/>
        <v>0</v>
      </c>
      <c r="AK334" s="131">
        <f t="shared" si="78"/>
        <v>0</v>
      </c>
      <c r="AL334" s="127">
        <f t="shared" si="83"/>
        <v>0</v>
      </c>
      <c r="AM334" s="140">
        <f t="shared" si="79"/>
        <v>0</v>
      </c>
      <c r="AN334" s="140">
        <f t="shared" si="80"/>
        <v>0</v>
      </c>
      <c r="AO334" s="140">
        <f t="shared" si="81"/>
        <v>0</v>
      </c>
      <c r="AP334" s="140">
        <f t="shared" si="82"/>
        <v>0</v>
      </c>
    </row>
    <row r="335" spans="2:42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AC335" s="131">
        <f t="shared" si="70"/>
        <v>0</v>
      </c>
      <c r="AD335" s="131">
        <f t="shared" si="71"/>
        <v>0</v>
      </c>
      <c r="AE335" s="131">
        <f t="shared" si="72"/>
        <v>0</v>
      </c>
      <c r="AF335" s="131">
        <f t="shared" si="73"/>
        <v>0</v>
      </c>
      <c r="AG335" s="140">
        <f t="shared" si="74"/>
        <v>0</v>
      </c>
      <c r="AH335" s="140">
        <f t="shared" si="75"/>
        <v>0</v>
      </c>
      <c r="AI335" s="140">
        <f t="shared" si="76"/>
        <v>0</v>
      </c>
      <c r="AJ335" s="131">
        <f t="shared" si="77"/>
        <v>0</v>
      </c>
      <c r="AK335" s="131">
        <f t="shared" si="78"/>
        <v>0</v>
      </c>
      <c r="AL335" s="127">
        <f t="shared" si="83"/>
        <v>0</v>
      </c>
      <c r="AM335" s="140">
        <f t="shared" si="79"/>
        <v>0</v>
      </c>
      <c r="AN335" s="140">
        <f t="shared" si="80"/>
        <v>0</v>
      </c>
      <c r="AO335" s="140">
        <f t="shared" si="81"/>
        <v>0</v>
      </c>
      <c r="AP335" s="140">
        <f t="shared" si="82"/>
        <v>0</v>
      </c>
    </row>
    <row r="336" spans="2:42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AC336" s="131">
        <f t="shared" si="70"/>
        <v>0</v>
      </c>
      <c r="AD336" s="131">
        <f t="shared" si="71"/>
        <v>0</v>
      </c>
      <c r="AE336" s="131">
        <f t="shared" si="72"/>
        <v>0</v>
      </c>
      <c r="AF336" s="131">
        <f t="shared" si="73"/>
        <v>0</v>
      </c>
      <c r="AG336" s="140">
        <f t="shared" si="74"/>
        <v>0</v>
      </c>
      <c r="AH336" s="140">
        <f t="shared" si="75"/>
        <v>0</v>
      </c>
      <c r="AI336" s="140">
        <f t="shared" si="76"/>
        <v>0</v>
      </c>
      <c r="AJ336" s="131">
        <f t="shared" si="77"/>
        <v>0</v>
      </c>
      <c r="AK336" s="131">
        <f t="shared" si="78"/>
        <v>0</v>
      </c>
      <c r="AL336" s="127">
        <f t="shared" si="83"/>
        <v>0</v>
      </c>
      <c r="AM336" s="140">
        <f t="shared" si="79"/>
        <v>0</v>
      </c>
      <c r="AN336" s="140">
        <f t="shared" si="80"/>
        <v>0</v>
      </c>
      <c r="AO336" s="140">
        <f t="shared" si="81"/>
        <v>0</v>
      </c>
      <c r="AP336" s="140">
        <f t="shared" si="82"/>
        <v>0</v>
      </c>
    </row>
    <row r="337" spans="2:42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AC337" s="131">
        <f t="shared" si="70"/>
        <v>0</v>
      </c>
      <c r="AD337" s="131">
        <f t="shared" si="71"/>
        <v>0</v>
      </c>
      <c r="AE337" s="131">
        <f t="shared" si="72"/>
        <v>0</v>
      </c>
      <c r="AF337" s="131">
        <f t="shared" si="73"/>
        <v>0</v>
      </c>
      <c r="AG337" s="140">
        <f t="shared" si="74"/>
        <v>0</v>
      </c>
      <c r="AH337" s="140">
        <f t="shared" si="75"/>
        <v>0</v>
      </c>
      <c r="AI337" s="140">
        <f t="shared" si="76"/>
        <v>0</v>
      </c>
      <c r="AJ337" s="131">
        <f t="shared" si="77"/>
        <v>0</v>
      </c>
      <c r="AK337" s="131">
        <f t="shared" si="78"/>
        <v>0</v>
      </c>
      <c r="AL337" s="127">
        <f t="shared" si="83"/>
        <v>0</v>
      </c>
      <c r="AM337" s="140">
        <f t="shared" si="79"/>
        <v>0</v>
      </c>
      <c r="AN337" s="140">
        <f t="shared" si="80"/>
        <v>0</v>
      </c>
      <c r="AO337" s="140">
        <f t="shared" si="81"/>
        <v>0</v>
      </c>
      <c r="AP337" s="140">
        <f t="shared" si="82"/>
        <v>0</v>
      </c>
    </row>
    <row r="338" spans="2:42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AC338" s="131">
        <f t="shared" si="70"/>
        <v>0</v>
      </c>
      <c r="AD338" s="131">
        <f t="shared" si="71"/>
        <v>0</v>
      </c>
      <c r="AE338" s="131">
        <f t="shared" si="72"/>
        <v>0</v>
      </c>
      <c r="AF338" s="131">
        <f t="shared" si="73"/>
        <v>0</v>
      </c>
      <c r="AG338" s="140">
        <f t="shared" si="74"/>
        <v>0</v>
      </c>
      <c r="AH338" s="140">
        <f t="shared" si="75"/>
        <v>0</v>
      </c>
      <c r="AI338" s="140">
        <f t="shared" si="76"/>
        <v>0</v>
      </c>
      <c r="AJ338" s="131">
        <f t="shared" si="77"/>
        <v>0</v>
      </c>
      <c r="AK338" s="131">
        <f t="shared" si="78"/>
        <v>0</v>
      </c>
      <c r="AL338" s="127">
        <f t="shared" si="83"/>
        <v>0</v>
      </c>
      <c r="AM338" s="140">
        <f t="shared" si="79"/>
        <v>0</v>
      </c>
      <c r="AN338" s="140">
        <f t="shared" si="80"/>
        <v>0</v>
      </c>
      <c r="AO338" s="140">
        <f t="shared" si="81"/>
        <v>0</v>
      </c>
      <c r="AP338" s="140">
        <f t="shared" si="82"/>
        <v>0</v>
      </c>
    </row>
    <row r="339" spans="2:42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AC339" s="131">
        <f t="shared" si="70"/>
        <v>0</v>
      </c>
      <c r="AD339" s="131">
        <f t="shared" si="71"/>
        <v>0</v>
      </c>
      <c r="AE339" s="131">
        <f t="shared" si="72"/>
        <v>0</v>
      </c>
      <c r="AF339" s="131">
        <f t="shared" si="73"/>
        <v>0</v>
      </c>
      <c r="AG339" s="140">
        <f t="shared" si="74"/>
        <v>0</v>
      </c>
      <c r="AH339" s="140">
        <f t="shared" si="75"/>
        <v>0</v>
      </c>
      <c r="AI339" s="140">
        <f t="shared" si="76"/>
        <v>0</v>
      </c>
      <c r="AJ339" s="131">
        <f t="shared" si="77"/>
        <v>0</v>
      </c>
      <c r="AK339" s="131">
        <f t="shared" si="78"/>
        <v>0</v>
      </c>
      <c r="AL339" s="127">
        <f t="shared" si="83"/>
        <v>0</v>
      </c>
      <c r="AM339" s="140">
        <f t="shared" si="79"/>
        <v>0</v>
      </c>
      <c r="AN339" s="140">
        <f t="shared" si="80"/>
        <v>0</v>
      </c>
      <c r="AO339" s="140">
        <f t="shared" si="81"/>
        <v>0</v>
      </c>
      <c r="AP339" s="140">
        <f t="shared" si="82"/>
        <v>0</v>
      </c>
    </row>
    <row r="340" spans="2:42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AC340" s="131">
        <f t="shared" si="70"/>
        <v>0</v>
      </c>
      <c r="AD340" s="131">
        <f t="shared" si="71"/>
        <v>0</v>
      </c>
      <c r="AE340" s="131">
        <f t="shared" si="72"/>
        <v>0</v>
      </c>
      <c r="AF340" s="131">
        <f t="shared" si="73"/>
        <v>0</v>
      </c>
      <c r="AG340" s="140">
        <f t="shared" si="74"/>
        <v>0</v>
      </c>
      <c r="AH340" s="140">
        <f t="shared" si="75"/>
        <v>0</v>
      </c>
      <c r="AI340" s="140">
        <f t="shared" si="76"/>
        <v>0</v>
      </c>
      <c r="AJ340" s="131">
        <f t="shared" si="77"/>
        <v>0</v>
      </c>
      <c r="AK340" s="131">
        <f t="shared" si="78"/>
        <v>0</v>
      </c>
      <c r="AL340" s="127">
        <f t="shared" si="83"/>
        <v>0</v>
      </c>
      <c r="AM340" s="140">
        <f t="shared" si="79"/>
        <v>0</v>
      </c>
      <c r="AN340" s="140">
        <f t="shared" si="80"/>
        <v>0</v>
      </c>
      <c r="AO340" s="140">
        <f t="shared" si="81"/>
        <v>0</v>
      </c>
      <c r="AP340" s="140">
        <f t="shared" si="82"/>
        <v>0</v>
      </c>
    </row>
    <row r="341" spans="2:42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AC341" s="131">
        <f t="shared" si="70"/>
        <v>0</v>
      </c>
      <c r="AD341" s="131">
        <f t="shared" si="71"/>
        <v>0</v>
      </c>
      <c r="AE341" s="131">
        <f t="shared" si="72"/>
        <v>0</v>
      </c>
      <c r="AF341" s="131">
        <f t="shared" si="73"/>
        <v>0</v>
      </c>
      <c r="AG341" s="140">
        <f t="shared" si="74"/>
        <v>0</v>
      </c>
      <c r="AH341" s="140">
        <f t="shared" si="75"/>
        <v>0</v>
      </c>
      <c r="AI341" s="140">
        <f t="shared" si="76"/>
        <v>0</v>
      </c>
      <c r="AJ341" s="131">
        <f t="shared" si="77"/>
        <v>0</v>
      </c>
      <c r="AK341" s="131">
        <f t="shared" si="78"/>
        <v>0</v>
      </c>
      <c r="AL341" s="127">
        <f t="shared" si="83"/>
        <v>0</v>
      </c>
      <c r="AM341" s="140">
        <f t="shared" si="79"/>
        <v>0</v>
      </c>
      <c r="AN341" s="140">
        <f t="shared" si="80"/>
        <v>0</v>
      </c>
      <c r="AO341" s="140">
        <f t="shared" si="81"/>
        <v>0</v>
      </c>
      <c r="AP341" s="140">
        <f t="shared" si="82"/>
        <v>0</v>
      </c>
    </row>
    <row r="342" spans="2:42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AC342" s="131">
        <f t="shared" si="70"/>
        <v>0</v>
      </c>
      <c r="AD342" s="131">
        <f t="shared" si="71"/>
        <v>0</v>
      </c>
      <c r="AE342" s="131">
        <f t="shared" si="72"/>
        <v>0</v>
      </c>
      <c r="AF342" s="131">
        <f t="shared" si="73"/>
        <v>0</v>
      </c>
      <c r="AG342" s="140">
        <f t="shared" si="74"/>
        <v>0</v>
      </c>
      <c r="AH342" s="140">
        <f t="shared" si="75"/>
        <v>0</v>
      </c>
      <c r="AI342" s="140">
        <f t="shared" si="76"/>
        <v>0</v>
      </c>
      <c r="AJ342" s="131">
        <f t="shared" si="77"/>
        <v>0</v>
      </c>
      <c r="AK342" s="131">
        <f t="shared" si="78"/>
        <v>0</v>
      </c>
      <c r="AL342" s="127">
        <f t="shared" si="83"/>
        <v>0</v>
      </c>
      <c r="AM342" s="140">
        <f t="shared" si="79"/>
        <v>0</v>
      </c>
      <c r="AN342" s="140">
        <f t="shared" si="80"/>
        <v>0</v>
      </c>
      <c r="AO342" s="140">
        <f t="shared" si="81"/>
        <v>0</v>
      </c>
      <c r="AP342" s="140">
        <f t="shared" si="82"/>
        <v>0</v>
      </c>
    </row>
    <row r="343" spans="2:42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AC343" s="131">
        <f t="shared" si="70"/>
        <v>0</v>
      </c>
      <c r="AD343" s="131">
        <f t="shared" si="71"/>
        <v>0</v>
      </c>
      <c r="AE343" s="131">
        <f t="shared" si="72"/>
        <v>0</v>
      </c>
      <c r="AF343" s="131">
        <f t="shared" si="73"/>
        <v>0</v>
      </c>
      <c r="AG343" s="140">
        <f t="shared" si="74"/>
        <v>0</v>
      </c>
      <c r="AH343" s="140">
        <f t="shared" si="75"/>
        <v>0</v>
      </c>
      <c r="AI343" s="140">
        <f t="shared" si="76"/>
        <v>0</v>
      </c>
      <c r="AJ343" s="131">
        <f t="shared" si="77"/>
        <v>0</v>
      </c>
      <c r="AK343" s="131">
        <f t="shared" si="78"/>
        <v>0</v>
      </c>
      <c r="AL343" s="127">
        <f t="shared" si="83"/>
        <v>0</v>
      </c>
      <c r="AM343" s="140">
        <f t="shared" si="79"/>
        <v>0</v>
      </c>
      <c r="AN343" s="140">
        <f t="shared" si="80"/>
        <v>0</v>
      </c>
      <c r="AO343" s="140">
        <f t="shared" si="81"/>
        <v>0</v>
      </c>
      <c r="AP343" s="140">
        <f t="shared" si="82"/>
        <v>0</v>
      </c>
    </row>
    <row r="344" spans="2:42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AC344" s="131">
        <f t="shared" si="70"/>
        <v>0</v>
      </c>
      <c r="AD344" s="131">
        <f t="shared" si="71"/>
        <v>0</v>
      </c>
      <c r="AE344" s="131">
        <f t="shared" si="72"/>
        <v>0</v>
      </c>
      <c r="AF344" s="131">
        <f t="shared" si="73"/>
        <v>0</v>
      </c>
      <c r="AG344" s="140">
        <f t="shared" si="74"/>
        <v>0</v>
      </c>
      <c r="AH344" s="140">
        <f t="shared" si="75"/>
        <v>0</v>
      </c>
      <c r="AI344" s="140">
        <f t="shared" si="76"/>
        <v>0</v>
      </c>
      <c r="AJ344" s="131">
        <f t="shared" si="77"/>
        <v>0</v>
      </c>
      <c r="AK344" s="131">
        <f t="shared" si="78"/>
        <v>0</v>
      </c>
      <c r="AL344" s="127">
        <f t="shared" si="83"/>
        <v>0</v>
      </c>
      <c r="AM344" s="140">
        <f t="shared" si="79"/>
        <v>0</v>
      </c>
      <c r="AN344" s="140">
        <f t="shared" si="80"/>
        <v>0</v>
      </c>
      <c r="AO344" s="140">
        <f t="shared" si="81"/>
        <v>0</v>
      </c>
      <c r="AP344" s="140">
        <f t="shared" si="82"/>
        <v>0</v>
      </c>
    </row>
    <row r="345" spans="2:42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AC345" s="131">
        <f t="shared" si="70"/>
        <v>0</v>
      </c>
      <c r="AD345" s="131">
        <f t="shared" si="71"/>
        <v>0</v>
      </c>
      <c r="AE345" s="131">
        <f t="shared" si="72"/>
        <v>0</v>
      </c>
      <c r="AF345" s="131">
        <f t="shared" si="73"/>
        <v>0</v>
      </c>
      <c r="AG345" s="140">
        <f t="shared" si="74"/>
        <v>0</v>
      </c>
      <c r="AH345" s="140">
        <f t="shared" si="75"/>
        <v>0</v>
      </c>
      <c r="AI345" s="140">
        <f t="shared" si="76"/>
        <v>0</v>
      </c>
      <c r="AJ345" s="131">
        <f t="shared" si="77"/>
        <v>0</v>
      </c>
      <c r="AK345" s="131">
        <f t="shared" si="78"/>
        <v>0</v>
      </c>
      <c r="AL345" s="127">
        <f t="shared" si="83"/>
        <v>0</v>
      </c>
      <c r="AM345" s="140">
        <f t="shared" si="79"/>
        <v>0</v>
      </c>
      <c r="AN345" s="140">
        <f t="shared" si="80"/>
        <v>0</v>
      </c>
      <c r="AO345" s="140">
        <f t="shared" si="81"/>
        <v>0</v>
      </c>
      <c r="AP345" s="140">
        <f t="shared" si="82"/>
        <v>0</v>
      </c>
    </row>
    <row r="346" spans="2:42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AC346" s="131">
        <f t="shared" si="70"/>
        <v>0</v>
      </c>
      <c r="AD346" s="131">
        <f t="shared" si="71"/>
        <v>0</v>
      </c>
      <c r="AE346" s="131">
        <f t="shared" si="72"/>
        <v>0</v>
      </c>
      <c r="AF346" s="131">
        <f t="shared" si="73"/>
        <v>0</v>
      </c>
      <c r="AG346" s="140">
        <f t="shared" si="74"/>
        <v>0</v>
      </c>
      <c r="AH346" s="140">
        <f t="shared" si="75"/>
        <v>0</v>
      </c>
      <c r="AI346" s="140">
        <f t="shared" si="76"/>
        <v>0</v>
      </c>
      <c r="AJ346" s="131">
        <f t="shared" si="77"/>
        <v>0</v>
      </c>
      <c r="AK346" s="131">
        <f t="shared" si="78"/>
        <v>0</v>
      </c>
      <c r="AL346" s="127">
        <f t="shared" si="83"/>
        <v>0</v>
      </c>
      <c r="AM346" s="140">
        <f t="shared" si="79"/>
        <v>0</v>
      </c>
      <c r="AN346" s="140">
        <f t="shared" si="80"/>
        <v>0</v>
      </c>
      <c r="AO346" s="140">
        <f t="shared" si="81"/>
        <v>0</v>
      </c>
      <c r="AP346" s="140">
        <f t="shared" si="82"/>
        <v>0</v>
      </c>
    </row>
    <row r="347" spans="2:42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AC347" s="131">
        <f t="shared" si="70"/>
        <v>0</v>
      </c>
      <c r="AD347" s="131">
        <f t="shared" si="71"/>
        <v>0</v>
      </c>
      <c r="AE347" s="131">
        <f t="shared" si="72"/>
        <v>0</v>
      </c>
      <c r="AF347" s="131">
        <f t="shared" si="73"/>
        <v>0</v>
      </c>
      <c r="AG347" s="140">
        <f t="shared" si="74"/>
        <v>0</v>
      </c>
      <c r="AH347" s="140">
        <f t="shared" si="75"/>
        <v>0</v>
      </c>
      <c r="AI347" s="140">
        <f t="shared" si="76"/>
        <v>0</v>
      </c>
      <c r="AJ347" s="131">
        <f t="shared" si="77"/>
        <v>0</v>
      </c>
      <c r="AK347" s="131">
        <f t="shared" si="78"/>
        <v>0</v>
      </c>
      <c r="AL347" s="127">
        <f t="shared" si="83"/>
        <v>0</v>
      </c>
      <c r="AM347" s="140">
        <f t="shared" si="79"/>
        <v>0</v>
      </c>
      <c r="AN347" s="140">
        <f t="shared" si="80"/>
        <v>0</v>
      </c>
      <c r="AO347" s="140">
        <f t="shared" si="81"/>
        <v>0</v>
      </c>
      <c r="AP347" s="140">
        <f t="shared" si="82"/>
        <v>0</v>
      </c>
    </row>
    <row r="348" spans="2:42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AC348" s="131">
        <f t="shared" si="70"/>
        <v>0</v>
      </c>
      <c r="AD348" s="131">
        <f t="shared" si="71"/>
        <v>0</v>
      </c>
      <c r="AE348" s="131">
        <f t="shared" si="72"/>
        <v>0</v>
      </c>
      <c r="AF348" s="131">
        <f t="shared" si="73"/>
        <v>0</v>
      </c>
      <c r="AG348" s="140">
        <f t="shared" si="74"/>
        <v>0</v>
      </c>
      <c r="AH348" s="140">
        <f t="shared" si="75"/>
        <v>0</v>
      </c>
      <c r="AI348" s="140">
        <f t="shared" si="76"/>
        <v>0</v>
      </c>
      <c r="AJ348" s="131">
        <f t="shared" si="77"/>
        <v>0</v>
      </c>
      <c r="AK348" s="131">
        <f t="shared" si="78"/>
        <v>0</v>
      </c>
      <c r="AL348" s="127">
        <f t="shared" si="83"/>
        <v>0</v>
      </c>
      <c r="AM348" s="140">
        <f t="shared" si="79"/>
        <v>0</v>
      </c>
      <c r="AN348" s="140">
        <f t="shared" si="80"/>
        <v>0</v>
      </c>
      <c r="AO348" s="140">
        <f t="shared" si="81"/>
        <v>0</v>
      </c>
      <c r="AP348" s="140">
        <f t="shared" si="82"/>
        <v>0</v>
      </c>
    </row>
    <row r="349" spans="2:42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AC349" s="131">
        <f t="shared" si="70"/>
        <v>0</v>
      </c>
      <c r="AD349" s="131">
        <f t="shared" si="71"/>
        <v>0</v>
      </c>
      <c r="AE349" s="131">
        <f t="shared" si="72"/>
        <v>0</v>
      </c>
      <c r="AF349" s="131">
        <f t="shared" si="73"/>
        <v>0</v>
      </c>
      <c r="AG349" s="140">
        <f t="shared" si="74"/>
        <v>0</v>
      </c>
      <c r="AH349" s="140">
        <f t="shared" si="75"/>
        <v>0</v>
      </c>
      <c r="AI349" s="140">
        <f t="shared" si="76"/>
        <v>0</v>
      </c>
      <c r="AJ349" s="131">
        <f t="shared" si="77"/>
        <v>0</v>
      </c>
      <c r="AK349" s="131">
        <f t="shared" si="78"/>
        <v>0</v>
      </c>
      <c r="AL349" s="127">
        <f t="shared" si="83"/>
        <v>0</v>
      </c>
      <c r="AM349" s="140">
        <f t="shared" si="79"/>
        <v>0</v>
      </c>
      <c r="AN349" s="140">
        <f t="shared" si="80"/>
        <v>0</v>
      </c>
      <c r="AO349" s="140">
        <f t="shared" si="81"/>
        <v>0</v>
      </c>
      <c r="AP349" s="140">
        <f t="shared" si="82"/>
        <v>0</v>
      </c>
    </row>
    <row r="350" spans="2:42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AC350" s="131">
        <f t="shared" si="70"/>
        <v>0</v>
      </c>
      <c r="AD350" s="131">
        <f t="shared" si="71"/>
        <v>0</v>
      </c>
      <c r="AE350" s="131">
        <f t="shared" si="72"/>
        <v>0</v>
      </c>
      <c r="AF350" s="131">
        <f t="shared" si="73"/>
        <v>0</v>
      </c>
      <c r="AG350" s="140">
        <f t="shared" si="74"/>
        <v>0</v>
      </c>
      <c r="AH350" s="140">
        <f t="shared" si="75"/>
        <v>0</v>
      </c>
      <c r="AI350" s="140">
        <f t="shared" si="76"/>
        <v>0</v>
      </c>
      <c r="AJ350" s="131">
        <f t="shared" si="77"/>
        <v>0</v>
      </c>
      <c r="AK350" s="131">
        <f t="shared" si="78"/>
        <v>0</v>
      </c>
      <c r="AL350" s="127">
        <f t="shared" si="83"/>
        <v>0</v>
      </c>
      <c r="AM350" s="140">
        <f t="shared" si="79"/>
        <v>0</v>
      </c>
      <c r="AN350" s="140">
        <f t="shared" si="80"/>
        <v>0</v>
      </c>
      <c r="AO350" s="140">
        <f t="shared" si="81"/>
        <v>0</v>
      </c>
      <c r="AP350" s="140">
        <f t="shared" si="82"/>
        <v>0</v>
      </c>
    </row>
    <row r="351" spans="2:42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AC351" s="131">
        <f t="shared" si="70"/>
        <v>0</v>
      </c>
      <c r="AD351" s="131">
        <f t="shared" si="71"/>
        <v>0</v>
      </c>
      <c r="AE351" s="131">
        <f t="shared" si="72"/>
        <v>0</v>
      </c>
      <c r="AF351" s="131">
        <f t="shared" si="73"/>
        <v>0</v>
      </c>
      <c r="AG351" s="140">
        <f t="shared" si="74"/>
        <v>0</v>
      </c>
      <c r="AH351" s="140">
        <f t="shared" si="75"/>
        <v>0</v>
      </c>
      <c r="AI351" s="140">
        <f t="shared" si="76"/>
        <v>0</v>
      </c>
      <c r="AJ351" s="131">
        <f t="shared" si="77"/>
        <v>0</v>
      </c>
      <c r="AK351" s="131">
        <f t="shared" si="78"/>
        <v>0</v>
      </c>
      <c r="AL351" s="127">
        <f t="shared" si="83"/>
        <v>0</v>
      </c>
      <c r="AM351" s="140">
        <f t="shared" si="79"/>
        <v>0</v>
      </c>
      <c r="AN351" s="140">
        <f t="shared" si="80"/>
        <v>0</v>
      </c>
      <c r="AO351" s="140">
        <f t="shared" si="81"/>
        <v>0</v>
      </c>
      <c r="AP351" s="140">
        <f t="shared" si="82"/>
        <v>0</v>
      </c>
    </row>
    <row r="352" spans="2:42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AC352" s="131">
        <f t="shared" si="70"/>
        <v>0</v>
      </c>
      <c r="AD352" s="131">
        <f t="shared" si="71"/>
        <v>0</v>
      </c>
      <c r="AE352" s="131">
        <f t="shared" si="72"/>
        <v>0</v>
      </c>
      <c r="AF352" s="131">
        <f t="shared" si="73"/>
        <v>0</v>
      </c>
      <c r="AG352" s="140">
        <f t="shared" si="74"/>
        <v>0</v>
      </c>
      <c r="AH352" s="140">
        <f t="shared" si="75"/>
        <v>0</v>
      </c>
      <c r="AI352" s="140">
        <f t="shared" si="76"/>
        <v>0</v>
      </c>
      <c r="AJ352" s="131">
        <f t="shared" si="77"/>
        <v>0</v>
      </c>
      <c r="AK352" s="131">
        <f t="shared" si="78"/>
        <v>0</v>
      </c>
      <c r="AL352" s="127">
        <f t="shared" si="83"/>
        <v>0</v>
      </c>
      <c r="AM352" s="140">
        <f t="shared" si="79"/>
        <v>0</v>
      </c>
      <c r="AN352" s="140">
        <f t="shared" si="80"/>
        <v>0</v>
      </c>
      <c r="AO352" s="140">
        <f t="shared" si="81"/>
        <v>0</v>
      </c>
      <c r="AP352" s="140">
        <f t="shared" si="82"/>
        <v>0</v>
      </c>
    </row>
    <row r="353" spans="2:42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AC353" s="131">
        <f t="shared" si="70"/>
        <v>0</v>
      </c>
      <c r="AD353" s="131">
        <f t="shared" si="71"/>
        <v>0</v>
      </c>
      <c r="AE353" s="131">
        <f t="shared" si="72"/>
        <v>0</v>
      </c>
      <c r="AF353" s="131">
        <f t="shared" si="73"/>
        <v>0</v>
      </c>
      <c r="AG353" s="140">
        <f t="shared" si="74"/>
        <v>0</v>
      </c>
      <c r="AH353" s="140">
        <f t="shared" si="75"/>
        <v>0</v>
      </c>
      <c r="AI353" s="140">
        <f t="shared" si="76"/>
        <v>0</v>
      </c>
      <c r="AJ353" s="131">
        <f t="shared" si="77"/>
        <v>0</v>
      </c>
      <c r="AK353" s="131">
        <f t="shared" si="78"/>
        <v>0</v>
      </c>
      <c r="AL353" s="127">
        <f t="shared" si="83"/>
        <v>0</v>
      </c>
      <c r="AM353" s="140">
        <f t="shared" si="79"/>
        <v>0</v>
      </c>
      <c r="AN353" s="140">
        <f t="shared" si="80"/>
        <v>0</v>
      </c>
      <c r="AO353" s="140">
        <f t="shared" si="81"/>
        <v>0</v>
      </c>
      <c r="AP353" s="140">
        <f t="shared" si="82"/>
        <v>0</v>
      </c>
    </row>
    <row r="354" spans="2:42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AC354" s="131">
        <f t="shared" si="70"/>
        <v>0</v>
      </c>
      <c r="AD354" s="131">
        <f t="shared" si="71"/>
        <v>0</v>
      </c>
      <c r="AE354" s="131">
        <f t="shared" si="72"/>
        <v>0</v>
      </c>
      <c r="AF354" s="131">
        <f t="shared" si="73"/>
        <v>0</v>
      </c>
      <c r="AG354" s="140">
        <f t="shared" si="74"/>
        <v>0</v>
      </c>
      <c r="AH354" s="140">
        <f t="shared" si="75"/>
        <v>0</v>
      </c>
      <c r="AI354" s="140">
        <f t="shared" si="76"/>
        <v>0</v>
      </c>
      <c r="AJ354" s="131">
        <f t="shared" si="77"/>
        <v>0</v>
      </c>
      <c r="AK354" s="131">
        <f t="shared" si="78"/>
        <v>0</v>
      </c>
      <c r="AL354" s="127">
        <f t="shared" si="83"/>
        <v>0</v>
      </c>
      <c r="AM354" s="140">
        <f t="shared" si="79"/>
        <v>0</v>
      </c>
      <c r="AN354" s="140">
        <f t="shared" si="80"/>
        <v>0</v>
      </c>
      <c r="AO354" s="140">
        <f t="shared" si="81"/>
        <v>0</v>
      </c>
      <c r="AP354" s="140">
        <f t="shared" si="82"/>
        <v>0</v>
      </c>
    </row>
    <row r="355" spans="2:42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AC355" s="131">
        <f t="shared" si="70"/>
        <v>0</v>
      </c>
      <c r="AD355" s="131">
        <f t="shared" si="71"/>
        <v>0</v>
      </c>
      <c r="AE355" s="131">
        <f t="shared" si="72"/>
        <v>0</v>
      </c>
      <c r="AF355" s="131">
        <f t="shared" si="73"/>
        <v>0</v>
      </c>
      <c r="AG355" s="140">
        <f t="shared" si="74"/>
        <v>0</v>
      </c>
      <c r="AH355" s="140">
        <f t="shared" si="75"/>
        <v>0</v>
      </c>
      <c r="AI355" s="140">
        <f t="shared" si="76"/>
        <v>0</v>
      </c>
      <c r="AJ355" s="131">
        <f t="shared" si="77"/>
        <v>0</v>
      </c>
      <c r="AK355" s="131">
        <f t="shared" si="78"/>
        <v>0</v>
      </c>
      <c r="AL355" s="127">
        <f t="shared" si="83"/>
        <v>0</v>
      </c>
      <c r="AM355" s="140">
        <f t="shared" si="79"/>
        <v>0</v>
      </c>
      <c r="AN355" s="140">
        <f t="shared" si="80"/>
        <v>0</v>
      </c>
      <c r="AO355" s="140">
        <f t="shared" si="81"/>
        <v>0</v>
      </c>
      <c r="AP355" s="140">
        <f t="shared" si="82"/>
        <v>0</v>
      </c>
    </row>
    <row r="356" spans="2:42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AC356" s="131">
        <f t="shared" si="70"/>
        <v>0</v>
      </c>
      <c r="AD356" s="131">
        <f t="shared" si="71"/>
        <v>0</v>
      </c>
      <c r="AE356" s="131">
        <f t="shared" si="72"/>
        <v>0</v>
      </c>
      <c r="AF356" s="131">
        <f t="shared" si="73"/>
        <v>0</v>
      </c>
      <c r="AG356" s="140">
        <f t="shared" si="74"/>
        <v>0</v>
      </c>
      <c r="AH356" s="140">
        <f t="shared" si="75"/>
        <v>0</v>
      </c>
      <c r="AI356" s="140">
        <f t="shared" si="76"/>
        <v>0</v>
      </c>
      <c r="AJ356" s="131">
        <f t="shared" si="77"/>
        <v>0</v>
      </c>
      <c r="AK356" s="131">
        <f t="shared" si="78"/>
        <v>0</v>
      </c>
      <c r="AL356" s="127">
        <f t="shared" si="83"/>
        <v>0</v>
      </c>
      <c r="AM356" s="140">
        <f t="shared" si="79"/>
        <v>0</v>
      </c>
      <c r="AN356" s="140">
        <f t="shared" si="80"/>
        <v>0</v>
      </c>
      <c r="AO356" s="140">
        <f t="shared" si="81"/>
        <v>0</v>
      </c>
      <c r="AP356" s="140">
        <f t="shared" si="82"/>
        <v>0</v>
      </c>
    </row>
    <row r="357" spans="2:42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AC357" s="131">
        <f t="shared" si="70"/>
        <v>0</v>
      </c>
      <c r="AD357" s="131">
        <f t="shared" si="71"/>
        <v>0</v>
      </c>
      <c r="AE357" s="131">
        <f t="shared" si="72"/>
        <v>0</v>
      </c>
      <c r="AF357" s="131">
        <f t="shared" si="73"/>
        <v>0</v>
      </c>
      <c r="AG357" s="140">
        <f t="shared" si="74"/>
        <v>0</v>
      </c>
      <c r="AH357" s="140">
        <f t="shared" si="75"/>
        <v>0</v>
      </c>
      <c r="AI357" s="140">
        <f t="shared" si="76"/>
        <v>0</v>
      </c>
      <c r="AJ357" s="131">
        <f t="shared" si="77"/>
        <v>0</v>
      </c>
      <c r="AK357" s="131">
        <f t="shared" si="78"/>
        <v>0</v>
      </c>
      <c r="AL357" s="127">
        <f t="shared" si="83"/>
        <v>0</v>
      </c>
      <c r="AM357" s="140">
        <f t="shared" si="79"/>
        <v>0</v>
      </c>
      <c r="AN357" s="140">
        <f t="shared" si="80"/>
        <v>0</v>
      </c>
      <c r="AO357" s="140">
        <f t="shared" si="81"/>
        <v>0</v>
      </c>
      <c r="AP357" s="140">
        <f t="shared" si="82"/>
        <v>0</v>
      </c>
    </row>
    <row r="358" spans="2:42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AC358" s="131">
        <f t="shared" si="70"/>
        <v>0</v>
      </c>
      <c r="AD358" s="131">
        <f t="shared" si="71"/>
        <v>0</v>
      </c>
      <c r="AE358" s="131">
        <f t="shared" si="72"/>
        <v>0</v>
      </c>
      <c r="AF358" s="131">
        <f t="shared" si="73"/>
        <v>0</v>
      </c>
      <c r="AG358" s="140">
        <f t="shared" si="74"/>
        <v>0</v>
      </c>
      <c r="AH358" s="140">
        <f t="shared" si="75"/>
        <v>0</v>
      </c>
      <c r="AI358" s="140">
        <f t="shared" si="76"/>
        <v>0</v>
      </c>
      <c r="AJ358" s="131">
        <f t="shared" si="77"/>
        <v>0</v>
      </c>
      <c r="AK358" s="131">
        <f t="shared" si="78"/>
        <v>0</v>
      </c>
      <c r="AL358" s="127">
        <f t="shared" si="83"/>
        <v>0</v>
      </c>
      <c r="AM358" s="140">
        <f t="shared" si="79"/>
        <v>0</v>
      </c>
      <c r="AN358" s="140">
        <f t="shared" si="80"/>
        <v>0</v>
      </c>
      <c r="AO358" s="140">
        <f t="shared" si="81"/>
        <v>0</v>
      </c>
      <c r="AP358" s="140">
        <f t="shared" si="82"/>
        <v>0</v>
      </c>
    </row>
    <row r="359" spans="2:42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AC359" s="131">
        <f t="shared" si="70"/>
        <v>0</v>
      </c>
      <c r="AD359" s="131">
        <f t="shared" si="71"/>
        <v>0</v>
      </c>
      <c r="AE359" s="131">
        <f t="shared" si="72"/>
        <v>0</v>
      </c>
      <c r="AF359" s="131">
        <f t="shared" si="73"/>
        <v>0</v>
      </c>
      <c r="AG359" s="140">
        <f t="shared" si="74"/>
        <v>0</v>
      </c>
      <c r="AH359" s="140">
        <f t="shared" si="75"/>
        <v>0</v>
      </c>
      <c r="AI359" s="140">
        <f t="shared" si="76"/>
        <v>0</v>
      </c>
      <c r="AJ359" s="131">
        <f t="shared" si="77"/>
        <v>0</v>
      </c>
      <c r="AK359" s="131">
        <f t="shared" si="78"/>
        <v>0</v>
      </c>
      <c r="AL359" s="127">
        <f t="shared" si="83"/>
        <v>0</v>
      </c>
      <c r="AM359" s="140">
        <f t="shared" si="79"/>
        <v>0</v>
      </c>
      <c r="AN359" s="140">
        <f t="shared" si="80"/>
        <v>0</v>
      </c>
      <c r="AO359" s="140">
        <f t="shared" si="81"/>
        <v>0</v>
      </c>
      <c r="AP359" s="140">
        <f t="shared" si="82"/>
        <v>0</v>
      </c>
    </row>
    <row r="360" spans="2:42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AC360" s="131">
        <f t="shared" si="70"/>
        <v>0</v>
      </c>
      <c r="AD360" s="131">
        <f t="shared" si="71"/>
        <v>0</v>
      </c>
      <c r="AE360" s="131">
        <f t="shared" si="72"/>
        <v>0</v>
      </c>
      <c r="AF360" s="131">
        <f t="shared" si="73"/>
        <v>0</v>
      </c>
      <c r="AG360" s="140">
        <f t="shared" si="74"/>
        <v>0</v>
      </c>
      <c r="AH360" s="140">
        <f t="shared" si="75"/>
        <v>0</v>
      </c>
      <c r="AI360" s="140">
        <f t="shared" si="76"/>
        <v>0</v>
      </c>
      <c r="AJ360" s="131">
        <f t="shared" si="77"/>
        <v>0</v>
      </c>
      <c r="AK360" s="131">
        <f t="shared" si="78"/>
        <v>0</v>
      </c>
      <c r="AL360" s="127">
        <f t="shared" si="83"/>
        <v>0</v>
      </c>
      <c r="AM360" s="140">
        <f t="shared" si="79"/>
        <v>0</v>
      </c>
      <c r="AN360" s="140">
        <f t="shared" si="80"/>
        <v>0</v>
      </c>
      <c r="AO360" s="140">
        <f t="shared" si="81"/>
        <v>0</v>
      </c>
      <c r="AP360" s="140">
        <f t="shared" si="82"/>
        <v>0</v>
      </c>
    </row>
    <row r="361" spans="2:42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AC361" s="131">
        <f t="shared" si="70"/>
        <v>0</v>
      </c>
      <c r="AD361" s="131">
        <f t="shared" si="71"/>
        <v>0</v>
      </c>
      <c r="AE361" s="131">
        <f t="shared" si="72"/>
        <v>0</v>
      </c>
      <c r="AF361" s="131">
        <f t="shared" si="73"/>
        <v>0</v>
      </c>
      <c r="AG361" s="140">
        <f t="shared" si="74"/>
        <v>0</v>
      </c>
      <c r="AH361" s="140">
        <f t="shared" si="75"/>
        <v>0</v>
      </c>
      <c r="AI361" s="140">
        <f t="shared" si="76"/>
        <v>0</v>
      </c>
      <c r="AJ361" s="131">
        <f t="shared" si="77"/>
        <v>0</v>
      </c>
      <c r="AK361" s="131">
        <f t="shared" si="78"/>
        <v>0</v>
      </c>
      <c r="AL361" s="127">
        <f t="shared" si="83"/>
        <v>0</v>
      </c>
      <c r="AM361" s="140">
        <f t="shared" si="79"/>
        <v>0</v>
      </c>
      <c r="AN361" s="140">
        <f t="shared" si="80"/>
        <v>0</v>
      </c>
      <c r="AO361" s="140">
        <f t="shared" si="81"/>
        <v>0</v>
      </c>
      <c r="AP361" s="140">
        <f t="shared" si="82"/>
        <v>0</v>
      </c>
    </row>
    <row r="362" spans="2:42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AC362" s="131">
        <f t="shared" si="70"/>
        <v>0</v>
      </c>
      <c r="AD362" s="131">
        <f t="shared" si="71"/>
        <v>0</v>
      </c>
      <c r="AE362" s="131">
        <f t="shared" si="72"/>
        <v>0</v>
      </c>
      <c r="AF362" s="131">
        <f t="shared" si="73"/>
        <v>0</v>
      </c>
      <c r="AG362" s="140">
        <f t="shared" si="74"/>
        <v>0</v>
      </c>
      <c r="AH362" s="140">
        <f t="shared" si="75"/>
        <v>0</v>
      </c>
      <c r="AI362" s="140">
        <f t="shared" si="76"/>
        <v>0</v>
      </c>
      <c r="AJ362" s="131">
        <f t="shared" si="77"/>
        <v>0</v>
      </c>
      <c r="AK362" s="131">
        <f t="shared" si="78"/>
        <v>0</v>
      </c>
      <c r="AL362" s="127">
        <f t="shared" si="83"/>
        <v>0</v>
      </c>
      <c r="AM362" s="140">
        <f t="shared" si="79"/>
        <v>0</v>
      </c>
      <c r="AN362" s="140">
        <f t="shared" si="80"/>
        <v>0</v>
      </c>
      <c r="AO362" s="140">
        <f t="shared" si="81"/>
        <v>0</v>
      </c>
      <c r="AP362" s="140">
        <f t="shared" si="82"/>
        <v>0</v>
      </c>
    </row>
    <row r="363" spans="2:42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AC363" s="131">
        <f t="shared" si="70"/>
        <v>0</v>
      </c>
      <c r="AD363" s="131">
        <f t="shared" si="71"/>
        <v>0</v>
      </c>
      <c r="AE363" s="131">
        <f t="shared" si="72"/>
        <v>0</v>
      </c>
      <c r="AF363" s="131">
        <f t="shared" si="73"/>
        <v>0</v>
      </c>
      <c r="AG363" s="140">
        <f t="shared" si="74"/>
        <v>0</v>
      </c>
      <c r="AH363" s="140">
        <f t="shared" si="75"/>
        <v>0</v>
      </c>
      <c r="AI363" s="140">
        <f t="shared" si="76"/>
        <v>0</v>
      </c>
      <c r="AJ363" s="131">
        <f t="shared" si="77"/>
        <v>0</v>
      </c>
      <c r="AK363" s="131">
        <f t="shared" si="78"/>
        <v>0</v>
      </c>
      <c r="AL363" s="127">
        <f t="shared" si="83"/>
        <v>0</v>
      </c>
      <c r="AM363" s="140">
        <f t="shared" si="79"/>
        <v>0</v>
      </c>
      <c r="AN363" s="140">
        <f t="shared" si="80"/>
        <v>0</v>
      </c>
      <c r="AO363" s="140">
        <f t="shared" si="81"/>
        <v>0</v>
      </c>
      <c r="AP363" s="140">
        <f t="shared" si="82"/>
        <v>0</v>
      </c>
    </row>
    <row r="364" spans="2:42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AC364" s="131">
        <f t="shared" si="70"/>
        <v>0</v>
      </c>
      <c r="AD364" s="131">
        <f t="shared" si="71"/>
        <v>0</v>
      </c>
      <c r="AE364" s="131">
        <f t="shared" si="72"/>
        <v>0</v>
      </c>
      <c r="AF364" s="131">
        <f t="shared" si="73"/>
        <v>0</v>
      </c>
      <c r="AG364" s="140">
        <f t="shared" si="74"/>
        <v>0</v>
      </c>
      <c r="AH364" s="140">
        <f t="shared" si="75"/>
        <v>0</v>
      </c>
      <c r="AI364" s="140">
        <f t="shared" si="76"/>
        <v>0</v>
      </c>
      <c r="AJ364" s="131">
        <f t="shared" si="77"/>
        <v>0</v>
      </c>
      <c r="AK364" s="131">
        <f t="shared" si="78"/>
        <v>0</v>
      </c>
      <c r="AL364" s="127">
        <f t="shared" si="83"/>
        <v>0</v>
      </c>
      <c r="AM364" s="140">
        <f t="shared" si="79"/>
        <v>0</v>
      </c>
      <c r="AN364" s="140">
        <f t="shared" si="80"/>
        <v>0</v>
      </c>
      <c r="AO364" s="140">
        <f t="shared" si="81"/>
        <v>0</v>
      </c>
      <c r="AP364" s="140">
        <f t="shared" si="82"/>
        <v>0</v>
      </c>
    </row>
    <row r="365" spans="2:42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AC365" s="131">
        <f t="shared" si="70"/>
        <v>0</v>
      </c>
      <c r="AD365" s="131">
        <f t="shared" si="71"/>
        <v>0</v>
      </c>
      <c r="AE365" s="131">
        <f t="shared" si="72"/>
        <v>0</v>
      </c>
      <c r="AF365" s="131">
        <f t="shared" si="73"/>
        <v>0</v>
      </c>
      <c r="AG365" s="140">
        <f t="shared" si="74"/>
        <v>0</v>
      </c>
      <c r="AH365" s="140">
        <f t="shared" si="75"/>
        <v>0</v>
      </c>
      <c r="AI365" s="140">
        <f t="shared" si="76"/>
        <v>0</v>
      </c>
      <c r="AJ365" s="131">
        <f t="shared" si="77"/>
        <v>0</v>
      </c>
      <c r="AK365" s="131">
        <f t="shared" si="78"/>
        <v>0</v>
      </c>
      <c r="AL365" s="127">
        <f t="shared" si="83"/>
        <v>0</v>
      </c>
      <c r="AM365" s="140">
        <f t="shared" si="79"/>
        <v>0</v>
      </c>
      <c r="AN365" s="140">
        <f t="shared" si="80"/>
        <v>0</v>
      </c>
      <c r="AO365" s="140">
        <f t="shared" si="81"/>
        <v>0</v>
      </c>
      <c r="AP365" s="140">
        <f t="shared" si="82"/>
        <v>0</v>
      </c>
    </row>
    <row r="366" spans="2:42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AC366" s="131">
        <f t="shared" si="70"/>
        <v>0</v>
      </c>
      <c r="AD366" s="131">
        <f t="shared" si="71"/>
        <v>0</v>
      </c>
      <c r="AE366" s="131">
        <f t="shared" si="72"/>
        <v>0</v>
      </c>
      <c r="AF366" s="131">
        <f t="shared" si="73"/>
        <v>0</v>
      </c>
      <c r="AG366" s="140">
        <f t="shared" si="74"/>
        <v>0</v>
      </c>
      <c r="AH366" s="140">
        <f t="shared" si="75"/>
        <v>0</v>
      </c>
      <c r="AI366" s="140">
        <f t="shared" si="76"/>
        <v>0</v>
      </c>
      <c r="AJ366" s="131">
        <f t="shared" si="77"/>
        <v>0</v>
      </c>
      <c r="AK366" s="131">
        <f t="shared" si="78"/>
        <v>0</v>
      </c>
      <c r="AL366" s="127">
        <f t="shared" si="83"/>
        <v>0</v>
      </c>
      <c r="AM366" s="140">
        <f t="shared" si="79"/>
        <v>0</v>
      </c>
      <c r="AN366" s="140">
        <f t="shared" si="80"/>
        <v>0</v>
      </c>
      <c r="AO366" s="140">
        <f t="shared" si="81"/>
        <v>0</v>
      </c>
      <c r="AP366" s="140">
        <f t="shared" si="82"/>
        <v>0</v>
      </c>
    </row>
    <row r="367" spans="2:42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AC367" s="131">
        <f t="shared" si="70"/>
        <v>0</v>
      </c>
      <c r="AD367" s="131">
        <f t="shared" si="71"/>
        <v>0</v>
      </c>
      <c r="AE367" s="131">
        <f t="shared" si="72"/>
        <v>0</v>
      </c>
      <c r="AF367" s="131">
        <f t="shared" si="73"/>
        <v>0</v>
      </c>
      <c r="AG367" s="140">
        <f t="shared" si="74"/>
        <v>0</v>
      </c>
      <c r="AH367" s="140">
        <f t="shared" si="75"/>
        <v>0</v>
      </c>
      <c r="AI367" s="140">
        <f t="shared" si="76"/>
        <v>0</v>
      </c>
      <c r="AJ367" s="131">
        <f t="shared" si="77"/>
        <v>0</v>
      </c>
      <c r="AK367" s="131">
        <f t="shared" si="78"/>
        <v>0</v>
      </c>
      <c r="AL367" s="127">
        <f t="shared" si="83"/>
        <v>0</v>
      </c>
      <c r="AM367" s="140">
        <f t="shared" si="79"/>
        <v>0</v>
      </c>
      <c r="AN367" s="140">
        <f t="shared" si="80"/>
        <v>0</v>
      </c>
      <c r="AO367" s="140">
        <f t="shared" si="81"/>
        <v>0</v>
      </c>
      <c r="AP367" s="140">
        <f t="shared" si="82"/>
        <v>0</v>
      </c>
    </row>
    <row r="368" spans="2:42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AC368" s="131">
        <f t="shared" si="70"/>
        <v>0</v>
      </c>
      <c r="AD368" s="131">
        <f t="shared" si="71"/>
        <v>0</v>
      </c>
      <c r="AE368" s="131">
        <f t="shared" si="72"/>
        <v>0</v>
      </c>
      <c r="AF368" s="131">
        <f t="shared" si="73"/>
        <v>0</v>
      </c>
      <c r="AG368" s="140">
        <f t="shared" si="74"/>
        <v>0</v>
      </c>
      <c r="AH368" s="140">
        <f t="shared" si="75"/>
        <v>0</v>
      </c>
      <c r="AI368" s="140">
        <f t="shared" si="76"/>
        <v>0</v>
      </c>
      <c r="AJ368" s="131">
        <f t="shared" si="77"/>
        <v>0</v>
      </c>
      <c r="AK368" s="131">
        <f t="shared" si="78"/>
        <v>0</v>
      </c>
      <c r="AL368" s="127">
        <f t="shared" si="83"/>
        <v>0</v>
      </c>
      <c r="AM368" s="140">
        <f t="shared" si="79"/>
        <v>0</v>
      </c>
      <c r="AN368" s="140">
        <f t="shared" si="80"/>
        <v>0</v>
      </c>
      <c r="AO368" s="140">
        <f t="shared" si="81"/>
        <v>0</v>
      </c>
      <c r="AP368" s="140">
        <f t="shared" si="82"/>
        <v>0</v>
      </c>
    </row>
    <row r="369" spans="2:42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AC369" s="131">
        <f t="shared" si="70"/>
        <v>0</v>
      </c>
      <c r="AD369" s="131">
        <f t="shared" si="71"/>
        <v>0</v>
      </c>
      <c r="AE369" s="131">
        <f t="shared" si="72"/>
        <v>0</v>
      </c>
      <c r="AF369" s="131">
        <f t="shared" si="73"/>
        <v>0</v>
      </c>
      <c r="AG369" s="140">
        <f t="shared" si="74"/>
        <v>0</v>
      </c>
      <c r="AH369" s="140">
        <f t="shared" si="75"/>
        <v>0</v>
      </c>
      <c r="AI369" s="140">
        <f t="shared" si="76"/>
        <v>0</v>
      </c>
      <c r="AJ369" s="131">
        <f t="shared" si="77"/>
        <v>0</v>
      </c>
      <c r="AK369" s="131">
        <f t="shared" si="78"/>
        <v>0</v>
      </c>
      <c r="AL369" s="127">
        <f t="shared" si="83"/>
        <v>0</v>
      </c>
      <c r="AM369" s="140">
        <f t="shared" si="79"/>
        <v>0</v>
      </c>
      <c r="AN369" s="140">
        <f t="shared" si="80"/>
        <v>0</v>
      </c>
      <c r="AO369" s="140">
        <f t="shared" si="81"/>
        <v>0</v>
      </c>
      <c r="AP369" s="140">
        <f t="shared" si="82"/>
        <v>0</v>
      </c>
    </row>
    <row r="370" spans="2:42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AC370" s="131">
        <f t="shared" si="70"/>
        <v>0</v>
      </c>
      <c r="AD370" s="131">
        <f t="shared" si="71"/>
        <v>0</v>
      </c>
      <c r="AE370" s="131">
        <f t="shared" si="72"/>
        <v>0</v>
      </c>
      <c r="AF370" s="131">
        <f t="shared" si="73"/>
        <v>0</v>
      </c>
      <c r="AG370" s="140">
        <f t="shared" si="74"/>
        <v>0</v>
      </c>
      <c r="AH370" s="140">
        <f t="shared" si="75"/>
        <v>0</v>
      </c>
      <c r="AI370" s="140">
        <f t="shared" si="76"/>
        <v>0</v>
      </c>
      <c r="AJ370" s="131">
        <f t="shared" si="77"/>
        <v>0</v>
      </c>
      <c r="AK370" s="131">
        <f t="shared" si="78"/>
        <v>0</v>
      </c>
      <c r="AL370" s="127">
        <f t="shared" si="83"/>
        <v>0</v>
      </c>
      <c r="AM370" s="140">
        <f t="shared" si="79"/>
        <v>0</v>
      </c>
      <c r="AN370" s="140">
        <f t="shared" si="80"/>
        <v>0</v>
      </c>
      <c r="AO370" s="140">
        <f t="shared" si="81"/>
        <v>0</v>
      </c>
      <c r="AP370" s="140">
        <f t="shared" si="82"/>
        <v>0</v>
      </c>
    </row>
    <row r="371" spans="2:42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AC371" s="131">
        <f t="shared" si="70"/>
        <v>0</v>
      </c>
      <c r="AD371" s="131">
        <f t="shared" si="71"/>
        <v>0</v>
      </c>
      <c r="AE371" s="131">
        <f t="shared" si="72"/>
        <v>0</v>
      </c>
      <c r="AF371" s="131">
        <f t="shared" si="73"/>
        <v>0</v>
      </c>
      <c r="AG371" s="140">
        <f t="shared" si="74"/>
        <v>0</v>
      </c>
      <c r="AH371" s="140">
        <f t="shared" si="75"/>
        <v>0</v>
      </c>
      <c r="AI371" s="140">
        <f t="shared" si="76"/>
        <v>0</v>
      </c>
      <c r="AJ371" s="131">
        <f t="shared" si="77"/>
        <v>0</v>
      </c>
      <c r="AK371" s="131">
        <f t="shared" si="78"/>
        <v>0</v>
      </c>
      <c r="AL371" s="127">
        <f t="shared" si="83"/>
        <v>0</v>
      </c>
      <c r="AM371" s="140">
        <f t="shared" si="79"/>
        <v>0</v>
      </c>
      <c r="AN371" s="140">
        <f t="shared" si="80"/>
        <v>0</v>
      </c>
      <c r="AO371" s="140">
        <f t="shared" si="81"/>
        <v>0</v>
      </c>
      <c r="AP371" s="140">
        <f t="shared" si="82"/>
        <v>0</v>
      </c>
    </row>
    <row r="372" spans="2:42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AC372" s="131">
        <f t="shared" si="70"/>
        <v>0</v>
      </c>
      <c r="AD372" s="131">
        <f t="shared" si="71"/>
        <v>0</v>
      </c>
      <c r="AE372" s="131">
        <f t="shared" si="72"/>
        <v>0</v>
      </c>
      <c r="AF372" s="131">
        <f t="shared" si="73"/>
        <v>0</v>
      </c>
      <c r="AG372" s="140">
        <f t="shared" si="74"/>
        <v>0</v>
      </c>
      <c r="AH372" s="140">
        <f t="shared" si="75"/>
        <v>0</v>
      </c>
      <c r="AI372" s="140">
        <f t="shared" si="76"/>
        <v>0</v>
      </c>
      <c r="AJ372" s="131">
        <f t="shared" si="77"/>
        <v>0</v>
      </c>
      <c r="AK372" s="131">
        <f t="shared" si="78"/>
        <v>0</v>
      </c>
      <c r="AL372" s="127">
        <f t="shared" si="83"/>
        <v>0</v>
      </c>
      <c r="AM372" s="140">
        <f t="shared" si="79"/>
        <v>0</v>
      </c>
      <c r="AN372" s="140">
        <f t="shared" si="80"/>
        <v>0</v>
      </c>
      <c r="AO372" s="140">
        <f t="shared" si="81"/>
        <v>0</v>
      </c>
      <c r="AP372" s="140">
        <f t="shared" si="82"/>
        <v>0</v>
      </c>
    </row>
    <row r="373" spans="2:42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AC373" s="131">
        <f t="shared" si="70"/>
        <v>0</v>
      </c>
      <c r="AD373" s="131">
        <f t="shared" si="71"/>
        <v>0</v>
      </c>
      <c r="AE373" s="131">
        <f t="shared" si="72"/>
        <v>0</v>
      </c>
      <c r="AF373" s="131">
        <f t="shared" si="73"/>
        <v>0</v>
      </c>
      <c r="AG373" s="140">
        <f t="shared" si="74"/>
        <v>0</v>
      </c>
      <c r="AH373" s="140">
        <f t="shared" si="75"/>
        <v>0</v>
      </c>
      <c r="AI373" s="140">
        <f t="shared" si="76"/>
        <v>0</v>
      </c>
      <c r="AJ373" s="131">
        <f t="shared" si="77"/>
        <v>0</v>
      </c>
      <c r="AK373" s="131">
        <f t="shared" si="78"/>
        <v>0</v>
      </c>
      <c r="AL373" s="127">
        <f t="shared" si="83"/>
        <v>0</v>
      </c>
      <c r="AM373" s="140">
        <f t="shared" si="79"/>
        <v>0</v>
      </c>
      <c r="AN373" s="140">
        <f t="shared" si="80"/>
        <v>0</v>
      </c>
      <c r="AO373" s="140">
        <f t="shared" si="81"/>
        <v>0</v>
      </c>
      <c r="AP373" s="140">
        <f t="shared" si="82"/>
        <v>0</v>
      </c>
    </row>
    <row r="374" spans="2:42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AC374" s="131">
        <f t="shared" si="70"/>
        <v>0</v>
      </c>
      <c r="AD374" s="131">
        <f t="shared" si="71"/>
        <v>0</v>
      </c>
      <c r="AE374" s="131">
        <f t="shared" si="72"/>
        <v>0</v>
      </c>
      <c r="AF374" s="131">
        <f t="shared" si="73"/>
        <v>0</v>
      </c>
      <c r="AG374" s="140">
        <f t="shared" si="74"/>
        <v>0</v>
      </c>
      <c r="AH374" s="140">
        <f t="shared" si="75"/>
        <v>0</v>
      </c>
      <c r="AI374" s="140">
        <f t="shared" si="76"/>
        <v>0</v>
      </c>
      <c r="AJ374" s="131">
        <f t="shared" si="77"/>
        <v>0</v>
      </c>
      <c r="AK374" s="131">
        <f t="shared" si="78"/>
        <v>0</v>
      </c>
      <c r="AL374" s="127">
        <f t="shared" si="83"/>
        <v>0</v>
      </c>
      <c r="AM374" s="140">
        <f t="shared" si="79"/>
        <v>0</v>
      </c>
      <c r="AN374" s="140">
        <f t="shared" si="80"/>
        <v>0</v>
      </c>
      <c r="AO374" s="140">
        <f t="shared" si="81"/>
        <v>0</v>
      </c>
      <c r="AP374" s="140">
        <f t="shared" si="82"/>
        <v>0</v>
      </c>
    </row>
    <row r="375" spans="2:42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AC375" s="131">
        <f t="shared" si="70"/>
        <v>0</v>
      </c>
      <c r="AD375" s="131">
        <f t="shared" si="71"/>
        <v>0</v>
      </c>
      <c r="AE375" s="131">
        <f t="shared" si="72"/>
        <v>0</v>
      </c>
      <c r="AF375" s="131">
        <f t="shared" si="73"/>
        <v>0</v>
      </c>
      <c r="AG375" s="140">
        <f t="shared" si="74"/>
        <v>0</v>
      </c>
      <c r="AH375" s="140">
        <f t="shared" si="75"/>
        <v>0</v>
      </c>
      <c r="AI375" s="140">
        <f t="shared" si="76"/>
        <v>0</v>
      </c>
      <c r="AJ375" s="131">
        <f t="shared" si="77"/>
        <v>0</v>
      </c>
      <c r="AK375" s="131">
        <f t="shared" si="78"/>
        <v>0</v>
      </c>
      <c r="AL375" s="127">
        <f t="shared" si="83"/>
        <v>0</v>
      </c>
      <c r="AM375" s="140">
        <f t="shared" si="79"/>
        <v>0</v>
      </c>
      <c r="AN375" s="140">
        <f t="shared" si="80"/>
        <v>0</v>
      </c>
      <c r="AO375" s="140">
        <f t="shared" si="81"/>
        <v>0</v>
      </c>
      <c r="AP375" s="140">
        <f t="shared" si="82"/>
        <v>0</v>
      </c>
    </row>
    <row r="376" spans="2:42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AC376" s="131">
        <f t="shared" si="70"/>
        <v>0</v>
      </c>
      <c r="AD376" s="131">
        <f t="shared" si="71"/>
        <v>0</v>
      </c>
      <c r="AE376" s="131">
        <f t="shared" si="72"/>
        <v>0</v>
      </c>
      <c r="AF376" s="131">
        <f t="shared" si="73"/>
        <v>0</v>
      </c>
      <c r="AG376" s="140">
        <f t="shared" si="74"/>
        <v>0</v>
      </c>
      <c r="AH376" s="140">
        <f t="shared" si="75"/>
        <v>0</v>
      </c>
      <c r="AI376" s="140">
        <f t="shared" si="76"/>
        <v>0</v>
      </c>
      <c r="AJ376" s="131">
        <f t="shared" si="77"/>
        <v>0</v>
      </c>
      <c r="AK376" s="131">
        <f t="shared" si="78"/>
        <v>0</v>
      </c>
      <c r="AL376" s="127">
        <f t="shared" si="83"/>
        <v>0</v>
      </c>
      <c r="AM376" s="140">
        <f t="shared" si="79"/>
        <v>0</v>
      </c>
      <c r="AN376" s="140">
        <f t="shared" si="80"/>
        <v>0</v>
      </c>
      <c r="AO376" s="140">
        <f t="shared" si="81"/>
        <v>0</v>
      </c>
      <c r="AP376" s="140">
        <f t="shared" si="82"/>
        <v>0</v>
      </c>
    </row>
    <row r="377" spans="2:42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AC377" s="131">
        <f t="shared" si="70"/>
        <v>0</v>
      </c>
      <c r="AD377" s="131">
        <f t="shared" si="71"/>
        <v>0</v>
      </c>
      <c r="AE377" s="131">
        <f t="shared" si="72"/>
        <v>0</v>
      </c>
      <c r="AF377" s="131">
        <f t="shared" si="73"/>
        <v>0</v>
      </c>
      <c r="AG377" s="140">
        <f t="shared" si="74"/>
        <v>0</v>
      </c>
      <c r="AH377" s="140">
        <f t="shared" si="75"/>
        <v>0</v>
      </c>
      <c r="AI377" s="140">
        <f t="shared" si="76"/>
        <v>0</v>
      </c>
      <c r="AJ377" s="131">
        <f t="shared" si="77"/>
        <v>0</v>
      </c>
      <c r="AK377" s="131">
        <f t="shared" si="78"/>
        <v>0</v>
      </c>
      <c r="AL377" s="127">
        <f t="shared" si="83"/>
        <v>0</v>
      </c>
      <c r="AM377" s="140">
        <f t="shared" si="79"/>
        <v>0</v>
      </c>
      <c r="AN377" s="140">
        <f t="shared" si="80"/>
        <v>0</v>
      </c>
      <c r="AO377" s="140">
        <f t="shared" si="81"/>
        <v>0</v>
      </c>
      <c r="AP377" s="140">
        <f t="shared" si="82"/>
        <v>0</v>
      </c>
    </row>
    <row r="378" spans="2:42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AC378" s="131">
        <f t="shared" si="70"/>
        <v>0</v>
      </c>
      <c r="AD378" s="131">
        <f t="shared" si="71"/>
        <v>0</v>
      </c>
      <c r="AE378" s="131">
        <f t="shared" si="72"/>
        <v>0</v>
      </c>
      <c r="AF378" s="131">
        <f t="shared" si="73"/>
        <v>0</v>
      </c>
      <c r="AG378" s="140">
        <f t="shared" si="74"/>
        <v>0</v>
      </c>
      <c r="AH378" s="140">
        <f t="shared" si="75"/>
        <v>0</v>
      </c>
      <c r="AI378" s="140">
        <f t="shared" si="76"/>
        <v>0</v>
      </c>
      <c r="AJ378" s="131">
        <f t="shared" si="77"/>
        <v>0</v>
      </c>
      <c r="AK378" s="131">
        <f t="shared" si="78"/>
        <v>0</v>
      </c>
      <c r="AL378" s="127">
        <f t="shared" si="83"/>
        <v>0</v>
      </c>
      <c r="AM378" s="140">
        <f t="shared" si="79"/>
        <v>0</v>
      </c>
      <c r="AN378" s="140">
        <f t="shared" si="80"/>
        <v>0</v>
      </c>
      <c r="AO378" s="140">
        <f t="shared" si="81"/>
        <v>0</v>
      </c>
      <c r="AP378" s="140">
        <f t="shared" si="82"/>
        <v>0</v>
      </c>
    </row>
    <row r="379" spans="2:42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AC379" s="131">
        <f t="shared" ref="AC379:AC442" si="84">+H379</f>
        <v>0</v>
      </c>
      <c r="AD379" s="131">
        <f t="shared" ref="AD379:AD442" si="85">+I379</f>
        <v>0</v>
      </c>
      <c r="AE379" s="131">
        <f t="shared" ref="AE379:AE442" si="86">+J379</f>
        <v>0</v>
      </c>
      <c r="AF379" s="131">
        <f t="shared" ref="AF379:AF442" si="87">+K379</f>
        <v>0</v>
      </c>
      <c r="AG379" s="140">
        <f t="shared" ref="AG379:AG442" si="88">+G379</f>
        <v>0</v>
      </c>
      <c r="AH379" s="140">
        <f t="shared" ref="AH379:AH442" si="89">+L379</f>
        <v>0</v>
      </c>
      <c r="AI379" s="140">
        <f t="shared" ref="AI379:AI442" si="90">+M379</f>
        <v>0</v>
      </c>
      <c r="AJ379" s="131">
        <f t="shared" ref="AJ379:AJ442" si="91">+T379</f>
        <v>0</v>
      </c>
      <c r="AK379" s="131">
        <f t="shared" ref="AK379:AK442" si="92">+N379+O379</f>
        <v>0</v>
      </c>
      <c r="AL379" s="127">
        <f t="shared" si="83"/>
        <v>0</v>
      </c>
      <c r="AM379" s="140">
        <f t="shared" ref="AM379:AM442" si="93">+P379+R379</f>
        <v>0</v>
      </c>
      <c r="AN379" s="140">
        <f t="shared" ref="AN379:AN442" si="94">+Q379+S379</f>
        <v>0</v>
      </c>
      <c r="AO379" s="140">
        <f t="shared" ref="AO379:AO442" si="95">+U379</f>
        <v>0</v>
      </c>
      <c r="AP379" s="140">
        <f t="shared" ref="AP379:AP442" si="96">+AG379+AH379+AJ379-AK379-AM379-AO379</f>
        <v>0</v>
      </c>
    </row>
    <row r="380" spans="2:42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AC380" s="131">
        <f t="shared" si="84"/>
        <v>0</v>
      </c>
      <c r="AD380" s="131">
        <f t="shared" si="85"/>
        <v>0</v>
      </c>
      <c r="AE380" s="131">
        <f t="shared" si="86"/>
        <v>0</v>
      </c>
      <c r="AF380" s="131">
        <f t="shared" si="87"/>
        <v>0</v>
      </c>
      <c r="AG380" s="140">
        <f t="shared" si="88"/>
        <v>0</v>
      </c>
      <c r="AH380" s="140">
        <f t="shared" si="89"/>
        <v>0</v>
      </c>
      <c r="AI380" s="140">
        <f t="shared" si="90"/>
        <v>0</v>
      </c>
      <c r="AJ380" s="131">
        <f t="shared" si="91"/>
        <v>0</v>
      </c>
      <c r="AK380" s="131">
        <f t="shared" si="92"/>
        <v>0</v>
      </c>
      <c r="AL380" s="127">
        <f t="shared" si="83"/>
        <v>0</v>
      </c>
      <c r="AM380" s="140">
        <f t="shared" si="93"/>
        <v>0</v>
      </c>
      <c r="AN380" s="140">
        <f t="shared" si="94"/>
        <v>0</v>
      </c>
      <c r="AO380" s="140">
        <f t="shared" si="95"/>
        <v>0</v>
      </c>
      <c r="AP380" s="140">
        <f t="shared" si="96"/>
        <v>0</v>
      </c>
    </row>
    <row r="381" spans="2:42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AC381" s="131">
        <f t="shared" si="84"/>
        <v>0</v>
      </c>
      <c r="AD381" s="131">
        <f t="shared" si="85"/>
        <v>0</v>
      </c>
      <c r="AE381" s="131">
        <f t="shared" si="86"/>
        <v>0</v>
      </c>
      <c r="AF381" s="131">
        <f t="shared" si="87"/>
        <v>0</v>
      </c>
      <c r="AG381" s="140">
        <f t="shared" si="88"/>
        <v>0</v>
      </c>
      <c r="AH381" s="140">
        <f t="shared" si="89"/>
        <v>0</v>
      </c>
      <c r="AI381" s="140">
        <f t="shared" si="90"/>
        <v>0</v>
      </c>
      <c r="AJ381" s="131">
        <f t="shared" si="91"/>
        <v>0</v>
      </c>
      <c r="AK381" s="131">
        <f t="shared" si="92"/>
        <v>0</v>
      </c>
      <c r="AL381" s="127">
        <f t="shared" si="83"/>
        <v>0</v>
      </c>
      <c r="AM381" s="140">
        <f t="shared" si="93"/>
        <v>0</v>
      </c>
      <c r="AN381" s="140">
        <f t="shared" si="94"/>
        <v>0</v>
      </c>
      <c r="AO381" s="140">
        <f t="shared" si="95"/>
        <v>0</v>
      </c>
      <c r="AP381" s="140">
        <f t="shared" si="96"/>
        <v>0</v>
      </c>
    </row>
    <row r="382" spans="2:42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AC382" s="131">
        <f t="shared" si="84"/>
        <v>0</v>
      </c>
      <c r="AD382" s="131">
        <f t="shared" si="85"/>
        <v>0</v>
      </c>
      <c r="AE382" s="131">
        <f t="shared" si="86"/>
        <v>0</v>
      </c>
      <c r="AF382" s="131">
        <f t="shared" si="87"/>
        <v>0</v>
      </c>
      <c r="AG382" s="140">
        <f t="shared" si="88"/>
        <v>0</v>
      </c>
      <c r="AH382" s="140">
        <f t="shared" si="89"/>
        <v>0</v>
      </c>
      <c r="AI382" s="140">
        <f t="shared" si="90"/>
        <v>0</v>
      </c>
      <c r="AJ382" s="131">
        <f t="shared" si="91"/>
        <v>0</v>
      </c>
      <c r="AK382" s="131">
        <f t="shared" si="92"/>
        <v>0</v>
      </c>
      <c r="AL382" s="127">
        <f t="shared" si="83"/>
        <v>0</v>
      </c>
      <c r="AM382" s="140">
        <f t="shared" si="93"/>
        <v>0</v>
      </c>
      <c r="AN382" s="140">
        <f t="shared" si="94"/>
        <v>0</v>
      </c>
      <c r="AO382" s="140">
        <f t="shared" si="95"/>
        <v>0</v>
      </c>
      <c r="AP382" s="140">
        <f t="shared" si="96"/>
        <v>0</v>
      </c>
    </row>
    <row r="383" spans="2:42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AC383" s="131">
        <f t="shared" si="84"/>
        <v>0</v>
      </c>
      <c r="AD383" s="131">
        <f t="shared" si="85"/>
        <v>0</v>
      </c>
      <c r="AE383" s="131">
        <f t="shared" si="86"/>
        <v>0</v>
      </c>
      <c r="AF383" s="131">
        <f t="shared" si="87"/>
        <v>0</v>
      </c>
      <c r="AG383" s="140">
        <f t="shared" si="88"/>
        <v>0</v>
      </c>
      <c r="AH383" s="140">
        <f t="shared" si="89"/>
        <v>0</v>
      </c>
      <c r="AI383" s="140">
        <f t="shared" si="90"/>
        <v>0</v>
      </c>
      <c r="AJ383" s="131">
        <f t="shared" si="91"/>
        <v>0</v>
      </c>
      <c r="AK383" s="131">
        <f t="shared" si="92"/>
        <v>0</v>
      </c>
      <c r="AL383" s="127">
        <f t="shared" si="83"/>
        <v>0</v>
      </c>
      <c r="AM383" s="140">
        <f t="shared" si="93"/>
        <v>0</v>
      </c>
      <c r="AN383" s="140">
        <f t="shared" si="94"/>
        <v>0</v>
      </c>
      <c r="AO383" s="140">
        <f t="shared" si="95"/>
        <v>0</v>
      </c>
      <c r="AP383" s="140">
        <f t="shared" si="96"/>
        <v>0</v>
      </c>
    </row>
    <row r="384" spans="2:42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AC384" s="131">
        <f t="shared" si="84"/>
        <v>0</v>
      </c>
      <c r="AD384" s="131">
        <f t="shared" si="85"/>
        <v>0</v>
      </c>
      <c r="AE384" s="131">
        <f t="shared" si="86"/>
        <v>0</v>
      </c>
      <c r="AF384" s="131">
        <f t="shared" si="87"/>
        <v>0</v>
      </c>
      <c r="AG384" s="140">
        <f t="shared" si="88"/>
        <v>0</v>
      </c>
      <c r="AH384" s="140">
        <f t="shared" si="89"/>
        <v>0</v>
      </c>
      <c r="AI384" s="140">
        <f t="shared" si="90"/>
        <v>0</v>
      </c>
      <c r="AJ384" s="131">
        <f t="shared" si="91"/>
        <v>0</v>
      </c>
      <c r="AK384" s="131">
        <f t="shared" si="92"/>
        <v>0</v>
      </c>
      <c r="AL384" s="127">
        <f t="shared" si="83"/>
        <v>0</v>
      </c>
      <c r="AM384" s="140">
        <f t="shared" si="93"/>
        <v>0</v>
      </c>
      <c r="AN384" s="140">
        <f t="shared" si="94"/>
        <v>0</v>
      </c>
      <c r="AO384" s="140">
        <f t="shared" si="95"/>
        <v>0</v>
      </c>
      <c r="AP384" s="140">
        <f t="shared" si="96"/>
        <v>0</v>
      </c>
    </row>
    <row r="385" spans="2:42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AC385" s="131">
        <f t="shared" si="84"/>
        <v>0</v>
      </c>
      <c r="AD385" s="131">
        <f t="shared" si="85"/>
        <v>0</v>
      </c>
      <c r="AE385" s="131">
        <f t="shared" si="86"/>
        <v>0</v>
      </c>
      <c r="AF385" s="131">
        <f t="shared" si="87"/>
        <v>0</v>
      </c>
      <c r="AG385" s="140">
        <f t="shared" si="88"/>
        <v>0</v>
      </c>
      <c r="AH385" s="140">
        <f t="shared" si="89"/>
        <v>0</v>
      </c>
      <c r="AI385" s="140">
        <f t="shared" si="90"/>
        <v>0</v>
      </c>
      <c r="AJ385" s="131">
        <f t="shared" si="91"/>
        <v>0</v>
      </c>
      <c r="AK385" s="131">
        <f t="shared" si="92"/>
        <v>0</v>
      </c>
      <c r="AL385" s="127">
        <f t="shared" si="83"/>
        <v>0</v>
      </c>
      <c r="AM385" s="140">
        <f t="shared" si="93"/>
        <v>0</v>
      </c>
      <c r="AN385" s="140">
        <f t="shared" si="94"/>
        <v>0</v>
      </c>
      <c r="AO385" s="140">
        <f t="shared" si="95"/>
        <v>0</v>
      </c>
      <c r="AP385" s="140">
        <f t="shared" si="96"/>
        <v>0</v>
      </c>
    </row>
    <row r="386" spans="2:42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AC386" s="131">
        <f t="shared" si="84"/>
        <v>0</v>
      </c>
      <c r="AD386" s="131">
        <f t="shared" si="85"/>
        <v>0</v>
      </c>
      <c r="AE386" s="131">
        <f t="shared" si="86"/>
        <v>0</v>
      </c>
      <c r="AF386" s="131">
        <f t="shared" si="87"/>
        <v>0</v>
      </c>
      <c r="AG386" s="140">
        <f t="shared" si="88"/>
        <v>0</v>
      </c>
      <c r="AH386" s="140">
        <f t="shared" si="89"/>
        <v>0</v>
      </c>
      <c r="AI386" s="140">
        <f t="shared" si="90"/>
        <v>0</v>
      </c>
      <c r="AJ386" s="131">
        <f t="shared" si="91"/>
        <v>0</v>
      </c>
      <c r="AK386" s="131">
        <f t="shared" si="92"/>
        <v>0</v>
      </c>
      <c r="AL386" s="127">
        <f t="shared" si="83"/>
        <v>0</v>
      </c>
      <c r="AM386" s="140">
        <f t="shared" si="93"/>
        <v>0</v>
      </c>
      <c r="AN386" s="140">
        <f t="shared" si="94"/>
        <v>0</v>
      </c>
      <c r="AO386" s="140">
        <f t="shared" si="95"/>
        <v>0</v>
      </c>
      <c r="AP386" s="140">
        <f t="shared" si="96"/>
        <v>0</v>
      </c>
    </row>
    <row r="387" spans="2:42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AC387" s="131">
        <f t="shared" si="84"/>
        <v>0</v>
      </c>
      <c r="AD387" s="131">
        <f t="shared" si="85"/>
        <v>0</v>
      </c>
      <c r="AE387" s="131">
        <f t="shared" si="86"/>
        <v>0</v>
      </c>
      <c r="AF387" s="131">
        <f t="shared" si="87"/>
        <v>0</v>
      </c>
      <c r="AG387" s="140">
        <f t="shared" si="88"/>
        <v>0</v>
      </c>
      <c r="AH387" s="140">
        <f t="shared" si="89"/>
        <v>0</v>
      </c>
      <c r="AI387" s="140">
        <f t="shared" si="90"/>
        <v>0</v>
      </c>
      <c r="AJ387" s="131">
        <f t="shared" si="91"/>
        <v>0</v>
      </c>
      <c r="AK387" s="131">
        <f t="shared" si="92"/>
        <v>0</v>
      </c>
      <c r="AL387" s="127">
        <f t="shared" ref="AL387:AL450" si="97">ROUND(IFERROR(+AK387/AH387*100,0),2)</f>
        <v>0</v>
      </c>
      <c r="AM387" s="140">
        <f t="shared" si="93"/>
        <v>0</v>
      </c>
      <c r="AN387" s="140">
        <f t="shared" si="94"/>
        <v>0</v>
      </c>
      <c r="AO387" s="140">
        <f t="shared" si="95"/>
        <v>0</v>
      </c>
      <c r="AP387" s="140">
        <f t="shared" si="96"/>
        <v>0</v>
      </c>
    </row>
    <row r="388" spans="2:42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AC388" s="131">
        <f t="shared" si="84"/>
        <v>0</v>
      </c>
      <c r="AD388" s="131">
        <f t="shared" si="85"/>
        <v>0</v>
      </c>
      <c r="AE388" s="131">
        <f t="shared" si="86"/>
        <v>0</v>
      </c>
      <c r="AF388" s="131">
        <f t="shared" si="87"/>
        <v>0</v>
      </c>
      <c r="AG388" s="140">
        <f t="shared" si="88"/>
        <v>0</v>
      </c>
      <c r="AH388" s="140">
        <f t="shared" si="89"/>
        <v>0</v>
      </c>
      <c r="AI388" s="140">
        <f t="shared" si="90"/>
        <v>0</v>
      </c>
      <c r="AJ388" s="131">
        <f t="shared" si="91"/>
        <v>0</v>
      </c>
      <c r="AK388" s="131">
        <f t="shared" si="92"/>
        <v>0</v>
      </c>
      <c r="AL388" s="127">
        <f t="shared" si="97"/>
        <v>0</v>
      </c>
      <c r="AM388" s="140">
        <f t="shared" si="93"/>
        <v>0</v>
      </c>
      <c r="AN388" s="140">
        <f t="shared" si="94"/>
        <v>0</v>
      </c>
      <c r="AO388" s="140">
        <f t="shared" si="95"/>
        <v>0</v>
      </c>
      <c r="AP388" s="140">
        <f t="shared" si="96"/>
        <v>0</v>
      </c>
    </row>
    <row r="389" spans="2:42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AC389" s="131">
        <f t="shared" si="84"/>
        <v>0</v>
      </c>
      <c r="AD389" s="131">
        <f t="shared" si="85"/>
        <v>0</v>
      </c>
      <c r="AE389" s="131">
        <f t="shared" si="86"/>
        <v>0</v>
      </c>
      <c r="AF389" s="131">
        <f t="shared" si="87"/>
        <v>0</v>
      </c>
      <c r="AG389" s="140">
        <f t="shared" si="88"/>
        <v>0</v>
      </c>
      <c r="AH389" s="140">
        <f t="shared" si="89"/>
        <v>0</v>
      </c>
      <c r="AI389" s="140">
        <f t="shared" si="90"/>
        <v>0</v>
      </c>
      <c r="AJ389" s="131">
        <f t="shared" si="91"/>
        <v>0</v>
      </c>
      <c r="AK389" s="131">
        <f t="shared" si="92"/>
        <v>0</v>
      </c>
      <c r="AL389" s="127">
        <f t="shared" si="97"/>
        <v>0</v>
      </c>
      <c r="AM389" s="140">
        <f t="shared" si="93"/>
        <v>0</v>
      </c>
      <c r="AN389" s="140">
        <f t="shared" si="94"/>
        <v>0</v>
      </c>
      <c r="AO389" s="140">
        <f t="shared" si="95"/>
        <v>0</v>
      </c>
      <c r="AP389" s="140">
        <f t="shared" si="96"/>
        <v>0</v>
      </c>
    </row>
    <row r="390" spans="2:42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AC390" s="131">
        <f t="shared" si="84"/>
        <v>0</v>
      </c>
      <c r="AD390" s="131">
        <f t="shared" si="85"/>
        <v>0</v>
      </c>
      <c r="AE390" s="131">
        <f t="shared" si="86"/>
        <v>0</v>
      </c>
      <c r="AF390" s="131">
        <f t="shared" si="87"/>
        <v>0</v>
      </c>
      <c r="AG390" s="140">
        <f t="shared" si="88"/>
        <v>0</v>
      </c>
      <c r="AH390" s="140">
        <f t="shared" si="89"/>
        <v>0</v>
      </c>
      <c r="AI390" s="140">
        <f t="shared" si="90"/>
        <v>0</v>
      </c>
      <c r="AJ390" s="131">
        <f t="shared" si="91"/>
        <v>0</v>
      </c>
      <c r="AK390" s="131">
        <f t="shared" si="92"/>
        <v>0</v>
      </c>
      <c r="AL390" s="127">
        <f t="shared" si="97"/>
        <v>0</v>
      </c>
      <c r="AM390" s="140">
        <f t="shared" si="93"/>
        <v>0</v>
      </c>
      <c r="AN390" s="140">
        <f t="shared" si="94"/>
        <v>0</v>
      </c>
      <c r="AO390" s="140">
        <f t="shared" si="95"/>
        <v>0</v>
      </c>
      <c r="AP390" s="140">
        <f t="shared" si="96"/>
        <v>0</v>
      </c>
    </row>
    <row r="391" spans="2:42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AC391" s="131">
        <f t="shared" si="84"/>
        <v>0</v>
      </c>
      <c r="AD391" s="131">
        <f t="shared" si="85"/>
        <v>0</v>
      </c>
      <c r="AE391" s="131">
        <f t="shared" si="86"/>
        <v>0</v>
      </c>
      <c r="AF391" s="131">
        <f t="shared" si="87"/>
        <v>0</v>
      </c>
      <c r="AG391" s="140">
        <f t="shared" si="88"/>
        <v>0</v>
      </c>
      <c r="AH391" s="140">
        <f t="shared" si="89"/>
        <v>0</v>
      </c>
      <c r="AI391" s="140">
        <f t="shared" si="90"/>
        <v>0</v>
      </c>
      <c r="AJ391" s="131">
        <f t="shared" si="91"/>
        <v>0</v>
      </c>
      <c r="AK391" s="131">
        <f t="shared" si="92"/>
        <v>0</v>
      </c>
      <c r="AL391" s="127">
        <f t="shared" si="97"/>
        <v>0</v>
      </c>
      <c r="AM391" s="140">
        <f t="shared" si="93"/>
        <v>0</v>
      </c>
      <c r="AN391" s="140">
        <f t="shared" si="94"/>
        <v>0</v>
      </c>
      <c r="AO391" s="140">
        <f t="shared" si="95"/>
        <v>0</v>
      </c>
      <c r="AP391" s="140">
        <f t="shared" si="96"/>
        <v>0</v>
      </c>
    </row>
    <row r="392" spans="2:42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AC392" s="131">
        <f t="shared" si="84"/>
        <v>0</v>
      </c>
      <c r="AD392" s="131">
        <f t="shared" si="85"/>
        <v>0</v>
      </c>
      <c r="AE392" s="131">
        <f t="shared" si="86"/>
        <v>0</v>
      </c>
      <c r="AF392" s="131">
        <f t="shared" si="87"/>
        <v>0</v>
      </c>
      <c r="AG392" s="140">
        <f t="shared" si="88"/>
        <v>0</v>
      </c>
      <c r="AH392" s="140">
        <f t="shared" si="89"/>
        <v>0</v>
      </c>
      <c r="AI392" s="140">
        <f t="shared" si="90"/>
        <v>0</v>
      </c>
      <c r="AJ392" s="131">
        <f t="shared" si="91"/>
        <v>0</v>
      </c>
      <c r="AK392" s="131">
        <f t="shared" si="92"/>
        <v>0</v>
      </c>
      <c r="AL392" s="127">
        <f t="shared" si="97"/>
        <v>0</v>
      </c>
      <c r="AM392" s="140">
        <f t="shared" si="93"/>
        <v>0</v>
      </c>
      <c r="AN392" s="140">
        <f t="shared" si="94"/>
        <v>0</v>
      </c>
      <c r="AO392" s="140">
        <f t="shared" si="95"/>
        <v>0</v>
      </c>
      <c r="AP392" s="140">
        <f t="shared" si="96"/>
        <v>0</v>
      </c>
    </row>
    <row r="393" spans="2:42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AC393" s="131">
        <f t="shared" si="84"/>
        <v>0</v>
      </c>
      <c r="AD393" s="131">
        <f t="shared" si="85"/>
        <v>0</v>
      </c>
      <c r="AE393" s="131">
        <f t="shared" si="86"/>
        <v>0</v>
      </c>
      <c r="AF393" s="131">
        <f t="shared" si="87"/>
        <v>0</v>
      </c>
      <c r="AG393" s="140">
        <f t="shared" si="88"/>
        <v>0</v>
      </c>
      <c r="AH393" s="140">
        <f t="shared" si="89"/>
        <v>0</v>
      </c>
      <c r="AI393" s="140">
        <f t="shared" si="90"/>
        <v>0</v>
      </c>
      <c r="AJ393" s="131">
        <f t="shared" si="91"/>
        <v>0</v>
      </c>
      <c r="AK393" s="131">
        <f t="shared" si="92"/>
        <v>0</v>
      </c>
      <c r="AL393" s="127">
        <f t="shared" si="97"/>
        <v>0</v>
      </c>
      <c r="AM393" s="140">
        <f t="shared" si="93"/>
        <v>0</v>
      </c>
      <c r="AN393" s="140">
        <f t="shared" si="94"/>
        <v>0</v>
      </c>
      <c r="AO393" s="140">
        <f t="shared" si="95"/>
        <v>0</v>
      </c>
      <c r="AP393" s="140">
        <f t="shared" si="96"/>
        <v>0</v>
      </c>
    </row>
    <row r="394" spans="2:42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AC394" s="131">
        <f t="shared" si="84"/>
        <v>0</v>
      </c>
      <c r="AD394" s="131">
        <f t="shared" si="85"/>
        <v>0</v>
      </c>
      <c r="AE394" s="131">
        <f t="shared" si="86"/>
        <v>0</v>
      </c>
      <c r="AF394" s="131">
        <f t="shared" si="87"/>
        <v>0</v>
      </c>
      <c r="AG394" s="140">
        <f t="shared" si="88"/>
        <v>0</v>
      </c>
      <c r="AH394" s="140">
        <f t="shared" si="89"/>
        <v>0</v>
      </c>
      <c r="AI394" s="140">
        <f t="shared" si="90"/>
        <v>0</v>
      </c>
      <c r="AJ394" s="131">
        <f t="shared" si="91"/>
        <v>0</v>
      </c>
      <c r="AK394" s="131">
        <f t="shared" si="92"/>
        <v>0</v>
      </c>
      <c r="AL394" s="127">
        <f t="shared" si="97"/>
        <v>0</v>
      </c>
      <c r="AM394" s="140">
        <f t="shared" si="93"/>
        <v>0</v>
      </c>
      <c r="AN394" s="140">
        <f t="shared" si="94"/>
        <v>0</v>
      </c>
      <c r="AO394" s="140">
        <f t="shared" si="95"/>
        <v>0</v>
      </c>
      <c r="AP394" s="140">
        <f t="shared" si="96"/>
        <v>0</v>
      </c>
    </row>
    <row r="395" spans="2:42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AC395" s="131">
        <f t="shared" si="84"/>
        <v>0</v>
      </c>
      <c r="AD395" s="131">
        <f t="shared" si="85"/>
        <v>0</v>
      </c>
      <c r="AE395" s="131">
        <f t="shared" si="86"/>
        <v>0</v>
      </c>
      <c r="AF395" s="131">
        <f t="shared" si="87"/>
        <v>0</v>
      </c>
      <c r="AG395" s="140">
        <f t="shared" si="88"/>
        <v>0</v>
      </c>
      <c r="AH395" s="140">
        <f t="shared" si="89"/>
        <v>0</v>
      </c>
      <c r="AI395" s="140">
        <f t="shared" si="90"/>
        <v>0</v>
      </c>
      <c r="AJ395" s="131">
        <f t="shared" si="91"/>
        <v>0</v>
      </c>
      <c r="AK395" s="131">
        <f t="shared" si="92"/>
        <v>0</v>
      </c>
      <c r="AL395" s="127">
        <f t="shared" si="97"/>
        <v>0</v>
      </c>
      <c r="AM395" s="140">
        <f t="shared" si="93"/>
        <v>0</v>
      </c>
      <c r="AN395" s="140">
        <f t="shared" si="94"/>
        <v>0</v>
      </c>
      <c r="AO395" s="140">
        <f t="shared" si="95"/>
        <v>0</v>
      </c>
      <c r="AP395" s="140">
        <f t="shared" si="96"/>
        <v>0</v>
      </c>
    </row>
    <row r="396" spans="2:42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AC396" s="131">
        <f t="shared" si="84"/>
        <v>0</v>
      </c>
      <c r="AD396" s="131">
        <f t="shared" si="85"/>
        <v>0</v>
      </c>
      <c r="AE396" s="131">
        <f t="shared" si="86"/>
        <v>0</v>
      </c>
      <c r="AF396" s="131">
        <f t="shared" si="87"/>
        <v>0</v>
      </c>
      <c r="AG396" s="140">
        <f t="shared" si="88"/>
        <v>0</v>
      </c>
      <c r="AH396" s="140">
        <f t="shared" si="89"/>
        <v>0</v>
      </c>
      <c r="AI396" s="140">
        <f t="shared" si="90"/>
        <v>0</v>
      </c>
      <c r="AJ396" s="131">
        <f t="shared" si="91"/>
        <v>0</v>
      </c>
      <c r="AK396" s="131">
        <f t="shared" si="92"/>
        <v>0</v>
      </c>
      <c r="AL396" s="127">
        <f t="shared" si="97"/>
        <v>0</v>
      </c>
      <c r="AM396" s="140">
        <f t="shared" si="93"/>
        <v>0</v>
      </c>
      <c r="AN396" s="140">
        <f t="shared" si="94"/>
        <v>0</v>
      </c>
      <c r="AO396" s="140">
        <f t="shared" si="95"/>
        <v>0</v>
      </c>
      <c r="AP396" s="140">
        <f t="shared" si="96"/>
        <v>0</v>
      </c>
    </row>
    <row r="397" spans="2:42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AC397" s="131">
        <f t="shared" si="84"/>
        <v>0</v>
      </c>
      <c r="AD397" s="131">
        <f t="shared" si="85"/>
        <v>0</v>
      </c>
      <c r="AE397" s="131">
        <f t="shared" si="86"/>
        <v>0</v>
      </c>
      <c r="AF397" s="131">
        <f t="shared" si="87"/>
        <v>0</v>
      </c>
      <c r="AG397" s="140">
        <f t="shared" si="88"/>
        <v>0</v>
      </c>
      <c r="AH397" s="140">
        <f t="shared" si="89"/>
        <v>0</v>
      </c>
      <c r="AI397" s="140">
        <f t="shared" si="90"/>
        <v>0</v>
      </c>
      <c r="AJ397" s="131">
        <f t="shared" si="91"/>
        <v>0</v>
      </c>
      <c r="AK397" s="131">
        <f t="shared" si="92"/>
        <v>0</v>
      </c>
      <c r="AL397" s="127">
        <f t="shared" si="97"/>
        <v>0</v>
      </c>
      <c r="AM397" s="140">
        <f t="shared" si="93"/>
        <v>0</v>
      </c>
      <c r="AN397" s="140">
        <f t="shared" si="94"/>
        <v>0</v>
      </c>
      <c r="AO397" s="140">
        <f t="shared" si="95"/>
        <v>0</v>
      </c>
      <c r="AP397" s="140">
        <f t="shared" si="96"/>
        <v>0</v>
      </c>
    </row>
    <row r="398" spans="2:42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AC398" s="131">
        <f t="shared" si="84"/>
        <v>0</v>
      </c>
      <c r="AD398" s="131">
        <f t="shared" si="85"/>
        <v>0</v>
      </c>
      <c r="AE398" s="131">
        <f t="shared" si="86"/>
        <v>0</v>
      </c>
      <c r="AF398" s="131">
        <f t="shared" si="87"/>
        <v>0</v>
      </c>
      <c r="AG398" s="140">
        <f t="shared" si="88"/>
        <v>0</v>
      </c>
      <c r="AH398" s="140">
        <f t="shared" si="89"/>
        <v>0</v>
      </c>
      <c r="AI398" s="140">
        <f t="shared" si="90"/>
        <v>0</v>
      </c>
      <c r="AJ398" s="131">
        <f t="shared" si="91"/>
        <v>0</v>
      </c>
      <c r="AK398" s="131">
        <f t="shared" si="92"/>
        <v>0</v>
      </c>
      <c r="AL398" s="127">
        <f t="shared" si="97"/>
        <v>0</v>
      </c>
      <c r="AM398" s="140">
        <f t="shared" si="93"/>
        <v>0</v>
      </c>
      <c r="AN398" s="140">
        <f t="shared" si="94"/>
        <v>0</v>
      </c>
      <c r="AO398" s="140">
        <f t="shared" si="95"/>
        <v>0</v>
      </c>
      <c r="AP398" s="140">
        <f t="shared" si="96"/>
        <v>0</v>
      </c>
    </row>
    <row r="399" spans="2:42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AC399" s="131">
        <f t="shared" si="84"/>
        <v>0</v>
      </c>
      <c r="AD399" s="131">
        <f t="shared" si="85"/>
        <v>0</v>
      </c>
      <c r="AE399" s="131">
        <f t="shared" si="86"/>
        <v>0</v>
      </c>
      <c r="AF399" s="131">
        <f t="shared" si="87"/>
        <v>0</v>
      </c>
      <c r="AG399" s="140">
        <f t="shared" si="88"/>
        <v>0</v>
      </c>
      <c r="AH399" s="140">
        <f t="shared" si="89"/>
        <v>0</v>
      </c>
      <c r="AI399" s="140">
        <f t="shared" si="90"/>
        <v>0</v>
      </c>
      <c r="AJ399" s="131">
        <f t="shared" si="91"/>
        <v>0</v>
      </c>
      <c r="AK399" s="131">
        <f t="shared" si="92"/>
        <v>0</v>
      </c>
      <c r="AL399" s="127">
        <f t="shared" si="97"/>
        <v>0</v>
      </c>
      <c r="AM399" s="140">
        <f t="shared" si="93"/>
        <v>0</v>
      </c>
      <c r="AN399" s="140">
        <f t="shared" si="94"/>
        <v>0</v>
      </c>
      <c r="AO399" s="140">
        <f t="shared" si="95"/>
        <v>0</v>
      </c>
      <c r="AP399" s="140">
        <f t="shared" si="96"/>
        <v>0</v>
      </c>
    </row>
    <row r="400" spans="2:42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AC400" s="131">
        <f t="shared" si="84"/>
        <v>0</v>
      </c>
      <c r="AD400" s="131">
        <f t="shared" si="85"/>
        <v>0</v>
      </c>
      <c r="AE400" s="131">
        <f t="shared" si="86"/>
        <v>0</v>
      </c>
      <c r="AF400" s="131">
        <f t="shared" si="87"/>
        <v>0</v>
      </c>
      <c r="AG400" s="140">
        <f t="shared" si="88"/>
        <v>0</v>
      </c>
      <c r="AH400" s="140">
        <f t="shared" si="89"/>
        <v>0</v>
      </c>
      <c r="AI400" s="140">
        <f t="shared" si="90"/>
        <v>0</v>
      </c>
      <c r="AJ400" s="131">
        <f t="shared" si="91"/>
        <v>0</v>
      </c>
      <c r="AK400" s="131">
        <f t="shared" si="92"/>
        <v>0</v>
      </c>
      <c r="AL400" s="127">
        <f t="shared" si="97"/>
        <v>0</v>
      </c>
      <c r="AM400" s="140">
        <f t="shared" si="93"/>
        <v>0</v>
      </c>
      <c r="AN400" s="140">
        <f t="shared" si="94"/>
        <v>0</v>
      </c>
      <c r="AO400" s="140">
        <f t="shared" si="95"/>
        <v>0</v>
      </c>
      <c r="AP400" s="140">
        <f t="shared" si="96"/>
        <v>0</v>
      </c>
    </row>
    <row r="401" spans="2:42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AC401" s="131">
        <f t="shared" si="84"/>
        <v>0</v>
      </c>
      <c r="AD401" s="131">
        <f t="shared" si="85"/>
        <v>0</v>
      </c>
      <c r="AE401" s="131">
        <f t="shared" si="86"/>
        <v>0</v>
      </c>
      <c r="AF401" s="131">
        <f t="shared" si="87"/>
        <v>0</v>
      </c>
      <c r="AG401" s="140">
        <f t="shared" si="88"/>
        <v>0</v>
      </c>
      <c r="AH401" s="140">
        <f t="shared" si="89"/>
        <v>0</v>
      </c>
      <c r="AI401" s="140">
        <f t="shared" si="90"/>
        <v>0</v>
      </c>
      <c r="AJ401" s="131">
        <f t="shared" si="91"/>
        <v>0</v>
      </c>
      <c r="AK401" s="131">
        <f t="shared" si="92"/>
        <v>0</v>
      </c>
      <c r="AL401" s="127">
        <f t="shared" si="97"/>
        <v>0</v>
      </c>
      <c r="AM401" s="140">
        <f t="shared" si="93"/>
        <v>0</v>
      </c>
      <c r="AN401" s="140">
        <f t="shared" si="94"/>
        <v>0</v>
      </c>
      <c r="AO401" s="140">
        <f t="shared" si="95"/>
        <v>0</v>
      </c>
      <c r="AP401" s="140">
        <f t="shared" si="96"/>
        <v>0</v>
      </c>
    </row>
    <row r="402" spans="2:42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AC402" s="131">
        <f t="shared" si="84"/>
        <v>0</v>
      </c>
      <c r="AD402" s="131">
        <f t="shared" si="85"/>
        <v>0</v>
      </c>
      <c r="AE402" s="131">
        <f t="shared" si="86"/>
        <v>0</v>
      </c>
      <c r="AF402" s="131">
        <f t="shared" si="87"/>
        <v>0</v>
      </c>
      <c r="AG402" s="140">
        <f t="shared" si="88"/>
        <v>0</v>
      </c>
      <c r="AH402" s="140">
        <f t="shared" si="89"/>
        <v>0</v>
      </c>
      <c r="AI402" s="140">
        <f t="shared" si="90"/>
        <v>0</v>
      </c>
      <c r="AJ402" s="131">
        <f t="shared" si="91"/>
        <v>0</v>
      </c>
      <c r="AK402" s="131">
        <f t="shared" si="92"/>
        <v>0</v>
      </c>
      <c r="AL402" s="127">
        <f t="shared" si="97"/>
        <v>0</v>
      </c>
      <c r="AM402" s="140">
        <f t="shared" si="93"/>
        <v>0</v>
      </c>
      <c r="AN402" s="140">
        <f t="shared" si="94"/>
        <v>0</v>
      </c>
      <c r="AO402" s="140">
        <f t="shared" si="95"/>
        <v>0</v>
      </c>
      <c r="AP402" s="140">
        <f t="shared" si="96"/>
        <v>0</v>
      </c>
    </row>
    <row r="403" spans="2:42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AC403" s="131">
        <f t="shared" si="84"/>
        <v>0</v>
      </c>
      <c r="AD403" s="131">
        <f t="shared" si="85"/>
        <v>0</v>
      </c>
      <c r="AE403" s="131">
        <f t="shared" si="86"/>
        <v>0</v>
      </c>
      <c r="AF403" s="131">
        <f t="shared" si="87"/>
        <v>0</v>
      </c>
      <c r="AG403" s="140">
        <f t="shared" si="88"/>
        <v>0</v>
      </c>
      <c r="AH403" s="140">
        <f t="shared" si="89"/>
        <v>0</v>
      </c>
      <c r="AI403" s="140">
        <f t="shared" si="90"/>
        <v>0</v>
      </c>
      <c r="AJ403" s="131">
        <f t="shared" si="91"/>
        <v>0</v>
      </c>
      <c r="AK403" s="131">
        <f t="shared" si="92"/>
        <v>0</v>
      </c>
      <c r="AL403" s="127">
        <f t="shared" si="97"/>
        <v>0</v>
      </c>
      <c r="AM403" s="140">
        <f t="shared" si="93"/>
        <v>0</v>
      </c>
      <c r="AN403" s="140">
        <f t="shared" si="94"/>
        <v>0</v>
      </c>
      <c r="AO403" s="140">
        <f t="shared" si="95"/>
        <v>0</v>
      </c>
      <c r="AP403" s="140">
        <f t="shared" si="96"/>
        <v>0</v>
      </c>
    </row>
    <row r="404" spans="2:42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AC404" s="131">
        <f t="shared" si="84"/>
        <v>0</v>
      </c>
      <c r="AD404" s="131">
        <f t="shared" si="85"/>
        <v>0</v>
      </c>
      <c r="AE404" s="131">
        <f t="shared" si="86"/>
        <v>0</v>
      </c>
      <c r="AF404" s="131">
        <f t="shared" si="87"/>
        <v>0</v>
      </c>
      <c r="AG404" s="140">
        <f t="shared" si="88"/>
        <v>0</v>
      </c>
      <c r="AH404" s="140">
        <f t="shared" si="89"/>
        <v>0</v>
      </c>
      <c r="AI404" s="140">
        <f t="shared" si="90"/>
        <v>0</v>
      </c>
      <c r="AJ404" s="131">
        <f t="shared" si="91"/>
        <v>0</v>
      </c>
      <c r="AK404" s="131">
        <f t="shared" si="92"/>
        <v>0</v>
      </c>
      <c r="AL404" s="127">
        <f t="shared" si="97"/>
        <v>0</v>
      </c>
      <c r="AM404" s="140">
        <f t="shared" si="93"/>
        <v>0</v>
      </c>
      <c r="AN404" s="140">
        <f t="shared" si="94"/>
        <v>0</v>
      </c>
      <c r="AO404" s="140">
        <f t="shared" si="95"/>
        <v>0</v>
      </c>
      <c r="AP404" s="140">
        <f t="shared" si="96"/>
        <v>0</v>
      </c>
    </row>
    <row r="405" spans="2:42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AC405" s="131">
        <f t="shared" si="84"/>
        <v>0</v>
      </c>
      <c r="AD405" s="131">
        <f t="shared" si="85"/>
        <v>0</v>
      </c>
      <c r="AE405" s="131">
        <f t="shared" si="86"/>
        <v>0</v>
      </c>
      <c r="AF405" s="131">
        <f t="shared" si="87"/>
        <v>0</v>
      </c>
      <c r="AG405" s="140">
        <f t="shared" si="88"/>
        <v>0</v>
      </c>
      <c r="AH405" s="140">
        <f t="shared" si="89"/>
        <v>0</v>
      </c>
      <c r="AI405" s="140">
        <f t="shared" si="90"/>
        <v>0</v>
      </c>
      <c r="AJ405" s="131">
        <f t="shared" si="91"/>
        <v>0</v>
      </c>
      <c r="AK405" s="131">
        <f t="shared" si="92"/>
        <v>0</v>
      </c>
      <c r="AL405" s="127">
        <f t="shared" si="97"/>
        <v>0</v>
      </c>
      <c r="AM405" s="140">
        <f t="shared" si="93"/>
        <v>0</v>
      </c>
      <c r="AN405" s="140">
        <f t="shared" si="94"/>
        <v>0</v>
      </c>
      <c r="AO405" s="140">
        <f t="shared" si="95"/>
        <v>0</v>
      </c>
      <c r="AP405" s="140">
        <f t="shared" si="96"/>
        <v>0</v>
      </c>
    </row>
    <row r="406" spans="2:42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AC406" s="131">
        <f t="shared" si="84"/>
        <v>0</v>
      </c>
      <c r="AD406" s="131">
        <f t="shared" si="85"/>
        <v>0</v>
      </c>
      <c r="AE406" s="131">
        <f t="shared" si="86"/>
        <v>0</v>
      </c>
      <c r="AF406" s="131">
        <f t="shared" si="87"/>
        <v>0</v>
      </c>
      <c r="AG406" s="140">
        <f t="shared" si="88"/>
        <v>0</v>
      </c>
      <c r="AH406" s="140">
        <f t="shared" si="89"/>
        <v>0</v>
      </c>
      <c r="AI406" s="140">
        <f t="shared" si="90"/>
        <v>0</v>
      </c>
      <c r="AJ406" s="131">
        <f t="shared" si="91"/>
        <v>0</v>
      </c>
      <c r="AK406" s="131">
        <f t="shared" si="92"/>
        <v>0</v>
      </c>
      <c r="AL406" s="127">
        <f t="shared" si="97"/>
        <v>0</v>
      </c>
      <c r="AM406" s="140">
        <f t="shared" si="93"/>
        <v>0</v>
      </c>
      <c r="AN406" s="140">
        <f t="shared" si="94"/>
        <v>0</v>
      </c>
      <c r="AO406" s="140">
        <f t="shared" si="95"/>
        <v>0</v>
      </c>
      <c r="AP406" s="140">
        <f t="shared" si="96"/>
        <v>0</v>
      </c>
    </row>
    <row r="407" spans="2:42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AC407" s="131">
        <f t="shared" si="84"/>
        <v>0</v>
      </c>
      <c r="AD407" s="131">
        <f t="shared" si="85"/>
        <v>0</v>
      </c>
      <c r="AE407" s="131">
        <f t="shared" si="86"/>
        <v>0</v>
      </c>
      <c r="AF407" s="131">
        <f t="shared" si="87"/>
        <v>0</v>
      </c>
      <c r="AG407" s="140">
        <f t="shared" si="88"/>
        <v>0</v>
      </c>
      <c r="AH407" s="140">
        <f t="shared" si="89"/>
        <v>0</v>
      </c>
      <c r="AI407" s="140">
        <f t="shared" si="90"/>
        <v>0</v>
      </c>
      <c r="AJ407" s="131">
        <f t="shared" si="91"/>
        <v>0</v>
      </c>
      <c r="AK407" s="131">
        <f t="shared" si="92"/>
        <v>0</v>
      </c>
      <c r="AL407" s="127">
        <f t="shared" si="97"/>
        <v>0</v>
      </c>
      <c r="AM407" s="140">
        <f t="shared" si="93"/>
        <v>0</v>
      </c>
      <c r="AN407" s="140">
        <f t="shared" si="94"/>
        <v>0</v>
      </c>
      <c r="AO407" s="140">
        <f t="shared" si="95"/>
        <v>0</v>
      </c>
      <c r="AP407" s="140">
        <f t="shared" si="96"/>
        <v>0</v>
      </c>
    </row>
    <row r="408" spans="2:42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AC408" s="131">
        <f t="shared" si="84"/>
        <v>0</v>
      </c>
      <c r="AD408" s="131">
        <f t="shared" si="85"/>
        <v>0</v>
      </c>
      <c r="AE408" s="131">
        <f t="shared" si="86"/>
        <v>0</v>
      </c>
      <c r="AF408" s="131">
        <f t="shared" si="87"/>
        <v>0</v>
      </c>
      <c r="AG408" s="140">
        <f t="shared" si="88"/>
        <v>0</v>
      </c>
      <c r="AH408" s="140">
        <f t="shared" si="89"/>
        <v>0</v>
      </c>
      <c r="AI408" s="140">
        <f t="shared" si="90"/>
        <v>0</v>
      </c>
      <c r="AJ408" s="131">
        <f t="shared" si="91"/>
        <v>0</v>
      </c>
      <c r="AK408" s="131">
        <f t="shared" si="92"/>
        <v>0</v>
      </c>
      <c r="AL408" s="127">
        <f t="shared" si="97"/>
        <v>0</v>
      </c>
      <c r="AM408" s="140">
        <f t="shared" si="93"/>
        <v>0</v>
      </c>
      <c r="AN408" s="140">
        <f t="shared" si="94"/>
        <v>0</v>
      </c>
      <c r="AO408" s="140">
        <f t="shared" si="95"/>
        <v>0</v>
      </c>
      <c r="AP408" s="140">
        <f t="shared" si="96"/>
        <v>0</v>
      </c>
    </row>
    <row r="409" spans="2:42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AC409" s="131">
        <f t="shared" si="84"/>
        <v>0</v>
      </c>
      <c r="AD409" s="131">
        <f t="shared" si="85"/>
        <v>0</v>
      </c>
      <c r="AE409" s="131">
        <f t="shared" si="86"/>
        <v>0</v>
      </c>
      <c r="AF409" s="131">
        <f t="shared" si="87"/>
        <v>0</v>
      </c>
      <c r="AG409" s="140">
        <f t="shared" si="88"/>
        <v>0</v>
      </c>
      <c r="AH409" s="140">
        <f t="shared" si="89"/>
        <v>0</v>
      </c>
      <c r="AI409" s="140">
        <f t="shared" si="90"/>
        <v>0</v>
      </c>
      <c r="AJ409" s="131">
        <f t="shared" si="91"/>
        <v>0</v>
      </c>
      <c r="AK409" s="131">
        <f t="shared" si="92"/>
        <v>0</v>
      </c>
      <c r="AL409" s="127">
        <f t="shared" si="97"/>
        <v>0</v>
      </c>
      <c r="AM409" s="140">
        <f t="shared" si="93"/>
        <v>0</v>
      </c>
      <c r="AN409" s="140">
        <f t="shared" si="94"/>
        <v>0</v>
      </c>
      <c r="AO409" s="140">
        <f t="shared" si="95"/>
        <v>0</v>
      </c>
      <c r="AP409" s="140">
        <f t="shared" si="96"/>
        <v>0</v>
      </c>
    </row>
    <row r="410" spans="2:42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AC410" s="131">
        <f t="shared" si="84"/>
        <v>0</v>
      </c>
      <c r="AD410" s="131">
        <f t="shared" si="85"/>
        <v>0</v>
      </c>
      <c r="AE410" s="131">
        <f t="shared" si="86"/>
        <v>0</v>
      </c>
      <c r="AF410" s="131">
        <f t="shared" si="87"/>
        <v>0</v>
      </c>
      <c r="AG410" s="140">
        <f t="shared" si="88"/>
        <v>0</v>
      </c>
      <c r="AH410" s="140">
        <f t="shared" si="89"/>
        <v>0</v>
      </c>
      <c r="AI410" s="140">
        <f t="shared" si="90"/>
        <v>0</v>
      </c>
      <c r="AJ410" s="131">
        <f t="shared" si="91"/>
        <v>0</v>
      </c>
      <c r="AK410" s="131">
        <f t="shared" si="92"/>
        <v>0</v>
      </c>
      <c r="AL410" s="127">
        <f t="shared" si="97"/>
        <v>0</v>
      </c>
      <c r="AM410" s="140">
        <f t="shared" si="93"/>
        <v>0</v>
      </c>
      <c r="AN410" s="140">
        <f t="shared" si="94"/>
        <v>0</v>
      </c>
      <c r="AO410" s="140">
        <f t="shared" si="95"/>
        <v>0</v>
      </c>
      <c r="AP410" s="140">
        <f t="shared" si="96"/>
        <v>0</v>
      </c>
    </row>
    <row r="411" spans="2:42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AC411" s="131">
        <f t="shared" si="84"/>
        <v>0</v>
      </c>
      <c r="AD411" s="131">
        <f t="shared" si="85"/>
        <v>0</v>
      </c>
      <c r="AE411" s="131">
        <f t="shared" si="86"/>
        <v>0</v>
      </c>
      <c r="AF411" s="131">
        <f t="shared" si="87"/>
        <v>0</v>
      </c>
      <c r="AG411" s="140">
        <f t="shared" si="88"/>
        <v>0</v>
      </c>
      <c r="AH411" s="140">
        <f t="shared" si="89"/>
        <v>0</v>
      </c>
      <c r="AI411" s="140">
        <f t="shared" si="90"/>
        <v>0</v>
      </c>
      <c r="AJ411" s="131">
        <f t="shared" si="91"/>
        <v>0</v>
      </c>
      <c r="AK411" s="131">
        <f t="shared" si="92"/>
        <v>0</v>
      </c>
      <c r="AL411" s="127">
        <f t="shared" si="97"/>
        <v>0</v>
      </c>
      <c r="AM411" s="140">
        <f t="shared" si="93"/>
        <v>0</v>
      </c>
      <c r="AN411" s="140">
        <f t="shared" si="94"/>
        <v>0</v>
      </c>
      <c r="AO411" s="140">
        <f t="shared" si="95"/>
        <v>0</v>
      </c>
      <c r="AP411" s="140">
        <f t="shared" si="96"/>
        <v>0</v>
      </c>
    </row>
    <row r="412" spans="2:42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AC412" s="131">
        <f t="shared" si="84"/>
        <v>0</v>
      </c>
      <c r="AD412" s="131">
        <f t="shared" si="85"/>
        <v>0</v>
      </c>
      <c r="AE412" s="131">
        <f t="shared" si="86"/>
        <v>0</v>
      </c>
      <c r="AF412" s="131">
        <f t="shared" si="87"/>
        <v>0</v>
      </c>
      <c r="AG412" s="140">
        <f t="shared" si="88"/>
        <v>0</v>
      </c>
      <c r="AH412" s="140">
        <f t="shared" si="89"/>
        <v>0</v>
      </c>
      <c r="AI412" s="140">
        <f t="shared" si="90"/>
        <v>0</v>
      </c>
      <c r="AJ412" s="131">
        <f t="shared" si="91"/>
        <v>0</v>
      </c>
      <c r="AK412" s="131">
        <f t="shared" si="92"/>
        <v>0</v>
      </c>
      <c r="AL412" s="127">
        <f t="shared" si="97"/>
        <v>0</v>
      </c>
      <c r="AM412" s="140">
        <f t="shared" si="93"/>
        <v>0</v>
      </c>
      <c r="AN412" s="140">
        <f t="shared" si="94"/>
        <v>0</v>
      </c>
      <c r="AO412" s="140">
        <f t="shared" si="95"/>
        <v>0</v>
      </c>
      <c r="AP412" s="140">
        <f t="shared" si="96"/>
        <v>0</v>
      </c>
    </row>
    <row r="413" spans="2:42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AC413" s="131">
        <f t="shared" si="84"/>
        <v>0</v>
      </c>
      <c r="AD413" s="131">
        <f t="shared" si="85"/>
        <v>0</v>
      </c>
      <c r="AE413" s="131">
        <f t="shared" si="86"/>
        <v>0</v>
      </c>
      <c r="AF413" s="131">
        <f t="shared" si="87"/>
        <v>0</v>
      </c>
      <c r="AG413" s="140">
        <f t="shared" si="88"/>
        <v>0</v>
      </c>
      <c r="AH413" s="140">
        <f t="shared" si="89"/>
        <v>0</v>
      </c>
      <c r="AI413" s="140">
        <f t="shared" si="90"/>
        <v>0</v>
      </c>
      <c r="AJ413" s="131">
        <f t="shared" si="91"/>
        <v>0</v>
      </c>
      <c r="AK413" s="131">
        <f t="shared" si="92"/>
        <v>0</v>
      </c>
      <c r="AL413" s="127">
        <f t="shared" si="97"/>
        <v>0</v>
      </c>
      <c r="AM413" s="140">
        <f t="shared" si="93"/>
        <v>0</v>
      </c>
      <c r="AN413" s="140">
        <f t="shared" si="94"/>
        <v>0</v>
      </c>
      <c r="AO413" s="140">
        <f t="shared" si="95"/>
        <v>0</v>
      </c>
      <c r="AP413" s="140">
        <f t="shared" si="96"/>
        <v>0</v>
      </c>
    </row>
    <row r="414" spans="2:42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AC414" s="131">
        <f t="shared" si="84"/>
        <v>0</v>
      </c>
      <c r="AD414" s="131">
        <f t="shared" si="85"/>
        <v>0</v>
      </c>
      <c r="AE414" s="131">
        <f t="shared" si="86"/>
        <v>0</v>
      </c>
      <c r="AF414" s="131">
        <f t="shared" si="87"/>
        <v>0</v>
      </c>
      <c r="AG414" s="140">
        <f t="shared" si="88"/>
        <v>0</v>
      </c>
      <c r="AH414" s="140">
        <f t="shared" si="89"/>
        <v>0</v>
      </c>
      <c r="AI414" s="140">
        <f t="shared" si="90"/>
        <v>0</v>
      </c>
      <c r="AJ414" s="131">
        <f t="shared" si="91"/>
        <v>0</v>
      </c>
      <c r="AK414" s="131">
        <f t="shared" si="92"/>
        <v>0</v>
      </c>
      <c r="AL414" s="127">
        <f t="shared" si="97"/>
        <v>0</v>
      </c>
      <c r="AM414" s="140">
        <f t="shared" si="93"/>
        <v>0</v>
      </c>
      <c r="AN414" s="140">
        <f t="shared" si="94"/>
        <v>0</v>
      </c>
      <c r="AO414" s="140">
        <f t="shared" si="95"/>
        <v>0</v>
      </c>
      <c r="AP414" s="140">
        <f t="shared" si="96"/>
        <v>0</v>
      </c>
    </row>
    <row r="415" spans="2:42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AC415" s="131">
        <f t="shared" si="84"/>
        <v>0</v>
      </c>
      <c r="AD415" s="131">
        <f t="shared" si="85"/>
        <v>0</v>
      </c>
      <c r="AE415" s="131">
        <f t="shared" si="86"/>
        <v>0</v>
      </c>
      <c r="AF415" s="131">
        <f t="shared" si="87"/>
        <v>0</v>
      </c>
      <c r="AG415" s="140">
        <f t="shared" si="88"/>
        <v>0</v>
      </c>
      <c r="AH415" s="140">
        <f t="shared" si="89"/>
        <v>0</v>
      </c>
      <c r="AI415" s="140">
        <f t="shared" si="90"/>
        <v>0</v>
      </c>
      <c r="AJ415" s="131">
        <f t="shared" si="91"/>
        <v>0</v>
      </c>
      <c r="AK415" s="131">
        <f t="shared" si="92"/>
        <v>0</v>
      </c>
      <c r="AL415" s="127">
        <f t="shared" si="97"/>
        <v>0</v>
      </c>
      <c r="AM415" s="140">
        <f t="shared" si="93"/>
        <v>0</v>
      </c>
      <c r="AN415" s="140">
        <f t="shared" si="94"/>
        <v>0</v>
      </c>
      <c r="AO415" s="140">
        <f t="shared" si="95"/>
        <v>0</v>
      </c>
      <c r="AP415" s="140">
        <f t="shared" si="96"/>
        <v>0</v>
      </c>
    </row>
    <row r="416" spans="2:42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AC416" s="131">
        <f t="shared" si="84"/>
        <v>0</v>
      </c>
      <c r="AD416" s="131">
        <f t="shared" si="85"/>
        <v>0</v>
      </c>
      <c r="AE416" s="131">
        <f t="shared" si="86"/>
        <v>0</v>
      </c>
      <c r="AF416" s="131">
        <f t="shared" si="87"/>
        <v>0</v>
      </c>
      <c r="AG416" s="140">
        <f t="shared" si="88"/>
        <v>0</v>
      </c>
      <c r="AH416" s="140">
        <f t="shared" si="89"/>
        <v>0</v>
      </c>
      <c r="AI416" s="140">
        <f t="shared" si="90"/>
        <v>0</v>
      </c>
      <c r="AJ416" s="131">
        <f t="shared" si="91"/>
        <v>0</v>
      </c>
      <c r="AK416" s="131">
        <f t="shared" si="92"/>
        <v>0</v>
      </c>
      <c r="AL416" s="127">
        <f t="shared" si="97"/>
        <v>0</v>
      </c>
      <c r="AM416" s="140">
        <f t="shared" si="93"/>
        <v>0</v>
      </c>
      <c r="AN416" s="140">
        <f t="shared" si="94"/>
        <v>0</v>
      </c>
      <c r="AO416" s="140">
        <f t="shared" si="95"/>
        <v>0</v>
      </c>
      <c r="AP416" s="140">
        <f t="shared" si="96"/>
        <v>0</v>
      </c>
    </row>
    <row r="417" spans="2:42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AC417" s="131">
        <f t="shared" si="84"/>
        <v>0</v>
      </c>
      <c r="AD417" s="131">
        <f t="shared" si="85"/>
        <v>0</v>
      </c>
      <c r="AE417" s="131">
        <f t="shared" si="86"/>
        <v>0</v>
      </c>
      <c r="AF417" s="131">
        <f t="shared" si="87"/>
        <v>0</v>
      </c>
      <c r="AG417" s="140">
        <f t="shared" si="88"/>
        <v>0</v>
      </c>
      <c r="AH417" s="140">
        <f t="shared" si="89"/>
        <v>0</v>
      </c>
      <c r="AI417" s="140">
        <f t="shared" si="90"/>
        <v>0</v>
      </c>
      <c r="AJ417" s="131">
        <f t="shared" si="91"/>
        <v>0</v>
      </c>
      <c r="AK417" s="131">
        <f t="shared" si="92"/>
        <v>0</v>
      </c>
      <c r="AL417" s="127">
        <f t="shared" si="97"/>
        <v>0</v>
      </c>
      <c r="AM417" s="140">
        <f t="shared" si="93"/>
        <v>0</v>
      </c>
      <c r="AN417" s="140">
        <f t="shared" si="94"/>
        <v>0</v>
      </c>
      <c r="AO417" s="140">
        <f t="shared" si="95"/>
        <v>0</v>
      </c>
      <c r="AP417" s="140">
        <f t="shared" si="96"/>
        <v>0</v>
      </c>
    </row>
    <row r="418" spans="2:42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AC418" s="131">
        <f t="shared" si="84"/>
        <v>0</v>
      </c>
      <c r="AD418" s="131">
        <f t="shared" si="85"/>
        <v>0</v>
      </c>
      <c r="AE418" s="131">
        <f t="shared" si="86"/>
        <v>0</v>
      </c>
      <c r="AF418" s="131">
        <f t="shared" si="87"/>
        <v>0</v>
      </c>
      <c r="AG418" s="140">
        <f t="shared" si="88"/>
        <v>0</v>
      </c>
      <c r="AH418" s="140">
        <f t="shared" si="89"/>
        <v>0</v>
      </c>
      <c r="AI418" s="140">
        <f t="shared" si="90"/>
        <v>0</v>
      </c>
      <c r="AJ418" s="131">
        <f t="shared" si="91"/>
        <v>0</v>
      </c>
      <c r="AK418" s="131">
        <f t="shared" si="92"/>
        <v>0</v>
      </c>
      <c r="AL418" s="127">
        <f t="shared" si="97"/>
        <v>0</v>
      </c>
      <c r="AM418" s="140">
        <f t="shared" si="93"/>
        <v>0</v>
      </c>
      <c r="AN418" s="140">
        <f t="shared" si="94"/>
        <v>0</v>
      </c>
      <c r="AO418" s="140">
        <f t="shared" si="95"/>
        <v>0</v>
      </c>
      <c r="AP418" s="140">
        <f t="shared" si="96"/>
        <v>0</v>
      </c>
    </row>
    <row r="419" spans="2:42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AC419" s="131">
        <f t="shared" si="84"/>
        <v>0</v>
      </c>
      <c r="AD419" s="131">
        <f t="shared" si="85"/>
        <v>0</v>
      </c>
      <c r="AE419" s="131">
        <f t="shared" si="86"/>
        <v>0</v>
      </c>
      <c r="AF419" s="131">
        <f t="shared" si="87"/>
        <v>0</v>
      </c>
      <c r="AG419" s="140">
        <f t="shared" si="88"/>
        <v>0</v>
      </c>
      <c r="AH419" s="140">
        <f t="shared" si="89"/>
        <v>0</v>
      </c>
      <c r="AI419" s="140">
        <f t="shared" si="90"/>
        <v>0</v>
      </c>
      <c r="AJ419" s="131">
        <f t="shared" si="91"/>
        <v>0</v>
      </c>
      <c r="AK419" s="131">
        <f t="shared" si="92"/>
        <v>0</v>
      </c>
      <c r="AL419" s="127">
        <f t="shared" si="97"/>
        <v>0</v>
      </c>
      <c r="AM419" s="140">
        <f t="shared" si="93"/>
        <v>0</v>
      </c>
      <c r="AN419" s="140">
        <f t="shared" si="94"/>
        <v>0</v>
      </c>
      <c r="AO419" s="140">
        <f t="shared" si="95"/>
        <v>0</v>
      </c>
      <c r="AP419" s="140">
        <f t="shared" si="96"/>
        <v>0</v>
      </c>
    </row>
    <row r="420" spans="2:42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AC420" s="131">
        <f t="shared" si="84"/>
        <v>0</v>
      </c>
      <c r="AD420" s="131">
        <f t="shared" si="85"/>
        <v>0</v>
      </c>
      <c r="AE420" s="131">
        <f t="shared" si="86"/>
        <v>0</v>
      </c>
      <c r="AF420" s="131">
        <f t="shared" si="87"/>
        <v>0</v>
      </c>
      <c r="AG420" s="140">
        <f t="shared" si="88"/>
        <v>0</v>
      </c>
      <c r="AH420" s="140">
        <f t="shared" si="89"/>
        <v>0</v>
      </c>
      <c r="AI420" s="140">
        <f t="shared" si="90"/>
        <v>0</v>
      </c>
      <c r="AJ420" s="131">
        <f t="shared" si="91"/>
        <v>0</v>
      </c>
      <c r="AK420" s="131">
        <f t="shared" si="92"/>
        <v>0</v>
      </c>
      <c r="AL420" s="127">
        <f t="shared" si="97"/>
        <v>0</v>
      </c>
      <c r="AM420" s="140">
        <f t="shared" si="93"/>
        <v>0</v>
      </c>
      <c r="AN420" s="140">
        <f t="shared" si="94"/>
        <v>0</v>
      </c>
      <c r="AO420" s="140">
        <f t="shared" si="95"/>
        <v>0</v>
      </c>
      <c r="AP420" s="140">
        <f t="shared" si="96"/>
        <v>0</v>
      </c>
    </row>
    <row r="421" spans="2:42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AC421" s="131">
        <f t="shared" si="84"/>
        <v>0</v>
      </c>
      <c r="AD421" s="131">
        <f t="shared" si="85"/>
        <v>0</v>
      </c>
      <c r="AE421" s="131">
        <f t="shared" si="86"/>
        <v>0</v>
      </c>
      <c r="AF421" s="131">
        <f t="shared" si="87"/>
        <v>0</v>
      </c>
      <c r="AG421" s="140">
        <f t="shared" si="88"/>
        <v>0</v>
      </c>
      <c r="AH421" s="140">
        <f t="shared" si="89"/>
        <v>0</v>
      </c>
      <c r="AI421" s="140">
        <f t="shared" si="90"/>
        <v>0</v>
      </c>
      <c r="AJ421" s="131">
        <f t="shared" si="91"/>
        <v>0</v>
      </c>
      <c r="AK421" s="131">
        <f t="shared" si="92"/>
        <v>0</v>
      </c>
      <c r="AL421" s="127">
        <f t="shared" si="97"/>
        <v>0</v>
      </c>
      <c r="AM421" s="140">
        <f t="shared" si="93"/>
        <v>0</v>
      </c>
      <c r="AN421" s="140">
        <f t="shared" si="94"/>
        <v>0</v>
      </c>
      <c r="AO421" s="140">
        <f t="shared" si="95"/>
        <v>0</v>
      </c>
      <c r="AP421" s="140">
        <f t="shared" si="96"/>
        <v>0</v>
      </c>
    </row>
    <row r="422" spans="2:42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AC422" s="131">
        <f t="shared" si="84"/>
        <v>0</v>
      </c>
      <c r="AD422" s="131">
        <f t="shared" si="85"/>
        <v>0</v>
      </c>
      <c r="AE422" s="131">
        <f t="shared" si="86"/>
        <v>0</v>
      </c>
      <c r="AF422" s="131">
        <f t="shared" si="87"/>
        <v>0</v>
      </c>
      <c r="AG422" s="140">
        <f t="shared" si="88"/>
        <v>0</v>
      </c>
      <c r="AH422" s="140">
        <f t="shared" si="89"/>
        <v>0</v>
      </c>
      <c r="AI422" s="140">
        <f t="shared" si="90"/>
        <v>0</v>
      </c>
      <c r="AJ422" s="131">
        <f t="shared" si="91"/>
        <v>0</v>
      </c>
      <c r="AK422" s="131">
        <f t="shared" si="92"/>
        <v>0</v>
      </c>
      <c r="AL422" s="127">
        <f t="shared" si="97"/>
        <v>0</v>
      </c>
      <c r="AM422" s="140">
        <f t="shared" si="93"/>
        <v>0</v>
      </c>
      <c r="AN422" s="140">
        <f t="shared" si="94"/>
        <v>0</v>
      </c>
      <c r="AO422" s="140">
        <f t="shared" si="95"/>
        <v>0</v>
      </c>
      <c r="AP422" s="140">
        <f t="shared" si="96"/>
        <v>0</v>
      </c>
    </row>
    <row r="423" spans="2:42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AC423" s="131">
        <f t="shared" si="84"/>
        <v>0</v>
      </c>
      <c r="AD423" s="131">
        <f t="shared" si="85"/>
        <v>0</v>
      </c>
      <c r="AE423" s="131">
        <f t="shared" si="86"/>
        <v>0</v>
      </c>
      <c r="AF423" s="131">
        <f t="shared" si="87"/>
        <v>0</v>
      </c>
      <c r="AG423" s="140">
        <f t="shared" si="88"/>
        <v>0</v>
      </c>
      <c r="AH423" s="140">
        <f t="shared" si="89"/>
        <v>0</v>
      </c>
      <c r="AI423" s="140">
        <f t="shared" si="90"/>
        <v>0</v>
      </c>
      <c r="AJ423" s="131">
        <f t="shared" si="91"/>
        <v>0</v>
      </c>
      <c r="AK423" s="131">
        <f t="shared" si="92"/>
        <v>0</v>
      </c>
      <c r="AL423" s="127">
        <f t="shared" si="97"/>
        <v>0</v>
      </c>
      <c r="AM423" s="140">
        <f t="shared" si="93"/>
        <v>0</v>
      </c>
      <c r="AN423" s="140">
        <f t="shared" si="94"/>
        <v>0</v>
      </c>
      <c r="AO423" s="140">
        <f t="shared" si="95"/>
        <v>0</v>
      </c>
      <c r="AP423" s="140">
        <f t="shared" si="96"/>
        <v>0</v>
      </c>
    </row>
    <row r="424" spans="2:42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AC424" s="131">
        <f t="shared" si="84"/>
        <v>0</v>
      </c>
      <c r="AD424" s="131">
        <f t="shared" si="85"/>
        <v>0</v>
      </c>
      <c r="AE424" s="131">
        <f t="shared" si="86"/>
        <v>0</v>
      </c>
      <c r="AF424" s="131">
        <f t="shared" si="87"/>
        <v>0</v>
      </c>
      <c r="AG424" s="140">
        <f t="shared" si="88"/>
        <v>0</v>
      </c>
      <c r="AH424" s="140">
        <f t="shared" si="89"/>
        <v>0</v>
      </c>
      <c r="AI424" s="140">
        <f t="shared" si="90"/>
        <v>0</v>
      </c>
      <c r="AJ424" s="131">
        <f t="shared" si="91"/>
        <v>0</v>
      </c>
      <c r="AK424" s="131">
        <f t="shared" si="92"/>
        <v>0</v>
      </c>
      <c r="AL424" s="127">
        <f t="shared" si="97"/>
        <v>0</v>
      </c>
      <c r="AM424" s="140">
        <f t="shared" si="93"/>
        <v>0</v>
      </c>
      <c r="AN424" s="140">
        <f t="shared" si="94"/>
        <v>0</v>
      </c>
      <c r="AO424" s="140">
        <f t="shared" si="95"/>
        <v>0</v>
      </c>
      <c r="AP424" s="140">
        <f t="shared" si="96"/>
        <v>0</v>
      </c>
    </row>
    <row r="425" spans="2:42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AC425" s="131">
        <f t="shared" si="84"/>
        <v>0</v>
      </c>
      <c r="AD425" s="131">
        <f t="shared" si="85"/>
        <v>0</v>
      </c>
      <c r="AE425" s="131">
        <f t="shared" si="86"/>
        <v>0</v>
      </c>
      <c r="AF425" s="131">
        <f t="shared" si="87"/>
        <v>0</v>
      </c>
      <c r="AG425" s="140">
        <f t="shared" si="88"/>
        <v>0</v>
      </c>
      <c r="AH425" s="140">
        <f t="shared" si="89"/>
        <v>0</v>
      </c>
      <c r="AI425" s="140">
        <f t="shared" si="90"/>
        <v>0</v>
      </c>
      <c r="AJ425" s="131">
        <f t="shared" si="91"/>
        <v>0</v>
      </c>
      <c r="AK425" s="131">
        <f t="shared" si="92"/>
        <v>0</v>
      </c>
      <c r="AL425" s="127">
        <f t="shared" si="97"/>
        <v>0</v>
      </c>
      <c r="AM425" s="140">
        <f t="shared" si="93"/>
        <v>0</v>
      </c>
      <c r="AN425" s="140">
        <f t="shared" si="94"/>
        <v>0</v>
      </c>
      <c r="AO425" s="140">
        <f t="shared" si="95"/>
        <v>0</v>
      </c>
      <c r="AP425" s="140">
        <f t="shared" si="96"/>
        <v>0</v>
      </c>
    </row>
    <row r="426" spans="2:42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AC426" s="131">
        <f t="shared" si="84"/>
        <v>0</v>
      </c>
      <c r="AD426" s="131">
        <f t="shared" si="85"/>
        <v>0</v>
      </c>
      <c r="AE426" s="131">
        <f t="shared" si="86"/>
        <v>0</v>
      </c>
      <c r="AF426" s="131">
        <f t="shared" si="87"/>
        <v>0</v>
      </c>
      <c r="AG426" s="140">
        <f t="shared" si="88"/>
        <v>0</v>
      </c>
      <c r="AH426" s="140">
        <f t="shared" si="89"/>
        <v>0</v>
      </c>
      <c r="AI426" s="140">
        <f t="shared" si="90"/>
        <v>0</v>
      </c>
      <c r="AJ426" s="131">
        <f t="shared" si="91"/>
        <v>0</v>
      </c>
      <c r="AK426" s="131">
        <f t="shared" si="92"/>
        <v>0</v>
      </c>
      <c r="AL426" s="127">
        <f t="shared" si="97"/>
        <v>0</v>
      </c>
      <c r="AM426" s="140">
        <f t="shared" si="93"/>
        <v>0</v>
      </c>
      <c r="AN426" s="140">
        <f t="shared" si="94"/>
        <v>0</v>
      </c>
      <c r="AO426" s="140">
        <f t="shared" si="95"/>
        <v>0</v>
      </c>
      <c r="AP426" s="140">
        <f t="shared" si="96"/>
        <v>0</v>
      </c>
    </row>
    <row r="427" spans="2:42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AC427" s="131">
        <f t="shared" si="84"/>
        <v>0</v>
      </c>
      <c r="AD427" s="131">
        <f t="shared" si="85"/>
        <v>0</v>
      </c>
      <c r="AE427" s="131">
        <f t="shared" si="86"/>
        <v>0</v>
      </c>
      <c r="AF427" s="131">
        <f t="shared" si="87"/>
        <v>0</v>
      </c>
      <c r="AG427" s="140">
        <f t="shared" si="88"/>
        <v>0</v>
      </c>
      <c r="AH427" s="140">
        <f t="shared" si="89"/>
        <v>0</v>
      </c>
      <c r="AI427" s="140">
        <f t="shared" si="90"/>
        <v>0</v>
      </c>
      <c r="AJ427" s="131">
        <f t="shared" si="91"/>
        <v>0</v>
      </c>
      <c r="AK427" s="131">
        <f t="shared" si="92"/>
        <v>0</v>
      </c>
      <c r="AL427" s="127">
        <f t="shared" si="97"/>
        <v>0</v>
      </c>
      <c r="AM427" s="140">
        <f t="shared" si="93"/>
        <v>0</v>
      </c>
      <c r="AN427" s="140">
        <f t="shared" si="94"/>
        <v>0</v>
      </c>
      <c r="AO427" s="140">
        <f t="shared" si="95"/>
        <v>0</v>
      </c>
      <c r="AP427" s="140">
        <f t="shared" si="96"/>
        <v>0</v>
      </c>
    </row>
    <row r="428" spans="2:42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AC428" s="131">
        <f t="shared" si="84"/>
        <v>0</v>
      </c>
      <c r="AD428" s="131">
        <f t="shared" si="85"/>
        <v>0</v>
      </c>
      <c r="AE428" s="131">
        <f t="shared" si="86"/>
        <v>0</v>
      </c>
      <c r="AF428" s="131">
        <f t="shared" si="87"/>
        <v>0</v>
      </c>
      <c r="AG428" s="140">
        <f t="shared" si="88"/>
        <v>0</v>
      </c>
      <c r="AH428" s="140">
        <f t="shared" si="89"/>
        <v>0</v>
      </c>
      <c r="AI428" s="140">
        <f t="shared" si="90"/>
        <v>0</v>
      </c>
      <c r="AJ428" s="131">
        <f t="shared" si="91"/>
        <v>0</v>
      </c>
      <c r="AK428" s="131">
        <f t="shared" si="92"/>
        <v>0</v>
      </c>
      <c r="AL428" s="127">
        <f t="shared" si="97"/>
        <v>0</v>
      </c>
      <c r="AM428" s="140">
        <f t="shared" si="93"/>
        <v>0</v>
      </c>
      <c r="AN428" s="140">
        <f t="shared" si="94"/>
        <v>0</v>
      </c>
      <c r="AO428" s="140">
        <f t="shared" si="95"/>
        <v>0</v>
      </c>
      <c r="AP428" s="140">
        <f t="shared" si="96"/>
        <v>0</v>
      </c>
    </row>
    <row r="429" spans="2:42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AC429" s="131">
        <f t="shared" si="84"/>
        <v>0</v>
      </c>
      <c r="AD429" s="131">
        <f t="shared" si="85"/>
        <v>0</v>
      </c>
      <c r="AE429" s="131">
        <f t="shared" si="86"/>
        <v>0</v>
      </c>
      <c r="AF429" s="131">
        <f t="shared" si="87"/>
        <v>0</v>
      </c>
      <c r="AG429" s="140">
        <f t="shared" si="88"/>
        <v>0</v>
      </c>
      <c r="AH429" s="140">
        <f t="shared" si="89"/>
        <v>0</v>
      </c>
      <c r="AI429" s="140">
        <f t="shared" si="90"/>
        <v>0</v>
      </c>
      <c r="AJ429" s="131">
        <f t="shared" si="91"/>
        <v>0</v>
      </c>
      <c r="AK429" s="131">
        <f t="shared" si="92"/>
        <v>0</v>
      </c>
      <c r="AL429" s="127">
        <f t="shared" si="97"/>
        <v>0</v>
      </c>
      <c r="AM429" s="140">
        <f t="shared" si="93"/>
        <v>0</v>
      </c>
      <c r="AN429" s="140">
        <f t="shared" si="94"/>
        <v>0</v>
      </c>
      <c r="AO429" s="140">
        <f t="shared" si="95"/>
        <v>0</v>
      </c>
      <c r="AP429" s="140">
        <f t="shared" si="96"/>
        <v>0</v>
      </c>
    </row>
    <row r="430" spans="2:42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AC430" s="131">
        <f t="shared" si="84"/>
        <v>0</v>
      </c>
      <c r="AD430" s="131">
        <f t="shared" si="85"/>
        <v>0</v>
      </c>
      <c r="AE430" s="131">
        <f t="shared" si="86"/>
        <v>0</v>
      </c>
      <c r="AF430" s="131">
        <f t="shared" si="87"/>
        <v>0</v>
      </c>
      <c r="AG430" s="140">
        <f t="shared" si="88"/>
        <v>0</v>
      </c>
      <c r="AH430" s="140">
        <f t="shared" si="89"/>
        <v>0</v>
      </c>
      <c r="AI430" s="140">
        <f t="shared" si="90"/>
        <v>0</v>
      </c>
      <c r="AJ430" s="131">
        <f t="shared" si="91"/>
        <v>0</v>
      </c>
      <c r="AK430" s="131">
        <f t="shared" si="92"/>
        <v>0</v>
      </c>
      <c r="AL430" s="127">
        <f t="shared" si="97"/>
        <v>0</v>
      </c>
      <c r="AM430" s="140">
        <f t="shared" si="93"/>
        <v>0</v>
      </c>
      <c r="AN430" s="140">
        <f t="shared" si="94"/>
        <v>0</v>
      </c>
      <c r="AO430" s="140">
        <f t="shared" si="95"/>
        <v>0</v>
      </c>
      <c r="AP430" s="140">
        <f t="shared" si="96"/>
        <v>0</v>
      </c>
    </row>
    <row r="431" spans="2:42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AC431" s="131">
        <f t="shared" si="84"/>
        <v>0</v>
      </c>
      <c r="AD431" s="131">
        <f t="shared" si="85"/>
        <v>0</v>
      </c>
      <c r="AE431" s="131">
        <f t="shared" si="86"/>
        <v>0</v>
      </c>
      <c r="AF431" s="131">
        <f t="shared" si="87"/>
        <v>0</v>
      </c>
      <c r="AG431" s="140">
        <f t="shared" si="88"/>
        <v>0</v>
      </c>
      <c r="AH431" s="140">
        <f t="shared" si="89"/>
        <v>0</v>
      </c>
      <c r="AI431" s="140">
        <f t="shared" si="90"/>
        <v>0</v>
      </c>
      <c r="AJ431" s="131">
        <f t="shared" si="91"/>
        <v>0</v>
      </c>
      <c r="AK431" s="131">
        <f t="shared" si="92"/>
        <v>0</v>
      </c>
      <c r="AL431" s="127">
        <f t="shared" si="97"/>
        <v>0</v>
      </c>
      <c r="AM431" s="140">
        <f t="shared" si="93"/>
        <v>0</v>
      </c>
      <c r="AN431" s="140">
        <f t="shared" si="94"/>
        <v>0</v>
      </c>
      <c r="AO431" s="140">
        <f t="shared" si="95"/>
        <v>0</v>
      </c>
      <c r="AP431" s="140">
        <f t="shared" si="96"/>
        <v>0</v>
      </c>
    </row>
    <row r="432" spans="2:42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AC432" s="131">
        <f t="shared" si="84"/>
        <v>0</v>
      </c>
      <c r="AD432" s="131">
        <f t="shared" si="85"/>
        <v>0</v>
      </c>
      <c r="AE432" s="131">
        <f t="shared" si="86"/>
        <v>0</v>
      </c>
      <c r="AF432" s="131">
        <f t="shared" si="87"/>
        <v>0</v>
      </c>
      <c r="AG432" s="140">
        <f t="shared" si="88"/>
        <v>0</v>
      </c>
      <c r="AH432" s="140">
        <f t="shared" si="89"/>
        <v>0</v>
      </c>
      <c r="AI432" s="140">
        <f t="shared" si="90"/>
        <v>0</v>
      </c>
      <c r="AJ432" s="131">
        <f t="shared" si="91"/>
        <v>0</v>
      </c>
      <c r="AK432" s="131">
        <f t="shared" si="92"/>
        <v>0</v>
      </c>
      <c r="AL432" s="127">
        <f t="shared" si="97"/>
        <v>0</v>
      </c>
      <c r="AM432" s="140">
        <f t="shared" si="93"/>
        <v>0</v>
      </c>
      <c r="AN432" s="140">
        <f t="shared" si="94"/>
        <v>0</v>
      </c>
      <c r="AO432" s="140">
        <f t="shared" si="95"/>
        <v>0</v>
      </c>
      <c r="AP432" s="140">
        <f t="shared" si="96"/>
        <v>0</v>
      </c>
    </row>
    <row r="433" spans="2:42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AC433" s="131">
        <f t="shared" si="84"/>
        <v>0</v>
      </c>
      <c r="AD433" s="131">
        <f t="shared" si="85"/>
        <v>0</v>
      </c>
      <c r="AE433" s="131">
        <f t="shared" si="86"/>
        <v>0</v>
      </c>
      <c r="AF433" s="131">
        <f t="shared" si="87"/>
        <v>0</v>
      </c>
      <c r="AG433" s="140">
        <f t="shared" si="88"/>
        <v>0</v>
      </c>
      <c r="AH433" s="140">
        <f t="shared" si="89"/>
        <v>0</v>
      </c>
      <c r="AI433" s="140">
        <f t="shared" si="90"/>
        <v>0</v>
      </c>
      <c r="AJ433" s="131">
        <f t="shared" si="91"/>
        <v>0</v>
      </c>
      <c r="AK433" s="131">
        <f t="shared" si="92"/>
        <v>0</v>
      </c>
      <c r="AL433" s="127">
        <f t="shared" si="97"/>
        <v>0</v>
      </c>
      <c r="AM433" s="140">
        <f t="shared" si="93"/>
        <v>0</v>
      </c>
      <c r="AN433" s="140">
        <f t="shared" si="94"/>
        <v>0</v>
      </c>
      <c r="AO433" s="140">
        <f t="shared" si="95"/>
        <v>0</v>
      </c>
      <c r="AP433" s="140">
        <f t="shared" si="96"/>
        <v>0</v>
      </c>
    </row>
    <row r="434" spans="2:42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AC434" s="131">
        <f t="shared" si="84"/>
        <v>0</v>
      </c>
      <c r="AD434" s="131">
        <f t="shared" si="85"/>
        <v>0</v>
      </c>
      <c r="AE434" s="131">
        <f t="shared" si="86"/>
        <v>0</v>
      </c>
      <c r="AF434" s="131">
        <f t="shared" si="87"/>
        <v>0</v>
      </c>
      <c r="AG434" s="140">
        <f t="shared" si="88"/>
        <v>0</v>
      </c>
      <c r="AH434" s="140">
        <f t="shared" si="89"/>
        <v>0</v>
      </c>
      <c r="AI434" s="140">
        <f t="shared" si="90"/>
        <v>0</v>
      </c>
      <c r="AJ434" s="131">
        <f t="shared" si="91"/>
        <v>0</v>
      </c>
      <c r="AK434" s="131">
        <f t="shared" si="92"/>
        <v>0</v>
      </c>
      <c r="AL434" s="127">
        <f t="shared" si="97"/>
        <v>0</v>
      </c>
      <c r="AM434" s="140">
        <f t="shared" si="93"/>
        <v>0</v>
      </c>
      <c r="AN434" s="140">
        <f t="shared" si="94"/>
        <v>0</v>
      </c>
      <c r="AO434" s="140">
        <f t="shared" si="95"/>
        <v>0</v>
      </c>
      <c r="AP434" s="140">
        <f t="shared" si="96"/>
        <v>0</v>
      </c>
    </row>
    <row r="435" spans="2:42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AC435" s="131">
        <f t="shared" si="84"/>
        <v>0</v>
      </c>
      <c r="AD435" s="131">
        <f t="shared" si="85"/>
        <v>0</v>
      </c>
      <c r="AE435" s="131">
        <f t="shared" si="86"/>
        <v>0</v>
      </c>
      <c r="AF435" s="131">
        <f t="shared" si="87"/>
        <v>0</v>
      </c>
      <c r="AG435" s="140">
        <f t="shared" si="88"/>
        <v>0</v>
      </c>
      <c r="AH435" s="140">
        <f t="shared" si="89"/>
        <v>0</v>
      </c>
      <c r="AI435" s="140">
        <f t="shared" si="90"/>
        <v>0</v>
      </c>
      <c r="AJ435" s="131">
        <f t="shared" si="91"/>
        <v>0</v>
      </c>
      <c r="AK435" s="131">
        <f t="shared" si="92"/>
        <v>0</v>
      </c>
      <c r="AL435" s="127">
        <f t="shared" si="97"/>
        <v>0</v>
      </c>
      <c r="AM435" s="140">
        <f t="shared" si="93"/>
        <v>0</v>
      </c>
      <c r="AN435" s="140">
        <f t="shared" si="94"/>
        <v>0</v>
      </c>
      <c r="AO435" s="140">
        <f t="shared" si="95"/>
        <v>0</v>
      </c>
      <c r="AP435" s="140">
        <f t="shared" si="96"/>
        <v>0</v>
      </c>
    </row>
    <row r="436" spans="2:42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AC436" s="131">
        <f t="shared" si="84"/>
        <v>0</v>
      </c>
      <c r="AD436" s="131">
        <f t="shared" si="85"/>
        <v>0</v>
      </c>
      <c r="AE436" s="131">
        <f t="shared" si="86"/>
        <v>0</v>
      </c>
      <c r="AF436" s="131">
        <f t="shared" si="87"/>
        <v>0</v>
      </c>
      <c r="AG436" s="140">
        <f t="shared" si="88"/>
        <v>0</v>
      </c>
      <c r="AH436" s="140">
        <f t="shared" si="89"/>
        <v>0</v>
      </c>
      <c r="AI436" s="140">
        <f t="shared" si="90"/>
        <v>0</v>
      </c>
      <c r="AJ436" s="131">
        <f t="shared" si="91"/>
        <v>0</v>
      </c>
      <c r="AK436" s="131">
        <f t="shared" si="92"/>
        <v>0</v>
      </c>
      <c r="AL436" s="127">
        <f t="shared" si="97"/>
        <v>0</v>
      </c>
      <c r="AM436" s="140">
        <f t="shared" si="93"/>
        <v>0</v>
      </c>
      <c r="AN436" s="140">
        <f t="shared" si="94"/>
        <v>0</v>
      </c>
      <c r="AO436" s="140">
        <f t="shared" si="95"/>
        <v>0</v>
      </c>
      <c r="AP436" s="140">
        <f t="shared" si="96"/>
        <v>0</v>
      </c>
    </row>
    <row r="437" spans="2:42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AC437" s="131">
        <f t="shared" si="84"/>
        <v>0</v>
      </c>
      <c r="AD437" s="131">
        <f t="shared" si="85"/>
        <v>0</v>
      </c>
      <c r="AE437" s="131">
        <f t="shared" si="86"/>
        <v>0</v>
      </c>
      <c r="AF437" s="131">
        <f t="shared" si="87"/>
        <v>0</v>
      </c>
      <c r="AG437" s="140">
        <f t="shared" si="88"/>
        <v>0</v>
      </c>
      <c r="AH437" s="140">
        <f t="shared" si="89"/>
        <v>0</v>
      </c>
      <c r="AI437" s="140">
        <f t="shared" si="90"/>
        <v>0</v>
      </c>
      <c r="AJ437" s="131">
        <f t="shared" si="91"/>
        <v>0</v>
      </c>
      <c r="AK437" s="131">
        <f t="shared" si="92"/>
        <v>0</v>
      </c>
      <c r="AL437" s="127">
        <f t="shared" si="97"/>
        <v>0</v>
      </c>
      <c r="AM437" s="140">
        <f t="shared" si="93"/>
        <v>0</v>
      </c>
      <c r="AN437" s="140">
        <f t="shared" si="94"/>
        <v>0</v>
      </c>
      <c r="AO437" s="140">
        <f t="shared" si="95"/>
        <v>0</v>
      </c>
      <c r="AP437" s="140">
        <f t="shared" si="96"/>
        <v>0</v>
      </c>
    </row>
    <row r="438" spans="2:42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AC438" s="131">
        <f t="shared" si="84"/>
        <v>0</v>
      </c>
      <c r="AD438" s="131">
        <f t="shared" si="85"/>
        <v>0</v>
      </c>
      <c r="AE438" s="131">
        <f t="shared" si="86"/>
        <v>0</v>
      </c>
      <c r="AF438" s="131">
        <f t="shared" si="87"/>
        <v>0</v>
      </c>
      <c r="AG438" s="140">
        <f t="shared" si="88"/>
        <v>0</v>
      </c>
      <c r="AH438" s="140">
        <f t="shared" si="89"/>
        <v>0</v>
      </c>
      <c r="AI438" s="140">
        <f t="shared" si="90"/>
        <v>0</v>
      </c>
      <c r="AJ438" s="131">
        <f t="shared" si="91"/>
        <v>0</v>
      </c>
      <c r="AK438" s="131">
        <f t="shared" si="92"/>
        <v>0</v>
      </c>
      <c r="AL438" s="127">
        <f t="shared" si="97"/>
        <v>0</v>
      </c>
      <c r="AM438" s="140">
        <f t="shared" si="93"/>
        <v>0</v>
      </c>
      <c r="AN438" s="140">
        <f t="shared" si="94"/>
        <v>0</v>
      </c>
      <c r="AO438" s="140">
        <f t="shared" si="95"/>
        <v>0</v>
      </c>
      <c r="AP438" s="140">
        <f t="shared" si="96"/>
        <v>0</v>
      </c>
    </row>
    <row r="439" spans="2:42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AC439" s="131">
        <f t="shared" si="84"/>
        <v>0</v>
      </c>
      <c r="AD439" s="131">
        <f t="shared" si="85"/>
        <v>0</v>
      </c>
      <c r="AE439" s="131">
        <f t="shared" si="86"/>
        <v>0</v>
      </c>
      <c r="AF439" s="131">
        <f t="shared" si="87"/>
        <v>0</v>
      </c>
      <c r="AG439" s="140">
        <f t="shared" si="88"/>
        <v>0</v>
      </c>
      <c r="AH439" s="140">
        <f t="shared" si="89"/>
        <v>0</v>
      </c>
      <c r="AI439" s="140">
        <f t="shared" si="90"/>
        <v>0</v>
      </c>
      <c r="AJ439" s="131">
        <f t="shared" si="91"/>
        <v>0</v>
      </c>
      <c r="AK439" s="131">
        <f t="shared" si="92"/>
        <v>0</v>
      </c>
      <c r="AL439" s="127">
        <f t="shared" si="97"/>
        <v>0</v>
      </c>
      <c r="AM439" s="140">
        <f t="shared" si="93"/>
        <v>0</v>
      </c>
      <c r="AN439" s="140">
        <f t="shared" si="94"/>
        <v>0</v>
      </c>
      <c r="AO439" s="140">
        <f t="shared" si="95"/>
        <v>0</v>
      </c>
      <c r="AP439" s="140">
        <f t="shared" si="96"/>
        <v>0</v>
      </c>
    </row>
    <row r="440" spans="2:42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AC440" s="131">
        <f t="shared" si="84"/>
        <v>0</v>
      </c>
      <c r="AD440" s="131">
        <f t="shared" si="85"/>
        <v>0</v>
      </c>
      <c r="AE440" s="131">
        <f t="shared" si="86"/>
        <v>0</v>
      </c>
      <c r="AF440" s="131">
        <f t="shared" si="87"/>
        <v>0</v>
      </c>
      <c r="AG440" s="140">
        <f t="shared" si="88"/>
        <v>0</v>
      </c>
      <c r="AH440" s="140">
        <f t="shared" si="89"/>
        <v>0</v>
      </c>
      <c r="AI440" s="140">
        <f t="shared" si="90"/>
        <v>0</v>
      </c>
      <c r="AJ440" s="131">
        <f t="shared" si="91"/>
        <v>0</v>
      </c>
      <c r="AK440" s="131">
        <f t="shared" si="92"/>
        <v>0</v>
      </c>
      <c r="AL440" s="127">
        <f t="shared" si="97"/>
        <v>0</v>
      </c>
      <c r="AM440" s="140">
        <f t="shared" si="93"/>
        <v>0</v>
      </c>
      <c r="AN440" s="140">
        <f t="shared" si="94"/>
        <v>0</v>
      </c>
      <c r="AO440" s="140">
        <f t="shared" si="95"/>
        <v>0</v>
      </c>
      <c r="AP440" s="140">
        <f t="shared" si="96"/>
        <v>0</v>
      </c>
    </row>
    <row r="441" spans="2:42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AC441" s="131">
        <f t="shared" si="84"/>
        <v>0</v>
      </c>
      <c r="AD441" s="131">
        <f t="shared" si="85"/>
        <v>0</v>
      </c>
      <c r="AE441" s="131">
        <f t="shared" si="86"/>
        <v>0</v>
      </c>
      <c r="AF441" s="131">
        <f t="shared" si="87"/>
        <v>0</v>
      </c>
      <c r="AG441" s="140">
        <f t="shared" si="88"/>
        <v>0</v>
      </c>
      <c r="AH441" s="140">
        <f t="shared" si="89"/>
        <v>0</v>
      </c>
      <c r="AI441" s="140">
        <f t="shared" si="90"/>
        <v>0</v>
      </c>
      <c r="AJ441" s="131">
        <f t="shared" si="91"/>
        <v>0</v>
      </c>
      <c r="AK441" s="131">
        <f t="shared" si="92"/>
        <v>0</v>
      </c>
      <c r="AL441" s="127">
        <f t="shared" si="97"/>
        <v>0</v>
      </c>
      <c r="AM441" s="140">
        <f t="shared" si="93"/>
        <v>0</v>
      </c>
      <c r="AN441" s="140">
        <f t="shared" si="94"/>
        <v>0</v>
      </c>
      <c r="AO441" s="140">
        <f t="shared" si="95"/>
        <v>0</v>
      </c>
      <c r="AP441" s="140">
        <f t="shared" si="96"/>
        <v>0</v>
      </c>
    </row>
    <row r="442" spans="2:42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AC442" s="131">
        <f t="shared" si="84"/>
        <v>0</v>
      </c>
      <c r="AD442" s="131">
        <f t="shared" si="85"/>
        <v>0</v>
      </c>
      <c r="AE442" s="131">
        <f t="shared" si="86"/>
        <v>0</v>
      </c>
      <c r="AF442" s="131">
        <f t="shared" si="87"/>
        <v>0</v>
      </c>
      <c r="AG442" s="140">
        <f t="shared" si="88"/>
        <v>0</v>
      </c>
      <c r="AH442" s="140">
        <f t="shared" si="89"/>
        <v>0</v>
      </c>
      <c r="AI442" s="140">
        <f t="shared" si="90"/>
        <v>0</v>
      </c>
      <c r="AJ442" s="131">
        <f t="shared" si="91"/>
        <v>0</v>
      </c>
      <c r="AK442" s="131">
        <f t="shared" si="92"/>
        <v>0</v>
      </c>
      <c r="AL442" s="127">
        <f t="shared" si="97"/>
        <v>0</v>
      </c>
      <c r="AM442" s="140">
        <f t="shared" si="93"/>
        <v>0</v>
      </c>
      <c r="AN442" s="140">
        <f t="shared" si="94"/>
        <v>0</v>
      </c>
      <c r="AO442" s="140">
        <f t="shared" si="95"/>
        <v>0</v>
      </c>
      <c r="AP442" s="140">
        <f t="shared" si="96"/>
        <v>0</v>
      </c>
    </row>
    <row r="443" spans="2:42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AC443" s="131">
        <f t="shared" ref="AC443:AC506" si="98">+H443</f>
        <v>0</v>
      </c>
      <c r="AD443" s="131">
        <f t="shared" ref="AD443:AD506" si="99">+I443</f>
        <v>0</v>
      </c>
      <c r="AE443" s="131">
        <f t="shared" ref="AE443:AE506" si="100">+J443</f>
        <v>0</v>
      </c>
      <c r="AF443" s="131">
        <f t="shared" ref="AF443:AF506" si="101">+K443</f>
        <v>0</v>
      </c>
      <c r="AG443" s="140">
        <f t="shared" ref="AG443:AG506" si="102">+G443</f>
        <v>0</v>
      </c>
      <c r="AH443" s="140">
        <f t="shared" ref="AH443:AH506" si="103">+L443</f>
        <v>0</v>
      </c>
      <c r="AI443" s="140">
        <f t="shared" ref="AI443:AI506" si="104">+M443</f>
        <v>0</v>
      </c>
      <c r="AJ443" s="131">
        <f t="shared" ref="AJ443:AJ506" si="105">+T443</f>
        <v>0</v>
      </c>
      <c r="AK443" s="131">
        <f t="shared" ref="AK443:AK506" si="106">+N443+O443</f>
        <v>0</v>
      </c>
      <c r="AL443" s="127">
        <f t="shared" si="97"/>
        <v>0</v>
      </c>
      <c r="AM443" s="140">
        <f t="shared" ref="AM443:AM506" si="107">+P443+R443</f>
        <v>0</v>
      </c>
      <c r="AN443" s="140">
        <f t="shared" ref="AN443:AN506" si="108">+Q443+S443</f>
        <v>0</v>
      </c>
      <c r="AO443" s="140">
        <f t="shared" ref="AO443:AO506" si="109">+U443</f>
        <v>0</v>
      </c>
      <c r="AP443" s="140">
        <f t="shared" ref="AP443:AP506" si="110">+AG443+AH443+AJ443-AK443-AM443-AO443</f>
        <v>0</v>
      </c>
    </row>
    <row r="444" spans="2:42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AC444" s="131">
        <f t="shared" si="98"/>
        <v>0</v>
      </c>
      <c r="AD444" s="131">
        <f t="shared" si="99"/>
        <v>0</v>
      </c>
      <c r="AE444" s="131">
        <f t="shared" si="100"/>
        <v>0</v>
      </c>
      <c r="AF444" s="131">
        <f t="shared" si="101"/>
        <v>0</v>
      </c>
      <c r="AG444" s="140">
        <f t="shared" si="102"/>
        <v>0</v>
      </c>
      <c r="AH444" s="140">
        <f t="shared" si="103"/>
        <v>0</v>
      </c>
      <c r="AI444" s="140">
        <f t="shared" si="104"/>
        <v>0</v>
      </c>
      <c r="AJ444" s="131">
        <f t="shared" si="105"/>
        <v>0</v>
      </c>
      <c r="AK444" s="131">
        <f t="shared" si="106"/>
        <v>0</v>
      </c>
      <c r="AL444" s="127">
        <f t="shared" si="97"/>
        <v>0</v>
      </c>
      <c r="AM444" s="140">
        <f t="shared" si="107"/>
        <v>0</v>
      </c>
      <c r="AN444" s="140">
        <f t="shared" si="108"/>
        <v>0</v>
      </c>
      <c r="AO444" s="140">
        <f t="shared" si="109"/>
        <v>0</v>
      </c>
      <c r="AP444" s="140">
        <f t="shared" si="110"/>
        <v>0</v>
      </c>
    </row>
    <row r="445" spans="2:42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AC445" s="131">
        <f t="shared" si="98"/>
        <v>0</v>
      </c>
      <c r="AD445" s="131">
        <f t="shared" si="99"/>
        <v>0</v>
      </c>
      <c r="AE445" s="131">
        <f t="shared" si="100"/>
        <v>0</v>
      </c>
      <c r="AF445" s="131">
        <f t="shared" si="101"/>
        <v>0</v>
      </c>
      <c r="AG445" s="140">
        <f t="shared" si="102"/>
        <v>0</v>
      </c>
      <c r="AH445" s="140">
        <f t="shared" si="103"/>
        <v>0</v>
      </c>
      <c r="AI445" s="140">
        <f t="shared" si="104"/>
        <v>0</v>
      </c>
      <c r="AJ445" s="131">
        <f t="shared" si="105"/>
        <v>0</v>
      </c>
      <c r="AK445" s="131">
        <f t="shared" si="106"/>
        <v>0</v>
      </c>
      <c r="AL445" s="127">
        <f t="shared" si="97"/>
        <v>0</v>
      </c>
      <c r="AM445" s="140">
        <f t="shared" si="107"/>
        <v>0</v>
      </c>
      <c r="AN445" s="140">
        <f t="shared" si="108"/>
        <v>0</v>
      </c>
      <c r="AO445" s="140">
        <f t="shared" si="109"/>
        <v>0</v>
      </c>
      <c r="AP445" s="140">
        <f t="shared" si="110"/>
        <v>0</v>
      </c>
    </row>
    <row r="446" spans="2:42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AC446" s="131">
        <f t="shared" si="98"/>
        <v>0</v>
      </c>
      <c r="AD446" s="131">
        <f t="shared" si="99"/>
        <v>0</v>
      </c>
      <c r="AE446" s="131">
        <f t="shared" si="100"/>
        <v>0</v>
      </c>
      <c r="AF446" s="131">
        <f t="shared" si="101"/>
        <v>0</v>
      </c>
      <c r="AG446" s="140">
        <f t="shared" si="102"/>
        <v>0</v>
      </c>
      <c r="AH446" s="140">
        <f t="shared" si="103"/>
        <v>0</v>
      </c>
      <c r="AI446" s="140">
        <f t="shared" si="104"/>
        <v>0</v>
      </c>
      <c r="AJ446" s="131">
        <f t="shared" si="105"/>
        <v>0</v>
      </c>
      <c r="AK446" s="131">
        <f t="shared" si="106"/>
        <v>0</v>
      </c>
      <c r="AL446" s="127">
        <f t="shared" si="97"/>
        <v>0</v>
      </c>
      <c r="AM446" s="140">
        <f t="shared" si="107"/>
        <v>0</v>
      </c>
      <c r="AN446" s="140">
        <f t="shared" si="108"/>
        <v>0</v>
      </c>
      <c r="AO446" s="140">
        <f t="shared" si="109"/>
        <v>0</v>
      </c>
      <c r="AP446" s="140">
        <f t="shared" si="110"/>
        <v>0</v>
      </c>
    </row>
    <row r="447" spans="2:42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AC447" s="131">
        <f t="shared" si="98"/>
        <v>0</v>
      </c>
      <c r="AD447" s="131">
        <f t="shared" si="99"/>
        <v>0</v>
      </c>
      <c r="AE447" s="131">
        <f t="shared" si="100"/>
        <v>0</v>
      </c>
      <c r="AF447" s="131">
        <f t="shared" si="101"/>
        <v>0</v>
      </c>
      <c r="AG447" s="140">
        <f t="shared" si="102"/>
        <v>0</v>
      </c>
      <c r="AH447" s="140">
        <f t="shared" si="103"/>
        <v>0</v>
      </c>
      <c r="AI447" s="140">
        <f t="shared" si="104"/>
        <v>0</v>
      </c>
      <c r="AJ447" s="131">
        <f t="shared" si="105"/>
        <v>0</v>
      </c>
      <c r="AK447" s="131">
        <f t="shared" si="106"/>
        <v>0</v>
      </c>
      <c r="AL447" s="127">
        <f t="shared" si="97"/>
        <v>0</v>
      </c>
      <c r="AM447" s="140">
        <f t="shared" si="107"/>
        <v>0</v>
      </c>
      <c r="AN447" s="140">
        <f t="shared" si="108"/>
        <v>0</v>
      </c>
      <c r="AO447" s="140">
        <f t="shared" si="109"/>
        <v>0</v>
      </c>
      <c r="AP447" s="140">
        <f t="shared" si="110"/>
        <v>0</v>
      </c>
    </row>
    <row r="448" spans="2:42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AC448" s="131">
        <f t="shared" si="98"/>
        <v>0</v>
      </c>
      <c r="AD448" s="131">
        <f t="shared" si="99"/>
        <v>0</v>
      </c>
      <c r="AE448" s="131">
        <f t="shared" si="100"/>
        <v>0</v>
      </c>
      <c r="AF448" s="131">
        <f t="shared" si="101"/>
        <v>0</v>
      </c>
      <c r="AG448" s="140">
        <f t="shared" si="102"/>
        <v>0</v>
      </c>
      <c r="AH448" s="140">
        <f t="shared" si="103"/>
        <v>0</v>
      </c>
      <c r="AI448" s="140">
        <f t="shared" si="104"/>
        <v>0</v>
      </c>
      <c r="AJ448" s="131">
        <f t="shared" si="105"/>
        <v>0</v>
      </c>
      <c r="AK448" s="131">
        <f t="shared" si="106"/>
        <v>0</v>
      </c>
      <c r="AL448" s="127">
        <f t="shared" si="97"/>
        <v>0</v>
      </c>
      <c r="AM448" s="140">
        <f t="shared" si="107"/>
        <v>0</v>
      </c>
      <c r="AN448" s="140">
        <f t="shared" si="108"/>
        <v>0</v>
      </c>
      <c r="AO448" s="140">
        <f t="shared" si="109"/>
        <v>0</v>
      </c>
      <c r="AP448" s="140">
        <f t="shared" si="110"/>
        <v>0</v>
      </c>
    </row>
    <row r="449" spans="2:42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AC449" s="131">
        <f t="shared" si="98"/>
        <v>0</v>
      </c>
      <c r="AD449" s="131">
        <f t="shared" si="99"/>
        <v>0</v>
      </c>
      <c r="AE449" s="131">
        <f t="shared" si="100"/>
        <v>0</v>
      </c>
      <c r="AF449" s="131">
        <f t="shared" si="101"/>
        <v>0</v>
      </c>
      <c r="AG449" s="140">
        <f t="shared" si="102"/>
        <v>0</v>
      </c>
      <c r="AH449" s="140">
        <f t="shared" si="103"/>
        <v>0</v>
      </c>
      <c r="AI449" s="140">
        <f t="shared" si="104"/>
        <v>0</v>
      </c>
      <c r="AJ449" s="131">
        <f t="shared" si="105"/>
        <v>0</v>
      </c>
      <c r="AK449" s="131">
        <f t="shared" si="106"/>
        <v>0</v>
      </c>
      <c r="AL449" s="127">
        <f t="shared" si="97"/>
        <v>0</v>
      </c>
      <c r="AM449" s="140">
        <f t="shared" si="107"/>
        <v>0</v>
      </c>
      <c r="AN449" s="140">
        <f t="shared" si="108"/>
        <v>0</v>
      </c>
      <c r="AO449" s="140">
        <f t="shared" si="109"/>
        <v>0</v>
      </c>
      <c r="AP449" s="140">
        <f t="shared" si="110"/>
        <v>0</v>
      </c>
    </row>
    <row r="450" spans="2:42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AC450" s="131">
        <f t="shared" si="98"/>
        <v>0</v>
      </c>
      <c r="AD450" s="131">
        <f t="shared" si="99"/>
        <v>0</v>
      </c>
      <c r="AE450" s="131">
        <f t="shared" si="100"/>
        <v>0</v>
      </c>
      <c r="AF450" s="131">
        <f t="shared" si="101"/>
        <v>0</v>
      </c>
      <c r="AG450" s="140">
        <f t="shared" si="102"/>
        <v>0</v>
      </c>
      <c r="AH450" s="140">
        <f t="shared" si="103"/>
        <v>0</v>
      </c>
      <c r="AI450" s="140">
        <f t="shared" si="104"/>
        <v>0</v>
      </c>
      <c r="AJ450" s="131">
        <f t="shared" si="105"/>
        <v>0</v>
      </c>
      <c r="AK450" s="131">
        <f t="shared" si="106"/>
        <v>0</v>
      </c>
      <c r="AL450" s="127">
        <f t="shared" si="97"/>
        <v>0</v>
      </c>
      <c r="AM450" s="140">
        <f t="shared" si="107"/>
        <v>0</v>
      </c>
      <c r="AN450" s="140">
        <f t="shared" si="108"/>
        <v>0</v>
      </c>
      <c r="AO450" s="140">
        <f t="shared" si="109"/>
        <v>0</v>
      </c>
      <c r="AP450" s="140">
        <f t="shared" si="110"/>
        <v>0</v>
      </c>
    </row>
    <row r="451" spans="2:42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AC451" s="131">
        <f t="shared" si="98"/>
        <v>0</v>
      </c>
      <c r="AD451" s="131">
        <f t="shared" si="99"/>
        <v>0</v>
      </c>
      <c r="AE451" s="131">
        <f t="shared" si="100"/>
        <v>0</v>
      </c>
      <c r="AF451" s="131">
        <f t="shared" si="101"/>
        <v>0</v>
      </c>
      <c r="AG451" s="140">
        <f t="shared" si="102"/>
        <v>0</v>
      </c>
      <c r="AH451" s="140">
        <f t="shared" si="103"/>
        <v>0</v>
      </c>
      <c r="AI451" s="140">
        <f t="shared" si="104"/>
        <v>0</v>
      </c>
      <c r="AJ451" s="131">
        <f t="shared" si="105"/>
        <v>0</v>
      </c>
      <c r="AK451" s="131">
        <f t="shared" si="106"/>
        <v>0</v>
      </c>
      <c r="AL451" s="127">
        <f t="shared" ref="AL451:AL514" si="111">ROUND(IFERROR(+AK451/AH451*100,0),2)</f>
        <v>0</v>
      </c>
      <c r="AM451" s="140">
        <f t="shared" si="107"/>
        <v>0</v>
      </c>
      <c r="AN451" s="140">
        <f t="shared" si="108"/>
        <v>0</v>
      </c>
      <c r="AO451" s="140">
        <f t="shared" si="109"/>
        <v>0</v>
      </c>
      <c r="AP451" s="140">
        <f t="shared" si="110"/>
        <v>0</v>
      </c>
    </row>
    <row r="452" spans="2:42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AC452" s="131">
        <f t="shared" si="98"/>
        <v>0</v>
      </c>
      <c r="AD452" s="131">
        <f t="shared" si="99"/>
        <v>0</v>
      </c>
      <c r="AE452" s="131">
        <f t="shared" si="100"/>
        <v>0</v>
      </c>
      <c r="AF452" s="131">
        <f t="shared" si="101"/>
        <v>0</v>
      </c>
      <c r="AG452" s="140">
        <f t="shared" si="102"/>
        <v>0</v>
      </c>
      <c r="AH452" s="140">
        <f t="shared" si="103"/>
        <v>0</v>
      </c>
      <c r="AI452" s="140">
        <f t="shared" si="104"/>
        <v>0</v>
      </c>
      <c r="AJ452" s="131">
        <f t="shared" si="105"/>
        <v>0</v>
      </c>
      <c r="AK452" s="131">
        <f t="shared" si="106"/>
        <v>0</v>
      </c>
      <c r="AL452" s="127">
        <f t="shared" si="111"/>
        <v>0</v>
      </c>
      <c r="AM452" s="140">
        <f t="shared" si="107"/>
        <v>0</v>
      </c>
      <c r="AN452" s="140">
        <f t="shared" si="108"/>
        <v>0</v>
      </c>
      <c r="AO452" s="140">
        <f t="shared" si="109"/>
        <v>0</v>
      </c>
      <c r="AP452" s="140">
        <f t="shared" si="110"/>
        <v>0</v>
      </c>
    </row>
    <row r="453" spans="2:42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AC453" s="131">
        <f t="shared" si="98"/>
        <v>0</v>
      </c>
      <c r="AD453" s="131">
        <f t="shared" si="99"/>
        <v>0</v>
      </c>
      <c r="AE453" s="131">
        <f t="shared" si="100"/>
        <v>0</v>
      </c>
      <c r="AF453" s="131">
        <f t="shared" si="101"/>
        <v>0</v>
      </c>
      <c r="AG453" s="140">
        <f t="shared" si="102"/>
        <v>0</v>
      </c>
      <c r="AH453" s="140">
        <f t="shared" si="103"/>
        <v>0</v>
      </c>
      <c r="AI453" s="140">
        <f t="shared" si="104"/>
        <v>0</v>
      </c>
      <c r="AJ453" s="131">
        <f t="shared" si="105"/>
        <v>0</v>
      </c>
      <c r="AK453" s="131">
        <f t="shared" si="106"/>
        <v>0</v>
      </c>
      <c r="AL453" s="127">
        <f t="shared" si="111"/>
        <v>0</v>
      </c>
      <c r="AM453" s="140">
        <f t="shared" si="107"/>
        <v>0</v>
      </c>
      <c r="AN453" s="140">
        <f t="shared" si="108"/>
        <v>0</v>
      </c>
      <c r="AO453" s="140">
        <f t="shared" si="109"/>
        <v>0</v>
      </c>
      <c r="AP453" s="140">
        <f t="shared" si="110"/>
        <v>0</v>
      </c>
    </row>
    <row r="454" spans="2:42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AC454" s="131">
        <f t="shared" si="98"/>
        <v>0</v>
      </c>
      <c r="AD454" s="131">
        <f t="shared" si="99"/>
        <v>0</v>
      </c>
      <c r="AE454" s="131">
        <f t="shared" si="100"/>
        <v>0</v>
      </c>
      <c r="AF454" s="131">
        <f t="shared" si="101"/>
        <v>0</v>
      </c>
      <c r="AG454" s="140">
        <f t="shared" si="102"/>
        <v>0</v>
      </c>
      <c r="AH454" s="140">
        <f t="shared" si="103"/>
        <v>0</v>
      </c>
      <c r="AI454" s="140">
        <f t="shared" si="104"/>
        <v>0</v>
      </c>
      <c r="AJ454" s="131">
        <f t="shared" si="105"/>
        <v>0</v>
      </c>
      <c r="AK454" s="131">
        <f t="shared" si="106"/>
        <v>0</v>
      </c>
      <c r="AL454" s="127">
        <f t="shared" si="111"/>
        <v>0</v>
      </c>
      <c r="AM454" s="140">
        <f t="shared" si="107"/>
        <v>0</v>
      </c>
      <c r="AN454" s="140">
        <f t="shared" si="108"/>
        <v>0</v>
      </c>
      <c r="AO454" s="140">
        <f t="shared" si="109"/>
        <v>0</v>
      </c>
      <c r="AP454" s="140">
        <f t="shared" si="110"/>
        <v>0</v>
      </c>
    </row>
    <row r="455" spans="2:42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AC455" s="131">
        <f t="shared" si="98"/>
        <v>0</v>
      </c>
      <c r="AD455" s="131">
        <f t="shared" si="99"/>
        <v>0</v>
      </c>
      <c r="AE455" s="131">
        <f t="shared" si="100"/>
        <v>0</v>
      </c>
      <c r="AF455" s="131">
        <f t="shared" si="101"/>
        <v>0</v>
      </c>
      <c r="AG455" s="140">
        <f t="shared" si="102"/>
        <v>0</v>
      </c>
      <c r="AH455" s="140">
        <f t="shared" si="103"/>
        <v>0</v>
      </c>
      <c r="AI455" s="140">
        <f t="shared" si="104"/>
        <v>0</v>
      </c>
      <c r="AJ455" s="131">
        <f t="shared" si="105"/>
        <v>0</v>
      </c>
      <c r="AK455" s="131">
        <f t="shared" si="106"/>
        <v>0</v>
      </c>
      <c r="AL455" s="127">
        <f t="shared" si="111"/>
        <v>0</v>
      </c>
      <c r="AM455" s="140">
        <f t="shared" si="107"/>
        <v>0</v>
      </c>
      <c r="AN455" s="140">
        <f t="shared" si="108"/>
        <v>0</v>
      </c>
      <c r="AO455" s="140">
        <f t="shared" si="109"/>
        <v>0</v>
      </c>
      <c r="AP455" s="140">
        <f t="shared" si="110"/>
        <v>0</v>
      </c>
    </row>
    <row r="456" spans="2:42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AC456" s="131">
        <f t="shared" si="98"/>
        <v>0</v>
      </c>
      <c r="AD456" s="131">
        <f t="shared" si="99"/>
        <v>0</v>
      </c>
      <c r="AE456" s="131">
        <f t="shared" si="100"/>
        <v>0</v>
      </c>
      <c r="AF456" s="131">
        <f t="shared" si="101"/>
        <v>0</v>
      </c>
      <c r="AG456" s="140">
        <f t="shared" si="102"/>
        <v>0</v>
      </c>
      <c r="AH456" s="140">
        <f t="shared" si="103"/>
        <v>0</v>
      </c>
      <c r="AI456" s="140">
        <f t="shared" si="104"/>
        <v>0</v>
      </c>
      <c r="AJ456" s="131">
        <f t="shared" si="105"/>
        <v>0</v>
      </c>
      <c r="AK456" s="131">
        <f t="shared" si="106"/>
        <v>0</v>
      </c>
      <c r="AL456" s="127">
        <f t="shared" si="111"/>
        <v>0</v>
      </c>
      <c r="AM456" s="140">
        <f t="shared" si="107"/>
        <v>0</v>
      </c>
      <c r="AN456" s="140">
        <f t="shared" si="108"/>
        <v>0</v>
      </c>
      <c r="AO456" s="140">
        <f t="shared" si="109"/>
        <v>0</v>
      </c>
      <c r="AP456" s="140">
        <f t="shared" si="110"/>
        <v>0</v>
      </c>
    </row>
    <row r="457" spans="2:42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AC457" s="131">
        <f t="shared" si="98"/>
        <v>0</v>
      </c>
      <c r="AD457" s="131">
        <f t="shared" si="99"/>
        <v>0</v>
      </c>
      <c r="AE457" s="131">
        <f t="shared" si="100"/>
        <v>0</v>
      </c>
      <c r="AF457" s="131">
        <f t="shared" si="101"/>
        <v>0</v>
      </c>
      <c r="AG457" s="140">
        <f t="shared" si="102"/>
        <v>0</v>
      </c>
      <c r="AH457" s="140">
        <f t="shared" si="103"/>
        <v>0</v>
      </c>
      <c r="AI457" s="140">
        <f t="shared" si="104"/>
        <v>0</v>
      </c>
      <c r="AJ457" s="131">
        <f t="shared" si="105"/>
        <v>0</v>
      </c>
      <c r="AK457" s="131">
        <f t="shared" si="106"/>
        <v>0</v>
      </c>
      <c r="AL457" s="127">
        <f t="shared" si="111"/>
        <v>0</v>
      </c>
      <c r="AM457" s="140">
        <f t="shared" si="107"/>
        <v>0</v>
      </c>
      <c r="AN457" s="140">
        <f t="shared" si="108"/>
        <v>0</v>
      </c>
      <c r="AO457" s="140">
        <f t="shared" si="109"/>
        <v>0</v>
      </c>
      <c r="AP457" s="140">
        <f t="shared" si="110"/>
        <v>0</v>
      </c>
    </row>
    <row r="458" spans="2:42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AC458" s="131">
        <f t="shared" si="98"/>
        <v>0</v>
      </c>
      <c r="AD458" s="131">
        <f t="shared" si="99"/>
        <v>0</v>
      </c>
      <c r="AE458" s="131">
        <f t="shared" si="100"/>
        <v>0</v>
      </c>
      <c r="AF458" s="131">
        <f t="shared" si="101"/>
        <v>0</v>
      </c>
      <c r="AG458" s="140">
        <f t="shared" si="102"/>
        <v>0</v>
      </c>
      <c r="AH458" s="140">
        <f t="shared" si="103"/>
        <v>0</v>
      </c>
      <c r="AI458" s="140">
        <f t="shared" si="104"/>
        <v>0</v>
      </c>
      <c r="AJ458" s="131">
        <f t="shared" si="105"/>
        <v>0</v>
      </c>
      <c r="AK458" s="131">
        <f t="shared" si="106"/>
        <v>0</v>
      </c>
      <c r="AL458" s="127">
        <f t="shared" si="111"/>
        <v>0</v>
      </c>
      <c r="AM458" s="140">
        <f t="shared" si="107"/>
        <v>0</v>
      </c>
      <c r="AN458" s="140">
        <f t="shared" si="108"/>
        <v>0</v>
      </c>
      <c r="AO458" s="140">
        <f t="shared" si="109"/>
        <v>0</v>
      </c>
      <c r="AP458" s="140">
        <f t="shared" si="110"/>
        <v>0</v>
      </c>
    </row>
    <row r="459" spans="2:42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AC459" s="131">
        <f t="shared" si="98"/>
        <v>0</v>
      </c>
      <c r="AD459" s="131">
        <f t="shared" si="99"/>
        <v>0</v>
      </c>
      <c r="AE459" s="131">
        <f t="shared" si="100"/>
        <v>0</v>
      </c>
      <c r="AF459" s="131">
        <f t="shared" si="101"/>
        <v>0</v>
      </c>
      <c r="AG459" s="140">
        <f t="shared" si="102"/>
        <v>0</v>
      </c>
      <c r="AH459" s="140">
        <f t="shared" si="103"/>
        <v>0</v>
      </c>
      <c r="AI459" s="140">
        <f t="shared" si="104"/>
        <v>0</v>
      </c>
      <c r="AJ459" s="131">
        <f t="shared" si="105"/>
        <v>0</v>
      </c>
      <c r="AK459" s="131">
        <f t="shared" si="106"/>
        <v>0</v>
      </c>
      <c r="AL459" s="127">
        <f t="shared" si="111"/>
        <v>0</v>
      </c>
      <c r="AM459" s="140">
        <f t="shared" si="107"/>
        <v>0</v>
      </c>
      <c r="AN459" s="140">
        <f t="shared" si="108"/>
        <v>0</v>
      </c>
      <c r="AO459" s="140">
        <f t="shared" si="109"/>
        <v>0</v>
      </c>
      <c r="AP459" s="140">
        <f t="shared" si="110"/>
        <v>0</v>
      </c>
    </row>
    <row r="460" spans="2:42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AC460" s="131">
        <f t="shared" si="98"/>
        <v>0</v>
      </c>
      <c r="AD460" s="131">
        <f t="shared" si="99"/>
        <v>0</v>
      </c>
      <c r="AE460" s="131">
        <f t="shared" si="100"/>
        <v>0</v>
      </c>
      <c r="AF460" s="131">
        <f t="shared" si="101"/>
        <v>0</v>
      </c>
      <c r="AG460" s="140">
        <f t="shared" si="102"/>
        <v>0</v>
      </c>
      <c r="AH460" s="140">
        <f t="shared" si="103"/>
        <v>0</v>
      </c>
      <c r="AI460" s="140">
        <f t="shared" si="104"/>
        <v>0</v>
      </c>
      <c r="AJ460" s="131">
        <f t="shared" si="105"/>
        <v>0</v>
      </c>
      <c r="AK460" s="131">
        <f t="shared" si="106"/>
        <v>0</v>
      </c>
      <c r="AL460" s="127">
        <f t="shared" si="111"/>
        <v>0</v>
      </c>
      <c r="AM460" s="140">
        <f t="shared" si="107"/>
        <v>0</v>
      </c>
      <c r="AN460" s="140">
        <f t="shared" si="108"/>
        <v>0</v>
      </c>
      <c r="AO460" s="140">
        <f t="shared" si="109"/>
        <v>0</v>
      </c>
      <c r="AP460" s="140">
        <f t="shared" si="110"/>
        <v>0</v>
      </c>
    </row>
    <row r="461" spans="2:42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AC461" s="131">
        <f t="shared" si="98"/>
        <v>0</v>
      </c>
      <c r="AD461" s="131">
        <f t="shared" si="99"/>
        <v>0</v>
      </c>
      <c r="AE461" s="131">
        <f t="shared" si="100"/>
        <v>0</v>
      </c>
      <c r="AF461" s="131">
        <f t="shared" si="101"/>
        <v>0</v>
      </c>
      <c r="AG461" s="140">
        <f t="shared" si="102"/>
        <v>0</v>
      </c>
      <c r="AH461" s="140">
        <f t="shared" si="103"/>
        <v>0</v>
      </c>
      <c r="AI461" s="140">
        <f t="shared" si="104"/>
        <v>0</v>
      </c>
      <c r="AJ461" s="131">
        <f t="shared" si="105"/>
        <v>0</v>
      </c>
      <c r="AK461" s="131">
        <f t="shared" si="106"/>
        <v>0</v>
      </c>
      <c r="AL461" s="127">
        <f t="shared" si="111"/>
        <v>0</v>
      </c>
      <c r="AM461" s="140">
        <f t="shared" si="107"/>
        <v>0</v>
      </c>
      <c r="AN461" s="140">
        <f t="shared" si="108"/>
        <v>0</v>
      </c>
      <c r="AO461" s="140">
        <f t="shared" si="109"/>
        <v>0</v>
      </c>
      <c r="AP461" s="140">
        <f t="shared" si="110"/>
        <v>0</v>
      </c>
    </row>
    <row r="462" spans="2:42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AC462" s="131">
        <f t="shared" si="98"/>
        <v>0</v>
      </c>
      <c r="AD462" s="131">
        <f t="shared" si="99"/>
        <v>0</v>
      </c>
      <c r="AE462" s="131">
        <f t="shared" si="100"/>
        <v>0</v>
      </c>
      <c r="AF462" s="131">
        <f t="shared" si="101"/>
        <v>0</v>
      </c>
      <c r="AG462" s="140">
        <f t="shared" si="102"/>
        <v>0</v>
      </c>
      <c r="AH462" s="140">
        <f t="shared" si="103"/>
        <v>0</v>
      </c>
      <c r="AI462" s="140">
        <f t="shared" si="104"/>
        <v>0</v>
      </c>
      <c r="AJ462" s="131">
        <f t="shared" si="105"/>
        <v>0</v>
      </c>
      <c r="AK462" s="131">
        <f t="shared" si="106"/>
        <v>0</v>
      </c>
      <c r="AL462" s="127">
        <f t="shared" si="111"/>
        <v>0</v>
      </c>
      <c r="AM462" s="140">
        <f t="shared" si="107"/>
        <v>0</v>
      </c>
      <c r="AN462" s="140">
        <f t="shared" si="108"/>
        <v>0</v>
      </c>
      <c r="AO462" s="140">
        <f t="shared" si="109"/>
        <v>0</v>
      </c>
      <c r="AP462" s="140">
        <f t="shared" si="110"/>
        <v>0</v>
      </c>
    </row>
    <row r="463" spans="2:42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AC463" s="131">
        <f t="shared" si="98"/>
        <v>0</v>
      </c>
      <c r="AD463" s="131">
        <f t="shared" si="99"/>
        <v>0</v>
      </c>
      <c r="AE463" s="131">
        <f t="shared" si="100"/>
        <v>0</v>
      </c>
      <c r="AF463" s="131">
        <f t="shared" si="101"/>
        <v>0</v>
      </c>
      <c r="AG463" s="140">
        <f t="shared" si="102"/>
        <v>0</v>
      </c>
      <c r="AH463" s="140">
        <f t="shared" si="103"/>
        <v>0</v>
      </c>
      <c r="AI463" s="140">
        <f t="shared" si="104"/>
        <v>0</v>
      </c>
      <c r="AJ463" s="131">
        <f t="shared" si="105"/>
        <v>0</v>
      </c>
      <c r="AK463" s="131">
        <f t="shared" si="106"/>
        <v>0</v>
      </c>
      <c r="AL463" s="127">
        <f t="shared" si="111"/>
        <v>0</v>
      </c>
      <c r="AM463" s="140">
        <f t="shared" si="107"/>
        <v>0</v>
      </c>
      <c r="AN463" s="140">
        <f t="shared" si="108"/>
        <v>0</v>
      </c>
      <c r="AO463" s="140">
        <f t="shared" si="109"/>
        <v>0</v>
      </c>
      <c r="AP463" s="140">
        <f t="shared" si="110"/>
        <v>0</v>
      </c>
    </row>
    <row r="464" spans="2:42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AC464" s="131">
        <f t="shared" si="98"/>
        <v>0</v>
      </c>
      <c r="AD464" s="131">
        <f t="shared" si="99"/>
        <v>0</v>
      </c>
      <c r="AE464" s="131">
        <f t="shared" si="100"/>
        <v>0</v>
      </c>
      <c r="AF464" s="131">
        <f t="shared" si="101"/>
        <v>0</v>
      </c>
      <c r="AG464" s="140">
        <f t="shared" si="102"/>
        <v>0</v>
      </c>
      <c r="AH464" s="140">
        <f t="shared" si="103"/>
        <v>0</v>
      </c>
      <c r="AI464" s="140">
        <f t="shared" si="104"/>
        <v>0</v>
      </c>
      <c r="AJ464" s="131">
        <f t="shared" si="105"/>
        <v>0</v>
      </c>
      <c r="AK464" s="131">
        <f t="shared" si="106"/>
        <v>0</v>
      </c>
      <c r="AL464" s="127">
        <f t="shared" si="111"/>
        <v>0</v>
      </c>
      <c r="AM464" s="140">
        <f t="shared" si="107"/>
        <v>0</v>
      </c>
      <c r="AN464" s="140">
        <f t="shared" si="108"/>
        <v>0</v>
      </c>
      <c r="AO464" s="140">
        <f t="shared" si="109"/>
        <v>0</v>
      </c>
      <c r="AP464" s="140">
        <f t="shared" si="110"/>
        <v>0</v>
      </c>
    </row>
    <row r="465" spans="2:42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AC465" s="131">
        <f t="shared" si="98"/>
        <v>0</v>
      </c>
      <c r="AD465" s="131">
        <f t="shared" si="99"/>
        <v>0</v>
      </c>
      <c r="AE465" s="131">
        <f t="shared" si="100"/>
        <v>0</v>
      </c>
      <c r="AF465" s="131">
        <f t="shared" si="101"/>
        <v>0</v>
      </c>
      <c r="AG465" s="140">
        <f t="shared" si="102"/>
        <v>0</v>
      </c>
      <c r="AH465" s="140">
        <f t="shared" si="103"/>
        <v>0</v>
      </c>
      <c r="AI465" s="140">
        <f t="shared" si="104"/>
        <v>0</v>
      </c>
      <c r="AJ465" s="131">
        <f t="shared" si="105"/>
        <v>0</v>
      </c>
      <c r="AK465" s="131">
        <f t="shared" si="106"/>
        <v>0</v>
      </c>
      <c r="AL465" s="127">
        <f t="shared" si="111"/>
        <v>0</v>
      </c>
      <c r="AM465" s="140">
        <f t="shared" si="107"/>
        <v>0</v>
      </c>
      <c r="AN465" s="140">
        <f t="shared" si="108"/>
        <v>0</v>
      </c>
      <c r="AO465" s="140">
        <f t="shared" si="109"/>
        <v>0</v>
      </c>
      <c r="AP465" s="140">
        <f t="shared" si="110"/>
        <v>0</v>
      </c>
    </row>
    <row r="466" spans="2:42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AC466" s="131">
        <f t="shared" si="98"/>
        <v>0</v>
      </c>
      <c r="AD466" s="131">
        <f t="shared" si="99"/>
        <v>0</v>
      </c>
      <c r="AE466" s="131">
        <f t="shared" si="100"/>
        <v>0</v>
      </c>
      <c r="AF466" s="131">
        <f t="shared" si="101"/>
        <v>0</v>
      </c>
      <c r="AG466" s="140">
        <f t="shared" si="102"/>
        <v>0</v>
      </c>
      <c r="AH466" s="140">
        <f t="shared" si="103"/>
        <v>0</v>
      </c>
      <c r="AI466" s="140">
        <f t="shared" si="104"/>
        <v>0</v>
      </c>
      <c r="AJ466" s="131">
        <f t="shared" si="105"/>
        <v>0</v>
      </c>
      <c r="AK466" s="131">
        <f t="shared" si="106"/>
        <v>0</v>
      </c>
      <c r="AL466" s="127">
        <f t="shared" si="111"/>
        <v>0</v>
      </c>
      <c r="AM466" s="140">
        <f t="shared" si="107"/>
        <v>0</v>
      </c>
      <c r="AN466" s="140">
        <f t="shared" si="108"/>
        <v>0</v>
      </c>
      <c r="AO466" s="140">
        <f t="shared" si="109"/>
        <v>0</v>
      </c>
      <c r="AP466" s="140">
        <f t="shared" si="110"/>
        <v>0</v>
      </c>
    </row>
    <row r="467" spans="2:42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AC467" s="131">
        <f t="shared" si="98"/>
        <v>0</v>
      </c>
      <c r="AD467" s="131">
        <f t="shared" si="99"/>
        <v>0</v>
      </c>
      <c r="AE467" s="131">
        <f t="shared" si="100"/>
        <v>0</v>
      </c>
      <c r="AF467" s="131">
        <f t="shared" si="101"/>
        <v>0</v>
      </c>
      <c r="AG467" s="140">
        <f t="shared" si="102"/>
        <v>0</v>
      </c>
      <c r="AH467" s="140">
        <f t="shared" si="103"/>
        <v>0</v>
      </c>
      <c r="AI467" s="140">
        <f t="shared" si="104"/>
        <v>0</v>
      </c>
      <c r="AJ467" s="131">
        <f t="shared" si="105"/>
        <v>0</v>
      </c>
      <c r="AK467" s="131">
        <f t="shared" si="106"/>
        <v>0</v>
      </c>
      <c r="AL467" s="127">
        <f t="shared" si="111"/>
        <v>0</v>
      </c>
      <c r="AM467" s="140">
        <f t="shared" si="107"/>
        <v>0</v>
      </c>
      <c r="AN467" s="140">
        <f t="shared" si="108"/>
        <v>0</v>
      </c>
      <c r="AO467" s="140">
        <f t="shared" si="109"/>
        <v>0</v>
      </c>
      <c r="AP467" s="140">
        <f t="shared" si="110"/>
        <v>0</v>
      </c>
    </row>
    <row r="468" spans="2:42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AC468" s="131">
        <f t="shared" si="98"/>
        <v>0</v>
      </c>
      <c r="AD468" s="131">
        <f t="shared" si="99"/>
        <v>0</v>
      </c>
      <c r="AE468" s="131">
        <f t="shared" si="100"/>
        <v>0</v>
      </c>
      <c r="AF468" s="131">
        <f t="shared" si="101"/>
        <v>0</v>
      </c>
      <c r="AG468" s="140">
        <f t="shared" si="102"/>
        <v>0</v>
      </c>
      <c r="AH468" s="140">
        <f t="shared" si="103"/>
        <v>0</v>
      </c>
      <c r="AI468" s="140">
        <f t="shared" si="104"/>
        <v>0</v>
      </c>
      <c r="AJ468" s="131">
        <f t="shared" si="105"/>
        <v>0</v>
      </c>
      <c r="AK468" s="131">
        <f t="shared" si="106"/>
        <v>0</v>
      </c>
      <c r="AL468" s="127">
        <f t="shared" si="111"/>
        <v>0</v>
      </c>
      <c r="AM468" s="140">
        <f t="shared" si="107"/>
        <v>0</v>
      </c>
      <c r="AN468" s="140">
        <f t="shared" si="108"/>
        <v>0</v>
      </c>
      <c r="AO468" s="140">
        <f t="shared" si="109"/>
        <v>0</v>
      </c>
      <c r="AP468" s="140">
        <f t="shared" si="110"/>
        <v>0</v>
      </c>
    </row>
    <row r="469" spans="2:42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AC469" s="131">
        <f t="shared" si="98"/>
        <v>0</v>
      </c>
      <c r="AD469" s="131">
        <f t="shared" si="99"/>
        <v>0</v>
      </c>
      <c r="AE469" s="131">
        <f t="shared" si="100"/>
        <v>0</v>
      </c>
      <c r="AF469" s="131">
        <f t="shared" si="101"/>
        <v>0</v>
      </c>
      <c r="AG469" s="140">
        <f t="shared" si="102"/>
        <v>0</v>
      </c>
      <c r="AH469" s="140">
        <f t="shared" si="103"/>
        <v>0</v>
      </c>
      <c r="AI469" s="140">
        <f t="shared" si="104"/>
        <v>0</v>
      </c>
      <c r="AJ469" s="131">
        <f t="shared" si="105"/>
        <v>0</v>
      </c>
      <c r="AK469" s="131">
        <f t="shared" si="106"/>
        <v>0</v>
      </c>
      <c r="AL469" s="127">
        <f t="shared" si="111"/>
        <v>0</v>
      </c>
      <c r="AM469" s="140">
        <f t="shared" si="107"/>
        <v>0</v>
      </c>
      <c r="AN469" s="140">
        <f t="shared" si="108"/>
        <v>0</v>
      </c>
      <c r="AO469" s="140">
        <f t="shared" si="109"/>
        <v>0</v>
      </c>
      <c r="AP469" s="140">
        <f t="shared" si="110"/>
        <v>0</v>
      </c>
    </row>
    <row r="470" spans="2:42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AC470" s="131">
        <f t="shared" si="98"/>
        <v>0</v>
      </c>
      <c r="AD470" s="131">
        <f t="shared" si="99"/>
        <v>0</v>
      </c>
      <c r="AE470" s="131">
        <f t="shared" si="100"/>
        <v>0</v>
      </c>
      <c r="AF470" s="131">
        <f t="shared" si="101"/>
        <v>0</v>
      </c>
      <c r="AG470" s="140">
        <f t="shared" si="102"/>
        <v>0</v>
      </c>
      <c r="AH470" s="140">
        <f t="shared" si="103"/>
        <v>0</v>
      </c>
      <c r="AI470" s="140">
        <f t="shared" si="104"/>
        <v>0</v>
      </c>
      <c r="AJ470" s="131">
        <f t="shared" si="105"/>
        <v>0</v>
      </c>
      <c r="AK470" s="131">
        <f t="shared" si="106"/>
        <v>0</v>
      </c>
      <c r="AL470" s="127">
        <f t="shared" si="111"/>
        <v>0</v>
      </c>
      <c r="AM470" s="140">
        <f t="shared" si="107"/>
        <v>0</v>
      </c>
      <c r="AN470" s="140">
        <f t="shared" si="108"/>
        <v>0</v>
      </c>
      <c r="AO470" s="140">
        <f t="shared" si="109"/>
        <v>0</v>
      </c>
      <c r="AP470" s="140">
        <f t="shared" si="110"/>
        <v>0</v>
      </c>
    </row>
    <row r="471" spans="2:42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AC471" s="131">
        <f t="shared" si="98"/>
        <v>0</v>
      </c>
      <c r="AD471" s="131">
        <f t="shared" si="99"/>
        <v>0</v>
      </c>
      <c r="AE471" s="131">
        <f t="shared" si="100"/>
        <v>0</v>
      </c>
      <c r="AF471" s="131">
        <f t="shared" si="101"/>
        <v>0</v>
      </c>
      <c r="AG471" s="140">
        <f t="shared" si="102"/>
        <v>0</v>
      </c>
      <c r="AH471" s="140">
        <f t="shared" si="103"/>
        <v>0</v>
      </c>
      <c r="AI471" s="140">
        <f t="shared" si="104"/>
        <v>0</v>
      </c>
      <c r="AJ471" s="131">
        <f t="shared" si="105"/>
        <v>0</v>
      </c>
      <c r="AK471" s="131">
        <f t="shared" si="106"/>
        <v>0</v>
      </c>
      <c r="AL471" s="127">
        <f t="shared" si="111"/>
        <v>0</v>
      </c>
      <c r="AM471" s="140">
        <f t="shared" si="107"/>
        <v>0</v>
      </c>
      <c r="AN471" s="140">
        <f t="shared" si="108"/>
        <v>0</v>
      </c>
      <c r="AO471" s="140">
        <f t="shared" si="109"/>
        <v>0</v>
      </c>
      <c r="AP471" s="140">
        <f t="shared" si="110"/>
        <v>0</v>
      </c>
    </row>
    <row r="472" spans="2:42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AC472" s="131">
        <f t="shared" si="98"/>
        <v>0</v>
      </c>
      <c r="AD472" s="131">
        <f t="shared" si="99"/>
        <v>0</v>
      </c>
      <c r="AE472" s="131">
        <f t="shared" si="100"/>
        <v>0</v>
      </c>
      <c r="AF472" s="131">
        <f t="shared" si="101"/>
        <v>0</v>
      </c>
      <c r="AG472" s="140">
        <f t="shared" si="102"/>
        <v>0</v>
      </c>
      <c r="AH472" s="140">
        <f t="shared" si="103"/>
        <v>0</v>
      </c>
      <c r="AI472" s="140">
        <f t="shared" si="104"/>
        <v>0</v>
      </c>
      <c r="AJ472" s="131">
        <f t="shared" si="105"/>
        <v>0</v>
      </c>
      <c r="AK472" s="131">
        <f t="shared" si="106"/>
        <v>0</v>
      </c>
      <c r="AL472" s="127">
        <f t="shared" si="111"/>
        <v>0</v>
      </c>
      <c r="AM472" s="140">
        <f t="shared" si="107"/>
        <v>0</v>
      </c>
      <c r="AN472" s="140">
        <f t="shared" si="108"/>
        <v>0</v>
      </c>
      <c r="AO472" s="140">
        <f t="shared" si="109"/>
        <v>0</v>
      </c>
      <c r="AP472" s="140">
        <f t="shared" si="110"/>
        <v>0</v>
      </c>
    </row>
    <row r="473" spans="2:42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AC473" s="131">
        <f t="shared" si="98"/>
        <v>0</v>
      </c>
      <c r="AD473" s="131">
        <f t="shared" si="99"/>
        <v>0</v>
      </c>
      <c r="AE473" s="131">
        <f t="shared" si="100"/>
        <v>0</v>
      </c>
      <c r="AF473" s="131">
        <f t="shared" si="101"/>
        <v>0</v>
      </c>
      <c r="AG473" s="140">
        <f t="shared" si="102"/>
        <v>0</v>
      </c>
      <c r="AH473" s="140">
        <f t="shared" si="103"/>
        <v>0</v>
      </c>
      <c r="AI473" s="140">
        <f t="shared" si="104"/>
        <v>0</v>
      </c>
      <c r="AJ473" s="131">
        <f t="shared" si="105"/>
        <v>0</v>
      </c>
      <c r="AK473" s="131">
        <f t="shared" si="106"/>
        <v>0</v>
      </c>
      <c r="AL473" s="127">
        <f t="shared" si="111"/>
        <v>0</v>
      </c>
      <c r="AM473" s="140">
        <f t="shared" si="107"/>
        <v>0</v>
      </c>
      <c r="AN473" s="140">
        <f t="shared" si="108"/>
        <v>0</v>
      </c>
      <c r="AO473" s="140">
        <f t="shared" si="109"/>
        <v>0</v>
      </c>
      <c r="AP473" s="140">
        <f t="shared" si="110"/>
        <v>0</v>
      </c>
    </row>
    <row r="474" spans="2:42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AC474" s="131">
        <f t="shared" si="98"/>
        <v>0</v>
      </c>
      <c r="AD474" s="131">
        <f t="shared" si="99"/>
        <v>0</v>
      </c>
      <c r="AE474" s="131">
        <f t="shared" si="100"/>
        <v>0</v>
      </c>
      <c r="AF474" s="131">
        <f t="shared" si="101"/>
        <v>0</v>
      </c>
      <c r="AG474" s="140">
        <f t="shared" si="102"/>
        <v>0</v>
      </c>
      <c r="AH474" s="140">
        <f t="shared" si="103"/>
        <v>0</v>
      </c>
      <c r="AI474" s="140">
        <f t="shared" si="104"/>
        <v>0</v>
      </c>
      <c r="AJ474" s="131">
        <f t="shared" si="105"/>
        <v>0</v>
      </c>
      <c r="AK474" s="131">
        <f t="shared" si="106"/>
        <v>0</v>
      </c>
      <c r="AL474" s="127">
        <f t="shared" si="111"/>
        <v>0</v>
      </c>
      <c r="AM474" s="140">
        <f t="shared" si="107"/>
        <v>0</v>
      </c>
      <c r="AN474" s="140">
        <f t="shared" si="108"/>
        <v>0</v>
      </c>
      <c r="AO474" s="140">
        <f t="shared" si="109"/>
        <v>0</v>
      </c>
      <c r="AP474" s="140">
        <f t="shared" si="110"/>
        <v>0</v>
      </c>
    </row>
    <row r="475" spans="2:42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AC475" s="131">
        <f t="shared" si="98"/>
        <v>0</v>
      </c>
      <c r="AD475" s="131">
        <f t="shared" si="99"/>
        <v>0</v>
      </c>
      <c r="AE475" s="131">
        <f t="shared" si="100"/>
        <v>0</v>
      </c>
      <c r="AF475" s="131">
        <f t="shared" si="101"/>
        <v>0</v>
      </c>
      <c r="AG475" s="140">
        <f t="shared" si="102"/>
        <v>0</v>
      </c>
      <c r="AH475" s="140">
        <f t="shared" si="103"/>
        <v>0</v>
      </c>
      <c r="AI475" s="140">
        <f t="shared" si="104"/>
        <v>0</v>
      </c>
      <c r="AJ475" s="131">
        <f t="shared" si="105"/>
        <v>0</v>
      </c>
      <c r="AK475" s="131">
        <f t="shared" si="106"/>
        <v>0</v>
      </c>
      <c r="AL475" s="127">
        <f t="shared" si="111"/>
        <v>0</v>
      </c>
      <c r="AM475" s="140">
        <f t="shared" si="107"/>
        <v>0</v>
      </c>
      <c r="AN475" s="140">
        <f t="shared" si="108"/>
        <v>0</v>
      </c>
      <c r="AO475" s="140">
        <f t="shared" si="109"/>
        <v>0</v>
      </c>
      <c r="AP475" s="140">
        <f t="shared" si="110"/>
        <v>0</v>
      </c>
    </row>
    <row r="476" spans="2:42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AC476" s="131">
        <f t="shared" si="98"/>
        <v>0</v>
      </c>
      <c r="AD476" s="131">
        <f t="shared" si="99"/>
        <v>0</v>
      </c>
      <c r="AE476" s="131">
        <f t="shared" si="100"/>
        <v>0</v>
      </c>
      <c r="AF476" s="131">
        <f t="shared" si="101"/>
        <v>0</v>
      </c>
      <c r="AG476" s="140">
        <f t="shared" si="102"/>
        <v>0</v>
      </c>
      <c r="AH476" s="140">
        <f t="shared" si="103"/>
        <v>0</v>
      </c>
      <c r="AI476" s="140">
        <f t="shared" si="104"/>
        <v>0</v>
      </c>
      <c r="AJ476" s="131">
        <f t="shared" si="105"/>
        <v>0</v>
      </c>
      <c r="AK476" s="131">
        <f t="shared" si="106"/>
        <v>0</v>
      </c>
      <c r="AL476" s="127">
        <f t="shared" si="111"/>
        <v>0</v>
      </c>
      <c r="AM476" s="140">
        <f t="shared" si="107"/>
        <v>0</v>
      </c>
      <c r="AN476" s="140">
        <f t="shared" si="108"/>
        <v>0</v>
      </c>
      <c r="AO476" s="140">
        <f t="shared" si="109"/>
        <v>0</v>
      </c>
      <c r="AP476" s="140">
        <f t="shared" si="110"/>
        <v>0</v>
      </c>
    </row>
    <row r="477" spans="2:42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AC477" s="131">
        <f t="shared" si="98"/>
        <v>0</v>
      </c>
      <c r="AD477" s="131">
        <f t="shared" si="99"/>
        <v>0</v>
      </c>
      <c r="AE477" s="131">
        <f t="shared" si="100"/>
        <v>0</v>
      </c>
      <c r="AF477" s="131">
        <f t="shared" si="101"/>
        <v>0</v>
      </c>
      <c r="AG477" s="140">
        <f t="shared" si="102"/>
        <v>0</v>
      </c>
      <c r="AH477" s="140">
        <f t="shared" si="103"/>
        <v>0</v>
      </c>
      <c r="AI477" s="140">
        <f t="shared" si="104"/>
        <v>0</v>
      </c>
      <c r="AJ477" s="131">
        <f t="shared" si="105"/>
        <v>0</v>
      </c>
      <c r="AK477" s="131">
        <f t="shared" si="106"/>
        <v>0</v>
      </c>
      <c r="AL477" s="127">
        <f t="shared" si="111"/>
        <v>0</v>
      </c>
      <c r="AM477" s="140">
        <f t="shared" si="107"/>
        <v>0</v>
      </c>
      <c r="AN477" s="140">
        <f t="shared" si="108"/>
        <v>0</v>
      </c>
      <c r="AO477" s="140">
        <f t="shared" si="109"/>
        <v>0</v>
      </c>
      <c r="AP477" s="140">
        <f t="shared" si="110"/>
        <v>0</v>
      </c>
    </row>
    <row r="478" spans="2:42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AC478" s="131">
        <f t="shared" si="98"/>
        <v>0</v>
      </c>
      <c r="AD478" s="131">
        <f t="shared" si="99"/>
        <v>0</v>
      </c>
      <c r="AE478" s="131">
        <f t="shared" si="100"/>
        <v>0</v>
      </c>
      <c r="AF478" s="131">
        <f t="shared" si="101"/>
        <v>0</v>
      </c>
      <c r="AG478" s="140">
        <f t="shared" si="102"/>
        <v>0</v>
      </c>
      <c r="AH478" s="140">
        <f t="shared" si="103"/>
        <v>0</v>
      </c>
      <c r="AI478" s="140">
        <f t="shared" si="104"/>
        <v>0</v>
      </c>
      <c r="AJ478" s="131">
        <f t="shared" si="105"/>
        <v>0</v>
      </c>
      <c r="AK478" s="131">
        <f t="shared" si="106"/>
        <v>0</v>
      </c>
      <c r="AL478" s="127">
        <f t="shared" si="111"/>
        <v>0</v>
      </c>
      <c r="AM478" s="140">
        <f t="shared" si="107"/>
        <v>0</v>
      </c>
      <c r="AN478" s="140">
        <f t="shared" si="108"/>
        <v>0</v>
      </c>
      <c r="AO478" s="140">
        <f t="shared" si="109"/>
        <v>0</v>
      </c>
      <c r="AP478" s="140">
        <f t="shared" si="110"/>
        <v>0</v>
      </c>
    </row>
    <row r="479" spans="2:42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AC479" s="131">
        <f t="shared" si="98"/>
        <v>0</v>
      </c>
      <c r="AD479" s="131">
        <f t="shared" si="99"/>
        <v>0</v>
      </c>
      <c r="AE479" s="131">
        <f t="shared" si="100"/>
        <v>0</v>
      </c>
      <c r="AF479" s="131">
        <f t="shared" si="101"/>
        <v>0</v>
      </c>
      <c r="AG479" s="140">
        <f t="shared" si="102"/>
        <v>0</v>
      </c>
      <c r="AH479" s="140">
        <f t="shared" si="103"/>
        <v>0</v>
      </c>
      <c r="AI479" s="140">
        <f t="shared" si="104"/>
        <v>0</v>
      </c>
      <c r="AJ479" s="131">
        <f t="shared" si="105"/>
        <v>0</v>
      </c>
      <c r="AK479" s="131">
        <f t="shared" si="106"/>
        <v>0</v>
      </c>
      <c r="AL479" s="127">
        <f t="shared" si="111"/>
        <v>0</v>
      </c>
      <c r="AM479" s="140">
        <f t="shared" si="107"/>
        <v>0</v>
      </c>
      <c r="AN479" s="140">
        <f t="shared" si="108"/>
        <v>0</v>
      </c>
      <c r="AO479" s="140">
        <f t="shared" si="109"/>
        <v>0</v>
      </c>
      <c r="AP479" s="140">
        <f t="shared" si="110"/>
        <v>0</v>
      </c>
    </row>
    <row r="480" spans="2:42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AC480" s="131">
        <f t="shared" si="98"/>
        <v>0</v>
      </c>
      <c r="AD480" s="131">
        <f t="shared" si="99"/>
        <v>0</v>
      </c>
      <c r="AE480" s="131">
        <f t="shared" si="100"/>
        <v>0</v>
      </c>
      <c r="AF480" s="131">
        <f t="shared" si="101"/>
        <v>0</v>
      </c>
      <c r="AG480" s="140">
        <f t="shared" si="102"/>
        <v>0</v>
      </c>
      <c r="AH480" s="140">
        <f t="shared" si="103"/>
        <v>0</v>
      </c>
      <c r="AI480" s="140">
        <f t="shared" si="104"/>
        <v>0</v>
      </c>
      <c r="AJ480" s="131">
        <f t="shared" si="105"/>
        <v>0</v>
      </c>
      <c r="AK480" s="131">
        <f t="shared" si="106"/>
        <v>0</v>
      </c>
      <c r="AL480" s="127">
        <f t="shared" si="111"/>
        <v>0</v>
      </c>
      <c r="AM480" s="140">
        <f t="shared" si="107"/>
        <v>0</v>
      </c>
      <c r="AN480" s="140">
        <f t="shared" si="108"/>
        <v>0</v>
      </c>
      <c r="AO480" s="140">
        <f t="shared" si="109"/>
        <v>0</v>
      </c>
      <c r="AP480" s="140">
        <f t="shared" si="110"/>
        <v>0</v>
      </c>
    </row>
    <row r="481" spans="2:42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AC481" s="131">
        <f t="shared" si="98"/>
        <v>0</v>
      </c>
      <c r="AD481" s="131">
        <f t="shared" si="99"/>
        <v>0</v>
      </c>
      <c r="AE481" s="131">
        <f t="shared" si="100"/>
        <v>0</v>
      </c>
      <c r="AF481" s="131">
        <f t="shared" si="101"/>
        <v>0</v>
      </c>
      <c r="AG481" s="140">
        <f t="shared" si="102"/>
        <v>0</v>
      </c>
      <c r="AH481" s="140">
        <f t="shared" si="103"/>
        <v>0</v>
      </c>
      <c r="AI481" s="140">
        <f t="shared" si="104"/>
        <v>0</v>
      </c>
      <c r="AJ481" s="131">
        <f t="shared" si="105"/>
        <v>0</v>
      </c>
      <c r="AK481" s="131">
        <f t="shared" si="106"/>
        <v>0</v>
      </c>
      <c r="AL481" s="127">
        <f t="shared" si="111"/>
        <v>0</v>
      </c>
      <c r="AM481" s="140">
        <f t="shared" si="107"/>
        <v>0</v>
      </c>
      <c r="AN481" s="140">
        <f t="shared" si="108"/>
        <v>0</v>
      </c>
      <c r="AO481" s="140">
        <f t="shared" si="109"/>
        <v>0</v>
      </c>
      <c r="AP481" s="140">
        <f t="shared" si="110"/>
        <v>0</v>
      </c>
    </row>
    <row r="482" spans="2:42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AC482" s="131">
        <f t="shared" si="98"/>
        <v>0</v>
      </c>
      <c r="AD482" s="131">
        <f t="shared" si="99"/>
        <v>0</v>
      </c>
      <c r="AE482" s="131">
        <f t="shared" si="100"/>
        <v>0</v>
      </c>
      <c r="AF482" s="131">
        <f t="shared" si="101"/>
        <v>0</v>
      </c>
      <c r="AG482" s="140">
        <f t="shared" si="102"/>
        <v>0</v>
      </c>
      <c r="AH482" s="140">
        <f t="shared" si="103"/>
        <v>0</v>
      </c>
      <c r="AI482" s="140">
        <f t="shared" si="104"/>
        <v>0</v>
      </c>
      <c r="AJ482" s="131">
        <f t="shared" si="105"/>
        <v>0</v>
      </c>
      <c r="AK482" s="131">
        <f t="shared" si="106"/>
        <v>0</v>
      </c>
      <c r="AL482" s="127">
        <f t="shared" si="111"/>
        <v>0</v>
      </c>
      <c r="AM482" s="140">
        <f t="shared" si="107"/>
        <v>0</v>
      </c>
      <c r="AN482" s="140">
        <f t="shared" si="108"/>
        <v>0</v>
      </c>
      <c r="AO482" s="140">
        <f t="shared" si="109"/>
        <v>0</v>
      </c>
      <c r="AP482" s="140">
        <f t="shared" si="110"/>
        <v>0</v>
      </c>
    </row>
    <row r="483" spans="2:42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AC483" s="131">
        <f t="shared" si="98"/>
        <v>0</v>
      </c>
      <c r="AD483" s="131">
        <f t="shared" si="99"/>
        <v>0</v>
      </c>
      <c r="AE483" s="131">
        <f t="shared" si="100"/>
        <v>0</v>
      </c>
      <c r="AF483" s="131">
        <f t="shared" si="101"/>
        <v>0</v>
      </c>
      <c r="AG483" s="140">
        <f t="shared" si="102"/>
        <v>0</v>
      </c>
      <c r="AH483" s="140">
        <f t="shared" si="103"/>
        <v>0</v>
      </c>
      <c r="AI483" s="140">
        <f t="shared" si="104"/>
        <v>0</v>
      </c>
      <c r="AJ483" s="131">
        <f t="shared" si="105"/>
        <v>0</v>
      </c>
      <c r="AK483" s="131">
        <f t="shared" si="106"/>
        <v>0</v>
      </c>
      <c r="AL483" s="127">
        <f t="shared" si="111"/>
        <v>0</v>
      </c>
      <c r="AM483" s="140">
        <f t="shared" si="107"/>
        <v>0</v>
      </c>
      <c r="AN483" s="140">
        <f t="shared" si="108"/>
        <v>0</v>
      </c>
      <c r="AO483" s="140">
        <f t="shared" si="109"/>
        <v>0</v>
      </c>
      <c r="AP483" s="140">
        <f t="shared" si="110"/>
        <v>0</v>
      </c>
    </row>
    <row r="484" spans="2:42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AC484" s="131">
        <f t="shared" si="98"/>
        <v>0</v>
      </c>
      <c r="AD484" s="131">
        <f t="shared" si="99"/>
        <v>0</v>
      </c>
      <c r="AE484" s="131">
        <f t="shared" si="100"/>
        <v>0</v>
      </c>
      <c r="AF484" s="131">
        <f t="shared" si="101"/>
        <v>0</v>
      </c>
      <c r="AG484" s="140">
        <f t="shared" si="102"/>
        <v>0</v>
      </c>
      <c r="AH484" s="140">
        <f t="shared" si="103"/>
        <v>0</v>
      </c>
      <c r="AI484" s="140">
        <f t="shared" si="104"/>
        <v>0</v>
      </c>
      <c r="AJ484" s="131">
        <f t="shared" si="105"/>
        <v>0</v>
      </c>
      <c r="AK484" s="131">
        <f t="shared" si="106"/>
        <v>0</v>
      </c>
      <c r="AL484" s="127">
        <f t="shared" si="111"/>
        <v>0</v>
      </c>
      <c r="AM484" s="140">
        <f t="shared" si="107"/>
        <v>0</v>
      </c>
      <c r="AN484" s="140">
        <f t="shared" si="108"/>
        <v>0</v>
      </c>
      <c r="AO484" s="140">
        <f t="shared" si="109"/>
        <v>0</v>
      </c>
      <c r="AP484" s="140">
        <f t="shared" si="110"/>
        <v>0</v>
      </c>
    </row>
    <row r="485" spans="2:42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AC485" s="131">
        <f t="shared" si="98"/>
        <v>0</v>
      </c>
      <c r="AD485" s="131">
        <f t="shared" si="99"/>
        <v>0</v>
      </c>
      <c r="AE485" s="131">
        <f t="shared" si="100"/>
        <v>0</v>
      </c>
      <c r="AF485" s="131">
        <f t="shared" si="101"/>
        <v>0</v>
      </c>
      <c r="AG485" s="140">
        <f t="shared" si="102"/>
        <v>0</v>
      </c>
      <c r="AH485" s="140">
        <f t="shared" si="103"/>
        <v>0</v>
      </c>
      <c r="AI485" s="140">
        <f t="shared" si="104"/>
        <v>0</v>
      </c>
      <c r="AJ485" s="131">
        <f t="shared" si="105"/>
        <v>0</v>
      </c>
      <c r="AK485" s="131">
        <f t="shared" si="106"/>
        <v>0</v>
      </c>
      <c r="AL485" s="127">
        <f t="shared" si="111"/>
        <v>0</v>
      </c>
      <c r="AM485" s="140">
        <f t="shared" si="107"/>
        <v>0</v>
      </c>
      <c r="AN485" s="140">
        <f t="shared" si="108"/>
        <v>0</v>
      </c>
      <c r="AO485" s="140">
        <f t="shared" si="109"/>
        <v>0</v>
      </c>
      <c r="AP485" s="140">
        <f t="shared" si="110"/>
        <v>0</v>
      </c>
    </row>
    <row r="486" spans="2:42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AC486" s="131">
        <f t="shared" si="98"/>
        <v>0</v>
      </c>
      <c r="AD486" s="131">
        <f t="shared" si="99"/>
        <v>0</v>
      </c>
      <c r="AE486" s="131">
        <f t="shared" si="100"/>
        <v>0</v>
      </c>
      <c r="AF486" s="131">
        <f t="shared" si="101"/>
        <v>0</v>
      </c>
      <c r="AG486" s="140">
        <f t="shared" si="102"/>
        <v>0</v>
      </c>
      <c r="AH486" s="140">
        <f t="shared" si="103"/>
        <v>0</v>
      </c>
      <c r="AI486" s="140">
        <f t="shared" si="104"/>
        <v>0</v>
      </c>
      <c r="AJ486" s="131">
        <f t="shared" si="105"/>
        <v>0</v>
      </c>
      <c r="AK486" s="131">
        <f t="shared" si="106"/>
        <v>0</v>
      </c>
      <c r="AL486" s="127">
        <f t="shared" si="111"/>
        <v>0</v>
      </c>
      <c r="AM486" s="140">
        <f t="shared" si="107"/>
        <v>0</v>
      </c>
      <c r="AN486" s="140">
        <f t="shared" si="108"/>
        <v>0</v>
      </c>
      <c r="AO486" s="140">
        <f t="shared" si="109"/>
        <v>0</v>
      </c>
      <c r="AP486" s="140">
        <f t="shared" si="110"/>
        <v>0</v>
      </c>
    </row>
    <row r="487" spans="2:42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AC487" s="131">
        <f t="shared" si="98"/>
        <v>0</v>
      </c>
      <c r="AD487" s="131">
        <f t="shared" si="99"/>
        <v>0</v>
      </c>
      <c r="AE487" s="131">
        <f t="shared" si="100"/>
        <v>0</v>
      </c>
      <c r="AF487" s="131">
        <f t="shared" si="101"/>
        <v>0</v>
      </c>
      <c r="AG487" s="140">
        <f t="shared" si="102"/>
        <v>0</v>
      </c>
      <c r="AH487" s="140">
        <f t="shared" si="103"/>
        <v>0</v>
      </c>
      <c r="AI487" s="140">
        <f t="shared" si="104"/>
        <v>0</v>
      </c>
      <c r="AJ487" s="131">
        <f t="shared" si="105"/>
        <v>0</v>
      </c>
      <c r="AK487" s="131">
        <f t="shared" si="106"/>
        <v>0</v>
      </c>
      <c r="AL487" s="127">
        <f t="shared" si="111"/>
        <v>0</v>
      </c>
      <c r="AM487" s="140">
        <f t="shared" si="107"/>
        <v>0</v>
      </c>
      <c r="AN487" s="140">
        <f t="shared" si="108"/>
        <v>0</v>
      </c>
      <c r="AO487" s="140">
        <f t="shared" si="109"/>
        <v>0</v>
      </c>
      <c r="AP487" s="140">
        <f t="shared" si="110"/>
        <v>0</v>
      </c>
    </row>
    <row r="488" spans="2:42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AC488" s="131">
        <f t="shared" si="98"/>
        <v>0</v>
      </c>
      <c r="AD488" s="131">
        <f t="shared" si="99"/>
        <v>0</v>
      </c>
      <c r="AE488" s="131">
        <f t="shared" si="100"/>
        <v>0</v>
      </c>
      <c r="AF488" s="131">
        <f t="shared" si="101"/>
        <v>0</v>
      </c>
      <c r="AG488" s="140">
        <f t="shared" si="102"/>
        <v>0</v>
      </c>
      <c r="AH488" s="140">
        <f t="shared" si="103"/>
        <v>0</v>
      </c>
      <c r="AI488" s="140">
        <f t="shared" si="104"/>
        <v>0</v>
      </c>
      <c r="AJ488" s="131">
        <f t="shared" si="105"/>
        <v>0</v>
      </c>
      <c r="AK488" s="131">
        <f t="shared" si="106"/>
        <v>0</v>
      </c>
      <c r="AL488" s="127">
        <f t="shared" si="111"/>
        <v>0</v>
      </c>
      <c r="AM488" s="140">
        <f t="shared" si="107"/>
        <v>0</v>
      </c>
      <c r="AN488" s="140">
        <f t="shared" si="108"/>
        <v>0</v>
      </c>
      <c r="AO488" s="140">
        <f t="shared" si="109"/>
        <v>0</v>
      </c>
      <c r="AP488" s="140">
        <f t="shared" si="110"/>
        <v>0</v>
      </c>
    </row>
    <row r="489" spans="2:42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AC489" s="131">
        <f t="shared" si="98"/>
        <v>0</v>
      </c>
      <c r="AD489" s="131">
        <f t="shared" si="99"/>
        <v>0</v>
      </c>
      <c r="AE489" s="131">
        <f t="shared" si="100"/>
        <v>0</v>
      </c>
      <c r="AF489" s="131">
        <f t="shared" si="101"/>
        <v>0</v>
      </c>
      <c r="AG489" s="140">
        <f t="shared" si="102"/>
        <v>0</v>
      </c>
      <c r="AH489" s="140">
        <f t="shared" si="103"/>
        <v>0</v>
      </c>
      <c r="AI489" s="140">
        <f t="shared" si="104"/>
        <v>0</v>
      </c>
      <c r="AJ489" s="131">
        <f t="shared" si="105"/>
        <v>0</v>
      </c>
      <c r="AK489" s="131">
        <f t="shared" si="106"/>
        <v>0</v>
      </c>
      <c r="AL489" s="127">
        <f t="shared" si="111"/>
        <v>0</v>
      </c>
      <c r="AM489" s="140">
        <f t="shared" si="107"/>
        <v>0</v>
      </c>
      <c r="AN489" s="140">
        <f t="shared" si="108"/>
        <v>0</v>
      </c>
      <c r="AO489" s="140">
        <f t="shared" si="109"/>
        <v>0</v>
      </c>
      <c r="AP489" s="140">
        <f t="shared" si="110"/>
        <v>0</v>
      </c>
    </row>
    <row r="490" spans="2:42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AC490" s="131">
        <f t="shared" si="98"/>
        <v>0</v>
      </c>
      <c r="AD490" s="131">
        <f t="shared" si="99"/>
        <v>0</v>
      </c>
      <c r="AE490" s="131">
        <f t="shared" si="100"/>
        <v>0</v>
      </c>
      <c r="AF490" s="131">
        <f t="shared" si="101"/>
        <v>0</v>
      </c>
      <c r="AG490" s="140">
        <f t="shared" si="102"/>
        <v>0</v>
      </c>
      <c r="AH490" s="140">
        <f t="shared" si="103"/>
        <v>0</v>
      </c>
      <c r="AI490" s="140">
        <f t="shared" si="104"/>
        <v>0</v>
      </c>
      <c r="AJ490" s="131">
        <f t="shared" si="105"/>
        <v>0</v>
      </c>
      <c r="AK490" s="131">
        <f t="shared" si="106"/>
        <v>0</v>
      </c>
      <c r="AL490" s="127">
        <f t="shared" si="111"/>
        <v>0</v>
      </c>
      <c r="AM490" s="140">
        <f t="shared" si="107"/>
        <v>0</v>
      </c>
      <c r="AN490" s="140">
        <f t="shared" si="108"/>
        <v>0</v>
      </c>
      <c r="AO490" s="140">
        <f t="shared" si="109"/>
        <v>0</v>
      </c>
      <c r="AP490" s="140">
        <f t="shared" si="110"/>
        <v>0</v>
      </c>
    </row>
    <row r="491" spans="2:42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AC491" s="131">
        <f t="shared" si="98"/>
        <v>0</v>
      </c>
      <c r="AD491" s="131">
        <f t="shared" si="99"/>
        <v>0</v>
      </c>
      <c r="AE491" s="131">
        <f t="shared" si="100"/>
        <v>0</v>
      </c>
      <c r="AF491" s="131">
        <f t="shared" si="101"/>
        <v>0</v>
      </c>
      <c r="AG491" s="140">
        <f t="shared" si="102"/>
        <v>0</v>
      </c>
      <c r="AH491" s="140">
        <f t="shared" si="103"/>
        <v>0</v>
      </c>
      <c r="AI491" s="140">
        <f t="shared" si="104"/>
        <v>0</v>
      </c>
      <c r="AJ491" s="131">
        <f t="shared" si="105"/>
        <v>0</v>
      </c>
      <c r="AK491" s="131">
        <f t="shared" si="106"/>
        <v>0</v>
      </c>
      <c r="AL491" s="127">
        <f t="shared" si="111"/>
        <v>0</v>
      </c>
      <c r="AM491" s="140">
        <f t="shared" si="107"/>
        <v>0</v>
      </c>
      <c r="AN491" s="140">
        <f t="shared" si="108"/>
        <v>0</v>
      </c>
      <c r="AO491" s="140">
        <f t="shared" si="109"/>
        <v>0</v>
      </c>
      <c r="AP491" s="140">
        <f t="shared" si="110"/>
        <v>0</v>
      </c>
    </row>
    <row r="492" spans="2:42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AC492" s="131">
        <f t="shared" si="98"/>
        <v>0</v>
      </c>
      <c r="AD492" s="131">
        <f t="shared" si="99"/>
        <v>0</v>
      </c>
      <c r="AE492" s="131">
        <f t="shared" si="100"/>
        <v>0</v>
      </c>
      <c r="AF492" s="131">
        <f t="shared" si="101"/>
        <v>0</v>
      </c>
      <c r="AG492" s="140">
        <f t="shared" si="102"/>
        <v>0</v>
      </c>
      <c r="AH492" s="140">
        <f t="shared" si="103"/>
        <v>0</v>
      </c>
      <c r="AI492" s="140">
        <f t="shared" si="104"/>
        <v>0</v>
      </c>
      <c r="AJ492" s="131">
        <f t="shared" si="105"/>
        <v>0</v>
      </c>
      <c r="AK492" s="131">
        <f t="shared" si="106"/>
        <v>0</v>
      </c>
      <c r="AL492" s="127">
        <f t="shared" si="111"/>
        <v>0</v>
      </c>
      <c r="AM492" s="140">
        <f t="shared" si="107"/>
        <v>0</v>
      </c>
      <c r="AN492" s="140">
        <f t="shared" si="108"/>
        <v>0</v>
      </c>
      <c r="AO492" s="140">
        <f t="shared" si="109"/>
        <v>0</v>
      </c>
      <c r="AP492" s="140">
        <f t="shared" si="110"/>
        <v>0</v>
      </c>
    </row>
    <row r="493" spans="2:42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AC493" s="131">
        <f t="shared" si="98"/>
        <v>0</v>
      </c>
      <c r="AD493" s="131">
        <f t="shared" si="99"/>
        <v>0</v>
      </c>
      <c r="AE493" s="131">
        <f t="shared" si="100"/>
        <v>0</v>
      </c>
      <c r="AF493" s="131">
        <f t="shared" si="101"/>
        <v>0</v>
      </c>
      <c r="AG493" s="140">
        <f t="shared" si="102"/>
        <v>0</v>
      </c>
      <c r="AH493" s="140">
        <f t="shared" si="103"/>
        <v>0</v>
      </c>
      <c r="AI493" s="140">
        <f t="shared" si="104"/>
        <v>0</v>
      </c>
      <c r="AJ493" s="131">
        <f t="shared" si="105"/>
        <v>0</v>
      </c>
      <c r="AK493" s="131">
        <f t="shared" si="106"/>
        <v>0</v>
      </c>
      <c r="AL493" s="127">
        <f t="shared" si="111"/>
        <v>0</v>
      </c>
      <c r="AM493" s="140">
        <f t="shared" si="107"/>
        <v>0</v>
      </c>
      <c r="AN493" s="140">
        <f t="shared" si="108"/>
        <v>0</v>
      </c>
      <c r="AO493" s="140">
        <f t="shared" si="109"/>
        <v>0</v>
      </c>
      <c r="AP493" s="140">
        <f t="shared" si="110"/>
        <v>0</v>
      </c>
    </row>
    <row r="494" spans="2:42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AC494" s="131">
        <f t="shared" si="98"/>
        <v>0</v>
      </c>
      <c r="AD494" s="131">
        <f t="shared" si="99"/>
        <v>0</v>
      </c>
      <c r="AE494" s="131">
        <f t="shared" si="100"/>
        <v>0</v>
      </c>
      <c r="AF494" s="131">
        <f t="shared" si="101"/>
        <v>0</v>
      </c>
      <c r="AG494" s="140">
        <f t="shared" si="102"/>
        <v>0</v>
      </c>
      <c r="AH494" s="140">
        <f t="shared" si="103"/>
        <v>0</v>
      </c>
      <c r="AI494" s="140">
        <f t="shared" si="104"/>
        <v>0</v>
      </c>
      <c r="AJ494" s="131">
        <f t="shared" si="105"/>
        <v>0</v>
      </c>
      <c r="AK494" s="131">
        <f t="shared" si="106"/>
        <v>0</v>
      </c>
      <c r="AL494" s="127">
        <f t="shared" si="111"/>
        <v>0</v>
      </c>
      <c r="AM494" s="140">
        <f t="shared" si="107"/>
        <v>0</v>
      </c>
      <c r="AN494" s="140">
        <f t="shared" si="108"/>
        <v>0</v>
      </c>
      <c r="AO494" s="140">
        <f t="shared" si="109"/>
        <v>0</v>
      </c>
      <c r="AP494" s="140">
        <f t="shared" si="110"/>
        <v>0</v>
      </c>
    </row>
    <row r="495" spans="2:42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AC495" s="131">
        <f t="shared" si="98"/>
        <v>0</v>
      </c>
      <c r="AD495" s="131">
        <f t="shared" si="99"/>
        <v>0</v>
      </c>
      <c r="AE495" s="131">
        <f t="shared" si="100"/>
        <v>0</v>
      </c>
      <c r="AF495" s="131">
        <f t="shared" si="101"/>
        <v>0</v>
      </c>
      <c r="AG495" s="140">
        <f t="shared" si="102"/>
        <v>0</v>
      </c>
      <c r="AH495" s="140">
        <f t="shared" si="103"/>
        <v>0</v>
      </c>
      <c r="AI495" s="140">
        <f t="shared" si="104"/>
        <v>0</v>
      </c>
      <c r="AJ495" s="131">
        <f t="shared" si="105"/>
        <v>0</v>
      </c>
      <c r="AK495" s="131">
        <f t="shared" si="106"/>
        <v>0</v>
      </c>
      <c r="AL495" s="127">
        <f t="shared" si="111"/>
        <v>0</v>
      </c>
      <c r="AM495" s="140">
        <f t="shared" si="107"/>
        <v>0</v>
      </c>
      <c r="AN495" s="140">
        <f t="shared" si="108"/>
        <v>0</v>
      </c>
      <c r="AO495" s="140">
        <f t="shared" si="109"/>
        <v>0</v>
      </c>
      <c r="AP495" s="140">
        <f t="shared" si="110"/>
        <v>0</v>
      </c>
    </row>
    <row r="496" spans="2:42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AC496" s="131">
        <f t="shared" si="98"/>
        <v>0</v>
      </c>
      <c r="AD496" s="131">
        <f t="shared" si="99"/>
        <v>0</v>
      </c>
      <c r="AE496" s="131">
        <f t="shared" si="100"/>
        <v>0</v>
      </c>
      <c r="AF496" s="131">
        <f t="shared" si="101"/>
        <v>0</v>
      </c>
      <c r="AG496" s="140">
        <f t="shared" si="102"/>
        <v>0</v>
      </c>
      <c r="AH496" s="140">
        <f t="shared" si="103"/>
        <v>0</v>
      </c>
      <c r="AI496" s="140">
        <f t="shared" si="104"/>
        <v>0</v>
      </c>
      <c r="AJ496" s="131">
        <f t="shared" si="105"/>
        <v>0</v>
      </c>
      <c r="AK496" s="131">
        <f t="shared" si="106"/>
        <v>0</v>
      </c>
      <c r="AL496" s="127">
        <f t="shared" si="111"/>
        <v>0</v>
      </c>
      <c r="AM496" s="140">
        <f t="shared" si="107"/>
        <v>0</v>
      </c>
      <c r="AN496" s="140">
        <f t="shared" si="108"/>
        <v>0</v>
      </c>
      <c r="AO496" s="140">
        <f t="shared" si="109"/>
        <v>0</v>
      </c>
      <c r="AP496" s="140">
        <f t="shared" si="110"/>
        <v>0</v>
      </c>
    </row>
    <row r="497" spans="2:42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AC497" s="131">
        <f t="shared" si="98"/>
        <v>0</v>
      </c>
      <c r="AD497" s="131">
        <f t="shared" si="99"/>
        <v>0</v>
      </c>
      <c r="AE497" s="131">
        <f t="shared" si="100"/>
        <v>0</v>
      </c>
      <c r="AF497" s="131">
        <f t="shared" si="101"/>
        <v>0</v>
      </c>
      <c r="AG497" s="140">
        <f t="shared" si="102"/>
        <v>0</v>
      </c>
      <c r="AH497" s="140">
        <f t="shared" si="103"/>
        <v>0</v>
      </c>
      <c r="AI497" s="140">
        <f t="shared" si="104"/>
        <v>0</v>
      </c>
      <c r="AJ497" s="131">
        <f t="shared" si="105"/>
        <v>0</v>
      </c>
      <c r="AK497" s="131">
        <f t="shared" si="106"/>
        <v>0</v>
      </c>
      <c r="AL497" s="127">
        <f t="shared" si="111"/>
        <v>0</v>
      </c>
      <c r="AM497" s="140">
        <f t="shared" si="107"/>
        <v>0</v>
      </c>
      <c r="AN497" s="140">
        <f t="shared" si="108"/>
        <v>0</v>
      </c>
      <c r="AO497" s="140">
        <f t="shared" si="109"/>
        <v>0</v>
      </c>
      <c r="AP497" s="140">
        <f t="shared" si="110"/>
        <v>0</v>
      </c>
    </row>
    <row r="498" spans="2:42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AC498" s="131">
        <f t="shared" si="98"/>
        <v>0</v>
      </c>
      <c r="AD498" s="131">
        <f t="shared" si="99"/>
        <v>0</v>
      </c>
      <c r="AE498" s="131">
        <f t="shared" si="100"/>
        <v>0</v>
      </c>
      <c r="AF498" s="131">
        <f t="shared" si="101"/>
        <v>0</v>
      </c>
      <c r="AG498" s="140">
        <f t="shared" si="102"/>
        <v>0</v>
      </c>
      <c r="AH498" s="140">
        <f t="shared" si="103"/>
        <v>0</v>
      </c>
      <c r="AI498" s="140">
        <f t="shared" si="104"/>
        <v>0</v>
      </c>
      <c r="AJ498" s="131">
        <f t="shared" si="105"/>
        <v>0</v>
      </c>
      <c r="AK498" s="131">
        <f t="shared" si="106"/>
        <v>0</v>
      </c>
      <c r="AL498" s="127">
        <f t="shared" si="111"/>
        <v>0</v>
      </c>
      <c r="AM498" s="140">
        <f t="shared" si="107"/>
        <v>0</v>
      </c>
      <c r="AN498" s="140">
        <f t="shared" si="108"/>
        <v>0</v>
      </c>
      <c r="AO498" s="140">
        <f t="shared" si="109"/>
        <v>0</v>
      </c>
      <c r="AP498" s="140">
        <f t="shared" si="110"/>
        <v>0</v>
      </c>
    </row>
    <row r="499" spans="2:42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AC499" s="131">
        <f t="shared" si="98"/>
        <v>0</v>
      </c>
      <c r="AD499" s="131">
        <f t="shared" si="99"/>
        <v>0</v>
      </c>
      <c r="AE499" s="131">
        <f t="shared" si="100"/>
        <v>0</v>
      </c>
      <c r="AF499" s="131">
        <f t="shared" si="101"/>
        <v>0</v>
      </c>
      <c r="AG499" s="140">
        <f t="shared" si="102"/>
        <v>0</v>
      </c>
      <c r="AH499" s="140">
        <f t="shared" si="103"/>
        <v>0</v>
      </c>
      <c r="AI499" s="140">
        <f t="shared" si="104"/>
        <v>0</v>
      </c>
      <c r="AJ499" s="131">
        <f t="shared" si="105"/>
        <v>0</v>
      </c>
      <c r="AK499" s="131">
        <f t="shared" si="106"/>
        <v>0</v>
      </c>
      <c r="AL499" s="127">
        <f t="shared" si="111"/>
        <v>0</v>
      </c>
      <c r="AM499" s="140">
        <f t="shared" si="107"/>
        <v>0</v>
      </c>
      <c r="AN499" s="140">
        <f t="shared" si="108"/>
        <v>0</v>
      </c>
      <c r="AO499" s="140">
        <f t="shared" si="109"/>
        <v>0</v>
      </c>
      <c r="AP499" s="140">
        <f t="shared" si="110"/>
        <v>0</v>
      </c>
    </row>
    <row r="500" spans="2:42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AC500" s="131">
        <f t="shared" si="98"/>
        <v>0</v>
      </c>
      <c r="AD500" s="131">
        <f t="shared" si="99"/>
        <v>0</v>
      </c>
      <c r="AE500" s="131">
        <f t="shared" si="100"/>
        <v>0</v>
      </c>
      <c r="AF500" s="131">
        <f t="shared" si="101"/>
        <v>0</v>
      </c>
      <c r="AG500" s="140">
        <f t="shared" si="102"/>
        <v>0</v>
      </c>
      <c r="AH500" s="140">
        <f t="shared" si="103"/>
        <v>0</v>
      </c>
      <c r="AI500" s="140">
        <f t="shared" si="104"/>
        <v>0</v>
      </c>
      <c r="AJ500" s="131">
        <f t="shared" si="105"/>
        <v>0</v>
      </c>
      <c r="AK500" s="131">
        <f t="shared" si="106"/>
        <v>0</v>
      </c>
      <c r="AL500" s="127">
        <f t="shared" si="111"/>
        <v>0</v>
      </c>
      <c r="AM500" s="140">
        <f t="shared" si="107"/>
        <v>0</v>
      </c>
      <c r="AN500" s="140">
        <f t="shared" si="108"/>
        <v>0</v>
      </c>
      <c r="AO500" s="140">
        <f t="shared" si="109"/>
        <v>0</v>
      </c>
      <c r="AP500" s="140">
        <f t="shared" si="110"/>
        <v>0</v>
      </c>
    </row>
    <row r="501" spans="2:42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AC501" s="131">
        <f t="shared" si="98"/>
        <v>0</v>
      </c>
      <c r="AD501" s="131">
        <f t="shared" si="99"/>
        <v>0</v>
      </c>
      <c r="AE501" s="131">
        <f t="shared" si="100"/>
        <v>0</v>
      </c>
      <c r="AF501" s="131">
        <f t="shared" si="101"/>
        <v>0</v>
      </c>
      <c r="AG501" s="140">
        <f t="shared" si="102"/>
        <v>0</v>
      </c>
      <c r="AH501" s="140">
        <f t="shared" si="103"/>
        <v>0</v>
      </c>
      <c r="AI501" s="140">
        <f t="shared" si="104"/>
        <v>0</v>
      </c>
      <c r="AJ501" s="131">
        <f t="shared" si="105"/>
        <v>0</v>
      </c>
      <c r="AK501" s="131">
        <f t="shared" si="106"/>
        <v>0</v>
      </c>
      <c r="AL501" s="127">
        <f t="shared" si="111"/>
        <v>0</v>
      </c>
      <c r="AM501" s="140">
        <f t="shared" si="107"/>
        <v>0</v>
      </c>
      <c r="AN501" s="140">
        <f t="shared" si="108"/>
        <v>0</v>
      </c>
      <c r="AO501" s="140">
        <f t="shared" si="109"/>
        <v>0</v>
      </c>
      <c r="AP501" s="140">
        <f t="shared" si="110"/>
        <v>0</v>
      </c>
    </row>
    <row r="502" spans="2:42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AC502" s="131">
        <f t="shared" si="98"/>
        <v>0</v>
      </c>
      <c r="AD502" s="131">
        <f t="shared" si="99"/>
        <v>0</v>
      </c>
      <c r="AE502" s="131">
        <f t="shared" si="100"/>
        <v>0</v>
      </c>
      <c r="AF502" s="131">
        <f t="shared" si="101"/>
        <v>0</v>
      </c>
      <c r="AG502" s="140">
        <f t="shared" si="102"/>
        <v>0</v>
      </c>
      <c r="AH502" s="140">
        <f t="shared" si="103"/>
        <v>0</v>
      </c>
      <c r="AI502" s="140">
        <f t="shared" si="104"/>
        <v>0</v>
      </c>
      <c r="AJ502" s="131">
        <f t="shared" si="105"/>
        <v>0</v>
      </c>
      <c r="AK502" s="131">
        <f t="shared" si="106"/>
        <v>0</v>
      </c>
      <c r="AL502" s="127">
        <f t="shared" si="111"/>
        <v>0</v>
      </c>
      <c r="AM502" s="140">
        <f t="shared" si="107"/>
        <v>0</v>
      </c>
      <c r="AN502" s="140">
        <f t="shared" si="108"/>
        <v>0</v>
      </c>
      <c r="AO502" s="140">
        <f t="shared" si="109"/>
        <v>0</v>
      </c>
      <c r="AP502" s="140">
        <f t="shared" si="110"/>
        <v>0</v>
      </c>
    </row>
    <row r="503" spans="2:42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AC503" s="131">
        <f t="shared" si="98"/>
        <v>0</v>
      </c>
      <c r="AD503" s="131">
        <f t="shared" si="99"/>
        <v>0</v>
      </c>
      <c r="AE503" s="131">
        <f t="shared" si="100"/>
        <v>0</v>
      </c>
      <c r="AF503" s="131">
        <f t="shared" si="101"/>
        <v>0</v>
      </c>
      <c r="AG503" s="140">
        <f t="shared" si="102"/>
        <v>0</v>
      </c>
      <c r="AH503" s="140">
        <f t="shared" si="103"/>
        <v>0</v>
      </c>
      <c r="AI503" s="140">
        <f t="shared" si="104"/>
        <v>0</v>
      </c>
      <c r="AJ503" s="131">
        <f t="shared" si="105"/>
        <v>0</v>
      </c>
      <c r="AK503" s="131">
        <f t="shared" si="106"/>
        <v>0</v>
      </c>
      <c r="AL503" s="127">
        <f t="shared" si="111"/>
        <v>0</v>
      </c>
      <c r="AM503" s="140">
        <f t="shared" si="107"/>
        <v>0</v>
      </c>
      <c r="AN503" s="140">
        <f t="shared" si="108"/>
        <v>0</v>
      </c>
      <c r="AO503" s="140">
        <f t="shared" si="109"/>
        <v>0</v>
      </c>
      <c r="AP503" s="140">
        <f t="shared" si="110"/>
        <v>0</v>
      </c>
    </row>
    <row r="504" spans="2:42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AC504" s="131">
        <f t="shared" si="98"/>
        <v>0</v>
      </c>
      <c r="AD504" s="131">
        <f t="shared" si="99"/>
        <v>0</v>
      </c>
      <c r="AE504" s="131">
        <f t="shared" si="100"/>
        <v>0</v>
      </c>
      <c r="AF504" s="131">
        <f t="shared" si="101"/>
        <v>0</v>
      </c>
      <c r="AG504" s="140">
        <f t="shared" si="102"/>
        <v>0</v>
      </c>
      <c r="AH504" s="140">
        <f t="shared" si="103"/>
        <v>0</v>
      </c>
      <c r="AI504" s="140">
        <f t="shared" si="104"/>
        <v>0</v>
      </c>
      <c r="AJ504" s="131">
        <f t="shared" si="105"/>
        <v>0</v>
      </c>
      <c r="AK504" s="131">
        <f t="shared" si="106"/>
        <v>0</v>
      </c>
      <c r="AL504" s="127">
        <f t="shared" si="111"/>
        <v>0</v>
      </c>
      <c r="AM504" s="140">
        <f t="shared" si="107"/>
        <v>0</v>
      </c>
      <c r="AN504" s="140">
        <f t="shared" si="108"/>
        <v>0</v>
      </c>
      <c r="AO504" s="140">
        <f t="shared" si="109"/>
        <v>0</v>
      </c>
      <c r="AP504" s="140">
        <f t="shared" si="110"/>
        <v>0</v>
      </c>
    </row>
    <row r="505" spans="2:42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AC505" s="131">
        <f t="shared" si="98"/>
        <v>0</v>
      </c>
      <c r="AD505" s="131">
        <f t="shared" si="99"/>
        <v>0</v>
      </c>
      <c r="AE505" s="131">
        <f t="shared" si="100"/>
        <v>0</v>
      </c>
      <c r="AF505" s="131">
        <f t="shared" si="101"/>
        <v>0</v>
      </c>
      <c r="AG505" s="140">
        <f t="shared" si="102"/>
        <v>0</v>
      </c>
      <c r="AH505" s="140">
        <f t="shared" si="103"/>
        <v>0</v>
      </c>
      <c r="AI505" s="140">
        <f t="shared" si="104"/>
        <v>0</v>
      </c>
      <c r="AJ505" s="131">
        <f t="shared" si="105"/>
        <v>0</v>
      </c>
      <c r="AK505" s="131">
        <f t="shared" si="106"/>
        <v>0</v>
      </c>
      <c r="AL505" s="127">
        <f t="shared" si="111"/>
        <v>0</v>
      </c>
      <c r="AM505" s="140">
        <f t="shared" si="107"/>
        <v>0</v>
      </c>
      <c r="AN505" s="140">
        <f t="shared" si="108"/>
        <v>0</v>
      </c>
      <c r="AO505" s="140">
        <f t="shared" si="109"/>
        <v>0</v>
      </c>
      <c r="AP505" s="140">
        <f t="shared" si="110"/>
        <v>0</v>
      </c>
    </row>
    <row r="506" spans="2:42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AC506" s="131">
        <f t="shared" si="98"/>
        <v>0</v>
      </c>
      <c r="AD506" s="131">
        <f t="shared" si="99"/>
        <v>0</v>
      </c>
      <c r="AE506" s="131">
        <f t="shared" si="100"/>
        <v>0</v>
      </c>
      <c r="AF506" s="131">
        <f t="shared" si="101"/>
        <v>0</v>
      </c>
      <c r="AG506" s="140">
        <f t="shared" si="102"/>
        <v>0</v>
      </c>
      <c r="AH506" s="140">
        <f t="shared" si="103"/>
        <v>0</v>
      </c>
      <c r="AI506" s="140">
        <f t="shared" si="104"/>
        <v>0</v>
      </c>
      <c r="AJ506" s="131">
        <f t="shared" si="105"/>
        <v>0</v>
      </c>
      <c r="AK506" s="131">
        <f t="shared" si="106"/>
        <v>0</v>
      </c>
      <c r="AL506" s="127">
        <f t="shared" si="111"/>
        <v>0</v>
      </c>
      <c r="AM506" s="140">
        <f t="shared" si="107"/>
        <v>0</v>
      </c>
      <c r="AN506" s="140">
        <f t="shared" si="108"/>
        <v>0</v>
      </c>
      <c r="AO506" s="140">
        <f t="shared" si="109"/>
        <v>0</v>
      </c>
      <c r="AP506" s="140">
        <f t="shared" si="110"/>
        <v>0</v>
      </c>
    </row>
    <row r="507" spans="2:42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AC507" s="131">
        <f t="shared" ref="AC507:AC570" si="112">+H507</f>
        <v>0</v>
      </c>
      <c r="AD507" s="131">
        <f t="shared" ref="AD507:AD570" si="113">+I507</f>
        <v>0</v>
      </c>
      <c r="AE507" s="131">
        <f t="shared" ref="AE507:AE570" si="114">+J507</f>
        <v>0</v>
      </c>
      <c r="AF507" s="131">
        <f t="shared" ref="AF507:AF570" si="115">+K507</f>
        <v>0</v>
      </c>
      <c r="AG507" s="140">
        <f t="shared" ref="AG507:AG570" si="116">+G507</f>
        <v>0</v>
      </c>
      <c r="AH507" s="140">
        <f t="shared" ref="AH507:AH570" si="117">+L507</f>
        <v>0</v>
      </c>
      <c r="AI507" s="140">
        <f t="shared" ref="AI507:AI570" si="118">+M507</f>
        <v>0</v>
      </c>
      <c r="AJ507" s="131">
        <f t="shared" ref="AJ507:AJ570" si="119">+T507</f>
        <v>0</v>
      </c>
      <c r="AK507" s="131">
        <f t="shared" ref="AK507:AK570" si="120">+N507+O507</f>
        <v>0</v>
      </c>
      <c r="AL507" s="127">
        <f t="shared" si="111"/>
        <v>0</v>
      </c>
      <c r="AM507" s="140">
        <f t="shared" ref="AM507:AM570" si="121">+P507+R507</f>
        <v>0</v>
      </c>
      <c r="AN507" s="140">
        <f t="shared" ref="AN507:AN570" si="122">+Q507+S507</f>
        <v>0</v>
      </c>
      <c r="AO507" s="140">
        <f t="shared" ref="AO507:AO570" si="123">+U507</f>
        <v>0</v>
      </c>
      <c r="AP507" s="140">
        <f t="shared" ref="AP507:AP570" si="124">+AG507+AH507+AJ507-AK507-AM507-AO507</f>
        <v>0</v>
      </c>
    </row>
    <row r="508" spans="2:42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AC508" s="131">
        <f t="shared" si="112"/>
        <v>0</v>
      </c>
      <c r="AD508" s="131">
        <f t="shared" si="113"/>
        <v>0</v>
      </c>
      <c r="AE508" s="131">
        <f t="shared" si="114"/>
        <v>0</v>
      </c>
      <c r="AF508" s="131">
        <f t="shared" si="115"/>
        <v>0</v>
      </c>
      <c r="AG508" s="140">
        <f t="shared" si="116"/>
        <v>0</v>
      </c>
      <c r="AH508" s="140">
        <f t="shared" si="117"/>
        <v>0</v>
      </c>
      <c r="AI508" s="140">
        <f t="shared" si="118"/>
        <v>0</v>
      </c>
      <c r="AJ508" s="131">
        <f t="shared" si="119"/>
        <v>0</v>
      </c>
      <c r="AK508" s="131">
        <f t="shared" si="120"/>
        <v>0</v>
      </c>
      <c r="AL508" s="127">
        <f t="shared" si="111"/>
        <v>0</v>
      </c>
      <c r="AM508" s="140">
        <f t="shared" si="121"/>
        <v>0</v>
      </c>
      <c r="AN508" s="140">
        <f t="shared" si="122"/>
        <v>0</v>
      </c>
      <c r="AO508" s="140">
        <f t="shared" si="123"/>
        <v>0</v>
      </c>
      <c r="AP508" s="140">
        <f t="shared" si="124"/>
        <v>0</v>
      </c>
    </row>
    <row r="509" spans="2:42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AC509" s="131">
        <f t="shared" si="112"/>
        <v>0</v>
      </c>
      <c r="AD509" s="131">
        <f t="shared" si="113"/>
        <v>0</v>
      </c>
      <c r="AE509" s="131">
        <f t="shared" si="114"/>
        <v>0</v>
      </c>
      <c r="AF509" s="131">
        <f t="shared" si="115"/>
        <v>0</v>
      </c>
      <c r="AG509" s="140">
        <f t="shared" si="116"/>
        <v>0</v>
      </c>
      <c r="AH509" s="140">
        <f t="shared" si="117"/>
        <v>0</v>
      </c>
      <c r="AI509" s="140">
        <f t="shared" si="118"/>
        <v>0</v>
      </c>
      <c r="AJ509" s="131">
        <f t="shared" si="119"/>
        <v>0</v>
      </c>
      <c r="AK509" s="131">
        <f t="shared" si="120"/>
        <v>0</v>
      </c>
      <c r="AL509" s="127">
        <f t="shared" si="111"/>
        <v>0</v>
      </c>
      <c r="AM509" s="140">
        <f t="shared" si="121"/>
        <v>0</v>
      </c>
      <c r="AN509" s="140">
        <f t="shared" si="122"/>
        <v>0</v>
      </c>
      <c r="AO509" s="140">
        <f t="shared" si="123"/>
        <v>0</v>
      </c>
      <c r="AP509" s="140">
        <f t="shared" si="124"/>
        <v>0</v>
      </c>
    </row>
    <row r="510" spans="2:42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AC510" s="131">
        <f t="shared" si="112"/>
        <v>0</v>
      </c>
      <c r="AD510" s="131">
        <f t="shared" si="113"/>
        <v>0</v>
      </c>
      <c r="AE510" s="131">
        <f t="shared" si="114"/>
        <v>0</v>
      </c>
      <c r="AF510" s="131">
        <f t="shared" si="115"/>
        <v>0</v>
      </c>
      <c r="AG510" s="140">
        <f t="shared" si="116"/>
        <v>0</v>
      </c>
      <c r="AH510" s="140">
        <f t="shared" si="117"/>
        <v>0</v>
      </c>
      <c r="AI510" s="140">
        <f t="shared" si="118"/>
        <v>0</v>
      </c>
      <c r="AJ510" s="131">
        <f t="shared" si="119"/>
        <v>0</v>
      </c>
      <c r="AK510" s="131">
        <f t="shared" si="120"/>
        <v>0</v>
      </c>
      <c r="AL510" s="127">
        <f t="shared" si="111"/>
        <v>0</v>
      </c>
      <c r="AM510" s="140">
        <f t="shared" si="121"/>
        <v>0</v>
      </c>
      <c r="AN510" s="140">
        <f t="shared" si="122"/>
        <v>0</v>
      </c>
      <c r="AO510" s="140">
        <f t="shared" si="123"/>
        <v>0</v>
      </c>
      <c r="AP510" s="140">
        <f t="shared" si="124"/>
        <v>0</v>
      </c>
    </row>
    <row r="511" spans="2:42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AC511" s="131">
        <f t="shared" si="112"/>
        <v>0</v>
      </c>
      <c r="AD511" s="131">
        <f t="shared" si="113"/>
        <v>0</v>
      </c>
      <c r="AE511" s="131">
        <f t="shared" si="114"/>
        <v>0</v>
      </c>
      <c r="AF511" s="131">
        <f t="shared" si="115"/>
        <v>0</v>
      </c>
      <c r="AG511" s="140">
        <f t="shared" si="116"/>
        <v>0</v>
      </c>
      <c r="AH511" s="140">
        <f t="shared" si="117"/>
        <v>0</v>
      </c>
      <c r="AI511" s="140">
        <f t="shared" si="118"/>
        <v>0</v>
      </c>
      <c r="AJ511" s="131">
        <f t="shared" si="119"/>
        <v>0</v>
      </c>
      <c r="AK511" s="131">
        <f t="shared" si="120"/>
        <v>0</v>
      </c>
      <c r="AL511" s="127">
        <f t="shared" si="111"/>
        <v>0</v>
      </c>
      <c r="AM511" s="140">
        <f t="shared" si="121"/>
        <v>0</v>
      </c>
      <c r="AN511" s="140">
        <f t="shared" si="122"/>
        <v>0</v>
      </c>
      <c r="AO511" s="140">
        <f t="shared" si="123"/>
        <v>0</v>
      </c>
      <c r="AP511" s="140">
        <f t="shared" si="124"/>
        <v>0</v>
      </c>
    </row>
    <row r="512" spans="2:42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AC512" s="131">
        <f t="shared" si="112"/>
        <v>0</v>
      </c>
      <c r="AD512" s="131">
        <f t="shared" si="113"/>
        <v>0</v>
      </c>
      <c r="AE512" s="131">
        <f t="shared" si="114"/>
        <v>0</v>
      </c>
      <c r="AF512" s="131">
        <f t="shared" si="115"/>
        <v>0</v>
      </c>
      <c r="AG512" s="140">
        <f t="shared" si="116"/>
        <v>0</v>
      </c>
      <c r="AH512" s="140">
        <f t="shared" si="117"/>
        <v>0</v>
      </c>
      <c r="AI512" s="140">
        <f t="shared" si="118"/>
        <v>0</v>
      </c>
      <c r="AJ512" s="131">
        <f t="shared" si="119"/>
        <v>0</v>
      </c>
      <c r="AK512" s="131">
        <f t="shared" si="120"/>
        <v>0</v>
      </c>
      <c r="AL512" s="127">
        <f t="shared" si="111"/>
        <v>0</v>
      </c>
      <c r="AM512" s="140">
        <f t="shared" si="121"/>
        <v>0</v>
      </c>
      <c r="AN512" s="140">
        <f t="shared" si="122"/>
        <v>0</v>
      </c>
      <c r="AO512" s="140">
        <f t="shared" si="123"/>
        <v>0</v>
      </c>
      <c r="AP512" s="140">
        <f t="shared" si="124"/>
        <v>0</v>
      </c>
    </row>
    <row r="513" spans="2:42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AC513" s="131">
        <f t="shared" si="112"/>
        <v>0</v>
      </c>
      <c r="AD513" s="131">
        <f t="shared" si="113"/>
        <v>0</v>
      </c>
      <c r="AE513" s="131">
        <f t="shared" si="114"/>
        <v>0</v>
      </c>
      <c r="AF513" s="131">
        <f t="shared" si="115"/>
        <v>0</v>
      </c>
      <c r="AG513" s="140">
        <f t="shared" si="116"/>
        <v>0</v>
      </c>
      <c r="AH513" s="140">
        <f t="shared" si="117"/>
        <v>0</v>
      </c>
      <c r="AI513" s="140">
        <f t="shared" si="118"/>
        <v>0</v>
      </c>
      <c r="AJ513" s="131">
        <f t="shared" si="119"/>
        <v>0</v>
      </c>
      <c r="AK513" s="131">
        <f t="shared" si="120"/>
        <v>0</v>
      </c>
      <c r="AL513" s="127">
        <f t="shared" si="111"/>
        <v>0</v>
      </c>
      <c r="AM513" s="140">
        <f t="shared" si="121"/>
        <v>0</v>
      </c>
      <c r="AN513" s="140">
        <f t="shared" si="122"/>
        <v>0</v>
      </c>
      <c r="AO513" s="140">
        <f t="shared" si="123"/>
        <v>0</v>
      </c>
      <c r="AP513" s="140">
        <f t="shared" si="124"/>
        <v>0</v>
      </c>
    </row>
    <row r="514" spans="2:42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AC514" s="131">
        <f t="shared" si="112"/>
        <v>0</v>
      </c>
      <c r="AD514" s="131">
        <f t="shared" si="113"/>
        <v>0</v>
      </c>
      <c r="AE514" s="131">
        <f t="shared" si="114"/>
        <v>0</v>
      </c>
      <c r="AF514" s="131">
        <f t="shared" si="115"/>
        <v>0</v>
      </c>
      <c r="AG514" s="140">
        <f t="shared" si="116"/>
        <v>0</v>
      </c>
      <c r="AH514" s="140">
        <f t="shared" si="117"/>
        <v>0</v>
      </c>
      <c r="AI514" s="140">
        <f t="shared" si="118"/>
        <v>0</v>
      </c>
      <c r="AJ514" s="131">
        <f t="shared" si="119"/>
        <v>0</v>
      </c>
      <c r="AK514" s="131">
        <f t="shared" si="120"/>
        <v>0</v>
      </c>
      <c r="AL514" s="127">
        <f t="shared" si="111"/>
        <v>0</v>
      </c>
      <c r="AM514" s="140">
        <f t="shared" si="121"/>
        <v>0</v>
      </c>
      <c r="AN514" s="140">
        <f t="shared" si="122"/>
        <v>0</v>
      </c>
      <c r="AO514" s="140">
        <f t="shared" si="123"/>
        <v>0</v>
      </c>
      <c r="AP514" s="140">
        <f t="shared" si="124"/>
        <v>0</v>
      </c>
    </row>
    <row r="515" spans="2:42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AC515" s="131">
        <f t="shared" si="112"/>
        <v>0</v>
      </c>
      <c r="AD515" s="131">
        <f t="shared" si="113"/>
        <v>0</v>
      </c>
      <c r="AE515" s="131">
        <f t="shared" si="114"/>
        <v>0</v>
      </c>
      <c r="AF515" s="131">
        <f t="shared" si="115"/>
        <v>0</v>
      </c>
      <c r="AG515" s="140">
        <f t="shared" si="116"/>
        <v>0</v>
      </c>
      <c r="AH515" s="140">
        <f t="shared" si="117"/>
        <v>0</v>
      </c>
      <c r="AI515" s="140">
        <f t="shared" si="118"/>
        <v>0</v>
      </c>
      <c r="AJ515" s="131">
        <f t="shared" si="119"/>
        <v>0</v>
      </c>
      <c r="AK515" s="131">
        <f t="shared" si="120"/>
        <v>0</v>
      </c>
      <c r="AL515" s="127">
        <f t="shared" ref="AL515:AL578" si="125">ROUND(IFERROR(+AK515/AH515*100,0),2)</f>
        <v>0</v>
      </c>
      <c r="AM515" s="140">
        <f t="shared" si="121"/>
        <v>0</v>
      </c>
      <c r="AN515" s="140">
        <f t="shared" si="122"/>
        <v>0</v>
      </c>
      <c r="AO515" s="140">
        <f t="shared" si="123"/>
        <v>0</v>
      </c>
      <c r="AP515" s="140">
        <f t="shared" si="124"/>
        <v>0</v>
      </c>
    </row>
    <row r="516" spans="2:42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AC516" s="131">
        <f t="shared" si="112"/>
        <v>0</v>
      </c>
      <c r="AD516" s="131">
        <f t="shared" si="113"/>
        <v>0</v>
      </c>
      <c r="AE516" s="131">
        <f t="shared" si="114"/>
        <v>0</v>
      </c>
      <c r="AF516" s="131">
        <f t="shared" si="115"/>
        <v>0</v>
      </c>
      <c r="AG516" s="140">
        <f t="shared" si="116"/>
        <v>0</v>
      </c>
      <c r="AH516" s="140">
        <f t="shared" si="117"/>
        <v>0</v>
      </c>
      <c r="AI516" s="140">
        <f t="shared" si="118"/>
        <v>0</v>
      </c>
      <c r="AJ516" s="131">
        <f t="shared" si="119"/>
        <v>0</v>
      </c>
      <c r="AK516" s="131">
        <f t="shared" si="120"/>
        <v>0</v>
      </c>
      <c r="AL516" s="127">
        <f t="shared" si="125"/>
        <v>0</v>
      </c>
      <c r="AM516" s="140">
        <f t="shared" si="121"/>
        <v>0</v>
      </c>
      <c r="AN516" s="140">
        <f t="shared" si="122"/>
        <v>0</v>
      </c>
      <c r="AO516" s="140">
        <f t="shared" si="123"/>
        <v>0</v>
      </c>
      <c r="AP516" s="140">
        <f t="shared" si="124"/>
        <v>0</v>
      </c>
    </row>
    <row r="517" spans="2:42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AC517" s="131">
        <f t="shared" si="112"/>
        <v>0</v>
      </c>
      <c r="AD517" s="131">
        <f t="shared" si="113"/>
        <v>0</v>
      </c>
      <c r="AE517" s="131">
        <f t="shared" si="114"/>
        <v>0</v>
      </c>
      <c r="AF517" s="131">
        <f t="shared" si="115"/>
        <v>0</v>
      </c>
      <c r="AG517" s="140">
        <f t="shared" si="116"/>
        <v>0</v>
      </c>
      <c r="AH517" s="140">
        <f t="shared" si="117"/>
        <v>0</v>
      </c>
      <c r="AI517" s="140">
        <f t="shared" si="118"/>
        <v>0</v>
      </c>
      <c r="AJ517" s="131">
        <f t="shared" si="119"/>
        <v>0</v>
      </c>
      <c r="AK517" s="131">
        <f t="shared" si="120"/>
        <v>0</v>
      </c>
      <c r="AL517" s="127">
        <f t="shared" si="125"/>
        <v>0</v>
      </c>
      <c r="AM517" s="140">
        <f t="shared" si="121"/>
        <v>0</v>
      </c>
      <c r="AN517" s="140">
        <f t="shared" si="122"/>
        <v>0</v>
      </c>
      <c r="AO517" s="140">
        <f t="shared" si="123"/>
        <v>0</v>
      </c>
      <c r="AP517" s="140">
        <f t="shared" si="124"/>
        <v>0</v>
      </c>
    </row>
    <row r="518" spans="2:42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AC518" s="131">
        <f t="shared" si="112"/>
        <v>0</v>
      </c>
      <c r="AD518" s="131">
        <f t="shared" si="113"/>
        <v>0</v>
      </c>
      <c r="AE518" s="131">
        <f t="shared" si="114"/>
        <v>0</v>
      </c>
      <c r="AF518" s="131">
        <f t="shared" si="115"/>
        <v>0</v>
      </c>
      <c r="AG518" s="140">
        <f t="shared" si="116"/>
        <v>0</v>
      </c>
      <c r="AH518" s="140">
        <f t="shared" si="117"/>
        <v>0</v>
      </c>
      <c r="AI518" s="140">
        <f t="shared" si="118"/>
        <v>0</v>
      </c>
      <c r="AJ518" s="131">
        <f t="shared" si="119"/>
        <v>0</v>
      </c>
      <c r="AK518" s="131">
        <f t="shared" si="120"/>
        <v>0</v>
      </c>
      <c r="AL518" s="127">
        <f t="shared" si="125"/>
        <v>0</v>
      </c>
      <c r="AM518" s="140">
        <f t="shared" si="121"/>
        <v>0</v>
      </c>
      <c r="AN518" s="140">
        <f t="shared" si="122"/>
        <v>0</v>
      </c>
      <c r="AO518" s="140">
        <f t="shared" si="123"/>
        <v>0</v>
      </c>
      <c r="AP518" s="140">
        <f t="shared" si="124"/>
        <v>0</v>
      </c>
    </row>
    <row r="519" spans="2:42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AC519" s="131">
        <f t="shared" si="112"/>
        <v>0</v>
      </c>
      <c r="AD519" s="131">
        <f t="shared" si="113"/>
        <v>0</v>
      </c>
      <c r="AE519" s="131">
        <f t="shared" si="114"/>
        <v>0</v>
      </c>
      <c r="AF519" s="131">
        <f t="shared" si="115"/>
        <v>0</v>
      </c>
      <c r="AG519" s="140">
        <f t="shared" si="116"/>
        <v>0</v>
      </c>
      <c r="AH519" s="140">
        <f t="shared" si="117"/>
        <v>0</v>
      </c>
      <c r="AI519" s="140">
        <f t="shared" si="118"/>
        <v>0</v>
      </c>
      <c r="AJ519" s="131">
        <f t="shared" si="119"/>
        <v>0</v>
      </c>
      <c r="AK519" s="131">
        <f t="shared" si="120"/>
        <v>0</v>
      </c>
      <c r="AL519" s="127">
        <f t="shared" si="125"/>
        <v>0</v>
      </c>
      <c r="AM519" s="140">
        <f t="shared" si="121"/>
        <v>0</v>
      </c>
      <c r="AN519" s="140">
        <f t="shared" si="122"/>
        <v>0</v>
      </c>
      <c r="AO519" s="140">
        <f t="shared" si="123"/>
        <v>0</v>
      </c>
      <c r="AP519" s="140">
        <f t="shared" si="124"/>
        <v>0</v>
      </c>
    </row>
    <row r="520" spans="2:42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AC520" s="131">
        <f t="shared" si="112"/>
        <v>0</v>
      </c>
      <c r="AD520" s="131">
        <f t="shared" si="113"/>
        <v>0</v>
      </c>
      <c r="AE520" s="131">
        <f t="shared" si="114"/>
        <v>0</v>
      </c>
      <c r="AF520" s="131">
        <f t="shared" si="115"/>
        <v>0</v>
      </c>
      <c r="AG520" s="140">
        <f t="shared" si="116"/>
        <v>0</v>
      </c>
      <c r="AH520" s="140">
        <f t="shared" si="117"/>
        <v>0</v>
      </c>
      <c r="AI520" s="140">
        <f t="shared" si="118"/>
        <v>0</v>
      </c>
      <c r="AJ520" s="131">
        <f t="shared" si="119"/>
        <v>0</v>
      </c>
      <c r="AK520" s="131">
        <f t="shared" si="120"/>
        <v>0</v>
      </c>
      <c r="AL520" s="127">
        <f t="shared" si="125"/>
        <v>0</v>
      </c>
      <c r="AM520" s="140">
        <f t="shared" si="121"/>
        <v>0</v>
      </c>
      <c r="AN520" s="140">
        <f t="shared" si="122"/>
        <v>0</v>
      </c>
      <c r="AO520" s="140">
        <f t="shared" si="123"/>
        <v>0</v>
      </c>
      <c r="AP520" s="140">
        <f t="shared" si="124"/>
        <v>0</v>
      </c>
    </row>
    <row r="521" spans="2:42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AC521" s="131">
        <f t="shared" si="112"/>
        <v>0</v>
      </c>
      <c r="AD521" s="131">
        <f t="shared" si="113"/>
        <v>0</v>
      </c>
      <c r="AE521" s="131">
        <f t="shared" si="114"/>
        <v>0</v>
      </c>
      <c r="AF521" s="131">
        <f t="shared" si="115"/>
        <v>0</v>
      </c>
      <c r="AG521" s="140">
        <f t="shared" si="116"/>
        <v>0</v>
      </c>
      <c r="AH521" s="140">
        <f t="shared" si="117"/>
        <v>0</v>
      </c>
      <c r="AI521" s="140">
        <f t="shared" si="118"/>
        <v>0</v>
      </c>
      <c r="AJ521" s="131">
        <f t="shared" si="119"/>
        <v>0</v>
      </c>
      <c r="AK521" s="131">
        <f t="shared" si="120"/>
        <v>0</v>
      </c>
      <c r="AL521" s="127">
        <f t="shared" si="125"/>
        <v>0</v>
      </c>
      <c r="AM521" s="140">
        <f t="shared" si="121"/>
        <v>0</v>
      </c>
      <c r="AN521" s="140">
        <f t="shared" si="122"/>
        <v>0</v>
      </c>
      <c r="AO521" s="140">
        <f t="shared" si="123"/>
        <v>0</v>
      </c>
      <c r="AP521" s="140">
        <f t="shared" si="124"/>
        <v>0</v>
      </c>
    </row>
    <row r="522" spans="2:42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AC522" s="131">
        <f t="shared" si="112"/>
        <v>0</v>
      </c>
      <c r="AD522" s="131">
        <f t="shared" si="113"/>
        <v>0</v>
      </c>
      <c r="AE522" s="131">
        <f t="shared" si="114"/>
        <v>0</v>
      </c>
      <c r="AF522" s="131">
        <f t="shared" si="115"/>
        <v>0</v>
      </c>
      <c r="AG522" s="140">
        <f t="shared" si="116"/>
        <v>0</v>
      </c>
      <c r="AH522" s="140">
        <f t="shared" si="117"/>
        <v>0</v>
      </c>
      <c r="AI522" s="140">
        <f t="shared" si="118"/>
        <v>0</v>
      </c>
      <c r="AJ522" s="131">
        <f t="shared" si="119"/>
        <v>0</v>
      </c>
      <c r="AK522" s="131">
        <f t="shared" si="120"/>
        <v>0</v>
      </c>
      <c r="AL522" s="127">
        <f t="shared" si="125"/>
        <v>0</v>
      </c>
      <c r="AM522" s="140">
        <f t="shared" si="121"/>
        <v>0</v>
      </c>
      <c r="AN522" s="140">
        <f t="shared" si="122"/>
        <v>0</v>
      </c>
      <c r="AO522" s="140">
        <f t="shared" si="123"/>
        <v>0</v>
      </c>
      <c r="AP522" s="140">
        <f t="shared" si="124"/>
        <v>0</v>
      </c>
    </row>
    <row r="523" spans="2:42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AC523" s="131">
        <f t="shared" si="112"/>
        <v>0</v>
      </c>
      <c r="AD523" s="131">
        <f t="shared" si="113"/>
        <v>0</v>
      </c>
      <c r="AE523" s="131">
        <f t="shared" si="114"/>
        <v>0</v>
      </c>
      <c r="AF523" s="131">
        <f t="shared" si="115"/>
        <v>0</v>
      </c>
      <c r="AG523" s="140">
        <f t="shared" si="116"/>
        <v>0</v>
      </c>
      <c r="AH523" s="140">
        <f t="shared" si="117"/>
        <v>0</v>
      </c>
      <c r="AI523" s="140">
        <f t="shared" si="118"/>
        <v>0</v>
      </c>
      <c r="AJ523" s="131">
        <f t="shared" si="119"/>
        <v>0</v>
      </c>
      <c r="AK523" s="131">
        <f t="shared" si="120"/>
        <v>0</v>
      </c>
      <c r="AL523" s="127">
        <f t="shared" si="125"/>
        <v>0</v>
      </c>
      <c r="AM523" s="140">
        <f t="shared" si="121"/>
        <v>0</v>
      </c>
      <c r="AN523" s="140">
        <f t="shared" si="122"/>
        <v>0</v>
      </c>
      <c r="AO523" s="140">
        <f t="shared" si="123"/>
        <v>0</v>
      </c>
      <c r="AP523" s="140">
        <f t="shared" si="124"/>
        <v>0</v>
      </c>
    </row>
    <row r="524" spans="2:42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AC524" s="131">
        <f t="shared" si="112"/>
        <v>0</v>
      </c>
      <c r="AD524" s="131">
        <f t="shared" si="113"/>
        <v>0</v>
      </c>
      <c r="AE524" s="131">
        <f t="shared" si="114"/>
        <v>0</v>
      </c>
      <c r="AF524" s="131">
        <f t="shared" si="115"/>
        <v>0</v>
      </c>
      <c r="AG524" s="140">
        <f t="shared" si="116"/>
        <v>0</v>
      </c>
      <c r="AH524" s="140">
        <f t="shared" si="117"/>
        <v>0</v>
      </c>
      <c r="AI524" s="140">
        <f t="shared" si="118"/>
        <v>0</v>
      </c>
      <c r="AJ524" s="131">
        <f t="shared" si="119"/>
        <v>0</v>
      </c>
      <c r="AK524" s="131">
        <f t="shared" si="120"/>
        <v>0</v>
      </c>
      <c r="AL524" s="127">
        <f t="shared" si="125"/>
        <v>0</v>
      </c>
      <c r="AM524" s="140">
        <f t="shared" si="121"/>
        <v>0</v>
      </c>
      <c r="AN524" s="140">
        <f t="shared" si="122"/>
        <v>0</v>
      </c>
      <c r="AO524" s="140">
        <f t="shared" si="123"/>
        <v>0</v>
      </c>
      <c r="AP524" s="140">
        <f t="shared" si="124"/>
        <v>0</v>
      </c>
    </row>
    <row r="525" spans="2:42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AC525" s="131">
        <f t="shared" si="112"/>
        <v>0</v>
      </c>
      <c r="AD525" s="131">
        <f t="shared" si="113"/>
        <v>0</v>
      </c>
      <c r="AE525" s="131">
        <f t="shared" si="114"/>
        <v>0</v>
      </c>
      <c r="AF525" s="131">
        <f t="shared" si="115"/>
        <v>0</v>
      </c>
      <c r="AG525" s="140">
        <f t="shared" si="116"/>
        <v>0</v>
      </c>
      <c r="AH525" s="140">
        <f t="shared" si="117"/>
        <v>0</v>
      </c>
      <c r="AI525" s="140">
        <f t="shared" si="118"/>
        <v>0</v>
      </c>
      <c r="AJ525" s="131">
        <f t="shared" si="119"/>
        <v>0</v>
      </c>
      <c r="AK525" s="131">
        <f t="shared" si="120"/>
        <v>0</v>
      </c>
      <c r="AL525" s="127">
        <f t="shared" si="125"/>
        <v>0</v>
      </c>
      <c r="AM525" s="140">
        <f t="shared" si="121"/>
        <v>0</v>
      </c>
      <c r="AN525" s="140">
        <f t="shared" si="122"/>
        <v>0</v>
      </c>
      <c r="AO525" s="140">
        <f t="shared" si="123"/>
        <v>0</v>
      </c>
      <c r="AP525" s="140">
        <f t="shared" si="124"/>
        <v>0</v>
      </c>
    </row>
    <row r="526" spans="2:42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AC526" s="131">
        <f t="shared" si="112"/>
        <v>0</v>
      </c>
      <c r="AD526" s="131">
        <f t="shared" si="113"/>
        <v>0</v>
      </c>
      <c r="AE526" s="131">
        <f t="shared" si="114"/>
        <v>0</v>
      </c>
      <c r="AF526" s="131">
        <f t="shared" si="115"/>
        <v>0</v>
      </c>
      <c r="AG526" s="140">
        <f t="shared" si="116"/>
        <v>0</v>
      </c>
      <c r="AH526" s="140">
        <f t="shared" si="117"/>
        <v>0</v>
      </c>
      <c r="AI526" s="140">
        <f t="shared" si="118"/>
        <v>0</v>
      </c>
      <c r="AJ526" s="131">
        <f t="shared" si="119"/>
        <v>0</v>
      </c>
      <c r="AK526" s="131">
        <f t="shared" si="120"/>
        <v>0</v>
      </c>
      <c r="AL526" s="127">
        <f t="shared" si="125"/>
        <v>0</v>
      </c>
      <c r="AM526" s="140">
        <f t="shared" si="121"/>
        <v>0</v>
      </c>
      <c r="AN526" s="140">
        <f t="shared" si="122"/>
        <v>0</v>
      </c>
      <c r="AO526" s="140">
        <f t="shared" si="123"/>
        <v>0</v>
      </c>
      <c r="AP526" s="140">
        <f t="shared" si="124"/>
        <v>0</v>
      </c>
    </row>
    <row r="527" spans="2:42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AC527" s="131">
        <f t="shared" si="112"/>
        <v>0</v>
      </c>
      <c r="AD527" s="131">
        <f t="shared" si="113"/>
        <v>0</v>
      </c>
      <c r="AE527" s="131">
        <f t="shared" si="114"/>
        <v>0</v>
      </c>
      <c r="AF527" s="131">
        <f t="shared" si="115"/>
        <v>0</v>
      </c>
      <c r="AG527" s="140">
        <f t="shared" si="116"/>
        <v>0</v>
      </c>
      <c r="AH527" s="140">
        <f t="shared" si="117"/>
        <v>0</v>
      </c>
      <c r="AI527" s="140">
        <f t="shared" si="118"/>
        <v>0</v>
      </c>
      <c r="AJ527" s="131">
        <f t="shared" si="119"/>
        <v>0</v>
      </c>
      <c r="AK527" s="131">
        <f t="shared" si="120"/>
        <v>0</v>
      </c>
      <c r="AL527" s="127">
        <f t="shared" si="125"/>
        <v>0</v>
      </c>
      <c r="AM527" s="140">
        <f t="shared" si="121"/>
        <v>0</v>
      </c>
      <c r="AN527" s="140">
        <f t="shared" si="122"/>
        <v>0</v>
      </c>
      <c r="AO527" s="140">
        <f t="shared" si="123"/>
        <v>0</v>
      </c>
      <c r="AP527" s="140">
        <f t="shared" si="124"/>
        <v>0</v>
      </c>
    </row>
    <row r="528" spans="2:42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AC528" s="131">
        <f t="shared" si="112"/>
        <v>0</v>
      </c>
      <c r="AD528" s="131">
        <f t="shared" si="113"/>
        <v>0</v>
      </c>
      <c r="AE528" s="131">
        <f t="shared" si="114"/>
        <v>0</v>
      </c>
      <c r="AF528" s="131">
        <f t="shared" si="115"/>
        <v>0</v>
      </c>
      <c r="AG528" s="140">
        <f t="shared" si="116"/>
        <v>0</v>
      </c>
      <c r="AH528" s="140">
        <f t="shared" si="117"/>
        <v>0</v>
      </c>
      <c r="AI528" s="140">
        <f t="shared" si="118"/>
        <v>0</v>
      </c>
      <c r="AJ528" s="131">
        <f t="shared" si="119"/>
        <v>0</v>
      </c>
      <c r="AK528" s="131">
        <f t="shared" si="120"/>
        <v>0</v>
      </c>
      <c r="AL528" s="127">
        <f t="shared" si="125"/>
        <v>0</v>
      </c>
      <c r="AM528" s="140">
        <f t="shared" si="121"/>
        <v>0</v>
      </c>
      <c r="AN528" s="140">
        <f t="shared" si="122"/>
        <v>0</v>
      </c>
      <c r="AO528" s="140">
        <f t="shared" si="123"/>
        <v>0</v>
      </c>
      <c r="AP528" s="140">
        <f t="shared" si="124"/>
        <v>0</v>
      </c>
    </row>
    <row r="529" spans="2:42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AC529" s="131">
        <f t="shared" si="112"/>
        <v>0</v>
      </c>
      <c r="AD529" s="131">
        <f t="shared" si="113"/>
        <v>0</v>
      </c>
      <c r="AE529" s="131">
        <f t="shared" si="114"/>
        <v>0</v>
      </c>
      <c r="AF529" s="131">
        <f t="shared" si="115"/>
        <v>0</v>
      </c>
      <c r="AG529" s="140">
        <f t="shared" si="116"/>
        <v>0</v>
      </c>
      <c r="AH529" s="140">
        <f t="shared" si="117"/>
        <v>0</v>
      </c>
      <c r="AI529" s="140">
        <f t="shared" si="118"/>
        <v>0</v>
      </c>
      <c r="AJ529" s="131">
        <f t="shared" si="119"/>
        <v>0</v>
      </c>
      <c r="AK529" s="131">
        <f t="shared" si="120"/>
        <v>0</v>
      </c>
      <c r="AL529" s="127">
        <f t="shared" si="125"/>
        <v>0</v>
      </c>
      <c r="AM529" s="140">
        <f t="shared" si="121"/>
        <v>0</v>
      </c>
      <c r="AN529" s="140">
        <f t="shared" si="122"/>
        <v>0</v>
      </c>
      <c r="AO529" s="140">
        <f t="shared" si="123"/>
        <v>0</v>
      </c>
      <c r="AP529" s="140">
        <f t="shared" si="124"/>
        <v>0</v>
      </c>
    </row>
    <row r="530" spans="2:42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AC530" s="131">
        <f t="shared" si="112"/>
        <v>0</v>
      </c>
      <c r="AD530" s="131">
        <f t="shared" si="113"/>
        <v>0</v>
      </c>
      <c r="AE530" s="131">
        <f t="shared" si="114"/>
        <v>0</v>
      </c>
      <c r="AF530" s="131">
        <f t="shared" si="115"/>
        <v>0</v>
      </c>
      <c r="AG530" s="140">
        <f t="shared" si="116"/>
        <v>0</v>
      </c>
      <c r="AH530" s="140">
        <f t="shared" si="117"/>
        <v>0</v>
      </c>
      <c r="AI530" s="140">
        <f t="shared" si="118"/>
        <v>0</v>
      </c>
      <c r="AJ530" s="131">
        <f t="shared" si="119"/>
        <v>0</v>
      </c>
      <c r="AK530" s="131">
        <f t="shared" si="120"/>
        <v>0</v>
      </c>
      <c r="AL530" s="127">
        <f t="shared" si="125"/>
        <v>0</v>
      </c>
      <c r="AM530" s="140">
        <f t="shared" si="121"/>
        <v>0</v>
      </c>
      <c r="AN530" s="140">
        <f t="shared" si="122"/>
        <v>0</v>
      </c>
      <c r="AO530" s="140">
        <f t="shared" si="123"/>
        <v>0</v>
      </c>
      <c r="AP530" s="140">
        <f t="shared" si="124"/>
        <v>0</v>
      </c>
    </row>
    <row r="531" spans="2:42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AC531" s="131">
        <f t="shared" si="112"/>
        <v>0</v>
      </c>
      <c r="AD531" s="131">
        <f t="shared" si="113"/>
        <v>0</v>
      </c>
      <c r="AE531" s="131">
        <f t="shared" si="114"/>
        <v>0</v>
      </c>
      <c r="AF531" s="131">
        <f t="shared" si="115"/>
        <v>0</v>
      </c>
      <c r="AG531" s="140">
        <f t="shared" si="116"/>
        <v>0</v>
      </c>
      <c r="AH531" s="140">
        <f t="shared" si="117"/>
        <v>0</v>
      </c>
      <c r="AI531" s="140">
        <f t="shared" si="118"/>
        <v>0</v>
      </c>
      <c r="AJ531" s="131">
        <f t="shared" si="119"/>
        <v>0</v>
      </c>
      <c r="AK531" s="131">
        <f t="shared" si="120"/>
        <v>0</v>
      </c>
      <c r="AL531" s="127">
        <f t="shared" si="125"/>
        <v>0</v>
      </c>
      <c r="AM531" s="140">
        <f t="shared" si="121"/>
        <v>0</v>
      </c>
      <c r="AN531" s="140">
        <f t="shared" si="122"/>
        <v>0</v>
      </c>
      <c r="AO531" s="140">
        <f t="shared" si="123"/>
        <v>0</v>
      </c>
      <c r="AP531" s="140">
        <f t="shared" si="124"/>
        <v>0</v>
      </c>
    </row>
    <row r="532" spans="2:42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AC532" s="131">
        <f t="shared" si="112"/>
        <v>0</v>
      </c>
      <c r="AD532" s="131">
        <f t="shared" si="113"/>
        <v>0</v>
      </c>
      <c r="AE532" s="131">
        <f t="shared" si="114"/>
        <v>0</v>
      </c>
      <c r="AF532" s="131">
        <f t="shared" si="115"/>
        <v>0</v>
      </c>
      <c r="AG532" s="140">
        <f t="shared" si="116"/>
        <v>0</v>
      </c>
      <c r="AH532" s="140">
        <f t="shared" si="117"/>
        <v>0</v>
      </c>
      <c r="AI532" s="140">
        <f t="shared" si="118"/>
        <v>0</v>
      </c>
      <c r="AJ532" s="131">
        <f t="shared" si="119"/>
        <v>0</v>
      </c>
      <c r="AK532" s="131">
        <f t="shared" si="120"/>
        <v>0</v>
      </c>
      <c r="AL532" s="127">
        <f t="shared" si="125"/>
        <v>0</v>
      </c>
      <c r="AM532" s="140">
        <f t="shared" si="121"/>
        <v>0</v>
      </c>
      <c r="AN532" s="140">
        <f t="shared" si="122"/>
        <v>0</v>
      </c>
      <c r="AO532" s="140">
        <f t="shared" si="123"/>
        <v>0</v>
      </c>
      <c r="AP532" s="140">
        <f t="shared" si="124"/>
        <v>0</v>
      </c>
    </row>
    <row r="533" spans="2:42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AC533" s="131">
        <f t="shared" si="112"/>
        <v>0</v>
      </c>
      <c r="AD533" s="131">
        <f t="shared" si="113"/>
        <v>0</v>
      </c>
      <c r="AE533" s="131">
        <f t="shared" si="114"/>
        <v>0</v>
      </c>
      <c r="AF533" s="131">
        <f t="shared" si="115"/>
        <v>0</v>
      </c>
      <c r="AG533" s="140">
        <f t="shared" si="116"/>
        <v>0</v>
      </c>
      <c r="AH533" s="140">
        <f t="shared" si="117"/>
        <v>0</v>
      </c>
      <c r="AI533" s="140">
        <f t="shared" si="118"/>
        <v>0</v>
      </c>
      <c r="AJ533" s="131">
        <f t="shared" si="119"/>
        <v>0</v>
      </c>
      <c r="AK533" s="131">
        <f t="shared" si="120"/>
        <v>0</v>
      </c>
      <c r="AL533" s="127">
        <f t="shared" si="125"/>
        <v>0</v>
      </c>
      <c r="AM533" s="140">
        <f t="shared" si="121"/>
        <v>0</v>
      </c>
      <c r="AN533" s="140">
        <f t="shared" si="122"/>
        <v>0</v>
      </c>
      <c r="AO533" s="140">
        <f t="shared" si="123"/>
        <v>0</v>
      </c>
      <c r="AP533" s="140">
        <f t="shared" si="124"/>
        <v>0</v>
      </c>
    </row>
    <row r="534" spans="2:42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AC534" s="131">
        <f t="shared" si="112"/>
        <v>0</v>
      </c>
      <c r="AD534" s="131">
        <f t="shared" si="113"/>
        <v>0</v>
      </c>
      <c r="AE534" s="131">
        <f t="shared" si="114"/>
        <v>0</v>
      </c>
      <c r="AF534" s="131">
        <f t="shared" si="115"/>
        <v>0</v>
      </c>
      <c r="AG534" s="140">
        <f t="shared" si="116"/>
        <v>0</v>
      </c>
      <c r="AH534" s="140">
        <f t="shared" si="117"/>
        <v>0</v>
      </c>
      <c r="AI534" s="140">
        <f t="shared" si="118"/>
        <v>0</v>
      </c>
      <c r="AJ534" s="131">
        <f t="shared" si="119"/>
        <v>0</v>
      </c>
      <c r="AK534" s="131">
        <f t="shared" si="120"/>
        <v>0</v>
      </c>
      <c r="AL534" s="127">
        <f t="shared" si="125"/>
        <v>0</v>
      </c>
      <c r="AM534" s="140">
        <f t="shared" si="121"/>
        <v>0</v>
      </c>
      <c r="AN534" s="140">
        <f t="shared" si="122"/>
        <v>0</v>
      </c>
      <c r="AO534" s="140">
        <f t="shared" si="123"/>
        <v>0</v>
      </c>
      <c r="AP534" s="140">
        <f t="shared" si="124"/>
        <v>0</v>
      </c>
    </row>
    <row r="535" spans="2:42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AC535" s="131">
        <f t="shared" si="112"/>
        <v>0</v>
      </c>
      <c r="AD535" s="131">
        <f t="shared" si="113"/>
        <v>0</v>
      </c>
      <c r="AE535" s="131">
        <f t="shared" si="114"/>
        <v>0</v>
      </c>
      <c r="AF535" s="131">
        <f t="shared" si="115"/>
        <v>0</v>
      </c>
      <c r="AG535" s="140">
        <f t="shared" si="116"/>
        <v>0</v>
      </c>
      <c r="AH535" s="140">
        <f t="shared" si="117"/>
        <v>0</v>
      </c>
      <c r="AI535" s="140">
        <f t="shared" si="118"/>
        <v>0</v>
      </c>
      <c r="AJ535" s="131">
        <f t="shared" si="119"/>
        <v>0</v>
      </c>
      <c r="AK535" s="131">
        <f t="shared" si="120"/>
        <v>0</v>
      </c>
      <c r="AL535" s="127">
        <f t="shared" si="125"/>
        <v>0</v>
      </c>
      <c r="AM535" s="140">
        <f t="shared" si="121"/>
        <v>0</v>
      </c>
      <c r="AN535" s="140">
        <f t="shared" si="122"/>
        <v>0</v>
      </c>
      <c r="AO535" s="140">
        <f t="shared" si="123"/>
        <v>0</v>
      </c>
      <c r="AP535" s="140">
        <f t="shared" si="124"/>
        <v>0</v>
      </c>
    </row>
    <row r="536" spans="2:42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AC536" s="131">
        <f t="shared" si="112"/>
        <v>0</v>
      </c>
      <c r="AD536" s="131">
        <f t="shared" si="113"/>
        <v>0</v>
      </c>
      <c r="AE536" s="131">
        <f t="shared" si="114"/>
        <v>0</v>
      </c>
      <c r="AF536" s="131">
        <f t="shared" si="115"/>
        <v>0</v>
      </c>
      <c r="AG536" s="140">
        <f t="shared" si="116"/>
        <v>0</v>
      </c>
      <c r="AH536" s="140">
        <f t="shared" si="117"/>
        <v>0</v>
      </c>
      <c r="AI536" s="140">
        <f t="shared" si="118"/>
        <v>0</v>
      </c>
      <c r="AJ536" s="131">
        <f t="shared" si="119"/>
        <v>0</v>
      </c>
      <c r="AK536" s="131">
        <f t="shared" si="120"/>
        <v>0</v>
      </c>
      <c r="AL536" s="127">
        <f t="shared" si="125"/>
        <v>0</v>
      </c>
      <c r="AM536" s="140">
        <f t="shared" si="121"/>
        <v>0</v>
      </c>
      <c r="AN536" s="140">
        <f t="shared" si="122"/>
        <v>0</v>
      </c>
      <c r="AO536" s="140">
        <f t="shared" si="123"/>
        <v>0</v>
      </c>
      <c r="AP536" s="140">
        <f t="shared" si="124"/>
        <v>0</v>
      </c>
    </row>
    <row r="537" spans="2:42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AC537" s="131">
        <f t="shared" si="112"/>
        <v>0</v>
      </c>
      <c r="AD537" s="131">
        <f t="shared" si="113"/>
        <v>0</v>
      </c>
      <c r="AE537" s="131">
        <f t="shared" si="114"/>
        <v>0</v>
      </c>
      <c r="AF537" s="131">
        <f t="shared" si="115"/>
        <v>0</v>
      </c>
      <c r="AG537" s="140">
        <f t="shared" si="116"/>
        <v>0</v>
      </c>
      <c r="AH537" s="140">
        <f t="shared" si="117"/>
        <v>0</v>
      </c>
      <c r="AI537" s="140">
        <f t="shared" si="118"/>
        <v>0</v>
      </c>
      <c r="AJ537" s="131">
        <f t="shared" si="119"/>
        <v>0</v>
      </c>
      <c r="AK537" s="131">
        <f t="shared" si="120"/>
        <v>0</v>
      </c>
      <c r="AL537" s="127">
        <f t="shared" si="125"/>
        <v>0</v>
      </c>
      <c r="AM537" s="140">
        <f t="shared" si="121"/>
        <v>0</v>
      </c>
      <c r="AN537" s="140">
        <f t="shared" si="122"/>
        <v>0</v>
      </c>
      <c r="AO537" s="140">
        <f t="shared" si="123"/>
        <v>0</v>
      </c>
      <c r="AP537" s="140">
        <f t="shared" si="124"/>
        <v>0</v>
      </c>
    </row>
    <row r="538" spans="2:42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AC538" s="131">
        <f t="shared" si="112"/>
        <v>0</v>
      </c>
      <c r="AD538" s="131">
        <f t="shared" si="113"/>
        <v>0</v>
      </c>
      <c r="AE538" s="131">
        <f t="shared" si="114"/>
        <v>0</v>
      </c>
      <c r="AF538" s="131">
        <f t="shared" si="115"/>
        <v>0</v>
      </c>
      <c r="AG538" s="140">
        <f t="shared" si="116"/>
        <v>0</v>
      </c>
      <c r="AH538" s="140">
        <f t="shared" si="117"/>
        <v>0</v>
      </c>
      <c r="AI538" s="140">
        <f t="shared" si="118"/>
        <v>0</v>
      </c>
      <c r="AJ538" s="131">
        <f t="shared" si="119"/>
        <v>0</v>
      </c>
      <c r="AK538" s="131">
        <f t="shared" si="120"/>
        <v>0</v>
      </c>
      <c r="AL538" s="127">
        <f t="shared" si="125"/>
        <v>0</v>
      </c>
      <c r="AM538" s="140">
        <f t="shared" si="121"/>
        <v>0</v>
      </c>
      <c r="AN538" s="140">
        <f t="shared" si="122"/>
        <v>0</v>
      </c>
      <c r="AO538" s="140">
        <f t="shared" si="123"/>
        <v>0</v>
      </c>
      <c r="AP538" s="140">
        <f t="shared" si="124"/>
        <v>0</v>
      </c>
    </row>
    <row r="539" spans="2:42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AC539" s="131">
        <f t="shared" si="112"/>
        <v>0</v>
      </c>
      <c r="AD539" s="131">
        <f t="shared" si="113"/>
        <v>0</v>
      </c>
      <c r="AE539" s="131">
        <f t="shared" si="114"/>
        <v>0</v>
      </c>
      <c r="AF539" s="131">
        <f t="shared" si="115"/>
        <v>0</v>
      </c>
      <c r="AG539" s="140">
        <f t="shared" si="116"/>
        <v>0</v>
      </c>
      <c r="AH539" s="140">
        <f t="shared" si="117"/>
        <v>0</v>
      </c>
      <c r="AI539" s="140">
        <f t="shared" si="118"/>
        <v>0</v>
      </c>
      <c r="AJ539" s="131">
        <f t="shared" si="119"/>
        <v>0</v>
      </c>
      <c r="AK539" s="131">
        <f t="shared" si="120"/>
        <v>0</v>
      </c>
      <c r="AL539" s="127">
        <f t="shared" si="125"/>
        <v>0</v>
      </c>
      <c r="AM539" s="140">
        <f t="shared" si="121"/>
        <v>0</v>
      </c>
      <c r="AN539" s="140">
        <f t="shared" si="122"/>
        <v>0</v>
      </c>
      <c r="AO539" s="140">
        <f t="shared" si="123"/>
        <v>0</v>
      </c>
      <c r="AP539" s="140">
        <f t="shared" si="124"/>
        <v>0</v>
      </c>
    </row>
    <row r="540" spans="2:42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AC540" s="131">
        <f t="shared" si="112"/>
        <v>0</v>
      </c>
      <c r="AD540" s="131">
        <f t="shared" si="113"/>
        <v>0</v>
      </c>
      <c r="AE540" s="131">
        <f t="shared" si="114"/>
        <v>0</v>
      </c>
      <c r="AF540" s="131">
        <f t="shared" si="115"/>
        <v>0</v>
      </c>
      <c r="AG540" s="140">
        <f t="shared" si="116"/>
        <v>0</v>
      </c>
      <c r="AH540" s="140">
        <f t="shared" si="117"/>
        <v>0</v>
      </c>
      <c r="AI540" s="140">
        <f t="shared" si="118"/>
        <v>0</v>
      </c>
      <c r="AJ540" s="131">
        <f t="shared" si="119"/>
        <v>0</v>
      </c>
      <c r="AK540" s="131">
        <f t="shared" si="120"/>
        <v>0</v>
      </c>
      <c r="AL540" s="127">
        <f t="shared" si="125"/>
        <v>0</v>
      </c>
      <c r="AM540" s="140">
        <f t="shared" si="121"/>
        <v>0</v>
      </c>
      <c r="AN540" s="140">
        <f t="shared" si="122"/>
        <v>0</v>
      </c>
      <c r="AO540" s="140">
        <f t="shared" si="123"/>
        <v>0</v>
      </c>
      <c r="AP540" s="140">
        <f t="shared" si="124"/>
        <v>0</v>
      </c>
    </row>
    <row r="541" spans="2:42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AC541" s="131">
        <f t="shared" si="112"/>
        <v>0</v>
      </c>
      <c r="AD541" s="131">
        <f t="shared" si="113"/>
        <v>0</v>
      </c>
      <c r="AE541" s="131">
        <f t="shared" si="114"/>
        <v>0</v>
      </c>
      <c r="AF541" s="131">
        <f t="shared" si="115"/>
        <v>0</v>
      </c>
      <c r="AG541" s="140">
        <f t="shared" si="116"/>
        <v>0</v>
      </c>
      <c r="AH541" s="140">
        <f t="shared" si="117"/>
        <v>0</v>
      </c>
      <c r="AI541" s="140">
        <f t="shared" si="118"/>
        <v>0</v>
      </c>
      <c r="AJ541" s="131">
        <f t="shared" si="119"/>
        <v>0</v>
      </c>
      <c r="AK541" s="131">
        <f t="shared" si="120"/>
        <v>0</v>
      </c>
      <c r="AL541" s="127">
        <f t="shared" si="125"/>
        <v>0</v>
      </c>
      <c r="AM541" s="140">
        <f t="shared" si="121"/>
        <v>0</v>
      </c>
      <c r="AN541" s="140">
        <f t="shared" si="122"/>
        <v>0</v>
      </c>
      <c r="AO541" s="140">
        <f t="shared" si="123"/>
        <v>0</v>
      </c>
      <c r="AP541" s="140">
        <f t="shared" si="124"/>
        <v>0</v>
      </c>
    </row>
    <row r="542" spans="2:42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AC542" s="131">
        <f t="shared" si="112"/>
        <v>0</v>
      </c>
      <c r="AD542" s="131">
        <f t="shared" si="113"/>
        <v>0</v>
      </c>
      <c r="AE542" s="131">
        <f t="shared" si="114"/>
        <v>0</v>
      </c>
      <c r="AF542" s="131">
        <f t="shared" si="115"/>
        <v>0</v>
      </c>
      <c r="AG542" s="140">
        <f t="shared" si="116"/>
        <v>0</v>
      </c>
      <c r="AH542" s="140">
        <f t="shared" si="117"/>
        <v>0</v>
      </c>
      <c r="AI542" s="140">
        <f t="shared" si="118"/>
        <v>0</v>
      </c>
      <c r="AJ542" s="131">
        <f t="shared" si="119"/>
        <v>0</v>
      </c>
      <c r="AK542" s="131">
        <f t="shared" si="120"/>
        <v>0</v>
      </c>
      <c r="AL542" s="127">
        <f t="shared" si="125"/>
        <v>0</v>
      </c>
      <c r="AM542" s="140">
        <f t="shared" si="121"/>
        <v>0</v>
      </c>
      <c r="AN542" s="140">
        <f t="shared" si="122"/>
        <v>0</v>
      </c>
      <c r="AO542" s="140">
        <f t="shared" si="123"/>
        <v>0</v>
      </c>
      <c r="AP542" s="140">
        <f t="shared" si="124"/>
        <v>0</v>
      </c>
    </row>
    <row r="543" spans="2:42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AC543" s="131">
        <f t="shared" si="112"/>
        <v>0</v>
      </c>
      <c r="AD543" s="131">
        <f t="shared" si="113"/>
        <v>0</v>
      </c>
      <c r="AE543" s="131">
        <f t="shared" si="114"/>
        <v>0</v>
      </c>
      <c r="AF543" s="131">
        <f t="shared" si="115"/>
        <v>0</v>
      </c>
      <c r="AG543" s="140">
        <f t="shared" si="116"/>
        <v>0</v>
      </c>
      <c r="AH543" s="140">
        <f t="shared" si="117"/>
        <v>0</v>
      </c>
      <c r="AI543" s="140">
        <f t="shared" si="118"/>
        <v>0</v>
      </c>
      <c r="AJ543" s="131">
        <f t="shared" si="119"/>
        <v>0</v>
      </c>
      <c r="AK543" s="131">
        <f t="shared" si="120"/>
        <v>0</v>
      </c>
      <c r="AL543" s="127">
        <f t="shared" si="125"/>
        <v>0</v>
      </c>
      <c r="AM543" s="140">
        <f t="shared" si="121"/>
        <v>0</v>
      </c>
      <c r="AN543" s="140">
        <f t="shared" si="122"/>
        <v>0</v>
      </c>
      <c r="AO543" s="140">
        <f t="shared" si="123"/>
        <v>0</v>
      </c>
      <c r="AP543" s="140">
        <f t="shared" si="124"/>
        <v>0</v>
      </c>
    </row>
    <row r="544" spans="2:42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AC544" s="131">
        <f t="shared" si="112"/>
        <v>0</v>
      </c>
      <c r="AD544" s="131">
        <f t="shared" si="113"/>
        <v>0</v>
      </c>
      <c r="AE544" s="131">
        <f t="shared" si="114"/>
        <v>0</v>
      </c>
      <c r="AF544" s="131">
        <f t="shared" si="115"/>
        <v>0</v>
      </c>
      <c r="AG544" s="140">
        <f t="shared" si="116"/>
        <v>0</v>
      </c>
      <c r="AH544" s="140">
        <f t="shared" si="117"/>
        <v>0</v>
      </c>
      <c r="AI544" s="140">
        <f t="shared" si="118"/>
        <v>0</v>
      </c>
      <c r="AJ544" s="131">
        <f t="shared" si="119"/>
        <v>0</v>
      </c>
      <c r="AK544" s="131">
        <f t="shared" si="120"/>
        <v>0</v>
      </c>
      <c r="AL544" s="127">
        <f t="shared" si="125"/>
        <v>0</v>
      </c>
      <c r="AM544" s="140">
        <f t="shared" si="121"/>
        <v>0</v>
      </c>
      <c r="AN544" s="140">
        <f t="shared" si="122"/>
        <v>0</v>
      </c>
      <c r="AO544" s="140">
        <f t="shared" si="123"/>
        <v>0</v>
      </c>
      <c r="AP544" s="140">
        <f t="shared" si="124"/>
        <v>0</v>
      </c>
    </row>
    <row r="545" spans="2:42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AC545" s="131">
        <f t="shared" si="112"/>
        <v>0</v>
      </c>
      <c r="AD545" s="131">
        <f t="shared" si="113"/>
        <v>0</v>
      </c>
      <c r="AE545" s="131">
        <f t="shared" si="114"/>
        <v>0</v>
      </c>
      <c r="AF545" s="131">
        <f t="shared" si="115"/>
        <v>0</v>
      </c>
      <c r="AG545" s="140">
        <f t="shared" si="116"/>
        <v>0</v>
      </c>
      <c r="AH545" s="140">
        <f t="shared" si="117"/>
        <v>0</v>
      </c>
      <c r="AI545" s="140">
        <f t="shared" si="118"/>
        <v>0</v>
      </c>
      <c r="AJ545" s="131">
        <f t="shared" si="119"/>
        <v>0</v>
      </c>
      <c r="AK545" s="131">
        <f t="shared" si="120"/>
        <v>0</v>
      </c>
      <c r="AL545" s="127">
        <f t="shared" si="125"/>
        <v>0</v>
      </c>
      <c r="AM545" s="140">
        <f t="shared" si="121"/>
        <v>0</v>
      </c>
      <c r="AN545" s="140">
        <f t="shared" si="122"/>
        <v>0</v>
      </c>
      <c r="AO545" s="140">
        <f t="shared" si="123"/>
        <v>0</v>
      </c>
      <c r="AP545" s="140">
        <f t="shared" si="124"/>
        <v>0</v>
      </c>
    </row>
    <row r="546" spans="2:42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AC546" s="131">
        <f t="shared" si="112"/>
        <v>0</v>
      </c>
      <c r="AD546" s="131">
        <f t="shared" si="113"/>
        <v>0</v>
      </c>
      <c r="AE546" s="131">
        <f t="shared" si="114"/>
        <v>0</v>
      </c>
      <c r="AF546" s="131">
        <f t="shared" si="115"/>
        <v>0</v>
      </c>
      <c r="AG546" s="140">
        <f t="shared" si="116"/>
        <v>0</v>
      </c>
      <c r="AH546" s="140">
        <f t="shared" si="117"/>
        <v>0</v>
      </c>
      <c r="AI546" s="140">
        <f t="shared" si="118"/>
        <v>0</v>
      </c>
      <c r="AJ546" s="131">
        <f t="shared" si="119"/>
        <v>0</v>
      </c>
      <c r="AK546" s="131">
        <f t="shared" si="120"/>
        <v>0</v>
      </c>
      <c r="AL546" s="127">
        <f t="shared" si="125"/>
        <v>0</v>
      </c>
      <c r="AM546" s="140">
        <f t="shared" si="121"/>
        <v>0</v>
      </c>
      <c r="AN546" s="140">
        <f t="shared" si="122"/>
        <v>0</v>
      </c>
      <c r="AO546" s="140">
        <f t="shared" si="123"/>
        <v>0</v>
      </c>
      <c r="AP546" s="140">
        <f t="shared" si="124"/>
        <v>0</v>
      </c>
    </row>
    <row r="547" spans="2:42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AC547" s="131">
        <f t="shared" si="112"/>
        <v>0</v>
      </c>
      <c r="AD547" s="131">
        <f t="shared" si="113"/>
        <v>0</v>
      </c>
      <c r="AE547" s="131">
        <f t="shared" si="114"/>
        <v>0</v>
      </c>
      <c r="AF547" s="131">
        <f t="shared" si="115"/>
        <v>0</v>
      </c>
      <c r="AG547" s="140">
        <f t="shared" si="116"/>
        <v>0</v>
      </c>
      <c r="AH547" s="140">
        <f t="shared" si="117"/>
        <v>0</v>
      </c>
      <c r="AI547" s="140">
        <f t="shared" si="118"/>
        <v>0</v>
      </c>
      <c r="AJ547" s="131">
        <f t="shared" si="119"/>
        <v>0</v>
      </c>
      <c r="AK547" s="131">
        <f t="shared" si="120"/>
        <v>0</v>
      </c>
      <c r="AL547" s="127">
        <f t="shared" si="125"/>
        <v>0</v>
      </c>
      <c r="AM547" s="140">
        <f t="shared" si="121"/>
        <v>0</v>
      </c>
      <c r="AN547" s="140">
        <f t="shared" si="122"/>
        <v>0</v>
      </c>
      <c r="AO547" s="140">
        <f t="shared" si="123"/>
        <v>0</v>
      </c>
      <c r="AP547" s="140">
        <f t="shared" si="124"/>
        <v>0</v>
      </c>
    </row>
    <row r="548" spans="2:42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AC548" s="131">
        <f t="shared" si="112"/>
        <v>0</v>
      </c>
      <c r="AD548" s="131">
        <f t="shared" si="113"/>
        <v>0</v>
      </c>
      <c r="AE548" s="131">
        <f t="shared" si="114"/>
        <v>0</v>
      </c>
      <c r="AF548" s="131">
        <f t="shared" si="115"/>
        <v>0</v>
      </c>
      <c r="AG548" s="140">
        <f t="shared" si="116"/>
        <v>0</v>
      </c>
      <c r="AH548" s="140">
        <f t="shared" si="117"/>
        <v>0</v>
      </c>
      <c r="AI548" s="140">
        <f t="shared" si="118"/>
        <v>0</v>
      </c>
      <c r="AJ548" s="131">
        <f t="shared" si="119"/>
        <v>0</v>
      </c>
      <c r="AK548" s="131">
        <f t="shared" si="120"/>
        <v>0</v>
      </c>
      <c r="AL548" s="127">
        <f t="shared" si="125"/>
        <v>0</v>
      </c>
      <c r="AM548" s="140">
        <f t="shared" si="121"/>
        <v>0</v>
      </c>
      <c r="AN548" s="140">
        <f t="shared" si="122"/>
        <v>0</v>
      </c>
      <c r="AO548" s="140">
        <f t="shared" si="123"/>
        <v>0</v>
      </c>
      <c r="AP548" s="140">
        <f t="shared" si="124"/>
        <v>0</v>
      </c>
    </row>
    <row r="549" spans="2:42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AC549" s="131">
        <f t="shared" si="112"/>
        <v>0</v>
      </c>
      <c r="AD549" s="131">
        <f t="shared" si="113"/>
        <v>0</v>
      </c>
      <c r="AE549" s="131">
        <f t="shared" si="114"/>
        <v>0</v>
      </c>
      <c r="AF549" s="131">
        <f t="shared" si="115"/>
        <v>0</v>
      </c>
      <c r="AG549" s="140">
        <f t="shared" si="116"/>
        <v>0</v>
      </c>
      <c r="AH549" s="140">
        <f t="shared" si="117"/>
        <v>0</v>
      </c>
      <c r="AI549" s="140">
        <f t="shared" si="118"/>
        <v>0</v>
      </c>
      <c r="AJ549" s="131">
        <f t="shared" si="119"/>
        <v>0</v>
      </c>
      <c r="AK549" s="131">
        <f t="shared" si="120"/>
        <v>0</v>
      </c>
      <c r="AL549" s="127">
        <f t="shared" si="125"/>
        <v>0</v>
      </c>
      <c r="AM549" s="140">
        <f t="shared" si="121"/>
        <v>0</v>
      </c>
      <c r="AN549" s="140">
        <f t="shared" si="122"/>
        <v>0</v>
      </c>
      <c r="AO549" s="140">
        <f t="shared" si="123"/>
        <v>0</v>
      </c>
      <c r="AP549" s="140">
        <f t="shared" si="124"/>
        <v>0</v>
      </c>
    </row>
    <row r="550" spans="2:42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AC550" s="131">
        <f t="shared" si="112"/>
        <v>0</v>
      </c>
      <c r="AD550" s="131">
        <f t="shared" si="113"/>
        <v>0</v>
      </c>
      <c r="AE550" s="131">
        <f t="shared" si="114"/>
        <v>0</v>
      </c>
      <c r="AF550" s="131">
        <f t="shared" si="115"/>
        <v>0</v>
      </c>
      <c r="AG550" s="140">
        <f t="shared" si="116"/>
        <v>0</v>
      </c>
      <c r="AH550" s="140">
        <f t="shared" si="117"/>
        <v>0</v>
      </c>
      <c r="AI550" s="140">
        <f t="shared" si="118"/>
        <v>0</v>
      </c>
      <c r="AJ550" s="131">
        <f t="shared" si="119"/>
        <v>0</v>
      </c>
      <c r="AK550" s="131">
        <f t="shared" si="120"/>
        <v>0</v>
      </c>
      <c r="AL550" s="127">
        <f t="shared" si="125"/>
        <v>0</v>
      </c>
      <c r="AM550" s="140">
        <f t="shared" si="121"/>
        <v>0</v>
      </c>
      <c r="AN550" s="140">
        <f t="shared" si="122"/>
        <v>0</v>
      </c>
      <c r="AO550" s="140">
        <f t="shared" si="123"/>
        <v>0</v>
      </c>
      <c r="AP550" s="140">
        <f t="shared" si="124"/>
        <v>0</v>
      </c>
    </row>
    <row r="551" spans="2:42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AC551" s="131">
        <f t="shared" si="112"/>
        <v>0</v>
      </c>
      <c r="AD551" s="131">
        <f t="shared" si="113"/>
        <v>0</v>
      </c>
      <c r="AE551" s="131">
        <f t="shared" si="114"/>
        <v>0</v>
      </c>
      <c r="AF551" s="131">
        <f t="shared" si="115"/>
        <v>0</v>
      </c>
      <c r="AG551" s="140">
        <f t="shared" si="116"/>
        <v>0</v>
      </c>
      <c r="AH551" s="140">
        <f t="shared" si="117"/>
        <v>0</v>
      </c>
      <c r="AI551" s="140">
        <f t="shared" si="118"/>
        <v>0</v>
      </c>
      <c r="AJ551" s="131">
        <f t="shared" si="119"/>
        <v>0</v>
      </c>
      <c r="AK551" s="131">
        <f t="shared" si="120"/>
        <v>0</v>
      </c>
      <c r="AL551" s="127">
        <f t="shared" si="125"/>
        <v>0</v>
      </c>
      <c r="AM551" s="140">
        <f t="shared" si="121"/>
        <v>0</v>
      </c>
      <c r="AN551" s="140">
        <f t="shared" si="122"/>
        <v>0</v>
      </c>
      <c r="AO551" s="140">
        <f t="shared" si="123"/>
        <v>0</v>
      </c>
      <c r="AP551" s="140">
        <f t="shared" si="124"/>
        <v>0</v>
      </c>
    </row>
    <row r="552" spans="2:42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AC552" s="131">
        <f t="shared" si="112"/>
        <v>0</v>
      </c>
      <c r="AD552" s="131">
        <f t="shared" si="113"/>
        <v>0</v>
      </c>
      <c r="AE552" s="131">
        <f t="shared" si="114"/>
        <v>0</v>
      </c>
      <c r="AF552" s="131">
        <f t="shared" si="115"/>
        <v>0</v>
      </c>
      <c r="AG552" s="140">
        <f t="shared" si="116"/>
        <v>0</v>
      </c>
      <c r="AH552" s="140">
        <f t="shared" si="117"/>
        <v>0</v>
      </c>
      <c r="AI552" s="140">
        <f t="shared" si="118"/>
        <v>0</v>
      </c>
      <c r="AJ552" s="131">
        <f t="shared" si="119"/>
        <v>0</v>
      </c>
      <c r="AK552" s="131">
        <f t="shared" si="120"/>
        <v>0</v>
      </c>
      <c r="AL552" s="127">
        <f t="shared" si="125"/>
        <v>0</v>
      </c>
      <c r="AM552" s="140">
        <f t="shared" si="121"/>
        <v>0</v>
      </c>
      <c r="AN552" s="140">
        <f t="shared" si="122"/>
        <v>0</v>
      </c>
      <c r="AO552" s="140">
        <f t="shared" si="123"/>
        <v>0</v>
      </c>
      <c r="AP552" s="140">
        <f t="shared" si="124"/>
        <v>0</v>
      </c>
    </row>
    <row r="553" spans="2:42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AC553" s="131">
        <f t="shared" si="112"/>
        <v>0</v>
      </c>
      <c r="AD553" s="131">
        <f t="shared" si="113"/>
        <v>0</v>
      </c>
      <c r="AE553" s="131">
        <f t="shared" si="114"/>
        <v>0</v>
      </c>
      <c r="AF553" s="131">
        <f t="shared" si="115"/>
        <v>0</v>
      </c>
      <c r="AG553" s="140">
        <f t="shared" si="116"/>
        <v>0</v>
      </c>
      <c r="AH553" s="140">
        <f t="shared" si="117"/>
        <v>0</v>
      </c>
      <c r="AI553" s="140">
        <f t="shared" si="118"/>
        <v>0</v>
      </c>
      <c r="AJ553" s="131">
        <f t="shared" si="119"/>
        <v>0</v>
      </c>
      <c r="AK553" s="131">
        <f t="shared" si="120"/>
        <v>0</v>
      </c>
      <c r="AL553" s="127">
        <f t="shared" si="125"/>
        <v>0</v>
      </c>
      <c r="AM553" s="140">
        <f t="shared" si="121"/>
        <v>0</v>
      </c>
      <c r="AN553" s="140">
        <f t="shared" si="122"/>
        <v>0</v>
      </c>
      <c r="AO553" s="140">
        <f t="shared" si="123"/>
        <v>0</v>
      </c>
      <c r="AP553" s="140">
        <f t="shared" si="124"/>
        <v>0</v>
      </c>
    </row>
    <row r="554" spans="2:42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AC554" s="131">
        <f t="shared" si="112"/>
        <v>0</v>
      </c>
      <c r="AD554" s="131">
        <f t="shared" si="113"/>
        <v>0</v>
      </c>
      <c r="AE554" s="131">
        <f t="shared" si="114"/>
        <v>0</v>
      </c>
      <c r="AF554" s="131">
        <f t="shared" si="115"/>
        <v>0</v>
      </c>
      <c r="AG554" s="140">
        <f t="shared" si="116"/>
        <v>0</v>
      </c>
      <c r="AH554" s="140">
        <f t="shared" si="117"/>
        <v>0</v>
      </c>
      <c r="AI554" s="140">
        <f t="shared" si="118"/>
        <v>0</v>
      </c>
      <c r="AJ554" s="131">
        <f t="shared" si="119"/>
        <v>0</v>
      </c>
      <c r="AK554" s="131">
        <f t="shared" si="120"/>
        <v>0</v>
      </c>
      <c r="AL554" s="127">
        <f t="shared" si="125"/>
        <v>0</v>
      </c>
      <c r="AM554" s="140">
        <f t="shared" si="121"/>
        <v>0</v>
      </c>
      <c r="AN554" s="140">
        <f t="shared" si="122"/>
        <v>0</v>
      </c>
      <c r="AO554" s="140">
        <f t="shared" si="123"/>
        <v>0</v>
      </c>
      <c r="AP554" s="140">
        <f t="shared" si="124"/>
        <v>0</v>
      </c>
    </row>
    <row r="555" spans="2:42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AC555" s="131">
        <f t="shared" si="112"/>
        <v>0</v>
      </c>
      <c r="AD555" s="131">
        <f t="shared" si="113"/>
        <v>0</v>
      </c>
      <c r="AE555" s="131">
        <f t="shared" si="114"/>
        <v>0</v>
      </c>
      <c r="AF555" s="131">
        <f t="shared" si="115"/>
        <v>0</v>
      </c>
      <c r="AG555" s="140">
        <f t="shared" si="116"/>
        <v>0</v>
      </c>
      <c r="AH555" s="140">
        <f t="shared" si="117"/>
        <v>0</v>
      </c>
      <c r="AI555" s="140">
        <f t="shared" si="118"/>
        <v>0</v>
      </c>
      <c r="AJ555" s="131">
        <f t="shared" si="119"/>
        <v>0</v>
      </c>
      <c r="AK555" s="131">
        <f t="shared" si="120"/>
        <v>0</v>
      </c>
      <c r="AL555" s="127">
        <f t="shared" si="125"/>
        <v>0</v>
      </c>
      <c r="AM555" s="140">
        <f t="shared" si="121"/>
        <v>0</v>
      </c>
      <c r="AN555" s="140">
        <f t="shared" si="122"/>
        <v>0</v>
      </c>
      <c r="AO555" s="140">
        <f t="shared" si="123"/>
        <v>0</v>
      </c>
      <c r="AP555" s="140">
        <f t="shared" si="124"/>
        <v>0</v>
      </c>
    </row>
    <row r="556" spans="2:42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AC556" s="131">
        <f t="shared" si="112"/>
        <v>0</v>
      </c>
      <c r="AD556" s="131">
        <f t="shared" si="113"/>
        <v>0</v>
      </c>
      <c r="AE556" s="131">
        <f t="shared" si="114"/>
        <v>0</v>
      </c>
      <c r="AF556" s="131">
        <f t="shared" si="115"/>
        <v>0</v>
      </c>
      <c r="AG556" s="140">
        <f t="shared" si="116"/>
        <v>0</v>
      </c>
      <c r="AH556" s="140">
        <f t="shared" si="117"/>
        <v>0</v>
      </c>
      <c r="AI556" s="140">
        <f t="shared" si="118"/>
        <v>0</v>
      </c>
      <c r="AJ556" s="131">
        <f t="shared" si="119"/>
        <v>0</v>
      </c>
      <c r="AK556" s="131">
        <f t="shared" si="120"/>
        <v>0</v>
      </c>
      <c r="AL556" s="127">
        <f t="shared" si="125"/>
        <v>0</v>
      </c>
      <c r="AM556" s="140">
        <f t="shared" si="121"/>
        <v>0</v>
      </c>
      <c r="AN556" s="140">
        <f t="shared" si="122"/>
        <v>0</v>
      </c>
      <c r="AO556" s="140">
        <f t="shared" si="123"/>
        <v>0</v>
      </c>
      <c r="AP556" s="140">
        <f t="shared" si="124"/>
        <v>0</v>
      </c>
    </row>
    <row r="557" spans="2:42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AC557" s="131">
        <f t="shared" si="112"/>
        <v>0</v>
      </c>
      <c r="AD557" s="131">
        <f t="shared" si="113"/>
        <v>0</v>
      </c>
      <c r="AE557" s="131">
        <f t="shared" si="114"/>
        <v>0</v>
      </c>
      <c r="AF557" s="131">
        <f t="shared" si="115"/>
        <v>0</v>
      </c>
      <c r="AG557" s="140">
        <f t="shared" si="116"/>
        <v>0</v>
      </c>
      <c r="AH557" s="140">
        <f t="shared" si="117"/>
        <v>0</v>
      </c>
      <c r="AI557" s="140">
        <f t="shared" si="118"/>
        <v>0</v>
      </c>
      <c r="AJ557" s="131">
        <f t="shared" si="119"/>
        <v>0</v>
      </c>
      <c r="AK557" s="131">
        <f t="shared" si="120"/>
        <v>0</v>
      </c>
      <c r="AL557" s="127">
        <f t="shared" si="125"/>
        <v>0</v>
      </c>
      <c r="AM557" s="140">
        <f t="shared" si="121"/>
        <v>0</v>
      </c>
      <c r="AN557" s="140">
        <f t="shared" si="122"/>
        <v>0</v>
      </c>
      <c r="AO557" s="140">
        <f t="shared" si="123"/>
        <v>0</v>
      </c>
      <c r="AP557" s="140">
        <f t="shared" si="124"/>
        <v>0</v>
      </c>
    </row>
    <row r="558" spans="2:42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AC558" s="131">
        <f t="shared" si="112"/>
        <v>0</v>
      </c>
      <c r="AD558" s="131">
        <f t="shared" si="113"/>
        <v>0</v>
      </c>
      <c r="AE558" s="131">
        <f t="shared" si="114"/>
        <v>0</v>
      </c>
      <c r="AF558" s="131">
        <f t="shared" si="115"/>
        <v>0</v>
      </c>
      <c r="AG558" s="140">
        <f t="shared" si="116"/>
        <v>0</v>
      </c>
      <c r="AH558" s="140">
        <f t="shared" si="117"/>
        <v>0</v>
      </c>
      <c r="AI558" s="140">
        <f t="shared" si="118"/>
        <v>0</v>
      </c>
      <c r="AJ558" s="131">
        <f t="shared" si="119"/>
        <v>0</v>
      </c>
      <c r="AK558" s="131">
        <f t="shared" si="120"/>
        <v>0</v>
      </c>
      <c r="AL558" s="127">
        <f t="shared" si="125"/>
        <v>0</v>
      </c>
      <c r="AM558" s="140">
        <f t="shared" si="121"/>
        <v>0</v>
      </c>
      <c r="AN558" s="140">
        <f t="shared" si="122"/>
        <v>0</v>
      </c>
      <c r="AO558" s="140">
        <f t="shared" si="123"/>
        <v>0</v>
      </c>
      <c r="AP558" s="140">
        <f t="shared" si="124"/>
        <v>0</v>
      </c>
    </row>
    <row r="559" spans="2:42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AC559" s="131">
        <f t="shared" si="112"/>
        <v>0</v>
      </c>
      <c r="AD559" s="131">
        <f t="shared" si="113"/>
        <v>0</v>
      </c>
      <c r="AE559" s="131">
        <f t="shared" si="114"/>
        <v>0</v>
      </c>
      <c r="AF559" s="131">
        <f t="shared" si="115"/>
        <v>0</v>
      </c>
      <c r="AG559" s="140">
        <f t="shared" si="116"/>
        <v>0</v>
      </c>
      <c r="AH559" s="140">
        <f t="shared" si="117"/>
        <v>0</v>
      </c>
      <c r="AI559" s="140">
        <f t="shared" si="118"/>
        <v>0</v>
      </c>
      <c r="AJ559" s="131">
        <f t="shared" si="119"/>
        <v>0</v>
      </c>
      <c r="AK559" s="131">
        <f t="shared" si="120"/>
        <v>0</v>
      </c>
      <c r="AL559" s="127">
        <f t="shared" si="125"/>
        <v>0</v>
      </c>
      <c r="AM559" s="140">
        <f t="shared" si="121"/>
        <v>0</v>
      </c>
      <c r="AN559" s="140">
        <f t="shared" si="122"/>
        <v>0</v>
      </c>
      <c r="AO559" s="140">
        <f t="shared" si="123"/>
        <v>0</v>
      </c>
      <c r="AP559" s="140">
        <f t="shared" si="124"/>
        <v>0</v>
      </c>
    </row>
    <row r="560" spans="2:42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AC560" s="131">
        <f t="shared" si="112"/>
        <v>0</v>
      </c>
      <c r="AD560" s="131">
        <f t="shared" si="113"/>
        <v>0</v>
      </c>
      <c r="AE560" s="131">
        <f t="shared" si="114"/>
        <v>0</v>
      </c>
      <c r="AF560" s="131">
        <f t="shared" si="115"/>
        <v>0</v>
      </c>
      <c r="AG560" s="140">
        <f t="shared" si="116"/>
        <v>0</v>
      </c>
      <c r="AH560" s="140">
        <f t="shared" si="117"/>
        <v>0</v>
      </c>
      <c r="AI560" s="140">
        <f t="shared" si="118"/>
        <v>0</v>
      </c>
      <c r="AJ560" s="131">
        <f t="shared" si="119"/>
        <v>0</v>
      </c>
      <c r="AK560" s="131">
        <f t="shared" si="120"/>
        <v>0</v>
      </c>
      <c r="AL560" s="127">
        <f t="shared" si="125"/>
        <v>0</v>
      </c>
      <c r="AM560" s="140">
        <f t="shared" si="121"/>
        <v>0</v>
      </c>
      <c r="AN560" s="140">
        <f t="shared" si="122"/>
        <v>0</v>
      </c>
      <c r="AO560" s="140">
        <f t="shared" si="123"/>
        <v>0</v>
      </c>
      <c r="AP560" s="140">
        <f t="shared" si="124"/>
        <v>0</v>
      </c>
    </row>
    <row r="561" spans="2:42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AC561" s="131">
        <f t="shared" si="112"/>
        <v>0</v>
      </c>
      <c r="AD561" s="131">
        <f t="shared" si="113"/>
        <v>0</v>
      </c>
      <c r="AE561" s="131">
        <f t="shared" si="114"/>
        <v>0</v>
      </c>
      <c r="AF561" s="131">
        <f t="shared" si="115"/>
        <v>0</v>
      </c>
      <c r="AG561" s="140">
        <f t="shared" si="116"/>
        <v>0</v>
      </c>
      <c r="AH561" s="140">
        <f t="shared" si="117"/>
        <v>0</v>
      </c>
      <c r="AI561" s="140">
        <f t="shared" si="118"/>
        <v>0</v>
      </c>
      <c r="AJ561" s="131">
        <f t="shared" si="119"/>
        <v>0</v>
      </c>
      <c r="AK561" s="131">
        <f t="shared" si="120"/>
        <v>0</v>
      </c>
      <c r="AL561" s="127">
        <f t="shared" si="125"/>
        <v>0</v>
      </c>
      <c r="AM561" s="140">
        <f t="shared" si="121"/>
        <v>0</v>
      </c>
      <c r="AN561" s="140">
        <f t="shared" si="122"/>
        <v>0</v>
      </c>
      <c r="AO561" s="140">
        <f t="shared" si="123"/>
        <v>0</v>
      </c>
      <c r="AP561" s="140">
        <f t="shared" si="124"/>
        <v>0</v>
      </c>
    </row>
    <row r="562" spans="2:42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AC562" s="131">
        <f t="shared" si="112"/>
        <v>0</v>
      </c>
      <c r="AD562" s="131">
        <f t="shared" si="113"/>
        <v>0</v>
      </c>
      <c r="AE562" s="131">
        <f t="shared" si="114"/>
        <v>0</v>
      </c>
      <c r="AF562" s="131">
        <f t="shared" si="115"/>
        <v>0</v>
      </c>
      <c r="AG562" s="140">
        <f t="shared" si="116"/>
        <v>0</v>
      </c>
      <c r="AH562" s="140">
        <f t="shared" si="117"/>
        <v>0</v>
      </c>
      <c r="AI562" s="140">
        <f t="shared" si="118"/>
        <v>0</v>
      </c>
      <c r="AJ562" s="131">
        <f t="shared" si="119"/>
        <v>0</v>
      </c>
      <c r="AK562" s="131">
        <f t="shared" si="120"/>
        <v>0</v>
      </c>
      <c r="AL562" s="127">
        <f t="shared" si="125"/>
        <v>0</v>
      </c>
      <c r="AM562" s="140">
        <f t="shared" si="121"/>
        <v>0</v>
      </c>
      <c r="AN562" s="140">
        <f t="shared" si="122"/>
        <v>0</v>
      </c>
      <c r="AO562" s="140">
        <f t="shared" si="123"/>
        <v>0</v>
      </c>
      <c r="AP562" s="140">
        <f t="shared" si="124"/>
        <v>0</v>
      </c>
    </row>
    <row r="563" spans="2:42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AC563" s="131">
        <f t="shared" si="112"/>
        <v>0</v>
      </c>
      <c r="AD563" s="131">
        <f t="shared" si="113"/>
        <v>0</v>
      </c>
      <c r="AE563" s="131">
        <f t="shared" si="114"/>
        <v>0</v>
      </c>
      <c r="AF563" s="131">
        <f t="shared" si="115"/>
        <v>0</v>
      </c>
      <c r="AG563" s="140">
        <f t="shared" si="116"/>
        <v>0</v>
      </c>
      <c r="AH563" s="140">
        <f t="shared" si="117"/>
        <v>0</v>
      </c>
      <c r="AI563" s="140">
        <f t="shared" si="118"/>
        <v>0</v>
      </c>
      <c r="AJ563" s="131">
        <f t="shared" si="119"/>
        <v>0</v>
      </c>
      <c r="AK563" s="131">
        <f t="shared" si="120"/>
        <v>0</v>
      </c>
      <c r="AL563" s="127">
        <f t="shared" si="125"/>
        <v>0</v>
      </c>
      <c r="AM563" s="140">
        <f t="shared" si="121"/>
        <v>0</v>
      </c>
      <c r="AN563" s="140">
        <f t="shared" si="122"/>
        <v>0</v>
      </c>
      <c r="AO563" s="140">
        <f t="shared" si="123"/>
        <v>0</v>
      </c>
      <c r="AP563" s="140">
        <f t="shared" si="124"/>
        <v>0</v>
      </c>
    </row>
    <row r="564" spans="2:42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AC564" s="131">
        <f t="shared" si="112"/>
        <v>0</v>
      </c>
      <c r="AD564" s="131">
        <f t="shared" si="113"/>
        <v>0</v>
      </c>
      <c r="AE564" s="131">
        <f t="shared" si="114"/>
        <v>0</v>
      </c>
      <c r="AF564" s="131">
        <f t="shared" si="115"/>
        <v>0</v>
      </c>
      <c r="AG564" s="140">
        <f t="shared" si="116"/>
        <v>0</v>
      </c>
      <c r="AH564" s="140">
        <f t="shared" si="117"/>
        <v>0</v>
      </c>
      <c r="AI564" s="140">
        <f t="shared" si="118"/>
        <v>0</v>
      </c>
      <c r="AJ564" s="131">
        <f t="shared" si="119"/>
        <v>0</v>
      </c>
      <c r="AK564" s="131">
        <f t="shared" si="120"/>
        <v>0</v>
      </c>
      <c r="AL564" s="127">
        <f t="shared" si="125"/>
        <v>0</v>
      </c>
      <c r="AM564" s="140">
        <f t="shared" si="121"/>
        <v>0</v>
      </c>
      <c r="AN564" s="140">
        <f t="shared" si="122"/>
        <v>0</v>
      </c>
      <c r="AO564" s="140">
        <f t="shared" si="123"/>
        <v>0</v>
      </c>
      <c r="AP564" s="140">
        <f t="shared" si="124"/>
        <v>0</v>
      </c>
    </row>
    <row r="565" spans="2:42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AC565" s="131">
        <f t="shared" si="112"/>
        <v>0</v>
      </c>
      <c r="AD565" s="131">
        <f t="shared" si="113"/>
        <v>0</v>
      </c>
      <c r="AE565" s="131">
        <f t="shared" si="114"/>
        <v>0</v>
      </c>
      <c r="AF565" s="131">
        <f t="shared" si="115"/>
        <v>0</v>
      </c>
      <c r="AG565" s="140">
        <f t="shared" si="116"/>
        <v>0</v>
      </c>
      <c r="AH565" s="140">
        <f t="shared" si="117"/>
        <v>0</v>
      </c>
      <c r="AI565" s="140">
        <f t="shared" si="118"/>
        <v>0</v>
      </c>
      <c r="AJ565" s="131">
        <f t="shared" si="119"/>
        <v>0</v>
      </c>
      <c r="AK565" s="131">
        <f t="shared" si="120"/>
        <v>0</v>
      </c>
      <c r="AL565" s="127">
        <f t="shared" si="125"/>
        <v>0</v>
      </c>
      <c r="AM565" s="140">
        <f t="shared" si="121"/>
        <v>0</v>
      </c>
      <c r="AN565" s="140">
        <f t="shared" si="122"/>
        <v>0</v>
      </c>
      <c r="AO565" s="140">
        <f t="shared" si="123"/>
        <v>0</v>
      </c>
      <c r="AP565" s="140">
        <f t="shared" si="124"/>
        <v>0</v>
      </c>
    </row>
    <row r="566" spans="2:42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AC566" s="131">
        <f t="shared" si="112"/>
        <v>0</v>
      </c>
      <c r="AD566" s="131">
        <f t="shared" si="113"/>
        <v>0</v>
      </c>
      <c r="AE566" s="131">
        <f t="shared" si="114"/>
        <v>0</v>
      </c>
      <c r="AF566" s="131">
        <f t="shared" si="115"/>
        <v>0</v>
      </c>
      <c r="AG566" s="140">
        <f t="shared" si="116"/>
        <v>0</v>
      </c>
      <c r="AH566" s="140">
        <f t="shared" si="117"/>
        <v>0</v>
      </c>
      <c r="AI566" s="140">
        <f t="shared" si="118"/>
        <v>0</v>
      </c>
      <c r="AJ566" s="131">
        <f t="shared" si="119"/>
        <v>0</v>
      </c>
      <c r="AK566" s="131">
        <f t="shared" si="120"/>
        <v>0</v>
      </c>
      <c r="AL566" s="127">
        <f t="shared" si="125"/>
        <v>0</v>
      </c>
      <c r="AM566" s="140">
        <f t="shared" si="121"/>
        <v>0</v>
      </c>
      <c r="AN566" s="140">
        <f t="shared" si="122"/>
        <v>0</v>
      </c>
      <c r="AO566" s="140">
        <f t="shared" si="123"/>
        <v>0</v>
      </c>
      <c r="AP566" s="140">
        <f t="shared" si="124"/>
        <v>0</v>
      </c>
    </row>
    <row r="567" spans="2:42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AC567" s="131">
        <f t="shared" si="112"/>
        <v>0</v>
      </c>
      <c r="AD567" s="131">
        <f t="shared" si="113"/>
        <v>0</v>
      </c>
      <c r="AE567" s="131">
        <f t="shared" si="114"/>
        <v>0</v>
      </c>
      <c r="AF567" s="131">
        <f t="shared" si="115"/>
        <v>0</v>
      </c>
      <c r="AG567" s="140">
        <f t="shared" si="116"/>
        <v>0</v>
      </c>
      <c r="AH567" s="140">
        <f t="shared" si="117"/>
        <v>0</v>
      </c>
      <c r="AI567" s="140">
        <f t="shared" si="118"/>
        <v>0</v>
      </c>
      <c r="AJ567" s="131">
        <f t="shared" si="119"/>
        <v>0</v>
      </c>
      <c r="AK567" s="131">
        <f t="shared" si="120"/>
        <v>0</v>
      </c>
      <c r="AL567" s="127">
        <f t="shared" si="125"/>
        <v>0</v>
      </c>
      <c r="AM567" s="140">
        <f t="shared" si="121"/>
        <v>0</v>
      </c>
      <c r="AN567" s="140">
        <f t="shared" si="122"/>
        <v>0</v>
      </c>
      <c r="AO567" s="140">
        <f t="shared" si="123"/>
        <v>0</v>
      </c>
      <c r="AP567" s="140">
        <f t="shared" si="124"/>
        <v>0</v>
      </c>
    </row>
    <row r="568" spans="2:42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AC568" s="131">
        <f t="shared" si="112"/>
        <v>0</v>
      </c>
      <c r="AD568" s="131">
        <f t="shared" si="113"/>
        <v>0</v>
      </c>
      <c r="AE568" s="131">
        <f t="shared" si="114"/>
        <v>0</v>
      </c>
      <c r="AF568" s="131">
        <f t="shared" si="115"/>
        <v>0</v>
      </c>
      <c r="AG568" s="140">
        <f t="shared" si="116"/>
        <v>0</v>
      </c>
      <c r="AH568" s="140">
        <f t="shared" si="117"/>
        <v>0</v>
      </c>
      <c r="AI568" s="140">
        <f t="shared" si="118"/>
        <v>0</v>
      </c>
      <c r="AJ568" s="131">
        <f t="shared" si="119"/>
        <v>0</v>
      </c>
      <c r="AK568" s="131">
        <f t="shared" si="120"/>
        <v>0</v>
      </c>
      <c r="AL568" s="127">
        <f t="shared" si="125"/>
        <v>0</v>
      </c>
      <c r="AM568" s="140">
        <f t="shared" si="121"/>
        <v>0</v>
      </c>
      <c r="AN568" s="140">
        <f t="shared" si="122"/>
        <v>0</v>
      </c>
      <c r="AO568" s="140">
        <f t="shared" si="123"/>
        <v>0</v>
      </c>
      <c r="AP568" s="140">
        <f t="shared" si="124"/>
        <v>0</v>
      </c>
    </row>
    <row r="569" spans="2:42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AC569" s="131">
        <f t="shared" si="112"/>
        <v>0</v>
      </c>
      <c r="AD569" s="131">
        <f t="shared" si="113"/>
        <v>0</v>
      </c>
      <c r="AE569" s="131">
        <f t="shared" si="114"/>
        <v>0</v>
      </c>
      <c r="AF569" s="131">
        <f t="shared" si="115"/>
        <v>0</v>
      </c>
      <c r="AG569" s="140">
        <f t="shared" si="116"/>
        <v>0</v>
      </c>
      <c r="AH569" s="140">
        <f t="shared" si="117"/>
        <v>0</v>
      </c>
      <c r="AI569" s="140">
        <f t="shared" si="118"/>
        <v>0</v>
      </c>
      <c r="AJ569" s="131">
        <f t="shared" si="119"/>
        <v>0</v>
      </c>
      <c r="AK569" s="131">
        <f t="shared" si="120"/>
        <v>0</v>
      </c>
      <c r="AL569" s="127">
        <f t="shared" si="125"/>
        <v>0</v>
      </c>
      <c r="AM569" s="140">
        <f t="shared" si="121"/>
        <v>0</v>
      </c>
      <c r="AN569" s="140">
        <f t="shared" si="122"/>
        <v>0</v>
      </c>
      <c r="AO569" s="140">
        <f t="shared" si="123"/>
        <v>0</v>
      </c>
      <c r="AP569" s="140">
        <f t="shared" si="124"/>
        <v>0</v>
      </c>
    </row>
    <row r="570" spans="2:42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AC570" s="131">
        <f t="shared" si="112"/>
        <v>0</v>
      </c>
      <c r="AD570" s="131">
        <f t="shared" si="113"/>
        <v>0</v>
      </c>
      <c r="AE570" s="131">
        <f t="shared" si="114"/>
        <v>0</v>
      </c>
      <c r="AF570" s="131">
        <f t="shared" si="115"/>
        <v>0</v>
      </c>
      <c r="AG570" s="140">
        <f t="shared" si="116"/>
        <v>0</v>
      </c>
      <c r="AH570" s="140">
        <f t="shared" si="117"/>
        <v>0</v>
      </c>
      <c r="AI570" s="140">
        <f t="shared" si="118"/>
        <v>0</v>
      </c>
      <c r="AJ570" s="131">
        <f t="shared" si="119"/>
        <v>0</v>
      </c>
      <c r="AK570" s="131">
        <f t="shared" si="120"/>
        <v>0</v>
      </c>
      <c r="AL570" s="127">
        <f t="shared" si="125"/>
        <v>0</v>
      </c>
      <c r="AM570" s="140">
        <f t="shared" si="121"/>
        <v>0</v>
      </c>
      <c r="AN570" s="140">
        <f t="shared" si="122"/>
        <v>0</v>
      </c>
      <c r="AO570" s="140">
        <f t="shared" si="123"/>
        <v>0</v>
      </c>
      <c r="AP570" s="140">
        <f t="shared" si="124"/>
        <v>0</v>
      </c>
    </row>
    <row r="571" spans="2:42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AC571" s="131">
        <f t="shared" ref="AC571:AC634" si="126">+H571</f>
        <v>0</v>
      </c>
      <c r="AD571" s="131">
        <f t="shared" ref="AD571:AD634" si="127">+I571</f>
        <v>0</v>
      </c>
      <c r="AE571" s="131">
        <f t="shared" ref="AE571:AE634" si="128">+J571</f>
        <v>0</v>
      </c>
      <c r="AF571" s="131">
        <f t="shared" ref="AF571:AF634" si="129">+K571</f>
        <v>0</v>
      </c>
      <c r="AG571" s="140">
        <f t="shared" ref="AG571:AG634" si="130">+G571</f>
        <v>0</v>
      </c>
      <c r="AH571" s="140">
        <f t="shared" ref="AH571:AH634" si="131">+L571</f>
        <v>0</v>
      </c>
      <c r="AI571" s="140">
        <f t="shared" ref="AI571:AI634" si="132">+M571</f>
        <v>0</v>
      </c>
      <c r="AJ571" s="131">
        <f t="shared" ref="AJ571:AJ634" si="133">+T571</f>
        <v>0</v>
      </c>
      <c r="AK571" s="131">
        <f t="shared" ref="AK571:AK634" si="134">+N571+O571</f>
        <v>0</v>
      </c>
      <c r="AL571" s="127">
        <f t="shared" si="125"/>
        <v>0</v>
      </c>
      <c r="AM571" s="140">
        <f t="shared" ref="AM571:AM634" si="135">+P571+R571</f>
        <v>0</v>
      </c>
      <c r="AN571" s="140">
        <f t="shared" ref="AN571:AN634" si="136">+Q571+S571</f>
        <v>0</v>
      </c>
      <c r="AO571" s="140">
        <f t="shared" ref="AO571:AO634" si="137">+U571</f>
        <v>0</v>
      </c>
      <c r="AP571" s="140">
        <f t="shared" ref="AP571:AP634" si="138">+AG571+AH571+AJ571-AK571-AM571-AO571</f>
        <v>0</v>
      </c>
    </row>
    <row r="572" spans="2:42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AC572" s="131">
        <f t="shared" si="126"/>
        <v>0</v>
      </c>
      <c r="AD572" s="131">
        <f t="shared" si="127"/>
        <v>0</v>
      </c>
      <c r="AE572" s="131">
        <f t="shared" si="128"/>
        <v>0</v>
      </c>
      <c r="AF572" s="131">
        <f t="shared" si="129"/>
        <v>0</v>
      </c>
      <c r="AG572" s="140">
        <f t="shared" si="130"/>
        <v>0</v>
      </c>
      <c r="AH572" s="140">
        <f t="shared" si="131"/>
        <v>0</v>
      </c>
      <c r="AI572" s="140">
        <f t="shared" si="132"/>
        <v>0</v>
      </c>
      <c r="AJ572" s="131">
        <f t="shared" si="133"/>
        <v>0</v>
      </c>
      <c r="AK572" s="131">
        <f t="shared" si="134"/>
        <v>0</v>
      </c>
      <c r="AL572" s="127">
        <f t="shared" si="125"/>
        <v>0</v>
      </c>
      <c r="AM572" s="140">
        <f t="shared" si="135"/>
        <v>0</v>
      </c>
      <c r="AN572" s="140">
        <f t="shared" si="136"/>
        <v>0</v>
      </c>
      <c r="AO572" s="140">
        <f t="shared" si="137"/>
        <v>0</v>
      </c>
      <c r="AP572" s="140">
        <f t="shared" si="138"/>
        <v>0</v>
      </c>
    </row>
    <row r="573" spans="2:42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AC573" s="131">
        <f t="shared" si="126"/>
        <v>0</v>
      </c>
      <c r="AD573" s="131">
        <f t="shared" si="127"/>
        <v>0</v>
      </c>
      <c r="AE573" s="131">
        <f t="shared" si="128"/>
        <v>0</v>
      </c>
      <c r="AF573" s="131">
        <f t="shared" si="129"/>
        <v>0</v>
      </c>
      <c r="AG573" s="140">
        <f t="shared" si="130"/>
        <v>0</v>
      </c>
      <c r="AH573" s="140">
        <f t="shared" si="131"/>
        <v>0</v>
      </c>
      <c r="AI573" s="140">
        <f t="shared" si="132"/>
        <v>0</v>
      </c>
      <c r="AJ573" s="131">
        <f t="shared" si="133"/>
        <v>0</v>
      </c>
      <c r="AK573" s="131">
        <f t="shared" si="134"/>
        <v>0</v>
      </c>
      <c r="AL573" s="127">
        <f t="shared" si="125"/>
        <v>0</v>
      </c>
      <c r="AM573" s="140">
        <f t="shared" si="135"/>
        <v>0</v>
      </c>
      <c r="AN573" s="140">
        <f t="shared" si="136"/>
        <v>0</v>
      </c>
      <c r="AO573" s="140">
        <f t="shared" si="137"/>
        <v>0</v>
      </c>
      <c r="AP573" s="140">
        <f t="shared" si="138"/>
        <v>0</v>
      </c>
    </row>
    <row r="574" spans="2:42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AC574" s="131">
        <f t="shared" si="126"/>
        <v>0</v>
      </c>
      <c r="AD574" s="131">
        <f t="shared" si="127"/>
        <v>0</v>
      </c>
      <c r="AE574" s="131">
        <f t="shared" si="128"/>
        <v>0</v>
      </c>
      <c r="AF574" s="131">
        <f t="shared" si="129"/>
        <v>0</v>
      </c>
      <c r="AG574" s="140">
        <f t="shared" si="130"/>
        <v>0</v>
      </c>
      <c r="AH574" s="140">
        <f t="shared" si="131"/>
        <v>0</v>
      </c>
      <c r="AI574" s="140">
        <f t="shared" si="132"/>
        <v>0</v>
      </c>
      <c r="AJ574" s="131">
        <f t="shared" si="133"/>
        <v>0</v>
      </c>
      <c r="AK574" s="131">
        <f t="shared" si="134"/>
        <v>0</v>
      </c>
      <c r="AL574" s="127">
        <f t="shared" si="125"/>
        <v>0</v>
      </c>
      <c r="AM574" s="140">
        <f t="shared" si="135"/>
        <v>0</v>
      </c>
      <c r="AN574" s="140">
        <f t="shared" si="136"/>
        <v>0</v>
      </c>
      <c r="AO574" s="140">
        <f t="shared" si="137"/>
        <v>0</v>
      </c>
      <c r="AP574" s="140">
        <f t="shared" si="138"/>
        <v>0</v>
      </c>
    </row>
    <row r="575" spans="2:42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AC575" s="131">
        <f t="shared" si="126"/>
        <v>0</v>
      </c>
      <c r="AD575" s="131">
        <f t="shared" si="127"/>
        <v>0</v>
      </c>
      <c r="AE575" s="131">
        <f t="shared" si="128"/>
        <v>0</v>
      </c>
      <c r="AF575" s="131">
        <f t="shared" si="129"/>
        <v>0</v>
      </c>
      <c r="AG575" s="140">
        <f t="shared" si="130"/>
        <v>0</v>
      </c>
      <c r="AH575" s="140">
        <f t="shared" si="131"/>
        <v>0</v>
      </c>
      <c r="AI575" s="140">
        <f t="shared" si="132"/>
        <v>0</v>
      </c>
      <c r="AJ575" s="131">
        <f t="shared" si="133"/>
        <v>0</v>
      </c>
      <c r="AK575" s="131">
        <f t="shared" si="134"/>
        <v>0</v>
      </c>
      <c r="AL575" s="127">
        <f t="shared" si="125"/>
        <v>0</v>
      </c>
      <c r="AM575" s="140">
        <f t="shared" si="135"/>
        <v>0</v>
      </c>
      <c r="AN575" s="140">
        <f t="shared" si="136"/>
        <v>0</v>
      </c>
      <c r="AO575" s="140">
        <f t="shared" si="137"/>
        <v>0</v>
      </c>
      <c r="AP575" s="140">
        <f t="shared" si="138"/>
        <v>0</v>
      </c>
    </row>
    <row r="576" spans="2:42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AC576" s="131">
        <f t="shared" si="126"/>
        <v>0</v>
      </c>
      <c r="AD576" s="131">
        <f t="shared" si="127"/>
        <v>0</v>
      </c>
      <c r="AE576" s="131">
        <f t="shared" si="128"/>
        <v>0</v>
      </c>
      <c r="AF576" s="131">
        <f t="shared" si="129"/>
        <v>0</v>
      </c>
      <c r="AG576" s="140">
        <f t="shared" si="130"/>
        <v>0</v>
      </c>
      <c r="AH576" s="140">
        <f t="shared" si="131"/>
        <v>0</v>
      </c>
      <c r="AI576" s="140">
        <f t="shared" si="132"/>
        <v>0</v>
      </c>
      <c r="AJ576" s="131">
        <f t="shared" si="133"/>
        <v>0</v>
      </c>
      <c r="AK576" s="131">
        <f t="shared" si="134"/>
        <v>0</v>
      </c>
      <c r="AL576" s="127">
        <f t="shared" si="125"/>
        <v>0</v>
      </c>
      <c r="AM576" s="140">
        <f t="shared" si="135"/>
        <v>0</v>
      </c>
      <c r="AN576" s="140">
        <f t="shared" si="136"/>
        <v>0</v>
      </c>
      <c r="AO576" s="140">
        <f t="shared" si="137"/>
        <v>0</v>
      </c>
      <c r="AP576" s="140">
        <f t="shared" si="138"/>
        <v>0</v>
      </c>
    </row>
    <row r="577" spans="2:42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AC577" s="131">
        <f t="shared" si="126"/>
        <v>0</v>
      </c>
      <c r="AD577" s="131">
        <f t="shared" si="127"/>
        <v>0</v>
      </c>
      <c r="AE577" s="131">
        <f t="shared" si="128"/>
        <v>0</v>
      </c>
      <c r="AF577" s="131">
        <f t="shared" si="129"/>
        <v>0</v>
      </c>
      <c r="AG577" s="140">
        <f t="shared" si="130"/>
        <v>0</v>
      </c>
      <c r="AH577" s="140">
        <f t="shared" si="131"/>
        <v>0</v>
      </c>
      <c r="AI577" s="140">
        <f t="shared" si="132"/>
        <v>0</v>
      </c>
      <c r="AJ577" s="131">
        <f t="shared" si="133"/>
        <v>0</v>
      </c>
      <c r="AK577" s="131">
        <f t="shared" si="134"/>
        <v>0</v>
      </c>
      <c r="AL577" s="127">
        <f t="shared" si="125"/>
        <v>0</v>
      </c>
      <c r="AM577" s="140">
        <f t="shared" si="135"/>
        <v>0</v>
      </c>
      <c r="AN577" s="140">
        <f t="shared" si="136"/>
        <v>0</v>
      </c>
      <c r="AO577" s="140">
        <f t="shared" si="137"/>
        <v>0</v>
      </c>
      <c r="AP577" s="140">
        <f t="shared" si="138"/>
        <v>0</v>
      </c>
    </row>
    <row r="578" spans="2:42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AC578" s="131">
        <f t="shared" si="126"/>
        <v>0</v>
      </c>
      <c r="AD578" s="131">
        <f t="shared" si="127"/>
        <v>0</v>
      </c>
      <c r="AE578" s="131">
        <f t="shared" si="128"/>
        <v>0</v>
      </c>
      <c r="AF578" s="131">
        <f t="shared" si="129"/>
        <v>0</v>
      </c>
      <c r="AG578" s="140">
        <f t="shared" si="130"/>
        <v>0</v>
      </c>
      <c r="AH578" s="140">
        <f t="shared" si="131"/>
        <v>0</v>
      </c>
      <c r="AI578" s="140">
        <f t="shared" si="132"/>
        <v>0</v>
      </c>
      <c r="AJ578" s="131">
        <f t="shared" si="133"/>
        <v>0</v>
      </c>
      <c r="AK578" s="131">
        <f t="shared" si="134"/>
        <v>0</v>
      </c>
      <c r="AL578" s="127">
        <f t="shared" si="125"/>
        <v>0</v>
      </c>
      <c r="AM578" s="140">
        <f t="shared" si="135"/>
        <v>0</v>
      </c>
      <c r="AN578" s="140">
        <f t="shared" si="136"/>
        <v>0</v>
      </c>
      <c r="AO578" s="140">
        <f t="shared" si="137"/>
        <v>0</v>
      </c>
      <c r="AP578" s="140">
        <f t="shared" si="138"/>
        <v>0</v>
      </c>
    </row>
    <row r="579" spans="2:42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AC579" s="131">
        <f t="shared" si="126"/>
        <v>0</v>
      </c>
      <c r="AD579" s="131">
        <f t="shared" si="127"/>
        <v>0</v>
      </c>
      <c r="AE579" s="131">
        <f t="shared" si="128"/>
        <v>0</v>
      </c>
      <c r="AF579" s="131">
        <f t="shared" si="129"/>
        <v>0</v>
      </c>
      <c r="AG579" s="140">
        <f t="shared" si="130"/>
        <v>0</v>
      </c>
      <c r="AH579" s="140">
        <f t="shared" si="131"/>
        <v>0</v>
      </c>
      <c r="AI579" s="140">
        <f t="shared" si="132"/>
        <v>0</v>
      </c>
      <c r="AJ579" s="131">
        <f t="shared" si="133"/>
        <v>0</v>
      </c>
      <c r="AK579" s="131">
        <f t="shared" si="134"/>
        <v>0</v>
      </c>
      <c r="AL579" s="127">
        <f t="shared" ref="AL579:AL642" si="139">ROUND(IFERROR(+AK579/AH579*100,0),2)</f>
        <v>0</v>
      </c>
      <c r="AM579" s="140">
        <f t="shared" si="135"/>
        <v>0</v>
      </c>
      <c r="AN579" s="140">
        <f t="shared" si="136"/>
        <v>0</v>
      </c>
      <c r="AO579" s="140">
        <f t="shared" si="137"/>
        <v>0</v>
      </c>
      <c r="AP579" s="140">
        <f t="shared" si="138"/>
        <v>0</v>
      </c>
    </row>
    <row r="580" spans="2:42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AC580" s="131">
        <f t="shared" si="126"/>
        <v>0</v>
      </c>
      <c r="AD580" s="131">
        <f t="shared" si="127"/>
        <v>0</v>
      </c>
      <c r="AE580" s="131">
        <f t="shared" si="128"/>
        <v>0</v>
      </c>
      <c r="AF580" s="131">
        <f t="shared" si="129"/>
        <v>0</v>
      </c>
      <c r="AG580" s="140">
        <f t="shared" si="130"/>
        <v>0</v>
      </c>
      <c r="AH580" s="140">
        <f t="shared" si="131"/>
        <v>0</v>
      </c>
      <c r="AI580" s="140">
        <f t="shared" si="132"/>
        <v>0</v>
      </c>
      <c r="AJ580" s="131">
        <f t="shared" si="133"/>
        <v>0</v>
      </c>
      <c r="AK580" s="131">
        <f t="shared" si="134"/>
        <v>0</v>
      </c>
      <c r="AL580" s="127">
        <f t="shared" si="139"/>
        <v>0</v>
      </c>
      <c r="AM580" s="140">
        <f t="shared" si="135"/>
        <v>0</v>
      </c>
      <c r="AN580" s="140">
        <f t="shared" si="136"/>
        <v>0</v>
      </c>
      <c r="AO580" s="140">
        <f t="shared" si="137"/>
        <v>0</v>
      </c>
      <c r="AP580" s="140">
        <f t="shared" si="138"/>
        <v>0</v>
      </c>
    </row>
    <row r="581" spans="2:42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AC581" s="131">
        <f t="shared" si="126"/>
        <v>0</v>
      </c>
      <c r="AD581" s="131">
        <f t="shared" si="127"/>
        <v>0</v>
      </c>
      <c r="AE581" s="131">
        <f t="shared" si="128"/>
        <v>0</v>
      </c>
      <c r="AF581" s="131">
        <f t="shared" si="129"/>
        <v>0</v>
      </c>
      <c r="AG581" s="140">
        <f t="shared" si="130"/>
        <v>0</v>
      </c>
      <c r="AH581" s="140">
        <f t="shared" si="131"/>
        <v>0</v>
      </c>
      <c r="AI581" s="140">
        <f t="shared" si="132"/>
        <v>0</v>
      </c>
      <c r="AJ581" s="131">
        <f t="shared" si="133"/>
        <v>0</v>
      </c>
      <c r="AK581" s="131">
        <f t="shared" si="134"/>
        <v>0</v>
      </c>
      <c r="AL581" s="127">
        <f t="shared" si="139"/>
        <v>0</v>
      </c>
      <c r="AM581" s="140">
        <f t="shared" si="135"/>
        <v>0</v>
      </c>
      <c r="AN581" s="140">
        <f t="shared" si="136"/>
        <v>0</v>
      </c>
      <c r="AO581" s="140">
        <f t="shared" si="137"/>
        <v>0</v>
      </c>
      <c r="AP581" s="140">
        <f t="shared" si="138"/>
        <v>0</v>
      </c>
    </row>
    <row r="582" spans="2:42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AC582" s="131">
        <f t="shared" si="126"/>
        <v>0</v>
      </c>
      <c r="AD582" s="131">
        <f t="shared" si="127"/>
        <v>0</v>
      </c>
      <c r="AE582" s="131">
        <f t="shared" si="128"/>
        <v>0</v>
      </c>
      <c r="AF582" s="131">
        <f t="shared" si="129"/>
        <v>0</v>
      </c>
      <c r="AG582" s="140">
        <f t="shared" si="130"/>
        <v>0</v>
      </c>
      <c r="AH582" s="140">
        <f t="shared" si="131"/>
        <v>0</v>
      </c>
      <c r="AI582" s="140">
        <f t="shared" si="132"/>
        <v>0</v>
      </c>
      <c r="AJ582" s="131">
        <f t="shared" si="133"/>
        <v>0</v>
      </c>
      <c r="AK582" s="131">
        <f t="shared" si="134"/>
        <v>0</v>
      </c>
      <c r="AL582" s="127">
        <f t="shared" si="139"/>
        <v>0</v>
      </c>
      <c r="AM582" s="140">
        <f t="shared" si="135"/>
        <v>0</v>
      </c>
      <c r="AN582" s="140">
        <f t="shared" si="136"/>
        <v>0</v>
      </c>
      <c r="AO582" s="140">
        <f t="shared" si="137"/>
        <v>0</v>
      </c>
      <c r="AP582" s="140">
        <f t="shared" si="138"/>
        <v>0</v>
      </c>
    </row>
    <row r="583" spans="2:42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AC583" s="131">
        <f t="shared" si="126"/>
        <v>0</v>
      </c>
      <c r="AD583" s="131">
        <f t="shared" si="127"/>
        <v>0</v>
      </c>
      <c r="AE583" s="131">
        <f t="shared" si="128"/>
        <v>0</v>
      </c>
      <c r="AF583" s="131">
        <f t="shared" si="129"/>
        <v>0</v>
      </c>
      <c r="AG583" s="140">
        <f t="shared" si="130"/>
        <v>0</v>
      </c>
      <c r="AH583" s="140">
        <f t="shared" si="131"/>
        <v>0</v>
      </c>
      <c r="AI583" s="140">
        <f t="shared" si="132"/>
        <v>0</v>
      </c>
      <c r="AJ583" s="131">
        <f t="shared" si="133"/>
        <v>0</v>
      </c>
      <c r="AK583" s="131">
        <f t="shared" si="134"/>
        <v>0</v>
      </c>
      <c r="AL583" s="127">
        <f t="shared" si="139"/>
        <v>0</v>
      </c>
      <c r="AM583" s="140">
        <f t="shared" si="135"/>
        <v>0</v>
      </c>
      <c r="AN583" s="140">
        <f t="shared" si="136"/>
        <v>0</v>
      </c>
      <c r="AO583" s="140">
        <f t="shared" si="137"/>
        <v>0</v>
      </c>
      <c r="AP583" s="140">
        <f t="shared" si="138"/>
        <v>0</v>
      </c>
    </row>
    <row r="584" spans="2:42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AC584" s="131">
        <f t="shared" si="126"/>
        <v>0</v>
      </c>
      <c r="AD584" s="131">
        <f t="shared" si="127"/>
        <v>0</v>
      </c>
      <c r="AE584" s="131">
        <f t="shared" si="128"/>
        <v>0</v>
      </c>
      <c r="AF584" s="131">
        <f t="shared" si="129"/>
        <v>0</v>
      </c>
      <c r="AG584" s="140">
        <f t="shared" si="130"/>
        <v>0</v>
      </c>
      <c r="AH584" s="140">
        <f t="shared" si="131"/>
        <v>0</v>
      </c>
      <c r="AI584" s="140">
        <f t="shared" si="132"/>
        <v>0</v>
      </c>
      <c r="AJ584" s="131">
        <f t="shared" si="133"/>
        <v>0</v>
      </c>
      <c r="AK584" s="131">
        <f t="shared" si="134"/>
        <v>0</v>
      </c>
      <c r="AL584" s="127">
        <f t="shared" si="139"/>
        <v>0</v>
      </c>
      <c r="AM584" s="140">
        <f t="shared" si="135"/>
        <v>0</v>
      </c>
      <c r="AN584" s="140">
        <f t="shared" si="136"/>
        <v>0</v>
      </c>
      <c r="AO584" s="140">
        <f t="shared" si="137"/>
        <v>0</v>
      </c>
      <c r="AP584" s="140">
        <f t="shared" si="138"/>
        <v>0</v>
      </c>
    </row>
    <row r="585" spans="2:42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AC585" s="131">
        <f t="shared" si="126"/>
        <v>0</v>
      </c>
      <c r="AD585" s="131">
        <f t="shared" si="127"/>
        <v>0</v>
      </c>
      <c r="AE585" s="131">
        <f t="shared" si="128"/>
        <v>0</v>
      </c>
      <c r="AF585" s="131">
        <f t="shared" si="129"/>
        <v>0</v>
      </c>
      <c r="AG585" s="140">
        <f t="shared" si="130"/>
        <v>0</v>
      </c>
      <c r="AH585" s="140">
        <f t="shared" si="131"/>
        <v>0</v>
      </c>
      <c r="AI585" s="140">
        <f t="shared" si="132"/>
        <v>0</v>
      </c>
      <c r="AJ585" s="131">
        <f t="shared" si="133"/>
        <v>0</v>
      </c>
      <c r="AK585" s="131">
        <f t="shared" si="134"/>
        <v>0</v>
      </c>
      <c r="AL585" s="127">
        <f t="shared" si="139"/>
        <v>0</v>
      </c>
      <c r="AM585" s="140">
        <f t="shared" si="135"/>
        <v>0</v>
      </c>
      <c r="AN585" s="140">
        <f t="shared" si="136"/>
        <v>0</v>
      </c>
      <c r="AO585" s="140">
        <f t="shared" si="137"/>
        <v>0</v>
      </c>
      <c r="AP585" s="140">
        <f t="shared" si="138"/>
        <v>0</v>
      </c>
    </row>
    <row r="586" spans="2:42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AC586" s="131">
        <f t="shared" si="126"/>
        <v>0</v>
      </c>
      <c r="AD586" s="131">
        <f t="shared" si="127"/>
        <v>0</v>
      </c>
      <c r="AE586" s="131">
        <f t="shared" si="128"/>
        <v>0</v>
      </c>
      <c r="AF586" s="131">
        <f t="shared" si="129"/>
        <v>0</v>
      </c>
      <c r="AG586" s="140">
        <f t="shared" si="130"/>
        <v>0</v>
      </c>
      <c r="AH586" s="140">
        <f t="shared" si="131"/>
        <v>0</v>
      </c>
      <c r="AI586" s="140">
        <f t="shared" si="132"/>
        <v>0</v>
      </c>
      <c r="AJ586" s="131">
        <f t="shared" si="133"/>
        <v>0</v>
      </c>
      <c r="AK586" s="131">
        <f t="shared" si="134"/>
        <v>0</v>
      </c>
      <c r="AL586" s="127">
        <f t="shared" si="139"/>
        <v>0</v>
      </c>
      <c r="AM586" s="140">
        <f t="shared" si="135"/>
        <v>0</v>
      </c>
      <c r="AN586" s="140">
        <f t="shared" si="136"/>
        <v>0</v>
      </c>
      <c r="AO586" s="140">
        <f t="shared" si="137"/>
        <v>0</v>
      </c>
      <c r="AP586" s="140">
        <f t="shared" si="138"/>
        <v>0</v>
      </c>
    </row>
    <row r="587" spans="2:42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AC587" s="131">
        <f t="shared" si="126"/>
        <v>0</v>
      </c>
      <c r="AD587" s="131">
        <f t="shared" si="127"/>
        <v>0</v>
      </c>
      <c r="AE587" s="131">
        <f t="shared" si="128"/>
        <v>0</v>
      </c>
      <c r="AF587" s="131">
        <f t="shared" si="129"/>
        <v>0</v>
      </c>
      <c r="AG587" s="140">
        <f t="shared" si="130"/>
        <v>0</v>
      </c>
      <c r="AH587" s="140">
        <f t="shared" si="131"/>
        <v>0</v>
      </c>
      <c r="AI587" s="140">
        <f t="shared" si="132"/>
        <v>0</v>
      </c>
      <c r="AJ587" s="131">
        <f t="shared" si="133"/>
        <v>0</v>
      </c>
      <c r="AK587" s="131">
        <f t="shared" si="134"/>
        <v>0</v>
      </c>
      <c r="AL587" s="127">
        <f t="shared" si="139"/>
        <v>0</v>
      </c>
      <c r="AM587" s="140">
        <f t="shared" si="135"/>
        <v>0</v>
      </c>
      <c r="AN587" s="140">
        <f t="shared" si="136"/>
        <v>0</v>
      </c>
      <c r="AO587" s="140">
        <f t="shared" si="137"/>
        <v>0</v>
      </c>
      <c r="AP587" s="140">
        <f t="shared" si="138"/>
        <v>0</v>
      </c>
    </row>
    <row r="588" spans="2:42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AC588" s="131">
        <f t="shared" si="126"/>
        <v>0</v>
      </c>
      <c r="AD588" s="131">
        <f t="shared" si="127"/>
        <v>0</v>
      </c>
      <c r="AE588" s="131">
        <f t="shared" si="128"/>
        <v>0</v>
      </c>
      <c r="AF588" s="131">
        <f t="shared" si="129"/>
        <v>0</v>
      </c>
      <c r="AG588" s="140">
        <f t="shared" si="130"/>
        <v>0</v>
      </c>
      <c r="AH588" s="140">
        <f t="shared" si="131"/>
        <v>0</v>
      </c>
      <c r="AI588" s="140">
        <f t="shared" si="132"/>
        <v>0</v>
      </c>
      <c r="AJ588" s="131">
        <f t="shared" si="133"/>
        <v>0</v>
      </c>
      <c r="AK588" s="131">
        <f t="shared" si="134"/>
        <v>0</v>
      </c>
      <c r="AL588" s="127">
        <f t="shared" si="139"/>
        <v>0</v>
      </c>
      <c r="AM588" s="140">
        <f t="shared" si="135"/>
        <v>0</v>
      </c>
      <c r="AN588" s="140">
        <f t="shared" si="136"/>
        <v>0</v>
      </c>
      <c r="AO588" s="140">
        <f t="shared" si="137"/>
        <v>0</v>
      </c>
      <c r="AP588" s="140">
        <f t="shared" si="138"/>
        <v>0</v>
      </c>
    </row>
    <row r="589" spans="2:42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AC589" s="131">
        <f t="shared" si="126"/>
        <v>0</v>
      </c>
      <c r="AD589" s="131">
        <f t="shared" si="127"/>
        <v>0</v>
      </c>
      <c r="AE589" s="131">
        <f t="shared" si="128"/>
        <v>0</v>
      </c>
      <c r="AF589" s="131">
        <f t="shared" si="129"/>
        <v>0</v>
      </c>
      <c r="AG589" s="140">
        <f t="shared" si="130"/>
        <v>0</v>
      </c>
      <c r="AH589" s="140">
        <f t="shared" si="131"/>
        <v>0</v>
      </c>
      <c r="AI589" s="140">
        <f t="shared" si="132"/>
        <v>0</v>
      </c>
      <c r="AJ589" s="131">
        <f t="shared" si="133"/>
        <v>0</v>
      </c>
      <c r="AK589" s="131">
        <f t="shared" si="134"/>
        <v>0</v>
      </c>
      <c r="AL589" s="127">
        <f t="shared" si="139"/>
        <v>0</v>
      </c>
      <c r="AM589" s="140">
        <f t="shared" si="135"/>
        <v>0</v>
      </c>
      <c r="AN589" s="140">
        <f t="shared" si="136"/>
        <v>0</v>
      </c>
      <c r="AO589" s="140">
        <f t="shared" si="137"/>
        <v>0</v>
      </c>
      <c r="AP589" s="140">
        <f t="shared" si="138"/>
        <v>0</v>
      </c>
    </row>
    <row r="590" spans="2:42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AC590" s="131">
        <f t="shared" si="126"/>
        <v>0</v>
      </c>
      <c r="AD590" s="131">
        <f t="shared" si="127"/>
        <v>0</v>
      </c>
      <c r="AE590" s="131">
        <f t="shared" si="128"/>
        <v>0</v>
      </c>
      <c r="AF590" s="131">
        <f t="shared" si="129"/>
        <v>0</v>
      </c>
      <c r="AG590" s="140">
        <f t="shared" si="130"/>
        <v>0</v>
      </c>
      <c r="AH590" s="140">
        <f t="shared" si="131"/>
        <v>0</v>
      </c>
      <c r="AI590" s="140">
        <f t="shared" si="132"/>
        <v>0</v>
      </c>
      <c r="AJ590" s="131">
        <f t="shared" si="133"/>
        <v>0</v>
      </c>
      <c r="AK590" s="131">
        <f t="shared" si="134"/>
        <v>0</v>
      </c>
      <c r="AL590" s="127">
        <f t="shared" si="139"/>
        <v>0</v>
      </c>
      <c r="AM590" s="140">
        <f t="shared" si="135"/>
        <v>0</v>
      </c>
      <c r="AN590" s="140">
        <f t="shared" si="136"/>
        <v>0</v>
      </c>
      <c r="AO590" s="140">
        <f t="shared" si="137"/>
        <v>0</v>
      </c>
      <c r="AP590" s="140">
        <f t="shared" si="138"/>
        <v>0</v>
      </c>
    </row>
    <row r="591" spans="2:42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AC591" s="131">
        <f t="shared" si="126"/>
        <v>0</v>
      </c>
      <c r="AD591" s="131">
        <f t="shared" si="127"/>
        <v>0</v>
      </c>
      <c r="AE591" s="131">
        <f t="shared" si="128"/>
        <v>0</v>
      </c>
      <c r="AF591" s="131">
        <f t="shared" si="129"/>
        <v>0</v>
      </c>
      <c r="AG591" s="140">
        <f t="shared" si="130"/>
        <v>0</v>
      </c>
      <c r="AH591" s="140">
        <f t="shared" si="131"/>
        <v>0</v>
      </c>
      <c r="AI591" s="140">
        <f t="shared" si="132"/>
        <v>0</v>
      </c>
      <c r="AJ591" s="131">
        <f t="shared" si="133"/>
        <v>0</v>
      </c>
      <c r="AK591" s="131">
        <f t="shared" si="134"/>
        <v>0</v>
      </c>
      <c r="AL591" s="127">
        <f t="shared" si="139"/>
        <v>0</v>
      </c>
      <c r="AM591" s="140">
        <f t="shared" si="135"/>
        <v>0</v>
      </c>
      <c r="AN591" s="140">
        <f t="shared" si="136"/>
        <v>0</v>
      </c>
      <c r="AO591" s="140">
        <f t="shared" si="137"/>
        <v>0</v>
      </c>
      <c r="AP591" s="140">
        <f t="shared" si="138"/>
        <v>0</v>
      </c>
    </row>
    <row r="592" spans="2:42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AC592" s="131">
        <f t="shared" si="126"/>
        <v>0</v>
      </c>
      <c r="AD592" s="131">
        <f t="shared" si="127"/>
        <v>0</v>
      </c>
      <c r="AE592" s="131">
        <f t="shared" si="128"/>
        <v>0</v>
      </c>
      <c r="AF592" s="131">
        <f t="shared" si="129"/>
        <v>0</v>
      </c>
      <c r="AG592" s="140">
        <f t="shared" si="130"/>
        <v>0</v>
      </c>
      <c r="AH592" s="140">
        <f t="shared" si="131"/>
        <v>0</v>
      </c>
      <c r="AI592" s="140">
        <f t="shared" si="132"/>
        <v>0</v>
      </c>
      <c r="AJ592" s="131">
        <f t="shared" si="133"/>
        <v>0</v>
      </c>
      <c r="AK592" s="131">
        <f t="shared" si="134"/>
        <v>0</v>
      </c>
      <c r="AL592" s="127">
        <f t="shared" si="139"/>
        <v>0</v>
      </c>
      <c r="AM592" s="140">
        <f t="shared" si="135"/>
        <v>0</v>
      </c>
      <c r="AN592" s="140">
        <f t="shared" si="136"/>
        <v>0</v>
      </c>
      <c r="AO592" s="140">
        <f t="shared" si="137"/>
        <v>0</v>
      </c>
      <c r="AP592" s="140">
        <f t="shared" si="138"/>
        <v>0</v>
      </c>
    </row>
    <row r="593" spans="2:42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AC593" s="131">
        <f t="shared" si="126"/>
        <v>0</v>
      </c>
      <c r="AD593" s="131">
        <f t="shared" si="127"/>
        <v>0</v>
      </c>
      <c r="AE593" s="131">
        <f t="shared" si="128"/>
        <v>0</v>
      </c>
      <c r="AF593" s="131">
        <f t="shared" si="129"/>
        <v>0</v>
      </c>
      <c r="AG593" s="140">
        <f t="shared" si="130"/>
        <v>0</v>
      </c>
      <c r="AH593" s="140">
        <f t="shared" si="131"/>
        <v>0</v>
      </c>
      <c r="AI593" s="140">
        <f t="shared" si="132"/>
        <v>0</v>
      </c>
      <c r="AJ593" s="131">
        <f t="shared" si="133"/>
        <v>0</v>
      </c>
      <c r="AK593" s="131">
        <f t="shared" si="134"/>
        <v>0</v>
      </c>
      <c r="AL593" s="127">
        <f t="shared" si="139"/>
        <v>0</v>
      </c>
      <c r="AM593" s="140">
        <f t="shared" si="135"/>
        <v>0</v>
      </c>
      <c r="AN593" s="140">
        <f t="shared" si="136"/>
        <v>0</v>
      </c>
      <c r="AO593" s="140">
        <f t="shared" si="137"/>
        <v>0</v>
      </c>
      <c r="AP593" s="140">
        <f t="shared" si="138"/>
        <v>0</v>
      </c>
    </row>
    <row r="594" spans="2:42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AC594" s="131">
        <f t="shared" si="126"/>
        <v>0</v>
      </c>
      <c r="AD594" s="131">
        <f t="shared" si="127"/>
        <v>0</v>
      </c>
      <c r="AE594" s="131">
        <f t="shared" si="128"/>
        <v>0</v>
      </c>
      <c r="AF594" s="131">
        <f t="shared" si="129"/>
        <v>0</v>
      </c>
      <c r="AG594" s="140">
        <f t="shared" si="130"/>
        <v>0</v>
      </c>
      <c r="AH594" s="140">
        <f t="shared" si="131"/>
        <v>0</v>
      </c>
      <c r="AI594" s="140">
        <f t="shared" si="132"/>
        <v>0</v>
      </c>
      <c r="AJ594" s="131">
        <f t="shared" si="133"/>
        <v>0</v>
      </c>
      <c r="AK594" s="131">
        <f t="shared" si="134"/>
        <v>0</v>
      </c>
      <c r="AL594" s="127">
        <f t="shared" si="139"/>
        <v>0</v>
      </c>
      <c r="AM594" s="140">
        <f t="shared" si="135"/>
        <v>0</v>
      </c>
      <c r="AN594" s="140">
        <f t="shared" si="136"/>
        <v>0</v>
      </c>
      <c r="AO594" s="140">
        <f t="shared" si="137"/>
        <v>0</v>
      </c>
      <c r="AP594" s="140">
        <f t="shared" si="138"/>
        <v>0</v>
      </c>
    </row>
    <row r="595" spans="2:42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AC595" s="131">
        <f t="shared" si="126"/>
        <v>0</v>
      </c>
      <c r="AD595" s="131">
        <f t="shared" si="127"/>
        <v>0</v>
      </c>
      <c r="AE595" s="131">
        <f t="shared" si="128"/>
        <v>0</v>
      </c>
      <c r="AF595" s="131">
        <f t="shared" si="129"/>
        <v>0</v>
      </c>
      <c r="AG595" s="140">
        <f t="shared" si="130"/>
        <v>0</v>
      </c>
      <c r="AH595" s="140">
        <f t="shared" si="131"/>
        <v>0</v>
      </c>
      <c r="AI595" s="140">
        <f t="shared" si="132"/>
        <v>0</v>
      </c>
      <c r="AJ595" s="131">
        <f t="shared" si="133"/>
        <v>0</v>
      </c>
      <c r="AK595" s="131">
        <f t="shared" si="134"/>
        <v>0</v>
      </c>
      <c r="AL595" s="127">
        <f t="shared" si="139"/>
        <v>0</v>
      </c>
      <c r="AM595" s="140">
        <f t="shared" si="135"/>
        <v>0</v>
      </c>
      <c r="AN595" s="140">
        <f t="shared" si="136"/>
        <v>0</v>
      </c>
      <c r="AO595" s="140">
        <f t="shared" si="137"/>
        <v>0</v>
      </c>
      <c r="AP595" s="140">
        <f t="shared" si="138"/>
        <v>0</v>
      </c>
    </row>
    <row r="596" spans="2:42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AC596" s="131">
        <f t="shared" si="126"/>
        <v>0</v>
      </c>
      <c r="AD596" s="131">
        <f t="shared" si="127"/>
        <v>0</v>
      </c>
      <c r="AE596" s="131">
        <f t="shared" si="128"/>
        <v>0</v>
      </c>
      <c r="AF596" s="131">
        <f t="shared" si="129"/>
        <v>0</v>
      </c>
      <c r="AG596" s="140">
        <f t="shared" si="130"/>
        <v>0</v>
      </c>
      <c r="AH596" s="140">
        <f t="shared" si="131"/>
        <v>0</v>
      </c>
      <c r="AI596" s="140">
        <f t="shared" si="132"/>
        <v>0</v>
      </c>
      <c r="AJ596" s="131">
        <f t="shared" si="133"/>
        <v>0</v>
      </c>
      <c r="AK596" s="131">
        <f t="shared" si="134"/>
        <v>0</v>
      </c>
      <c r="AL596" s="127">
        <f t="shared" si="139"/>
        <v>0</v>
      </c>
      <c r="AM596" s="140">
        <f t="shared" si="135"/>
        <v>0</v>
      </c>
      <c r="AN596" s="140">
        <f t="shared" si="136"/>
        <v>0</v>
      </c>
      <c r="AO596" s="140">
        <f t="shared" si="137"/>
        <v>0</v>
      </c>
      <c r="AP596" s="140">
        <f t="shared" si="138"/>
        <v>0</v>
      </c>
    </row>
    <row r="597" spans="2:42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AC597" s="131">
        <f t="shared" si="126"/>
        <v>0</v>
      </c>
      <c r="AD597" s="131">
        <f t="shared" si="127"/>
        <v>0</v>
      </c>
      <c r="AE597" s="131">
        <f t="shared" si="128"/>
        <v>0</v>
      </c>
      <c r="AF597" s="131">
        <f t="shared" si="129"/>
        <v>0</v>
      </c>
      <c r="AG597" s="140">
        <f t="shared" si="130"/>
        <v>0</v>
      </c>
      <c r="AH597" s="140">
        <f t="shared" si="131"/>
        <v>0</v>
      </c>
      <c r="AI597" s="140">
        <f t="shared" si="132"/>
        <v>0</v>
      </c>
      <c r="AJ597" s="131">
        <f t="shared" si="133"/>
        <v>0</v>
      </c>
      <c r="AK597" s="131">
        <f t="shared" si="134"/>
        <v>0</v>
      </c>
      <c r="AL597" s="127">
        <f t="shared" si="139"/>
        <v>0</v>
      </c>
      <c r="AM597" s="140">
        <f t="shared" si="135"/>
        <v>0</v>
      </c>
      <c r="AN597" s="140">
        <f t="shared" si="136"/>
        <v>0</v>
      </c>
      <c r="AO597" s="140">
        <f t="shared" si="137"/>
        <v>0</v>
      </c>
      <c r="AP597" s="140">
        <f t="shared" si="138"/>
        <v>0</v>
      </c>
    </row>
    <row r="598" spans="2:42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AC598" s="131">
        <f t="shared" si="126"/>
        <v>0</v>
      </c>
      <c r="AD598" s="131">
        <f t="shared" si="127"/>
        <v>0</v>
      </c>
      <c r="AE598" s="131">
        <f t="shared" si="128"/>
        <v>0</v>
      </c>
      <c r="AF598" s="131">
        <f t="shared" si="129"/>
        <v>0</v>
      </c>
      <c r="AG598" s="140">
        <f t="shared" si="130"/>
        <v>0</v>
      </c>
      <c r="AH598" s="140">
        <f t="shared" si="131"/>
        <v>0</v>
      </c>
      <c r="AI598" s="140">
        <f t="shared" si="132"/>
        <v>0</v>
      </c>
      <c r="AJ598" s="131">
        <f t="shared" si="133"/>
        <v>0</v>
      </c>
      <c r="AK598" s="131">
        <f t="shared" si="134"/>
        <v>0</v>
      </c>
      <c r="AL598" s="127">
        <f t="shared" si="139"/>
        <v>0</v>
      </c>
      <c r="AM598" s="140">
        <f t="shared" si="135"/>
        <v>0</v>
      </c>
      <c r="AN598" s="140">
        <f t="shared" si="136"/>
        <v>0</v>
      </c>
      <c r="AO598" s="140">
        <f t="shared" si="137"/>
        <v>0</v>
      </c>
      <c r="AP598" s="140">
        <f t="shared" si="138"/>
        <v>0</v>
      </c>
    </row>
    <row r="599" spans="2:42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AC599" s="131">
        <f t="shared" si="126"/>
        <v>0</v>
      </c>
      <c r="AD599" s="131">
        <f t="shared" si="127"/>
        <v>0</v>
      </c>
      <c r="AE599" s="131">
        <f t="shared" si="128"/>
        <v>0</v>
      </c>
      <c r="AF599" s="131">
        <f t="shared" si="129"/>
        <v>0</v>
      </c>
      <c r="AG599" s="140">
        <f t="shared" si="130"/>
        <v>0</v>
      </c>
      <c r="AH599" s="140">
        <f t="shared" si="131"/>
        <v>0</v>
      </c>
      <c r="AI599" s="140">
        <f t="shared" si="132"/>
        <v>0</v>
      </c>
      <c r="AJ599" s="131">
        <f t="shared" si="133"/>
        <v>0</v>
      </c>
      <c r="AK599" s="131">
        <f t="shared" si="134"/>
        <v>0</v>
      </c>
      <c r="AL599" s="127">
        <f t="shared" si="139"/>
        <v>0</v>
      </c>
      <c r="AM599" s="140">
        <f t="shared" si="135"/>
        <v>0</v>
      </c>
      <c r="AN599" s="140">
        <f t="shared" si="136"/>
        <v>0</v>
      </c>
      <c r="AO599" s="140">
        <f t="shared" si="137"/>
        <v>0</v>
      </c>
      <c r="AP599" s="140">
        <f t="shared" si="138"/>
        <v>0</v>
      </c>
    </row>
    <row r="600" spans="2:42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AC600" s="131">
        <f t="shared" si="126"/>
        <v>0</v>
      </c>
      <c r="AD600" s="131">
        <f t="shared" si="127"/>
        <v>0</v>
      </c>
      <c r="AE600" s="131">
        <f t="shared" si="128"/>
        <v>0</v>
      </c>
      <c r="AF600" s="131">
        <f t="shared" si="129"/>
        <v>0</v>
      </c>
      <c r="AG600" s="140">
        <f t="shared" si="130"/>
        <v>0</v>
      </c>
      <c r="AH600" s="140">
        <f t="shared" si="131"/>
        <v>0</v>
      </c>
      <c r="AI600" s="140">
        <f t="shared" si="132"/>
        <v>0</v>
      </c>
      <c r="AJ600" s="131">
        <f t="shared" si="133"/>
        <v>0</v>
      </c>
      <c r="AK600" s="131">
        <f t="shared" si="134"/>
        <v>0</v>
      </c>
      <c r="AL600" s="127">
        <f t="shared" si="139"/>
        <v>0</v>
      </c>
      <c r="AM600" s="140">
        <f t="shared" si="135"/>
        <v>0</v>
      </c>
      <c r="AN600" s="140">
        <f t="shared" si="136"/>
        <v>0</v>
      </c>
      <c r="AO600" s="140">
        <f t="shared" si="137"/>
        <v>0</v>
      </c>
      <c r="AP600" s="140">
        <f t="shared" si="138"/>
        <v>0</v>
      </c>
    </row>
    <row r="601" spans="2:42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AC601" s="131">
        <f t="shared" si="126"/>
        <v>0</v>
      </c>
      <c r="AD601" s="131">
        <f t="shared" si="127"/>
        <v>0</v>
      </c>
      <c r="AE601" s="131">
        <f t="shared" si="128"/>
        <v>0</v>
      </c>
      <c r="AF601" s="131">
        <f t="shared" si="129"/>
        <v>0</v>
      </c>
      <c r="AG601" s="140">
        <f t="shared" si="130"/>
        <v>0</v>
      </c>
      <c r="AH601" s="140">
        <f t="shared" si="131"/>
        <v>0</v>
      </c>
      <c r="AI601" s="140">
        <f t="shared" si="132"/>
        <v>0</v>
      </c>
      <c r="AJ601" s="131">
        <f t="shared" si="133"/>
        <v>0</v>
      </c>
      <c r="AK601" s="131">
        <f t="shared" si="134"/>
        <v>0</v>
      </c>
      <c r="AL601" s="127">
        <f t="shared" si="139"/>
        <v>0</v>
      </c>
      <c r="AM601" s="140">
        <f t="shared" si="135"/>
        <v>0</v>
      </c>
      <c r="AN601" s="140">
        <f t="shared" si="136"/>
        <v>0</v>
      </c>
      <c r="AO601" s="140">
        <f t="shared" si="137"/>
        <v>0</v>
      </c>
      <c r="AP601" s="140">
        <f t="shared" si="138"/>
        <v>0</v>
      </c>
    </row>
    <row r="602" spans="2:42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AC602" s="131">
        <f t="shared" si="126"/>
        <v>0</v>
      </c>
      <c r="AD602" s="131">
        <f t="shared" si="127"/>
        <v>0</v>
      </c>
      <c r="AE602" s="131">
        <f t="shared" si="128"/>
        <v>0</v>
      </c>
      <c r="AF602" s="131">
        <f t="shared" si="129"/>
        <v>0</v>
      </c>
      <c r="AG602" s="140">
        <f t="shared" si="130"/>
        <v>0</v>
      </c>
      <c r="AH602" s="140">
        <f t="shared" si="131"/>
        <v>0</v>
      </c>
      <c r="AI602" s="140">
        <f t="shared" si="132"/>
        <v>0</v>
      </c>
      <c r="AJ602" s="131">
        <f t="shared" si="133"/>
        <v>0</v>
      </c>
      <c r="AK602" s="131">
        <f t="shared" si="134"/>
        <v>0</v>
      </c>
      <c r="AL602" s="127">
        <f t="shared" si="139"/>
        <v>0</v>
      </c>
      <c r="AM602" s="140">
        <f t="shared" si="135"/>
        <v>0</v>
      </c>
      <c r="AN602" s="140">
        <f t="shared" si="136"/>
        <v>0</v>
      </c>
      <c r="AO602" s="140">
        <f t="shared" si="137"/>
        <v>0</v>
      </c>
      <c r="AP602" s="140">
        <f t="shared" si="138"/>
        <v>0</v>
      </c>
    </row>
    <row r="603" spans="2:42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AC603" s="131">
        <f t="shared" si="126"/>
        <v>0</v>
      </c>
      <c r="AD603" s="131">
        <f t="shared" si="127"/>
        <v>0</v>
      </c>
      <c r="AE603" s="131">
        <f t="shared" si="128"/>
        <v>0</v>
      </c>
      <c r="AF603" s="131">
        <f t="shared" si="129"/>
        <v>0</v>
      </c>
      <c r="AG603" s="140">
        <f t="shared" si="130"/>
        <v>0</v>
      </c>
      <c r="AH603" s="140">
        <f t="shared" si="131"/>
        <v>0</v>
      </c>
      <c r="AI603" s="140">
        <f t="shared" si="132"/>
        <v>0</v>
      </c>
      <c r="AJ603" s="131">
        <f t="shared" si="133"/>
        <v>0</v>
      </c>
      <c r="AK603" s="131">
        <f t="shared" si="134"/>
        <v>0</v>
      </c>
      <c r="AL603" s="127">
        <f t="shared" si="139"/>
        <v>0</v>
      </c>
      <c r="AM603" s="140">
        <f t="shared" si="135"/>
        <v>0</v>
      </c>
      <c r="AN603" s="140">
        <f t="shared" si="136"/>
        <v>0</v>
      </c>
      <c r="AO603" s="140">
        <f t="shared" si="137"/>
        <v>0</v>
      </c>
      <c r="AP603" s="140">
        <f t="shared" si="138"/>
        <v>0</v>
      </c>
    </row>
    <row r="604" spans="2:42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AC604" s="131">
        <f t="shared" si="126"/>
        <v>0</v>
      </c>
      <c r="AD604" s="131">
        <f t="shared" si="127"/>
        <v>0</v>
      </c>
      <c r="AE604" s="131">
        <f t="shared" si="128"/>
        <v>0</v>
      </c>
      <c r="AF604" s="131">
        <f t="shared" si="129"/>
        <v>0</v>
      </c>
      <c r="AG604" s="140">
        <f t="shared" si="130"/>
        <v>0</v>
      </c>
      <c r="AH604" s="140">
        <f t="shared" si="131"/>
        <v>0</v>
      </c>
      <c r="AI604" s="140">
        <f t="shared" si="132"/>
        <v>0</v>
      </c>
      <c r="AJ604" s="131">
        <f t="shared" si="133"/>
        <v>0</v>
      </c>
      <c r="AK604" s="131">
        <f t="shared" si="134"/>
        <v>0</v>
      </c>
      <c r="AL604" s="127">
        <f t="shared" si="139"/>
        <v>0</v>
      </c>
      <c r="AM604" s="140">
        <f t="shared" si="135"/>
        <v>0</v>
      </c>
      <c r="AN604" s="140">
        <f t="shared" si="136"/>
        <v>0</v>
      </c>
      <c r="AO604" s="140">
        <f t="shared" si="137"/>
        <v>0</v>
      </c>
      <c r="AP604" s="140">
        <f t="shared" si="138"/>
        <v>0</v>
      </c>
    </row>
    <row r="605" spans="2:42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AC605" s="131">
        <f t="shared" si="126"/>
        <v>0</v>
      </c>
      <c r="AD605" s="131">
        <f t="shared" si="127"/>
        <v>0</v>
      </c>
      <c r="AE605" s="131">
        <f t="shared" si="128"/>
        <v>0</v>
      </c>
      <c r="AF605" s="131">
        <f t="shared" si="129"/>
        <v>0</v>
      </c>
      <c r="AG605" s="140">
        <f t="shared" si="130"/>
        <v>0</v>
      </c>
      <c r="AH605" s="140">
        <f t="shared" si="131"/>
        <v>0</v>
      </c>
      <c r="AI605" s="140">
        <f t="shared" si="132"/>
        <v>0</v>
      </c>
      <c r="AJ605" s="131">
        <f t="shared" si="133"/>
        <v>0</v>
      </c>
      <c r="AK605" s="131">
        <f t="shared" si="134"/>
        <v>0</v>
      </c>
      <c r="AL605" s="127">
        <f t="shared" si="139"/>
        <v>0</v>
      </c>
      <c r="AM605" s="140">
        <f t="shared" si="135"/>
        <v>0</v>
      </c>
      <c r="AN605" s="140">
        <f t="shared" si="136"/>
        <v>0</v>
      </c>
      <c r="AO605" s="140">
        <f t="shared" si="137"/>
        <v>0</v>
      </c>
      <c r="AP605" s="140">
        <f t="shared" si="138"/>
        <v>0</v>
      </c>
    </row>
    <row r="606" spans="2:42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AC606" s="131">
        <f t="shared" si="126"/>
        <v>0</v>
      </c>
      <c r="AD606" s="131">
        <f t="shared" si="127"/>
        <v>0</v>
      </c>
      <c r="AE606" s="131">
        <f t="shared" si="128"/>
        <v>0</v>
      </c>
      <c r="AF606" s="131">
        <f t="shared" si="129"/>
        <v>0</v>
      </c>
      <c r="AG606" s="140">
        <f t="shared" si="130"/>
        <v>0</v>
      </c>
      <c r="AH606" s="140">
        <f t="shared" si="131"/>
        <v>0</v>
      </c>
      <c r="AI606" s="140">
        <f t="shared" si="132"/>
        <v>0</v>
      </c>
      <c r="AJ606" s="131">
        <f t="shared" si="133"/>
        <v>0</v>
      </c>
      <c r="AK606" s="131">
        <f t="shared" si="134"/>
        <v>0</v>
      </c>
      <c r="AL606" s="127">
        <f t="shared" si="139"/>
        <v>0</v>
      </c>
      <c r="AM606" s="140">
        <f t="shared" si="135"/>
        <v>0</v>
      </c>
      <c r="AN606" s="140">
        <f t="shared" si="136"/>
        <v>0</v>
      </c>
      <c r="AO606" s="140">
        <f t="shared" si="137"/>
        <v>0</v>
      </c>
      <c r="AP606" s="140">
        <f t="shared" si="138"/>
        <v>0</v>
      </c>
    </row>
    <row r="607" spans="2:42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AC607" s="131">
        <f t="shared" si="126"/>
        <v>0</v>
      </c>
      <c r="AD607" s="131">
        <f t="shared" si="127"/>
        <v>0</v>
      </c>
      <c r="AE607" s="131">
        <f t="shared" si="128"/>
        <v>0</v>
      </c>
      <c r="AF607" s="131">
        <f t="shared" si="129"/>
        <v>0</v>
      </c>
      <c r="AG607" s="140">
        <f t="shared" si="130"/>
        <v>0</v>
      </c>
      <c r="AH607" s="140">
        <f t="shared" si="131"/>
        <v>0</v>
      </c>
      <c r="AI607" s="140">
        <f t="shared" si="132"/>
        <v>0</v>
      </c>
      <c r="AJ607" s="131">
        <f t="shared" si="133"/>
        <v>0</v>
      </c>
      <c r="AK607" s="131">
        <f t="shared" si="134"/>
        <v>0</v>
      </c>
      <c r="AL607" s="127">
        <f t="shared" si="139"/>
        <v>0</v>
      </c>
      <c r="AM607" s="140">
        <f t="shared" si="135"/>
        <v>0</v>
      </c>
      <c r="AN607" s="140">
        <f t="shared" si="136"/>
        <v>0</v>
      </c>
      <c r="AO607" s="140">
        <f t="shared" si="137"/>
        <v>0</v>
      </c>
      <c r="AP607" s="140">
        <f t="shared" si="138"/>
        <v>0</v>
      </c>
    </row>
    <row r="608" spans="2:42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AC608" s="131">
        <f t="shared" si="126"/>
        <v>0</v>
      </c>
      <c r="AD608" s="131">
        <f t="shared" si="127"/>
        <v>0</v>
      </c>
      <c r="AE608" s="131">
        <f t="shared" si="128"/>
        <v>0</v>
      </c>
      <c r="AF608" s="131">
        <f t="shared" si="129"/>
        <v>0</v>
      </c>
      <c r="AG608" s="140">
        <f t="shared" si="130"/>
        <v>0</v>
      </c>
      <c r="AH608" s="140">
        <f t="shared" si="131"/>
        <v>0</v>
      </c>
      <c r="AI608" s="140">
        <f t="shared" si="132"/>
        <v>0</v>
      </c>
      <c r="AJ608" s="131">
        <f t="shared" si="133"/>
        <v>0</v>
      </c>
      <c r="AK608" s="131">
        <f t="shared" si="134"/>
        <v>0</v>
      </c>
      <c r="AL608" s="127">
        <f t="shared" si="139"/>
        <v>0</v>
      </c>
      <c r="AM608" s="140">
        <f t="shared" si="135"/>
        <v>0</v>
      </c>
      <c r="AN608" s="140">
        <f t="shared" si="136"/>
        <v>0</v>
      </c>
      <c r="AO608" s="140">
        <f t="shared" si="137"/>
        <v>0</v>
      </c>
      <c r="AP608" s="140">
        <f t="shared" si="138"/>
        <v>0</v>
      </c>
    </row>
    <row r="609" spans="2:42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AC609" s="131">
        <f t="shared" si="126"/>
        <v>0</v>
      </c>
      <c r="AD609" s="131">
        <f t="shared" si="127"/>
        <v>0</v>
      </c>
      <c r="AE609" s="131">
        <f t="shared" si="128"/>
        <v>0</v>
      </c>
      <c r="AF609" s="131">
        <f t="shared" si="129"/>
        <v>0</v>
      </c>
      <c r="AG609" s="140">
        <f t="shared" si="130"/>
        <v>0</v>
      </c>
      <c r="AH609" s="140">
        <f t="shared" si="131"/>
        <v>0</v>
      </c>
      <c r="AI609" s="140">
        <f t="shared" si="132"/>
        <v>0</v>
      </c>
      <c r="AJ609" s="131">
        <f t="shared" si="133"/>
        <v>0</v>
      </c>
      <c r="AK609" s="131">
        <f t="shared" si="134"/>
        <v>0</v>
      </c>
      <c r="AL609" s="127">
        <f t="shared" si="139"/>
        <v>0</v>
      </c>
      <c r="AM609" s="140">
        <f t="shared" si="135"/>
        <v>0</v>
      </c>
      <c r="AN609" s="140">
        <f t="shared" si="136"/>
        <v>0</v>
      </c>
      <c r="AO609" s="140">
        <f t="shared" si="137"/>
        <v>0</v>
      </c>
      <c r="AP609" s="140">
        <f t="shared" si="138"/>
        <v>0</v>
      </c>
    </row>
    <row r="610" spans="2:42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AC610" s="131">
        <f t="shared" si="126"/>
        <v>0</v>
      </c>
      <c r="AD610" s="131">
        <f t="shared" si="127"/>
        <v>0</v>
      </c>
      <c r="AE610" s="131">
        <f t="shared" si="128"/>
        <v>0</v>
      </c>
      <c r="AF610" s="131">
        <f t="shared" si="129"/>
        <v>0</v>
      </c>
      <c r="AG610" s="140">
        <f t="shared" si="130"/>
        <v>0</v>
      </c>
      <c r="AH610" s="140">
        <f t="shared" si="131"/>
        <v>0</v>
      </c>
      <c r="AI610" s="140">
        <f t="shared" si="132"/>
        <v>0</v>
      </c>
      <c r="AJ610" s="131">
        <f t="shared" si="133"/>
        <v>0</v>
      </c>
      <c r="AK610" s="131">
        <f t="shared" si="134"/>
        <v>0</v>
      </c>
      <c r="AL610" s="127">
        <f t="shared" si="139"/>
        <v>0</v>
      </c>
      <c r="AM610" s="140">
        <f t="shared" si="135"/>
        <v>0</v>
      </c>
      <c r="AN610" s="140">
        <f t="shared" si="136"/>
        <v>0</v>
      </c>
      <c r="AO610" s="140">
        <f t="shared" si="137"/>
        <v>0</v>
      </c>
      <c r="AP610" s="140">
        <f t="shared" si="138"/>
        <v>0</v>
      </c>
    </row>
    <row r="611" spans="2:42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AC611" s="131">
        <f t="shared" si="126"/>
        <v>0</v>
      </c>
      <c r="AD611" s="131">
        <f t="shared" si="127"/>
        <v>0</v>
      </c>
      <c r="AE611" s="131">
        <f t="shared" si="128"/>
        <v>0</v>
      </c>
      <c r="AF611" s="131">
        <f t="shared" si="129"/>
        <v>0</v>
      </c>
      <c r="AG611" s="140">
        <f t="shared" si="130"/>
        <v>0</v>
      </c>
      <c r="AH611" s="140">
        <f t="shared" si="131"/>
        <v>0</v>
      </c>
      <c r="AI611" s="140">
        <f t="shared" si="132"/>
        <v>0</v>
      </c>
      <c r="AJ611" s="131">
        <f t="shared" si="133"/>
        <v>0</v>
      </c>
      <c r="AK611" s="131">
        <f t="shared" si="134"/>
        <v>0</v>
      </c>
      <c r="AL611" s="127">
        <f t="shared" si="139"/>
        <v>0</v>
      </c>
      <c r="AM611" s="140">
        <f t="shared" si="135"/>
        <v>0</v>
      </c>
      <c r="AN611" s="140">
        <f t="shared" si="136"/>
        <v>0</v>
      </c>
      <c r="AO611" s="140">
        <f t="shared" si="137"/>
        <v>0</v>
      </c>
      <c r="AP611" s="140">
        <f t="shared" si="138"/>
        <v>0</v>
      </c>
    </row>
    <row r="612" spans="2:42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AC612" s="131">
        <f t="shared" si="126"/>
        <v>0</v>
      </c>
      <c r="AD612" s="131">
        <f t="shared" si="127"/>
        <v>0</v>
      </c>
      <c r="AE612" s="131">
        <f t="shared" si="128"/>
        <v>0</v>
      </c>
      <c r="AF612" s="131">
        <f t="shared" si="129"/>
        <v>0</v>
      </c>
      <c r="AG612" s="140">
        <f t="shared" si="130"/>
        <v>0</v>
      </c>
      <c r="AH612" s="140">
        <f t="shared" si="131"/>
        <v>0</v>
      </c>
      <c r="AI612" s="140">
        <f t="shared" si="132"/>
        <v>0</v>
      </c>
      <c r="AJ612" s="131">
        <f t="shared" si="133"/>
        <v>0</v>
      </c>
      <c r="AK612" s="131">
        <f t="shared" si="134"/>
        <v>0</v>
      </c>
      <c r="AL612" s="127">
        <f t="shared" si="139"/>
        <v>0</v>
      </c>
      <c r="AM612" s="140">
        <f t="shared" si="135"/>
        <v>0</v>
      </c>
      <c r="AN612" s="140">
        <f t="shared" si="136"/>
        <v>0</v>
      </c>
      <c r="AO612" s="140">
        <f t="shared" si="137"/>
        <v>0</v>
      </c>
      <c r="AP612" s="140">
        <f t="shared" si="138"/>
        <v>0</v>
      </c>
    </row>
    <row r="613" spans="2:42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AC613" s="131">
        <f t="shared" si="126"/>
        <v>0</v>
      </c>
      <c r="AD613" s="131">
        <f t="shared" si="127"/>
        <v>0</v>
      </c>
      <c r="AE613" s="131">
        <f t="shared" si="128"/>
        <v>0</v>
      </c>
      <c r="AF613" s="131">
        <f t="shared" si="129"/>
        <v>0</v>
      </c>
      <c r="AG613" s="140">
        <f t="shared" si="130"/>
        <v>0</v>
      </c>
      <c r="AH613" s="140">
        <f t="shared" si="131"/>
        <v>0</v>
      </c>
      <c r="AI613" s="140">
        <f t="shared" si="132"/>
        <v>0</v>
      </c>
      <c r="AJ613" s="131">
        <f t="shared" si="133"/>
        <v>0</v>
      </c>
      <c r="AK613" s="131">
        <f t="shared" si="134"/>
        <v>0</v>
      </c>
      <c r="AL613" s="127">
        <f t="shared" si="139"/>
        <v>0</v>
      </c>
      <c r="AM613" s="140">
        <f t="shared" si="135"/>
        <v>0</v>
      </c>
      <c r="AN613" s="140">
        <f t="shared" si="136"/>
        <v>0</v>
      </c>
      <c r="AO613" s="140">
        <f t="shared" si="137"/>
        <v>0</v>
      </c>
      <c r="AP613" s="140">
        <f t="shared" si="138"/>
        <v>0</v>
      </c>
    </row>
    <row r="614" spans="2:42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AC614" s="131">
        <f t="shared" si="126"/>
        <v>0</v>
      </c>
      <c r="AD614" s="131">
        <f t="shared" si="127"/>
        <v>0</v>
      </c>
      <c r="AE614" s="131">
        <f t="shared" si="128"/>
        <v>0</v>
      </c>
      <c r="AF614" s="131">
        <f t="shared" si="129"/>
        <v>0</v>
      </c>
      <c r="AG614" s="140">
        <f t="shared" si="130"/>
        <v>0</v>
      </c>
      <c r="AH614" s="140">
        <f t="shared" si="131"/>
        <v>0</v>
      </c>
      <c r="AI614" s="140">
        <f t="shared" si="132"/>
        <v>0</v>
      </c>
      <c r="AJ614" s="131">
        <f t="shared" si="133"/>
        <v>0</v>
      </c>
      <c r="AK614" s="131">
        <f t="shared" si="134"/>
        <v>0</v>
      </c>
      <c r="AL614" s="127">
        <f t="shared" si="139"/>
        <v>0</v>
      </c>
      <c r="AM614" s="140">
        <f t="shared" si="135"/>
        <v>0</v>
      </c>
      <c r="AN614" s="140">
        <f t="shared" si="136"/>
        <v>0</v>
      </c>
      <c r="AO614" s="140">
        <f t="shared" si="137"/>
        <v>0</v>
      </c>
      <c r="AP614" s="140">
        <f t="shared" si="138"/>
        <v>0</v>
      </c>
    </row>
    <row r="615" spans="2:42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AC615" s="131">
        <f t="shared" si="126"/>
        <v>0</v>
      </c>
      <c r="AD615" s="131">
        <f t="shared" si="127"/>
        <v>0</v>
      </c>
      <c r="AE615" s="131">
        <f t="shared" si="128"/>
        <v>0</v>
      </c>
      <c r="AF615" s="131">
        <f t="shared" si="129"/>
        <v>0</v>
      </c>
      <c r="AG615" s="140">
        <f t="shared" si="130"/>
        <v>0</v>
      </c>
      <c r="AH615" s="140">
        <f t="shared" si="131"/>
        <v>0</v>
      </c>
      <c r="AI615" s="140">
        <f t="shared" si="132"/>
        <v>0</v>
      </c>
      <c r="AJ615" s="131">
        <f t="shared" si="133"/>
        <v>0</v>
      </c>
      <c r="AK615" s="131">
        <f t="shared" si="134"/>
        <v>0</v>
      </c>
      <c r="AL615" s="127">
        <f t="shared" si="139"/>
        <v>0</v>
      </c>
      <c r="AM615" s="140">
        <f t="shared" si="135"/>
        <v>0</v>
      </c>
      <c r="AN615" s="140">
        <f t="shared" si="136"/>
        <v>0</v>
      </c>
      <c r="AO615" s="140">
        <f t="shared" si="137"/>
        <v>0</v>
      </c>
      <c r="AP615" s="140">
        <f t="shared" si="138"/>
        <v>0</v>
      </c>
    </row>
    <row r="616" spans="2:42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AC616" s="131">
        <f t="shared" si="126"/>
        <v>0</v>
      </c>
      <c r="AD616" s="131">
        <f t="shared" si="127"/>
        <v>0</v>
      </c>
      <c r="AE616" s="131">
        <f t="shared" si="128"/>
        <v>0</v>
      </c>
      <c r="AF616" s="131">
        <f t="shared" si="129"/>
        <v>0</v>
      </c>
      <c r="AG616" s="140">
        <f t="shared" si="130"/>
        <v>0</v>
      </c>
      <c r="AH616" s="140">
        <f t="shared" si="131"/>
        <v>0</v>
      </c>
      <c r="AI616" s="140">
        <f t="shared" si="132"/>
        <v>0</v>
      </c>
      <c r="AJ616" s="131">
        <f t="shared" si="133"/>
        <v>0</v>
      </c>
      <c r="AK616" s="131">
        <f t="shared" si="134"/>
        <v>0</v>
      </c>
      <c r="AL616" s="127">
        <f t="shared" si="139"/>
        <v>0</v>
      </c>
      <c r="AM616" s="140">
        <f t="shared" si="135"/>
        <v>0</v>
      </c>
      <c r="AN616" s="140">
        <f t="shared" si="136"/>
        <v>0</v>
      </c>
      <c r="AO616" s="140">
        <f t="shared" si="137"/>
        <v>0</v>
      </c>
      <c r="AP616" s="140">
        <f t="shared" si="138"/>
        <v>0</v>
      </c>
    </row>
    <row r="617" spans="2:42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AC617" s="131">
        <f t="shared" si="126"/>
        <v>0</v>
      </c>
      <c r="AD617" s="131">
        <f t="shared" si="127"/>
        <v>0</v>
      </c>
      <c r="AE617" s="131">
        <f t="shared" si="128"/>
        <v>0</v>
      </c>
      <c r="AF617" s="131">
        <f t="shared" si="129"/>
        <v>0</v>
      </c>
      <c r="AG617" s="140">
        <f t="shared" si="130"/>
        <v>0</v>
      </c>
      <c r="AH617" s="140">
        <f t="shared" si="131"/>
        <v>0</v>
      </c>
      <c r="AI617" s="140">
        <f t="shared" si="132"/>
        <v>0</v>
      </c>
      <c r="AJ617" s="131">
        <f t="shared" si="133"/>
        <v>0</v>
      </c>
      <c r="AK617" s="131">
        <f t="shared" si="134"/>
        <v>0</v>
      </c>
      <c r="AL617" s="127">
        <f t="shared" si="139"/>
        <v>0</v>
      </c>
      <c r="AM617" s="140">
        <f t="shared" si="135"/>
        <v>0</v>
      </c>
      <c r="AN617" s="140">
        <f t="shared" si="136"/>
        <v>0</v>
      </c>
      <c r="AO617" s="140">
        <f t="shared" si="137"/>
        <v>0</v>
      </c>
      <c r="AP617" s="140">
        <f t="shared" si="138"/>
        <v>0</v>
      </c>
    </row>
    <row r="618" spans="2:42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AC618" s="131">
        <f t="shared" si="126"/>
        <v>0</v>
      </c>
      <c r="AD618" s="131">
        <f t="shared" si="127"/>
        <v>0</v>
      </c>
      <c r="AE618" s="131">
        <f t="shared" si="128"/>
        <v>0</v>
      </c>
      <c r="AF618" s="131">
        <f t="shared" si="129"/>
        <v>0</v>
      </c>
      <c r="AG618" s="140">
        <f t="shared" si="130"/>
        <v>0</v>
      </c>
      <c r="AH618" s="140">
        <f t="shared" si="131"/>
        <v>0</v>
      </c>
      <c r="AI618" s="140">
        <f t="shared" si="132"/>
        <v>0</v>
      </c>
      <c r="AJ618" s="131">
        <f t="shared" si="133"/>
        <v>0</v>
      </c>
      <c r="AK618" s="131">
        <f t="shared" si="134"/>
        <v>0</v>
      </c>
      <c r="AL618" s="127">
        <f t="shared" si="139"/>
        <v>0</v>
      </c>
      <c r="AM618" s="140">
        <f t="shared" si="135"/>
        <v>0</v>
      </c>
      <c r="AN618" s="140">
        <f t="shared" si="136"/>
        <v>0</v>
      </c>
      <c r="AO618" s="140">
        <f t="shared" si="137"/>
        <v>0</v>
      </c>
      <c r="AP618" s="140">
        <f t="shared" si="138"/>
        <v>0</v>
      </c>
    </row>
    <row r="619" spans="2:42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AC619" s="131">
        <f t="shared" si="126"/>
        <v>0</v>
      </c>
      <c r="AD619" s="131">
        <f t="shared" si="127"/>
        <v>0</v>
      </c>
      <c r="AE619" s="131">
        <f t="shared" si="128"/>
        <v>0</v>
      </c>
      <c r="AF619" s="131">
        <f t="shared" si="129"/>
        <v>0</v>
      </c>
      <c r="AG619" s="140">
        <f t="shared" si="130"/>
        <v>0</v>
      </c>
      <c r="AH619" s="140">
        <f t="shared" si="131"/>
        <v>0</v>
      </c>
      <c r="AI619" s="140">
        <f t="shared" si="132"/>
        <v>0</v>
      </c>
      <c r="AJ619" s="131">
        <f t="shared" si="133"/>
        <v>0</v>
      </c>
      <c r="AK619" s="131">
        <f t="shared" si="134"/>
        <v>0</v>
      </c>
      <c r="AL619" s="127">
        <f t="shared" si="139"/>
        <v>0</v>
      </c>
      <c r="AM619" s="140">
        <f t="shared" si="135"/>
        <v>0</v>
      </c>
      <c r="AN619" s="140">
        <f t="shared" si="136"/>
        <v>0</v>
      </c>
      <c r="AO619" s="140">
        <f t="shared" si="137"/>
        <v>0</v>
      </c>
      <c r="AP619" s="140">
        <f t="shared" si="138"/>
        <v>0</v>
      </c>
    </row>
    <row r="620" spans="2:42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AC620" s="131">
        <f t="shared" si="126"/>
        <v>0</v>
      </c>
      <c r="AD620" s="131">
        <f t="shared" si="127"/>
        <v>0</v>
      </c>
      <c r="AE620" s="131">
        <f t="shared" si="128"/>
        <v>0</v>
      </c>
      <c r="AF620" s="131">
        <f t="shared" si="129"/>
        <v>0</v>
      </c>
      <c r="AG620" s="140">
        <f t="shared" si="130"/>
        <v>0</v>
      </c>
      <c r="AH620" s="140">
        <f t="shared" si="131"/>
        <v>0</v>
      </c>
      <c r="AI620" s="140">
        <f t="shared" si="132"/>
        <v>0</v>
      </c>
      <c r="AJ620" s="131">
        <f t="shared" si="133"/>
        <v>0</v>
      </c>
      <c r="AK620" s="131">
        <f t="shared" si="134"/>
        <v>0</v>
      </c>
      <c r="AL620" s="127">
        <f t="shared" si="139"/>
        <v>0</v>
      </c>
      <c r="AM620" s="140">
        <f t="shared" si="135"/>
        <v>0</v>
      </c>
      <c r="AN620" s="140">
        <f t="shared" si="136"/>
        <v>0</v>
      </c>
      <c r="AO620" s="140">
        <f t="shared" si="137"/>
        <v>0</v>
      </c>
      <c r="AP620" s="140">
        <f t="shared" si="138"/>
        <v>0</v>
      </c>
    </row>
    <row r="621" spans="2:42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AC621" s="131">
        <f t="shared" si="126"/>
        <v>0</v>
      </c>
      <c r="AD621" s="131">
        <f t="shared" si="127"/>
        <v>0</v>
      </c>
      <c r="AE621" s="131">
        <f t="shared" si="128"/>
        <v>0</v>
      </c>
      <c r="AF621" s="131">
        <f t="shared" si="129"/>
        <v>0</v>
      </c>
      <c r="AG621" s="140">
        <f t="shared" si="130"/>
        <v>0</v>
      </c>
      <c r="AH621" s="140">
        <f t="shared" si="131"/>
        <v>0</v>
      </c>
      <c r="AI621" s="140">
        <f t="shared" si="132"/>
        <v>0</v>
      </c>
      <c r="AJ621" s="131">
        <f t="shared" si="133"/>
        <v>0</v>
      </c>
      <c r="AK621" s="131">
        <f t="shared" si="134"/>
        <v>0</v>
      </c>
      <c r="AL621" s="127">
        <f t="shared" si="139"/>
        <v>0</v>
      </c>
      <c r="AM621" s="140">
        <f t="shared" si="135"/>
        <v>0</v>
      </c>
      <c r="AN621" s="140">
        <f t="shared" si="136"/>
        <v>0</v>
      </c>
      <c r="AO621" s="140">
        <f t="shared" si="137"/>
        <v>0</v>
      </c>
      <c r="AP621" s="140">
        <f t="shared" si="138"/>
        <v>0</v>
      </c>
    </row>
    <row r="622" spans="2:42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AC622" s="131">
        <f t="shared" si="126"/>
        <v>0</v>
      </c>
      <c r="AD622" s="131">
        <f t="shared" si="127"/>
        <v>0</v>
      </c>
      <c r="AE622" s="131">
        <f t="shared" si="128"/>
        <v>0</v>
      </c>
      <c r="AF622" s="131">
        <f t="shared" si="129"/>
        <v>0</v>
      </c>
      <c r="AG622" s="140">
        <f t="shared" si="130"/>
        <v>0</v>
      </c>
      <c r="AH622" s="140">
        <f t="shared" si="131"/>
        <v>0</v>
      </c>
      <c r="AI622" s="140">
        <f t="shared" si="132"/>
        <v>0</v>
      </c>
      <c r="AJ622" s="131">
        <f t="shared" si="133"/>
        <v>0</v>
      </c>
      <c r="AK622" s="131">
        <f t="shared" si="134"/>
        <v>0</v>
      </c>
      <c r="AL622" s="127">
        <f t="shared" si="139"/>
        <v>0</v>
      </c>
      <c r="AM622" s="140">
        <f t="shared" si="135"/>
        <v>0</v>
      </c>
      <c r="AN622" s="140">
        <f t="shared" si="136"/>
        <v>0</v>
      </c>
      <c r="AO622" s="140">
        <f t="shared" si="137"/>
        <v>0</v>
      </c>
      <c r="AP622" s="140">
        <f t="shared" si="138"/>
        <v>0</v>
      </c>
    </row>
    <row r="623" spans="2:42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AC623" s="131">
        <f t="shared" si="126"/>
        <v>0</v>
      </c>
      <c r="AD623" s="131">
        <f t="shared" si="127"/>
        <v>0</v>
      </c>
      <c r="AE623" s="131">
        <f t="shared" si="128"/>
        <v>0</v>
      </c>
      <c r="AF623" s="131">
        <f t="shared" si="129"/>
        <v>0</v>
      </c>
      <c r="AG623" s="140">
        <f t="shared" si="130"/>
        <v>0</v>
      </c>
      <c r="AH623" s="140">
        <f t="shared" si="131"/>
        <v>0</v>
      </c>
      <c r="AI623" s="140">
        <f t="shared" si="132"/>
        <v>0</v>
      </c>
      <c r="AJ623" s="131">
        <f t="shared" si="133"/>
        <v>0</v>
      </c>
      <c r="AK623" s="131">
        <f t="shared" si="134"/>
        <v>0</v>
      </c>
      <c r="AL623" s="127">
        <f t="shared" si="139"/>
        <v>0</v>
      </c>
      <c r="AM623" s="140">
        <f t="shared" si="135"/>
        <v>0</v>
      </c>
      <c r="AN623" s="140">
        <f t="shared" si="136"/>
        <v>0</v>
      </c>
      <c r="AO623" s="140">
        <f t="shared" si="137"/>
        <v>0</v>
      </c>
      <c r="AP623" s="140">
        <f t="shared" si="138"/>
        <v>0</v>
      </c>
    </row>
    <row r="624" spans="2:42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AC624" s="131">
        <f t="shared" si="126"/>
        <v>0</v>
      </c>
      <c r="AD624" s="131">
        <f t="shared" si="127"/>
        <v>0</v>
      </c>
      <c r="AE624" s="131">
        <f t="shared" si="128"/>
        <v>0</v>
      </c>
      <c r="AF624" s="131">
        <f t="shared" si="129"/>
        <v>0</v>
      </c>
      <c r="AG624" s="140">
        <f t="shared" si="130"/>
        <v>0</v>
      </c>
      <c r="AH624" s="140">
        <f t="shared" si="131"/>
        <v>0</v>
      </c>
      <c r="AI624" s="140">
        <f t="shared" si="132"/>
        <v>0</v>
      </c>
      <c r="AJ624" s="131">
        <f t="shared" si="133"/>
        <v>0</v>
      </c>
      <c r="AK624" s="131">
        <f t="shared" si="134"/>
        <v>0</v>
      </c>
      <c r="AL624" s="127">
        <f t="shared" si="139"/>
        <v>0</v>
      </c>
      <c r="AM624" s="140">
        <f t="shared" si="135"/>
        <v>0</v>
      </c>
      <c r="AN624" s="140">
        <f t="shared" si="136"/>
        <v>0</v>
      </c>
      <c r="AO624" s="140">
        <f t="shared" si="137"/>
        <v>0</v>
      </c>
      <c r="AP624" s="140">
        <f t="shared" si="138"/>
        <v>0</v>
      </c>
    </row>
    <row r="625" spans="2:42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AC625" s="131">
        <f t="shared" si="126"/>
        <v>0</v>
      </c>
      <c r="AD625" s="131">
        <f t="shared" si="127"/>
        <v>0</v>
      </c>
      <c r="AE625" s="131">
        <f t="shared" si="128"/>
        <v>0</v>
      </c>
      <c r="AF625" s="131">
        <f t="shared" si="129"/>
        <v>0</v>
      </c>
      <c r="AG625" s="140">
        <f t="shared" si="130"/>
        <v>0</v>
      </c>
      <c r="AH625" s="140">
        <f t="shared" si="131"/>
        <v>0</v>
      </c>
      <c r="AI625" s="140">
        <f t="shared" si="132"/>
        <v>0</v>
      </c>
      <c r="AJ625" s="131">
        <f t="shared" si="133"/>
        <v>0</v>
      </c>
      <c r="AK625" s="131">
        <f t="shared" si="134"/>
        <v>0</v>
      </c>
      <c r="AL625" s="127">
        <f t="shared" si="139"/>
        <v>0</v>
      </c>
      <c r="AM625" s="140">
        <f t="shared" si="135"/>
        <v>0</v>
      </c>
      <c r="AN625" s="140">
        <f t="shared" si="136"/>
        <v>0</v>
      </c>
      <c r="AO625" s="140">
        <f t="shared" si="137"/>
        <v>0</v>
      </c>
      <c r="AP625" s="140">
        <f t="shared" si="138"/>
        <v>0</v>
      </c>
    </row>
    <row r="626" spans="2:42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AC626" s="131">
        <f t="shared" si="126"/>
        <v>0</v>
      </c>
      <c r="AD626" s="131">
        <f t="shared" si="127"/>
        <v>0</v>
      </c>
      <c r="AE626" s="131">
        <f t="shared" si="128"/>
        <v>0</v>
      </c>
      <c r="AF626" s="131">
        <f t="shared" si="129"/>
        <v>0</v>
      </c>
      <c r="AG626" s="140">
        <f t="shared" si="130"/>
        <v>0</v>
      </c>
      <c r="AH626" s="140">
        <f t="shared" si="131"/>
        <v>0</v>
      </c>
      <c r="AI626" s="140">
        <f t="shared" si="132"/>
        <v>0</v>
      </c>
      <c r="AJ626" s="131">
        <f t="shared" si="133"/>
        <v>0</v>
      </c>
      <c r="AK626" s="131">
        <f t="shared" si="134"/>
        <v>0</v>
      </c>
      <c r="AL626" s="127">
        <f t="shared" si="139"/>
        <v>0</v>
      </c>
      <c r="AM626" s="140">
        <f t="shared" si="135"/>
        <v>0</v>
      </c>
      <c r="AN626" s="140">
        <f t="shared" si="136"/>
        <v>0</v>
      </c>
      <c r="AO626" s="140">
        <f t="shared" si="137"/>
        <v>0</v>
      </c>
      <c r="AP626" s="140">
        <f t="shared" si="138"/>
        <v>0</v>
      </c>
    </row>
    <row r="627" spans="2:42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AC627" s="131">
        <f t="shared" si="126"/>
        <v>0</v>
      </c>
      <c r="AD627" s="131">
        <f t="shared" si="127"/>
        <v>0</v>
      </c>
      <c r="AE627" s="131">
        <f t="shared" si="128"/>
        <v>0</v>
      </c>
      <c r="AF627" s="131">
        <f t="shared" si="129"/>
        <v>0</v>
      </c>
      <c r="AG627" s="140">
        <f t="shared" si="130"/>
        <v>0</v>
      </c>
      <c r="AH627" s="140">
        <f t="shared" si="131"/>
        <v>0</v>
      </c>
      <c r="AI627" s="140">
        <f t="shared" si="132"/>
        <v>0</v>
      </c>
      <c r="AJ627" s="131">
        <f t="shared" si="133"/>
        <v>0</v>
      </c>
      <c r="AK627" s="131">
        <f t="shared" si="134"/>
        <v>0</v>
      </c>
      <c r="AL627" s="127">
        <f t="shared" si="139"/>
        <v>0</v>
      </c>
      <c r="AM627" s="140">
        <f t="shared" si="135"/>
        <v>0</v>
      </c>
      <c r="AN627" s="140">
        <f t="shared" si="136"/>
        <v>0</v>
      </c>
      <c r="AO627" s="140">
        <f t="shared" si="137"/>
        <v>0</v>
      </c>
      <c r="AP627" s="140">
        <f t="shared" si="138"/>
        <v>0</v>
      </c>
    </row>
    <row r="628" spans="2:42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AC628" s="131">
        <f t="shared" si="126"/>
        <v>0</v>
      </c>
      <c r="AD628" s="131">
        <f t="shared" si="127"/>
        <v>0</v>
      </c>
      <c r="AE628" s="131">
        <f t="shared" si="128"/>
        <v>0</v>
      </c>
      <c r="AF628" s="131">
        <f t="shared" si="129"/>
        <v>0</v>
      </c>
      <c r="AG628" s="140">
        <f t="shared" si="130"/>
        <v>0</v>
      </c>
      <c r="AH628" s="140">
        <f t="shared" si="131"/>
        <v>0</v>
      </c>
      <c r="AI628" s="140">
        <f t="shared" si="132"/>
        <v>0</v>
      </c>
      <c r="AJ628" s="131">
        <f t="shared" si="133"/>
        <v>0</v>
      </c>
      <c r="AK628" s="131">
        <f t="shared" si="134"/>
        <v>0</v>
      </c>
      <c r="AL628" s="127">
        <f t="shared" si="139"/>
        <v>0</v>
      </c>
      <c r="AM628" s="140">
        <f t="shared" si="135"/>
        <v>0</v>
      </c>
      <c r="AN628" s="140">
        <f t="shared" si="136"/>
        <v>0</v>
      </c>
      <c r="AO628" s="140">
        <f t="shared" si="137"/>
        <v>0</v>
      </c>
      <c r="AP628" s="140">
        <f t="shared" si="138"/>
        <v>0</v>
      </c>
    </row>
    <row r="629" spans="2:42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AC629" s="131">
        <f t="shared" si="126"/>
        <v>0</v>
      </c>
      <c r="AD629" s="131">
        <f t="shared" si="127"/>
        <v>0</v>
      </c>
      <c r="AE629" s="131">
        <f t="shared" si="128"/>
        <v>0</v>
      </c>
      <c r="AF629" s="131">
        <f t="shared" si="129"/>
        <v>0</v>
      </c>
      <c r="AG629" s="140">
        <f t="shared" si="130"/>
        <v>0</v>
      </c>
      <c r="AH629" s="140">
        <f t="shared" si="131"/>
        <v>0</v>
      </c>
      <c r="AI629" s="140">
        <f t="shared" si="132"/>
        <v>0</v>
      </c>
      <c r="AJ629" s="131">
        <f t="shared" si="133"/>
        <v>0</v>
      </c>
      <c r="AK629" s="131">
        <f t="shared" si="134"/>
        <v>0</v>
      </c>
      <c r="AL629" s="127">
        <f t="shared" si="139"/>
        <v>0</v>
      </c>
      <c r="AM629" s="140">
        <f t="shared" si="135"/>
        <v>0</v>
      </c>
      <c r="AN629" s="140">
        <f t="shared" si="136"/>
        <v>0</v>
      </c>
      <c r="AO629" s="140">
        <f t="shared" si="137"/>
        <v>0</v>
      </c>
      <c r="AP629" s="140">
        <f t="shared" si="138"/>
        <v>0</v>
      </c>
    </row>
    <row r="630" spans="2:42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AC630" s="131">
        <f t="shared" si="126"/>
        <v>0</v>
      </c>
      <c r="AD630" s="131">
        <f t="shared" si="127"/>
        <v>0</v>
      </c>
      <c r="AE630" s="131">
        <f t="shared" si="128"/>
        <v>0</v>
      </c>
      <c r="AF630" s="131">
        <f t="shared" si="129"/>
        <v>0</v>
      </c>
      <c r="AG630" s="140">
        <f t="shared" si="130"/>
        <v>0</v>
      </c>
      <c r="AH630" s="140">
        <f t="shared" si="131"/>
        <v>0</v>
      </c>
      <c r="AI630" s="140">
        <f t="shared" si="132"/>
        <v>0</v>
      </c>
      <c r="AJ630" s="131">
        <f t="shared" si="133"/>
        <v>0</v>
      </c>
      <c r="AK630" s="131">
        <f t="shared" si="134"/>
        <v>0</v>
      </c>
      <c r="AL630" s="127">
        <f t="shared" si="139"/>
        <v>0</v>
      </c>
      <c r="AM630" s="140">
        <f t="shared" si="135"/>
        <v>0</v>
      </c>
      <c r="AN630" s="140">
        <f t="shared" si="136"/>
        <v>0</v>
      </c>
      <c r="AO630" s="140">
        <f t="shared" si="137"/>
        <v>0</v>
      </c>
      <c r="AP630" s="140">
        <f t="shared" si="138"/>
        <v>0</v>
      </c>
    </row>
    <row r="631" spans="2:42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AC631" s="131">
        <f t="shared" si="126"/>
        <v>0</v>
      </c>
      <c r="AD631" s="131">
        <f t="shared" si="127"/>
        <v>0</v>
      </c>
      <c r="AE631" s="131">
        <f t="shared" si="128"/>
        <v>0</v>
      </c>
      <c r="AF631" s="131">
        <f t="shared" si="129"/>
        <v>0</v>
      </c>
      <c r="AG631" s="140">
        <f t="shared" si="130"/>
        <v>0</v>
      </c>
      <c r="AH631" s="140">
        <f t="shared" si="131"/>
        <v>0</v>
      </c>
      <c r="AI631" s="140">
        <f t="shared" si="132"/>
        <v>0</v>
      </c>
      <c r="AJ631" s="131">
        <f t="shared" si="133"/>
        <v>0</v>
      </c>
      <c r="AK631" s="131">
        <f t="shared" si="134"/>
        <v>0</v>
      </c>
      <c r="AL631" s="127">
        <f t="shared" si="139"/>
        <v>0</v>
      </c>
      <c r="AM631" s="140">
        <f t="shared" si="135"/>
        <v>0</v>
      </c>
      <c r="AN631" s="140">
        <f t="shared" si="136"/>
        <v>0</v>
      </c>
      <c r="AO631" s="140">
        <f t="shared" si="137"/>
        <v>0</v>
      </c>
      <c r="AP631" s="140">
        <f t="shared" si="138"/>
        <v>0</v>
      </c>
    </row>
    <row r="632" spans="2:42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AC632" s="131">
        <f t="shared" si="126"/>
        <v>0</v>
      </c>
      <c r="AD632" s="131">
        <f t="shared" si="127"/>
        <v>0</v>
      </c>
      <c r="AE632" s="131">
        <f t="shared" si="128"/>
        <v>0</v>
      </c>
      <c r="AF632" s="131">
        <f t="shared" si="129"/>
        <v>0</v>
      </c>
      <c r="AG632" s="140">
        <f t="shared" si="130"/>
        <v>0</v>
      </c>
      <c r="AH632" s="140">
        <f t="shared" si="131"/>
        <v>0</v>
      </c>
      <c r="AI632" s="140">
        <f t="shared" si="132"/>
        <v>0</v>
      </c>
      <c r="AJ632" s="131">
        <f t="shared" si="133"/>
        <v>0</v>
      </c>
      <c r="AK632" s="131">
        <f t="shared" si="134"/>
        <v>0</v>
      </c>
      <c r="AL632" s="127">
        <f t="shared" si="139"/>
        <v>0</v>
      </c>
      <c r="AM632" s="140">
        <f t="shared" si="135"/>
        <v>0</v>
      </c>
      <c r="AN632" s="140">
        <f t="shared" si="136"/>
        <v>0</v>
      </c>
      <c r="AO632" s="140">
        <f t="shared" si="137"/>
        <v>0</v>
      </c>
      <c r="AP632" s="140">
        <f t="shared" si="138"/>
        <v>0</v>
      </c>
    </row>
    <row r="633" spans="2:42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AC633" s="131">
        <f t="shared" si="126"/>
        <v>0</v>
      </c>
      <c r="AD633" s="131">
        <f t="shared" si="127"/>
        <v>0</v>
      </c>
      <c r="AE633" s="131">
        <f t="shared" si="128"/>
        <v>0</v>
      </c>
      <c r="AF633" s="131">
        <f t="shared" si="129"/>
        <v>0</v>
      </c>
      <c r="AG633" s="140">
        <f t="shared" si="130"/>
        <v>0</v>
      </c>
      <c r="AH633" s="140">
        <f t="shared" si="131"/>
        <v>0</v>
      </c>
      <c r="AI633" s="140">
        <f t="shared" si="132"/>
        <v>0</v>
      </c>
      <c r="AJ633" s="131">
        <f t="shared" si="133"/>
        <v>0</v>
      </c>
      <c r="AK633" s="131">
        <f t="shared" si="134"/>
        <v>0</v>
      </c>
      <c r="AL633" s="127">
        <f t="shared" si="139"/>
        <v>0</v>
      </c>
      <c r="AM633" s="140">
        <f t="shared" si="135"/>
        <v>0</v>
      </c>
      <c r="AN633" s="140">
        <f t="shared" si="136"/>
        <v>0</v>
      </c>
      <c r="AO633" s="140">
        <f t="shared" si="137"/>
        <v>0</v>
      </c>
      <c r="AP633" s="140">
        <f t="shared" si="138"/>
        <v>0</v>
      </c>
    </row>
    <row r="634" spans="2:42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AC634" s="131">
        <f t="shared" si="126"/>
        <v>0</v>
      </c>
      <c r="AD634" s="131">
        <f t="shared" si="127"/>
        <v>0</v>
      </c>
      <c r="AE634" s="131">
        <f t="shared" si="128"/>
        <v>0</v>
      </c>
      <c r="AF634" s="131">
        <f t="shared" si="129"/>
        <v>0</v>
      </c>
      <c r="AG634" s="140">
        <f t="shared" si="130"/>
        <v>0</v>
      </c>
      <c r="AH634" s="140">
        <f t="shared" si="131"/>
        <v>0</v>
      </c>
      <c r="AI634" s="140">
        <f t="shared" si="132"/>
        <v>0</v>
      </c>
      <c r="AJ634" s="131">
        <f t="shared" si="133"/>
        <v>0</v>
      </c>
      <c r="AK634" s="131">
        <f t="shared" si="134"/>
        <v>0</v>
      </c>
      <c r="AL634" s="127">
        <f t="shared" si="139"/>
        <v>0</v>
      </c>
      <c r="AM634" s="140">
        <f t="shared" si="135"/>
        <v>0</v>
      </c>
      <c r="AN634" s="140">
        <f t="shared" si="136"/>
        <v>0</v>
      </c>
      <c r="AO634" s="140">
        <f t="shared" si="137"/>
        <v>0</v>
      </c>
      <c r="AP634" s="140">
        <f t="shared" si="138"/>
        <v>0</v>
      </c>
    </row>
    <row r="635" spans="2:42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AC635" s="131">
        <f t="shared" ref="AC635:AC698" si="140">+H635</f>
        <v>0</v>
      </c>
      <c r="AD635" s="131">
        <f t="shared" ref="AD635:AD698" si="141">+I635</f>
        <v>0</v>
      </c>
      <c r="AE635" s="131">
        <f t="shared" ref="AE635:AE698" si="142">+J635</f>
        <v>0</v>
      </c>
      <c r="AF635" s="131">
        <f t="shared" ref="AF635:AF698" si="143">+K635</f>
        <v>0</v>
      </c>
      <c r="AG635" s="140">
        <f t="shared" ref="AG635:AG698" si="144">+G635</f>
        <v>0</v>
      </c>
      <c r="AH635" s="140">
        <f t="shared" ref="AH635:AH698" si="145">+L635</f>
        <v>0</v>
      </c>
      <c r="AI635" s="140">
        <f t="shared" ref="AI635:AI698" si="146">+M635</f>
        <v>0</v>
      </c>
      <c r="AJ635" s="131">
        <f t="shared" ref="AJ635:AJ698" si="147">+T635</f>
        <v>0</v>
      </c>
      <c r="AK635" s="131">
        <f t="shared" ref="AK635:AK698" si="148">+N635+O635</f>
        <v>0</v>
      </c>
      <c r="AL635" s="127">
        <f t="shared" si="139"/>
        <v>0</v>
      </c>
      <c r="AM635" s="140">
        <f t="shared" ref="AM635:AM698" si="149">+P635+R635</f>
        <v>0</v>
      </c>
      <c r="AN635" s="140">
        <f t="shared" ref="AN635:AN698" si="150">+Q635+S635</f>
        <v>0</v>
      </c>
      <c r="AO635" s="140">
        <f t="shared" ref="AO635:AO698" si="151">+U635</f>
        <v>0</v>
      </c>
      <c r="AP635" s="140">
        <f t="shared" ref="AP635:AP698" si="152">+AG635+AH635+AJ635-AK635-AM635-AO635</f>
        <v>0</v>
      </c>
    </row>
    <row r="636" spans="2:42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AC636" s="131">
        <f t="shared" si="140"/>
        <v>0</v>
      </c>
      <c r="AD636" s="131">
        <f t="shared" si="141"/>
        <v>0</v>
      </c>
      <c r="AE636" s="131">
        <f t="shared" si="142"/>
        <v>0</v>
      </c>
      <c r="AF636" s="131">
        <f t="shared" si="143"/>
        <v>0</v>
      </c>
      <c r="AG636" s="140">
        <f t="shared" si="144"/>
        <v>0</v>
      </c>
      <c r="AH636" s="140">
        <f t="shared" si="145"/>
        <v>0</v>
      </c>
      <c r="AI636" s="140">
        <f t="shared" si="146"/>
        <v>0</v>
      </c>
      <c r="AJ636" s="131">
        <f t="shared" si="147"/>
        <v>0</v>
      </c>
      <c r="AK636" s="131">
        <f t="shared" si="148"/>
        <v>0</v>
      </c>
      <c r="AL636" s="127">
        <f t="shared" si="139"/>
        <v>0</v>
      </c>
      <c r="AM636" s="140">
        <f t="shared" si="149"/>
        <v>0</v>
      </c>
      <c r="AN636" s="140">
        <f t="shared" si="150"/>
        <v>0</v>
      </c>
      <c r="AO636" s="140">
        <f t="shared" si="151"/>
        <v>0</v>
      </c>
      <c r="AP636" s="140">
        <f t="shared" si="152"/>
        <v>0</v>
      </c>
    </row>
    <row r="637" spans="2:42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AC637" s="131">
        <f t="shared" si="140"/>
        <v>0</v>
      </c>
      <c r="AD637" s="131">
        <f t="shared" si="141"/>
        <v>0</v>
      </c>
      <c r="AE637" s="131">
        <f t="shared" si="142"/>
        <v>0</v>
      </c>
      <c r="AF637" s="131">
        <f t="shared" si="143"/>
        <v>0</v>
      </c>
      <c r="AG637" s="140">
        <f t="shared" si="144"/>
        <v>0</v>
      </c>
      <c r="AH637" s="140">
        <f t="shared" si="145"/>
        <v>0</v>
      </c>
      <c r="AI637" s="140">
        <f t="shared" si="146"/>
        <v>0</v>
      </c>
      <c r="AJ637" s="131">
        <f t="shared" si="147"/>
        <v>0</v>
      </c>
      <c r="AK637" s="131">
        <f t="shared" si="148"/>
        <v>0</v>
      </c>
      <c r="AL637" s="127">
        <f t="shared" si="139"/>
        <v>0</v>
      </c>
      <c r="AM637" s="140">
        <f t="shared" si="149"/>
        <v>0</v>
      </c>
      <c r="AN637" s="140">
        <f t="shared" si="150"/>
        <v>0</v>
      </c>
      <c r="AO637" s="140">
        <f t="shared" si="151"/>
        <v>0</v>
      </c>
      <c r="AP637" s="140">
        <f t="shared" si="152"/>
        <v>0</v>
      </c>
    </row>
    <row r="638" spans="2:42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AC638" s="131">
        <f t="shared" si="140"/>
        <v>0</v>
      </c>
      <c r="AD638" s="131">
        <f t="shared" si="141"/>
        <v>0</v>
      </c>
      <c r="AE638" s="131">
        <f t="shared" si="142"/>
        <v>0</v>
      </c>
      <c r="AF638" s="131">
        <f t="shared" si="143"/>
        <v>0</v>
      </c>
      <c r="AG638" s="140">
        <f t="shared" si="144"/>
        <v>0</v>
      </c>
      <c r="AH638" s="140">
        <f t="shared" si="145"/>
        <v>0</v>
      </c>
      <c r="AI638" s="140">
        <f t="shared" si="146"/>
        <v>0</v>
      </c>
      <c r="AJ638" s="131">
        <f t="shared" si="147"/>
        <v>0</v>
      </c>
      <c r="AK638" s="131">
        <f t="shared" si="148"/>
        <v>0</v>
      </c>
      <c r="AL638" s="127">
        <f t="shared" si="139"/>
        <v>0</v>
      </c>
      <c r="AM638" s="140">
        <f t="shared" si="149"/>
        <v>0</v>
      </c>
      <c r="AN638" s="140">
        <f t="shared" si="150"/>
        <v>0</v>
      </c>
      <c r="AO638" s="140">
        <f t="shared" si="151"/>
        <v>0</v>
      </c>
      <c r="AP638" s="140">
        <f t="shared" si="152"/>
        <v>0</v>
      </c>
    </row>
    <row r="639" spans="2:42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AC639" s="131">
        <f t="shared" si="140"/>
        <v>0</v>
      </c>
      <c r="AD639" s="131">
        <f t="shared" si="141"/>
        <v>0</v>
      </c>
      <c r="AE639" s="131">
        <f t="shared" si="142"/>
        <v>0</v>
      </c>
      <c r="AF639" s="131">
        <f t="shared" si="143"/>
        <v>0</v>
      </c>
      <c r="AG639" s="140">
        <f t="shared" si="144"/>
        <v>0</v>
      </c>
      <c r="AH639" s="140">
        <f t="shared" si="145"/>
        <v>0</v>
      </c>
      <c r="AI639" s="140">
        <f t="shared" si="146"/>
        <v>0</v>
      </c>
      <c r="AJ639" s="131">
        <f t="shared" si="147"/>
        <v>0</v>
      </c>
      <c r="AK639" s="131">
        <f t="shared" si="148"/>
        <v>0</v>
      </c>
      <c r="AL639" s="127">
        <f t="shared" si="139"/>
        <v>0</v>
      </c>
      <c r="AM639" s="140">
        <f t="shared" si="149"/>
        <v>0</v>
      </c>
      <c r="AN639" s="140">
        <f t="shared" si="150"/>
        <v>0</v>
      </c>
      <c r="AO639" s="140">
        <f t="shared" si="151"/>
        <v>0</v>
      </c>
      <c r="AP639" s="140">
        <f t="shared" si="152"/>
        <v>0</v>
      </c>
    </row>
    <row r="640" spans="2:42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AC640" s="131">
        <f t="shared" si="140"/>
        <v>0</v>
      </c>
      <c r="AD640" s="131">
        <f t="shared" si="141"/>
        <v>0</v>
      </c>
      <c r="AE640" s="131">
        <f t="shared" si="142"/>
        <v>0</v>
      </c>
      <c r="AF640" s="131">
        <f t="shared" si="143"/>
        <v>0</v>
      </c>
      <c r="AG640" s="140">
        <f t="shared" si="144"/>
        <v>0</v>
      </c>
      <c r="AH640" s="140">
        <f t="shared" si="145"/>
        <v>0</v>
      </c>
      <c r="AI640" s="140">
        <f t="shared" si="146"/>
        <v>0</v>
      </c>
      <c r="AJ640" s="131">
        <f t="shared" si="147"/>
        <v>0</v>
      </c>
      <c r="AK640" s="131">
        <f t="shared" si="148"/>
        <v>0</v>
      </c>
      <c r="AL640" s="127">
        <f t="shared" si="139"/>
        <v>0</v>
      </c>
      <c r="AM640" s="140">
        <f t="shared" si="149"/>
        <v>0</v>
      </c>
      <c r="AN640" s="140">
        <f t="shared" si="150"/>
        <v>0</v>
      </c>
      <c r="AO640" s="140">
        <f t="shared" si="151"/>
        <v>0</v>
      </c>
      <c r="AP640" s="140">
        <f t="shared" si="152"/>
        <v>0</v>
      </c>
    </row>
    <row r="641" spans="2:42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AC641" s="131">
        <f t="shared" si="140"/>
        <v>0</v>
      </c>
      <c r="AD641" s="131">
        <f t="shared" si="141"/>
        <v>0</v>
      </c>
      <c r="AE641" s="131">
        <f t="shared" si="142"/>
        <v>0</v>
      </c>
      <c r="AF641" s="131">
        <f t="shared" si="143"/>
        <v>0</v>
      </c>
      <c r="AG641" s="140">
        <f t="shared" si="144"/>
        <v>0</v>
      </c>
      <c r="AH641" s="140">
        <f t="shared" si="145"/>
        <v>0</v>
      </c>
      <c r="AI641" s="140">
        <f t="shared" si="146"/>
        <v>0</v>
      </c>
      <c r="AJ641" s="131">
        <f t="shared" si="147"/>
        <v>0</v>
      </c>
      <c r="AK641" s="131">
        <f t="shared" si="148"/>
        <v>0</v>
      </c>
      <c r="AL641" s="127">
        <f t="shared" si="139"/>
        <v>0</v>
      </c>
      <c r="AM641" s="140">
        <f t="shared" si="149"/>
        <v>0</v>
      </c>
      <c r="AN641" s="140">
        <f t="shared" si="150"/>
        <v>0</v>
      </c>
      <c r="AO641" s="140">
        <f t="shared" si="151"/>
        <v>0</v>
      </c>
      <c r="AP641" s="140">
        <f t="shared" si="152"/>
        <v>0</v>
      </c>
    </row>
    <row r="642" spans="2:42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AC642" s="131">
        <f t="shared" si="140"/>
        <v>0</v>
      </c>
      <c r="AD642" s="131">
        <f t="shared" si="141"/>
        <v>0</v>
      </c>
      <c r="AE642" s="131">
        <f t="shared" si="142"/>
        <v>0</v>
      </c>
      <c r="AF642" s="131">
        <f t="shared" si="143"/>
        <v>0</v>
      </c>
      <c r="AG642" s="140">
        <f t="shared" si="144"/>
        <v>0</v>
      </c>
      <c r="AH642" s="140">
        <f t="shared" si="145"/>
        <v>0</v>
      </c>
      <c r="AI642" s="140">
        <f t="shared" si="146"/>
        <v>0</v>
      </c>
      <c r="AJ642" s="131">
        <f t="shared" si="147"/>
        <v>0</v>
      </c>
      <c r="AK642" s="131">
        <f t="shared" si="148"/>
        <v>0</v>
      </c>
      <c r="AL642" s="127">
        <f t="shared" si="139"/>
        <v>0</v>
      </c>
      <c r="AM642" s="140">
        <f t="shared" si="149"/>
        <v>0</v>
      </c>
      <c r="AN642" s="140">
        <f t="shared" si="150"/>
        <v>0</v>
      </c>
      <c r="AO642" s="140">
        <f t="shared" si="151"/>
        <v>0</v>
      </c>
      <c r="AP642" s="140">
        <f t="shared" si="152"/>
        <v>0</v>
      </c>
    </row>
    <row r="643" spans="2:42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AC643" s="131">
        <f t="shared" si="140"/>
        <v>0</v>
      </c>
      <c r="AD643" s="131">
        <f t="shared" si="141"/>
        <v>0</v>
      </c>
      <c r="AE643" s="131">
        <f t="shared" si="142"/>
        <v>0</v>
      </c>
      <c r="AF643" s="131">
        <f t="shared" si="143"/>
        <v>0</v>
      </c>
      <c r="AG643" s="140">
        <f t="shared" si="144"/>
        <v>0</v>
      </c>
      <c r="AH643" s="140">
        <f t="shared" si="145"/>
        <v>0</v>
      </c>
      <c r="AI643" s="140">
        <f t="shared" si="146"/>
        <v>0</v>
      </c>
      <c r="AJ643" s="131">
        <f t="shared" si="147"/>
        <v>0</v>
      </c>
      <c r="AK643" s="131">
        <f t="shared" si="148"/>
        <v>0</v>
      </c>
      <c r="AL643" s="127">
        <f t="shared" ref="AL643:AL706" si="153">ROUND(IFERROR(+AK643/AH643*100,0),2)</f>
        <v>0</v>
      </c>
      <c r="AM643" s="140">
        <f t="shared" si="149"/>
        <v>0</v>
      </c>
      <c r="AN643" s="140">
        <f t="shared" si="150"/>
        <v>0</v>
      </c>
      <c r="AO643" s="140">
        <f t="shared" si="151"/>
        <v>0</v>
      </c>
      <c r="AP643" s="140">
        <f t="shared" si="152"/>
        <v>0</v>
      </c>
    </row>
    <row r="644" spans="2:42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AC644" s="131">
        <f t="shared" si="140"/>
        <v>0</v>
      </c>
      <c r="AD644" s="131">
        <f t="shared" si="141"/>
        <v>0</v>
      </c>
      <c r="AE644" s="131">
        <f t="shared" si="142"/>
        <v>0</v>
      </c>
      <c r="AF644" s="131">
        <f t="shared" si="143"/>
        <v>0</v>
      </c>
      <c r="AG644" s="140">
        <f t="shared" si="144"/>
        <v>0</v>
      </c>
      <c r="AH644" s="140">
        <f t="shared" si="145"/>
        <v>0</v>
      </c>
      <c r="AI644" s="140">
        <f t="shared" si="146"/>
        <v>0</v>
      </c>
      <c r="AJ644" s="131">
        <f t="shared" si="147"/>
        <v>0</v>
      </c>
      <c r="AK644" s="131">
        <f t="shared" si="148"/>
        <v>0</v>
      </c>
      <c r="AL644" s="127">
        <f t="shared" si="153"/>
        <v>0</v>
      </c>
      <c r="AM644" s="140">
        <f t="shared" si="149"/>
        <v>0</v>
      </c>
      <c r="AN644" s="140">
        <f t="shared" si="150"/>
        <v>0</v>
      </c>
      <c r="AO644" s="140">
        <f t="shared" si="151"/>
        <v>0</v>
      </c>
      <c r="AP644" s="140">
        <f t="shared" si="152"/>
        <v>0</v>
      </c>
    </row>
    <row r="645" spans="2:42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AC645" s="131">
        <f t="shared" si="140"/>
        <v>0</v>
      </c>
      <c r="AD645" s="131">
        <f t="shared" si="141"/>
        <v>0</v>
      </c>
      <c r="AE645" s="131">
        <f t="shared" si="142"/>
        <v>0</v>
      </c>
      <c r="AF645" s="131">
        <f t="shared" si="143"/>
        <v>0</v>
      </c>
      <c r="AG645" s="140">
        <f t="shared" si="144"/>
        <v>0</v>
      </c>
      <c r="AH645" s="140">
        <f t="shared" si="145"/>
        <v>0</v>
      </c>
      <c r="AI645" s="140">
        <f t="shared" si="146"/>
        <v>0</v>
      </c>
      <c r="AJ645" s="131">
        <f t="shared" si="147"/>
        <v>0</v>
      </c>
      <c r="AK645" s="131">
        <f t="shared" si="148"/>
        <v>0</v>
      </c>
      <c r="AL645" s="127">
        <f t="shared" si="153"/>
        <v>0</v>
      </c>
      <c r="AM645" s="140">
        <f t="shared" si="149"/>
        <v>0</v>
      </c>
      <c r="AN645" s="140">
        <f t="shared" si="150"/>
        <v>0</v>
      </c>
      <c r="AO645" s="140">
        <f t="shared" si="151"/>
        <v>0</v>
      </c>
      <c r="AP645" s="140">
        <f t="shared" si="152"/>
        <v>0</v>
      </c>
    </row>
    <row r="646" spans="2:42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AC646" s="131">
        <f t="shared" si="140"/>
        <v>0</v>
      </c>
      <c r="AD646" s="131">
        <f t="shared" si="141"/>
        <v>0</v>
      </c>
      <c r="AE646" s="131">
        <f t="shared" si="142"/>
        <v>0</v>
      </c>
      <c r="AF646" s="131">
        <f t="shared" si="143"/>
        <v>0</v>
      </c>
      <c r="AG646" s="140">
        <f t="shared" si="144"/>
        <v>0</v>
      </c>
      <c r="AH646" s="140">
        <f t="shared" si="145"/>
        <v>0</v>
      </c>
      <c r="AI646" s="140">
        <f t="shared" si="146"/>
        <v>0</v>
      </c>
      <c r="AJ646" s="131">
        <f t="shared" si="147"/>
        <v>0</v>
      </c>
      <c r="AK646" s="131">
        <f t="shared" si="148"/>
        <v>0</v>
      </c>
      <c r="AL646" s="127">
        <f t="shared" si="153"/>
        <v>0</v>
      </c>
      <c r="AM646" s="140">
        <f t="shared" si="149"/>
        <v>0</v>
      </c>
      <c r="AN646" s="140">
        <f t="shared" si="150"/>
        <v>0</v>
      </c>
      <c r="AO646" s="140">
        <f t="shared" si="151"/>
        <v>0</v>
      </c>
      <c r="AP646" s="140">
        <f t="shared" si="152"/>
        <v>0</v>
      </c>
    </row>
    <row r="647" spans="2:42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AC647" s="131">
        <f t="shared" si="140"/>
        <v>0</v>
      </c>
      <c r="AD647" s="131">
        <f t="shared" si="141"/>
        <v>0</v>
      </c>
      <c r="AE647" s="131">
        <f t="shared" si="142"/>
        <v>0</v>
      </c>
      <c r="AF647" s="131">
        <f t="shared" si="143"/>
        <v>0</v>
      </c>
      <c r="AG647" s="140">
        <f t="shared" si="144"/>
        <v>0</v>
      </c>
      <c r="AH647" s="140">
        <f t="shared" si="145"/>
        <v>0</v>
      </c>
      <c r="AI647" s="140">
        <f t="shared" si="146"/>
        <v>0</v>
      </c>
      <c r="AJ647" s="131">
        <f t="shared" si="147"/>
        <v>0</v>
      </c>
      <c r="AK647" s="131">
        <f t="shared" si="148"/>
        <v>0</v>
      </c>
      <c r="AL647" s="127">
        <f t="shared" si="153"/>
        <v>0</v>
      </c>
      <c r="AM647" s="140">
        <f t="shared" si="149"/>
        <v>0</v>
      </c>
      <c r="AN647" s="140">
        <f t="shared" si="150"/>
        <v>0</v>
      </c>
      <c r="AO647" s="140">
        <f t="shared" si="151"/>
        <v>0</v>
      </c>
      <c r="AP647" s="140">
        <f t="shared" si="152"/>
        <v>0</v>
      </c>
    </row>
    <row r="648" spans="2:42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AC648" s="131">
        <f t="shared" si="140"/>
        <v>0</v>
      </c>
      <c r="AD648" s="131">
        <f t="shared" si="141"/>
        <v>0</v>
      </c>
      <c r="AE648" s="131">
        <f t="shared" si="142"/>
        <v>0</v>
      </c>
      <c r="AF648" s="131">
        <f t="shared" si="143"/>
        <v>0</v>
      </c>
      <c r="AG648" s="140">
        <f t="shared" si="144"/>
        <v>0</v>
      </c>
      <c r="AH648" s="140">
        <f t="shared" si="145"/>
        <v>0</v>
      </c>
      <c r="AI648" s="140">
        <f t="shared" si="146"/>
        <v>0</v>
      </c>
      <c r="AJ648" s="131">
        <f t="shared" si="147"/>
        <v>0</v>
      </c>
      <c r="AK648" s="131">
        <f t="shared" si="148"/>
        <v>0</v>
      </c>
      <c r="AL648" s="127">
        <f t="shared" si="153"/>
        <v>0</v>
      </c>
      <c r="AM648" s="140">
        <f t="shared" si="149"/>
        <v>0</v>
      </c>
      <c r="AN648" s="140">
        <f t="shared" si="150"/>
        <v>0</v>
      </c>
      <c r="AO648" s="140">
        <f t="shared" si="151"/>
        <v>0</v>
      </c>
      <c r="AP648" s="140">
        <f t="shared" si="152"/>
        <v>0</v>
      </c>
    </row>
    <row r="649" spans="2:42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AC649" s="131">
        <f t="shared" si="140"/>
        <v>0</v>
      </c>
      <c r="AD649" s="131">
        <f t="shared" si="141"/>
        <v>0</v>
      </c>
      <c r="AE649" s="131">
        <f t="shared" si="142"/>
        <v>0</v>
      </c>
      <c r="AF649" s="131">
        <f t="shared" si="143"/>
        <v>0</v>
      </c>
      <c r="AG649" s="140">
        <f t="shared" si="144"/>
        <v>0</v>
      </c>
      <c r="AH649" s="140">
        <f t="shared" si="145"/>
        <v>0</v>
      </c>
      <c r="AI649" s="140">
        <f t="shared" si="146"/>
        <v>0</v>
      </c>
      <c r="AJ649" s="131">
        <f t="shared" si="147"/>
        <v>0</v>
      </c>
      <c r="AK649" s="131">
        <f t="shared" si="148"/>
        <v>0</v>
      </c>
      <c r="AL649" s="127">
        <f t="shared" si="153"/>
        <v>0</v>
      </c>
      <c r="AM649" s="140">
        <f t="shared" si="149"/>
        <v>0</v>
      </c>
      <c r="AN649" s="140">
        <f t="shared" si="150"/>
        <v>0</v>
      </c>
      <c r="AO649" s="140">
        <f t="shared" si="151"/>
        <v>0</v>
      </c>
      <c r="AP649" s="140">
        <f t="shared" si="152"/>
        <v>0</v>
      </c>
    </row>
    <row r="650" spans="2:42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AC650" s="131">
        <f t="shared" si="140"/>
        <v>0</v>
      </c>
      <c r="AD650" s="131">
        <f t="shared" si="141"/>
        <v>0</v>
      </c>
      <c r="AE650" s="131">
        <f t="shared" si="142"/>
        <v>0</v>
      </c>
      <c r="AF650" s="131">
        <f t="shared" si="143"/>
        <v>0</v>
      </c>
      <c r="AG650" s="140">
        <f t="shared" si="144"/>
        <v>0</v>
      </c>
      <c r="AH650" s="140">
        <f t="shared" si="145"/>
        <v>0</v>
      </c>
      <c r="AI650" s="140">
        <f t="shared" si="146"/>
        <v>0</v>
      </c>
      <c r="AJ650" s="131">
        <f t="shared" si="147"/>
        <v>0</v>
      </c>
      <c r="AK650" s="131">
        <f t="shared" si="148"/>
        <v>0</v>
      </c>
      <c r="AL650" s="127">
        <f t="shared" si="153"/>
        <v>0</v>
      </c>
      <c r="AM650" s="140">
        <f t="shared" si="149"/>
        <v>0</v>
      </c>
      <c r="AN650" s="140">
        <f t="shared" si="150"/>
        <v>0</v>
      </c>
      <c r="AO650" s="140">
        <f t="shared" si="151"/>
        <v>0</v>
      </c>
      <c r="AP650" s="140">
        <f t="shared" si="152"/>
        <v>0</v>
      </c>
    </row>
    <row r="651" spans="2:42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AC651" s="131">
        <f t="shared" si="140"/>
        <v>0</v>
      </c>
      <c r="AD651" s="131">
        <f t="shared" si="141"/>
        <v>0</v>
      </c>
      <c r="AE651" s="131">
        <f t="shared" si="142"/>
        <v>0</v>
      </c>
      <c r="AF651" s="131">
        <f t="shared" si="143"/>
        <v>0</v>
      </c>
      <c r="AG651" s="140">
        <f t="shared" si="144"/>
        <v>0</v>
      </c>
      <c r="AH651" s="140">
        <f t="shared" si="145"/>
        <v>0</v>
      </c>
      <c r="AI651" s="140">
        <f t="shared" si="146"/>
        <v>0</v>
      </c>
      <c r="AJ651" s="131">
        <f t="shared" si="147"/>
        <v>0</v>
      </c>
      <c r="AK651" s="131">
        <f t="shared" si="148"/>
        <v>0</v>
      </c>
      <c r="AL651" s="127">
        <f t="shared" si="153"/>
        <v>0</v>
      </c>
      <c r="AM651" s="140">
        <f t="shared" si="149"/>
        <v>0</v>
      </c>
      <c r="AN651" s="140">
        <f t="shared" si="150"/>
        <v>0</v>
      </c>
      <c r="AO651" s="140">
        <f t="shared" si="151"/>
        <v>0</v>
      </c>
      <c r="AP651" s="140">
        <f t="shared" si="152"/>
        <v>0</v>
      </c>
    </row>
    <row r="652" spans="2:42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AC652" s="131">
        <f t="shared" si="140"/>
        <v>0</v>
      </c>
      <c r="AD652" s="131">
        <f t="shared" si="141"/>
        <v>0</v>
      </c>
      <c r="AE652" s="131">
        <f t="shared" si="142"/>
        <v>0</v>
      </c>
      <c r="AF652" s="131">
        <f t="shared" si="143"/>
        <v>0</v>
      </c>
      <c r="AG652" s="140">
        <f t="shared" si="144"/>
        <v>0</v>
      </c>
      <c r="AH652" s="140">
        <f t="shared" si="145"/>
        <v>0</v>
      </c>
      <c r="AI652" s="140">
        <f t="shared" si="146"/>
        <v>0</v>
      </c>
      <c r="AJ652" s="131">
        <f t="shared" si="147"/>
        <v>0</v>
      </c>
      <c r="AK652" s="131">
        <f t="shared" si="148"/>
        <v>0</v>
      </c>
      <c r="AL652" s="127">
        <f t="shared" si="153"/>
        <v>0</v>
      </c>
      <c r="AM652" s="140">
        <f t="shared" si="149"/>
        <v>0</v>
      </c>
      <c r="AN652" s="140">
        <f t="shared" si="150"/>
        <v>0</v>
      </c>
      <c r="AO652" s="140">
        <f t="shared" si="151"/>
        <v>0</v>
      </c>
      <c r="AP652" s="140">
        <f t="shared" si="152"/>
        <v>0</v>
      </c>
    </row>
    <row r="653" spans="2:42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AC653" s="131">
        <f t="shared" si="140"/>
        <v>0</v>
      </c>
      <c r="AD653" s="131">
        <f t="shared" si="141"/>
        <v>0</v>
      </c>
      <c r="AE653" s="131">
        <f t="shared" si="142"/>
        <v>0</v>
      </c>
      <c r="AF653" s="131">
        <f t="shared" si="143"/>
        <v>0</v>
      </c>
      <c r="AG653" s="140">
        <f t="shared" si="144"/>
        <v>0</v>
      </c>
      <c r="AH653" s="140">
        <f t="shared" si="145"/>
        <v>0</v>
      </c>
      <c r="AI653" s="140">
        <f t="shared" si="146"/>
        <v>0</v>
      </c>
      <c r="AJ653" s="131">
        <f t="shared" si="147"/>
        <v>0</v>
      </c>
      <c r="AK653" s="131">
        <f t="shared" si="148"/>
        <v>0</v>
      </c>
      <c r="AL653" s="127">
        <f t="shared" si="153"/>
        <v>0</v>
      </c>
      <c r="AM653" s="140">
        <f t="shared" si="149"/>
        <v>0</v>
      </c>
      <c r="AN653" s="140">
        <f t="shared" si="150"/>
        <v>0</v>
      </c>
      <c r="AO653" s="140">
        <f t="shared" si="151"/>
        <v>0</v>
      </c>
      <c r="AP653" s="140">
        <f t="shared" si="152"/>
        <v>0</v>
      </c>
    </row>
    <row r="654" spans="2:42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AC654" s="131">
        <f t="shared" si="140"/>
        <v>0</v>
      </c>
      <c r="AD654" s="131">
        <f t="shared" si="141"/>
        <v>0</v>
      </c>
      <c r="AE654" s="131">
        <f t="shared" si="142"/>
        <v>0</v>
      </c>
      <c r="AF654" s="131">
        <f t="shared" si="143"/>
        <v>0</v>
      </c>
      <c r="AG654" s="140">
        <f t="shared" si="144"/>
        <v>0</v>
      </c>
      <c r="AH654" s="140">
        <f t="shared" si="145"/>
        <v>0</v>
      </c>
      <c r="AI654" s="140">
        <f t="shared" si="146"/>
        <v>0</v>
      </c>
      <c r="AJ654" s="131">
        <f t="shared" si="147"/>
        <v>0</v>
      </c>
      <c r="AK654" s="131">
        <f t="shared" si="148"/>
        <v>0</v>
      </c>
      <c r="AL654" s="127">
        <f t="shared" si="153"/>
        <v>0</v>
      </c>
      <c r="AM654" s="140">
        <f t="shared" si="149"/>
        <v>0</v>
      </c>
      <c r="AN654" s="140">
        <f t="shared" si="150"/>
        <v>0</v>
      </c>
      <c r="AO654" s="140">
        <f t="shared" si="151"/>
        <v>0</v>
      </c>
      <c r="AP654" s="140">
        <f t="shared" si="152"/>
        <v>0</v>
      </c>
    </row>
    <row r="655" spans="2:42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AC655" s="131">
        <f t="shared" si="140"/>
        <v>0</v>
      </c>
      <c r="AD655" s="131">
        <f t="shared" si="141"/>
        <v>0</v>
      </c>
      <c r="AE655" s="131">
        <f t="shared" si="142"/>
        <v>0</v>
      </c>
      <c r="AF655" s="131">
        <f t="shared" si="143"/>
        <v>0</v>
      </c>
      <c r="AG655" s="140">
        <f t="shared" si="144"/>
        <v>0</v>
      </c>
      <c r="AH655" s="140">
        <f t="shared" si="145"/>
        <v>0</v>
      </c>
      <c r="AI655" s="140">
        <f t="shared" si="146"/>
        <v>0</v>
      </c>
      <c r="AJ655" s="131">
        <f t="shared" si="147"/>
        <v>0</v>
      </c>
      <c r="AK655" s="131">
        <f t="shared" si="148"/>
        <v>0</v>
      </c>
      <c r="AL655" s="127">
        <f t="shared" si="153"/>
        <v>0</v>
      </c>
      <c r="AM655" s="140">
        <f t="shared" si="149"/>
        <v>0</v>
      </c>
      <c r="AN655" s="140">
        <f t="shared" si="150"/>
        <v>0</v>
      </c>
      <c r="AO655" s="140">
        <f t="shared" si="151"/>
        <v>0</v>
      </c>
      <c r="AP655" s="140">
        <f t="shared" si="152"/>
        <v>0</v>
      </c>
    </row>
    <row r="656" spans="2:42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AC656" s="131">
        <f t="shared" si="140"/>
        <v>0</v>
      </c>
      <c r="AD656" s="131">
        <f t="shared" si="141"/>
        <v>0</v>
      </c>
      <c r="AE656" s="131">
        <f t="shared" si="142"/>
        <v>0</v>
      </c>
      <c r="AF656" s="131">
        <f t="shared" si="143"/>
        <v>0</v>
      </c>
      <c r="AG656" s="140">
        <f t="shared" si="144"/>
        <v>0</v>
      </c>
      <c r="AH656" s="140">
        <f t="shared" si="145"/>
        <v>0</v>
      </c>
      <c r="AI656" s="140">
        <f t="shared" si="146"/>
        <v>0</v>
      </c>
      <c r="AJ656" s="131">
        <f t="shared" si="147"/>
        <v>0</v>
      </c>
      <c r="AK656" s="131">
        <f t="shared" si="148"/>
        <v>0</v>
      </c>
      <c r="AL656" s="127">
        <f t="shared" si="153"/>
        <v>0</v>
      </c>
      <c r="AM656" s="140">
        <f t="shared" si="149"/>
        <v>0</v>
      </c>
      <c r="AN656" s="140">
        <f t="shared" si="150"/>
        <v>0</v>
      </c>
      <c r="AO656" s="140">
        <f t="shared" si="151"/>
        <v>0</v>
      </c>
      <c r="AP656" s="140">
        <f t="shared" si="152"/>
        <v>0</v>
      </c>
    </row>
    <row r="657" spans="2:42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AC657" s="131">
        <f t="shared" si="140"/>
        <v>0</v>
      </c>
      <c r="AD657" s="131">
        <f t="shared" si="141"/>
        <v>0</v>
      </c>
      <c r="AE657" s="131">
        <f t="shared" si="142"/>
        <v>0</v>
      </c>
      <c r="AF657" s="131">
        <f t="shared" si="143"/>
        <v>0</v>
      </c>
      <c r="AG657" s="140">
        <f t="shared" si="144"/>
        <v>0</v>
      </c>
      <c r="AH657" s="140">
        <f t="shared" si="145"/>
        <v>0</v>
      </c>
      <c r="AI657" s="140">
        <f t="shared" si="146"/>
        <v>0</v>
      </c>
      <c r="AJ657" s="131">
        <f t="shared" si="147"/>
        <v>0</v>
      </c>
      <c r="AK657" s="131">
        <f t="shared" si="148"/>
        <v>0</v>
      </c>
      <c r="AL657" s="127">
        <f t="shared" si="153"/>
        <v>0</v>
      </c>
      <c r="AM657" s="140">
        <f t="shared" si="149"/>
        <v>0</v>
      </c>
      <c r="AN657" s="140">
        <f t="shared" si="150"/>
        <v>0</v>
      </c>
      <c r="AO657" s="140">
        <f t="shared" si="151"/>
        <v>0</v>
      </c>
      <c r="AP657" s="140">
        <f t="shared" si="152"/>
        <v>0</v>
      </c>
    </row>
    <row r="658" spans="2:42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AC658" s="131">
        <f t="shared" si="140"/>
        <v>0</v>
      </c>
      <c r="AD658" s="131">
        <f t="shared" si="141"/>
        <v>0</v>
      </c>
      <c r="AE658" s="131">
        <f t="shared" si="142"/>
        <v>0</v>
      </c>
      <c r="AF658" s="131">
        <f t="shared" si="143"/>
        <v>0</v>
      </c>
      <c r="AG658" s="140">
        <f t="shared" si="144"/>
        <v>0</v>
      </c>
      <c r="AH658" s="140">
        <f t="shared" si="145"/>
        <v>0</v>
      </c>
      <c r="AI658" s="140">
        <f t="shared" si="146"/>
        <v>0</v>
      </c>
      <c r="AJ658" s="131">
        <f t="shared" si="147"/>
        <v>0</v>
      </c>
      <c r="AK658" s="131">
        <f t="shared" si="148"/>
        <v>0</v>
      </c>
      <c r="AL658" s="127">
        <f t="shared" si="153"/>
        <v>0</v>
      </c>
      <c r="AM658" s="140">
        <f t="shared" si="149"/>
        <v>0</v>
      </c>
      <c r="AN658" s="140">
        <f t="shared" si="150"/>
        <v>0</v>
      </c>
      <c r="AO658" s="140">
        <f t="shared" si="151"/>
        <v>0</v>
      </c>
      <c r="AP658" s="140">
        <f t="shared" si="152"/>
        <v>0</v>
      </c>
    </row>
    <row r="659" spans="2:42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AC659" s="131">
        <f t="shared" si="140"/>
        <v>0</v>
      </c>
      <c r="AD659" s="131">
        <f t="shared" si="141"/>
        <v>0</v>
      </c>
      <c r="AE659" s="131">
        <f t="shared" si="142"/>
        <v>0</v>
      </c>
      <c r="AF659" s="131">
        <f t="shared" si="143"/>
        <v>0</v>
      </c>
      <c r="AG659" s="140">
        <f t="shared" si="144"/>
        <v>0</v>
      </c>
      <c r="AH659" s="140">
        <f t="shared" si="145"/>
        <v>0</v>
      </c>
      <c r="AI659" s="140">
        <f t="shared" si="146"/>
        <v>0</v>
      </c>
      <c r="AJ659" s="131">
        <f t="shared" si="147"/>
        <v>0</v>
      </c>
      <c r="AK659" s="131">
        <f t="shared" si="148"/>
        <v>0</v>
      </c>
      <c r="AL659" s="127">
        <f t="shared" si="153"/>
        <v>0</v>
      </c>
      <c r="AM659" s="140">
        <f t="shared" si="149"/>
        <v>0</v>
      </c>
      <c r="AN659" s="140">
        <f t="shared" si="150"/>
        <v>0</v>
      </c>
      <c r="AO659" s="140">
        <f t="shared" si="151"/>
        <v>0</v>
      </c>
      <c r="AP659" s="140">
        <f t="shared" si="152"/>
        <v>0</v>
      </c>
    </row>
    <row r="660" spans="2:42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AC660" s="131">
        <f t="shared" si="140"/>
        <v>0</v>
      </c>
      <c r="AD660" s="131">
        <f t="shared" si="141"/>
        <v>0</v>
      </c>
      <c r="AE660" s="131">
        <f t="shared" si="142"/>
        <v>0</v>
      </c>
      <c r="AF660" s="131">
        <f t="shared" si="143"/>
        <v>0</v>
      </c>
      <c r="AG660" s="140">
        <f t="shared" si="144"/>
        <v>0</v>
      </c>
      <c r="AH660" s="140">
        <f t="shared" si="145"/>
        <v>0</v>
      </c>
      <c r="AI660" s="140">
        <f t="shared" si="146"/>
        <v>0</v>
      </c>
      <c r="AJ660" s="131">
        <f t="shared" si="147"/>
        <v>0</v>
      </c>
      <c r="AK660" s="131">
        <f t="shared" si="148"/>
        <v>0</v>
      </c>
      <c r="AL660" s="127">
        <f t="shared" si="153"/>
        <v>0</v>
      </c>
      <c r="AM660" s="140">
        <f t="shared" si="149"/>
        <v>0</v>
      </c>
      <c r="AN660" s="140">
        <f t="shared" si="150"/>
        <v>0</v>
      </c>
      <c r="AO660" s="140">
        <f t="shared" si="151"/>
        <v>0</v>
      </c>
      <c r="AP660" s="140">
        <f t="shared" si="152"/>
        <v>0</v>
      </c>
    </row>
    <row r="661" spans="2:42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AC661" s="131">
        <f t="shared" si="140"/>
        <v>0</v>
      </c>
      <c r="AD661" s="131">
        <f t="shared" si="141"/>
        <v>0</v>
      </c>
      <c r="AE661" s="131">
        <f t="shared" si="142"/>
        <v>0</v>
      </c>
      <c r="AF661" s="131">
        <f t="shared" si="143"/>
        <v>0</v>
      </c>
      <c r="AG661" s="140">
        <f t="shared" si="144"/>
        <v>0</v>
      </c>
      <c r="AH661" s="140">
        <f t="shared" si="145"/>
        <v>0</v>
      </c>
      <c r="AI661" s="140">
        <f t="shared" si="146"/>
        <v>0</v>
      </c>
      <c r="AJ661" s="131">
        <f t="shared" si="147"/>
        <v>0</v>
      </c>
      <c r="AK661" s="131">
        <f t="shared" si="148"/>
        <v>0</v>
      </c>
      <c r="AL661" s="127">
        <f t="shared" si="153"/>
        <v>0</v>
      </c>
      <c r="AM661" s="140">
        <f t="shared" si="149"/>
        <v>0</v>
      </c>
      <c r="AN661" s="140">
        <f t="shared" si="150"/>
        <v>0</v>
      </c>
      <c r="AO661" s="140">
        <f t="shared" si="151"/>
        <v>0</v>
      </c>
      <c r="AP661" s="140">
        <f t="shared" si="152"/>
        <v>0</v>
      </c>
    </row>
    <row r="662" spans="2:42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AC662" s="131">
        <f t="shared" si="140"/>
        <v>0</v>
      </c>
      <c r="AD662" s="131">
        <f t="shared" si="141"/>
        <v>0</v>
      </c>
      <c r="AE662" s="131">
        <f t="shared" si="142"/>
        <v>0</v>
      </c>
      <c r="AF662" s="131">
        <f t="shared" si="143"/>
        <v>0</v>
      </c>
      <c r="AG662" s="140">
        <f t="shared" si="144"/>
        <v>0</v>
      </c>
      <c r="AH662" s="140">
        <f t="shared" si="145"/>
        <v>0</v>
      </c>
      <c r="AI662" s="140">
        <f t="shared" si="146"/>
        <v>0</v>
      </c>
      <c r="AJ662" s="131">
        <f t="shared" si="147"/>
        <v>0</v>
      </c>
      <c r="AK662" s="131">
        <f t="shared" si="148"/>
        <v>0</v>
      </c>
      <c r="AL662" s="127">
        <f t="shared" si="153"/>
        <v>0</v>
      </c>
      <c r="AM662" s="140">
        <f t="shared" si="149"/>
        <v>0</v>
      </c>
      <c r="AN662" s="140">
        <f t="shared" si="150"/>
        <v>0</v>
      </c>
      <c r="AO662" s="140">
        <f t="shared" si="151"/>
        <v>0</v>
      </c>
      <c r="AP662" s="140">
        <f t="shared" si="152"/>
        <v>0</v>
      </c>
    </row>
    <row r="663" spans="2:42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AC663" s="131">
        <f t="shared" si="140"/>
        <v>0</v>
      </c>
      <c r="AD663" s="131">
        <f t="shared" si="141"/>
        <v>0</v>
      </c>
      <c r="AE663" s="131">
        <f t="shared" si="142"/>
        <v>0</v>
      </c>
      <c r="AF663" s="131">
        <f t="shared" si="143"/>
        <v>0</v>
      </c>
      <c r="AG663" s="140">
        <f t="shared" si="144"/>
        <v>0</v>
      </c>
      <c r="AH663" s="140">
        <f t="shared" si="145"/>
        <v>0</v>
      </c>
      <c r="AI663" s="140">
        <f t="shared" si="146"/>
        <v>0</v>
      </c>
      <c r="AJ663" s="131">
        <f t="shared" si="147"/>
        <v>0</v>
      </c>
      <c r="AK663" s="131">
        <f t="shared" si="148"/>
        <v>0</v>
      </c>
      <c r="AL663" s="127">
        <f t="shared" si="153"/>
        <v>0</v>
      </c>
      <c r="AM663" s="140">
        <f t="shared" si="149"/>
        <v>0</v>
      </c>
      <c r="AN663" s="140">
        <f t="shared" si="150"/>
        <v>0</v>
      </c>
      <c r="AO663" s="140">
        <f t="shared" si="151"/>
        <v>0</v>
      </c>
      <c r="AP663" s="140">
        <f t="shared" si="152"/>
        <v>0</v>
      </c>
    </row>
    <row r="664" spans="2:42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AC664" s="131">
        <f t="shared" si="140"/>
        <v>0</v>
      </c>
      <c r="AD664" s="131">
        <f t="shared" si="141"/>
        <v>0</v>
      </c>
      <c r="AE664" s="131">
        <f t="shared" si="142"/>
        <v>0</v>
      </c>
      <c r="AF664" s="131">
        <f t="shared" si="143"/>
        <v>0</v>
      </c>
      <c r="AG664" s="140">
        <f t="shared" si="144"/>
        <v>0</v>
      </c>
      <c r="AH664" s="140">
        <f t="shared" si="145"/>
        <v>0</v>
      </c>
      <c r="AI664" s="140">
        <f t="shared" si="146"/>
        <v>0</v>
      </c>
      <c r="AJ664" s="131">
        <f t="shared" si="147"/>
        <v>0</v>
      </c>
      <c r="AK664" s="131">
        <f t="shared" si="148"/>
        <v>0</v>
      </c>
      <c r="AL664" s="127">
        <f t="shared" si="153"/>
        <v>0</v>
      </c>
      <c r="AM664" s="140">
        <f t="shared" si="149"/>
        <v>0</v>
      </c>
      <c r="AN664" s="140">
        <f t="shared" si="150"/>
        <v>0</v>
      </c>
      <c r="AO664" s="140">
        <f t="shared" si="151"/>
        <v>0</v>
      </c>
      <c r="AP664" s="140">
        <f t="shared" si="152"/>
        <v>0</v>
      </c>
    </row>
    <row r="665" spans="2:42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AC665" s="131">
        <f t="shared" si="140"/>
        <v>0</v>
      </c>
      <c r="AD665" s="131">
        <f t="shared" si="141"/>
        <v>0</v>
      </c>
      <c r="AE665" s="131">
        <f t="shared" si="142"/>
        <v>0</v>
      </c>
      <c r="AF665" s="131">
        <f t="shared" si="143"/>
        <v>0</v>
      </c>
      <c r="AG665" s="140">
        <f t="shared" si="144"/>
        <v>0</v>
      </c>
      <c r="AH665" s="140">
        <f t="shared" si="145"/>
        <v>0</v>
      </c>
      <c r="AI665" s="140">
        <f t="shared" si="146"/>
        <v>0</v>
      </c>
      <c r="AJ665" s="131">
        <f t="shared" si="147"/>
        <v>0</v>
      </c>
      <c r="AK665" s="131">
        <f t="shared" si="148"/>
        <v>0</v>
      </c>
      <c r="AL665" s="127">
        <f t="shared" si="153"/>
        <v>0</v>
      </c>
      <c r="AM665" s="140">
        <f t="shared" si="149"/>
        <v>0</v>
      </c>
      <c r="AN665" s="140">
        <f t="shared" si="150"/>
        <v>0</v>
      </c>
      <c r="AO665" s="140">
        <f t="shared" si="151"/>
        <v>0</v>
      </c>
      <c r="AP665" s="140">
        <f t="shared" si="152"/>
        <v>0</v>
      </c>
    </row>
    <row r="666" spans="2:42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AC666" s="131">
        <f t="shared" si="140"/>
        <v>0</v>
      </c>
      <c r="AD666" s="131">
        <f t="shared" si="141"/>
        <v>0</v>
      </c>
      <c r="AE666" s="131">
        <f t="shared" si="142"/>
        <v>0</v>
      </c>
      <c r="AF666" s="131">
        <f t="shared" si="143"/>
        <v>0</v>
      </c>
      <c r="AG666" s="140">
        <f t="shared" si="144"/>
        <v>0</v>
      </c>
      <c r="AH666" s="140">
        <f t="shared" si="145"/>
        <v>0</v>
      </c>
      <c r="AI666" s="140">
        <f t="shared" si="146"/>
        <v>0</v>
      </c>
      <c r="AJ666" s="131">
        <f t="shared" si="147"/>
        <v>0</v>
      </c>
      <c r="AK666" s="131">
        <f t="shared" si="148"/>
        <v>0</v>
      </c>
      <c r="AL666" s="127">
        <f t="shared" si="153"/>
        <v>0</v>
      </c>
      <c r="AM666" s="140">
        <f t="shared" si="149"/>
        <v>0</v>
      </c>
      <c r="AN666" s="140">
        <f t="shared" si="150"/>
        <v>0</v>
      </c>
      <c r="AO666" s="140">
        <f t="shared" si="151"/>
        <v>0</v>
      </c>
      <c r="AP666" s="140">
        <f t="shared" si="152"/>
        <v>0</v>
      </c>
    </row>
    <row r="667" spans="2:42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AC667" s="131">
        <f t="shared" si="140"/>
        <v>0</v>
      </c>
      <c r="AD667" s="131">
        <f t="shared" si="141"/>
        <v>0</v>
      </c>
      <c r="AE667" s="131">
        <f t="shared" si="142"/>
        <v>0</v>
      </c>
      <c r="AF667" s="131">
        <f t="shared" si="143"/>
        <v>0</v>
      </c>
      <c r="AG667" s="140">
        <f t="shared" si="144"/>
        <v>0</v>
      </c>
      <c r="AH667" s="140">
        <f t="shared" si="145"/>
        <v>0</v>
      </c>
      <c r="AI667" s="140">
        <f t="shared" si="146"/>
        <v>0</v>
      </c>
      <c r="AJ667" s="131">
        <f t="shared" si="147"/>
        <v>0</v>
      </c>
      <c r="AK667" s="131">
        <f t="shared" si="148"/>
        <v>0</v>
      </c>
      <c r="AL667" s="127">
        <f t="shared" si="153"/>
        <v>0</v>
      </c>
      <c r="AM667" s="140">
        <f t="shared" si="149"/>
        <v>0</v>
      </c>
      <c r="AN667" s="140">
        <f t="shared" si="150"/>
        <v>0</v>
      </c>
      <c r="AO667" s="140">
        <f t="shared" si="151"/>
        <v>0</v>
      </c>
      <c r="AP667" s="140">
        <f t="shared" si="152"/>
        <v>0</v>
      </c>
    </row>
    <row r="668" spans="2:42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AC668" s="131">
        <f t="shared" si="140"/>
        <v>0</v>
      </c>
      <c r="AD668" s="131">
        <f t="shared" si="141"/>
        <v>0</v>
      </c>
      <c r="AE668" s="131">
        <f t="shared" si="142"/>
        <v>0</v>
      </c>
      <c r="AF668" s="131">
        <f t="shared" si="143"/>
        <v>0</v>
      </c>
      <c r="AG668" s="140">
        <f t="shared" si="144"/>
        <v>0</v>
      </c>
      <c r="AH668" s="140">
        <f t="shared" si="145"/>
        <v>0</v>
      </c>
      <c r="AI668" s="140">
        <f t="shared" si="146"/>
        <v>0</v>
      </c>
      <c r="AJ668" s="131">
        <f t="shared" si="147"/>
        <v>0</v>
      </c>
      <c r="AK668" s="131">
        <f t="shared" si="148"/>
        <v>0</v>
      </c>
      <c r="AL668" s="127">
        <f t="shared" si="153"/>
        <v>0</v>
      </c>
      <c r="AM668" s="140">
        <f t="shared" si="149"/>
        <v>0</v>
      </c>
      <c r="AN668" s="140">
        <f t="shared" si="150"/>
        <v>0</v>
      </c>
      <c r="AO668" s="140">
        <f t="shared" si="151"/>
        <v>0</v>
      </c>
      <c r="AP668" s="140">
        <f t="shared" si="152"/>
        <v>0</v>
      </c>
    </row>
    <row r="669" spans="2:42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AC669" s="131">
        <f t="shared" si="140"/>
        <v>0</v>
      </c>
      <c r="AD669" s="131">
        <f t="shared" si="141"/>
        <v>0</v>
      </c>
      <c r="AE669" s="131">
        <f t="shared" si="142"/>
        <v>0</v>
      </c>
      <c r="AF669" s="131">
        <f t="shared" si="143"/>
        <v>0</v>
      </c>
      <c r="AG669" s="140">
        <f t="shared" si="144"/>
        <v>0</v>
      </c>
      <c r="AH669" s="140">
        <f t="shared" si="145"/>
        <v>0</v>
      </c>
      <c r="AI669" s="140">
        <f t="shared" si="146"/>
        <v>0</v>
      </c>
      <c r="AJ669" s="131">
        <f t="shared" si="147"/>
        <v>0</v>
      </c>
      <c r="AK669" s="131">
        <f t="shared" si="148"/>
        <v>0</v>
      </c>
      <c r="AL669" s="127">
        <f t="shared" si="153"/>
        <v>0</v>
      </c>
      <c r="AM669" s="140">
        <f t="shared" si="149"/>
        <v>0</v>
      </c>
      <c r="AN669" s="140">
        <f t="shared" si="150"/>
        <v>0</v>
      </c>
      <c r="AO669" s="140">
        <f t="shared" si="151"/>
        <v>0</v>
      </c>
      <c r="AP669" s="140">
        <f t="shared" si="152"/>
        <v>0</v>
      </c>
    </row>
    <row r="670" spans="2:42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AC670" s="131">
        <f t="shared" si="140"/>
        <v>0</v>
      </c>
      <c r="AD670" s="131">
        <f t="shared" si="141"/>
        <v>0</v>
      </c>
      <c r="AE670" s="131">
        <f t="shared" si="142"/>
        <v>0</v>
      </c>
      <c r="AF670" s="131">
        <f t="shared" si="143"/>
        <v>0</v>
      </c>
      <c r="AG670" s="140">
        <f t="shared" si="144"/>
        <v>0</v>
      </c>
      <c r="AH670" s="140">
        <f t="shared" si="145"/>
        <v>0</v>
      </c>
      <c r="AI670" s="140">
        <f t="shared" si="146"/>
        <v>0</v>
      </c>
      <c r="AJ670" s="131">
        <f t="shared" si="147"/>
        <v>0</v>
      </c>
      <c r="AK670" s="131">
        <f t="shared" si="148"/>
        <v>0</v>
      </c>
      <c r="AL670" s="127">
        <f t="shared" si="153"/>
        <v>0</v>
      </c>
      <c r="AM670" s="140">
        <f t="shared" si="149"/>
        <v>0</v>
      </c>
      <c r="AN670" s="140">
        <f t="shared" si="150"/>
        <v>0</v>
      </c>
      <c r="AO670" s="140">
        <f t="shared" si="151"/>
        <v>0</v>
      </c>
      <c r="AP670" s="140">
        <f t="shared" si="152"/>
        <v>0</v>
      </c>
    </row>
    <row r="671" spans="2:42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AC671" s="131">
        <f t="shared" si="140"/>
        <v>0</v>
      </c>
      <c r="AD671" s="131">
        <f t="shared" si="141"/>
        <v>0</v>
      </c>
      <c r="AE671" s="131">
        <f t="shared" si="142"/>
        <v>0</v>
      </c>
      <c r="AF671" s="131">
        <f t="shared" si="143"/>
        <v>0</v>
      </c>
      <c r="AG671" s="140">
        <f t="shared" si="144"/>
        <v>0</v>
      </c>
      <c r="AH671" s="140">
        <f t="shared" si="145"/>
        <v>0</v>
      </c>
      <c r="AI671" s="140">
        <f t="shared" si="146"/>
        <v>0</v>
      </c>
      <c r="AJ671" s="131">
        <f t="shared" si="147"/>
        <v>0</v>
      </c>
      <c r="AK671" s="131">
        <f t="shared" si="148"/>
        <v>0</v>
      </c>
      <c r="AL671" s="127">
        <f t="shared" si="153"/>
        <v>0</v>
      </c>
      <c r="AM671" s="140">
        <f t="shared" si="149"/>
        <v>0</v>
      </c>
      <c r="AN671" s="140">
        <f t="shared" si="150"/>
        <v>0</v>
      </c>
      <c r="AO671" s="140">
        <f t="shared" si="151"/>
        <v>0</v>
      </c>
      <c r="AP671" s="140">
        <f t="shared" si="152"/>
        <v>0</v>
      </c>
    </row>
    <row r="672" spans="2:42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AC672" s="131">
        <f t="shared" si="140"/>
        <v>0</v>
      </c>
      <c r="AD672" s="131">
        <f t="shared" si="141"/>
        <v>0</v>
      </c>
      <c r="AE672" s="131">
        <f t="shared" si="142"/>
        <v>0</v>
      </c>
      <c r="AF672" s="131">
        <f t="shared" si="143"/>
        <v>0</v>
      </c>
      <c r="AG672" s="140">
        <f t="shared" si="144"/>
        <v>0</v>
      </c>
      <c r="AH672" s="140">
        <f t="shared" si="145"/>
        <v>0</v>
      </c>
      <c r="AI672" s="140">
        <f t="shared" si="146"/>
        <v>0</v>
      </c>
      <c r="AJ672" s="131">
        <f t="shared" si="147"/>
        <v>0</v>
      </c>
      <c r="AK672" s="131">
        <f t="shared" si="148"/>
        <v>0</v>
      </c>
      <c r="AL672" s="127">
        <f t="shared" si="153"/>
        <v>0</v>
      </c>
      <c r="AM672" s="140">
        <f t="shared" si="149"/>
        <v>0</v>
      </c>
      <c r="AN672" s="140">
        <f t="shared" si="150"/>
        <v>0</v>
      </c>
      <c r="AO672" s="140">
        <f t="shared" si="151"/>
        <v>0</v>
      </c>
      <c r="AP672" s="140">
        <f t="shared" si="152"/>
        <v>0</v>
      </c>
    </row>
    <row r="673" spans="2:42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AC673" s="131">
        <f t="shared" si="140"/>
        <v>0</v>
      </c>
      <c r="AD673" s="131">
        <f t="shared" si="141"/>
        <v>0</v>
      </c>
      <c r="AE673" s="131">
        <f t="shared" si="142"/>
        <v>0</v>
      </c>
      <c r="AF673" s="131">
        <f t="shared" si="143"/>
        <v>0</v>
      </c>
      <c r="AG673" s="140">
        <f t="shared" si="144"/>
        <v>0</v>
      </c>
      <c r="AH673" s="140">
        <f t="shared" si="145"/>
        <v>0</v>
      </c>
      <c r="AI673" s="140">
        <f t="shared" si="146"/>
        <v>0</v>
      </c>
      <c r="AJ673" s="131">
        <f t="shared" si="147"/>
        <v>0</v>
      </c>
      <c r="AK673" s="131">
        <f t="shared" si="148"/>
        <v>0</v>
      </c>
      <c r="AL673" s="127">
        <f t="shared" si="153"/>
        <v>0</v>
      </c>
      <c r="AM673" s="140">
        <f t="shared" si="149"/>
        <v>0</v>
      </c>
      <c r="AN673" s="140">
        <f t="shared" si="150"/>
        <v>0</v>
      </c>
      <c r="AO673" s="140">
        <f t="shared" si="151"/>
        <v>0</v>
      </c>
      <c r="AP673" s="140">
        <f t="shared" si="152"/>
        <v>0</v>
      </c>
    </row>
    <row r="674" spans="2:42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AC674" s="131">
        <f t="shared" si="140"/>
        <v>0</v>
      </c>
      <c r="AD674" s="131">
        <f t="shared" si="141"/>
        <v>0</v>
      </c>
      <c r="AE674" s="131">
        <f t="shared" si="142"/>
        <v>0</v>
      </c>
      <c r="AF674" s="131">
        <f t="shared" si="143"/>
        <v>0</v>
      </c>
      <c r="AG674" s="140">
        <f t="shared" si="144"/>
        <v>0</v>
      </c>
      <c r="AH674" s="140">
        <f t="shared" si="145"/>
        <v>0</v>
      </c>
      <c r="AI674" s="140">
        <f t="shared" si="146"/>
        <v>0</v>
      </c>
      <c r="AJ674" s="131">
        <f t="shared" si="147"/>
        <v>0</v>
      </c>
      <c r="AK674" s="131">
        <f t="shared" si="148"/>
        <v>0</v>
      </c>
      <c r="AL674" s="127">
        <f t="shared" si="153"/>
        <v>0</v>
      </c>
      <c r="AM674" s="140">
        <f t="shared" si="149"/>
        <v>0</v>
      </c>
      <c r="AN674" s="140">
        <f t="shared" si="150"/>
        <v>0</v>
      </c>
      <c r="AO674" s="140">
        <f t="shared" si="151"/>
        <v>0</v>
      </c>
      <c r="AP674" s="140">
        <f t="shared" si="152"/>
        <v>0</v>
      </c>
    </row>
    <row r="675" spans="2:42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AC675" s="131">
        <f t="shared" si="140"/>
        <v>0</v>
      </c>
      <c r="AD675" s="131">
        <f t="shared" si="141"/>
        <v>0</v>
      </c>
      <c r="AE675" s="131">
        <f t="shared" si="142"/>
        <v>0</v>
      </c>
      <c r="AF675" s="131">
        <f t="shared" si="143"/>
        <v>0</v>
      </c>
      <c r="AG675" s="140">
        <f t="shared" si="144"/>
        <v>0</v>
      </c>
      <c r="AH675" s="140">
        <f t="shared" si="145"/>
        <v>0</v>
      </c>
      <c r="AI675" s="140">
        <f t="shared" si="146"/>
        <v>0</v>
      </c>
      <c r="AJ675" s="131">
        <f t="shared" si="147"/>
        <v>0</v>
      </c>
      <c r="AK675" s="131">
        <f t="shared" si="148"/>
        <v>0</v>
      </c>
      <c r="AL675" s="127">
        <f t="shared" si="153"/>
        <v>0</v>
      </c>
      <c r="AM675" s="140">
        <f t="shared" si="149"/>
        <v>0</v>
      </c>
      <c r="AN675" s="140">
        <f t="shared" si="150"/>
        <v>0</v>
      </c>
      <c r="AO675" s="140">
        <f t="shared" si="151"/>
        <v>0</v>
      </c>
      <c r="AP675" s="140">
        <f t="shared" si="152"/>
        <v>0</v>
      </c>
    </row>
    <row r="676" spans="2:42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AC676" s="131">
        <f t="shared" si="140"/>
        <v>0</v>
      </c>
      <c r="AD676" s="131">
        <f t="shared" si="141"/>
        <v>0</v>
      </c>
      <c r="AE676" s="131">
        <f t="shared" si="142"/>
        <v>0</v>
      </c>
      <c r="AF676" s="131">
        <f t="shared" si="143"/>
        <v>0</v>
      </c>
      <c r="AG676" s="140">
        <f t="shared" si="144"/>
        <v>0</v>
      </c>
      <c r="AH676" s="140">
        <f t="shared" si="145"/>
        <v>0</v>
      </c>
      <c r="AI676" s="140">
        <f t="shared" si="146"/>
        <v>0</v>
      </c>
      <c r="AJ676" s="131">
        <f t="shared" si="147"/>
        <v>0</v>
      </c>
      <c r="AK676" s="131">
        <f t="shared" si="148"/>
        <v>0</v>
      </c>
      <c r="AL676" s="127">
        <f t="shared" si="153"/>
        <v>0</v>
      </c>
      <c r="AM676" s="140">
        <f t="shared" si="149"/>
        <v>0</v>
      </c>
      <c r="AN676" s="140">
        <f t="shared" si="150"/>
        <v>0</v>
      </c>
      <c r="AO676" s="140">
        <f t="shared" si="151"/>
        <v>0</v>
      </c>
      <c r="AP676" s="140">
        <f t="shared" si="152"/>
        <v>0</v>
      </c>
    </row>
    <row r="677" spans="2:42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AC677" s="131">
        <f t="shared" si="140"/>
        <v>0</v>
      </c>
      <c r="AD677" s="131">
        <f t="shared" si="141"/>
        <v>0</v>
      </c>
      <c r="AE677" s="131">
        <f t="shared" si="142"/>
        <v>0</v>
      </c>
      <c r="AF677" s="131">
        <f t="shared" si="143"/>
        <v>0</v>
      </c>
      <c r="AG677" s="140">
        <f t="shared" si="144"/>
        <v>0</v>
      </c>
      <c r="AH677" s="140">
        <f t="shared" si="145"/>
        <v>0</v>
      </c>
      <c r="AI677" s="140">
        <f t="shared" si="146"/>
        <v>0</v>
      </c>
      <c r="AJ677" s="131">
        <f t="shared" si="147"/>
        <v>0</v>
      </c>
      <c r="AK677" s="131">
        <f t="shared" si="148"/>
        <v>0</v>
      </c>
      <c r="AL677" s="127">
        <f t="shared" si="153"/>
        <v>0</v>
      </c>
      <c r="AM677" s="140">
        <f t="shared" si="149"/>
        <v>0</v>
      </c>
      <c r="AN677" s="140">
        <f t="shared" si="150"/>
        <v>0</v>
      </c>
      <c r="AO677" s="140">
        <f t="shared" si="151"/>
        <v>0</v>
      </c>
      <c r="AP677" s="140">
        <f t="shared" si="152"/>
        <v>0</v>
      </c>
    </row>
    <row r="678" spans="2:42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AC678" s="131">
        <f t="shared" si="140"/>
        <v>0</v>
      </c>
      <c r="AD678" s="131">
        <f t="shared" si="141"/>
        <v>0</v>
      </c>
      <c r="AE678" s="131">
        <f t="shared" si="142"/>
        <v>0</v>
      </c>
      <c r="AF678" s="131">
        <f t="shared" si="143"/>
        <v>0</v>
      </c>
      <c r="AG678" s="140">
        <f t="shared" si="144"/>
        <v>0</v>
      </c>
      <c r="AH678" s="140">
        <f t="shared" si="145"/>
        <v>0</v>
      </c>
      <c r="AI678" s="140">
        <f t="shared" si="146"/>
        <v>0</v>
      </c>
      <c r="AJ678" s="131">
        <f t="shared" si="147"/>
        <v>0</v>
      </c>
      <c r="AK678" s="131">
        <f t="shared" si="148"/>
        <v>0</v>
      </c>
      <c r="AL678" s="127">
        <f t="shared" si="153"/>
        <v>0</v>
      </c>
      <c r="AM678" s="140">
        <f t="shared" si="149"/>
        <v>0</v>
      </c>
      <c r="AN678" s="140">
        <f t="shared" si="150"/>
        <v>0</v>
      </c>
      <c r="AO678" s="140">
        <f t="shared" si="151"/>
        <v>0</v>
      </c>
      <c r="AP678" s="140">
        <f t="shared" si="152"/>
        <v>0</v>
      </c>
    </row>
    <row r="679" spans="2:42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AC679" s="131">
        <f t="shared" si="140"/>
        <v>0</v>
      </c>
      <c r="AD679" s="131">
        <f t="shared" si="141"/>
        <v>0</v>
      </c>
      <c r="AE679" s="131">
        <f t="shared" si="142"/>
        <v>0</v>
      </c>
      <c r="AF679" s="131">
        <f t="shared" si="143"/>
        <v>0</v>
      </c>
      <c r="AG679" s="140">
        <f t="shared" si="144"/>
        <v>0</v>
      </c>
      <c r="AH679" s="140">
        <f t="shared" si="145"/>
        <v>0</v>
      </c>
      <c r="AI679" s="140">
        <f t="shared" si="146"/>
        <v>0</v>
      </c>
      <c r="AJ679" s="131">
        <f t="shared" si="147"/>
        <v>0</v>
      </c>
      <c r="AK679" s="131">
        <f t="shared" si="148"/>
        <v>0</v>
      </c>
      <c r="AL679" s="127">
        <f t="shared" si="153"/>
        <v>0</v>
      </c>
      <c r="AM679" s="140">
        <f t="shared" si="149"/>
        <v>0</v>
      </c>
      <c r="AN679" s="140">
        <f t="shared" si="150"/>
        <v>0</v>
      </c>
      <c r="AO679" s="140">
        <f t="shared" si="151"/>
        <v>0</v>
      </c>
      <c r="AP679" s="140">
        <f t="shared" si="152"/>
        <v>0</v>
      </c>
    </row>
    <row r="680" spans="2:42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AC680" s="131">
        <f t="shared" si="140"/>
        <v>0</v>
      </c>
      <c r="AD680" s="131">
        <f t="shared" si="141"/>
        <v>0</v>
      </c>
      <c r="AE680" s="131">
        <f t="shared" si="142"/>
        <v>0</v>
      </c>
      <c r="AF680" s="131">
        <f t="shared" si="143"/>
        <v>0</v>
      </c>
      <c r="AG680" s="140">
        <f t="shared" si="144"/>
        <v>0</v>
      </c>
      <c r="AH680" s="140">
        <f t="shared" si="145"/>
        <v>0</v>
      </c>
      <c r="AI680" s="140">
        <f t="shared" si="146"/>
        <v>0</v>
      </c>
      <c r="AJ680" s="131">
        <f t="shared" si="147"/>
        <v>0</v>
      </c>
      <c r="AK680" s="131">
        <f t="shared" si="148"/>
        <v>0</v>
      </c>
      <c r="AL680" s="127">
        <f t="shared" si="153"/>
        <v>0</v>
      </c>
      <c r="AM680" s="140">
        <f t="shared" si="149"/>
        <v>0</v>
      </c>
      <c r="AN680" s="140">
        <f t="shared" si="150"/>
        <v>0</v>
      </c>
      <c r="AO680" s="140">
        <f t="shared" si="151"/>
        <v>0</v>
      </c>
      <c r="AP680" s="140">
        <f t="shared" si="152"/>
        <v>0</v>
      </c>
    </row>
    <row r="681" spans="2:42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AC681" s="131">
        <f t="shared" si="140"/>
        <v>0</v>
      </c>
      <c r="AD681" s="131">
        <f t="shared" si="141"/>
        <v>0</v>
      </c>
      <c r="AE681" s="131">
        <f t="shared" si="142"/>
        <v>0</v>
      </c>
      <c r="AF681" s="131">
        <f t="shared" si="143"/>
        <v>0</v>
      </c>
      <c r="AG681" s="140">
        <f t="shared" si="144"/>
        <v>0</v>
      </c>
      <c r="AH681" s="140">
        <f t="shared" si="145"/>
        <v>0</v>
      </c>
      <c r="AI681" s="140">
        <f t="shared" si="146"/>
        <v>0</v>
      </c>
      <c r="AJ681" s="131">
        <f t="shared" si="147"/>
        <v>0</v>
      </c>
      <c r="AK681" s="131">
        <f t="shared" si="148"/>
        <v>0</v>
      </c>
      <c r="AL681" s="127">
        <f t="shared" si="153"/>
        <v>0</v>
      </c>
      <c r="AM681" s="140">
        <f t="shared" si="149"/>
        <v>0</v>
      </c>
      <c r="AN681" s="140">
        <f t="shared" si="150"/>
        <v>0</v>
      </c>
      <c r="AO681" s="140">
        <f t="shared" si="151"/>
        <v>0</v>
      </c>
      <c r="AP681" s="140">
        <f t="shared" si="152"/>
        <v>0</v>
      </c>
    </row>
    <row r="682" spans="2:42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AC682" s="131">
        <f t="shared" si="140"/>
        <v>0</v>
      </c>
      <c r="AD682" s="131">
        <f t="shared" si="141"/>
        <v>0</v>
      </c>
      <c r="AE682" s="131">
        <f t="shared" si="142"/>
        <v>0</v>
      </c>
      <c r="AF682" s="131">
        <f t="shared" si="143"/>
        <v>0</v>
      </c>
      <c r="AG682" s="140">
        <f t="shared" si="144"/>
        <v>0</v>
      </c>
      <c r="AH682" s="140">
        <f t="shared" si="145"/>
        <v>0</v>
      </c>
      <c r="AI682" s="140">
        <f t="shared" si="146"/>
        <v>0</v>
      </c>
      <c r="AJ682" s="131">
        <f t="shared" si="147"/>
        <v>0</v>
      </c>
      <c r="AK682" s="131">
        <f t="shared" si="148"/>
        <v>0</v>
      </c>
      <c r="AL682" s="127">
        <f t="shared" si="153"/>
        <v>0</v>
      </c>
      <c r="AM682" s="140">
        <f t="shared" si="149"/>
        <v>0</v>
      </c>
      <c r="AN682" s="140">
        <f t="shared" si="150"/>
        <v>0</v>
      </c>
      <c r="AO682" s="140">
        <f t="shared" si="151"/>
        <v>0</v>
      </c>
      <c r="AP682" s="140">
        <f t="shared" si="152"/>
        <v>0</v>
      </c>
    </row>
    <row r="683" spans="2:42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AC683" s="131">
        <f t="shared" si="140"/>
        <v>0</v>
      </c>
      <c r="AD683" s="131">
        <f t="shared" si="141"/>
        <v>0</v>
      </c>
      <c r="AE683" s="131">
        <f t="shared" si="142"/>
        <v>0</v>
      </c>
      <c r="AF683" s="131">
        <f t="shared" si="143"/>
        <v>0</v>
      </c>
      <c r="AG683" s="140">
        <f t="shared" si="144"/>
        <v>0</v>
      </c>
      <c r="AH683" s="140">
        <f t="shared" si="145"/>
        <v>0</v>
      </c>
      <c r="AI683" s="140">
        <f t="shared" si="146"/>
        <v>0</v>
      </c>
      <c r="AJ683" s="131">
        <f t="shared" si="147"/>
        <v>0</v>
      </c>
      <c r="AK683" s="131">
        <f t="shared" si="148"/>
        <v>0</v>
      </c>
      <c r="AL683" s="127">
        <f t="shared" si="153"/>
        <v>0</v>
      </c>
      <c r="AM683" s="140">
        <f t="shared" si="149"/>
        <v>0</v>
      </c>
      <c r="AN683" s="140">
        <f t="shared" si="150"/>
        <v>0</v>
      </c>
      <c r="AO683" s="140">
        <f t="shared" si="151"/>
        <v>0</v>
      </c>
      <c r="AP683" s="140">
        <f t="shared" si="152"/>
        <v>0</v>
      </c>
    </row>
    <row r="684" spans="2:42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AC684" s="131">
        <f t="shared" si="140"/>
        <v>0</v>
      </c>
      <c r="AD684" s="131">
        <f t="shared" si="141"/>
        <v>0</v>
      </c>
      <c r="AE684" s="131">
        <f t="shared" si="142"/>
        <v>0</v>
      </c>
      <c r="AF684" s="131">
        <f t="shared" si="143"/>
        <v>0</v>
      </c>
      <c r="AG684" s="140">
        <f t="shared" si="144"/>
        <v>0</v>
      </c>
      <c r="AH684" s="140">
        <f t="shared" si="145"/>
        <v>0</v>
      </c>
      <c r="AI684" s="140">
        <f t="shared" si="146"/>
        <v>0</v>
      </c>
      <c r="AJ684" s="131">
        <f t="shared" si="147"/>
        <v>0</v>
      </c>
      <c r="AK684" s="131">
        <f t="shared" si="148"/>
        <v>0</v>
      </c>
      <c r="AL684" s="127">
        <f t="shared" si="153"/>
        <v>0</v>
      </c>
      <c r="AM684" s="140">
        <f t="shared" si="149"/>
        <v>0</v>
      </c>
      <c r="AN684" s="140">
        <f t="shared" si="150"/>
        <v>0</v>
      </c>
      <c r="AO684" s="140">
        <f t="shared" si="151"/>
        <v>0</v>
      </c>
      <c r="AP684" s="140">
        <f t="shared" si="152"/>
        <v>0</v>
      </c>
    </row>
    <row r="685" spans="2:42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AC685" s="131">
        <f t="shared" si="140"/>
        <v>0</v>
      </c>
      <c r="AD685" s="131">
        <f t="shared" si="141"/>
        <v>0</v>
      </c>
      <c r="AE685" s="131">
        <f t="shared" si="142"/>
        <v>0</v>
      </c>
      <c r="AF685" s="131">
        <f t="shared" si="143"/>
        <v>0</v>
      </c>
      <c r="AG685" s="140">
        <f t="shared" si="144"/>
        <v>0</v>
      </c>
      <c r="AH685" s="140">
        <f t="shared" si="145"/>
        <v>0</v>
      </c>
      <c r="AI685" s="140">
        <f t="shared" si="146"/>
        <v>0</v>
      </c>
      <c r="AJ685" s="131">
        <f t="shared" si="147"/>
        <v>0</v>
      </c>
      <c r="AK685" s="131">
        <f t="shared" si="148"/>
        <v>0</v>
      </c>
      <c r="AL685" s="127">
        <f t="shared" si="153"/>
        <v>0</v>
      </c>
      <c r="AM685" s="140">
        <f t="shared" si="149"/>
        <v>0</v>
      </c>
      <c r="AN685" s="140">
        <f t="shared" si="150"/>
        <v>0</v>
      </c>
      <c r="AO685" s="140">
        <f t="shared" si="151"/>
        <v>0</v>
      </c>
      <c r="AP685" s="140">
        <f t="shared" si="152"/>
        <v>0</v>
      </c>
    </row>
    <row r="686" spans="2:42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AC686" s="131">
        <f t="shared" si="140"/>
        <v>0</v>
      </c>
      <c r="AD686" s="131">
        <f t="shared" si="141"/>
        <v>0</v>
      </c>
      <c r="AE686" s="131">
        <f t="shared" si="142"/>
        <v>0</v>
      </c>
      <c r="AF686" s="131">
        <f t="shared" si="143"/>
        <v>0</v>
      </c>
      <c r="AG686" s="140">
        <f t="shared" si="144"/>
        <v>0</v>
      </c>
      <c r="AH686" s="140">
        <f t="shared" si="145"/>
        <v>0</v>
      </c>
      <c r="AI686" s="140">
        <f t="shared" si="146"/>
        <v>0</v>
      </c>
      <c r="AJ686" s="131">
        <f t="shared" si="147"/>
        <v>0</v>
      </c>
      <c r="AK686" s="131">
        <f t="shared" si="148"/>
        <v>0</v>
      </c>
      <c r="AL686" s="127">
        <f t="shared" si="153"/>
        <v>0</v>
      </c>
      <c r="AM686" s="140">
        <f t="shared" si="149"/>
        <v>0</v>
      </c>
      <c r="AN686" s="140">
        <f t="shared" si="150"/>
        <v>0</v>
      </c>
      <c r="AO686" s="140">
        <f t="shared" si="151"/>
        <v>0</v>
      </c>
      <c r="AP686" s="140">
        <f t="shared" si="152"/>
        <v>0</v>
      </c>
    </row>
    <row r="687" spans="2:42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AC687" s="131">
        <f t="shared" si="140"/>
        <v>0</v>
      </c>
      <c r="AD687" s="131">
        <f t="shared" si="141"/>
        <v>0</v>
      </c>
      <c r="AE687" s="131">
        <f t="shared" si="142"/>
        <v>0</v>
      </c>
      <c r="AF687" s="131">
        <f t="shared" si="143"/>
        <v>0</v>
      </c>
      <c r="AG687" s="140">
        <f t="shared" si="144"/>
        <v>0</v>
      </c>
      <c r="AH687" s="140">
        <f t="shared" si="145"/>
        <v>0</v>
      </c>
      <c r="AI687" s="140">
        <f t="shared" si="146"/>
        <v>0</v>
      </c>
      <c r="AJ687" s="131">
        <f t="shared" si="147"/>
        <v>0</v>
      </c>
      <c r="AK687" s="131">
        <f t="shared" si="148"/>
        <v>0</v>
      </c>
      <c r="AL687" s="127">
        <f t="shared" si="153"/>
        <v>0</v>
      </c>
      <c r="AM687" s="140">
        <f t="shared" si="149"/>
        <v>0</v>
      </c>
      <c r="AN687" s="140">
        <f t="shared" si="150"/>
        <v>0</v>
      </c>
      <c r="AO687" s="140">
        <f t="shared" si="151"/>
        <v>0</v>
      </c>
      <c r="AP687" s="140">
        <f t="shared" si="152"/>
        <v>0</v>
      </c>
    </row>
    <row r="688" spans="2:42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AC688" s="131">
        <f t="shared" si="140"/>
        <v>0</v>
      </c>
      <c r="AD688" s="131">
        <f t="shared" si="141"/>
        <v>0</v>
      </c>
      <c r="AE688" s="131">
        <f t="shared" si="142"/>
        <v>0</v>
      </c>
      <c r="AF688" s="131">
        <f t="shared" si="143"/>
        <v>0</v>
      </c>
      <c r="AG688" s="140">
        <f t="shared" si="144"/>
        <v>0</v>
      </c>
      <c r="AH688" s="140">
        <f t="shared" si="145"/>
        <v>0</v>
      </c>
      <c r="AI688" s="140">
        <f t="shared" si="146"/>
        <v>0</v>
      </c>
      <c r="AJ688" s="131">
        <f t="shared" si="147"/>
        <v>0</v>
      </c>
      <c r="AK688" s="131">
        <f t="shared" si="148"/>
        <v>0</v>
      </c>
      <c r="AL688" s="127">
        <f t="shared" si="153"/>
        <v>0</v>
      </c>
      <c r="AM688" s="140">
        <f t="shared" si="149"/>
        <v>0</v>
      </c>
      <c r="AN688" s="140">
        <f t="shared" si="150"/>
        <v>0</v>
      </c>
      <c r="AO688" s="140">
        <f t="shared" si="151"/>
        <v>0</v>
      </c>
      <c r="AP688" s="140">
        <f t="shared" si="152"/>
        <v>0</v>
      </c>
    </row>
    <row r="689" spans="2:42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AC689" s="131">
        <f t="shared" si="140"/>
        <v>0</v>
      </c>
      <c r="AD689" s="131">
        <f t="shared" si="141"/>
        <v>0</v>
      </c>
      <c r="AE689" s="131">
        <f t="shared" si="142"/>
        <v>0</v>
      </c>
      <c r="AF689" s="131">
        <f t="shared" si="143"/>
        <v>0</v>
      </c>
      <c r="AG689" s="140">
        <f t="shared" si="144"/>
        <v>0</v>
      </c>
      <c r="AH689" s="140">
        <f t="shared" si="145"/>
        <v>0</v>
      </c>
      <c r="AI689" s="140">
        <f t="shared" si="146"/>
        <v>0</v>
      </c>
      <c r="AJ689" s="131">
        <f t="shared" si="147"/>
        <v>0</v>
      </c>
      <c r="AK689" s="131">
        <f t="shared" si="148"/>
        <v>0</v>
      </c>
      <c r="AL689" s="127">
        <f t="shared" si="153"/>
        <v>0</v>
      </c>
      <c r="AM689" s="140">
        <f t="shared" si="149"/>
        <v>0</v>
      </c>
      <c r="AN689" s="140">
        <f t="shared" si="150"/>
        <v>0</v>
      </c>
      <c r="AO689" s="140">
        <f t="shared" si="151"/>
        <v>0</v>
      </c>
      <c r="AP689" s="140">
        <f t="shared" si="152"/>
        <v>0</v>
      </c>
    </row>
    <row r="690" spans="2:42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AC690" s="131">
        <f t="shared" si="140"/>
        <v>0</v>
      </c>
      <c r="AD690" s="131">
        <f t="shared" si="141"/>
        <v>0</v>
      </c>
      <c r="AE690" s="131">
        <f t="shared" si="142"/>
        <v>0</v>
      </c>
      <c r="AF690" s="131">
        <f t="shared" si="143"/>
        <v>0</v>
      </c>
      <c r="AG690" s="140">
        <f t="shared" si="144"/>
        <v>0</v>
      </c>
      <c r="AH690" s="140">
        <f t="shared" si="145"/>
        <v>0</v>
      </c>
      <c r="AI690" s="140">
        <f t="shared" si="146"/>
        <v>0</v>
      </c>
      <c r="AJ690" s="131">
        <f t="shared" si="147"/>
        <v>0</v>
      </c>
      <c r="AK690" s="131">
        <f t="shared" si="148"/>
        <v>0</v>
      </c>
      <c r="AL690" s="127">
        <f t="shared" si="153"/>
        <v>0</v>
      </c>
      <c r="AM690" s="140">
        <f t="shared" si="149"/>
        <v>0</v>
      </c>
      <c r="AN690" s="140">
        <f t="shared" si="150"/>
        <v>0</v>
      </c>
      <c r="AO690" s="140">
        <f t="shared" si="151"/>
        <v>0</v>
      </c>
      <c r="AP690" s="140">
        <f t="shared" si="152"/>
        <v>0</v>
      </c>
    </row>
    <row r="691" spans="2:42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AC691" s="131">
        <f t="shared" si="140"/>
        <v>0</v>
      </c>
      <c r="AD691" s="131">
        <f t="shared" si="141"/>
        <v>0</v>
      </c>
      <c r="AE691" s="131">
        <f t="shared" si="142"/>
        <v>0</v>
      </c>
      <c r="AF691" s="131">
        <f t="shared" si="143"/>
        <v>0</v>
      </c>
      <c r="AG691" s="140">
        <f t="shared" si="144"/>
        <v>0</v>
      </c>
      <c r="AH691" s="140">
        <f t="shared" si="145"/>
        <v>0</v>
      </c>
      <c r="AI691" s="140">
        <f t="shared" si="146"/>
        <v>0</v>
      </c>
      <c r="AJ691" s="131">
        <f t="shared" si="147"/>
        <v>0</v>
      </c>
      <c r="AK691" s="131">
        <f t="shared" si="148"/>
        <v>0</v>
      </c>
      <c r="AL691" s="127">
        <f t="shared" si="153"/>
        <v>0</v>
      </c>
      <c r="AM691" s="140">
        <f t="shared" si="149"/>
        <v>0</v>
      </c>
      <c r="AN691" s="140">
        <f t="shared" si="150"/>
        <v>0</v>
      </c>
      <c r="AO691" s="140">
        <f t="shared" si="151"/>
        <v>0</v>
      </c>
      <c r="AP691" s="140">
        <f t="shared" si="152"/>
        <v>0</v>
      </c>
    </row>
    <row r="692" spans="2:42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AC692" s="131">
        <f t="shared" si="140"/>
        <v>0</v>
      </c>
      <c r="AD692" s="131">
        <f t="shared" si="141"/>
        <v>0</v>
      </c>
      <c r="AE692" s="131">
        <f t="shared" si="142"/>
        <v>0</v>
      </c>
      <c r="AF692" s="131">
        <f t="shared" si="143"/>
        <v>0</v>
      </c>
      <c r="AG692" s="140">
        <f t="shared" si="144"/>
        <v>0</v>
      </c>
      <c r="AH692" s="140">
        <f t="shared" si="145"/>
        <v>0</v>
      </c>
      <c r="AI692" s="140">
        <f t="shared" si="146"/>
        <v>0</v>
      </c>
      <c r="AJ692" s="131">
        <f t="shared" si="147"/>
        <v>0</v>
      </c>
      <c r="AK692" s="131">
        <f t="shared" si="148"/>
        <v>0</v>
      </c>
      <c r="AL692" s="127">
        <f t="shared" si="153"/>
        <v>0</v>
      </c>
      <c r="AM692" s="140">
        <f t="shared" si="149"/>
        <v>0</v>
      </c>
      <c r="AN692" s="140">
        <f t="shared" si="150"/>
        <v>0</v>
      </c>
      <c r="AO692" s="140">
        <f t="shared" si="151"/>
        <v>0</v>
      </c>
      <c r="AP692" s="140">
        <f t="shared" si="152"/>
        <v>0</v>
      </c>
    </row>
    <row r="693" spans="2:42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AC693" s="131">
        <f t="shared" si="140"/>
        <v>0</v>
      </c>
      <c r="AD693" s="131">
        <f t="shared" si="141"/>
        <v>0</v>
      </c>
      <c r="AE693" s="131">
        <f t="shared" si="142"/>
        <v>0</v>
      </c>
      <c r="AF693" s="131">
        <f t="shared" si="143"/>
        <v>0</v>
      </c>
      <c r="AG693" s="140">
        <f t="shared" si="144"/>
        <v>0</v>
      </c>
      <c r="AH693" s="140">
        <f t="shared" si="145"/>
        <v>0</v>
      </c>
      <c r="AI693" s="140">
        <f t="shared" si="146"/>
        <v>0</v>
      </c>
      <c r="AJ693" s="131">
        <f t="shared" si="147"/>
        <v>0</v>
      </c>
      <c r="AK693" s="131">
        <f t="shared" si="148"/>
        <v>0</v>
      </c>
      <c r="AL693" s="127">
        <f t="shared" si="153"/>
        <v>0</v>
      </c>
      <c r="AM693" s="140">
        <f t="shared" si="149"/>
        <v>0</v>
      </c>
      <c r="AN693" s="140">
        <f t="shared" si="150"/>
        <v>0</v>
      </c>
      <c r="AO693" s="140">
        <f t="shared" si="151"/>
        <v>0</v>
      </c>
      <c r="AP693" s="140">
        <f t="shared" si="152"/>
        <v>0</v>
      </c>
    </row>
    <row r="694" spans="2:42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AC694" s="131">
        <f t="shared" si="140"/>
        <v>0</v>
      </c>
      <c r="AD694" s="131">
        <f t="shared" si="141"/>
        <v>0</v>
      </c>
      <c r="AE694" s="131">
        <f t="shared" si="142"/>
        <v>0</v>
      </c>
      <c r="AF694" s="131">
        <f t="shared" si="143"/>
        <v>0</v>
      </c>
      <c r="AG694" s="140">
        <f t="shared" si="144"/>
        <v>0</v>
      </c>
      <c r="AH694" s="140">
        <f t="shared" si="145"/>
        <v>0</v>
      </c>
      <c r="AI694" s="140">
        <f t="shared" si="146"/>
        <v>0</v>
      </c>
      <c r="AJ694" s="131">
        <f t="shared" si="147"/>
        <v>0</v>
      </c>
      <c r="AK694" s="131">
        <f t="shared" si="148"/>
        <v>0</v>
      </c>
      <c r="AL694" s="127">
        <f t="shared" si="153"/>
        <v>0</v>
      </c>
      <c r="AM694" s="140">
        <f t="shared" si="149"/>
        <v>0</v>
      </c>
      <c r="AN694" s="140">
        <f t="shared" si="150"/>
        <v>0</v>
      </c>
      <c r="AO694" s="140">
        <f t="shared" si="151"/>
        <v>0</v>
      </c>
      <c r="AP694" s="140">
        <f t="shared" si="152"/>
        <v>0</v>
      </c>
    </row>
    <row r="695" spans="2:42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AC695" s="131">
        <f t="shared" si="140"/>
        <v>0</v>
      </c>
      <c r="AD695" s="131">
        <f t="shared" si="141"/>
        <v>0</v>
      </c>
      <c r="AE695" s="131">
        <f t="shared" si="142"/>
        <v>0</v>
      </c>
      <c r="AF695" s="131">
        <f t="shared" si="143"/>
        <v>0</v>
      </c>
      <c r="AG695" s="140">
        <f t="shared" si="144"/>
        <v>0</v>
      </c>
      <c r="AH695" s="140">
        <f t="shared" si="145"/>
        <v>0</v>
      </c>
      <c r="AI695" s="140">
        <f t="shared" si="146"/>
        <v>0</v>
      </c>
      <c r="AJ695" s="131">
        <f t="shared" si="147"/>
        <v>0</v>
      </c>
      <c r="AK695" s="131">
        <f t="shared" si="148"/>
        <v>0</v>
      </c>
      <c r="AL695" s="127">
        <f t="shared" si="153"/>
        <v>0</v>
      </c>
      <c r="AM695" s="140">
        <f t="shared" si="149"/>
        <v>0</v>
      </c>
      <c r="AN695" s="140">
        <f t="shared" si="150"/>
        <v>0</v>
      </c>
      <c r="AO695" s="140">
        <f t="shared" si="151"/>
        <v>0</v>
      </c>
      <c r="AP695" s="140">
        <f t="shared" si="152"/>
        <v>0</v>
      </c>
    </row>
    <row r="696" spans="2:42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AC696" s="131">
        <f t="shared" si="140"/>
        <v>0</v>
      </c>
      <c r="AD696" s="131">
        <f t="shared" si="141"/>
        <v>0</v>
      </c>
      <c r="AE696" s="131">
        <f t="shared" si="142"/>
        <v>0</v>
      </c>
      <c r="AF696" s="131">
        <f t="shared" si="143"/>
        <v>0</v>
      </c>
      <c r="AG696" s="140">
        <f t="shared" si="144"/>
        <v>0</v>
      </c>
      <c r="AH696" s="140">
        <f t="shared" si="145"/>
        <v>0</v>
      </c>
      <c r="AI696" s="140">
        <f t="shared" si="146"/>
        <v>0</v>
      </c>
      <c r="AJ696" s="131">
        <f t="shared" si="147"/>
        <v>0</v>
      </c>
      <c r="AK696" s="131">
        <f t="shared" si="148"/>
        <v>0</v>
      </c>
      <c r="AL696" s="127">
        <f t="shared" si="153"/>
        <v>0</v>
      </c>
      <c r="AM696" s="140">
        <f t="shared" si="149"/>
        <v>0</v>
      </c>
      <c r="AN696" s="140">
        <f t="shared" si="150"/>
        <v>0</v>
      </c>
      <c r="AO696" s="140">
        <f t="shared" si="151"/>
        <v>0</v>
      </c>
      <c r="AP696" s="140">
        <f t="shared" si="152"/>
        <v>0</v>
      </c>
    </row>
    <row r="697" spans="2:42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AC697" s="131">
        <f t="shared" si="140"/>
        <v>0</v>
      </c>
      <c r="AD697" s="131">
        <f t="shared" si="141"/>
        <v>0</v>
      </c>
      <c r="AE697" s="131">
        <f t="shared" si="142"/>
        <v>0</v>
      </c>
      <c r="AF697" s="131">
        <f t="shared" si="143"/>
        <v>0</v>
      </c>
      <c r="AG697" s="140">
        <f t="shared" si="144"/>
        <v>0</v>
      </c>
      <c r="AH697" s="140">
        <f t="shared" si="145"/>
        <v>0</v>
      </c>
      <c r="AI697" s="140">
        <f t="shared" si="146"/>
        <v>0</v>
      </c>
      <c r="AJ697" s="131">
        <f t="shared" si="147"/>
        <v>0</v>
      </c>
      <c r="AK697" s="131">
        <f t="shared" si="148"/>
        <v>0</v>
      </c>
      <c r="AL697" s="127">
        <f t="shared" si="153"/>
        <v>0</v>
      </c>
      <c r="AM697" s="140">
        <f t="shared" si="149"/>
        <v>0</v>
      </c>
      <c r="AN697" s="140">
        <f t="shared" si="150"/>
        <v>0</v>
      </c>
      <c r="AO697" s="140">
        <f t="shared" si="151"/>
        <v>0</v>
      </c>
      <c r="AP697" s="140">
        <f t="shared" si="152"/>
        <v>0</v>
      </c>
    </row>
    <row r="698" spans="2:42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AC698" s="131">
        <f t="shared" si="140"/>
        <v>0</v>
      </c>
      <c r="AD698" s="131">
        <f t="shared" si="141"/>
        <v>0</v>
      </c>
      <c r="AE698" s="131">
        <f t="shared" si="142"/>
        <v>0</v>
      </c>
      <c r="AF698" s="131">
        <f t="shared" si="143"/>
        <v>0</v>
      </c>
      <c r="AG698" s="140">
        <f t="shared" si="144"/>
        <v>0</v>
      </c>
      <c r="AH698" s="140">
        <f t="shared" si="145"/>
        <v>0</v>
      </c>
      <c r="AI698" s="140">
        <f t="shared" si="146"/>
        <v>0</v>
      </c>
      <c r="AJ698" s="131">
        <f t="shared" si="147"/>
        <v>0</v>
      </c>
      <c r="AK698" s="131">
        <f t="shared" si="148"/>
        <v>0</v>
      </c>
      <c r="AL698" s="127">
        <f t="shared" si="153"/>
        <v>0</v>
      </c>
      <c r="AM698" s="140">
        <f t="shared" si="149"/>
        <v>0</v>
      </c>
      <c r="AN698" s="140">
        <f t="shared" si="150"/>
        <v>0</v>
      </c>
      <c r="AO698" s="140">
        <f t="shared" si="151"/>
        <v>0</v>
      </c>
      <c r="AP698" s="140">
        <f t="shared" si="152"/>
        <v>0</v>
      </c>
    </row>
    <row r="699" spans="2:42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AC699" s="131">
        <f t="shared" ref="AC699:AC762" si="154">+H699</f>
        <v>0</v>
      </c>
      <c r="AD699" s="131">
        <f t="shared" ref="AD699:AD762" si="155">+I699</f>
        <v>0</v>
      </c>
      <c r="AE699" s="131">
        <f t="shared" ref="AE699:AE762" si="156">+J699</f>
        <v>0</v>
      </c>
      <c r="AF699" s="131">
        <f t="shared" ref="AF699:AF762" si="157">+K699</f>
        <v>0</v>
      </c>
      <c r="AG699" s="140">
        <f t="shared" ref="AG699:AG762" si="158">+G699</f>
        <v>0</v>
      </c>
      <c r="AH699" s="140">
        <f t="shared" ref="AH699:AH762" si="159">+L699</f>
        <v>0</v>
      </c>
      <c r="AI699" s="140">
        <f t="shared" ref="AI699:AI762" si="160">+M699</f>
        <v>0</v>
      </c>
      <c r="AJ699" s="131">
        <f t="shared" ref="AJ699:AJ762" si="161">+T699</f>
        <v>0</v>
      </c>
      <c r="AK699" s="131">
        <f t="shared" ref="AK699:AK762" si="162">+N699+O699</f>
        <v>0</v>
      </c>
      <c r="AL699" s="127">
        <f t="shared" si="153"/>
        <v>0</v>
      </c>
      <c r="AM699" s="140">
        <f t="shared" ref="AM699:AM762" si="163">+P699+R699</f>
        <v>0</v>
      </c>
      <c r="AN699" s="140">
        <f t="shared" ref="AN699:AN762" si="164">+Q699+S699</f>
        <v>0</v>
      </c>
      <c r="AO699" s="140">
        <f t="shared" ref="AO699:AO762" si="165">+U699</f>
        <v>0</v>
      </c>
      <c r="AP699" s="140">
        <f t="shared" ref="AP699:AP762" si="166">+AG699+AH699+AJ699-AK699-AM699-AO699</f>
        <v>0</v>
      </c>
    </row>
    <row r="700" spans="2:42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AC700" s="131">
        <f t="shared" si="154"/>
        <v>0</v>
      </c>
      <c r="AD700" s="131">
        <f t="shared" si="155"/>
        <v>0</v>
      </c>
      <c r="AE700" s="131">
        <f t="shared" si="156"/>
        <v>0</v>
      </c>
      <c r="AF700" s="131">
        <f t="shared" si="157"/>
        <v>0</v>
      </c>
      <c r="AG700" s="140">
        <f t="shared" si="158"/>
        <v>0</v>
      </c>
      <c r="AH700" s="140">
        <f t="shared" si="159"/>
        <v>0</v>
      </c>
      <c r="AI700" s="140">
        <f t="shared" si="160"/>
        <v>0</v>
      </c>
      <c r="AJ700" s="131">
        <f t="shared" si="161"/>
        <v>0</v>
      </c>
      <c r="AK700" s="131">
        <f t="shared" si="162"/>
        <v>0</v>
      </c>
      <c r="AL700" s="127">
        <f t="shared" si="153"/>
        <v>0</v>
      </c>
      <c r="AM700" s="140">
        <f t="shared" si="163"/>
        <v>0</v>
      </c>
      <c r="AN700" s="140">
        <f t="shared" si="164"/>
        <v>0</v>
      </c>
      <c r="AO700" s="140">
        <f t="shared" si="165"/>
        <v>0</v>
      </c>
      <c r="AP700" s="140">
        <f t="shared" si="166"/>
        <v>0</v>
      </c>
    </row>
    <row r="701" spans="2:42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AC701" s="131">
        <f t="shared" si="154"/>
        <v>0</v>
      </c>
      <c r="AD701" s="131">
        <f t="shared" si="155"/>
        <v>0</v>
      </c>
      <c r="AE701" s="131">
        <f t="shared" si="156"/>
        <v>0</v>
      </c>
      <c r="AF701" s="131">
        <f t="shared" si="157"/>
        <v>0</v>
      </c>
      <c r="AG701" s="140">
        <f t="shared" si="158"/>
        <v>0</v>
      </c>
      <c r="AH701" s="140">
        <f t="shared" si="159"/>
        <v>0</v>
      </c>
      <c r="AI701" s="140">
        <f t="shared" si="160"/>
        <v>0</v>
      </c>
      <c r="AJ701" s="131">
        <f t="shared" si="161"/>
        <v>0</v>
      </c>
      <c r="AK701" s="131">
        <f t="shared" si="162"/>
        <v>0</v>
      </c>
      <c r="AL701" s="127">
        <f t="shared" si="153"/>
        <v>0</v>
      </c>
      <c r="AM701" s="140">
        <f t="shared" si="163"/>
        <v>0</v>
      </c>
      <c r="AN701" s="140">
        <f t="shared" si="164"/>
        <v>0</v>
      </c>
      <c r="AO701" s="140">
        <f t="shared" si="165"/>
        <v>0</v>
      </c>
      <c r="AP701" s="140">
        <f t="shared" si="166"/>
        <v>0</v>
      </c>
    </row>
    <row r="702" spans="2:42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AC702" s="131">
        <f t="shared" si="154"/>
        <v>0</v>
      </c>
      <c r="AD702" s="131">
        <f t="shared" si="155"/>
        <v>0</v>
      </c>
      <c r="AE702" s="131">
        <f t="shared" si="156"/>
        <v>0</v>
      </c>
      <c r="AF702" s="131">
        <f t="shared" si="157"/>
        <v>0</v>
      </c>
      <c r="AG702" s="140">
        <f t="shared" si="158"/>
        <v>0</v>
      </c>
      <c r="AH702" s="140">
        <f t="shared" si="159"/>
        <v>0</v>
      </c>
      <c r="AI702" s="140">
        <f t="shared" si="160"/>
        <v>0</v>
      </c>
      <c r="AJ702" s="131">
        <f t="shared" si="161"/>
        <v>0</v>
      </c>
      <c r="AK702" s="131">
        <f t="shared" si="162"/>
        <v>0</v>
      </c>
      <c r="AL702" s="127">
        <f t="shared" si="153"/>
        <v>0</v>
      </c>
      <c r="AM702" s="140">
        <f t="shared" si="163"/>
        <v>0</v>
      </c>
      <c r="AN702" s="140">
        <f t="shared" si="164"/>
        <v>0</v>
      </c>
      <c r="AO702" s="140">
        <f t="shared" si="165"/>
        <v>0</v>
      </c>
      <c r="AP702" s="140">
        <f t="shared" si="166"/>
        <v>0</v>
      </c>
    </row>
    <row r="703" spans="2:42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AC703" s="131">
        <f t="shared" si="154"/>
        <v>0</v>
      </c>
      <c r="AD703" s="131">
        <f t="shared" si="155"/>
        <v>0</v>
      </c>
      <c r="AE703" s="131">
        <f t="shared" si="156"/>
        <v>0</v>
      </c>
      <c r="AF703" s="131">
        <f t="shared" si="157"/>
        <v>0</v>
      </c>
      <c r="AG703" s="140">
        <f t="shared" si="158"/>
        <v>0</v>
      </c>
      <c r="AH703" s="140">
        <f t="shared" si="159"/>
        <v>0</v>
      </c>
      <c r="AI703" s="140">
        <f t="shared" si="160"/>
        <v>0</v>
      </c>
      <c r="AJ703" s="131">
        <f t="shared" si="161"/>
        <v>0</v>
      </c>
      <c r="AK703" s="131">
        <f t="shared" si="162"/>
        <v>0</v>
      </c>
      <c r="AL703" s="127">
        <f t="shared" si="153"/>
        <v>0</v>
      </c>
      <c r="AM703" s="140">
        <f t="shared" si="163"/>
        <v>0</v>
      </c>
      <c r="AN703" s="140">
        <f t="shared" si="164"/>
        <v>0</v>
      </c>
      <c r="AO703" s="140">
        <f t="shared" si="165"/>
        <v>0</v>
      </c>
      <c r="AP703" s="140">
        <f t="shared" si="166"/>
        <v>0</v>
      </c>
    </row>
    <row r="704" spans="2:42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AC704" s="131">
        <f t="shared" si="154"/>
        <v>0</v>
      </c>
      <c r="AD704" s="131">
        <f t="shared" si="155"/>
        <v>0</v>
      </c>
      <c r="AE704" s="131">
        <f t="shared" si="156"/>
        <v>0</v>
      </c>
      <c r="AF704" s="131">
        <f t="shared" si="157"/>
        <v>0</v>
      </c>
      <c r="AG704" s="140">
        <f t="shared" si="158"/>
        <v>0</v>
      </c>
      <c r="AH704" s="140">
        <f t="shared" si="159"/>
        <v>0</v>
      </c>
      <c r="AI704" s="140">
        <f t="shared" si="160"/>
        <v>0</v>
      </c>
      <c r="AJ704" s="131">
        <f t="shared" si="161"/>
        <v>0</v>
      </c>
      <c r="AK704" s="131">
        <f t="shared" si="162"/>
        <v>0</v>
      </c>
      <c r="AL704" s="127">
        <f t="shared" si="153"/>
        <v>0</v>
      </c>
      <c r="AM704" s="140">
        <f t="shared" si="163"/>
        <v>0</v>
      </c>
      <c r="AN704" s="140">
        <f t="shared" si="164"/>
        <v>0</v>
      </c>
      <c r="AO704" s="140">
        <f t="shared" si="165"/>
        <v>0</v>
      </c>
      <c r="AP704" s="140">
        <f t="shared" si="166"/>
        <v>0</v>
      </c>
    </row>
    <row r="705" spans="2:42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AC705" s="131">
        <f t="shared" si="154"/>
        <v>0</v>
      </c>
      <c r="AD705" s="131">
        <f t="shared" si="155"/>
        <v>0</v>
      </c>
      <c r="AE705" s="131">
        <f t="shared" si="156"/>
        <v>0</v>
      </c>
      <c r="AF705" s="131">
        <f t="shared" si="157"/>
        <v>0</v>
      </c>
      <c r="AG705" s="140">
        <f t="shared" si="158"/>
        <v>0</v>
      </c>
      <c r="AH705" s="140">
        <f t="shared" si="159"/>
        <v>0</v>
      </c>
      <c r="AI705" s="140">
        <f t="shared" si="160"/>
        <v>0</v>
      </c>
      <c r="AJ705" s="131">
        <f t="shared" si="161"/>
        <v>0</v>
      </c>
      <c r="AK705" s="131">
        <f t="shared" si="162"/>
        <v>0</v>
      </c>
      <c r="AL705" s="127">
        <f t="shared" si="153"/>
        <v>0</v>
      </c>
      <c r="AM705" s="140">
        <f t="shared" si="163"/>
        <v>0</v>
      </c>
      <c r="AN705" s="140">
        <f t="shared" si="164"/>
        <v>0</v>
      </c>
      <c r="AO705" s="140">
        <f t="shared" si="165"/>
        <v>0</v>
      </c>
      <c r="AP705" s="140">
        <f t="shared" si="166"/>
        <v>0</v>
      </c>
    </row>
    <row r="706" spans="2:42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AC706" s="131">
        <f t="shared" si="154"/>
        <v>0</v>
      </c>
      <c r="AD706" s="131">
        <f t="shared" si="155"/>
        <v>0</v>
      </c>
      <c r="AE706" s="131">
        <f t="shared" si="156"/>
        <v>0</v>
      </c>
      <c r="AF706" s="131">
        <f t="shared" si="157"/>
        <v>0</v>
      </c>
      <c r="AG706" s="140">
        <f t="shared" si="158"/>
        <v>0</v>
      </c>
      <c r="AH706" s="140">
        <f t="shared" si="159"/>
        <v>0</v>
      </c>
      <c r="AI706" s="140">
        <f t="shared" si="160"/>
        <v>0</v>
      </c>
      <c r="AJ706" s="131">
        <f t="shared" si="161"/>
        <v>0</v>
      </c>
      <c r="AK706" s="131">
        <f t="shared" si="162"/>
        <v>0</v>
      </c>
      <c r="AL706" s="127">
        <f t="shared" si="153"/>
        <v>0</v>
      </c>
      <c r="AM706" s="140">
        <f t="shared" si="163"/>
        <v>0</v>
      </c>
      <c r="AN706" s="140">
        <f t="shared" si="164"/>
        <v>0</v>
      </c>
      <c r="AO706" s="140">
        <f t="shared" si="165"/>
        <v>0</v>
      </c>
      <c r="AP706" s="140">
        <f t="shared" si="166"/>
        <v>0</v>
      </c>
    </row>
    <row r="707" spans="2:42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AC707" s="131">
        <f t="shared" si="154"/>
        <v>0</v>
      </c>
      <c r="AD707" s="131">
        <f t="shared" si="155"/>
        <v>0</v>
      </c>
      <c r="AE707" s="131">
        <f t="shared" si="156"/>
        <v>0</v>
      </c>
      <c r="AF707" s="131">
        <f t="shared" si="157"/>
        <v>0</v>
      </c>
      <c r="AG707" s="140">
        <f t="shared" si="158"/>
        <v>0</v>
      </c>
      <c r="AH707" s="140">
        <f t="shared" si="159"/>
        <v>0</v>
      </c>
      <c r="AI707" s="140">
        <f t="shared" si="160"/>
        <v>0</v>
      </c>
      <c r="AJ707" s="131">
        <f t="shared" si="161"/>
        <v>0</v>
      </c>
      <c r="AK707" s="131">
        <f t="shared" si="162"/>
        <v>0</v>
      </c>
      <c r="AL707" s="127">
        <f t="shared" ref="AL707:AL770" si="167">ROUND(IFERROR(+AK707/AH707*100,0),2)</f>
        <v>0</v>
      </c>
      <c r="AM707" s="140">
        <f t="shared" si="163"/>
        <v>0</v>
      </c>
      <c r="AN707" s="140">
        <f t="shared" si="164"/>
        <v>0</v>
      </c>
      <c r="AO707" s="140">
        <f t="shared" si="165"/>
        <v>0</v>
      </c>
      <c r="AP707" s="140">
        <f t="shared" si="166"/>
        <v>0</v>
      </c>
    </row>
    <row r="708" spans="2:42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AC708" s="131">
        <f t="shared" si="154"/>
        <v>0</v>
      </c>
      <c r="AD708" s="131">
        <f t="shared" si="155"/>
        <v>0</v>
      </c>
      <c r="AE708" s="131">
        <f t="shared" si="156"/>
        <v>0</v>
      </c>
      <c r="AF708" s="131">
        <f t="shared" si="157"/>
        <v>0</v>
      </c>
      <c r="AG708" s="140">
        <f t="shared" si="158"/>
        <v>0</v>
      </c>
      <c r="AH708" s="140">
        <f t="shared" si="159"/>
        <v>0</v>
      </c>
      <c r="AI708" s="140">
        <f t="shared" si="160"/>
        <v>0</v>
      </c>
      <c r="AJ708" s="131">
        <f t="shared" si="161"/>
        <v>0</v>
      </c>
      <c r="AK708" s="131">
        <f t="shared" si="162"/>
        <v>0</v>
      </c>
      <c r="AL708" s="127">
        <f t="shared" si="167"/>
        <v>0</v>
      </c>
      <c r="AM708" s="140">
        <f t="shared" si="163"/>
        <v>0</v>
      </c>
      <c r="AN708" s="140">
        <f t="shared" si="164"/>
        <v>0</v>
      </c>
      <c r="AO708" s="140">
        <f t="shared" si="165"/>
        <v>0</v>
      </c>
      <c r="AP708" s="140">
        <f t="shared" si="166"/>
        <v>0</v>
      </c>
    </row>
    <row r="709" spans="2:42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AC709" s="131">
        <f t="shared" si="154"/>
        <v>0</v>
      </c>
      <c r="AD709" s="131">
        <f t="shared" si="155"/>
        <v>0</v>
      </c>
      <c r="AE709" s="131">
        <f t="shared" si="156"/>
        <v>0</v>
      </c>
      <c r="AF709" s="131">
        <f t="shared" si="157"/>
        <v>0</v>
      </c>
      <c r="AG709" s="140">
        <f t="shared" si="158"/>
        <v>0</v>
      </c>
      <c r="AH709" s="140">
        <f t="shared" si="159"/>
        <v>0</v>
      </c>
      <c r="AI709" s="140">
        <f t="shared" si="160"/>
        <v>0</v>
      </c>
      <c r="AJ709" s="131">
        <f t="shared" si="161"/>
        <v>0</v>
      </c>
      <c r="AK709" s="131">
        <f t="shared" si="162"/>
        <v>0</v>
      </c>
      <c r="AL709" s="127">
        <f t="shared" si="167"/>
        <v>0</v>
      </c>
      <c r="AM709" s="140">
        <f t="shared" si="163"/>
        <v>0</v>
      </c>
      <c r="AN709" s="140">
        <f t="shared" si="164"/>
        <v>0</v>
      </c>
      <c r="AO709" s="140">
        <f t="shared" si="165"/>
        <v>0</v>
      </c>
      <c r="AP709" s="140">
        <f t="shared" si="166"/>
        <v>0</v>
      </c>
    </row>
    <row r="710" spans="2:42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AC710" s="131">
        <f t="shared" si="154"/>
        <v>0</v>
      </c>
      <c r="AD710" s="131">
        <f t="shared" si="155"/>
        <v>0</v>
      </c>
      <c r="AE710" s="131">
        <f t="shared" si="156"/>
        <v>0</v>
      </c>
      <c r="AF710" s="131">
        <f t="shared" si="157"/>
        <v>0</v>
      </c>
      <c r="AG710" s="140">
        <f t="shared" si="158"/>
        <v>0</v>
      </c>
      <c r="AH710" s="140">
        <f t="shared" si="159"/>
        <v>0</v>
      </c>
      <c r="AI710" s="140">
        <f t="shared" si="160"/>
        <v>0</v>
      </c>
      <c r="AJ710" s="131">
        <f t="shared" si="161"/>
        <v>0</v>
      </c>
      <c r="AK710" s="131">
        <f t="shared" si="162"/>
        <v>0</v>
      </c>
      <c r="AL710" s="127">
        <f t="shared" si="167"/>
        <v>0</v>
      </c>
      <c r="AM710" s="140">
        <f t="shared" si="163"/>
        <v>0</v>
      </c>
      <c r="AN710" s="140">
        <f t="shared" si="164"/>
        <v>0</v>
      </c>
      <c r="AO710" s="140">
        <f t="shared" si="165"/>
        <v>0</v>
      </c>
      <c r="AP710" s="140">
        <f t="shared" si="166"/>
        <v>0</v>
      </c>
    </row>
    <row r="711" spans="2:42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AC711" s="131">
        <f t="shared" si="154"/>
        <v>0</v>
      </c>
      <c r="AD711" s="131">
        <f t="shared" si="155"/>
        <v>0</v>
      </c>
      <c r="AE711" s="131">
        <f t="shared" si="156"/>
        <v>0</v>
      </c>
      <c r="AF711" s="131">
        <f t="shared" si="157"/>
        <v>0</v>
      </c>
      <c r="AG711" s="140">
        <f t="shared" si="158"/>
        <v>0</v>
      </c>
      <c r="AH711" s="140">
        <f t="shared" si="159"/>
        <v>0</v>
      </c>
      <c r="AI711" s="140">
        <f t="shared" si="160"/>
        <v>0</v>
      </c>
      <c r="AJ711" s="131">
        <f t="shared" si="161"/>
        <v>0</v>
      </c>
      <c r="AK711" s="131">
        <f t="shared" si="162"/>
        <v>0</v>
      </c>
      <c r="AL711" s="127">
        <f t="shared" si="167"/>
        <v>0</v>
      </c>
      <c r="AM711" s="140">
        <f t="shared" si="163"/>
        <v>0</v>
      </c>
      <c r="AN711" s="140">
        <f t="shared" si="164"/>
        <v>0</v>
      </c>
      <c r="AO711" s="140">
        <f t="shared" si="165"/>
        <v>0</v>
      </c>
      <c r="AP711" s="140">
        <f t="shared" si="166"/>
        <v>0</v>
      </c>
    </row>
    <row r="712" spans="2:42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AC712" s="131">
        <f t="shared" si="154"/>
        <v>0</v>
      </c>
      <c r="AD712" s="131">
        <f t="shared" si="155"/>
        <v>0</v>
      </c>
      <c r="AE712" s="131">
        <f t="shared" si="156"/>
        <v>0</v>
      </c>
      <c r="AF712" s="131">
        <f t="shared" si="157"/>
        <v>0</v>
      </c>
      <c r="AG712" s="140">
        <f t="shared" si="158"/>
        <v>0</v>
      </c>
      <c r="AH712" s="140">
        <f t="shared" si="159"/>
        <v>0</v>
      </c>
      <c r="AI712" s="140">
        <f t="shared" si="160"/>
        <v>0</v>
      </c>
      <c r="AJ712" s="131">
        <f t="shared" si="161"/>
        <v>0</v>
      </c>
      <c r="AK712" s="131">
        <f t="shared" si="162"/>
        <v>0</v>
      </c>
      <c r="AL712" s="127">
        <f t="shared" si="167"/>
        <v>0</v>
      </c>
      <c r="AM712" s="140">
        <f t="shared" si="163"/>
        <v>0</v>
      </c>
      <c r="AN712" s="140">
        <f t="shared" si="164"/>
        <v>0</v>
      </c>
      <c r="AO712" s="140">
        <f t="shared" si="165"/>
        <v>0</v>
      </c>
      <c r="AP712" s="140">
        <f t="shared" si="166"/>
        <v>0</v>
      </c>
    </row>
    <row r="713" spans="2:42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AC713" s="131">
        <f t="shared" si="154"/>
        <v>0</v>
      </c>
      <c r="AD713" s="131">
        <f t="shared" si="155"/>
        <v>0</v>
      </c>
      <c r="AE713" s="131">
        <f t="shared" si="156"/>
        <v>0</v>
      </c>
      <c r="AF713" s="131">
        <f t="shared" si="157"/>
        <v>0</v>
      </c>
      <c r="AG713" s="140">
        <f t="shared" si="158"/>
        <v>0</v>
      </c>
      <c r="AH713" s="140">
        <f t="shared" si="159"/>
        <v>0</v>
      </c>
      <c r="AI713" s="140">
        <f t="shared" si="160"/>
        <v>0</v>
      </c>
      <c r="AJ713" s="131">
        <f t="shared" si="161"/>
        <v>0</v>
      </c>
      <c r="AK713" s="131">
        <f t="shared" si="162"/>
        <v>0</v>
      </c>
      <c r="AL713" s="127">
        <f t="shared" si="167"/>
        <v>0</v>
      </c>
      <c r="AM713" s="140">
        <f t="shared" si="163"/>
        <v>0</v>
      </c>
      <c r="AN713" s="140">
        <f t="shared" si="164"/>
        <v>0</v>
      </c>
      <c r="AO713" s="140">
        <f t="shared" si="165"/>
        <v>0</v>
      </c>
      <c r="AP713" s="140">
        <f t="shared" si="166"/>
        <v>0</v>
      </c>
    </row>
    <row r="714" spans="2:42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AC714" s="131">
        <f t="shared" si="154"/>
        <v>0</v>
      </c>
      <c r="AD714" s="131">
        <f t="shared" si="155"/>
        <v>0</v>
      </c>
      <c r="AE714" s="131">
        <f t="shared" si="156"/>
        <v>0</v>
      </c>
      <c r="AF714" s="131">
        <f t="shared" si="157"/>
        <v>0</v>
      </c>
      <c r="AG714" s="140">
        <f t="shared" si="158"/>
        <v>0</v>
      </c>
      <c r="AH714" s="140">
        <f t="shared" si="159"/>
        <v>0</v>
      </c>
      <c r="AI714" s="140">
        <f t="shared" si="160"/>
        <v>0</v>
      </c>
      <c r="AJ714" s="131">
        <f t="shared" si="161"/>
        <v>0</v>
      </c>
      <c r="AK714" s="131">
        <f t="shared" si="162"/>
        <v>0</v>
      </c>
      <c r="AL714" s="127">
        <f t="shared" si="167"/>
        <v>0</v>
      </c>
      <c r="AM714" s="140">
        <f t="shared" si="163"/>
        <v>0</v>
      </c>
      <c r="AN714" s="140">
        <f t="shared" si="164"/>
        <v>0</v>
      </c>
      <c r="AO714" s="140">
        <f t="shared" si="165"/>
        <v>0</v>
      </c>
      <c r="AP714" s="140">
        <f t="shared" si="166"/>
        <v>0</v>
      </c>
    </row>
    <row r="715" spans="2:42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AC715" s="131">
        <f t="shared" si="154"/>
        <v>0</v>
      </c>
      <c r="AD715" s="131">
        <f t="shared" si="155"/>
        <v>0</v>
      </c>
      <c r="AE715" s="131">
        <f t="shared" si="156"/>
        <v>0</v>
      </c>
      <c r="AF715" s="131">
        <f t="shared" si="157"/>
        <v>0</v>
      </c>
      <c r="AG715" s="140">
        <f t="shared" si="158"/>
        <v>0</v>
      </c>
      <c r="AH715" s="140">
        <f t="shared" si="159"/>
        <v>0</v>
      </c>
      <c r="AI715" s="140">
        <f t="shared" si="160"/>
        <v>0</v>
      </c>
      <c r="AJ715" s="131">
        <f t="shared" si="161"/>
        <v>0</v>
      </c>
      <c r="AK715" s="131">
        <f t="shared" si="162"/>
        <v>0</v>
      </c>
      <c r="AL715" s="127">
        <f t="shared" si="167"/>
        <v>0</v>
      </c>
      <c r="AM715" s="140">
        <f t="shared" si="163"/>
        <v>0</v>
      </c>
      <c r="AN715" s="140">
        <f t="shared" si="164"/>
        <v>0</v>
      </c>
      <c r="AO715" s="140">
        <f t="shared" si="165"/>
        <v>0</v>
      </c>
      <c r="AP715" s="140">
        <f t="shared" si="166"/>
        <v>0</v>
      </c>
    </row>
    <row r="716" spans="2:42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AC716" s="131">
        <f t="shared" si="154"/>
        <v>0</v>
      </c>
      <c r="AD716" s="131">
        <f t="shared" si="155"/>
        <v>0</v>
      </c>
      <c r="AE716" s="131">
        <f t="shared" si="156"/>
        <v>0</v>
      </c>
      <c r="AF716" s="131">
        <f t="shared" si="157"/>
        <v>0</v>
      </c>
      <c r="AG716" s="140">
        <f t="shared" si="158"/>
        <v>0</v>
      </c>
      <c r="AH716" s="140">
        <f t="shared" si="159"/>
        <v>0</v>
      </c>
      <c r="AI716" s="140">
        <f t="shared" si="160"/>
        <v>0</v>
      </c>
      <c r="AJ716" s="131">
        <f t="shared" si="161"/>
        <v>0</v>
      </c>
      <c r="AK716" s="131">
        <f t="shared" si="162"/>
        <v>0</v>
      </c>
      <c r="AL716" s="127">
        <f t="shared" si="167"/>
        <v>0</v>
      </c>
      <c r="AM716" s="140">
        <f t="shared" si="163"/>
        <v>0</v>
      </c>
      <c r="AN716" s="140">
        <f t="shared" si="164"/>
        <v>0</v>
      </c>
      <c r="AO716" s="140">
        <f t="shared" si="165"/>
        <v>0</v>
      </c>
      <c r="AP716" s="140">
        <f t="shared" si="166"/>
        <v>0</v>
      </c>
    </row>
    <row r="717" spans="2:42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AC717" s="131">
        <f t="shared" si="154"/>
        <v>0</v>
      </c>
      <c r="AD717" s="131">
        <f t="shared" si="155"/>
        <v>0</v>
      </c>
      <c r="AE717" s="131">
        <f t="shared" si="156"/>
        <v>0</v>
      </c>
      <c r="AF717" s="131">
        <f t="shared" si="157"/>
        <v>0</v>
      </c>
      <c r="AG717" s="140">
        <f t="shared" si="158"/>
        <v>0</v>
      </c>
      <c r="AH717" s="140">
        <f t="shared" si="159"/>
        <v>0</v>
      </c>
      <c r="AI717" s="140">
        <f t="shared" si="160"/>
        <v>0</v>
      </c>
      <c r="AJ717" s="131">
        <f t="shared" si="161"/>
        <v>0</v>
      </c>
      <c r="AK717" s="131">
        <f t="shared" si="162"/>
        <v>0</v>
      </c>
      <c r="AL717" s="127">
        <f t="shared" si="167"/>
        <v>0</v>
      </c>
      <c r="AM717" s="140">
        <f t="shared" si="163"/>
        <v>0</v>
      </c>
      <c r="AN717" s="140">
        <f t="shared" si="164"/>
        <v>0</v>
      </c>
      <c r="AO717" s="140">
        <f t="shared" si="165"/>
        <v>0</v>
      </c>
      <c r="AP717" s="140">
        <f t="shared" si="166"/>
        <v>0</v>
      </c>
    </row>
    <row r="718" spans="2:42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AC718" s="131">
        <f t="shared" si="154"/>
        <v>0</v>
      </c>
      <c r="AD718" s="131">
        <f t="shared" si="155"/>
        <v>0</v>
      </c>
      <c r="AE718" s="131">
        <f t="shared" si="156"/>
        <v>0</v>
      </c>
      <c r="AF718" s="131">
        <f t="shared" si="157"/>
        <v>0</v>
      </c>
      <c r="AG718" s="140">
        <f t="shared" si="158"/>
        <v>0</v>
      </c>
      <c r="AH718" s="140">
        <f t="shared" si="159"/>
        <v>0</v>
      </c>
      <c r="AI718" s="140">
        <f t="shared" si="160"/>
        <v>0</v>
      </c>
      <c r="AJ718" s="131">
        <f t="shared" si="161"/>
        <v>0</v>
      </c>
      <c r="AK718" s="131">
        <f t="shared" si="162"/>
        <v>0</v>
      </c>
      <c r="AL718" s="127">
        <f t="shared" si="167"/>
        <v>0</v>
      </c>
      <c r="AM718" s="140">
        <f t="shared" si="163"/>
        <v>0</v>
      </c>
      <c r="AN718" s="140">
        <f t="shared" si="164"/>
        <v>0</v>
      </c>
      <c r="AO718" s="140">
        <f t="shared" si="165"/>
        <v>0</v>
      </c>
      <c r="AP718" s="140">
        <f t="shared" si="166"/>
        <v>0</v>
      </c>
    </row>
    <row r="719" spans="2:42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AC719" s="131">
        <f t="shared" si="154"/>
        <v>0</v>
      </c>
      <c r="AD719" s="131">
        <f t="shared" si="155"/>
        <v>0</v>
      </c>
      <c r="AE719" s="131">
        <f t="shared" si="156"/>
        <v>0</v>
      </c>
      <c r="AF719" s="131">
        <f t="shared" si="157"/>
        <v>0</v>
      </c>
      <c r="AG719" s="140">
        <f t="shared" si="158"/>
        <v>0</v>
      </c>
      <c r="AH719" s="140">
        <f t="shared" si="159"/>
        <v>0</v>
      </c>
      <c r="AI719" s="140">
        <f t="shared" si="160"/>
        <v>0</v>
      </c>
      <c r="AJ719" s="131">
        <f t="shared" si="161"/>
        <v>0</v>
      </c>
      <c r="AK719" s="131">
        <f t="shared" si="162"/>
        <v>0</v>
      </c>
      <c r="AL719" s="127">
        <f t="shared" si="167"/>
        <v>0</v>
      </c>
      <c r="AM719" s="140">
        <f t="shared" si="163"/>
        <v>0</v>
      </c>
      <c r="AN719" s="140">
        <f t="shared" si="164"/>
        <v>0</v>
      </c>
      <c r="AO719" s="140">
        <f t="shared" si="165"/>
        <v>0</v>
      </c>
      <c r="AP719" s="140">
        <f t="shared" si="166"/>
        <v>0</v>
      </c>
    </row>
    <row r="720" spans="2:42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AC720" s="131">
        <f t="shared" si="154"/>
        <v>0</v>
      </c>
      <c r="AD720" s="131">
        <f t="shared" si="155"/>
        <v>0</v>
      </c>
      <c r="AE720" s="131">
        <f t="shared" si="156"/>
        <v>0</v>
      </c>
      <c r="AF720" s="131">
        <f t="shared" si="157"/>
        <v>0</v>
      </c>
      <c r="AG720" s="140">
        <f t="shared" si="158"/>
        <v>0</v>
      </c>
      <c r="AH720" s="140">
        <f t="shared" si="159"/>
        <v>0</v>
      </c>
      <c r="AI720" s="140">
        <f t="shared" si="160"/>
        <v>0</v>
      </c>
      <c r="AJ720" s="131">
        <f t="shared" si="161"/>
        <v>0</v>
      </c>
      <c r="AK720" s="131">
        <f t="shared" si="162"/>
        <v>0</v>
      </c>
      <c r="AL720" s="127">
        <f t="shared" si="167"/>
        <v>0</v>
      </c>
      <c r="AM720" s="140">
        <f t="shared" si="163"/>
        <v>0</v>
      </c>
      <c r="AN720" s="140">
        <f t="shared" si="164"/>
        <v>0</v>
      </c>
      <c r="AO720" s="140">
        <f t="shared" si="165"/>
        <v>0</v>
      </c>
      <c r="AP720" s="140">
        <f t="shared" si="166"/>
        <v>0</v>
      </c>
    </row>
    <row r="721" spans="2:42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AC721" s="131">
        <f t="shared" si="154"/>
        <v>0</v>
      </c>
      <c r="AD721" s="131">
        <f t="shared" si="155"/>
        <v>0</v>
      </c>
      <c r="AE721" s="131">
        <f t="shared" si="156"/>
        <v>0</v>
      </c>
      <c r="AF721" s="131">
        <f t="shared" si="157"/>
        <v>0</v>
      </c>
      <c r="AG721" s="140">
        <f t="shared" si="158"/>
        <v>0</v>
      </c>
      <c r="AH721" s="140">
        <f t="shared" si="159"/>
        <v>0</v>
      </c>
      <c r="AI721" s="140">
        <f t="shared" si="160"/>
        <v>0</v>
      </c>
      <c r="AJ721" s="131">
        <f t="shared" si="161"/>
        <v>0</v>
      </c>
      <c r="AK721" s="131">
        <f t="shared" si="162"/>
        <v>0</v>
      </c>
      <c r="AL721" s="127">
        <f t="shared" si="167"/>
        <v>0</v>
      </c>
      <c r="AM721" s="140">
        <f t="shared" si="163"/>
        <v>0</v>
      </c>
      <c r="AN721" s="140">
        <f t="shared" si="164"/>
        <v>0</v>
      </c>
      <c r="AO721" s="140">
        <f t="shared" si="165"/>
        <v>0</v>
      </c>
      <c r="AP721" s="140">
        <f t="shared" si="166"/>
        <v>0</v>
      </c>
    </row>
    <row r="722" spans="2:42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AC722" s="131">
        <f t="shared" si="154"/>
        <v>0</v>
      </c>
      <c r="AD722" s="131">
        <f t="shared" si="155"/>
        <v>0</v>
      </c>
      <c r="AE722" s="131">
        <f t="shared" si="156"/>
        <v>0</v>
      </c>
      <c r="AF722" s="131">
        <f t="shared" si="157"/>
        <v>0</v>
      </c>
      <c r="AG722" s="140">
        <f t="shared" si="158"/>
        <v>0</v>
      </c>
      <c r="AH722" s="140">
        <f t="shared" si="159"/>
        <v>0</v>
      </c>
      <c r="AI722" s="140">
        <f t="shared" si="160"/>
        <v>0</v>
      </c>
      <c r="AJ722" s="131">
        <f t="shared" si="161"/>
        <v>0</v>
      </c>
      <c r="AK722" s="131">
        <f t="shared" si="162"/>
        <v>0</v>
      </c>
      <c r="AL722" s="127">
        <f t="shared" si="167"/>
        <v>0</v>
      </c>
      <c r="AM722" s="140">
        <f t="shared" si="163"/>
        <v>0</v>
      </c>
      <c r="AN722" s="140">
        <f t="shared" si="164"/>
        <v>0</v>
      </c>
      <c r="AO722" s="140">
        <f t="shared" si="165"/>
        <v>0</v>
      </c>
      <c r="AP722" s="140">
        <f t="shared" si="166"/>
        <v>0</v>
      </c>
    </row>
    <row r="723" spans="2:42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AC723" s="131">
        <f t="shared" si="154"/>
        <v>0</v>
      </c>
      <c r="AD723" s="131">
        <f t="shared" si="155"/>
        <v>0</v>
      </c>
      <c r="AE723" s="131">
        <f t="shared" si="156"/>
        <v>0</v>
      </c>
      <c r="AF723" s="131">
        <f t="shared" si="157"/>
        <v>0</v>
      </c>
      <c r="AG723" s="140">
        <f t="shared" si="158"/>
        <v>0</v>
      </c>
      <c r="AH723" s="140">
        <f t="shared" si="159"/>
        <v>0</v>
      </c>
      <c r="AI723" s="140">
        <f t="shared" si="160"/>
        <v>0</v>
      </c>
      <c r="AJ723" s="131">
        <f t="shared" si="161"/>
        <v>0</v>
      </c>
      <c r="AK723" s="131">
        <f t="shared" si="162"/>
        <v>0</v>
      </c>
      <c r="AL723" s="127">
        <f t="shared" si="167"/>
        <v>0</v>
      </c>
      <c r="AM723" s="140">
        <f t="shared" si="163"/>
        <v>0</v>
      </c>
      <c r="AN723" s="140">
        <f t="shared" si="164"/>
        <v>0</v>
      </c>
      <c r="AO723" s="140">
        <f t="shared" si="165"/>
        <v>0</v>
      </c>
      <c r="AP723" s="140">
        <f t="shared" si="166"/>
        <v>0</v>
      </c>
    </row>
    <row r="724" spans="2:42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AC724" s="131">
        <f t="shared" si="154"/>
        <v>0</v>
      </c>
      <c r="AD724" s="131">
        <f t="shared" si="155"/>
        <v>0</v>
      </c>
      <c r="AE724" s="131">
        <f t="shared" si="156"/>
        <v>0</v>
      </c>
      <c r="AF724" s="131">
        <f t="shared" si="157"/>
        <v>0</v>
      </c>
      <c r="AG724" s="140">
        <f t="shared" si="158"/>
        <v>0</v>
      </c>
      <c r="AH724" s="140">
        <f t="shared" si="159"/>
        <v>0</v>
      </c>
      <c r="AI724" s="140">
        <f t="shared" si="160"/>
        <v>0</v>
      </c>
      <c r="AJ724" s="131">
        <f t="shared" si="161"/>
        <v>0</v>
      </c>
      <c r="AK724" s="131">
        <f t="shared" si="162"/>
        <v>0</v>
      </c>
      <c r="AL724" s="127">
        <f t="shared" si="167"/>
        <v>0</v>
      </c>
      <c r="AM724" s="140">
        <f t="shared" si="163"/>
        <v>0</v>
      </c>
      <c r="AN724" s="140">
        <f t="shared" si="164"/>
        <v>0</v>
      </c>
      <c r="AO724" s="140">
        <f t="shared" si="165"/>
        <v>0</v>
      </c>
      <c r="AP724" s="140">
        <f t="shared" si="166"/>
        <v>0</v>
      </c>
    </row>
    <row r="725" spans="2:42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AC725" s="131">
        <f t="shared" si="154"/>
        <v>0</v>
      </c>
      <c r="AD725" s="131">
        <f t="shared" si="155"/>
        <v>0</v>
      </c>
      <c r="AE725" s="131">
        <f t="shared" si="156"/>
        <v>0</v>
      </c>
      <c r="AF725" s="131">
        <f t="shared" si="157"/>
        <v>0</v>
      </c>
      <c r="AG725" s="140">
        <f t="shared" si="158"/>
        <v>0</v>
      </c>
      <c r="AH725" s="140">
        <f t="shared" si="159"/>
        <v>0</v>
      </c>
      <c r="AI725" s="140">
        <f t="shared" si="160"/>
        <v>0</v>
      </c>
      <c r="AJ725" s="131">
        <f t="shared" si="161"/>
        <v>0</v>
      </c>
      <c r="AK725" s="131">
        <f t="shared" si="162"/>
        <v>0</v>
      </c>
      <c r="AL725" s="127">
        <f t="shared" si="167"/>
        <v>0</v>
      </c>
      <c r="AM725" s="140">
        <f t="shared" si="163"/>
        <v>0</v>
      </c>
      <c r="AN725" s="140">
        <f t="shared" si="164"/>
        <v>0</v>
      </c>
      <c r="AO725" s="140">
        <f t="shared" si="165"/>
        <v>0</v>
      </c>
      <c r="AP725" s="140">
        <f t="shared" si="166"/>
        <v>0</v>
      </c>
    </row>
    <row r="726" spans="2:42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AC726" s="131">
        <f t="shared" si="154"/>
        <v>0</v>
      </c>
      <c r="AD726" s="131">
        <f t="shared" si="155"/>
        <v>0</v>
      </c>
      <c r="AE726" s="131">
        <f t="shared" si="156"/>
        <v>0</v>
      </c>
      <c r="AF726" s="131">
        <f t="shared" si="157"/>
        <v>0</v>
      </c>
      <c r="AG726" s="140">
        <f t="shared" si="158"/>
        <v>0</v>
      </c>
      <c r="AH726" s="140">
        <f t="shared" si="159"/>
        <v>0</v>
      </c>
      <c r="AI726" s="140">
        <f t="shared" si="160"/>
        <v>0</v>
      </c>
      <c r="AJ726" s="131">
        <f t="shared" si="161"/>
        <v>0</v>
      </c>
      <c r="AK726" s="131">
        <f t="shared" si="162"/>
        <v>0</v>
      </c>
      <c r="AL726" s="127">
        <f t="shared" si="167"/>
        <v>0</v>
      </c>
      <c r="AM726" s="140">
        <f t="shared" si="163"/>
        <v>0</v>
      </c>
      <c r="AN726" s="140">
        <f t="shared" si="164"/>
        <v>0</v>
      </c>
      <c r="AO726" s="140">
        <f t="shared" si="165"/>
        <v>0</v>
      </c>
      <c r="AP726" s="140">
        <f t="shared" si="166"/>
        <v>0</v>
      </c>
    </row>
    <row r="727" spans="2:42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AC727" s="131">
        <f t="shared" si="154"/>
        <v>0</v>
      </c>
      <c r="AD727" s="131">
        <f t="shared" si="155"/>
        <v>0</v>
      </c>
      <c r="AE727" s="131">
        <f t="shared" si="156"/>
        <v>0</v>
      </c>
      <c r="AF727" s="131">
        <f t="shared" si="157"/>
        <v>0</v>
      </c>
      <c r="AG727" s="140">
        <f t="shared" si="158"/>
        <v>0</v>
      </c>
      <c r="AH727" s="140">
        <f t="shared" si="159"/>
        <v>0</v>
      </c>
      <c r="AI727" s="140">
        <f t="shared" si="160"/>
        <v>0</v>
      </c>
      <c r="AJ727" s="131">
        <f t="shared" si="161"/>
        <v>0</v>
      </c>
      <c r="AK727" s="131">
        <f t="shared" si="162"/>
        <v>0</v>
      </c>
      <c r="AL727" s="127">
        <f t="shared" si="167"/>
        <v>0</v>
      </c>
      <c r="AM727" s="140">
        <f t="shared" si="163"/>
        <v>0</v>
      </c>
      <c r="AN727" s="140">
        <f t="shared" si="164"/>
        <v>0</v>
      </c>
      <c r="AO727" s="140">
        <f t="shared" si="165"/>
        <v>0</v>
      </c>
      <c r="AP727" s="140">
        <f t="shared" si="166"/>
        <v>0</v>
      </c>
    </row>
    <row r="728" spans="2:42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AC728" s="131">
        <f t="shared" si="154"/>
        <v>0</v>
      </c>
      <c r="AD728" s="131">
        <f t="shared" si="155"/>
        <v>0</v>
      </c>
      <c r="AE728" s="131">
        <f t="shared" si="156"/>
        <v>0</v>
      </c>
      <c r="AF728" s="131">
        <f t="shared" si="157"/>
        <v>0</v>
      </c>
      <c r="AG728" s="140">
        <f t="shared" si="158"/>
        <v>0</v>
      </c>
      <c r="AH728" s="140">
        <f t="shared" si="159"/>
        <v>0</v>
      </c>
      <c r="AI728" s="140">
        <f t="shared" si="160"/>
        <v>0</v>
      </c>
      <c r="AJ728" s="131">
        <f t="shared" si="161"/>
        <v>0</v>
      </c>
      <c r="AK728" s="131">
        <f t="shared" si="162"/>
        <v>0</v>
      </c>
      <c r="AL728" s="127">
        <f t="shared" si="167"/>
        <v>0</v>
      </c>
      <c r="AM728" s="140">
        <f t="shared" si="163"/>
        <v>0</v>
      </c>
      <c r="AN728" s="140">
        <f t="shared" si="164"/>
        <v>0</v>
      </c>
      <c r="AO728" s="140">
        <f t="shared" si="165"/>
        <v>0</v>
      </c>
      <c r="AP728" s="140">
        <f t="shared" si="166"/>
        <v>0</v>
      </c>
    </row>
    <row r="729" spans="2:42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AC729" s="131">
        <f t="shared" si="154"/>
        <v>0</v>
      </c>
      <c r="AD729" s="131">
        <f t="shared" si="155"/>
        <v>0</v>
      </c>
      <c r="AE729" s="131">
        <f t="shared" si="156"/>
        <v>0</v>
      </c>
      <c r="AF729" s="131">
        <f t="shared" si="157"/>
        <v>0</v>
      </c>
      <c r="AG729" s="140">
        <f t="shared" si="158"/>
        <v>0</v>
      </c>
      <c r="AH729" s="140">
        <f t="shared" si="159"/>
        <v>0</v>
      </c>
      <c r="AI729" s="140">
        <f t="shared" si="160"/>
        <v>0</v>
      </c>
      <c r="AJ729" s="131">
        <f t="shared" si="161"/>
        <v>0</v>
      </c>
      <c r="AK729" s="131">
        <f t="shared" si="162"/>
        <v>0</v>
      </c>
      <c r="AL729" s="127">
        <f t="shared" si="167"/>
        <v>0</v>
      </c>
      <c r="AM729" s="140">
        <f t="shared" si="163"/>
        <v>0</v>
      </c>
      <c r="AN729" s="140">
        <f t="shared" si="164"/>
        <v>0</v>
      </c>
      <c r="AO729" s="140">
        <f t="shared" si="165"/>
        <v>0</v>
      </c>
      <c r="AP729" s="140">
        <f t="shared" si="166"/>
        <v>0</v>
      </c>
    </row>
    <row r="730" spans="2:42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AC730" s="131">
        <f t="shared" si="154"/>
        <v>0</v>
      </c>
      <c r="AD730" s="131">
        <f t="shared" si="155"/>
        <v>0</v>
      </c>
      <c r="AE730" s="131">
        <f t="shared" si="156"/>
        <v>0</v>
      </c>
      <c r="AF730" s="131">
        <f t="shared" si="157"/>
        <v>0</v>
      </c>
      <c r="AG730" s="140">
        <f t="shared" si="158"/>
        <v>0</v>
      </c>
      <c r="AH730" s="140">
        <f t="shared" si="159"/>
        <v>0</v>
      </c>
      <c r="AI730" s="140">
        <f t="shared" si="160"/>
        <v>0</v>
      </c>
      <c r="AJ730" s="131">
        <f t="shared" si="161"/>
        <v>0</v>
      </c>
      <c r="AK730" s="131">
        <f t="shared" si="162"/>
        <v>0</v>
      </c>
      <c r="AL730" s="127">
        <f t="shared" si="167"/>
        <v>0</v>
      </c>
      <c r="AM730" s="140">
        <f t="shared" si="163"/>
        <v>0</v>
      </c>
      <c r="AN730" s="140">
        <f t="shared" si="164"/>
        <v>0</v>
      </c>
      <c r="AO730" s="140">
        <f t="shared" si="165"/>
        <v>0</v>
      </c>
      <c r="AP730" s="140">
        <f t="shared" si="166"/>
        <v>0</v>
      </c>
    </row>
    <row r="731" spans="2:42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AC731" s="131">
        <f t="shared" si="154"/>
        <v>0</v>
      </c>
      <c r="AD731" s="131">
        <f t="shared" si="155"/>
        <v>0</v>
      </c>
      <c r="AE731" s="131">
        <f t="shared" si="156"/>
        <v>0</v>
      </c>
      <c r="AF731" s="131">
        <f t="shared" si="157"/>
        <v>0</v>
      </c>
      <c r="AG731" s="140">
        <f t="shared" si="158"/>
        <v>0</v>
      </c>
      <c r="AH731" s="140">
        <f t="shared" si="159"/>
        <v>0</v>
      </c>
      <c r="AI731" s="140">
        <f t="shared" si="160"/>
        <v>0</v>
      </c>
      <c r="AJ731" s="131">
        <f t="shared" si="161"/>
        <v>0</v>
      </c>
      <c r="AK731" s="131">
        <f t="shared" si="162"/>
        <v>0</v>
      </c>
      <c r="AL731" s="127">
        <f t="shared" si="167"/>
        <v>0</v>
      </c>
      <c r="AM731" s="140">
        <f t="shared" si="163"/>
        <v>0</v>
      </c>
      <c r="AN731" s="140">
        <f t="shared" si="164"/>
        <v>0</v>
      </c>
      <c r="AO731" s="140">
        <f t="shared" si="165"/>
        <v>0</v>
      </c>
      <c r="AP731" s="140">
        <f t="shared" si="166"/>
        <v>0</v>
      </c>
    </row>
    <row r="732" spans="2:42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AC732" s="131">
        <f t="shared" si="154"/>
        <v>0</v>
      </c>
      <c r="AD732" s="131">
        <f t="shared" si="155"/>
        <v>0</v>
      </c>
      <c r="AE732" s="131">
        <f t="shared" si="156"/>
        <v>0</v>
      </c>
      <c r="AF732" s="131">
        <f t="shared" si="157"/>
        <v>0</v>
      </c>
      <c r="AG732" s="140">
        <f t="shared" si="158"/>
        <v>0</v>
      </c>
      <c r="AH732" s="140">
        <f t="shared" si="159"/>
        <v>0</v>
      </c>
      <c r="AI732" s="140">
        <f t="shared" si="160"/>
        <v>0</v>
      </c>
      <c r="AJ732" s="131">
        <f t="shared" si="161"/>
        <v>0</v>
      </c>
      <c r="AK732" s="131">
        <f t="shared" si="162"/>
        <v>0</v>
      </c>
      <c r="AL732" s="127">
        <f t="shared" si="167"/>
        <v>0</v>
      </c>
      <c r="AM732" s="140">
        <f t="shared" si="163"/>
        <v>0</v>
      </c>
      <c r="AN732" s="140">
        <f t="shared" si="164"/>
        <v>0</v>
      </c>
      <c r="AO732" s="140">
        <f t="shared" si="165"/>
        <v>0</v>
      </c>
      <c r="AP732" s="140">
        <f t="shared" si="166"/>
        <v>0</v>
      </c>
    </row>
    <row r="733" spans="2:42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AC733" s="131">
        <f t="shared" si="154"/>
        <v>0</v>
      </c>
      <c r="AD733" s="131">
        <f t="shared" si="155"/>
        <v>0</v>
      </c>
      <c r="AE733" s="131">
        <f t="shared" si="156"/>
        <v>0</v>
      </c>
      <c r="AF733" s="131">
        <f t="shared" si="157"/>
        <v>0</v>
      </c>
      <c r="AG733" s="140">
        <f t="shared" si="158"/>
        <v>0</v>
      </c>
      <c r="AH733" s="140">
        <f t="shared" si="159"/>
        <v>0</v>
      </c>
      <c r="AI733" s="140">
        <f t="shared" si="160"/>
        <v>0</v>
      </c>
      <c r="AJ733" s="131">
        <f t="shared" si="161"/>
        <v>0</v>
      </c>
      <c r="AK733" s="131">
        <f t="shared" si="162"/>
        <v>0</v>
      </c>
      <c r="AL733" s="127">
        <f t="shared" si="167"/>
        <v>0</v>
      </c>
      <c r="AM733" s="140">
        <f t="shared" si="163"/>
        <v>0</v>
      </c>
      <c r="AN733" s="140">
        <f t="shared" si="164"/>
        <v>0</v>
      </c>
      <c r="AO733" s="140">
        <f t="shared" si="165"/>
        <v>0</v>
      </c>
      <c r="AP733" s="140">
        <f t="shared" si="166"/>
        <v>0</v>
      </c>
    </row>
    <row r="734" spans="2:42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AC734" s="131">
        <f t="shared" si="154"/>
        <v>0</v>
      </c>
      <c r="AD734" s="131">
        <f t="shared" si="155"/>
        <v>0</v>
      </c>
      <c r="AE734" s="131">
        <f t="shared" si="156"/>
        <v>0</v>
      </c>
      <c r="AF734" s="131">
        <f t="shared" si="157"/>
        <v>0</v>
      </c>
      <c r="AG734" s="140">
        <f t="shared" si="158"/>
        <v>0</v>
      </c>
      <c r="AH734" s="140">
        <f t="shared" si="159"/>
        <v>0</v>
      </c>
      <c r="AI734" s="140">
        <f t="shared" si="160"/>
        <v>0</v>
      </c>
      <c r="AJ734" s="131">
        <f t="shared" si="161"/>
        <v>0</v>
      </c>
      <c r="AK734" s="131">
        <f t="shared" si="162"/>
        <v>0</v>
      </c>
      <c r="AL734" s="127">
        <f t="shared" si="167"/>
        <v>0</v>
      </c>
      <c r="AM734" s="140">
        <f t="shared" si="163"/>
        <v>0</v>
      </c>
      <c r="AN734" s="140">
        <f t="shared" si="164"/>
        <v>0</v>
      </c>
      <c r="AO734" s="140">
        <f t="shared" si="165"/>
        <v>0</v>
      </c>
      <c r="AP734" s="140">
        <f t="shared" si="166"/>
        <v>0</v>
      </c>
    </row>
    <row r="735" spans="2:42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AC735" s="131">
        <f t="shared" si="154"/>
        <v>0</v>
      </c>
      <c r="AD735" s="131">
        <f t="shared" si="155"/>
        <v>0</v>
      </c>
      <c r="AE735" s="131">
        <f t="shared" si="156"/>
        <v>0</v>
      </c>
      <c r="AF735" s="131">
        <f t="shared" si="157"/>
        <v>0</v>
      </c>
      <c r="AG735" s="140">
        <f t="shared" si="158"/>
        <v>0</v>
      </c>
      <c r="AH735" s="140">
        <f t="shared" si="159"/>
        <v>0</v>
      </c>
      <c r="AI735" s="140">
        <f t="shared" si="160"/>
        <v>0</v>
      </c>
      <c r="AJ735" s="131">
        <f t="shared" si="161"/>
        <v>0</v>
      </c>
      <c r="AK735" s="131">
        <f t="shared" si="162"/>
        <v>0</v>
      </c>
      <c r="AL735" s="127">
        <f t="shared" si="167"/>
        <v>0</v>
      </c>
      <c r="AM735" s="140">
        <f t="shared" si="163"/>
        <v>0</v>
      </c>
      <c r="AN735" s="140">
        <f t="shared" si="164"/>
        <v>0</v>
      </c>
      <c r="AO735" s="140">
        <f t="shared" si="165"/>
        <v>0</v>
      </c>
      <c r="AP735" s="140">
        <f t="shared" si="166"/>
        <v>0</v>
      </c>
    </row>
    <row r="736" spans="2:42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AC736" s="131">
        <f t="shared" si="154"/>
        <v>0</v>
      </c>
      <c r="AD736" s="131">
        <f t="shared" si="155"/>
        <v>0</v>
      </c>
      <c r="AE736" s="131">
        <f t="shared" si="156"/>
        <v>0</v>
      </c>
      <c r="AF736" s="131">
        <f t="shared" si="157"/>
        <v>0</v>
      </c>
      <c r="AG736" s="140">
        <f t="shared" si="158"/>
        <v>0</v>
      </c>
      <c r="AH736" s="140">
        <f t="shared" si="159"/>
        <v>0</v>
      </c>
      <c r="AI736" s="140">
        <f t="shared" si="160"/>
        <v>0</v>
      </c>
      <c r="AJ736" s="131">
        <f t="shared" si="161"/>
        <v>0</v>
      </c>
      <c r="AK736" s="131">
        <f t="shared" si="162"/>
        <v>0</v>
      </c>
      <c r="AL736" s="127">
        <f t="shared" si="167"/>
        <v>0</v>
      </c>
      <c r="AM736" s="140">
        <f t="shared" si="163"/>
        <v>0</v>
      </c>
      <c r="AN736" s="140">
        <f t="shared" si="164"/>
        <v>0</v>
      </c>
      <c r="AO736" s="140">
        <f t="shared" si="165"/>
        <v>0</v>
      </c>
      <c r="AP736" s="140">
        <f t="shared" si="166"/>
        <v>0</v>
      </c>
    </row>
    <row r="737" spans="2:42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AC737" s="131">
        <f t="shared" si="154"/>
        <v>0</v>
      </c>
      <c r="AD737" s="131">
        <f t="shared" si="155"/>
        <v>0</v>
      </c>
      <c r="AE737" s="131">
        <f t="shared" si="156"/>
        <v>0</v>
      </c>
      <c r="AF737" s="131">
        <f t="shared" si="157"/>
        <v>0</v>
      </c>
      <c r="AG737" s="140">
        <f t="shared" si="158"/>
        <v>0</v>
      </c>
      <c r="AH737" s="140">
        <f t="shared" si="159"/>
        <v>0</v>
      </c>
      <c r="AI737" s="140">
        <f t="shared" si="160"/>
        <v>0</v>
      </c>
      <c r="AJ737" s="131">
        <f t="shared" si="161"/>
        <v>0</v>
      </c>
      <c r="AK737" s="131">
        <f t="shared" si="162"/>
        <v>0</v>
      </c>
      <c r="AL737" s="127">
        <f t="shared" si="167"/>
        <v>0</v>
      </c>
      <c r="AM737" s="140">
        <f t="shared" si="163"/>
        <v>0</v>
      </c>
      <c r="AN737" s="140">
        <f t="shared" si="164"/>
        <v>0</v>
      </c>
      <c r="AO737" s="140">
        <f t="shared" si="165"/>
        <v>0</v>
      </c>
      <c r="AP737" s="140">
        <f t="shared" si="166"/>
        <v>0</v>
      </c>
    </row>
    <row r="738" spans="2:42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AC738" s="131">
        <f t="shared" si="154"/>
        <v>0</v>
      </c>
      <c r="AD738" s="131">
        <f t="shared" si="155"/>
        <v>0</v>
      </c>
      <c r="AE738" s="131">
        <f t="shared" si="156"/>
        <v>0</v>
      </c>
      <c r="AF738" s="131">
        <f t="shared" si="157"/>
        <v>0</v>
      </c>
      <c r="AG738" s="140">
        <f t="shared" si="158"/>
        <v>0</v>
      </c>
      <c r="AH738" s="140">
        <f t="shared" si="159"/>
        <v>0</v>
      </c>
      <c r="AI738" s="140">
        <f t="shared" si="160"/>
        <v>0</v>
      </c>
      <c r="AJ738" s="131">
        <f t="shared" si="161"/>
        <v>0</v>
      </c>
      <c r="AK738" s="131">
        <f t="shared" si="162"/>
        <v>0</v>
      </c>
      <c r="AL738" s="127">
        <f t="shared" si="167"/>
        <v>0</v>
      </c>
      <c r="AM738" s="140">
        <f t="shared" si="163"/>
        <v>0</v>
      </c>
      <c r="AN738" s="140">
        <f t="shared" si="164"/>
        <v>0</v>
      </c>
      <c r="AO738" s="140">
        <f t="shared" si="165"/>
        <v>0</v>
      </c>
      <c r="AP738" s="140">
        <f t="shared" si="166"/>
        <v>0</v>
      </c>
    </row>
    <row r="739" spans="2:42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AC739" s="131">
        <f t="shared" si="154"/>
        <v>0</v>
      </c>
      <c r="AD739" s="131">
        <f t="shared" si="155"/>
        <v>0</v>
      </c>
      <c r="AE739" s="131">
        <f t="shared" si="156"/>
        <v>0</v>
      </c>
      <c r="AF739" s="131">
        <f t="shared" si="157"/>
        <v>0</v>
      </c>
      <c r="AG739" s="140">
        <f t="shared" si="158"/>
        <v>0</v>
      </c>
      <c r="AH739" s="140">
        <f t="shared" si="159"/>
        <v>0</v>
      </c>
      <c r="AI739" s="140">
        <f t="shared" si="160"/>
        <v>0</v>
      </c>
      <c r="AJ739" s="131">
        <f t="shared" si="161"/>
        <v>0</v>
      </c>
      <c r="AK739" s="131">
        <f t="shared" si="162"/>
        <v>0</v>
      </c>
      <c r="AL739" s="127">
        <f t="shared" si="167"/>
        <v>0</v>
      </c>
      <c r="AM739" s="140">
        <f t="shared" si="163"/>
        <v>0</v>
      </c>
      <c r="AN739" s="140">
        <f t="shared" si="164"/>
        <v>0</v>
      </c>
      <c r="AO739" s="140">
        <f t="shared" si="165"/>
        <v>0</v>
      </c>
      <c r="AP739" s="140">
        <f t="shared" si="166"/>
        <v>0</v>
      </c>
    </row>
    <row r="740" spans="2:42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AC740" s="131">
        <f t="shared" si="154"/>
        <v>0</v>
      </c>
      <c r="AD740" s="131">
        <f t="shared" si="155"/>
        <v>0</v>
      </c>
      <c r="AE740" s="131">
        <f t="shared" si="156"/>
        <v>0</v>
      </c>
      <c r="AF740" s="131">
        <f t="shared" si="157"/>
        <v>0</v>
      </c>
      <c r="AG740" s="140">
        <f t="shared" si="158"/>
        <v>0</v>
      </c>
      <c r="AH740" s="140">
        <f t="shared" si="159"/>
        <v>0</v>
      </c>
      <c r="AI740" s="140">
        <f t="shared" si="160"/>
        <v>0</v>
      </c>
      <c r="AJ740" s="131">
        <f t="shared" si="161"/>
        <v>0</v>
      </c>
      <c r="AK740" s="131">
        <f t="shared" si="162"/>
        <v>0</v>
      </c>
      <c r="AL740" s="127">
        <f t="shared" si="167"/>
        <v>0</v>
      </c>
      <c r="AM740" s="140">
        <f t="shared" si="163"/>
        <v>0</v>
      </c>
      <c r="AN740" s="140">
        <f t="shared" si="164"/>
        <v>0</v>
      </c>
      <c r="AO740" s="140">
        <f t="shared" si="165"/>
        <v>0</v>
      </c>
      <c r="AP740" s="140">
        <f t="shared" si="166"/>
        <v>0</v>
      </c>
    </row>
    <row r="741" spans="2:42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AC741" s="131">
        <f t="shared" si="154"/>
        <v>0</v>
      </c>
      <c r="AD741" s="131">
        <f t="shared" si="155"/>
        <v>0</v>
      </c>
      <c r="AE741" s="131">
        <f t="shared" si="156"/>
        <v>0</v>
      </c>
      <c r="AF741" s="131">
        <f t="shared" si="157"/>
        <v>0</v>
      </c>
      <c r="AG741" s="140">
        <f t="shared" si="158"/>
        <v>0</v>
      </c>
      <c r="AH741" s="140">
        <f t="shared" si="159"/>
        <v>0</v>
      </c>
      <c r="AI741" s="140">
        <f t="shared" si="160"/>
        <v>0</v>
      </c>
      <c r="AJ741" s="131">
        <f t="shared" si="161"/>
        <v>0</v>
      </c>
      <c r="AK741" s="131">
        <f t="shared" si="162"/>
        <v>0</v>
      </c>
      <c r="AL741" s="127">
        <f t="shared" si="167"/>
        <v>0</v>
      </c>
      <c r="AM741" s="140">
        <f t="shared" si="163"/>
        <v>0</v>
      </c>
      <c r="AN741" s="140">
        <f t="shared" si="164"/>
        <v>0</v>
      </c>
      <c r="AO741" s="140">
        <f t="shared" si="165"/>
        <v>0</v>
      </c>
      <c r="AP741" s="140">
        <f t="shared" si="166"/>
        <v>0</v>
      </c>
    </row>
    <row r="742" spans="2:42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AC742" s="131">
        <f t="shared" si="154"/>
        <v>0</v>
      </c>
      <c r="AD742" s="131">
        <f t="shared" si="155"/>
        <v>0</v>
      </c>
      <c r="AE742" s="131">
        <f t="shared" si="156"/>
        <v>0</v>
      </c>
      <c r="AF742" s="131">
        <f t="shared" si="157"/>
        <v>0</v>
      </c>
      <c r="AG742" s="140">
        <f t="shared" si="158"/>
        <v>0</v>
      </c>
      <c r="AH742" s="140">
        <f t="shared" si="159"/>
        <v>0</v>
      </c>
      <c r="AI742" s="140">
        <f t="shared" si="160"/>
        <v>0</v>
      </c>
      <c r="AJ742" s="131">
        <f t="shared" si="161"/>
        <v>0</v>
      </c>
      <c r="AK742" s="131">
        <f t="shared" si="162"/>
        <v>0</v>
      </c>
      <c r="AL742" s="127">
        <f t="shared" si="167"/>
        <v>0</v>
      </c>
      <c r="AM742" s="140">
        <f t="shared" si="163"/>
        <v>0</v>
      </c>
      <c r="AN742" s="140">
        <f t="shared" si="164"/>
        <v>0</v>
      </c>
      <c r="AO742" s="140">
        <f t="shared" si="165"/>
        <v>0</v>
      </c>
      <c r="AP742" s="140">
        <f t="shared" si="166"/>
        <v>0</v>
      </c>
    </row>
    <row r="743" spans="2:42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AC743" s="131">
        <f t="shared" si="154"/>
        <v>0</v>
      </c>
      <c r="AD743" s="131">
        <f t="shared" si="155"/>
        <v>0</v>
      </c>
      <c r="AE743" s="131">
        <f t="shared" si="156"/>
        <v>0</v>
      </c>
      <c r="AF743" s="131">
        <f t="shared" si="157"/>
        <v>0</v>
      </c>
      <c r="AG743" s="140">
        <f t="shared" si="158"/>
        <v>0</v>
      </c>
      <c r="AH743" s="140">
        <f t="shared" si="159"/>
        <v>0</v>
      </c>
      <c r="AI743" s="140">
        <f t="shared" si="160"/>
        <v>0</v>
      </c>
      <c r="AJ743" s="131">
        <f t="shared" si="161"/>
        <v>0</v>
      </c>
      <c r="AK743" s="131">
        <f t="shared" si="162"/>
        <v>0</v>
      </c>
      <c r="AL743" s="127">
        <f t="shared" si="167"/>
        <v>0</v>
      </c>
      <c r="AM743" s="140">
        <f t="shared" si="163"/>
        <v>0</v>
      </c>
      <c r="AN743" s="140">
        <f t="shared" si="164"/>
        <v>0</v>
      </c>
      <c r="AO743" s="140">
        <f t="shared" si="165"/>
        <v>0</v>
      </c>
      <c r="AP743" s="140">
        <f t="shared" si="166"/>
        <v>0</v>
      </c>
    </row>
    <row r="744" spans="2:42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AC744" s="131">
        <f t="shared" si="154"/>
        <v>0</v>
      </c>
      <c r="AD744" s="131">
        <f t="shared" si="155"/>
        <v>0</v>
      </c>
      <c r="AE744" s="131">
        <f t="shared" si="156"/>
        <v>0</v>
      </c>
      <c r="AF744" s="131">
        <f t="shared" si="157"/>
        <v>0</v>
      </c>
      <c r="AG744" s="140">
        <f t="shared" si="158"/>
        <v>0</v>
      </c>
      <c r="AH744" s="140">
        <f t="shared" si="159"/>
        <v>0</v>
      </c>
      <c r="AI744" s="140">
        <f t="shared" si="160"/>
        <v>0</v>
      </c>
      <c r="AJ744" s="131">
        <f t="shared" si="161"/>
        <v>0</v>
      </c>
      <c r="AK744" s="131">
        <f t="shared" si="162"/>
        <v>0</v>
      </c>
      <c r="AL744" s="127">
        <f t="shared" si="167"/>
        <v>0</v>
      </c>
      <c r="AM744" s="140">
        <f t="shared" si="163"/>
        <v>0</v>
      </c>
      <c r="AN744" s="140">
        <f t="shared" si="164"/>
        <v>0</v>
      </c>
      <c r="AO744" s="140">
        <f t="shared" si="165"/>
        <v>0</v>
      </c>
      <c r="AP744" s="140">
        <f t="shared" si="166"/>
        <v>0</v>
      </c>
    </row>
    <row r="745" spans="2:42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AC745" s="131">
        <f t="shared" si="154"/>
        <v>0</v>
      </c>
      <c r="AD745" s="131">
        <f t="shared" si="155"/>
        <v>0</v>
      </c>
      <c r="AE745" s="131">
        <f t="shared" si="156"/>
        <v>0</v>
      </c>
      <c r="AF745" s="131">
        <f t="shared" si="157"/>
        <v>0</v>
      </c>
      <c r="AG745" s="140">
        <f t="shared" si="158"/>
        <v>0</v>
      </c>
      <c r="AH745" s="140">
        <f t="shared" si="159"/>
        <v>0</v>
      </c>
      <c r="AI745" s="140">
        <f t="shared" si="160"/>
        <v>0</v>
      </c>
      <c r="AJ745" s="131">
        <f t="shared" si="161"/>
        <v>0</v>
      </c>
      <c r="AK745" s="131">
        <f t="shared" si="162"/>
        <v>0</v>
      </c>
      <c r="AL745" s="127">
        <f t="shared" si="167"/>
        <v>0</v>
      </c>
      <c r="AM745" s="140">
        <f t="shared" si="163"/>
        <v>0</v>
      </c>
      <c r="AN745" s="140">
        <f t="shared" si="164"/>
        <v>0</v>
      </c>
      <c r="AO745" s="140">
        <f t="shared" si="165"/>
        <v>0</v>
      </c>
      <c r="AP745" s="140">
        <f t="shared" si="166"/>
        <v>0</v>
      </c>
    </row>
    <row r="746" spans="2:42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AC746" s="131">
        <f t="shared" si="154"/>
        <v>0</v>
      </c>
      <c r="AD746" s="131">
        <f t="shared" si="155"/>
        <v>0</v>
      </c>
      <c r="AE746" s="131">
        <f t="shared" si="156"/>
        <v>0</v>
      </c>
      <c r="AF746" s="131">
        <f t="shared" si="157"/>
        <v>0</v>
      </c>
      <c r="AG746" s="140">
        <f t="shared" si="158"/>
        <v>0</v>
      </c>
      <c r="AH746" s="140">
        <f t="shared" si="159"/>
        <v>0</v>
      </c>
      <c r="AI746" s="140">
        <f t="shared" si="160"/>
        <v>0</v>
      </c>
      <c r="AJ746" s="131">
        <f t="shared" si="161"/>
        <v>0</v>
      </c>
      <c r="AK746" s="131">
        <f t="shared" si="162"/>
        <v>0</v>
      </c>
      <c r="AL746" s="127">
        <f t="shared" si="167"/>
        <v>0</v>
      </c>
      <c r="AM746" s="140">
        <f t="shared" si="163"/>
        <v>0</v>
      </c>
      <c r="AN746" s="140">
        <f t="shared" si="164"/>
        <v>0</v>
      </c>
      <c r="AO746" s="140">
        <f t="shared" si="165"/>
        <v>0</v>
      </c>
      <c r="AP746" s="140">
        <f t="shared" si="166"/>
        <v>0</v>
      </c>
    </row>
    <row r="747" spans="2:42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AC747" s="131">
        <f t="shared" si="154"/>
        <v>0</v>
      </c>
      <c r="AD747" s="131">
        <f t="shared" si="155"/>
        <v>0</v>
      </c>
      <c r="AE747" s="131">
        <f t="shared" si="156"/>
        <v>0</v>
      </c>
      <c r="AF747" s="131">
        <f t="shared" si="157"/>
        <v>0</v>
      </c>
      <c r="AG747" s="140">
        <f t="shared" si="158"/>
        <v>0</v>
      </c>
      <c r="AH747" s="140">
        <f t="shared" si="159"/>
        <v>0</v>
      </c>
      <c r="AI747" s="140">
        <f t="shared" si="160"/>
        <v>0</v>
      </c>
      <c r="AJ747" s="131">
        <f t="shared" si="161"/>
        <v>0</v>
      </c>
      <c r="AK747" s="131">
        <f t="shared" si="162"/>
        <v>0</v>
      </c>
      <c r="AL747" s="127">
        <f t="shared" si="167"/>
        <v>0</v>
      </c>
      <c r="AM747" s="140">
        <f t="shared" si="163"/>
        <v>0</v>
      </c>
      <c r="AN747" s="140">
        <f t="shared" si="164"/>
        <v>0</v>
      </c>
      <c r="AO747" s="140">
        <f t="shared" si="165"/>
        <v>0</v>
      </c>
      <c r="AP747" s="140">
        <f t="shared" si="166"/>
        <v>0</v>
      </c>
    </row>
    <row r="748" spans="2:42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AC748" s="131">
        <f t="shared" si="154"/>
        <v>0</v>
      </c>
      <c r="AD748" s="131">
        <f t="shared" si="155"/>
        <v>0</v>
      </c>
      <c r="AE748" s="131">
        <f t="shared" si="156"/>
        <v>0</v>
      </c>
      <c r="AF748" s="131">
        <f t="shared" si="157"/>
        <v>0</v>
      </c>
      <c r="AG748" s="140">
        <f t="shared" si="158"/>
        <v>0</v>
      </c>
      <c r="AH748" s="140">
        <f t="shared" si="159"/>
        <v>0</v>
      </c>
      <c r="AI748" s="140">
        <f t="shared" si="160"/>
        <v>0</v>
      </c>
      <c r="AJ748" s="131">
        <f t="shared" si="161"/>
        <v>0</v>
      </c>
      <c r="AK748" s="131">
        <f t="shared" si="162"/>
        <v>0</v>
      </c>
      <c r="AL748" s="127">
        <f t="shared" si="167"/>
        <v>0</v>
      </c>
      <c r="AM748" s="140">
        <f t="shared" si="163"/>
        <v>0</v>
      </c>
      <c r="AN748" s="140">
        <f t="shared" si="164"/>
        <v>0</v>
      </c>
      <c r="AO748" s="140">
        <f t="shared" si="165"/>
        <v>0</v>
      </c>
      <c r="AP748" s="140">
        <f t="shared" si="166"/>
        <v>0</v>
      </c>
    </row>
    <row r="749" spans="2:42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AC749" s="131">
        <f t="shared" si="154"/>
        <v>0</v>
      </c>
      <c r="AD749" s="131">
        <f t="shared" si="155"/>
        <v>0</v>
      </c>
      <c r="AE749" s="131">
        <f t="shared" si="156"/>
        <v>0</v>
      </c>
      <c r="AF749" s="131">
        <f t="shared" si="157"/>
        <v>0</v>
      </c>
      <c r="AG749" s="140">
        <f t="shared" si="158"/>
        <v>0</v>
      </c>
      <c r="AH749" s="140">
        <f t="shared" si="159"/>
        <v>0</v>
      </c>
      <c r="AI749" s="140">
        <f t="shared" si="160"/>
        <v>0</v>
      </c>
      <c r="AJ749" s="131">
        <f t="shared" si="161"/>
        <v>0</v>
      </c>
      <c r="AK749" s="131">
        <f t="shared" si="162"/>
        <v>0</v>
      </c>
      <c r="AL749" s="127">
        <f t="shared" si="167"/>
        <v>0</v>
      </c>
      <c r="AM749" s="140">
        <f t="shared" si="163"/>
        <v>0</v>
      </c>
      <c r="AN749" s="140">
        <f t="shared" si="164"/>
        <v>0</v>
      </c>
      <c r="AO749" s="140">
        <f t="shared" si="165"/>
        <v>0</v>
      </c>
      <c r="AP749" s="140">
        <f t="shared" si="166"/>
        <v>0</v>
      </c>
    </row>
    <row r="750" spans="2:42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AC750" s="131">
        <f t="shared" si="154"/>
        <v>0</v>
      </c>
      <c r="AD750" s="131">
        <f t="shared" si="155"/>
        <v>0</v>
      </c>
      <c r="AE750" s="131">
        <f t="shared" si="156"/>
        <v>0</v>
      </c>
      <c r="AF750" s="131">
        <f t="shared" si="157"/>
        <v>0</v>
      </c>
      <c r="AG750" s="140">
        <f t="shared" si="158"/>
        <v>0</v>
      </c>
      <c r="AH750" s="140">
        <f t="shared" si="159"/>
        <v>0</v>
      </c>
      <c r="AI750" s="140">
        <f t="shared" si="160"/>
        <v>0</v>
      </c>
      <c r="AJ750" s="131">
        <f t="shared" si="161"/>
        <v>0</v>
      </c>
      <c r="AK750" s="131">
        <f t="shared" si="162"/>
        <v>0</v>
      </c>
      <c r="AL750" s="127">
        <f t="shared" si="167"/>
        <v>0</v>
      </c>
      <c r="AM750" s="140">
        <f t="shared" si="163"/>
        <v>0</v>
      </c>
      <c r="AN750" s="140">
        <f t="shared" si="164"/>
        <v>0</v>
      </c>
      <c r="AO750" s="140">
        <f t="shared" si="165"/>
        <v>0</v>
      </c>
      <c r="AP750" s="140">
        <f t="shared" si="166"/>
        <v>0</v>
      </c>
    </row>
    <row r="751" spans="2:42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AC751" s="131">
        <f t="shared" si="154"/>
        <v>0</v>
      </c>
      <c r="AD751" s="131">
        <f t="shared" si="155"/>
        <v>0</v>
      </c>
      <c r="AE751" s="131">
        <f t="shared" si="156"/>
        <v>0</v>
      </c>
      <c r="AF751" s="131">
        <f t="shared" si="157"/>
        <v>0</v>
      </c>
      <c r="AG751" s="140">
        <f t="shared" si="158"/>
        <v>0</v>
      </c>
      <c r="AH751" s="140">
        <f t="shared" si="159"/>
        <v>0</v>
      </c>
      <c r="AI751" s="140">
        <f t="shared" si="160"/>
        <v>0</v>
      </c>
      <c r="AJ751" s="131">
        <f t="shared" si="161"/>
        <v>0</v>
      </c>
      <c r="AK751" s="131">
        <f t="shared" si="162"/>
        <v>0</v>
      </c>
      <c r="AL751" s="127">
        <f t="shared" si="167"/>
        <v>0</v>
      </c>
      <c r="AM751" s="140">
        <f t="shared" si="163"/>
        <v>0</v>
      </c>
      <c r="AN751" s="140">
        <f t="shared" si="164"/>
        <v>0</v>
      </c>
      <c r="AO751" s="140">
        <f t="shared" si="165"/>
        <v>0</v>
      </c>
      <c r="AP751" s="140">
        <f t="shared" si="166"/>
        <v>0</v>
      </c>
    </row>
    <row r="752" spans="2:42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AC752" s="131">
        <f t="shared" si="154"/>
        <v>0</v>
      </c>
      <c r="AD752" s="131">
        <f t="shared" si="155"/>
        <v>0</v>
      </c>
      <c r="AE752" s="131">
        <f t="shared" si="156"/>
        <v>0</v>
      </c>
      <c r="AF752" s="131">
        <f t="shared" si="157"/>
        <v>0</v>
      </c>
      <c r="AG752" s="140">
        <f t="shared" si="158"/>
        <v>0</v>
      </c>
      <c r="AH752" s="140">
        <f t="shared" si="159"/>
        <v>0</v>
      </c>
      <c r="AI752" s="140">
        <f t="shared" si="160"/>
        <v>0</v>
      </c>
      <c r="AJ752" s="131">
        <f t="shared" si="161"/>
        <v>0</v>
      </c>
      <c r="AK752" s="131">
        <f t="shared" si="162"/>
        <v>0</v>
      </c>
      <c r="AL752" s="127">
        <f t="shared" si="167"/>
        <v>0</v>
      </c>
      <c r="AM752" s="140">
        <f t="shared" si="163"/>
        <v>0</v>
      </c>
      <c r="AN752" s="140">
        <f t="shared" si="164"/>
        <v>0</v>
      </c>
      <c r="AO752" s="140">
        <f t="shared" si="165"/>
        <v>0</v>
      </c>
      <c r="AP752" s="140">
        <f t="shared" si="166"/>
        <v>0</v>
      </c>
    </row>
    <row r="753" spans="2:42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AC753" s="131">
        <f t="shared" si="154"/>
        <v>0</v>
      </c>
      <c r="AD753" s="131">
        <f t="shared" si="155"/>
        <v>0</v>
      </c>
      <c r="AE753" s="131">
        <f t="shared" si="156"/>
        <v>0</v>
      </c>
      <c r="AF753" s="131">
        <f t="shared" si="157"/>
        <v>0</v>
      </c>
      <c r="AG753" s="140">
        <f t="shared" si="158"/>
        <v>0</v>
      </c>
      <c r="AH753" s="140">
        <f t="shared" si="159"/>
        <v>0</v>
      </c>
      <c r="AI753" s="140">
        <f t="shared" si="160"/>
        <v>0</v>
      </c>
      <c r="AJ753" s="131">
        <f t="shared" si="161"/>
        <v>0</v>
      </c>
      <c r="AK753" s="131">
        <f t="shared" si="162"/>
        <v>0</v>
      </c>
      <c r="AL753" s="127">
        <f t="shared" si="167"/>
        <v>0</v>
      </c>
      <c r="AM753" s="140">
        <f t="shared" si="163"/>
        <v>0</v>
      </c>
      <c r="AN753" s="140">
        <f t="shared" si="164"/>
        <v>0</v>
      </c>
      <c r="AO753" s="140">
        <f t="shared" si="165"/>
        <v>0</v>
      </c>
      <c r="AP753" s="140">
        <f t="shared" si="166"/>
        <v>0</v>
      </c>
    </row>
    <row r="754" spans="2:42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AC754" s="131">
        <f t="shared" si="154"/>
        <v>0</v>
      </c>
      <c r="AD754" s="131">
        <f t="shared" si="155"/>
        <v>0</v>
      </c>
      <c r="AE754" s="131">
        <f t="shared" si="156"/>
        <v>0</v>
      </c>
      <c r="AF754" s="131">
        <f t="shared" si="157"/>
        <v>0</v>
      </c>
      <c r="AG754" s="140">
        <f t="shared" si="158"/>
        <v>0</v>
      </c>
      <c r="AH754" s="140">
        <f t="shared" si="159"/>
        <v>0</v>
      </c>
      <c r="AI754" s="140">
        <f t="shared" si="160"/>
        <v>0</v>
      </c>
      <c r="AJ754" s="131">
        <f t="shared" si="161"/>
        <v>0</v>
      </c>
      <c r="AK754" s="131">
        <f t="shared" si="162"/>
        <v>0</v>
      </c>
      <c r="AL754" s="127">
        <f t="shared" si="167"/>
        <v>0</v>
      </c>
      <c r="AM754" s="140">
        <f t="shared" si="163"/>
        <v>0</v>
      </c>
      <c r="AN754" s="140">
        <f t="shared" si="164"/>
        <v>0</v>
      </c>
      <c r="AO754" s="140">
        <f t="shared" si="165"/>
        <v>0</v>
      </c>
      <c r="AP754" s="140">
        <f t="shared" si="166"/>
        <v>0</v>
      </c>
    </row>
    <row r="755" spans="2:42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AC755" s="131">
        <f t="shared" si="154"/>
        <v>0</v>
      </c>
      <c r="AD755" s="131">
        <f t="shared" si="155"/>
        <v>0</v>
      </c>
      <c r="AE755" s="131">
        <f t="shared" si="156"/>
        <v>0</v>
      </c>
      <c r="AF755" s="131">
        <f t="shared" si="157"/>
        <v>0</v>
      </c>
      <c r="AG755" s="140">
        <f t="shared" si="158"/>
        <v>0</v>
      </c>
      <c r="AH755" s="140">
        <f t="shared" si="159"/>
        <v>0</v>
      </c>
      <c r="AI755" s="140">
        <f t="shared" si="160"/>
        <v>0</v>
      </c>
      <c r="AJ755" s="131">
        <f t="shared" si="161"/>
        <v>0</v>
      </c>
      <c r="AK755" s="131">
        <f t="shared" si="162"/>
        <v>0</v>
      </c>
      <c r="AL755" s="127">
        <f t="shared" si="167"/>
        <v>0</v>
      </c>
      <c r="AM755" s="140">
        <f t="shared" si="163"/>
        <v>0</v>
      </c>
      <c r="AN755" s="140">
        <f t="shared" si="164"/>
        <v>0</v>
      </c>
      <c r="AO755" s="140">
        <f t="shared" si="165"/>
        <v>0</v>
      </c>
      <c r="AP755" s="140">
        <f t="shared" si="166"/>
        <v>0</v>
      </c>
    </row>
    <row r="756" spans="2:42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AC756" s="131">
        <f t="shared" si="154"/>
        <v>0</v>
      </c>
      <c r="AD756" s="131">
        <f t="shared" si="155"/>
        <v>0</v>
      </c>
      <c r="AE756" s="131">
        <f t="shared" si="156"/>
        <v>0</v>
      </c>
      <c r="AF756" s="131">
        <f t="shared" si="157"/>
        <v>0</v>
      </c>
      <c r="AG756" s="140">
        <f t="shared" si="158"/>
        <v>0</v>
      </c>
      <c r="AH756" s="140">
        <f t="shared" si="159"/>
        <v>0</v>
      </c>
      <c r="AI756" s="140">
        <f t="shared" si="160"/>
        <v>0</v>
      </c>
      <c r="AJ756" s="131">
        <f t="shared" si="161"/>
        <v>0</v>
      </c>
      <c r="AK756" s="131">
        <f t="shared" si="162"/>
        <v>0</v>
      </c>
      <c r="AL756" s="127">
        <f t="shared" si="167"/>
        <v>0</v>
      </c>
      <c r="AM756" s="140">
        <f t="shared" si="163"/>
        <v>0</v>
      </c>
      <c r="AN756" s="140">
        <f t="shared" si="164"/>
        <v>0</v>
      </c>
      <c r="AO756" s="140">
        <f t="shared" si="165"/>
        <v>0</v>
      </c>
      <c r="AP756" s="140">
        <f t="shared" si="166"/>
        <v>0</v>
      </c>
    </row>
    <row r="757" spans="2:42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AC757" s="131">
        <f t="shared" si="154"/>
        <v>0</v>
      </c>
      <c r="AD757" s="131">
        <f t="shared" si="155"/>
        <v>0</v>
      </c>
      <c r="AE757" s="131">
        <f t="shared" si="156"/>
        <v>0</v>
      </c>
      <c r="AF757" s="131">
        <f t="shared" si="157"/>
        <v>0</v>
      </c>
      <c r="AG757" s="140">
        <f t="shared" si="158"/>
        <v>0</v>
      </c>
      <c r="AH757" s="140">
        <f t="shared" si="159"/>
        <v>0</v>
      </c>
      <c r="AI757" s="140">
        <f t="shared" si="160"/>
        <v>0</v>
      </c>
      <c r="AJ757" s="131">
        <f t="shared" si="161"/>
        <v>0</v>
      </c>
      <c r="AK757" s="131">
        <f t="shared" si="162"/>
        <v>0</v>
      </c>
      <c r="AL757" s="127">
        <f t="shared" si="167"/>
        <v>0</v>
      </c>
      <c r="AM757" s="140">
        <f t="shared" si="163"/>
        <v>0</v>
      </c>
      <c r="AN757" s="140">
        <f t="shared" si="164"/>
        <v>0</v>
      </c>
      <c r="AO757" s="140">
        <f t="shared" si="165"/>
        <v>0</v>
      </c>
      <c r="AP757" s="140">
        <f t="shared" si="166"/>
        <v>0</v>
      </c>
    </row>
    <row r="758" spans="2:42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AC758" s="131">
        <f t="shared" si="154"/>
        <v>0</v>
      </c>
      <c r="AD758" s="131">
        <f t="shared" si="155"/>
        <v>0</v>
      </c>
      <c r="AE758" s="131">
        <f t="shared" si="156"/>
        <v>0</v>
      </c>
      <c r="AF758" s="131">
        <f t="shared" si="157"/>
        <v>0</v>
      </c>
      <c r="AG758" s="140">
        <f t="shared" si="158"/>
        <v>0</v>
      </c>
      <c r="AH758" s="140">
        <f t="shared" si="159"/>
        <v>0</v>
      </c>
      <c r="AI758" s="140">
        <f t="shared" si="160"/>
        <v>0</v>
      </c>
      <c r="AJ758" s="131">
        <f t="shared" si="161"/>
        <v>0</v>
      </c>
      <c r="AK758" s="131">
        <f t="shared" si="162"/>
        <v>0</v>
      </c>
      <c r="AL758" s="127">
        <f t="shared" si="167"/>
        <v>0</v>
      </c>
      <c r="AM758" s="140">
        <f t="shared" si="163"/>
        <v>0</v>
      </c>
      <c r="AN758" s="140">
        <f t="shared" si="164"/>
        <v>0</v>
      </c>
      <c r="AO758" s="140">
        <f t="shared" si="165"/>
        <v>0</v>
      </c>
      <c r="AP758" s="140">
        <f t="shared" si="166"/>
        <v>0</v>
      </c>
    </row>
    <row r="759" spans="2:42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AC759" s="131">
        <f t="shared" si="154"/>
        <v>0</v>
      </c>
      <c r="AD759" s="131">
        <f t="shared" si="155"/>
        <v>0</v>
      </c>
      <c r="AE759" s="131">
        <f t="shared" si="156"/>
        <v>0</v>
      </c>
      <c r="AF759" s="131">
        <f t="shared" si="157"/>
        <v>0</v>
      </c>
      <c r="AG759" s="140">
        <f t="shared" si="158"/>
        <v>0</v>
      </c>
      <c r="AH759" s="140">
        <f t="shared" si="159"/>
        <v>0</v>
      </c>
      <c r="AI759" s="140">
        <f t="shared" si="160"/>
        <v>0</v>
      </c>
      <c r="AJ759" s="131">
        <f t="shared" si="161"/>
        <v>0</v>
      </c>
      <c r="AK759" s="131">
        <f t="shared" si="162"/>
        <v>0</v>
      </c>
      <c r="AL759" s="127">
        <f t="shared" si="167"/>
        <v>0</v>
      </c>
      <c r="AM759" s="140">
        <f t="shared" si="163"/>
        <v>0</v>
      </c>
      <c r="AN759" s="140">
        <f t="shared" si="164"/>
        <v>0</v>
      </c>
      <c r="AO759" s="140">
        <f t="shared" si="165"/>
        <v>0</v>
      </c>
      <c r="AP759" s="140">
        <f t="shared" si="166"/>
        <v>0</v>
      </c>
    </row>
    <row r="760" spans="2:42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AC760" s="131">
        <f t="shared" si="154"/>
        <v>0</v>
      </c>
      <c r="AD760" s="131">
        <f t="shared" si="155"/>
        <v>0</v>
      </c>
      <c r="AE760" s="131">
        <f t="shared" si="156"/>
        <v>0</v>
      </c>
      <c r="AF760" s="131">
        <f t="shared" si="157"/>
        <v>0</v>
      </c>
      <c r="AG760" s="140">
        <f t="shared" si="158"/>
        <v>0</v>
      </c>
      <c r="AH760" s="140">
        <f t="shared" si="159"/>
        <v>0</v>
      </c>
      <c r="AI760" s="140">
        <f t="shared" si="160"/>
        <v>0</v>
      </c>
      <c r="AJ760" s="131">
        <f t="shared" si="161"/>
        <v>0</v>
      </c>
      <c r="AK760" s="131">
        <f t="shared" si="162"/>
        <v>0</v>
      </c>
      <c r="AL760" s="127">
        <f t="shared" si="167"/>
        <v>0</v>
      </c>
      <c r="AM760" s="140">
        <f t="shared" si="163"/>
        <v>0</v>
      </c>
      <c r="AN760" s="140">
        <f t="shared" si="164"/>
        <v>0</v>
      </c>
      <c r="AO760" s="140">
        <f t="shared" si="165"/>
        <v>0</v>
      </c>
      <c r="AP760" s="140">
        <f t="shared" si="166"/>
        <v>0</v>
      </c>
    </row>
    <row r="761" spans="2:42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AC761" s="131">
        <f t="shared" si="154"/>
        <v>0</v>
      </c>
      <c r="AD761" s="131">
        <f t="shared" si="155"/>
        <v>0</v>
      </c>
      <c r="AE761" s="131">
        <f t="shared" si="156"/>
        <v>0</v>
      </c>
      <c r="AF761" s="131">
        <f t="shared" si="157"/>
        <v>0</v>
      </c>
      <c r="AG761" s="140">
        <f t="shared" si="158"/>
        <v>0</v>
      </c>
      <c r="AH761" s="140">
        <f t="shared" si="159"/>
        <v>0</v>
      </c>
      <c r="AI761" s="140">
        <f t="shared" si="160"/>
        <v>0</v>
      </c>
      <c r="AJ761" s="131">
        <f t="shared" si="161"/>
        <v>0</v>
      </c>
      <c r="AK761" s="131">
        <f t="shared" si="162"/>
        <v>0</v>
      </c>
      <c r="AL761" s="127">
        <f t="shared" si="167"/>
        <v>0</v>
      </c>
      <c r="AM761" s="140">
        <f t="shared" si="163"/>
        <v>0</v>
      </c>
      <c r="AN761" s="140">
        <f t="shared" si="164"/>
        <v>0</v>
      </c>
      <c r="AO761" s="140">
        <f t="shared" si="165"/>
        <v>0</v>
      </c>
      <c r="AP761" s="140">
        <f t="shared" si="166"/>
        <v>0</v>
      </c>
    </row>
    <row r="762" spans="2:42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AC762" s="131">
        <f t="shared" si="154"/>
        <v>0</v>
      </c>
      <c r="AD762" s="131">
        <f t="shared" si="155"/>
        <v>0</v>
      </c>
      <c r="AE762" s="131">
        <f t="shared" si="156"/>
        <v>0</v>
      </c>
      <c r="AF762" s="131">
        <f t="shared" si="157"/>
        <v>0</v>
      </c>
      <c r="AG762" s="140">
        <f t="shared" si="158"/>
        <v>0</v>
      </c>
      <c r="AH762" s="140">
        <f t="shared" si="159"/>
        <v>0</v>
      </c>
      <c r="AI762" s="140">
        <f t="shared" si="160"/>
        <v>0</v>
      </c>
      <c r="AJ762" s="131">
        <f t="shared" si="161"/>
        <v>0</v>
      </c>
      <c r="AK762" s="131">
        <f t="shared" si="162"/>
        <v>0</v>
      </c>
      <c r="AL762" s="127">
        <f t="shared" si="167"/>
        <v>0</v>
      </c>
      <c r="AM762" s="140">
        <f t="shared" si="163"/>
        <v>0</v>
      </c>
      <c r="AN762" s="140">
        <f t="shared" si="164"/>
        <v>0</v>
      </c>
      <c r="AO762" s="140">
        <f t="shared" si="165"/>
        <v>0</v>
      </c>
      <c r="AP762" s="140">
        <f t="shared" si="166"/>
        <v>0</v>
      </c>
    </row>
    <row r="763" spans="2:42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AC763" s="131">
        <f t="shared" ref="AC763:AC826" si="168">+H763</f>
        <v>0</v>
      </c>
      <c r="AD763" s="131">
        <f t="shared" ref="AD763:AD826" si="169">+I763</f>
        <v>0</v>
      </c>
      <c r="AE763" s="131">
        <f t="shared" ref="AE763:AE826" si="170">+J763</f>
        <v>0</v>
      </c>
      <c r="AF763" s="131">
        <f t="shared" ref="AF763:AF826" si="171">+K763</f>
        <v>0</v>
      </c>
      <c r="AG763" s="140">
        <f t="shared" ref="AG763:AG826" si="172">+G763</f>
        <v>0</v>
      </c>
      <c r="AH763" s="140">
        <f t="shared" ref="AH763:AH826" si="173">+L763</f>
        <v>0</v>
      </c>
      <c r="AI763" s="140">
        <f t="shared" ref="AI763:AI826" si="174">+M763</f>
        <v>0</v>
      </c>
      <c r="AJ763" s="131">
        <f t="shared" ref="AJ763:AJ826" si="175">+T763</f>
        <v>0</v>
      </c>
      <c r="AK763" s="131">
        <f t="shared" ref="AK763:AK826" si="176">+N763+O763</f>
        <v>0</v>
      </c>
      <c r="AL763" s="127">
        <f t="shared" si="167"/>
        <v>0</v>
      </c>
      <c r="AM763" s="140">
        <f t="shared" ref="AM763:AM826" si="177">+P763+R763</f>
        <v>0</v>
      </c>
      <c r="AN763" s="140">
        <f t="shared" ref="AN763:AN826" si="178">+Q763+S763</f>
        <v>0</v>
      </c>
      <c r="AO763" s="140">
        <f t="shared" ref="AO763:AO826" si="179">+U763</f>
        <v>0</v>
      </c>
      <c r="AP763" s="140">
        <f t="shared" ref="AP763:AP826" si="180">+AG763+AH763+AJ763-AK763-AM763-AO763</f>
        <v>0</v>
      </c>
    </row>
    <row r="764" spans="2:42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AC764" s="131">
        <f t="shared" si="168"/>
        <v>0</v>
      </c>
      <c r="AD764" s="131">
        <f t="shared" si="169"/>
        <v>0</v>
      </c>
      <c r="AE764" s="131">
        <f t="shared" si="170"/>
        <v>0</v>
      </c>
      <c r="AF764" s="131">
        <f t="shared" si="171"/>
        <v>0</v>
      </c>
      <c r="AG764" s="140">
        <f t="shared" si="172"/>
        <v>0</v>
      </c>
      <c r="AH764" s="140">
        <f t="shared" si="173"/>
        <v>0</v>
      </c>
      <c r="AI764" s="140">
        <f t="shared" si="174"/>
        <v>0</v>
      </c>
      <c r="AJ764" s="131">
        <f t="shared" si="175"/>
        <v>0</v>
      </c>
      <c r="AK764" s="131">
        <f t="shared" si="176"/>
        <v>0</v>
      </c>
      <c r="AL764" s="127">
        <f t="shared" si="167"/>
        <v>0</v>
      </c>
      <c r="AM764" s="140">
        <f t="shared" si="177"/>
        <v>0</v>
      </c>
      <c r="AN764" s="140">
        <f t="shared" si="178"/>
        <v>0</v>
      </c>
      <c r="AO764" s="140">
        <f t="shared" si="179"/>
        <v>0</v>
      </c>
      <c r="AP764" s="140">
        <f t="shared" si="180"/>
        <v>0</v>
      </c>
    </row>
    <row r="765" spans="2:42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AC765" s="131">
        <f t="shared" si="168"/>
        <v>0</v>
      </c>
      <c r="AD765" s="131">
        <f t="shared" si="169"/>
        <v>0</v>
      </c>
      <c r="AE765" s="131">
        <f t="shared" si="170"/>
        <v>0</v>
      </c>
      <c r="AF765" s="131">
        <f t="shared" si="171"/>
        <v>0</v>
      </c>
      <c r="AG765" s="140">
        <f t="shared" si="172"/>
        <v>0</v>
      </c>
      <c r="AH765" s="140">
        <f t="shared" si="173"/>
        <v>0</v>
      </c>
      <c r="AI765" s="140">
        <f t="shared" si="174"/>
        <v>0</v>
      </c>
      <c r="AJ765" s="131">
        <f t="shared" si="175"/>
        <v>0</v>
      </c>
      <c r="AK765" s="131">
        <f t="shared" si="176"/>
        <v>0</v>
      </c>
      <c r="AL765" s="127">
        <f t="shared" si="167"/>
        <v>0</v>
      </c>
      <c r="AM765" s="140">
        <f t="shared" si="177"/>
        <v>0</v>
      </c>
      <c r="AN765" s="140">
        <f t="shared" si="178"/>
        <v>0</v>
      </c>
      <c r="AO765" s="140">
        <f t="shared" si="179"/>
        <v>0</v>
      </c>
      <c r="AP765" s="140">
        <f t="shared" si="180"/>
        <v>0</v>
      </c>
    </row>
    <row r="766" spans="2:42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AC766" s="131">
        <f t="shared" si="168"/>
        <v>0</v>
      </c>
      <c r="AD766" s="131">
        <f t="shared" si="169"/>
        <v>0</v>
      </c>
      <c r="AE766" s="131">
        <f t="shared" si="170"/>
        <v>0</v>
      </c>
      <c r="AF766" s="131">
        <f t="shared" si="171"/>
        <v>0</v>
      </c>
      <c r="AG766" s="140">
        <f t="shared" si="172"/>
        <v>0</v>
      </c>
      <c r="AH766" s="140">
        <f t="shared" si="173"/>
        <v>0</v>
      </c>
      <c r="AI766" s="140">
        <f t="shared" si="174"/>
        <v>0</v>
      </c>
      <c r="AJ766" s="131">
        <f t="shared" si="175"/>
        <v>0</v>
      </c>
      <c r="AK766" s="131">
        <f t="shared" si="176"/>
        <v>0</v>
      </c>
      <c r="AL766" s="127">
        <f t="shared" si="167"/>
        <v>0</v>
      </c>
      <c r="AM766" s="140">
        <f t="shared" si="177"/>
        <v>0</v>
      </c>
      <c r="AN766" s="140">
        <f t="shared" si="178"/>
        <v>0</v>
      </c>
      <c r="AO766" s="140">
        <f t="shared" si="179"/>
        <v>0</v>
      </c>
      <c r="AP766" s="140">
        <f t="shared" si="180"/>
        <v>0</v>
      </c>
    </row>
    <row r="767" spans="2:42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AC767" s="131">
        <f t="shared" si="168"/>
        <v>0</v>
      </c>
      <c r="AD767" s="131">
        <f t="shared" si="169"/>
        <v>0</v>
      </c>
      <c r="AE767" s="131">
        <f t="shared" si="170"/>
        <v>0</v>
      </c>
      <c r="AF767" s="131">
        <f t="shared" si="171"/>
        <v>0</v>
      </c>
      <c r="AG767" s="140">
        <f t="shared" si="172"/>
        <v>0</v>
      </c>
      <c r="AH767" s="140">
        <f t="shared" si="173"/>
        <v>0</v>
      </c>
      <c r="AI767" s="140">
        <f t="shared" si="174"/>
        <v>0</v>
      </c>
      <c r="AJ767" s="131">
        <f t="shared" si="175"/>
        <v>0</v>
      </c>
      <c r="AK767" s="131">
        <f t="shared" si="176"/>
        <v>0</v>
      </c>
      <c r="AL767" s="127">
        <f t="shared" si="167"/>
        <v>0</v>
      </c>
      <c r="AM767" s="140">
        <f t="shared" si="177"/>
        <v>0</v>
      </c>
      <c r="AN767" s="140">
        <f t="shared" si="178"/>
        <v>0</v>
      </c>
      <c r="AO767" s="140">
        <f t="shared" si="179"/>
        <v>0</v>
      </c>
      <c r="AP767" s="140">
        <f t="shared" si="180"/>
        <v>0</v>
      </c>
    </row>
    <row r="768" spans="2:42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AC768" s="131">
        <f t="shared" si="168"/>
        <v>0</v>
      </c>
      <c r="AD768" s="131">
        <f t="shared" si="169"/>
        <v>0</v>
      </c>
      <c r="AE768" s="131">
        <f t="shared" si="170"/>
        <v>0</v>
      </c>
      <c r="AF768" s="131">
        <f t="shared" si="171"/>
        <v>0</v>
      </c>
      <c r="AG768" s="140">
        <f t="shared" si="172"/>
        <v>0</v>
      </c>
      <c r="AH768" s="140">
        <f t="shared" si="173"/>
        <v>0</v>
      </c>
      <c r="AI768" s="140">
        <f t="shared" si="174"/>
        <v>0</v>
      </c>
      <c r="AJ768" s="131">
        <f t="shared" si="175"/>
        <v>0</v>
      </c>
      <c r="AK768" s="131">
        <f t="shared" si="176"/>
        <v>0</v>
      </c>
      <c r="AL768" s="127">
        <f t="shared" si="167"/>
        <v>0</v>
      </c>
      <c r="AM768" s="140">
        <f t="shared" si="177"/>
        <v>0</v>
      </c>
      <c r="AN768" s="140">
        <f t="shared" si="178"/>
        <v>0</v>
      </c>
      <c r="AO768" s="140">
        <f t="shared" si="179"/>
        <v>0</v>
      </c>
      <c r="AP768" s="140">
        <f t="shared" si="180"/>
        <v>0</v>
      </c>
    </row>
    <row r="769" spans="2:42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AC769" s="131">
        <f t="shared" si="168"/>
        <v>0</v>
      </c>
      <c r="AD769" s="131">
        <f t="shared" si="169"/>
        <v>0</v>
      </c>
      <c r="AE769" s="131">
        <f t="shared" si="170"/>
        <v>0</v>
      </c>
      <c r="AF769" s="131">
        <f t="shared" si="171"/>
        <v>0</v>
      </c>
      <c r="AG769" s="140">
        <f t="shared" si="172"/>
        <v>0</v>
      </c>
      <c r="AH769" s="140">
        <f t="shared" si="173"/>
        <v>0</v>
      </c>
      <c r="AI769" s="140">
        <f t="shared" si="174"/>
        <v>0</v>
      </c>
      <c r="AJ769" s="131">
        <f t="shared" si="175"/>
        <v>0</v>
      </c>
      <c r="AK769" s="131">
        <f t="shared" si="176"/>
        <v>0</v>
      </c>
      <c r="AL769" s="127">
        <f t="shared" si="167"/>
        <v>0</v>
      </c>
      <c r="AM769" s="140">
        <f t="shared" si="177"/>
        <v>0</v>
      </c>
      <c r="AN769" s="140">
        <f t="shared" si="178"/>
        <v>0</v>
      </c>
      <c r="AO769" s="140">
        <f t="shared" si="179"/>
        <v>0</v>
      </c>
      <c r="AP769" s="140">
        <f t="shared" si="180"/>
        <v>0</v>
      </c>
    </row>
    <row r="770" spans="2:42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AC770" s="131">
        <f t="shared" si="168"/>
        <v>0</v>
      </c>
      <c r="AD770" s="131">
        <f t="shared" si="169"/>
        <v>0</v>
      </c>
      <c r="AE770" s="131">
        <f t="shared" si="170"/>
        <v>0</v>
      </c>
      <c r="AF770" s="131">
        <f t="shared" si="171"/>
        <v>0</v>
      </c>
      <c r="AG770" s="140">
        <f t="shared" si="172"/>
        <v>0</v>
      </c>
      <c r="AH770" s="140">
        <f t="shared" si="173"/>
        <v>0</v>
      </c>
      <c r="AI770" s="140">
        <f t="shared" si="174"/>
        <v>0</v>
      </c>
      <c r="AJ770" s="131">
        <f t="shared" si="175"/>
        <v>0</v>
      </c>
      <c r="AK770" s="131">
        <f t="shared" si="176"/>
        <v>0</v>
      </c>
      <c r="AL770" s="127">
        <f t="shared" si="167"/>
        <v>0</v>
      </c>
      <c r="AM770" s="140">
        <f t="shared" si="177"/>
        <v>0</v>
      </c>
      <c r="AN770" s="140">
        <f t="shared" si="178"/>
        <v>0</v>
      </c>
      <c r="AO770" s="140">
        <f t="shared" si="179"/>
        <v>0</v>
      </c>
      <c r="AP770" s="140">
        <f t="shared" si="180"/>
        <v>0</v>
      </c>
    </row>
    <row r="771" spans="2:42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AC771" s="131">
        <f t="shared" si="168"/>
        <v>0</v>
      </c>
      <c r="AD771" s="131">
        <f t="shared" si="169"/>
        <v>0</v>
      </c>
      <c r="AE771" s="131">
        <f t="shared" si="170"/>
        <v>0</v>
      </c>
      <c r="AF771" s="131">
        <f t="shared" si="171"/>
        <v>0</v>
      </c>
      <c r="AG771" s="140">
        <f t="shared" si="172"/>
        <v>0</v>
      </c>
      <c r="AH771" s="140">
        <f t="shared" si="173"/>
        <v>0</v>
      </c>
      <c r="AI771" s="140">
        <f t="shared" si="174"/>
        <v>0</v>
      </c>
      <c r="AJ771" s="131">
        <f t="shared" si="175"/>
        <v>0</v>
      </c>
      <c r="AK771" s="131">
        <f t="shared" si="176"/>
        <v>0</v>
      </c>
      <c r="AL771" s="127">
        <f t="shared" ref="AL771:AL834" si="181">ROUND(IFERROR(+AK771/AH771*100,0),2)</f>
        <v>0</v>
      </c>
      <c r="AM771" s="140">
        <f t="shared" si="177"/>
        <v>0</v>
      </c>
      <c r="AN771" s="140">
        <f t="shared" si="178"/>
        <v>0</v>
      </c>
      <c r="AO771" s="140">
        <f t="shared" si="179"/>
        <v>0</v>
      </c>
      <c r="AP771" s="140">
        <f t="shared" si="180"/>
        <v>0</v>
      </c>
    </row>
    <row r="772" spans="2:42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AC772" s="131">
        <f t="shared" si="168"/>
        <v>0</v>
      </c>
      <c r="AD772" s="131">
        <f t="shared" si="169"/>
        <v>0</v>
      </c>
      <c r="AE772" s="131">
        <f t="shared" si="170"/>
        <v>0</v>
      </c>
      <c r="AF772" s="131">
        <f t="shared" si="171"/>
        <v>0</v>
      </c>
      <c r="AG772" s="140">
        <f t="shared" si="172"/>
        <v>0</v>
      </c>
      <c r="AH772" s="140">
        <f t="shared" si="173"/>
        <v>0</v>
      </c>
      <c r="AI772" s="140">
        <f t="shared" si="174"/>
        <v>0</v>
      </c>
      <c r="AJ772" s="131">
        <f t="shared" si="175"/>
        <v>0</v>
      </c>
      <c r="AK772" s="131">
        <f t="shared" si="176"/>
        <v>0</v>
      </c>
      <c r="AL772" s="127">
        <f t="shared" si="181"/>
        <v>0</v>
      </c>
      <c r="AM772" s="140">
        <f t="shared" si="177"/>
        <v>0</v>
      </c>
      <c r="AN772" s="140">
        <f t="shared" si="178"/>
        <v>0</v>
      </c>
      <c r="AO772" s="140">
        <f t="shared" si="179"/>
        <v>0</v>
      </c>
      <c r="AP772" s="140">
        <f t="shared" si="180"/>
        <v>0</v>
      </c>
    </row>
    <row r="773" spans="2:42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AC773" s="131">
        <f t="shared" si="168"/>
        <v>0</v>
      </c>
      <c r="AD773" s="131">
        <f t="shared" si="169"/>
        <v>0</v>
      </c>
      <c r="AE773" s="131">
        <f t="shared" si="170"/>
        <v>0</v>
      </c>
      <c r="AF773" s="131">
        <f t="shared" si="171"/>
        <v>0</v>
      </c>
      <c r="AG773" s="140">
        <f t="shared" si="172"/>
        <v>0</v>
      </c>
      <c r="AH773" s="140">
        <f t="shared" si="173"/>
        <v>0</v>
      </c>
      <c r="AI773" s="140">
        <f t="shared" si="174"/>
        <v>0</v>
      </c>
      <c r="AJ773" s="131">
        <f t="shared" si="175"/>
        <v>0</v>
      </c>
      <c r="AK773" s="131">
        <f t="shared" si="176"/>
        <v>0</v>
      </c>
      <c r="AL773" s="127">
        <f t="shared" si="181"/>
        <v>0</v>
      </c>
      <c r="AM773" s="140">
        <f t="shared" si="177"/>
        <v>0</v>
      </c>
      <c r="AN773" s="140">
        <f t="shared" si="178"/>
        <v>0</v>
      </c>
      <c r="AO773" s="140">
        <f t="shared" si="179"/>
        <v>0</v>
      </c>
      <c r="AP773" s="140">
        <f t="shared" si="180"/>
        <v>0</v>
      </c>
    </row>
    <row r="774" spans="2:42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AC774" s="131">
        <f t="shared" si="168"/>
        <v>0</v>
      </c>
      <c r="AD774" s="131">
        <f t="shared" si="169"/>
        <v>0</v>
      </c>
      <c r="AE774" s="131">
        <f t="shared" si="170"/>
        <v>0</v>
      </c>
      <c r="AF774" s="131">
        <f t="shared" si="171"/>
        <v>0</v>
      </c>
      <c r="AG774" s="140">
        <f t="shared" si="172"/>
        <v>0</v>
      </c>
      <c r="AH774" s="140">
        <f t="shared" si="173"/>
        <v>0</v>
      </c>
      <c r="AI774" s="140">
        <f t="shared" si="174"/>
        <v>0</v>
      </c>
      <c r="AJ774" s="131">
        <f t="shared" si="175"/>
        <v>0</v>
      </c>
      <c r="AK774" s="131">
        <f t="shared" si="176"/>
        <v>0</v>
      </c>
      <c r="AL774" s="127">
        <f t="shared" si="181"/>
        <v>0</v>
      </c>
      <c r="AM774" s="140">
        <f t="shared" si="177"/>
        <v>0</v>
      </c>
      <c r="AN774" s="140">
        <f t="shared" si="178"/>
        <v>0</v>
      </c>
      <c r="AO774" s="140">
        <f t="shared" si="179"/>
        <v>0</v>
      </c>
      <c r="AP774" s="140">
        <f t="shared" si="180"/>
        <v>0</v>
      </c>
    </row>
    <row r="775" spans="2:42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AC775" s="131">
        <f t="shared" si="168"/>
        <v>0</v>
      </c>
      <c r="AD775" s="131">
        <f t="shared" si="169"/>
        <v>0</v>
      </c>
      <c r="AE775" s="131">
        <f t="shared" si="170"/>
        <v>0</v>
      </c>
      <c r="AF775" s="131">
        <f t="shared" si="171"/>
        <v>0</v>
      </c>
      <c r="AG775" s="140">
        <f t="shared" si="172"/>
        <v>0</v>
      </c>
      <c r="AH775" s="140">
        <f t="shared" si="173"/>
        <v>0</v>
      </c>
      <c r="AI775" s="140">
        <f t="shared" si="174"/>
        <v>0</v>
      </c>
      <c r="AJ775" s="131">
        <f t="shared" si="175"/>
        <v>0</v>
      </c>
      <c r="AK775" s="131">
        <f t="shared" si="176"/>
        <v>0</v>
      </c>
      <c r="AL775" s="127">
        <f t="shared" si="181"/>
        <v>0</v>
      </c>
      <c r="AM775" s="140">
        <f t="shared" si="177"/>
        <v>0</v>
      </c>
      <c r="AN775" s="140">
        <f t="shared" si="178"/>
        <v>0</v>
      </c>
      <c r="AO775" s="140">
        <f t="shared" si="179"/>
        <v>0</v>
      </c>
      <c r="AP775" s="140">
        <f t="shared" si="180"/>
        <v>0</v>
      </c>
    </row>
    <row r="776" spans="2:42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AC776" s="131">
        <f t="shared" si="168"/>
        <v>0</v>
      </c>
      <c r="AD776" s="131">
        <f t="shared" si="169"/>
        <v>0</v>
      </c>
      <c r="AE776" s="131">
        <f t="shared" si="170"/>
        <v>0</v>
      </c>
      <c r="AF776" s="131">
        <f t="shared" si="171"/>
        <v>0</v>
      </c>
      <c r="AG776" s="140">
        <f t="shared" si="172"/>
        <v>0</v>
      </c>
      <c r="AH776" s="140">
        <f t="shared" si="173"/>
        <v>0</v>
      </c>
      <c r="AI776" s="140">
        <f t="shared" si="174"/>
        <v>0</v>
      </c>
      <c r="AJ776" s="131">
        <f t="shared" si="175"/>
        <v>0</v>
      </c>
      <c r="AK776" s="131">
        <f t="shared" si="176"/>
        <v>0</v>
      </c>
      <c r="AL776" s="127">
        <f t="shared" si="181"/>
        <v>0</v>
      </c>
      <c r="AM776" s="140">
        <f t="shared" si="177"/>
        <v>0</v>
      </c>
      <c r="AN776" s="140">
        <f t="shared" si="178"/>
        <v>0</v>
      </c>
      <c r="AO776" s="140">
        <f t="shared" si="179"/>
        <v>0</v>
      </c>
      <c r="AP776" s="140">
        <f t="shared" si="180"/>
        <v>0</v>
      </c>
    </row>
    <row r="777" spans="2:42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AC777" s="131">
        <f t="shared" si="168"/>
        <v>0</v>
      </c>
      <c r="AD777" s="131">
        <f t="shared" si="169"/>
        <v>0</v>
      </c>
      <c r="AE777" s="131">
        <f t="shared" si="170"/>
        <v>0</v>
      </c>
      <c r="AF777" s="131">
        <f t="shared" si="171"/>
        <v>0</v>
      </c>
      <c r="AG777" s="140">
        <f t="shared" si="172"/>
        <v>0</v>
      </c>
      <c r="AH777" s="140">
        <f t="shared" si="173"/>
        <v>0</v>
      </c>
      <c r="AI777" s="140">
        <f t="shared" si="174"/>
        <v>0</v>
      </c>
      <c r="AJ777" s="131">
        <f t="shared" si="175"/>
        <v>0</v>
      </c>
      <c r="AK777" s="131">
        <f t="shared" si="176"/>
        <v>0</v>
      </c>
      <c r="AL777" s="127">
        <f t="shared" si="181"/>
        <v>0</v>
      </c>
      <c r="AM777" s="140">
        <f t="shared" si="177"/>
        <v>0</v>
      </c>
      <c r="AN777" s="140">
        <f t="shared" si="178"/>
        <v>0</v>
      </c>
      <c r="AO777" s="140">
        <f t="shared" si="179"/>
        <v>0</v>
      </c>
      <c r="AP777" s="140">
        <f t="shared" si="180"/>
        <v>0</v>
      </c>
    </row>
    <row r="778" spans="2:42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AC778" s="131">
        <f t="shared" si="168"/>
        <v>0</v>
      </c>
      <c r="AD778" s="131">
        <f t="shared" si="169"/>
        <v>0</v>
      </c>
      <c r="AE778" s="131">
        <f t="shared" si="170"/>
        <v>0</v>
      </c>
      <c r="AF778" s="131">
        <f t="shared" si="171"/>
        <v>0</v>
      </c>
      <c r="AG778" s="140">
        <f t="shared" si="172"/>
        <v>0</v>
      </c>
      <c r="AH778" s="140">
        <f t="shared" si="173"/>
        <v>0</v>
      </c>
      <c r="AI778" s="140">
        <f t="shared" si="174"/>
        <v>0</v>
      </c>
      <c r="AJ778" s="131">
        <f t="shared" si="175"/>
        <v>0</v>
      </c>
      <c r="AK778" s="131">
        <f t="shared" si="176"/>
        <v>0</v>
      </c>
      <c r="AL778" s="127">
        <f t="shared" si="181"/>
        <v>0</v>
      </c>
      <c r="AM778" s="140">
        <f t="shared" si="177"/>
        <v>0</v>
      </c>
      <c r="AN778" s="140">
        <f t="shared" si="178"/>
        <v>0</v>
      </c>
      <c r="AO778" s="140">
        <f t="shared" si="179"/>
        <v>0</v>
      </c>
      <c r="AP778" s="140">
        <f t="shared" si="180"/>
        <v>0</v>
      </c>
    </row>
    <row r="779" spans="2:42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AC779" s="131">
        <f t="shared" si="168"/>
        <v>0</v>
      </c>
      <c r="AD779" s="131">
        <f t="shared" si="169"/>
        <v>0</v>
      </c>
      <c r="AE779" s="131">
        <f t="shared" si="170"/>
        <v>0</v>
      </c>
      <c r="AF779" s="131">
        <f t="shared" si="171"/>
        <v>0</v>
      </c>
      <c r="AG779" s="140">
        <f t="shared" si="172"/>
        <v>0</v>
      </c>
      <c r="AH779" s="140">
        <f t="shared" si="173"/>
        <v>0</v>
      </c>
      <c r="AI779" s="140">
        <f t="shared" si="174"/>
        <v>0</v>
      </c>
      <c r="AJ779" s="131">
        <f t="shared" si="175"/>
        <v>0</v>
      </c>
      <c r="AK779" s="131">
        <f t="shared" si="176"/>
        <v>0</v>
      </c>
      <c r="AL779" s="127">
        <f t="shared" si="181"/>
        <v>0</v>
      </c>
      <c r="AM779" s="140">
        <f t="shared" si="177"/>
        <v>0</v>
      </c>
      <c r="AN779" s="140">
        <f t="shared" si="178"/>
        <v>0</v>
      </c>
      <c r="AO779" s="140">
        <f t="shared" si="179"/>
        <v>0</v>
      </c>
      <c r="AP779" s="140">
        <f t="shared" si="180"/>
        <v>0</v>
      </c>
    </row>
    <row r="780" spans="2:42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AC780" s="131">
        <f t="shared" si="168"/>
        <v>0</v>
      </c>
      <c r="AD780" s="131">
        <f t="shared" si="169"/>
        <v>0</v>
      </c>
      <c r="AE780" s="131">
        <f t="shared" si="170"/>
        <v>0</v>
      </c>
      <c r="AF780" s="131">
        <f t="shared" si="171"/>
        <v>0</v>
      </c>
      <c r="AG780" s="140">
        <f t="shared" si="172"/>
        <v>0</v>
      </c>
      <c r="AH780" s="140">
        <f t="shared" si="173"/>
        <v>0</v>
      </c>
      <c r="AI780" s="140">
        <f t="shared" si="174"/>
        <v>0</v>
      </c>
      <c r="AJ780" s="131">
        <f t="shared" si="175"/>
        <v>0</v>
      </c>
      <c r="AK780" s="131">
        <f t="shared" si="176"/>
        <v>0</v>
      </c>
      <c r="AL780" s="127">
        <f t="shared" si="181"/>
        <v>0</v>
      </c>
      <c r="AM780" s="140">
        <f t="shared" si="177"/>
        <v>0</v>
      </c>
      <c r="AN780" s="140">
        <f t="shared" si="178"/>
        <v>0</v>
      </c>
      <c r="AO780" s="140">
        <f t="shared" si="179"/>
        <v>0</v>
      </c>
      <c r="AP780" s="140">
        <f t="shared" si="180"/>
        <v>0</v>
      </c>
    </row>
    <row r="781" spans="2:42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AC781" s="131">
        <f t="shared" si="168"/>
        <v>0</v>
      </c>
      <c r="AD781" s="131">
        <f t="shared" si="169"/>
        <v>0</v>
      </c>
      <c r="AE781" s="131">
        <f t="shared" si="170"/>
        <v>0</v>
      </c>
      <c r="AF781" s="131">
        <f t="shared" si="171"/>
        <v>0</v>
      </c>
      <c r="AG781" s="140">
        <f t="shared" si="172"/>
        <v>0</v>
      </c>
      <c r="AH781" s="140">
        <f t="shared" si="173"/>
        <v>0</v>
      </c>
      <c r="AI781" s="140">
        <f t="shared" si="174"/>
        <v>0</v>
      </c>
      <c r="AJ781" s="131">
        <f t="shared" si="175"/>
        <v>0</v>
      </c>
      <c r="AK781" s="131">
        <f t="shared" si="176"/>
        <v>0</v>
      </c>
      <c r="AL781" s="127">
        <f t="shared" si="181"/>
        <v>0</v>
      </c>
      <c r="AM781" s="140">
        <f t="shared" si="177"/>
        <v>0</v>
      </c>
      <c r="AN781" s="140">
        <f t="shared" si="178"/>
        <v>0</v>
      </c>
      <c r="AO781" s="140">
        <f t="shared" si="179"/>
        <v>0</v>
      </c>
      <c r="AP781" s="140">
        <f t="shared" si="180"/>
        <v>0</v>
      </c>
    </row>
    <row r="782" spans="2:42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AC782" s="131">
        <f t="shared" si="168"/>
        <v>0</v>
      </c>
      <c r="AD782" s="131">
        <f t="shared" si="169"/>
        <v>0</v>
      </c>
      <c r="AE782" s="131">
        <f t="shared" si="170"/>
        <v>0</v>
      </c>
      <c r="AF782" s="131">
        <f t="shared" si="171"/>
        <v>0</v>
      </c>
      <c r="AG782" s="140">
        <f t="shared" si="172"/>
        <v>0</v>
      </c>
      <c r="AH782" s="140">
        <f t="shared" si="173"/>
        <v>0</v>
      </c>
      <c r="AI782" s="140">
        <f t="shared" si="174"/>
        <v>0</v>
      </c>
      <c r="AJ782" s="131">
        <f t="shared" si="175"/>
        <v>0</v>
      </c>
      <c r="AK782" s="131">
        <f t="shared" si="176"/>
        <v>0</v>
      </c>
      <c r="AL782" s="127">
        <f t="shared" si="181"/>
        <v>0</v>
      </c>
      <c r="AM782" s="140">
        <f t="shared" si="177"/>
        <v>0</v>
      </c>
      <c r="AN782" s="140">
        <f t="shared" si="178"/>
        <v>0</v>
      </c>
      <c r="AO782" s="140">
        <f t="shared" si="179"/>
        <v>0</v>
      </c>
      <c r="AP782" s="140">
        <f t="shared" si="180"/>
        <v>0</v>
      </c>
    </row>
    <row r="783" spans="2:42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AC783" s="131">
        <f t="shared" si="168"/>
        <v>0</v>
      </c>
      <c r="AD783" s="131">
        <f t="shared" si="169"/>
        <v>0</v>
      </c>
      <c r="AE783" s="131">
        <f t="shared" si="170"/>
        <v>0</v>
      </c>
      <c r="AF783" s="131">
        <f t="shared" si="171"/>
        <v>0</v>
      </c>
      <c r="AG783" s="140">
        <f t="shared" si="172"/>
        <v>0</v>
      </c>
      <c r="AH783" s="140">
        <f t="shared" si="173"/>
        <v>0</v>
      </c>
      <c r="AI783" s="140">
        <f t="shared" si="174"/>
        <v>0</v>
      </c>
      <c r="AJ783" s="131">
        <f t="shared" si="175"/>
        <v>0</v>
      </c>
      <c r="AK783" s="131">
        <f t="shared" si="176"/>
        <v>0</v>
      </c>
      <c r="AL783" s="127">
        <f t="shared" si="181"/>
        <v>0</v>
      </c>
      <c r="AM783" s="140">
        <f t="shared" si="177"/>
        <v>0</v>
      </c>
      <c r="AN783" s="140">
        <f t="shared" si="178"/>
        <v>0</v>
      </c>
      <c r="AO783" s="140">
        <f t="shared" si="179"/>
        <v>0</v>
      </c>
      <c r="AP783" s="140">
        <f t="shared" si="180"/>
        <v>0</v>
      </c>
    </row>
    <row r="784" spans="2:42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AC784" s="131">
        <f t="shared" si="168"/>
        <v>0</v>
      </c>
      <c r="AD784" s="131">
        <f t="shared" si="169"/>
        <v>0</v>
      </c>
      <c r="AE784" s="131">
        <f t="shared" si="170"/>
        <v>0</v>
      </c>
      <c r="AF784" s="131">
        <f t="shared" si="171"/>
        <v>0</v>
      </c>
      <c r="AG784" s="140">
        <f t="shared" si="172"/>
        <v>0</v>
      </c>
      <c r="AH784" s="140">
        <f t="shared" si="173"/>
        <v>0</v>
      </c>
      <c r="AI784" s="140">
        <f t="shared" si="174"/>
        <v>0</v>
      </c>
      <c r="AJ784" s="131">
        <f t="shared" si="175"/>
        <v>0</v>
      </c>
      <c r="AK784" s="131">
        <f t="shared" si="176"/>
        <v>0</v>
      </c>
      <c r="AL784" s="127">
        <f t="shared" si="181"/>
        <v>0</v>
      </c>
      <c r="AM784" s="140">
        <f t="shared" si="177"/>
        <v>0</v>
      </c>
      <c r="AN784" s="140">
        <f t="shared" si="178"/>
        <v>0</v>
      </c>
      <c r="AO784" s="140">
        <f t="shared" si="179"/>
        <v>0</v>
      </c>
      <c r="AP784" s="140">
        <f t="shared" si="180"/>
        <v>0</v>
      </c>
    </row>
    <row r="785" spans="2:42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AC785" s="131">
        <f t="shared" si="168"/>
        <v>0</v>
      </c>
      <c r="AD785" s="131">
        <f t="shared" si="169"/>
        <v>0</v>
      </c>
      <c r="AE785" s="131">
        <f t="shared" si="170"/>
        <v>0</v>
      </c>
      <c r="AF785" s="131">
        <f t="shared" si="171"/>
        <v>0</v>
      </c>
      <c r="AG785" s="140">
        <f t="shared" si="172"/>
        <v>0</v>
      </c>
      <c r="AH785" s="140">
        <f t="shared" si="173"/>
        <v>0</v>
      </c>
      <c r="AI785" s="140">
        <f t="shared" si="174"/>
        <v>0</v>
      </c>
      <c r="AJ785" s="131">
        <f t="shared" si="175"/>
        <v>0</v>
      </c>
      <c r="AK785" s="131">
        <f t="shared" si="176"/>
        <v>0</v>
      </c>
      <c r="AL785" s="127">
        <f t="shared" si="181"/>
        <v>0</v>
      </c>
      <c r="AM785" s="140">
        <f t="shared" si="177"/>
        <v>0</v>
      </c>
      <c r="AN785" s="140">
        <f t="shared" si="178"/>
        <v>0</v>
      </c>
      <c r="AO785" s="140">
        <f t="shared" si="179"/>
        <v>0</v>
      </c>
      <c r="AP785" s="140">
        <f t="shared" si="180"/>
        <v>0</v>
      </c>
    </row>
    <row r="786" spans="2:42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AC786" s="131">
        <f t="shared" si="168"/>
        <v>0</v>
      </c>
      <c r="AD786" s="131">
        <f t="shared" si="169"/>
        <v>0</v>
      </c>
      <c r="AE786" s="131">
        <f t="shared" si="170"/>
        <v>0</v>
      </c>
      <c r="AF786" s="131">
        <f t="shared" si="171"/>
        <v>0</v>
      </c>
      <c r="AG786" s="140">
        <f t="shared" si="172"/>
        <v>0</v>
      </c>
      <c r="AH786" s="140">
        <f t="shared" si="173"/>
        <v>0</v>
      </c>
      <c r="AI786" s="140">
        <f t="shared" si="174"/>
        <v>0</v>
      </c>
      <c r="AJ786" s="131">
        <f t="shared" si="175"/>
        <v>0</v>
      </c>
      <c r="AK786" s="131">
        <f t="shared" si="176"/>
        <v>0</v>
      </c>
      <c r="AL786" s="127">
        <f t="shared" si="181"/>
        <v>0</v>
      </c>
      <c r="AM786" s="140">
        <f t="shared" si="177"/>
        <v>0</v>
      </c>
      <c r="AN786" s="140">
        <f t="shared" si="178"/>
        <v>0</v>
      </c>
      <c r="AO786" s="140">
        <f t="shared" si="179"/>
        <v>0</v>
      </c>
      <c r="AP786" s="140">
        <f t="shared" si="180"/>
        <v>0</v>
      </c>
    </row>
    <row r="787" spans="2:42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AC787" s="131">
        <f t="shared" si="168"/>
        <v>0</v>
      </c>
      <c r="AD787" s="131">
        <f t="shared" si="169"/>
        <v>0</v>
      </c>
      <c r="AE787" s="131">
        <f t="shared" si="170"/>
        <v>0</v>
      </c>
      <c r="AF787" s="131">
        <f t="shared" si="171"/>
        <v>0</v>
      </c>
      <c r="AG787" s="140">
        <f t="shared" si="172"/>
        <v>0</v>
      </c>
      <c r="AH787" s="140">
        <f t="shared" si="173"/>
        <v>0</v>
      </c>
      <c r="AI787" s="140">
        <f t="shared" si="174"/>
        <v>0</v>
      </c>
      <c r="AJ787" s="131">
        <f t="shared" si="175"/>
        <v>0</v>
      </c>
      <c r="AK787" s="131">
        <f t="shared" si="176"/>
        <v>0</v>
      </c>
      <c r="AL787" s="127">
        <f t="shared" si="181"/>
        <v>0</v>
      </c>
      <c r="AM787" s="140">
        <f t="shared" si="177"/>
        <v>0</v>
      </c>
      <c r="AN787" s="140">
        <f t="shared" si="178"/>
        <v>0</v>
      </c>
      <c r="AO787" s="140">
        <f t="shared" si="179"/>
        <v>0</v>
      </c>
      <c r="AP787" s="140">
        <f t="shared" si="180"/>
        <v>0</v>
      </c>
    </row>
    <row r="788" spans="2:42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AC788" s="131">
        <f t="shared" si="168"/>
        <v>0</v>
      </c>
      <c r="AD788" s="131">
        <f t="shared" si="169"/>
        <v>0</v>
      </c>
      <c r="AE788" s="131">
        <f t="shared" si="170"/>
        <v>0</v>
      </c>
      <c r="AF788" s="131">
        <f t="shared" si="171"/>
        <v>0</v>
      </c>
      <c r="AG788" s="140">
        <f t="shared" si="172"/>
        <v>0</v>
      </c>
      <c r="AH788" s="140">
        <f t="shared" si="173"/>
        <v>0</v>
      </c>
      <c r="AI788" s="140">
        <f t="shared" si="174"/>
        <v>0</v>
      </c>
      <c r="AJ788" s="131">
        <f t="shared" si="175"/>
        <v>0</v>
      </c>
      <c r="AK788" s="131">
        <f t="shared" si="176"/>
        <v>0</v>
      </c>
      <c r="AL788" s="127">
        <f t="shared" si="181"/>
        <v>0</v>
      </c>
      <c r="AM788" s="140">
        <f t="shared" si="177"/>
        <v>0</v>
      </c>
      <c r="AN788" s="140">
        <f t="shared" si="178"/>
        <v>0</v>
      </c>
      <c r="AO788" s="140">
        <f t="shared" si="179"/>
        <v>0</v>
      </c>
      <c r="AP788" s="140">
        <f t="shared" si="180"/>
        <v>0</v>
      </c>
    </row>
    <row r="789" spans="2:42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AC789" s="131">
        <f t="shared" si="168"/>
        <v>0</v>
      </c>
      <c r="AD789" s="131">
        <f t="shared" si="169"/>
        <v>0</v>
      </c>
      <c r="AE789" s="131">
        <f t="shared" si="170"/>
        <v>0</v>
      </c>
      <c r="AF789" s="131">
        <f t="shared" si="171"/>
        <v>0</v>
      </c>
      <c r="AG789" s="140">
        <f t="shared" si="172"/>
        <v>0</v>
      </c>
      <c r="AH789" s="140">
        <f t="shared" si="173"/>
        <v>0</v>
      </c>
      <c r="AI789" s="140">
        <f t="shared" si="174"/>
        <v>0</v>
      </c>
      <c r="AJ789" s="131">
        <f t="shared" si="175"/>
        <v>0</v>
      </c>
      <c r="AK789" s="131">
        <f t="shared" si="176"/>
        <v>0</v>
      </c>
      <c r="AL789" s="127">
        <f t="shared" si="181"/>
        <v>0</v>
      </c>
      <c r="AM789" s="140">
        <f t="shared" si="177"/>
        <v>0</v>
      </c>
      <c r="AN789" s="140">
        <f t="shared" si="178"/>
        <v>0</v>
      </c>
      <c r="AO789" s="140">
        <f t="shared" si="179"/>
        <v>0</v>
      </c>
      <c r="AP789" s="140">
        <f t="shared" si="180"/>
        <v>0</v>
      </c>
    </row>
    <row r="790" spans="2:42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AC790" s="131">
        <f t="shared" si="168"/>
        <v>0</v>
      </c>
      <c r="AD790" s="131">
        <f t="shared" si="169"/>
        <v>0</v>
      </c>
      <c r="AE790" s="131">
        <f t="shared" si="170"/>
        <v>0</v>
      </c>
      <c r="AF790" s="131">
        <f t="shared" si="171"/>
        <v>0</v>
      </c>
      <c r="AG790" s="140">
        <f t="shared" si="172"/>
        <v>0</v>
      </c>
      <c r="AH790" s="140">
        <f t="shared" si="173"/>
        <v>0</v>
      </c>
      <c r="AI790" s="140">
        <f t="shared" si="174"/>
        <v>0</v>
      </c>
      <c r="AJ790" s="131">
        <f t="shared" si="175"/>
        <v>0</v>
      </c>
      <c r="AK790" s="131">
        <f t="shared" si="176"/>
        <v>0</v>
      </c>
      <c r="AL790" s="127">
        <f t="shared" si="181"/>
        <v>0</v>
      </c>
      <c r="AM790" s="140">
        <f t="shared" si="177"/>
        <v>0</v>
      </c>
      <c r="AN790" s="140">
        <f t="shared" si="178"/>
        <v>0</v>
      </c>
      <c r="AO790" s="140">
        <f t="shared" si="179"/>
        <v>0</v>
      </c>
      <c r="AP790" s="140">
        <f t="shared" si="180"/>
        <v>0</v>
      </c>
    </row>
    <row r="791" spans="2:42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AC791" s="131">
        <f t="shared" si="168"/>
        <v>0</v>
      </c>
      <c r="AD791" s="131">
        <f t="shared" si="169"/>
        <v>0</v>
      </c>
      <c r="AE791" s="131">
        <f t="shared" si="170"/>
        <v>0</v>
      </c>
      <c r="AF791" s="131">
        <f t="shared" si="171"/>
        <v>0</v>
      </c>
      <c r="AG791" s="140">
        <f t="shared" si="172"/>
        <v>0</v>
      </c>
      <c r="AH791" s="140">
        <f t="shared" si="173"/>
        <v>0</v>
      </c>
      <c r="AI791" s="140">
        <f t="shared" si="174"/>
        <v>0</v>
      </c>
      <c r="AJ791" s="131">
        <f t="shared" si="175"/>
        <v>0</v>
      </c>
      <c r="AK791" s="131">
        <f t="shared" si="176"/>
        <v>0</v>
      </c>
      <c r="AL791" s="127">
        <f t="shared" si="181"/>
        <v>0</v>
      </c>
      <c r="AM791" s="140">
        <f t="shared" si="177"/>
        <v>0</v>
      </c>
      <c r="AN791" s="140">
        <f t="shared" si="178"/>
        <v>0</v>
      </c>
      <c r="AO791" s="140">
        <f t="shared" si="179"/>
        <v>0</v>
      </c>
      <c r="AP791" s="140">
        <f t="shared" si="180"/>
        <v>0</v>
      </c>
    </row>
    <row r="792" spans="2:42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AC792" s="131">
        <f t="shared" si="168"/>
        <v>0</v>
      </c>
      <c r="AD792" s="131">
        <f t="shared" si="169"/>
        <v>0</v>
      </c>
      <c r="AE792" s="131">
        <f t="shared" si="170"/>
        <v>0</v>
      </c>
      <c r="AF792" s="131">
        <f t="shared" si="171"/>
        <v>0</v>
      </c>
      <c r="AG792" s="140">
        <f t="shared" si="172"/>
        <v>0</v>
      </c>
      <c r="AH792" s="140">
        <f t="shared" si="173"/>
        <v>0</v>
      </c>
      <c r="AI792" s="140">
        <f t="shared" si="174"/>
        <v>0</v>
      </c>
      <c r="AJ792" s="131">
        <f t="shared" si="175"/>
        <v>0</v>
      </c>
      <c r="AK792" s="131">
        <f t="shared" si="176"/>
        <v>0</v>
      </c>
      <c r="AL792" s="127">
        <f t="shared" si="181"/>
        <v>0</v>
      </c>
      <c r="AM792" s="140">
        <f t="shared" si="177"/>
        <v>0</v>
      </c>
      <c r="AN792" s="140">
        <f t="shared" si="178"/>
        <v>0</v>
      </c>
      <c r="AO792" s="140">
        <f t="shared" si="179"/>
        <v>0</v>
      </c>
      <c r="AP792" s="140">
        <f t="shared" si="180"/>
        <v>0</v>
      </c>
    </row>
    <row r="793" spans="2:42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AC793" s="131">
        <f t="shared" si="168"/>
        <v>0</v>
      </c>
      <c r="AD793" s="131">
        <f t="shared" si="169"/>
        <v>0</v>
      </c>
      <c r="AE793" s="131">
        <f t="shared" si="170"/>
        <v>0</v>
      </c>
      <c r="AF793" s="131">
        <f t="shared" si="171"/>
        <v>0</v>
      </c>
      <c r="AG793" s="140">
        <f t="shared" si="172"/>
        <v>0</v>
      </c>
      <c r="AH793" s="140">
        <f t="shared" si="173"/>
        <v>0</v>
      </c>
      <c r="AI793" s="140">
        <f t="shared" si="174"/>
        <v>0</v>
      </c>
      <c r="AJ793" s="131">
        <f t="shared" si="175"/>
        <v>0</v>
      </c>
      <c r="AK793" s="131">
        <f t="shared" si="176"/>
        <v>0</v>
      </c>
      <c r="AL793" s="127">
        <f t="shared" si="181"/>
        <v>0</v>
      </c>
      <c r="AM793" s="140">
        <f t="shared" si="177"/>
        <v>0</v>
      </c>
      <c r="AN793" s="140">
        <f t="shared" si="178"/>
        <v>0</v>
      </c>
      <c r="AO793" s="140">
        <f t="shared" si="179"/>
        <v>0</v>
      </c>
      <c r="AP793" s="140">
        <f t="shared" si="180"/>
        <v>0</v>
      </c>
    </row>
    <row r="794" spans="2:42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AC794" s="131">
        <f t="shared" si="168"/>
        <v>0</v>
      </c>
      <c r="AD794" s="131">
        <f t="shared" si="169"/>
        <v>0</v>
      </c>
      <c r="AE794" s="131">
        <f t="shared" si="170"/>
        <v>0</v>
      </c>
      <c r="AF794" s="131">
        <f t="shared" si="171"/>
        <v>0</v>
      </c>
      <c r="AG794" s="140">
        <f t="shared" si="172"/>
        <v>0</v>
      </c>
      <c r="AH794" s="140">
        <f t="shared" si="173"/>
        <v>0</v>
      </c>
      <c r="AI794" s="140">
        <f t="shared" si="174"/>
        <v>0</v>
      </c>
      <c r="AJ794" s="131">
        <f t="shared" si="175"/>
        <v>0</v>
      </c>
      <c r="AK794" s="131">
        <f t="shared" si="176"/>
        <v>0</v>
      </c>
      <c r="AL794" s="127">
        <f t="shared" si="181"/>
        <v>0</v>
      </c>
      <c r="AM794" s="140">
        <f t="shared" si="177"/>
        <v>0</v>
      </c>
      <c r="AN794" s="140">
        <f t="shared" si="178"/>
        <v>0</v>
      </c>
      <c r="AO794" s="140">
        <f t="shared" si="179"/>
        <v>0</v>
      </c>
      <c r="AP794" s="140">
        <f t="shared" si="180"/>
        <v>0</v>
      </c>
    </row>
    <row r="795" spans="2:42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AC795" s="131">
        <f t="shared" si="168"/>
        <v>0</v>
      </c>
      <c r="AD795" s="131">
        <f t="shared" si="169"/>
        <v>0</v>
      </c>
      <c r="AE795" s="131">
        <f t="shared" si="170"/>
        <v>0</v>
      </c>
      <c r="AF795" s="131">
        <f t="shared" si="171"/>
        <v>0</v>
      </c>
      <c r="AG795" s="140">
        <f t="shared" si="172"/>
        <v>0</v>
      </c>
      <c r="AH795" s="140">
        <f t="shared" si="173"/>
        <v>0</v>
      </c>
      <c r="AI795" s="140">
        <f t="shared" si="174"/>
        <v>0</v>
      </c>
      <c r="AJ795" s="131">
        <f t="shared" si="175"/>
        <v>0</v>
      </c>
      <c r="AK795" s="131">
        <f t="shared" si="176"/>
        <v>0</v>
      </c>
      <c r="AL795" s="127">
        <f t="shared" si="181"/>
        <v>0</v>
      </c>
      <c r="AM795" s="140">
        <f t="shared" si="177"/>
        <v>0</v>
      </c>
      <c r="AN795" s="140">
        <f t="shared" si="178"/>
        <v>0</v>
      </c>
      <c r="AO795" s="140">
        <f t="shared" si="179"/>
        <v>0</v>
      </c>
      <c r="AP795" s="140">
        <f t="shared" si="180"/>
        <v>0</v>
      </c>
    </row>
    <row r="796" spans="2:42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AC796" s="131">
        <f t="shared" si="168"/>
        <v>0</v>
      </c>
      <c r="AD796" s="131">
        <f t="shared" si="169"/>
        <v>0</v>
      </c>
      <c r="AE796" s="131">
        <f t="shared" si="170"/>
        <v>0</v>
      </c>
      <c r="AF796" s="131">
        <f t="shared" si="171"/>
        <v>0</v>
      </c>
      <c r="AG796" s="140">
        <f t="shared" si="172"/>
        <v>0</v>
      </c>
      <c r="AH796" s="140">
        <f t="shared" si="173"/>
        <v>0</v>
      </c>
      <c r="AI796" s="140">
        <f t="shared" si="174"/>
        <v>0</v>
      </c>
      <c r="AJ796" s="131">
        <f t="shared" si="175"/>
        <v>0</v>
      </c>
      <c r="AK796" s="131">
        <f t="shared" si="176"/>
        <v>0</v>
      </c>
      <c r="AL796" s="127">
        <f t="shared" si="181"/>
        <v>0</v>
      </c>
      <c r="AM796" s="140">
        <f t="shared" si="177"/>
        <v>0</v>
      </c>
      <c r="AN796" s="140">
        <f t="shared" si="178"/>
        <v>0</v>
      </c>
      <c r="AO796" s="140">
        <f t="shared" si="179"/>
        <v>0</v>
      </c>
      <c r="AP796" s="140">
        <f t="shared" si="180"/>
        <v>0</v>
      </c>
    </row>
    <row r="797" spans="2:42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AC797" s="131">
        <f t="shared" si="168"/>
        <v>0</v>
      </c>
      <c r="AD797" s="131">
        <f t="shared" si="169"/>
        <v>0</v>
      </c>
      <c r="AE797" s="131">
        <f t="shared" si="170"/>
        <v>0</v>
      </c>
      <c r="AF797" s="131">
        <f t="shared" si="171"/>
        <v>0</v>
      </c>
      <c r="AG797" s="140">
        <f t="shared" si="172"/>
        <v>0</v>
      </c>
      <c r="AH797" s="140">
        <f t="shared" si="173"/>
        <v>0</v>
      </c>
      <c r="AI797" s="140">
        <f t="shared" si="174"/>
        <v>0</v>
      </c>
      <c r="AJ797" s="131">
        <f t="shared" si="175"/>
        <v>0</v>
      </c>
      <c r="AK797" s="131">
        <f t="shared" si="176"/>
        <v>0</v>
      </c>
      <c r="AL797" s="127">
        <f t="shared" si="181"/>
        <v>0</v>
      </c>
      <c r="AM797" s="140">
        <f t="shared" si="177"/>
        <v>0</v>
      </c>
      <c r="AN797" s="140">
        <f t="shared" si="178"/>
        <v>0</v>
      </c>
      <c r="AO797" s="140">
        <f t="shared" si="179"/>
        <v>0</v>
      </c>
      <c r="AP797" s="140">
        <f t="shared" si="180"/>
        <v>0</v>
      </c>
    </row>
    <row r="798" spans="2:42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AC798" s="131">
        <f t="shared" si="168"/>
        <v>0</v>
      </c>
      <c r="AD798" s="131">
        <f t="shared" si="169"/>
        <v>0</v>
      </c>
      <c r="AE798" s="131">
        <f t="shared" si="170"/>
        <v>0</v>
      </c>
      <c r="AF798" s="131">
        <f t="shared" si="171"/>
        <v>0</v>
      </c>
      <c r="AG798" s="140">
        <f t="shared" si="172"/>
        <v>0</v>
      </c>
      <c r="AH798" s="140">
        <f t="shared" si="173"/>
        <v>0</v>
      </c>
      <c r="AI798" s="140">
        <f t="shared" si="174"/>
        <v>0</v>
      </c>
      <c r="AJ798" s="131">
        <f t="shared" si="175"/>
        <v>0</v>
      </c>
      <c r="AK798" s="131">
        <f t="shared" si="176"/>
        <v>0</v>
      </c>
      <c r="AL798" s="127">
        <f t="shared" si="181"/>
        <v>0</v>
      </c>
      <c r="AM798" s="140">
        <f t="shared" si="177"/>
        <v>0</v>
      </c>
      <c r="AN798" s="140">
        <f t="shared" si="178"/>
        <v>0</v>
      </c>
      <c r="AO798" s="140">
        <f t="shared" si="179"/>
        <v>0</v>
      </c>
      <c r="AP798" s="140">
        <f t="shared" si="180"/>
        <v>0</v>
      </c>
    </row>
    <row r="799" spans="2:42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AC799" s="131">
        <f t="shared" si="168"/>
        <v>0</v>
      </c>
      <c r="AD799" s="131">
        <f t="shared" si="169"/>
        <v>0</v>
      </c>
      <c r="AE799" s="131">
        <f t="shared" si="170"/>
        <v>0</v>
      </c>
      <c r="AF799" s="131">
        <f t="shared" si="171"/>
        <v>0</v>
      </c>
      <c r="AG799" s="140">
        <f t="shared" si="172"/>
        <v>0</v>
      </c>
      <c r="AH799" s="140">
        <f t="shared" si="173"/>
        <v>0</v>
      </c>
      <c r="AI799" s="140">
        <f t="shared" si="174"/>
        <v>0</v>
      </c>
      <c r="AJ799" s="131">
        <f t="shared" si="175"/>
        <v>0</v>
      </c>
      <c r="AK799" s="131">
        <f t="shared" si="176"/>
        <v>0</v>
      </c>
      <c r="AL799" s="127">
        <f t="shared" si="181"/>
        <v>0</v>
      </c>
      <c r="AM799" s="140">
        <f t="shared" si="177"/>
        <v>0</v>
      </c>
      <c r="AN799" s="140">
        <f t="shared" si="178"/>
        <v>0</v>
      </c>
      <c r="AO799" s="140">
        <f t="shared" si="179"/>
        <v>0</v>
      </c>
      <c r="AP799" s="140">
        <f t="shared" si="180"/>
        <v>0</v>
      </c>
    </row>
    <row r="800" spans="2:42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AC800" s="131">
        <f t="shared" si="168"/>
        <v>0</v>
      </c>
      <c r="AD800" s="131">
        <f t="shared" si="169"/>
        <v>0</v>
      </c>
      <c r="AE800" s="131">
        <f t="shared" si="170"/>
        <v>0</v>
      </c>
      <c r="AF800" s="131">
        <f t="shared" si="171"/>
        <v>0</v>
      </c>
      <c r="AG800" s="140">
        <f t="shared" si="172"/>
        <v>0</v>
      </c>
      <c r="AH800" s="140">
        <f t="shared" si="173"/>
        <v>0</v>
      </c>
      <c r="AI800" s="140">
        <f t="shared" si="174"/>
        <v>0</v>
      </c>
      <c r="AJ800" s="131">
        <f t="shared" si="175"/>
        <v>0</v>
      </c>
      <c r="AK800" s="131">
        <f t="shared" si="176"/>
        <v>0</v>
      </c>
      <c r="AL800" s="127">
        <f t="shared" si="181"/>
        <v>0</v>
      </c>
      <c r="AM800" s="140">
        <f t="shared" si="177"/>
        <v>0</v>
      </c>
      <c r="AN800" s="140">
        <f t="shared" si="178"/>
        <v>0</v>
      </c>
      <c r="AO800" s="140">
        <f t="shared" si="179"/>
        <v>0</v>
      </c>
      <c r="AP800" s="140">
        <f t="shared" si="180"/>
        <v>0</v>
      </c>
    </row>
    <row r="801" spans="2:42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AC801" s="131">
        <f t="shared" si="168"/>
        <v>0</v>
      </c>
      <c r="AD801" s="131">
        <f t="shared" si="169"/>
        <v>0</v>
      </c>
      <c r="AE801" s="131">
        <f t="shared" si="170"/>
        <v>0</v>
      </c>
      <c r="AF801" s="131">
        <f t="shared" si="171"/>
        <v>0</v>
      </c>
      <c r="AG801" s="140">
        <f t="shared" si="172"/>
        <v>0</v>
      </c>
      <c r="AH801" s="140">
        <f t="shared" si="173"/>
        <v>0</v>
      </c>
      <c r="AI801" s="140">
        <f t="shared" si="174"/>
        <v>0</v>
      </c>
      <c r="AJ801" s="131">
        <f t="shared" si="175"/>
        <v>0</v>
      </c>
      <c r="AK801" s="131">
        <f t="shared" si="176"/>
        <v>0</v>
      </c>
      <c r="AL801" s="127">
        <f t="shared" si="181"/>
        <v>0</v>
      </c>
      <c r="AM801" s="140">
        <f t="shared" si="177"/>
        <v>0</v>
      </c>
      <c r="AN801" s="140">
        <f t="shared" si="178"/>
        <v>0</v>
      </c>
      <c r="AO801" s="140">
        <f t="shared" si="179"/>
        <v>0</v>
      </c>
      <c r="AP801" s="140">
        <f t="shared" si="180"/>
        <v>0</v>
      </c>
    </row>
    <row r="802" spans="2:42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AC802" s="131">
        <f t="shared" si="168"/>
        <v>0</v>
      </c>
      <c r="AD802" s="131">
        <f t="shared" si="169"/>
        <v>0</v>
      </c>
      <c r="AE802" s="131">
        <f t="shared" si="170"/>
        <v>0</v>
      </c>
      <c r="AF802" s="131">
        <f t="shared" si="171"/>
        <v>0</v>
      </c>
      <c r="AG802" s="140">
        <f t="shared" si="172"/>
        <v>0</v>
      </c>
      <c r="AH802" s="140">
        <f t="shared" si="173"/>
        <v>0</v>
      </c>
      <c r="AI802" s="140">
        <f t="shared" si="174"/>
        <v>0</v>
      </c>
      <c r="AJ802" s="131">
        <f t="shared" si="175"/>
        <v>0</v>
      </c>
      <c r="AK802" s="131">
        <f t="shared" si="176"/>
        <v>0</v>
      </c>
      <c r="AL802" s="127">
        <f t="shared" si="181"/>
        <v>0</v>
      </c>
      <c r="AM802" s="140">
        <f t="shared" si="177"/>
        <v>0</v>
      </c>
      <c r="AN802" s="140">
        <f t="shared" si="178"/>
        <v>0</v>
      </c>
      <c r="AO802" s="140">
        <f t="shared" si="179"/>
        <v>0</v>
      </c>
      <c r="AP802" s="140">
        <f t="shared" si="180"/>
        <v>0</v>
      </c>
    </row>
    <row r="803" spans="2:42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AC803" s="131">
        <f t="shared" si="168"/>
        <v>0</v>
      </c>
      <c r="AD803" s="131">
        <f t="shared" si="169"/>
        <v>0</v>
      </c>
      <c r="AE803" s="131">
        <f t="shared" si="170"/>
        <v>0</v>
      </c>
      <c r="AF803" s="131">
        <f t="shared" si="171"/>
        <v>0</v>
      </c>
      <c r="AG803" s="140">
        <f t="shared" si="172"/>
        <v>0</v>
      </c>
      <c r="AH803" s="140">
        <f t="shared" si="173"/>
        <v>0</v>
      </c>
      <c r="AI803" s="140">
        <f t="shared" si="174"/>
        <v>0</v>
      </c>
      <c r="AJ803" s="131">
        <f t="shared" si="175"/>
        <v>0</v>
      </c>
      <c r="AK803" s="131">
        <f t="shared" si="176"/>
        <v>0</v>
      </c>
      <c r="AL803" s="127">
        <f t="shared" si="181"/>
        <v>0</v>
      </c>
      <c r="AM803" s="140">
        <f t="shared" si="177"/>
        <v>0</v>
      </c>
      <c r="AN803" s="140">
        <f t="shared" si="178"/>
        <v>0</v>
      </c>
      <c r="AO803" s="140">
        <f t="shared" si="179"/>
        <v>0</v>
      </c>
      <c r="AP803" s="140">
        <f t="shared" si="180"/>
        <v>0</v>
      </c>
    </row>
    <row r="804" spans="2:42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AC804" s="131">
        <f t="shared" si="168"/>
        <v>0</v>
      </c>
      <c r="AD804" s="131">
        <f t="shared" si="169"/>
        <v>0</v>
      </c>
      <c r="AE804" s="131">
        <f t="shared" si="170"/>
        <v>0</v>
      </c>
      <c r="AF804" s="131">
        <f t="shared" si="171"/>
        <v>0</v>
      </c>
      <c r="AG804" s="140">
        <f t="shared" si="172"/>
        <v>0</v>
      </c>
      <c r="AH804" s="140">
        <f t="shared" si="173"/>
        <v>0</v>
      </c>
      <c r="AI804" s="140">
        <f t="shared" si="174"/>
        <v>0</v>
      </c>
      <c r="AJ804" s="131">
        <f t="shared" si="175"/>
        <v>0</v>
      </c>
      <c r="AK804" s="131">
        <f t="shared" si="176"/>
        <v>0</v>
      </c>
      <c r="AL804" s="127">
        <f t="shared" si="181"/>
        <v>0</v>
      </c>
      <c r="AM804" s="140">
        <f t="shared" si="177"/>
        <v>0</v>
      </c>
      <c r="AN804" s="140">
        <f t="shared" si="178"/>
        <v>0</v>
      </c>
      <c r="AO804" s="140">
        <f t="shared" si="179"/>
        <v>0</v>
      </c>
      <c r="AP804" s="140">
        <f t="shared" si="180"/>
        <v>0</v>
      </c>
    </row>
    <row r="805" spans="2:42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AC805" s="131">
        <f t="shared" si="168"/>
        <v>0</v>
      </c>
      <c r="AD805" s="131">
        <f t="shared" si="169"/>
        <v>0</v>
      </c>
      <c r="AE805" s="131">
        <f t="shared" si="170"/>
        <v>0</v>
      </c>
      <c r="AF805" s="131">
        <f t="shared" si="171"/>
        <v>0</v>
      </c>
      <c r="AG805" s="140">
        <f t="shared" si="172"/>
        <v>0</v>
      </c>
      <c r="AH805" s="140">
        <f t="shared" si="173"/>
        <v>0</v>
      </c>
      <c r="AI805" s="140">
        <f t="shared" si="174"/>
        <v>0</v>
      </c>
      <c r="AJ805" s="131">
        <f t="shared" si="175"/>
        <v>0</v>
      </c>
      <c r="AK805" s="131">
        <f t="shared" si="176"/>
        <v>0</v>
      </c>
      <c r="AL805" s="127">
        <f t="shared" si="181"/>
        <v>0</v>
      </c>
      <c r="AM805" s="140">
        <f t="shared" si="177"/>
        <v>0</v>
      </c>
      <c r="AN805" s="140">
        <f t="shared" si="178"/>
        <v>0</v>
      </c>
      <c r="AO805" s="140">
        <f t="shared" si="179"/>
        <v>0</v>
      </c>
      <c r="AP805" s="140">
        <f t="shared" si="180"/>
        <v>0</v>
      </c>
    </row>
    <row r="806" spans="2:42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AC806" s="131">
        <f t="shared" si="168"/>
        <v>0</v>
      </c>
      <c r="AD806" s="131">
        <f t="shared" si="169"/>
        <v>0</v>
      </c>
      <c r="AE806" s="131">
        <f t="shared" si="170"/>
        <v>0</v>
      </c>
      <c r="AF806" s="131">
        <f t="shared" si="171"/>
        <v>0</v>
      </c>
      <c r="AG806" s="140">
        <f t="shared" si="172"/>
        <v>0</v>
      </c>
      <c r="AH806" s="140">
        <f t="shared" si="173"/>
        <v>0</v>
      </c>
      <c r="AI806" s="140">
        <f t="shared" si="174"/>
        <v>0</v>
      </c>
      <c r="AJ806" s="131">
        <f t="shared" si="175"/>
        <v>0</v>
      </c>
      <c r="AK806" s="131">
        <f t="shared" si="176"/>
        <v>0</v>
      </c>
      <c r="AL806" s="127">
        <f t="shared" si="181"/>
        <v>0</v>
      </c>
      <c r="AM806" s="140">
        <f t="shared" si="177"/>
        <v>0</v>
      </c>
      <c r="AN806" s="140">
        <f t="shared" si="178"/>
        <v>0</v>
      </c>
      <c r="AO806" s="140">
        <f t="shared" si="179"/>
        <v>0</v>
      </c>
      <c r="AP806" s="140">
        <f t="shared" si="180"/>
        <v>0</v>
      </c>
    </row>
    <row r="807" spans="2:42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AC807" s="131">
        <f t="shared" si="168"/>
        <v>0</v>
      </c>
      <c r="AD807" s="131">
        <f t="shared" si="169"/>
        <v>0</v>
      </c>
      <c r="AE807" s="131">
        <f t="shared" si="170"/>
        <v>0</v>
      </c>
      <c r="AF807" s="131">
        <f t="shared" si="171"/>
        <v>0</v>
      </c>
      <c r="AG807" s="140">
        <f t="shared" si="172"/>
        <v>0</v>
      </c>
      <c r="AH807" s="140">
        <f t="shared" si="173"/>
        <v>0</v>
      </c>
      <c r="AI807" s="140">
        <f t="shared" si="174"/>
        <v>0</v>
      </c>
      <c r="AJ807" s="131">
        <f t="shared" si="175"/>
        <v>0</v>
      </c>
      <c r="AK807" s="131">
        <f t="shared" si="176"/>
        <v>0</v>
      </c>
      <c r="AL807" s="127">
        <f t="shared" si="181"/>
        <v>0</v>
      </c>
      <c r="AM807" s="140">
        <f t="shared" si="177"/>
        <v>0</v>
      </c>
      <c r="AN807" s="140">
        <f t="shared" si="178"/>
        <v>0</v>
      </c>
      <c r="AO807" s="140">
        <f t="shared" si="179"/>
        <v>0</v>
      </c>
      <c r="AP807" s="140">
        <f t="shared" si="180"/>
        <v>0</v>
      </c>
    </row>
    <row r="808" spans="2:42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AC808" s="131">
        <f t="shared" si="168"/>
        <v>0</v>
      </c>
      <c r="AD808" s="131">
        <f t="shared" si="169"/>
        <v>0</v>
      </c>
      <c r="AE808" s="131">
        <f t="shared" si="170"/>
        <v>0</v>
      </c>
      <c r="AF808" s="131">
        <f t="shared" si="171"/>
        <v>0</v>
      </c>
      <c r="AG808" s="140">
        <f t="shared" si="172"/>
        <v>0</v>
      </c>
      <c r="AH808" s="140">
        <f t="shared" si="173"/>
        <v>0</v>
      </c>
      <c r="AI808" s="140">
        <f t="shared" si="174"/>
        <v>0</v>
      </c>
      <c r="AJ808" s="131">
        <f t="shared" si="175"/>
        <v>0</v>
      </c>
      <c r="AK808" s="131">
        <f t="shared" si="176"/>
        <v>0</v>
      </c>
      <c r="AL808" s="127">
        <f t="shared" si="181"/>
        <v>0</v>
      </c>
      <c r="AM808" s="140">
        <f t="shared" si="177"/>
        <v>0</v>
      </c>
      <c r="AN808" s="140">
        <f t="shared" si="178"/>
        <v>0</v>
      </c>
      <c r="AO808" s="140">
        <f t="shared" si="179"/>
        <v>0</v>
      </c>
      <c r="AP808" s="140">
        <f t="shared" si="180"/>
        <v>0</v>
      </c>
    </row>
    <row r="809" spans="2:42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AC809" s="131">
        <f t="shared" si="168"/>
        <v>0</v>
      </c>
      <c r="AD809" s="131">
        <f t="shared" si="169"/>
        <v>0</v>
      </c>
      <c r="AE809" s="131">
        <f t="shared" si="170"/>
        <v>0</v>
      </c>
      <c r="AF809" s="131">
        <f t="shared" si="171"/>
        <v>0</v>
      </c>
      <c r="AG809" s="140">
        <f t="shared" si="172"/>
        <v>0</v>
      </c>
      <c r="AH809" s="140">
        <f t="shared" si="173"/>
        <v>0</v>
      </c>
      <c r="AI809" s="140">
        <f t="shared" si="174"/>
        <v>0</v>
      </c>
      <c r="AJ809" s="131">
        <f t="shared" si="175"/>
        <v>0</v>
      </c>
      <c r="AK809" s="131">
        <f t="shared" si="176"/>
        <v>0</v>
      </c>
      <c r="AL809" s="127">
        <f t="shared" si="181"/>
        <v>0</v>
      </c>
      <c r="AM809" s="140">
        <f t="shared" si="177"/>
        <v>0</v>
      </c>
      <c r="AN809" s="140">
        <f t="shared" si="178"/>
        <v>0</v>
      </c>
      <c r="AO809" s="140">
        <f t="shared" si="179"/>
        <v>0</v>
      </c>
      <c r="AP809" s="140">
        <f t="shared" si="180"/>
        <v>0</v>
      </c>
    </row>
    <row r="810" spans="2:42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AC810" s="131">
        <f t="shared" si="168"/>
        <v>0</v>
      </c>
      <c r="AD810" s="131">
        <f t="shared" si="169"/>
        <v>0</v>
      </c>
      <c r="AE810" s="131">
        <f t="shared" si="170"/>
        <v>0</v>
      </c>
      <c r="AF810" s="131">
        <f t="shared" si="171"/>
        <v>0</v>
      </c>
      <c r="AG810" s="140">
        <f t="shared" si="172"/>
        <v>0</v>
      </c>
      <c r="AH810" s="140">
        <f t="shared" si="173"/>
        <v>0</v>
      </c>
      <c r="AI810" s="140">
        <f t="shared" si="174"/>
        <v>0</v>
      </c>
      <c r="AJ810" s="131">
        <f t="shared" si="175"/>
        <v>0</v>
      </c>
      <c r="AK810" s="131">
        <f t="shared" si="176"/>
        <v>0</v>
      </c>
      <c r="AL810" s="127">
        <f t="shared" si="181"/>
        <v>0</v>
      </c>
      <c r="AM810" s="140">
        <f t="shared" si="177"/>
        <v>0</v>
      </c>
      <c r="AN810" s="140">
        <f t="shared" si="178"/>
        <v>0</v>
      </c>
      <c r="AO810" s="140">
        <f t="shared" si="179"/>
        <v>0</v>
      </c>
      <c r="AP810" s="140">
        <f t="shared" si="180"/>
        <v>0</v>
      </c>
    </row>
    <row r="811" spans="2:42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AC811" s="131">
        <f t="shared" si="168"/>
        <v>0</v>
      </c>
      <c r="AD811" s="131">
        <f t="shared" si="169"/>
        <v>0</v>
      </c>
      <c r="AE811" s="131">
        <f t="shared" si="170"/>
        <v>0</v>
      </c>
      <c r="AF811" s="131">
        <f t="shared" si="171"/>
        <v>0</v>
      </c>
      <c r="AG811" s="140">
        <f t="shared" si="172"/>
        <v>0</v>
      </c>
      <c r="AH811" s="140">
        <f t="shared" si="173"/>
        <v>0</v>
      </c>
      <c r="AI811" s="140">
        <f t="shared" si="174"/>
        <v>0</v>
      </c>
      <c r="AJ811" s="131">
        <f t="shared" si="175"/>
        <v>0</v>
      </c>
      <c r="AK811" s="131">
        <f t="shared" si="176"/>
        <v>0</v>
      </c>
      <c r="AL811" s="127">
        <f t="shared" si="181"/>
        <v>0</v>
      </c>
      <c r="AM811" s="140">
        <f t="shared" si="177"/>
        <v>0</v>
      </c>
      <c r="AN811" s="140">
        <f t="shared" si="178"/>
        <v>0</v>
      </c>
      <c r="AO811" s="140">
        <f t="shared" si="179"/>
        <v>0</v>
      </c>
      <c r="AP811" s="140">
        <f t="shared" si="180"/>
        <v>0</v>
      </c>
    </row>
    <row r="812" spans="2:42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AC812" s="131">
        <f t="shared" si="168"/>
        <v>0</v>
      </c>
      <c r="AD812" s="131">
        <f t="shared" si="169"/>
        <v>0</v>
      </c>
      <c r="AE812" s="131">
        <f t="shared" si="170"/>
        <v>0</v>
      </c>
      <c r="AF812" s="131">
        <f t="shared" si="171"/>
        <v>0</v>
      </c>
      <c r="AG812" s="140">
        <f t="shared" si="172"/>
        <v>0</v>
      </c>
      <c r="AH812" s="140">
        <f t="shared" si="173"/>
        <v>0</v>
      </c>
      <c r="AI812" s="140">
        <f t="shared" si="174"/>
        <v>0</v>
      </c>
      <c r="AJ812" s="131">
        <f t="shared" si="175"/>
        <v>0</v>
      </c>
      <c r="AK812" s="131">
        <f t="shared" si="176"/>
        <v>0</v>
      </c>
      <c r="AL812" s="127">
        <f t="shared" si="181"/>
        <v>0</v>
      </c>
      <c r="AM812" s="140">
        <f t="shared" si="177"/>
        <v>0</v>
      </c>
      <c r="AN812" s="140">
        <f t="shared" si="178"/>
        <v>0</v>
      </c>
      <c r="AO812" s="140">
        <f t="shared" si="179"/>
        <v>0</v>
      </c>
      <c r="AP812" s="140">
        <f t="shared" si="180"/>
        <v>0</v>
      </c>
    </row>
    <row r="813" spans="2:42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AC813" s="131">
        <f t="shared" si="168"/>
        <v>0</v>
      </c>
      <c r="AD813" s="131">
        <f t="shared" si="169"/>
        <v>0</v>
      </c>
      <c r="AE813" s="131">
        <f t="shared" si="170"/>
        <v>0</v>
      </c>
      <c r="AF813" s="131">
        <f t="shared" si="171"/>
        <v>0</v>
      </c>
      <c r="AG813" s="140">
        <f t="shared" si="172"/>
        <v>0</v>
      </c>
      <c r="AH813" s="140">
        <f t="shared" si="173"/>
        <v>0</v>
      </c>
      <c r="AI813" s="140">
        <f t="shared" si="174"/>
        <v>0</v>
      </c>
      <c r="AJ813" s="131">
        <f t="shared" si="175"/>
        <v>0</v>
      </c>
      <c r="AK813" s="131">
        <f t="shared" si="176"/>
        <v>0</v>
      </c>
      <c r="AL813" s="127">
        <f t="shared" si="181"/>
        <v>0</v>
      </c>
      <c r="AM813" s="140">
        <f t="shared" si="177"/>
        <v>0</v>
      </c>
      <c r="AN813" s="140">
        <f t="shared" si="178"/>
        <v>0</v>
      </c>
      <c r="AO813" s="140">
        <f t="shared" si="179"/>
        <v>0</v>
      </c>
      <c r="AP813" s="140">
        <f t="shared" si="180"/>
        <v>0</v>
      </c>
    </row>
    <row r="814" spans="2:42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AC814" s="131">
        <f t="shared" si="168"/>
        <v>0</v>
      </c>
      <c r="AD814" s="131">
        <f t="shared" si="169"/>
        <v>0</v>
      </c>
      <c r="AE814" s="131">
        <f t="shared" si="170"/>
        <v>0</v>
      </c>
      <c r="AF814" s="131">
        <f t="shared" si="171"/>
        <v>0</v>
      </c>
      <c r="AG814" s="140">
        <f t="shared" si="172"/>
        <v>0</v>
      </c>
      <c r="AH814" s="140">
        <f t="shared" si="173"/>
        <v>0</v>
      </c>
      <c r="AI814" s="140">
        <f t="shared" si="174"/>
        <v>0</v>
      </c>
      <c r="AJ814" s="131">
        <f t="shared" si="175"/>
        <v>0</v>
      </c>
      <c r="AK814" s="131">
        <f t="shared" si="176"/>
        <v>0</v>
      </c>
      <c r="AL814" s="127">
        <f t="shared" si="181"/>
        <v>0</v>
      </c>
      <c r="AM814" s="140">
        <f t="shared" si="177"/>
        <v>0</v>
      </c>
      <c r="AN814" s="140">
        <f t="shared" si="178"/>
        <v>0</v>
      </c>
      <c r="AO814" s="140">
        <f t="shared" si="179"/>
        <v>0</v>
      </c>
      <c r="AP814" s="140">
        <f t="shared" si="180"/>
        <v>0</v>
      </c>
    </row>
    <row r="815" spans="2:42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AC815" s="131">
        <f t="shared" si="168"/>
        <v>0</v>
      </c>
      <c r="AD815" s="131">
        <f t="shared" si="169"/>
        <v>0</v>
      </c>
      <c r="AE815" s="131">
        <f t="shared" si="170"/>
        <v>0</v>
      </c>
      <c r="AF815" s="131">
        <f t="shared" si="171"/>
        <v>0</v>
      </c>
      <c r="AG815" s="140">
        <f t="shared" si="172"/>
        <v>0</v>
      </c>
      <c r="AH815" s="140">
        <f t="shared" si="173"/>
        <v>0</v>
      </c>
      <c r="AI815" s="140">
        <f t="shared" si="174"/>
        <v>0</v>
      </c>
      <c r="AJ815" s="131">
        <f t="shared" si="175"/>
        <v>0</v>
      </c>
      <c r="AK815" s="131">
        <f t="shared" si="176"/>
        <v>0</v>
      </c>
      <c r="AL815" s="127">
        <f t="shared" si="181"/>
        <v>0</v>
      </c>
      <c r="AM815" s="140">
        <f t="shared" si="177"/>
        <v>0</v>
      </c>
      <c r="AN815" s="140">
        <f t="shared" si="178"/>
        <v>0</v>
      </c>
      <c r="AO815" s="140">
        <f t="shared" si="179"/>
        <v>0</v>
      </c>
      <c r="AP815" s="140">
        <f t="shared" si="180"/>
        <v>0</v>
      </c>
    </row>
    <row r="816" spans="2:42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AC816" s="131">
        <f t="shared" si="168"/>
        <v>0</v>
      </c>
      <c r="AD816" s="131">
        <f t="shared" si="169"/>
        <v>0</v>
      </c>
      <c r="AE816" s="131">
        <f t="shared" si="170"/>
        <v>0</v>
      </c>
      <c r="AF816" s="131">
        <f t="shared" si="171"/>
        <v>0</v>
      </c>
      <c r="AG816" s="140">
        <f t="shared" si="172"/>
        <v>0</v>
      </c>
      <c r="AH816" s="140">
        <f t="shared" si="173"/>
        <v>0</v>
      </c>
      <c r="AI816" s="140">
        <f t="shared" si="174"/>
        <v>0</v>
      </c>
      <c r="AJ816" s="131">
        <f t="shared" si="175"/>
        <v>0</v>
      </c>
      <c r="AK816" s="131">
        <f t="shared" si="176"/>
        <v>0</v>
      </c>
      <c r="AL816" s="127">
        <f t="shared" si="181"/>
        <v>0</v>
      </c>
      <c r="AM816" s="140">
        <f t="shared" si="177"/>
        <v>0</v>
      </c>
      <c r="AN816" s="140">
        <f t="shared" si="178"/>
        <v>0</v>
      </c>
      <c r="AO816" s="140">
        <f t="shared" si="179"/>
        <v>0</v>
      </c>
      <c r="AP816" s="140">
        <f t="shared" si="180"/>
        <v>0</v>
      </c>
    </row>
    <row r="817" spans="2:42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AC817" s="131">
        <f t="shared" si="168"/>
        <v>0</v>
      </c>
      <c r="AD817" s="131">
        <f t="shared" si="169"/>
        <v>0</v>
      </c>
      <c r="AE817" s="131">
        <f t="shared" si="170"/>
        <v>0</v>
      </c>
      <c r="AF817" s="131">
        <f t="shared" si="171"/>
        <v>0</v>
      </c>
      <c r="AG817" s="140">
        <f t="shared" si="172"/>
        <v>0</v>
      </c>
      <c r="AH817" s="140">
        <f t="shared" si="173"/>
        <v>0</v>
      </c>
      <c r="AI817" s="140">
        <f t="shared" si="174"/>
        <v>0</v>
      </c>
      <c r="AJ817" s="131">
        <f t="shared" si="175"/>
        <v>0</v>
      </c>
      <c r="AK817" s="131">
        <f t="shared" si="176"/>
        <v>0</v>
      </c>
      <c r="AL817" s="127">
        <f t="shared" si="181"/>
        <v>0</v>
      </c>
      <c r="AM817" s="140">
        <f t="shared" si="177"/>
        <v>0</v>
      </c>
      <c r="AN817" s="140">
        <f t="shared" si="178"/>
        <v>0</v>
      </c>
      <c r="AO817" s="140">
        <f t="shared" si="179"/>
        <v>0</v>
      </c>
      <c r="AP817" s="140">
        <f t="shared" si="180"/>
        <v>0</v>
      </c>
    </row>
    <row r="818" spans="2:42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AC818" s="131">
        <f t="shared" si="168"/>
        <v>0</v>
      </c>
      <c r="AD818" s="131">
        <f t="shared" si="169"/>
        <v>0</v>
      </c>
      <c r="AE818" s="131">
        <f t="shared" si="170"/>
        <v>0</v>
      </c>
      <c r="AF818" s="131">
        <f t="shared" si="171"/>
        <v>0</v>
      </c>
      <c r="AG818" s="140">
        <f t="shared" si="172"/>
        <v>0</v>
      </c>
      <c r="AH818" s="140">
        <f t="shared" si="173"/>
        <v>0</v>
      </c>
      <c r="AI818" s="140">
        <f t="shared" si="174"/>
        <v>0</v>
      </c>
      <c r="AJ818" s="131">
        <f t="shared" si="175"/>
        <v>0</v>
      </c>
      <c r="AK818" s="131">
        <f t="shared" si="176"/>
        <v>0</v>
      </c>
      <c r="AL818" s="127">
        <f t="shared" si="181"/>
        <v>0</v>
      </c>
      <c r="AM818" s="140">
        <f t="shared" si="177"/>
        <v>0</v>
      </c>
      <c r="AN818" s="140">
        <f t="shared" si="178"/>
        <v>0</v>
      </c>
      <c r="AO818" s="140">
        <f t="shared" si="179"/>
        <v>0</v>
      </c>
      <c r="AP818" s="140">
        <f t="shared" si="180"/>
        <v>0</v>
      </c>
    </row>
    <row r="819" spans="2:42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AC819" s="131">
        <f t="shared" si="168"/>
        <v>0</v>
      </c>
      <c r="AD819" s="131">
        <f t="shared" si="169"/>
        <v>0</v>
      </c>
      <c r="AE819" s="131">
        <f t="shared" si="170"/>
        <v>0</v>
      </c>
      <c r="AF819" s="131">
        <f t="shared" si="171"/>
        <v>0</v>
      </c>
      <c r="AG819" s="140">
        <f t="shared" si="172"/>
        <v>0</v>
      </c>
      <c r="AH819" s="140">
        <f t="shared" si="173"/>
        <v>0</v>
      </c>
      <c r="AI819" s="140">
        <f t="shared" si="174"/>
        <v>0</v>
      </c>
      <c r="AJ819" s="131">
        <f t="shared" si="175"/>
        <v>0</v>
      </c>
      <c r="AK819" s="131">
        <f t="shared" si="176"/>
        <v>0</v>
      </c>
      <c r="AL819" s="127">
        <f t="shared" si="181"/>
        <v>0</v>
      </c>
      <c r="AM819" s="140">
        <f t="shared" si="177"/>
        <v>0</v>
      </c>
      <c r="AN819" s="140">
        <f t="shared" si="178"/>
        <v>0</v>
      </c>
      <c r="AO819" s="140">
        <f t="shared" si="179"/>
        <v>0</v>
      </c>
      <c r="AP819" s="140">
        <f t="shared" si="180"/>
        <v>0</v>
      </c>
    </row>
    <row r="820" spans="2:42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AC820" s="131">
        <f t="shared" si="168"/>
        <v>0</v>
      </c>
      <c r="AD820" s="131">
        <f t="shared" si="169"/>
        <v>0</v>
      </c>
      <c r="AE820" s="131">
        <f t="shared" si="170"/>
        <v>0</v>
      </c>
      <c r="AF820" s="131">
        <f t="shared" si="171"/>
        <v>0</v>
      </c>
      <c r="AG820" s="140">
        <f t="shared" si="172"/>
        <v>0</v>
      </c>
      <c r="AH820" s="140">
        <f t="shared" si="173"/>
        <v>0</v>
      </c>
      <c r="AI820" s="140">
        <f t="shared" si="174"/>
        <v>0</v>
      </c>
      <c r="AJ820" s="131">
        <f t="shared" si="175"/>
        <v>0</v>
      </c>
      <c r="AK820" s="131">
        <f t="shared" si="176"/>
        <v>0</v>
      </c>
      <c r="AL820" s="127">
        <f t="shared" si="181"/>
        <v>0</v>
      </c>
      <c r="AM820" s="140">
        <f t="shared" si="177"/>
        <v>0</v>
      </c>
      <c r="AN820" s="140">
        <f t="shared" si="178"/>
        <v>0</v>
      </c>
      <c r="AO820" s="140">
        <f t="shared" si="179"/>
        <v>0</v>
      </c>
      <c r="AP820" s="140">
        <f t="shared" si="180"/>
        <v>0</v>
      </c>
    </row>
    <row r="821" spans="2:42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AC821" s="131">
        <f t="shared" si="168"/>
        <v>0</v>
      </c>
      <c r="AD821" s="131">
        <f t="shared" si="169"/>
        <v>0</v>
      </c>
      <c r="AE821" s="131">
        <f t="shared" si="170"/>
        <v>0</v>
      </c>
      <c r="AF821" s="131">
        <f t="shared" si="171"/>
        <v>0</v>
      </c>
      <c r="AG821" s="140">
        <f t="shared" si="172"/>
        <v>0</v>
      </c>
      <c r="AH821" s="140">
        <f t="shared" si="173"/>
        <v>0</v>
      </c>
      <c r="AI821" s="140">
        <f t="shared" si="174"/>
        <v>0</v>
      </c>
      <c r="AJ821" s="131">
        <f t="shared" si="175"/>
        <v>0</v>
      </c>
      <c r="AK821" s="131">
        <f t="shared" si="176"/>
        <v>0</v>
      </c>
      <c r="AL821" s="127">
        <f t="shared" si="181"/>
        <v>0</v>
      </c>
      <c r="AM821" s="140">
        <f t="shared" si="177"/>
        <v>0</v>
      </c>
      <c r="AN821" s="140">
        <f t="shared" si="178"/>
        <v>0</v>
      </c>
      <c r="AO821" s="140">
        <f t="shared" si="179"/>
        <v>0</v>
      </c>
      <c r="AP821" s="140">
        <f t="shared" si="180"/>
        <v>0</v>
      </c>
    </row>
    <row r="822" spans="2:42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AC822" s="131">
        <f t="shared" si="168"/>
        <v>0</v>
      </c>
      <c r="AD822" s="131">
        <f t="shared" si="169"/>
        <v>0</v>
      </c>
      <c r="AE822" s="131">
        <f t="shared" si="170"/>
        <v>0</v>
      </c>
      <c r="AF822" s="131">
        <f t="shared" si="171"/>
        <v>0</v>
      </c>
      <c r="AG822" s="140">
        <f t="shared" si="172"/>
        <v>0</v>
      </c>
      <c r="AH822" s="140">
        <f t="shared" si="173"/>
        <v>0</v>
      </c>
      <c r="AI822" s="140">
        <f t="shared" si="174"/>
        <v>0</v>
      </c>
      <c r="AJ822" s="131">
        <f t="shared" si="175"/>
        <v>0</v>
      </c>
      <c r="AK822" s="131">
        <f t="shared" si="176"/>
        <v>0</v>
      </c>
      <c r="AL822" s="127">
        <f t="shared" si="181"/>
        <v>0</v>
      </c>
      <c r="AM822" s="140">
        <f t="shared" si="177"/>
        <v>0</v>
      </c>
      <c r="AN822" s="140">
        <f t="shared" si="178"/>
        <v>0</v>
      </c>
      <c r="AO822" s="140">
        <f t="shared" si="179"/>
        <v>0</v>
      </c>
      <c r="AP822" s="140">
        <f t="shared" si="180"/>
        <v>0</v>
      </c>
    </row>
    <row r="823" spans="2:42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AC823" s="131">
        <f t="shared" si="168"/>
        <v>0</v>
      </c>
      <c r="AD823" s="131">
        <f t="shared" si="169"/>
        <v>0</v>
      </c>
      <c r="AE823" s="131">
        <f t="shared" si="170"/>
        <v>0</v>
      </c>
      <c r="AF823" s="131">
        <f t="shared" si="171"/>
        <v>0</v>
      </c>
      <c r="AG823" s="140">
        <f t="shared" si="172"/>
        <v>0</v>
      </c>
      <c r="AH823" s="140">
        <f t="shared" si="173"/>
        <v>0</v>
      </c>
      <c r="AI823" s="140">
        <f t="shared" si="174"/>
        <v>0</v>
      </c>
      <c r="AJ823" s="131">
        <f t="shared" si="175"/>
        <v>0</v>
      </c>
      <c r="AK823" s="131">
        <f t="shared" si="176"/>
        <v>0</v>
      </c>
      <c r="AL823" s="127">
        <f t="shared" si="181"/>
        <v>0</v>
      </c>
      <c r="AM823" s="140">
        <f t="shared" si="177"/>
        <v>0</v>
      </c>
      <c r="AN823" s="140">
        <f t="shared" si="178"/>
        <v>0</v>
      </c>
      <c r="AO823" s="140">
        <f t="shared" si="179"/>
        <v>0</v>
      </c>
      <c r="AP823" s="140">
        <f t="shared" si="180"/>
        <v>0</v>
      </c>
    </row>
    <row r="824" spans="2:42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AC824" s="131">
        <f t="shared" si="168"/>
        <v>0</v>
      </c>
      <c r="AD824" s="131">
        <f t="shared" si="169"/>
        <v>0</v>
      </c>
      <c r="AE824" s="131">
        <f t="shared" si="170"/>
        <v>0</v>
      </c>
      <c r="AF824" s="131">
        <f t="shared" si="171"/>
        <v>0</v>
      </c>
      <c r="AG824" s="140">
        <f t="shared" si="172"/>
        <v>0</v>
      </c>
      <c r="AH824" s="140">
        <f t="shared" si="173"/>
        <v>0</v>
      </c>
      <c r="AI824" s="140">
        <f t="shared" si="174"/>
        <v>0</v>
      </c>
      <c r="AJ824" s="131">
        <f t="shared" si="175"/>
        <v>0</v>
      </c>
      <c r="AK824" s="131">
        <f t="shared" si="176"/>
        <v>0</v>
      </c>
      <c r="AL824" s="127">
        <f t="shared" si="181"/>
        <v>0</v>
      </c>
      <c r="AM824" s="140">
        <f t="shared" si="177"/>
        <v>0</v>
      </c>
      <c r="AN824" s="140">
        <f t="shared" si="178"/>
        <v>0</v>
      </c>
      <c r="AO824" s="140">
        <f t="shared" si="179"/>
        <v>0</v>
      </c>
      <c r="AP824" s="140">
        <f t="shared" si="180"/>
        <v>0</v>
      </c>
    </row>
    <row r="825" spans="2:42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AC825" s="131">
        <f t="shared" si="168"/>
        <v>0</v>
      </c>
      <c r="AD825" s="131">
        <f t="shared" si="169"/>
        <v>0</v>
      </c>
      <c r="AE825" s="131">
        <f t="shared" si="170"/>
        <v>0</v>
      </c>
      <c r="AF825" s="131">
        <f t="shared" si="171"/>
        <v>0</v>
      </c>
      <c r="AG825" s="140">
        <f t="shared" si="172"/>
        <v>0</v>
      </c>
      <c r="AH825" s="140">
        <f t="shared" si="173"/>
        <v>0</v>
      </c>
      <c r="AI825" s="140">
        <f t="shared" si="174"/>
        <v>0</v>
      </c>
      <c r="AJ825" s="131">
        <f t="shared" si="175"/>
        <v>0</v>
      </c>
      <c r="AK825" s="131">
        <f t="shared" si="176"/>
        <v>0</v>
      </c>
      <c r="AL825" s="127">
        <f t="shared" si="181"/>
        <v>0</v>
      </c>
      <c r="AM825" s="140">
        <f t="shared" si="177"/>
        <v>0</v>
      </c>
      <c r="AN825" s="140">
        <f t="shared" si="178"/>
        <v>0</v>
      </c>
      <c r="AO825" s="140">
        <f t="shared" si="179"/>
        <v>0</v>
      </c>
      <c r="AP825" s="140">
        <f t="shared" si="180"/>
        <v>0</v>
      </c>
    </row>
    <row r="826" spans="2:42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AC826" s="131">
        <f t="shared" si="168"/>
        <v>0</v>
      </c>
      <c r="AD826" s="131">
        <f t="shared" si="169"/>
        <v>0</v>
      </c>
      <c r="AE826" s="131">
        <f t="shared" si="170"/>
        <v>0</v>
      </c>
      <c r="AF826" s="131">
        <f t="shared" si="171"/>
        <v>0</v>
      </c>
      <c r="AG826" s="140">
        <f t="shared" si="172"/>
        <v>0</v>
      </c>
      <c r="AH826" s="140">
        <f t="shared" si="173"/>
        <v>0</v>
      </c>
      <c r="AI826" s="140">
        <f t="shared" si="174"/>
        <v>0</v>
      </c>
      <c r="AJ826" s="131">
        <f t="shared" si="175"/>
        <v>0</v>
      </c>
      <c r="AK826" s="131">
        <f t="shared" si="176"/>
        <v>0</v>
      </c>
      <c r="AL826" s="127">
        <f t="shared" si="181"/>
        <v>0</v>
      </c>
      <c r="AM826" s="140">
        <f t="shared" si="177"/>
        <v>0</v>
      </c>
      <c r="AN826" s="140">
        <f t="shared" si="178"/>
        <v>0</v>
      </c>
      <c r="AO826" s="140">
        <f t="shared" si="179"/>
        <v>0</v>
      </c>
      <c r="AP826" s="140">
        <f t="shared" si="180"/>
        <v>0</v>
      </c>
    </row>
    <row r="827" spans="2:42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AC827" s="131">
        <f t="shared" ref="AC827:AC890" si="182">+H827</f>
        <v>0</v>
      </c>
      <c r="AD827" s="131">
        <f t="shared" ref="AD827:AD890" si="183">+I827</f>
        <v>0</v>
      </c>
      <c r="AE827" s="131">
        <f t="shared" ref="AE827:AE890" si="184">+J827</f>
        <v>0</v>
      </c>
      <c r="AF827" s="131">
        <f t="shared" ref="AF827:AF890" si="185">+K827</f>
        <v>0</v>
      </c>
      <c r="AG827" s="140">
        <f t="shared" ref="AG827:AG890" si="186">+G827</f>
        <v>0</v>
      </c>
      <c r="AH827" s="140">
        <f t="shared" ref="AH827:AH890" si="187">+L827</f>
        <v>0</v>
      </c>
      <c r="AI827" s="140">
        <f t="shared" ref="AI827:AI890" si="188">+M827</f>
        <v>0</v>
      </c>
      <c r="AJ827" s="131">
        <f t="shared" ref="AJ827:AJ890" si="189">+T827</f>
        <v>0</v>
      </c>
      <c r="AK827" s="131">
        <f t="shared" ref="AK827:AK890" si="190">+N827+O827</f>
        <v>0</v>
      </c>
      <c r="AL827" s="127">
        <f t="shared" si="181"/>
        <v>0</v>
      </c>
      <c r="AM827" s="140">
        <f t="shared" ref="AM827:AM890" si="191">+P827+R827</f>
        <v>0</v>
      </c>
      <c r="AN827" s="140">
        <f t="shared" ref="AN827:AN890" si="192">+Q827+S827</f>
        <v>0</v>
      </c>
      <c r="AO827" s="140">
        <f t="shared" ref="AO827:AO890" si="193">+U827</f>
        <v>0</v>
      </c>
      <c r="AP827" s="140">
        <f t="shared" ref="AP827:AP890" si="194">+AG827+AH827+AJ827-AK827-AM827-AO827</f>
        <v>0</v>
      </c>
    </row>
    <row r="828" spans="2:42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AC828" s="131">
        <f t="shared" si="182"/>
        <v>0</v>
      </c>
      <c r="AD828" s="131">
        <f t="shared" si="183"/>
        <v>0</v>
      </c>
      <c r="AE828" s="131">
        <f t="shared" si="184"/>
        <v>0</v>
      </c>
      <c r="AF828" s="131">
        <f t="shared" si="185"/>
        <v>0</v>
      </c>
      <c r="AG828" s="140">
        <f t="shared" si="186"/>
        <v>0</v>
      </c>
      <c r="AH828" s="140">
        <f t="shared" si="187"/>
        <v>0</v>
      </c>
      <c r="AI828" s="140">
        <f t="shared" si="188"/>
        <v>0</v>
      </c>
      <c r="AJ828" s="131">
        <f t="shared" si="189"/>
        <v>0</v>
      </c>
      <c r="AK828" s="131">
        <f t="shared" si="190"/>
        <v>0</v>
      </c>
      <c r="AL828" s="127">
        <f t="shared" si="181"/>
        <v>0</v>
      </c>
      <c r="AM828" s="140">
        <f t="shared" si="191"/>
        <v>0</v>
      </c>
      <c r="AN828" s="140">
        <f t="shared" si="192"/>
        <v>0</v>
      </c>
      <c r="AO828" s="140">
        <f t="shared" si="193"/>
        <v>0</v>
      </c>
      <c r="AP828" s="140">
        <f t="shared" si="194"/>
        <v>0</v>
      </c>
    </row>
    <row r="829" spans="2:42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AC829" s="131">
        <f t="shared" si="182"/>
        <v>0</v>
      </c>
      <c r="AD829" s="131">
        <f t="shared" si="183"/>
        <v>0</v>
      </c>
      <c r="AE829" s="131">
        <f t="shared" si="184"/>
        <v>0</v>
      </c>
      <c r="AF829" s="131">
        <f t="shared" si="185"/>
        <v>0</v>
      </c>
      <c r="AG829" s="140">
        <f t="shared" si="186"/>
        <v>0</v>
      </c>
      <c r="AH829" s="140">
        <f t="shared" si="187"/>
        <v>0</v>
      </c>
      <c r="AI829" s="140">
        <f t="shared" si="188"/>
        <v>0</v>
      </c>
      <c r="AJ829" s="131">
        <f t="shared" si="189"/>
        <v>0</v>
      </c>
      <c r="AK829" s="131">
        <f t="shared" si="190"/>
        <v>0</v>
      </c>
      <c r="AL829" s="127">
        <f t="shared" si="181"/>
        <v>0</v>
      </c>
      <c r="AM829" s="140">
        <f t="shared" si="191"/>
        <v>0</v>
      </c>
      <c r="AN829" s="140">
        <f t="shared" si="192"/>
        <v>0</v>
      </c>
      <c r="AO829" s="140">
        <f t="shared" si="193"/>
        <v>0</v>
      </c>
      <c r="AP829" s="140">
        <f t="shared" si="194"/>
        <v>0</v>
      </c>
    </row>
    <row r="830" spans="2:42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AC830" s="131">
        <f t="shared" si="182"/>
        <v>0</v>
      </c>
      <c r="AD830" s="131">
        <f t="shared" si="183"/>
        <v>0</v>
      </c>
      <c r="AE830" s="131">
        <f t="shared" si="184"/>
        <v>0</v>
      </c>
      <c r="AF830" s="131">
        <f t="shared" si="185"/>
        <v>0</v>
      </c>
      <c r="AG830" s="140">
        <f t="shared" si="186"/>
        <v>0</v>
      </c>
      <c r="AH830" s="140">
        <f t="shared" si="187"/>
        <v>0</v>
      </c>
      <c r="AI830" s="140">
        <f t="shared" si="188"/>
        <v>0</v>
      </c>
      <c r="AJ830" s="131">
        <f t="shared" si="189"/>
        <v>0</v>
      </c>
      <c r="AK830" s="131">
        <f t="shared" si="190"/>
        <v>0</v>
      </c>
      <c r="AL830" s="127">
        <f t="shared" si="181"/>
        <v>0</v>
      </c>
      <c r="AM830" s="140">
        <f t="shared" si="191"/>
        <v>0</v>
      </c>
      <c r="AN830" s="140">
        <f t="shared" si="192"/>
        <v>0</v>
      </c>
      <c r="AO830" s="140">
        <f t="shared" si="193"/>
        <v>0</v>
      </c>
      <c r="AP830" s="140">
        <f t="shared" si="194"/>
        <v>0</v>
      </c>
    </row>
    <row r="831" spans="2:42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AC831" s="131">
        <f t="shared" si="182"/>
        <v>0</v>
      </c>
      <c r="AD831" s="131">
        <f t="shared" si="183"/>
        <v>0</v>
      </c>
      <c r="AE831" s="131">
        <f t="shared" si="184"/>
        <v>0</v>
      </c>
      <c r="AF831" s="131">
        <f t="shared" si="185"/>
        <v>0</v>
      </c>
      <c r="AG831" s="140">
        <f t="shared" si="186"/>
        <v>0</v>
      </c>
      <c r="AH831" s="140">
        <f t="shared" si="187"/>
        <v>0</v>
      </c>
      <c r="AI831" s="140">
        <f t="shared" si="188"/>
        <v>0</v>
      </c>
      <c r="AJ831" s="131">
        <f t="shared" si="189"/>
        <v>0</v>
      </c>
      <c r="AK831" s="131">
        <f t="shared" si="190"/>
        <v>0</v>
      </c>
      <c r="AL831" s="127">
        <f t="shared" si="181"/>
        <v>0</v>
      </c>
      <c r="AM831" s="140">
        <f t="shared" si="191"/>
        <v>0</v>
      </c>
      <c r="AN831" s="140">
        <f t="shared" si="192"/>
        <v>0</v>
      </c>
      <c r="AO831" s="140">
        <f t="shared" si="193"/>
        <v>0</v>
      </c>
      <c r="AP831" s="140">
        <f t="shared" si="194"/>
        <v>0</v>
      </c>
    </row>
    <row r="832" spans="2:42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AC832" s="131">
        <f t="shared" si="182"/>
        <v>0</v>
      </c>
      <c r="AD832" s="131">
        <f t="shared" si="183"/>
        <v>0</v>
      </c>
      <c r="AE832" s="131">
        <f t="shared" si="184"/>
        <v>0</v>
      </c>
      <c r="AF832" s="131">
        <f t="shared" si="185"/>
        <v>0</v>
      </c>
      <c r="AG832" s="140">
        <f t="shared" si="186"/>
        <v>0</v>
      </c>
      <c r="AH832" s="140">
        <f t="shared" si="187"/>
        <v>0</v>
      </c>
      <c r="AI832" s="140">
        <f t="shared" si="188"/>
        <v>0</v>
      </c>
      <c r="AJ832" s="131">
        <f t="shared" si="189"/>
        <v>0</v>
      </c>
      <c r="AK832" s="131">
        <f t="shared" si="190"/>
        <v>0</v>
      </c>
      <c r="AL832" s="127">
        <f t="shared" si="181"/>
        <v>0</v>
      </c>
      <c r="AM832" s="140">
        <f t="shared" si="191"/>
        <v>0</v>
      </c>
      <c r="AN832" s="140">
        <f t="shared" si="192"/>
        <v>0</v>
      </c>
      <c r="AO832" s="140">
        <f t="shared" si="193"/>
        <v>0</v>
      </c>
      <c r="AP832" s="140">
        <f t="shared" si="194"/>
        <v>0</v>
      </c>
    </row>
    <row r="833" spans="2:42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AC833" s="131">
        <f t="shared" si="182"/>
        <v>0</v>
      </c>
      <c r="AD833" s="131">
        <f t="shared" si="183"/>
        <v>0</v>
      </c>
      <c r="AE833" s="131">
        <f t="shared" si="184"/>
        <v>0</v>
      </c>
      <c r="AF833" s="131">
        <f t="shared" si="185"/>
        <v>0</v>
      </c>
      <c r="AG833" s="140">
        <f t="shared" si="186"/>
        <v>0</v>
      </c>
      <c r="AH833" s="140">
        <f t="shared" si="187"/>
        <v>0</v>
      </c>
      <c r="AI833" s="140">
        <f t="shared" si="188"/>
        <v>0</v>
      </c>
      <c r="AJ833" s="131">
        <f t="shared" si="189"/>
        <v>0</v>
      </c>
      <c r="AK833" s="131">
        <f t="shared" si="190"/>
        <v>0</v>
      </c>
      <c r="AL833" s="127">
        <f t="shared" si="181"/>
        <v>0</v>
      </c>
      <c r="AM833" s="140">
        <f t="shared" si="191"/>
        <v>0</v>
      </c>
      <c r="AN833" s="140">
        <f t="shared" si="192"/>
        <v>0</v>
      </c>
      <c r="AO833" s="140">
        <f t="shared" si="193"/>
        <v>0</v>
      </c>
      <c r="AP833" s="140">
        <f t="shared" si="194"/>
        <v>0</v>
      </c>
    </row>
    <row r="834" spans="2:42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AC834" s="131">
        <f t="shared" si="182"/>
        <v>0</v>
      </c>
      <c r="AD834" s="131">
        <f t="shared" si="183"/>
        <v>0</v>
      </c>
      <c r="AE834" s="131">
        <f t="shared" si="184"/>
        <v>0</v>
      </c>
      <c r="AF834" s="131">
        <f t="shared" si="185"/>
        <v>0</v>
      </c>
      <c r="AG834" s="140">
        <f t="shared" si="186"/>
        <v>0</v>
      </c>
      <c r="AH834" s="140">
        <f t="shared" si="187"/>
        <v>0</v>
      </c>
      <c r="AI834" s="140">
        <f t="shared" si="188"/>
        <v>0</v>
      </c>
      <c r="AJ834" s="131">
        <f t="shared" si="189"/>
        <v>0</v>
      </c>
      <c r="AK834" s="131">
        <f t="shared" si="190"/>
        <v>0</v>
      </c>
      <c r="AL834" s="127">
        <f t="shared" si="181"/>
        <v>0</v>
      </c>
      <c r="AM834" s="140">
        <f t="shared" si="191"/>
        <v>0</v>
      </c>
      <c r="AN834" s="140">
        <f t="shared" si="192"/>
        <v>0</v>
      </c>
      <c r="AO834" s="140">
        <f t="shared" si="193"/>
        <v>0</v>
      </c>
      <c r="AP834" s="140">
        <f t="shared" si="194"/>
        <v>0</v>
      </c>
    </row>
    <row r="835" spans="2:42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AC835" s="131">
        <f t="shared" si="182"/>
        <v>0</v>
      </c>
      <c r="AD835" s="131">
        <f t="shared" si="183"/>
        <v>0</v>
      </c>
      <c r="AE835" s="131">
        <f t="shared" si="184"/>
        <v>0</v>
      </c>
      <c r="AF835" s="131">
        <f t="shared" si="185"/>
        <v>0</v>
      </c>
      <c r="AG835" s="140">
        <f t="shared" si="186"/>
        <v>0</v>
      </c>
      <c r="AH835" s="140">
        <f t="shared" si="187"/>
        <v>0</v>
      </c>
      <c r="AI835" s="140">
        <f t="shared" si="188"/>
        <v>0</v>
      </c>
      <c r="AJ835" s="131">
        <f t="shared" si="189"/>
        <v>0</v>
      </c>
      <c r="AK835" s="131">
        <f t="shared" si="190"/>
        <v>0</v>
      </c>
      <c r="AL835" s="127">
        <f t="shared" ref="AL835:AL898" si="195">ROUND(IFERROR(+AK835/AH835*100,0),2)</f>
        <v>0</v>
      </c>
      <c r="AM835" s="140">
        <f t="shared" si="191"/>
        <v>0</v>
      </c>
      <c r="AN835" s="140">
        <f t="shared" si="192"/>
        <v>0</v>
      </c>
      <c r="AO835" s="140">
        <f t="shared" si="193"/>
        <v>0</v>
      </c>
      <c r="AP835" s="140">
        <f t="shared" si="194"/>
        <v>0</v>
      </c>
    </row>
    <row r="836" spans="2:42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AC836" s="131">
        <f t="shared" si="182"/>
        <v>0</v>
      </c>
      <c r="AD836" s="131">
        <f t="shared" si="183"/>
        <v>0</v>
      </c>
      <c r="AE836" s="131">
        <f t="shared" si="184"/>
        <v>0</v>
      </c>
      <c r="AF836" s="131">
        <f t="shared" si="185"/>
        <v>0</v>
      </c>
      <c r="AG836" s="140">
        <f t="shared" si="186"/>
        <v>0</v>
      </c>
      <c r="AH836" s="140">
        <f t="shared" si="187"/>
        <v>0</v>
      </c>
      <c r="AI836" s="140">
        <f t="shared" si="188"/>
        <v>0</v>
      </c>
      <c r="AJ836" s="131">
        <f t="shared" si="189"/>
        <v>0</v>
      </c>
      <c r="AK836" s="131">
        <f t="shared" si="190"/>
        <v>0</v>
      </c>
      <c r="AL836" s="127">
        <f t="shared" si="195"/>
        <v>0</v>
      </c>
      <c r="AM836" s="140">
        <f t="shared" si="191"/>
        <v>0</v>
      </c>
      <c r="AN836" s="140">
        <f t="shared" si="192"/>
        <v>0</v>
      </c>
      <c r="AO836" s="140">
        <f t="shared" si="193"/>
        <v>0</v>
      </c>
      <c r="AP836" s="140">
        <f t="shared" si="194"/>
        <v>0</v>
      </c>
    </row>
    <row r="837" spans="2:42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AC837" s="131">
        <f t="shared" si="182"/>
        <v>0</v>
      </c>
      <c r="AD837" s="131">
        <f t="shared" si="183"/>
        <v>0</v>
      </c>
      <c r="AE837" s="131">
        <f t="shared" si="184"/>
        <v>0</v>
      </c>
      <c r="AF837" s="131">
        <f t="shared" si="185"/>
        <v>0</v>
      </c>
      <c r="AG837" s="140">
        <f t="shared" si="186"/>
        <v>0</v>
      </c>
      <c r="AH837" s="140">
        <f t="shared" si="187"/>
        <v>0</v>
      </c>
      <c r="AI837" s="140">
        <f t="shared" si="188"/>
        <v>0</v>
      </c>
      <c r="AJ837" s="131">
        <f t="shared" si="189"/>
        <v>0</v>
      </c>
      <c r="AK837" s="131">
        <f t="shared" si="190"/>
        <v>0</v>
      </c>
      <c r="AL837" s="127">
        <f t="shared" si="195"/>
        <v>0</v>
      </c>
      <c r="AM837" s="140">
        <f t="shared" si="191"/>
        <v>0</v>
      </c>
      <c r="AN837" s="140">
        <f t="shared" si="192"/>
        <v>0</v>
      </c>
      <c r="AO837" s="140">
        <f t="shared" si="193"/>
        <v>0</v>
      </c>
      <c r="AP837" s="140">
        <f t="shared" si="194"/>
        <v>0</v>
      </c>
    </row>
    <row r="838" spans="2:42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AC838" s="131">
        <f t="shared" si="182"/>
        <v>0</v>
      </c>
      <c r="AD838" s="131">
        <f t="shared" si="183"/>
        <v>0</v>
      </c>
      <c r="AE838" s="131">
        <f t="shared" si="184"/>
        <v>0</v>
      </c>
      <c r="AF838" s="131">
        <f t="shared" si="185"/>
        <v>0</v>
      </c>
      <c r="AG838" s="140">
        <f t="shared" si="186"/>
        <v>0</v>
      </c>
      <c r="AH838" s="140">
        <f t="shared" si="187"/>
        <v>0</v>
      </c>
      <c r="AI838" s="140">
        <f t="shared" si="188"/>
        <v>0</v>
      </c>
      <c r="AJ838" s="131">
        <f t="shared" si="189"/>
        <v>0</v>
      </c>
      <c r="AK838" s="131">
        <f t="shared" si="190"/>
        <v>0</v>
      </c>
      <c r="AL838" s="127">
        <f t="shared" si="195"/>
        <v>0</v>
      </c>
      <c r="AM838" s="140">
        <f t="shared" si="191"/>
        <v>0</v>
      </c>
      <c r="AN838" s="140">
        <f t="shared" si="192"/>
        <v>0</v>
      </c>
      <c r="AO838" s="140">
        <f t="shared" si="193"/>
        <v>0</v>
      </c>
      <c r="AP838" s="140">
        <f t="shared" si="194"/>
        <v>0</v>
      </c>
    </row>
    <row r="839" spans="2:42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AC839" s="131">
        <f t="shared" si="182"/>
        <v>0</v>
      </c>
      <c r="AD839" s="131">
        <f t="shared" si="183"/>
        <v>0</v>
      </c>
      <c r="AE839" s="131">
        <f t="shared" si="184"/>
        <v>0</v>
      </c>
      <c r="AF839" s="131">
        <f t="shared" si="185"/>
        <v>0</v>
      </c>
      <c r="AG839" s="140">
        <f t="shared" si="186"/>
        <v>0</v>
      </c>
      <c r="AH839" s="140">
        <f t="shared" si="187"/>
        <v>0</v>
      </c>
      <c r="AI839" s="140">
        <f t="shared" si="188"/>
        <v>0</v>
      </c>
      <c r="AJ839" s="131">
        <f t="shared" si="189"/>
        <v>0</v>
      </c>
      <c r="AK839" s="131">
        <f t="shared" si="190"/>
        <v>0</v>
      </c>
      <c r="AL839" s="127">
        <f t="shared" si="195"/>
        <v>0</v>
      </c>
      <c r="AM839" s="140">
        <f t="shared" si="191"/>
        <v>0</v>
      </c>
      <c r="AN839" s="140">
        <f t="shared" si="192"/>
        <v>0</v>
      </c>
      <c r="AO839" s="140">
        <f t="shared" si="193"/>
        <v>0</v>
      </c>
      <c r="AP839" s="140">
        <f t="shared" si="194"/>
        <v>0</v>
      </c>
    </row>
    <row r="840" spans="2:42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AC840" s="131">
        <f t="shared" si="182"/>
        <v>0</v>
      </c>
      <c r="AD840" s="131">
        <f t="shared" si="183"/>
        <v>0</v>
      </c>
      <c r="AE840" s="131">
        <f t="shared" si="184"/>
        <v>0</v>
      </c>
      <c r="AF840" s="131">
        <f t="shared" si="185"/>
        <v>0</v>
      </c>
      <c r="AG840" s="140">
        <f t="shared" si="186"/>
        <v>0</v>
      </c>
      <c r="AH840" s="140">
        <f t="shared" si="187"/>
        <v>0</v>
      </c>
      <c r="AI840" s="140">
        <f t="shared" si="188"/>
        <v>0</v>
      </c>
      <c r="AJ840" s="131">
        <f t="shared" si="189"/>
        <v>0</v>
      </c>
      <c r="AK840" s="131">
        <f t="shared" si="190"/>
        <v>0</v>
      </c>
      <c r="AL840" s="127">
        <f t="shared" si="195"/>
        <v>0</v>
      </c>
      <c r="AM840" s="140">
        <f t="shared" si="191"/>
        <v>0</v>
      </c>
      <c r="AN840" s="140">
        <f t="shared" si="192"/>
        <v>0</v>
      </c>
      <c r="AO840" s="140">
        <f t="shared" si="193"/>
        <v>0</v>
      </c>
      <c r="AP840" s="140">
        <f t="shared" si="194"/>
        <v>0</v>
      </c>
    </row>
    <row r="841" spans="2:42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AC841" s="131">
        <f t="shared" si="182"/>
        <v>0</v>
      </c>
      <c r="AD841" s="131">
        <f t="shared" si="183"/>
        <v>0</v>
      </c>
      <c r="AE841" s="131">
        <f t="shared" si="184"/>
        <v>0</v>
      </c>
      <c r="AF841" s="131">
        <f t="shared" si="185"/>
        <v>0</v>
      </c>
      <c r="AG841" s="140">
        <f t="shared" si="186"/>
        <v>0</v>
      </c>
      <c r="AH841" s="140">
        <f t="shared" si="187"/>
        <v>0</v>
      </c>
      <c r="AI841" s="140">
        <f t="shared" si="188"/>
        <v>0</v>
      </c>
      <c r="AJ841" s="131">
        <f t="shared" si="189"/>
        <v>0</v>
      </c>
      <c r="AK841" s="131">
        <f t="shared" si="190"/>
        <v>0</v>
      </c>
      <c r="AL841" s="127">
        <f t="shared" si="195"/>
        <v>0</v>
      </c>
      <c r="AM841" s="140">
        <f t="shared" si="191"/>
        <v>0</v>
      </c>
      <c r="AN841" s="140">
        <f t="shared" si="192"/>
        <v>0</v>
      </c>
      <c r="AO841" s="140">
        <f t="shared" si="193"/>
        <v>0</v>
      </c>
      <c r="AP841" s="140">
        <f t="shared" si="194"/>
        <v>0</v>
      </c>
    </row>
    <row r="842" spans="2:42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AC842" s="131">
        <f t="shared" si="182"/>
        <v>0</v>
      </c>
      <c r="AD842" s="131">
        <f t="shared" si="183"/>
        <v>0</v>
      </c>
      <c r="AE842" s="131">
        <f t="shared" si="184"/>
        <v>0</v>
      </c>
      <c r="AF842" s="131">
        <f t="shared" si="185"/>
        <v>0</v>
      </c>
      <c r="AG842" s="140">
        <f t="shared" si="186"/>
        <v>0</v>
      </c>
      <c r="AH842" s="140">
        <f t="shared" si="187"/>
        <v>0</v>
      </c>
      <c r="AI842" s="140">
        <f t="shared" si="188"/>
        <v>0</v>
      </c>
      <c r="AJ842" s="131">
        <f t="shared" si="189"/>
        <v>0</v>
      </c>
      <c r="AK842" s="131">
        <f t="shared" si="190"/>
        <v>0</v>
      </c>
      <c r="AL842" s="127">
        <f t="shared" si="195"/>
        <v>0</v>
      </c>
      <c r="AM842" s="140">
        <f t="shared" si="191"/>
        <v>0</v>
      </c>
      <c r="AN842" s="140">
        <f t="shared" si="192"/>
        <v>0</v>
      </c>
      <c r="AO842" s="140">
        <f t="shared" si="193"/>
        <v>0</v>
      </c>
      <c r="AP842" s="140">
        <f t="shared" si="194"/>
        <v>0</v>
      </c>
    </row>
    <row r="843" spans="2:42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AC843" s="131">
        <f t="shared" si="182"/>
        <v>0</v>
      </c>
      <c r="AD843" s="131">
        <f t="shared" si="183"/>
        <v>0</v>
      </c>
      <c r="AE843" s="131">
        <f t="shared" si="184"/>
        <v>0</v>
      </c>
      <c r="AF843" s="131">
        <f t="shared" si="185"/>
        <v>0</v>
      </c>
      <c r="AG843" s="140">
        <f t="shared" si="186"/>
        <v>0</v>
      </c>
      <c r="AH843" s="140">
        <f t="shared" si="187"/>
        <v>0</v>
      </c>
      <c r="AI843" s="140">
        <f t="shared" si="188"/>
        <v>0</v>
      </c>
      <c r="AJ843" s="131">
        <f t="shared" si="189"/>
        <v>0</v>
      </c>
      <c r="AK843" s="131">
        <f t="shared" si="190"/>
        <v>0</v>
      </c>
      <c r="AL843" s="127">
        <f t="shared" si="195"/>
        <v>0</v>
      </c>
      <c r="AM843" s="140">
        <f t="shared" si="191"/>
        <v>0</v>
      </c>
      <c r="AN843" s="140">
        <f t="shared" si="192"/>
        <v>0</v>
      </c>
      <c r="AO843" s="140">
        <f t="shared" si="193"/>
        <v>0</v>
      </c>
      <c r="AP843" s="140">
        <f t="shared" si="194"/>
        <v>0</v>
      </c>
    </row>
    <row r="844" spans="2:42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AC844" s="131">
        <f t="shared" si="182"/>
        <v>0</v>
      </c>
      <c r="AD844" s="131">
        <f t="shared" si="183"/>
        <v>0</v>
      </c>
      <c r="AE844" s="131">
        <f t="shared" si="184"/>
        <v>0</v>
      </c>
      <c r="AF844" s="131">
        <f t="shared" si="185"/>
        <v>0</v>
      </c>
      <c r="AG844" s="140">
        <f t="shared" si="186"/>
        <v>0</v>
      </c>
      <c r="AH844" s="140">
        <f t="shared" si="187"/>
        <v>0</v>
      </c>
      <c r="AI844" s="140">
        <f t="shared" si="188"/>
        <v>0</v>
      </c>
      <c r="AJ844" s="131">
        <f t="shared" si="189"/>
        <v>0</v>
      </c>
      <c r="AK844" s="131">
        <f t="shared" si="190"/>
        <v>0</v>
      </c>
      <c r="AL844" s="127">
        <f t="shared" si="195"/>
        <v>0</v>
      </c>
      <c r="AM844" s="140">
        <f t="shared" si="191"/>
        <v>0</v>
      </c>
      <c r="AN844" s="140">
        <f t="shared" si="192"/>
        <v>0</v>
      </c>
      <c r="AO844" s="140">
        <f t="shared" si="193"/>
        <v>0</v>
      </c>
      <c r="AP844" s="140">
        <f t="shared" si="194"/>
        <v>0</v>
      </c>
    </row>
    <row r="845" spans="2:42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AC845" s="131">
        <f t="shared" si="182"/>
        <v>0</v>
      </c>
      <c r="AD845" s="131">
        <f t="shared" si="183"/>
        <v>0</v>
      </c>
      <c r="AE845" s="131">
        <f t="shared" si="184"/>
        <v>0</v>
      </c>
      <c r="AF845" s="131">
        <f t="shared" si="185"/>
        <v>0</v>
      </c>
      <c r="AG845" s="140">
        <f t="shared" si="186"/>
        <v>0</v>
      </c>
      <c r="AH845" s="140">
        <f t="shared" si="187"/>
        <v>0</v>
      </c>
      <c r="AI845" s="140">
        <f t="shared" si="188"/>
        <v>0</v>
      </c>
      <c r="AJ845" s="131">
        <f t="shared" si="189"/>
        <v>0</v>
      </c>
      <c r="AK845" s="131">
        <f t="shared" si="190"/>
        <v>0</v>
      </c>
      <c r="AL845" s="127">
        <f t="shared" si="195"/>
        <v>0</v>
      </c>
      <c r="AM845" s="140">
        <f t="shared" si="191"/>
        <v>0</v>
      </c>
      <c r="AN845" s="140">
        <f t="shared" si="192"/>
        <v>0</v>
      </c>
      <c r="AO845" s="140">
        <f t="shared" si="193"/>
        <v>0</v>
      </c>
      <c r="AP845" s="140">
        <f t="shared" si="194"/>
        <v>0</v>
      </c>
    </row>
    <row r="846" spans="2:42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AC846" s="131">
        <f t="shared" si="182"/>
        <v>0</v>
      </c>
      <c r="AD846" s="131">
        <f t="shared" si="183"/>
        <v>0</v>
      </c>
      <c r="AE846" s="131">
        <f t="shared" si="184"/>
        <v>0</v>
      </c>
      <c r="AF846" s="131">
        <f t="shared" si="185"/>
        <v>0</v>
      </c>
      <c r="AG846" s="140">
        <f t="shared" si="186"/>
        <v>0</v>
      </c>
      <c r="AH846" s="140">
        <f t="shared" si="187"/>
        <v>0</v>
      </c>
      <c r="AI846" s="140">
        <f t="shared" si="188"/>
        <v>0</v>
      </c>
      <c r="AJ846" s="131">
        <f t="shared" si="189"/>
        <v>0</v>
      </c>
      <c r="AK846" s="131">
        <f t="shared" si="190"/>
        <v>0</v>
      </c>
      <c r="AL846" s="127">
        <f t="shared" si="195"/>
        <v>0</v>
      </c>
      <c r="AM846" s="140">
        <f t="shared" si="191"/>
        <v>0</v>
      </c>
      <c r="AN846" s="140">
        <f t="shared" si="192"/>
        <v>0</v>
      </c>
      <c r="AO846" s="140">
        <f t="shared" si="193"/>
        <v>0</v>
      </c>
      <c r="AP846" s="140">
        <f t="shared" si="194"/>
        <v>0</v>
      </c>
    </row>
    <row r="847" spans="2:42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AC847" s="131">
        <f t="shared" si="182"/>
        <v>0</v>
      </c>
      <c r="AD847" s="131">
        <f t="shared" si="183"/>
        <v>0</v>
      </c>
      <c r="AE847" s="131">
        <f t="shared" si="184"/>
        <v>0</v>
      </c>
      <c r="AF847" s="131">
        <f t="shared" si="185"/>
        <v>0</v>
      </c>
      <c r="AG847" s="140">
        <f t="shared" si="186"/>
        <v>0</v>
      </c>
      <c r="AH847" s="140">
        <f t="shared" si="187"/>
        <v>0</v>
      </c>
      <c r="AI847" s="140">
        <f t="shared" si="188"/>
        <v>0</v>
      </c>
      <c r="AJ847" s="131">
        <f t="shared" si="189"/>
        <v>0</v>
      </c>
      <c r="AK847" s="131">
        <f t="shared" si="190"/>
        <v>0</v>
      </c>
      <c r="AL847" s="127">
        <f t="shared" si="195"/>
        <v>0</v>
      </c>
      <c r="AM847" s="140">
        <f t="shared" si="191"/>
        <v>0</v>
      </c>
      <c r="AN847" s="140">
        <f t="shared" si="192"/>
        <v>0</v>
      </c>
      <c r="AO847" s="140">
        <f t="shared" si="193"/>
        <v>0</v>
      </c>
      <c r="AP847" s="140">
        <f t="shared" si="194"/>
        <v>0</v>
      </c>
    </row>
    <row r="848" spans="2:42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AC848" s="131">
        <f t="shared" si="182"/>
        <v>0</v>
      </c>
      <c r="AD848" s="131">
        <f t="shared" si="183"/>
        <v>0</v>
      </c>
      <c r="AE848" s="131">
        <f t="shared" si="184"/>
        <v>0</v>
      </c>
      <c r="AF848" s="131">
        <f t="shared" si="185"/>
        <v>0</v>
      </c>
      <c r="AG848" s="140">
        <f t="shared" si="186"/>
        <v>0</v>
      </c>
      <c r="AH848" s="140">
        <f t="shared" si="187"/>
        <v>0</v>
      </c>
      <c r="AI848" s="140">
        <f t="shared" si="188"/>
        <v>0</v>
      </c>
      <c r="AJ848" s="131">
        <f t="shared" si="189"/>
        <v>0</v>
      </c>
      <c r="AK848" s="131">
        <f t="shared" si="190"/>
        <v>0</v>
      </c>
      <c r="AL848" s="127">
        <f t="shared" si="195"/>
        <v>0</v>
      </c>
      <c r="AM848" s="140">
        <f t="shared" si="191"/>
        <v>0</v>
      </c>
      <c r="AN848" s="140">
        <f t="shared" si="192"/>
        <v>0</v>
      </c>
      <c r="AO848" s="140">
        <f t="shared" si="193"/>
        <v>0</v>
      </c>
      <c r="AP848" s="140">
        <f t="shared" si="194"/>
        <v>0</v>
      </c>
    </row>
    <row r="849" spans="2:42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AC849" s="131">
        <f t="shared" si="182"/>
        <v>0</v>
      </c>
      <c r="AD849" s="131">
        <f t="shared" si="183"/>
        <v>0</v>
      </c>
      <c r="AE849" s="131">
        <f t="shared" si="184"/>
        <v>0</v>
      </c>
      <c r="AF849" s="131">
        <f t="shared" si="185"/>
        <v>0</v>
      </c>
      <c r="AG849" s="140">
        <f t="shared" si="186"/>
        <v>0</v>
      </c>
      <c r="AH849" s="140">
        <f t="shared" si="187"/>
        <v>0</v>
      </c>
      <c r="AI849" s="140">
        <f t="shared" si="188"/>
        <v>0</v>
      </c>
      <c r="AJ849" s="131">
        <f t="shared" si="189"/>
        <v>0</v>
      </c>
      <c r="AK849" s="131">
        <f t="shared" si="190"/>
        <v>0</v>
      </c>
      <c r="AL849" s="127">
        <f t="shared" si="195"/>
        <v>0</v>
      </c>
      <c r="AM849" s="140">
        <f t="shared" si="191"/>
        <v>0</v>
      </c>
      <c r="AN849" s="140">
        <f t="shared" si="192"/>
        <v>0</v>
      </c>
      <c r="AO849" s="140">
        <f t="shared" si="193"/>
        <v>0</v>
      </c>
      <c r="AP849" s="140">
        <f t="shared" si="194"/>
        <v>0</v>
      </c>
    </row>
    <row r="850" spans="2:42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AC850" s="131">
        <f t="shared" si="182"/>
        <v>0</v>
      </c>
      <c r="AD850" s="131">
        <f t="shared" si="183"/>
        <v>0</v>
      </c>
      <c r="AE850" s="131">
        <f t="shared" si="184"/>
        <v>0</v>
      </c>
      <c r="AF850" s="131">
        <f t="shared" si="185"/>
        <v>0</v>
      </c>
      <c r="AG850" s="140">
        <f t="shared" si="186"/>
        <v>0</v>
      </c>
      <c r="AH850" s="140">
        <f t="shared" si="187"/>
        <v>0</v>
      </c>
      <c r="AI850" s="140">
        <f t="shared" si="188"/>
        <v>0</v>
      </c>
      <c r="AJ850" s="131">
        <f t="shared" si="189"/>
        <v>0</v>
      </c>
      <c r="AK850" s="131">
        <f t="shared" si="190"/>
        <v>0</v>
      </c>
      <c r="AL850" s="127">
        <f t="shared" si="195"/>
        <v>0</v>
      </c>
      <c r="AM850" s="140">
        <f t="shared" si="191"/>
        <v>0</v>
      </c>
      <c r="AN850" s="140">
        <f t="shared" si="192"/>
        <v>0</v>
      </c>
      <c r="AO850" s="140">
        <f t="shared" si="193"/>
        <v>0</v>
      </c>
      <c r="AP850" s="140">
        <f t="shared" si="194"/>
        <v>0</v>
      </c>
    </row>
    <row r="851" spans="2:42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AC851" s="131">
        <f t="shared" si="182"/>
        <v>0</v>
      </c>
      <c r="AD851" s="131">
        <f t="shared" si="183"/>
        <v>0</v>
      </c>
      <c r="AE851" s="131">
        <f t="shared" si="184"/>
        <v>0</v>
      </c>
      <c r="AF851" s="131">
        <f t="shared" si="185"/>
        <v>0</v>
      </c>
      <c r="AG851" s="140">
        <f t="shared" si="186"/>
        <v>0</v>
      </c>
      <c r="AH851" s="140">
        <f t="shared" si="187"/>
        <v>0</v>
      </c>
      <c r="AI851" s="140">
        <f t="shared" si="188"/>
        <v>0</v>
      </c>
      <c r="AJ851" s="131">
        <f t="shared" si="189"/>
        <v>0</v>
      </c>
      <c r="AK851" s="131">
        <f t="shared" si="190"/>
        <v>0</v>
      </c>
      <c r="AL851" s="127">
        <f t="shared" si="195"/>
        <v>0</v>
      </c>
      <c r="AM851" s="140">
        <f t="shared" si="191"/>
        <v>0</v>
      </c>
      <c r="AN851" s="140">
        <f t="shared" si="192"/>
        <v>0</v>
      </c>
      <c r="AO851" s="140">
        <f t="shared" si="193"/>
        <v>0</v>
      </c>
      <c r="AP851" s="140">
        <f t="shared" si="194"/>
        <v>0</v>
      </c>
    </row>
    <row r="852" spans="2:42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AC852" s="131">
        <f t="shared" si="182"/>
        <v>0</v>
      </c>
      <c r="AD852" s="131">
        <f t="shared" si="183"/>
        <v>0</v>
      </c>
      <c r="AE852" s="131">
        <f t="shared" si="184"/>
        <v>0</v>
      </c>
      <c r="AF852" s="131">
        <f t="shared" si="185"/>
        <v>0</v>
      </c>
      <c r="AG852" s="140">
        <f t="shared" si="186"/>
        <v>0</v>
      </c>
      <c r="AH852" s="140">
        <f t="shared" si="187"/>
        <v>0</v>
      </c>
      <c r="AI852" s="140">
        <f t="shared" si="188"/>
        <v>0</v>
      </c>
      <c r="AJ852" s="131">
        <f t="shared" si="189"/>
        <v>0</v>
      </c>
      <c r="AK852" s="131">
        <f t="shared" si="190"/>
        <v>0</v>
      </c>
      <c r="AL852" s="127">
        <f t="shared" si="195"/>
        <v>0</v>
      </c>
      <c r="AM852" s="140">
        <f t="shared" si="191"/>
        <v>0</v>
      </c>
      <c r="AN852" s="140">
        <f t="shared" si="192"/>
        <v>0</v>
      </c>
      <c r="AO852" s="140">
        <f t="shared" si="193"/>
        <v>0</v>
      </c>
      <c r="AP852" s="140">
        <f t="shared" si="194"/>
        <v>0</v>
      </c>
    </row>
    <row r="853" spans="2:42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AC853" s="131">
        <f t="shared" si="182"/>
        <v>0</v>
      </c>
      <c r="AD853" s="131">
        <f t="shared" si="183"/>
        <v>0</v>
      </c>
      <c r="AE853" s="131">
        <f t="shared" si="184"/>
        <v>0</v>
      </c>
      <c r="AF853" s="131">
        <f t="shared" si="185"/>
        <v>0</v>
      </c>
      <c r="AG853" s="140">
        <f t="shared" si="186"/>
        <v>0</v>
      </c>
      <c r="AH853" s="140">
        <f t="shared" si="187"/>
        <v>0</v>
      </c>
      <c r="AI853" s="140">
        <f t="shared" si="188"/>
        <v>0</v>
      </c>
      <c r="AJ853" s="131">
        <f t="shared" si="189"/>
        <v>0</v>
      </c>
      <c r="AK853" s="131">
        <f t="shared" si="190"/>
        <v>0</v>
      </c>
      <c r="AL853" s="127">
        <f t="shared" si="195"/>
        <v>0</v>
      </c>
      <c r="AM853" s="140">
        <f t="shared" si="191"/>
        <v>0</v>
      </c>
      <c r="AN853" s="140">
        <f t="shared" si="192"/>
        <v>0</v>
      </c>
      <c r="AO853" s="140">
        <f t="shared" si="193"/>
        <v>0</v>
      </c>
      <c r="AP853" s="140">
        <f t="shared" si="194"/>
        <v>0</v>
      </c>
    </row>
    <row r="854" spans="2:42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AC854" s="131">
        <f t="shared" si="182"/>
        <v>0</v>
      </c>
      <c r="AD854" s="131">
        <f t="shared" si="183"/>
        <v>0</v>
      </c>
      <c r="AE854" s="131">
        <f t="shared" si="184"/>
        <v>0</v>
      </c>
      <c r="AF854" s="131">
        <f t="shared" si="185"/>
        <v>0</v>
      </c>
      <c r="AG854" s="140">
        <f t="shared" si="186"/>
        <v>0</v>
      </c>
      <c r="AH854" s="140">
        <f t="shared" si="187"/>
        <v>0</v>
      </c>
      <c r="AI854" s="140">
        <f t="shared" si="188"/>
        <v>0</v>
      </c>
      <c r="AJ854" s="131">
        <f t="shared" si="189"/>
        <v>0</v>
      </c>
      <c r="AK854" s="131">
        <f t="shared" si="190"/>
        <v>0</v>
      </c>
      <c r="AL854" s="127">
        <f t="shared" si="195"/>
        <v>0</v>
      </c>
      <c r="AM854" s="140">
        <f t="shared" si="191"/>
        <v>0</v>
      </c>
      <c r="AN854" s="140">
        <f t="shared" si="192"/>
        <v>0</v>
      </c>
      <c r="AO854" s="140">
        <f t="shared" si="193"/>
        <v>0</v>
      </c>
      <c r="AP854" s="140">
        <f t="shared" si="194"/>
        <v>0</v>
      </c>
    </row>
    <row r="855" spans="2:42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AC855" s="131">
        <f t="shared" si="182"/>
        <v>0</v>
      </c>
      <c r="AD855" s="131">
        <f t="shared" si="183"/>
        <v>0</v>
      </c>
      <c r="AE855" s="131">
        <f t="shared" si="184"/>
        <v>0</v>
      </c>
      <c r="AF855" s="131">
        <f t="shared" si="185"/>
        <v>0</v>
      </c>
      <c r="AG855" s="140">
        <f t="shared" si="186"/>
        <v>0</v>
      </c>
      <c r="AH855" s="140">
        <f t="shared" si="187"/>
        <v>0</v>
      </c>
      <c r="AI855" s="140">
        <f t="shared" si="188"/>
        <v>0</v>
      </c>
      <c r="AJ855" s="131">
        <f t="shared" si="189"/>
        <v>0</v>
      </c>
      <c r="AK855" s="131">
        <f t="shared" si="190"/>
        <v>0</v>
      </c>
      <c r="AL855" s="127">
        <f t="shared" si="195"/>
        <v>0</v>
      </c>
      <c r="AM855" s="140">
        <f t="shared" si="191"/>
        <v>0</v>
      </c>
      <c r="AN855" s="140">
        <f t="shared" si="192"/>
        <v>0</v>
      </c>
      <c r="AO855" s="140">
        <f t="shared" si="193"/>
        <v>0</v>
      </c>
      <c r="AP855" s="140">
        <f t="shared" si="194"/>
        <v>0</v>
      </c>
    </row>
    <row r="856" spans="2:42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AC856" s="131">
        <f t="shared" si="182"/>
        <v>0</v>
      </c>
      <c r="AD856" s="131">
        <f t="shared" si="183"/>
        <v>0</v>
      </c>
      <c r="AE856" s="131">
        <f t="shared" si="184"/>
        <v>0</v>
      </c>
      <c r="AF856" s="131">
        <f t="shared" si="185"/>
        <v>0</v>
      </c>
      <c r="AG856" s="140">
        <f t="shared" si="186"/>
        <v>0</v>
      </c>
      <c r="AH856" s="140">
        <f t="shared" si="187"/>
        <v>0</v>
      </c>
      <c r="AI856" s="140">
        <f t="shared" si="188"/>
        <v>0</v>
      </c>
      <c r="AJ856" s="131">
        <f t="shared" si="189"/>
        <v>0</v>
      </c>
      <c r="AK856" s="131">
        <f t="shared" si="190"/>
        <v>0</v>
      </c>
      <c r="AL856" s="127">
        <f t="shared" si="195"/>
        <v>0</v>
      </c>
      <c r="AM856" s="140">
        <f t="shared" si="191"/>
        <v>0</v>
      </c>
      <c r="AN856" s="140">
        <f t="shared" si="192"/>
        <v>0</v>
      </c>
      <c r="AO856" s="140">
        <f t="shared" si="193"/>
        <v>0</v>
      </c>
      <c r="AP856" s="140">
        <f t="shared" si="194"/>
        <v>0</v>
      </c>
    </row>
    <row r="857" spans="2:42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AC857" s="131">
        <f t="shared" si="182"/>
        <v>0</v>
      </c>
      <c r="AD857" s="131">
        <f t="shared" si="183"/>
        <v>0</v>
      </c>
      <c r="AE857" s="131">
        <f t="shared" si="184"/>
        <v>0</v>
      </c>
      <c r="AF857" s="131">
        <f t="shared" si="185"/>
        <v>0</v>
      </c>
      <c r="AG857" s="140">
        <f t="shared" si="186"/>
        <v>0</v>
      </c>
      <c r="AH857" s="140">
        <f t="shared" si="187"/>
        <v>0</v>
      </c>
      <c r="AI857" s="140">
        <f t="shared" si="188"/>
        <v>0</v>
      </c>
      <c r="AJ857" s="131">
        <f t="shared" si="189"/>
        <v>0</v>
      </c>
      <c r="AK857" s="131">
        <f t="shared" si="190"/>
        <v>0</v>
      </c>
      <c r="AL857" s="127">
        <f t="shared" si="195"/>
        <v>0</v>
      </c>
      <c r="AM857" s="140">
        <f t="shared" si="191"/>
        <v>0</v>
      </c>
      <c r="AN857" s="140">
        <f t="shared" si="192"/>
        <v>0</v>
      </c>
      <c r="AO857" s="140">
        <f t="shared" si="193"/>
        <v>0</v>
      </c>
      <c r="AP857" s="140">
        <f t="shared" si="194"/>
        <v>0</v>
      </c>
    </row>
    <row r="858" spans="2:42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AC858" s="131">
        <f t="shared" si="182"/>
        <v>0</v>
      </c>
      <c r="AD858" s="131">
        <f t="shared" si="183"/>
        <v>0</v>
      </c>
      <c r="AE858" s="131">
        <f t="shared" si="184"/>
        <v>0</v>
      </c>
      <c r="AF858" s="131">
        <f t="shared" si="185"/>
        <v>0</v>
      </c>
      <c r="AG858" s="140">
        <f t="shared" si="186"/>
        <v>0</v>
      </c>
      <c r="AH858" s="140">
        <f t="shared" si="187"/>
        <v>0</v>
      </c>
      <c r="AI858" s="140">
        <f t="shared" si="188"/>
        <v>0</v>
      </c>
      <c r="AJ858" s="131">
        <f t="shared" si="189"/>
        <v>0</v>
      </c>
      <c r="AK858" s="131">
        <f t="shared" si="190"/>
        <v>0</v>
      </c>
      <c r="AL858" s="127">
        <f t="shared" si="195"/>
        <v>0</v>
      </c>
      <c r="AM858" s="140">
        <f t="shared" si="191"/>
        <v>0</v>
      </c>
      <c r="AN858" s="140">
        <f t="shared" si="192"/>
        <v>0</v>
      </c>
      <c r="AO858" s="140">
        <f t="shared" si="193"/>
        <v>0</v>
      </c>
      <c r="AP858" s="140">
        <f t="shared" si="194"/>
        <v>0</v>
      </c>
    </row>
    <row r="859" spans="2:42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AC859" s="131">
        <f t="shared" si="182"/>
        <v>0</v>
      </c>
      <c r="AD859" s="131">
        <f t="shared" si="183"/>
        <v>0</v>
      </c>
      <c r="AE859" s="131">
        <f t="shared" si="184"/>
        <v>0</v>
      </c>
      <c r="AF859" s="131">
        <f t="shared" si="185"/>
        <v>0</v>
      </c>
      <c r="AG859" s="140">
        <f t="shared" si="186"/>
        <v>0</v>
      </c>
      <c r="AH859" s="140">
        <f t="shared" si="187"/>
        <v>0</v>
      </c>
      <c r="AI859" s="140">
        <f t="shared" si="188"/>
        <v>0</v>
      </c>
      <c r="AJ859" s="131">
        <f t="shared" si="189"/>
        <v>0</v>
      </c>
      <c r="AK859" s="131">
        <f t="shared" si="190"/>
        <v>0</v>
      </c>
      <c r="AL859" s="127">
        <f t="shared" si="195"/>
        <v>0</v>
      </c>
      <c r="AM859" s="140">
        <f t="shared" si="191"/>
        <v>0</v>
      </c>
      <c r="AN859" s="140">
        <f t="shared" si="192"/>
        <v>0</v>
      </c>
      <c r="AO859" s="140">
        <f t="shared" si="193"/>
        <v>0</v>
      </c>
      <c r="AP859" s="140">
        <f t="shared" si="194"/>
        <v>0</v>
      </c>
    </row>
    <row r="860" spans="2:42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AC860" s="131">
        <f t="shared" si="182"/>
        <v>0</v>
      </c>
      <c r="AD860" s="131">
        <f t="shared" si="183"/>
        <v>0</v>
      </c>
      <c r="AE860" s="131">
        <f t="shared" si="184"/>
        <v>0</v>
      </c>
      <c r="AF860" s="131">
        <f t="shared" si="185"/>
        <v>0</v>
      </c>
      <c r="AG860" s="140">
        <f t="shared" si="186"/>
        <v>0</v>
      </c>
      <c r="AH860" s="140">
        <f t="shared" si="187"/>
        <v>0</v>
      </c>
      <c r="AI860" s="140">
        <f t="shared" si="188"/>
        <v>0</v>
      </c>
      <c r="AJ860" s="131">
        <f t="shared" si="189"/>
        <v>0</v>
      </c>
      <c r="AK860" s="131">
        <f t="shared" si="190"/>
        <v>0</v>
      </c>
      <c r="AL860" s="127">
        <f t="shared" si="195"/>
        <v>0</v>
      </c>
      <c r="AM860" s="140">
        <f t="shared" si="191"/>
        <v>0</v>
      </c>
      <c r="AN860" s="140">
        <f t="shared" si="192"/>
        <v>0</v>
      </c>
      <c r="AO860" s="140">
        <f t="shared" si="193"/>
        <v>0</v>
      </c>
      <c r="AP860" s="140">
        <f t="shared" si="194"/>
        <v>0</v>
      </c>
    </row>
    <row r="861" spans="2:42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AC861" s="131">
        <f t="shared" si="182"/>
        <v>0</v>
      </c>
      <c r="AD861" s="131">
        <f t="shared" si="183"/>
        <v>0</v>
      </c>
      <c r="AE861" s="131">
        <f t="shared" si="184"/>
        <v>0</v>
      </c>
      <c r="AF861" s="131">
        <f t="shared" si="185"/>
        <v>0</v>
      </c>
      <c r="AG861" s="140">
        <f t="shared" si="186"/>
        <v>0</v>
      </c>
      <c r="AH861" s="140">
        <f t="shared" si="187"/>
        <v>0</v>
      </c>
      <c r="AI861" s="140">
        <f t="shared" si="188"/>
        <v>0</v>
      </c>
      <c r="AJ861" s="131">
        <f t="shared" si="189"/>
        <v>0</v>
      </c>
      <c r="AK861" s="131">
        <f t="shared" si="190"/>
        <v>0</v>
      </c>
      <c r="AL861" s="127">
        <f t="shared" si="195"/>
        <v>0</v>
      </c>
      <c r="AM861" s="140">
        <f t="shared" si="191"/>
        <v>0</v>
      </c>
      <c r="AN861" s="140">
        <f t="shared" si="192"/>
        <v>0</v>
      </c>
      <c r="AO861" s="140">
        <f t="shared" si="193"/>
        <v>0</v>
      </c>
      <c r="AP861" s="140">
        <f t="shared" si="194"/>
        <v>0</v>
      </c>
    </row>
    <row r="862" spans="2:42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AC862" s="131">
        <f t="shared" si="182"/>
        <v>0</v>
      </c>
      <c r="AD862" s="131">
        <f t="shared" si="183"/>
        <v>0</v>
      </c>
      <c r="AE862" s="131">
        <f t="shared" si="184"/>
        <v>0</v>
      </c>
      <c r="AF862" s="131">
        <f t="shared" si="185"/>
        <v>0</v>
      </c>
      <c r="AG862" s="140">
        <f t="shared" si="186"/>
        <v>0</v>
      </c>
      <c r="AH862" s="140">
        <f t="shared" si="187"/>
        <v>0</v>
      </c>
      <c r="AI862" s="140">
        <f t="shared" si="188"/>
        <v>0</v>
      </c>
      <c r="AJ862" s="131">
        <f t="shared" si="189"/>
        <v>0</v>
      </c>
      <c r="AK862" s="131">
        <f t="shared" si="190"/>
        <v>0</v>
      </c>
      <c r="AL862" s="127">
        <f t="shared" si="195"/>
        <v>0</v>
      </c>
      <c r="AM862" s="140">
        <f t="shared" si="191"/>
        <v>0</v>
      </c>
      <c r="AN862" s="140">
        <f t="shared" si="192"/>
        <v>0</v>
      </c>
      <c r="AO862" s="140">
        <f t="shared" si="193"/>
        <v>0</v>
      </c>
      <c r="AP862" s="140">
        <f t="shared" si="194"/>
        <v>0</v>
      </c>
    </row>
    <row r="863" spans="2:42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AC863" s="131">
        <f t="shared" si="182"/>
        <v>0</v>
      </c>
      <c r="AD863" s="131">
        <f t="shared" si="183"/>
        <v>0</v>
      </c>
      <c r="AE863" s="131">
        <f t="shared" si="184"/>
        <v>0</v>
      </c>
      <c r="AF863" s="131">
        <f t="shared" si="185"/>
        <v>0</v>
      </c>
      <c r="AG863" s="140">
        <f t="shared" si="186"/>
        <v>0</v>
      </c>
      <c r="AH863" s="140">
        <f t="shared" si="187"/>
        <v>0</v>
      </c>
      <c r="AI863" s="140">
        <f t="shared" si="188"/>
        <v>0</v>
      </c>
      <c r="AJ863" s="131">
        <f t="shared" si="189"/>
        <v>0</v>
      </c>
      <c r="AK863" s="131">
        <f t="shared" si="190"/>
        <v>0</v>
      </c>
      <c r="AL863" s="127">
        <f t="shared" si="195"/>
        <v>0</v>
      </c>
      <c r="AM863" s="140">
        <f t="shared" si="191"/>
        <v>0</v>
      </c>
      <c r="AN863" s="140">
        <f t="shared" si="192"/>
        <v>0</v>
      </c>
      <c r="AO863" s="140">
        <f t="shared" si="193"/>
        <v>0</v>
      </c>
      <c r="AP863" s="140">
        <f t="shared" si="194"/>
        <v>0</v>
      </c>
    </row>
    <row r="864" spans="2:42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AC864" s="131">
        <f t="shared" si="182"/>
        <v>0</v>
      </c>
      <c r="AD864" s="131">
        <f t="shared" si="183"/>
        <v>0</v>
      </c>
      <c r="AE864" s="131">
        <f t="shared" si="184"/>
        <v>0</v>
      </c>
      <c r="AF864" s="131">
        <f t="shared" si="185"/>
        <v>0</v>
      </c>
      <c r="AG864" s="140">
        <f t="shared" si="186"/>
        <v>0</v>
      </c>
      <c r="AH864" s="140">
        <f t="shared" si="187"/>
        <v>0</v>
      </c>
      <c r="AI864" s="140">
        <f t="shared" si="188"/>
        <v>0</v>
      </c>
      <c r="AJ864" s="131">
        <f t="shared" si="189"/>
        <v>0</v>
      </c>
      <c r="AK864" s="131">
        <f t="shared" si="190"/>
        <v>0</v>
      </c>
      <c r="AL864" s="127">
        <f t="shared" si="195"/>
        <v>0</v>
      </c>
      <c r="AM864" s="140">
        <f t="shared" si="191"/>
        <v>0</v>
      </c>
      <c r="AN864" s="140">
        <f t="shared" si="192"/>
        <v>0</v>
      </c>
      <c r="AO864" s="140">
        <f t="shared" si="193"/>
        <v>0</v>
      </c>
      <c r="AP864" s="140">
        <f t="shared" si="194"/>
        <v>0</v>
      </c>
    </row>
    <row r="865" spans="2:42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AC865" s="131">
        <f t="shared" si="182"/>
        <v>0</v>
      </c>
      <c r="AD865" s="131">
        <f t="shared" si="183"/>
        <v>0</v>
      </c>
      <c r="AE865" s="131">
        <f t="shared" si="184"/>
        <v>0</v>
      </c>
      <c r="AF865" s="131">
        <f t="shared" si="185"/>
        <v>0</v>
      </c>
      <c r="AG865" s="140">
        <f t="shared" si="186"/>
        <v>0</v>
      </c>
      <c r="AH865" s="140">
        <f t="shared" si="187"/>
        <v>0</v>
      </c>
      <c r="AI865" s="140">
        <f t="shared" si="188"/>
        <v>0</v>
      </c>
      <c r="AJ865" s="131">
        <f t="shared" si="189"/>
        <v>0</v>
      </c>
      <c r="AK865" s="131">
        <f t="shared" si="190"/>
        <v>0</v>
      </c>
      <c r="AL865" s="127">
        <f t="shared" si="195"/>
        <v>0</v>
      </c>
      <c r="AM865" s="140">
        <f t="shared" si="191"/>
        <v>0</v>
      </c>
      <c r="AN865" s="140">
        <f t="shared" si="192"/>
        <v>0</v>
      </c>
      <c r="AO865" s="140">
        <f t="shared" si="193"/>
        <v>0</v>
      </c>
      <c r="AP865" s="140">
        <f t="shared" si="194"/>
        <v>0</v>
      </c>
    </row>
    <row r="866" spans="2:42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AC866" s="131">
        <f t="shared" si="182"/>
        <v>0</v>
      </c>
      <c r="AD866" s="131">
        <f t="shared" si="183"/>
        <v>0</v>
      </c>
      <c r="AE866" s="131">
        <f t="shared" si="184"/>
        <v>0</v>
      </c>
      <c r="AF866" s="131">
        <f t="shared" si="185"/>
        <v>0</v>
      </c>
      <c r="AG866" s="140">
        <f t="shared" si="186"/>
        <v>0</v>
      </c>
      <c r="AH866" s="140">
        <f t="shared" si="187"/>
        <v>0</v>
      </c>
      <c r="AI866" s="140">
        <f t="shared" si="188"/>
        <v>0</v>
      </c>
      <c r="AJ866" s="131">
        <f t="shared" si="189"/>
        <v>0</v>
      </c>
      <c r="AK866" s="131">
        <f t="shared" si="190"/>
        <v>0</v>
      </c>
      <c r="AL866" s="127">
        <f t="shared" si="195"/>
        <v>0</v>
      </c>
      <c r="AM866" s="140">
        <f t="shared" si="191"/>
        <v>0</v>
      </c>
      <c r="AN866" s="140">
        <f t="shared" si="192"/>
        <v>0</v>
      </c>
      <c r="AO866" s="140">
        <f t="shared" si="193"/>
        <v>0</v>
      </c>
      <c r="AP866" s="140">
        <f t="shared" si="194"/>
        <v>0</v>
      </c>
    </row>
    <row r="867" spans="2:42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AC867" s="131">
        <f t="shared" si="182"/>
        <v>0</v>
      </c>
      <c r="AD867" s="131">
        <f t="shared" si="183"/>
        <v>0</v>
      </c>
      <c r="AE867" s="131">
        <f t="shared" si="184"/>
        <v>0</v>
      </c>
      <c r="AF867" s="131">
        <f t="shared" si="185"/>
        <v>0</v>
      </c>
      <c r="AG867" s="140">
        <f t="shared" si="186"/>
        <v>0</v>
      </c>
      <c r="AH867" s="140">
        <f t="shared" si="187"/>
        <v>0</v>
      </c>
      <c r="AI867" s="140">
        <f t="shared" si="188"/>
        <v>0</v>
      </c>
      <c r="AJ867" s="131">
        <f t="shared" si="189"/>
        <v>0</v>
      </c>
      <c r="AK867" s="131">
        <f t="shared" si="190"/>
        <v>0</v>
      </c>
      <c r="AL867" s="127">
        <f t="shared" si="195"/>
        <v>0</v>
      </c>
      <c r="AM867" s="140">
        <f t="shared" si="191"/>
        <v>0</v>
      </c>
      <c r="AN867" s="140">
        <f t="shared" si="192"/>
        <v>0</v>
      </c>
      <c r="AO867" s="140">
        <f t="shared" si="193"/>
        <v>0</v>
      </c>
      <c r="AP867" s="140">
        <f t="shared" si="194"/>
        <v>0</v>
      </c>
    </row>
    <row r="868" spans="2:42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AC868" s="131">
        <f t="shared" si="182"/>
        <v>0</v>
      </c>
      <c r="AD868" s="131">
        <f t="shared" si="183"/>
        <v>0</v>
      </c>
      <c r="AE868" s="131">
        <f t="shared" si="184"/>
        <v>0</v>
      </c>
      <c r="AF868" s="131">
        <f t="shared" si="185"/>
        <v>0</v>
      </c>
      <c r="AG868" s="140">
        <f t="shared" si="186"/>
        <v>0</v>
      </c>
      <c r="AH868" s="140">
        <f t="shared" si="187"/>
        <v>0</v>
      </c>
      <c r="AI868" s="140">
        <f t="shared" si="188"/>
        <v>0</v>
      </c>
      <c r="AJ868" s="131">
        <f t="shared" si="189"/>
        <v>0</v>
      </c>
      <c r="AK868" s="131">
        <f t="shared" si="190"/>
        <v>0</v>
      </c>
      <c r="AL868" s="127">
        <f t="shared" si="195"/>
        <v>0</v>
      </c>
      <c r="AM868" s="140">
        <f t="shared" si="191"/>
        <v>0</v>
      </c>
      <c r="AN868" s="140">
        <f t="shared" si="192"/>
        <v>0</v>
      </c>
      <c r="AO868" s="140">
        <f t="shared" si="193"/>
        <v>0</v>
      </c>
      <c r="AP868" s="140">
        <f t="shared" si="194"/>
        <v>0</v>
      </c>
    </row>
    <row r="869" spans="2:42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AC869" s="131">
        <f t="shared" si="182"/>
        <v>0</v>
      </c>
      <c r="AD869" s="131">
        <f t="shared" si="183"/>
        <v>0</v>
      </c>
      <c r="AE869" s="131">
        <f t="shared" si="184"/>
        <v>0</v>
      </c>
      <c r="AF869" s="131">
        <f t="shared" si="185"/>
        <v>0</v>
      </c>
      <c r="AG869" s="140">
        <f t="shared" si="186"/>
        <v>0</v>
      </c>
      <c r="AH869" s="140">
        <f t="shared" si="187"/>
        <v>0</v>
      </c>
      <c r="AI869" s="140">
        <f t="shared" si="188"/>
        <v>0</v>
      </c>
      <c r="AJ869" s="131">
        <f t="shared" si="189"/>
        <v>0</v>
      </c>
      <c r="AK869" s="131">
        <f t="shared" si="190"/>
        <v>0</v>
      </c>
      <c r="AL869" s="127">
        <f t="shared" si="195"/>
        <v>0</v>
      </c>
      <c r="AM869" s="140">
        <f t="shared" si="191"/>
        <v>0</v>
      </c>
      <c r="AN869" s="140">
        <f t="shared" si="192"/>
        <v>0</v>
      </c>
      <c r="AO869" s="140">
        <f t="shared" si="193"/>
        <v>0</v>
      </c>
      <c r="AP869" s="140">
        <f t="shared" si="194"/>
        <v>0</v>
      </c>
    </row>
    <row r="870" spans="2:42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AC870" s="131">
        <f t="shared" si="182"/>
        <v>0</v>
      </c>
      <c r="AD870" s="131">
        <f t="shared" si="183"/>
        <v>0</v>
      </c>
      <c r="AE870" s="131">
        <f t="shared" si="184"/>
        <v>0</v>
      </c>
      <c r="AF870" s="131">
        <f t="shared" si="185"/>
        <v>0</v>
      </c>
      <c r="AG870" s="140">
        <f t="shared" si="186"/>
        <v>0</v>
      </c>
      <c r="AH870" s="140">
        <f t="shared" si="187"/>
        <v>0</v>
      </c>
      <c r="AI870" s="140">
        <f t="shared" si="188"/>
        <v>0</v>
      </c>
      <c r="AJ870" s="131">
        <f t="shared" si="189"/>
        <v>0</v>
      </c>
      <c r="AK870" s="131">
        <f t="shared" si="190"/>
        <v>0</v>
      </c>
      <c r="AL870" s="127">
        <f t="shared" si="195"/>
        <v>0</v>
      </c>
      <c r="AM870" s="140">
        <f t="shared" si="191"/>
        <v>0</v>
      </c>
      <c r="AN870" s="140">
        <f t="shared" si="192"/>
        <v>0</v>
      </c>
      <c r="AO870" s="140">
        <f t="shared" si="193"/>
        <v>0</v>
      </c>
      <c r="AP870" s="140">
        <f t="shared" si="194"/>
        <v>0</v>
      </c>
    </row>
    <row r="871" spans="2:42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AC871" s="131">
        <f t="shared" si="182"/>
        <v>0</v>
      </c>
      <c r="AD871" s="131">
        <f t="shared" si="183"/>
        <v>0</v>
      </c>
      <c r="AE871" s="131">
        <f t="shared" si="184"/>
        <v>0</v>
      </c>
      <c r="AF871" s="131">
        <f t="shared" si="185"/>
        <v>0</v>
      </c>
      <c r="AG871" s="140">
        <f t="shared" si="186"/>
        <v>0</v>
      </c>
      <c r="AH871" s="140">
        <f t="shared" si="187"/>
        <v>0</v>
      </c>
      <c r="AI871" s="140">
        <f t="shared" si="188"/>
        <v>0</v>
      </c>
      <c r="AJ871" s="131">
        <f t="shared" si="189"/>
        <v>0</v>
      </c>
      <c r="AK871" s="131">
        <f t="shared" si="190"/>
        <v>0</v>
      </c>
      <c r="AL871" s="127">
        <f t="shared" si="195"/>
        <v>0</v>
      </c>
      <c r="AM871" s="140">
        <f t="shared" si="191"/>
        <v>0</v>
      </c>
      <c r="AN871" s="140">
        <f t="shared" si="192"/>
        <v>0</v>
      </c>
      <c r="AO871" s="140">
        <f t="shared" si="193"/>
        <v>0</v>
      </c>
      <c r="AP871" s="140">
        <f t="shared" si="194"/>
        <v>0</v>
      </c>
    </row>
    <row r="872" spans="2:42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AC872" s="131">
        <f t="shared" si="182"/>
        <v>0</v>
      </c>
      <c r="AD872" s="131">
        <f t="shared" si="183"/>
        <v>0</v>
      </c>
      <c r="AE872" s="131">
        <f t="shared" si="184"/>
        <v>0</v>
      </c>
      <c r="AF872" s="131">
        <f t="shared" si="185"/>
        <v>0</v>
      </c>
      <c r="AG872" s="140">
        <f t="shared" si="186"/>
        <v>0</v>
      </c>
      <c r="AH872" s="140">
        <f t="shared" si="187"/>
        <v>0</v>
      </c>
      <c r="AI872" s="140">
        <f t="shared" si="188"/>
        <v>0</v>
      </c>
      <c r="AJ872" s="131">
        <f t="shared" si="189"/>
        <v>0</v>
      </c>
      <c r="AK872" s="131">
        <f t="shared" si="190"/>
        <v>0</v>
      </c>
      <c r="AL872" s="127">
        <f t="shared" si="195"/>
        <v>0</v>
      </c>
      <c r="AM872" s="140">
        <f t="shared" si="191"/>
        <v>0</v>
      </c>
      <c r="AN872" s="140">
        <f t="shared" si="192"/>
        <v>0</v>
      </c>
      <c r="AO872" s="140">
        <f t="shared" si="193"/>
        <v>0</v>
      </c>
      <c r="AP872" s="140">
        <f t="shared" si="194"/>
        <v>0</v>
      </c>
    </row>
    <row r="873" spans="2:42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AC873" s="131">
        <f t="shared" si="182"/>
        <v>0</v>
      </c>
      <c r="AD873" s="131">
        <f t="shared" si="183"/>
        <v>0</v>
      </c>
      <c r="AE873" s="131">
        <f t="shared" si="184"/>
        <v>0</v>
      </c>
      <c r="AF873" s="131">
        <f t="shared" si="185"/>
        <v>0</v>
      </c>
      <c r="AG873" s="140">
        <f t="shared" si="186"/>
        <v>0</v>
      </c>
      <c r="AH873" s="140">
        <f t="shared" si="187"/>
        <v>0</v>
      </c>
      <c r="AI873" s="140">
        <f t="shared" si="188"/>
        <v>0</v>
      </c>
      <c r="AJ873" s="131">
        <f t="shared" si="189"/>
        <v>0</v>
      </c>
      <c r="AK873" s="131">
        <f t="shared" si="190"/>
        <v>0</v>
      </c>
      <c r="AL873" s="127">
        <f t="shared" si="195"/>
        <v>0</v>
      </c>
      <c r="AM873" s="140">
        <f t="shared" si="191"/>
        <v>0</v>
      </c>
      <c r="AN873" s="140">
        <f t="shared" si="192"/>
        <v>0</v>
      </c>
      <c r="AO873" s="140">
        <f t="shared" si="193"/>
        <v>0</v>
      </c>
      <c r="AP873" s="140">
        <f t="shared" si="194"/>
        <v>0</v>
      </c>
    </row>
    <row r="874" spans="2:42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AC874" s="131">
        <f t="shared" si="182"/>
        <v>0</v>
      </c>
      <c r="AD874" s="131">
        <f t="shared" si="183"/>
        <v>0</v>
      </c>
      <c r="AE874" s="131">
        <f t="shared" si="184"/>
        <v>0</v>
      </c>
      <c r="AF874" s="131">
        <f t="shared" si="185"/>
        <v>0</v>
      </c>
      <c r="AG874" s="140">
        <f t="shared" si="186"/>
        <v>0</v>
      </c>
      <c r="AH874" s="140">
        <f t="shared" si="187"/>
        <v>0</v>
      </c>
      <c r="AI874" s="140">
        <f t="shared" si="188"/>
        <v>0</v>
      </c>
      <c r="AJ874" s="131">
        <f t="shared" si="189"/>
        <v>0</v>
      </c>
      <c r="AK874" s="131">
        <f t="shared" si="190"/>
        <v>0</v>
      </c>
      <c r="AL874" s="127">
        <f t="shared" si="195"/>
        <v>0</v>
      </c>
      <c r="AM874" s="140">
        <f t="shared" si="191"/>
        <v>0</v>
      </c>
      <c r="AN874" s="140">
        <f t="shared" si="192"/>
        <v>0</v>
      </c>
      <c r="AO874" s="140">
        <f t="shared" si="193"/>
        <v>0</v>
      </c>
      <c r="AP874" s="140">
        <f t="shared" si="194"/>
        <v>0</v>
      </c>
    </row>
    <row r="875" spans="2:42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AC875" s="131">
        <f t="shared" si="182"/>
        <v>0</v>
      </c>
      <c r="AD875" s="131">
        <f t="shared" si="183"/>
        <v>0</v>
      </c>
      <c r="AE875" s="131">
        <f t="shared" si="184"/>
        <v>0</v>
      </c>
      <c r="AF875" s="131">
        <f t="shared" si="185"/>
        <v>0</v>
      </c>
      <c r="AG875" s="140">
        <f t="shared" si="186"/>
        <v>0</v>
      </c>
      <c r="AH875" s="140">
        <f t="shared" si="187"/>
        <v>0</v>
      </c>
      <c r="AI875" s="140">
        <f t="shared" si="188"/>
        <v>0</v>
      </c>
      <c r="AJ875" s="131">
        <f t="shared" si="189"/>
        <v>0</v>
      </c>
      <c r="AK875" s="131">
        <f t="shared" si="190"/>
        <v>0</v>
      </c>
      <c r="AL875" s="127">
        <f t="shared" si="195"/>
        <v>0</v>
      </c>
      <c r="AM875" s="140">
        <f t="shared" si="191"/>
        <v>0</v>
      </c>
      <c r="AN875" s="140">
        <f t="shared" si="192"/>
        <v>0</v>
      </c>
      <c r="AO875" s="140">
        <f t="shared" si="193"/>
        <v>0</v>
      </c>
      <c r="AP875" s="140">
        <f t="shared" si="194"/>
        <v>0</v>
      </c>
    </row>
    <row r="876" spans="2:42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AC876" s="131">
        <f t="shared" si="182"/>
        <v>0</v>
      </c>
      <c r="AD876" s="131">
        <f t="shared" si="183"/>
        <v>0</v>
      </c>
      <c r="AE876" s="131">
        <f t="shared" si="184"/>
        <v>0</v>
      </c>
      <c r="AF876" s="131">
        <f t="shared" si="185"/>
        <v>0</v>
      </c>
      <c r="AG876" s="140">
        <f t="shared" si="186"/>
        <v>0</v>
      </c>
      <c r="AH876" s="140">
        <f t="shared" si="187"/>
        <v>0</v>
      </c>
      <c r="AI876" s="140">
        <f t="shared" si="188"/>
        <v>0</v>
      </c>
      <c r="AJ876" s="131">
        <f t="shared" si="189"/>
        <v>0</v>
      </c>
      <c r="AK876" s="131">
        <f t="shared" si="190"/>
        <v>0</v>
      </c>
      <c r="AL876" s="127">
        <f t="shared" si="195"/>
        <v>0</v>
      </c>
      <c r="AM876" s="140">
        <f t="shared" si="191"/>
        <v>0</v>
      </c>
      <c r="AN876" s="140">
        <f t="shared" si="192"/>
        <v>0</v>
      </c>
      <c r="AO876" s="140">
        <f t="shared" si="193"/>
        <v>0</v>
      </c>
      <c r="AP876" s="140">
        <f t="shared" si="194"/>
        <v>0</v>
      </c>
    </row>
    <row r="877" spans="2:42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AC877" s="131">
        <f t="shared" si="182"/>
        <v>0</v>
      </c>
      <c r="AD877" s="131">
        <f t="shared" si="183"/>
        <v>0</v>
      </c>
      <c r="AE877" s="131">
        <f t="shared" si="184"/>
        <v>0</v>
      </c>
      <c r="AF877" s="131">
        <f t="shared" si="185"/>
        <v>0</v>
      </c>
      <c r="AG877" s="140">
        <f t="shared" si="186"/>
        <v>0</v>
      </c>
      <c r="AH877" s="140">
        <f t="shared" si="187"/>
        <v>0</v>
      </c>
      <c r="AI877" s="140">
        <f t="shared" si="188"/>
        <v>0</v>
      </c>
      <c r="AJ877" s="131">
        <f t="shared" si="189"/>
        <v>0</v>
      </c>
      <c r="AK877" s="131">
        <f t="shared" si="190"/>
        <v>0</v>
      </c>
      <c r="AL877" s="127">
        <f t="shared" si="195"/>
        <v>0</v>
      </c>
      <c r="AM877" s="140">
        <f t="shared" si="191"/>
        <v>0</v>
      </c>
      <c r="AN877" s="140">
        <f t="shared" si="192"/>
        <v>0</v>
      </c>
      <c r="AO877" s="140">
        <f t="shared" si="193"/>
        <v>0</v>
      </c>
      <c r="AP877" s="140">
        <f t="shared" si="194"/>
        <v>0</v>
      </c>
    </row>
    <row r="878" spans="2:42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AC878" s="131">
        <f t="shared" si="182"/>
        <v>0</v>
      </c>
      <c r="AD878" s="131">
        <f t="shared" si="183"/>
        <v>0</v>
      </c>
      <c r="AE878" s="131">
        <f t="shared" si="184"/>
        <v>0</v>
      </c>
      <c r="AF878" s="131">
        <f t="shared" si="185"/>
        <v>0</v>
      </c>
      <c r="AG878" s="140">
        <f t="shared" si="186"/>
        <v>0</v>
      </c>
      <c r="AH878" s="140">
        <f t="shared" si="187"/>
        <v>0</v>
      </c>
      <c r="AI878" s="140">
        <f t="shared" si="188"/>
        <v>0</v>
      </c>
      <c r="AJ878" s="131">
        <f t="shared" si="189"/>
        <v>0</v>
      </c>
      <c r="AK878" s="131">
        <f t="shared" si="190"/>
        <v>0</v>
      </c>
      <c r="AL878" s="127">
        <f t="shared" si="195"/>
        <v>0</v>
      </c>
      <c r="AM878" s="140">
        <f t="shared" si="191"/>
        <v>0</v>
      </c>
      <c r="AN878" s="140">
        <f t="shared" si="192"/>
        <v>0</v>
      </c>
      <c r="AO878" s="140">
        <f t="shared" si="193"/>
        <v>0</v>
      </c>
      <c r="AP878" s="140">
        <f t="shared" si="194"/>
        <v>0</v>
      </c>
    </row>
    <row r="879" spans="2:42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AC879" s="131">
        <f t="shared" si="182"/>
        <v>0</v>
      </c>
      <c r="AD879" s="131">
        <f t="shared" si="183"/>
        <v>0</v>
      </c>
      <c r="AE879" s="131">
        <f t="shared" si="184"/>
        <v>0</v>
      </c>
      <c r="AF879" s="131">
        <f t="shared" si="185"/>
        <v>0</v>
      </c>
      <c r="AG879" s="140">
        <f t="shared" si="186"/>
        <v>0</v>
      </c>
      <c r="AH879" s="140">
        <f t="shared" si="187"/>
        <v>0</v>
      </c>
      <c r="AI879" s="140">
        <f t="shared" si="188"/>
        <v>0</v>
      </c>
      <c r="AJ879" s="131">
        <f t="shared" si="189"/>
        <v>0</v>
      </c>
      <c r="AK879" s="131">
        <f t="shared" si="190"/>
        <v>0</v>
      </c>
      <c r="AL879" s="127">
        <f t="shared" si="195"/>
        <v>0</v>
      </c>
      <c r="AM879" s="140">
        <f t="shared" si="191"/>
        <v>0</v>
      </c>
      <c r="AN879" s="140">
        <f t="shared" si="192"/>
        <v>0</v>
      </c>
      <c r="AO879" s="140">
        <f t="shared" si="193"/>
        <v>0</v>
      </c>
      <c r="AP879" s="140">
        <f t="shared" si="194"/>
        <v>0</v>
      </c>
    </row>
    <row r="880" spans="2:42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AC880" s="131">
        <f t="shared" si="182"/>
        <v>0</v>
      </c>
      <c r="AD880" s="131">
        <f t="shared" si="183"/>
        <v>0</v>
      </c>
      <c r="AE880" s="131">
        <f t="shared" si="184"/>
        <v>0</v>
      </c>
      <c r="AF880" s="131">
        <f t="shared" si="185"/>
        <v>0</v>
      </c>
      <c r="AG880" s="140">
        <f t="shared" si="186"/>
        <v>0</v>
      </c>
      <c r="AH880" s="140">
        <f t="shared" si="187"/>
        <v>0</v>
      </c>
      <c r="AI880" s="140">
        <f t="shared" si="188"/>
        <v>0</v>
      </c>
      <c r="AJ880" s="131">
        <f t="shared" si="189"/>
        <v>0</v>
      </c>
      <c r="AK880" s="131">
        <f t="shared" si="190"/>
        <v>0</v>
      </c>
      <c r="AL880" s="127">
        <f t="shared" si="195"/>
        <v>0</v>
      </c>
      <c r="AM880" s="140">
        <f t="shared" si="191"/>
        <v>0</v>
      </c>
      <c r="AN880" s="140">
        <f t="shared" si="192"/>
        <v>0</v>
      </c>
      <c r="AO880" s="140">
        <f t="shared" si="193"/>
        <v>0</v>
      </c>
      <c r="AP880" s="140">
        <f t="shared" si="194"/>
        <v>0</v>
      </c>
    </row>
    <row r="881" spans="2:42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AC881" s="131">
        <f t="shared" si="182"/>
        <v>0</v>
      </c>
      <c r="AD881" s="131">
        <f t="shared" si="183"/>
        <v>0</v>
      </c>
      <c r="AE881" s="131">
        <f t="shared" si="184"/>
        <v>0</v>
      </c>
      <c r="AF881" s="131">
        <f t="shared" si="185"/>
        <v>0</v>
      </c>
      <c r="AG881" s="140">
        <f t="shared" si="186"/>
        <v>0</v>
      </c>
      <c r="AH881" s="140">
        <f t="shared" si="187"/>
        <v>0</v>
      </c>
      <c r="AI881" s="140">
        <f t="shared" si="188"/>
        <v>0</v>
      </c>
      <c r="AJ881" s="131">
        <f t="shared" si="189"/>
        <v>0</v>
      </c>
      <c r="AK881" s="131">
        <f t="shared" si="190"/>
        <v>0</v>
      </c>
      <c r="AL881" s="127">
        <f t="shared" si="195"/>
        <v>0</v>
      </c>
      <c r="AM881" s="140">
        <f t="shared" si="191"/>
        <v>0</v>
      </c>
      <c r="AN881" s="140">
        <f t="shared" si="192"/>
        <v>0</v>
      </c>
      <c r="AO881" s="140">
        <f t="shared" si="193"/>
        <v>0</v>
      </c>
      <c r="AP881" s="140">
        <f t="shared" si="194"/>
        <v>0</v>
      </c>
    </row>
    <row r="882" spans="2:42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AC882" s="131">
        <f t="shared" si="182"/>
        <v>0</v>
      </c>
      <c r="AD882" s="131">
        <f t="shared" si="183"/>
        <v>0</v>
      </c>
      <c r="AE882" s="131">
        <f t="shared" si="184"/>
        <v>0</v>
      </c>
      <c r="AF882" s="131">
        <f t="shared" si="185"/>
        <v>0</v>
      </c>
      <c r="AG882" s="140">
        <f t="shared" si="186"/>
        <v>0</v>
      </c>
      <c r="AH882" s="140">
        <f t="shared" si="187"/>
        <v>0</v>
      </c>
      <c r="AI882" s="140">
        <f t="shared" si="188"/>
        <v>0</v>
      </c>
      <c r="AJ882" s="131">
        <f t="shared" si="189"/>
        <v>0</v>
      </c>
      <c r="AK882" s="131">
        <f t="shared" si="190"/>
        <v>0</v>
      </c>
      <c r="AL882" s="127">
        <f t="shared" si="195"/>
        <v>0</v>
      </c>
      <c r="AM882" s="140">
        <f t="shared" si="191"/>
        <v>0</v>
      </c>
      <c r="AN882" s="140">
        <f t="shared" si="192"/>
        <v>0</v>
      </c>
      <c r="AO882" s="140">
        <f t="shared" si="193"/>
        <v>0</v>
      </c>
      <c r="AP882" s="140">
        <f t="shared" si="194"/>
        <v>0</v>
      </c>
    </row>
    <row r="883" spans="2:42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AC883" s="131">
        <f t="shared" si="182"/>
        <v>0</v>
      </c>
      <c r="AD883" s="131">
        <f t="shared" si="183"/>
        <v>0</v>
      </c>
      <c r="AE883" s="131">
        <f t="shared" si="184"/>
        <v>0</v>
      </c>
      <c r="AF883" s="131">
        <f t="shared" si="185"/>
        <v>0</v>
      </c>
      <c r="AG883" s="140">
        <f t="shared" si="186"/>
        <v>0</v>
      </c>
      <c r="AH883" s="140">
        <f t="shared" si="187"/>
        <v>0</v>
      </c>
      <c r="AI883" s="140">
        <f t="shared" si="188"/>
        <v>0</v>
      </c>
      <c r="AJ883" s="131">
        <f t="shared" si="189"/>
        <v>0</v>
      </c>
      <c r="AK883" s="131">
        <f t="shared" si="190"/>
        <v>0</v>
      </c>
      <c r="AL883" s="127">
        <f t="shared" si="195"/>
        <v>0</v>
      </c>
      <c r="AM883" s="140">
        <f t="shared" si="191"/>
        <v>0</v>
      </c>
      <c r="AN883" s="140">
        <f t="shared" si="192"/>
        <v>0</v>
      </c>
      <c r="AO883" s="140">
        <f t="shared" si="193"/>
        <v>0</v>
      </c>
      <c r="AP883" s="140">
        <f t="shared" si="194"/>
        <v>0</v>
      </c>
    </row>
    <row r="884" spans="2:42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AC884" s="131">
        <f t="shared" si="182"/>
        <v>0</v>
      </c>
      <c r="AD884" s="131">
        <f t="shared" si="183"/>
        <v>0</v>
      </c>
      <c r="AE884" s="131">
        <f t="shared" si="184"/>
        <v>0</v>
      </c>
      <c r="AF884" s="131">
        <f t="shared" si="185"/>
        <v>0</v>
      </c>
      <c r="AG884" s="140">
        <f t="shared" si="186"/>
        <v>0</v>
      </c>
      <c r="AH884" s="140">
        <f t="shared" si="187"/>
        <v>0</v>
      </c>
      <c r="AI884" s="140">
        <f t="shared" si="188"/>
        <v>0</v>
      </c>
      <c r="AJ884" s="131">
        <f t="shared" si="189"/>
        <v>0</v>
      </c>
      <c r="AK884" s="131">
        <f t="shared" si="190"/>
        <v>0</v>
      </c>
      <c r="AL884" s="127">
        <f t="shared" si="195"/>
        <v>0</v>
      </c>
      <c r="AM884" s="140">
        <f t="shared" si="191"/>
        <v>0</v>
      </c>
      <c r="AN884" s="140">
        <f t="shared" si="192"/>
        <v>0</v>
      </c>
      <c r="AO884" s="140">
        <f t="shared" si="193"/>
        <v>0</v>
      </c>
      <c r="AP884" s="140">
        <f t="shared" si="194"/>
        <v>0</v>
      </c>
    </row>
    <row r="885" spans="2:42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AC885" s="131">
        <f t="shared" si="182"/>
        <v>0</v>
      </c>
      <c r="AD885" s="131">
        <f t="shared" si="183"/>
        <v>0</v>
      </c>
      <c r="AE885" s="131">
        <f t="shared" si="184"/>
        <v>0</v>
      </c>
      <c r="AF885" s="131">
        <f t="shared" si="185"/>
        <v>0</v>
      </c>
      <c r="AG885" s="140">
        <f t="shared" si="186"/>
        <v>0</v>
      </c>
      <c r="AH885" s="140">
        <f t="shared" si="187"/>
        <v>0</v>
      </c>
      <c r="AI885" s="140">
        <f t="shared" si="188"/>
        <v>0</v>
      </c>
      <c r="AJ885" s="131">
        <f t="shared" si="189"/>
        <v>0</v>
      </c>
      <c r="AK885" s="131">
        <f t="shared" si="190"/>
        <v>0</v>
      </c>
      <c r="AL885" s="127">
        <f t="shared" si="195"/>
        <v>0</v>
      </c>
      <c r="AM885" s="140">
        <f t="shared" si="191"/>
        <v>0</v>
      </c>
      <c r="AN885" s="140">
        <f t="shared" si="192"/>
        <v>0</v>
      </c>
      <c r="AO885" s="140">
        <f t="shared" si="193"/>
        <v>0</v>
      </c>
      <c r="AP885" s="140">
        <f t="shared" si="194"/>
        <v>0</v>
      </c>
    </row>
    <row r="886" spans="2:42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AC886" s="131">
        <f t="shared" si="182"/>
        <v>0</v>
      </c>
      <c r="AD886" s="131">
        <f t="shared" si="183"/>
        <v>0</v>
      </c>
      <c r="AE886" s="131">
        <f t="shared" si="184"/>
        <v>0</v>
      </c>
      <c r="AF886" s="131">
        <f t="shared" si="185"/>
        <v>0</v>
      </c>
      <c r="AG886" s="140">
        <f t="shared" si="186"/>
        <v>0</v>
      </c>
      <c r="AH886" s="140">
        <f t="shared" si="187"/>
        <v>0</v>
      </c>
      <c r="AI886" s="140">
        <f t="shared" si="188"/>
        <v>0</v>
      </c>
      <c r="AJ886" s="131">
        <f t="shared" si="189"/>
        <v>0</v>
      </c>
      <c r="AK886" s="131">
        <f t="shared" si="190"/>
        <v>0</v>
      </c>
      <c r="AL886" s="127">
        <f t="shared" si="195"/>
        <v>0</v>
      </c>
      <c r="AM886" s="140">
        <f t="shared" si="191"/>
        <v>0</v>
      </c>
      <c r="AN886" s="140">
        <f t="shared" si="192"/>
        <v>0</v>
      </c>
      <c r="AO886" s="140">
        <f t="shared" si="193"/>
        <v>0</v>
      </c>
      <c r="AP886" s="140">
        <f t="shared" si="194"/>
        <v>0</v>
      </c>
    </row>
    <row r="887" spans="2:42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AC887" s="131">
        <f t="shared" si="182"/>
        <v>0</v>
      </c>
      <c r="AD887" s="131">
        <f t="shared" si="183"/>
        <v>0</v>
      </c>
      <c r="AE887" s="131">
        <f t="shared" si="184"/>
        <v>0</v>
      </c>
      <c r="AF887" s="131">
        <f t="shared" si="185"/>
        <v>0</v>
      </c>
      <c r="AG887" s="140">
        <f t="shared" si="186"/>
        <v>0</v>
      </c>
      <c r="AH887" s="140">
        <f t="shared" si="187"/>
        <v>0</v>
      </c>
      <c r="AI887" s="140">
        <f t="shared" si="188"/>
        <v>0</v>
      </c>
      <c r="AJ887" s="131">
        <f t="shared" si="189"/>
        <v>0</v>
      </c>
      <c r="AK887" s="131">
        <f t="shared" si="190"/>
        <v>0</v>
      </c>
      <c r="AL887" s="127">
        <f t="shared" si="195"/>
        <v>0</v>
      </c>
      <c r="AM887" s="140">
        <f t="shared" si="191"/>
        <v>0</v>
      </c>
      <c r="AN887" s="140">
        <f t="shared" si="192"/>
        <v>0</v>
      </c>
      <c r="AO887" s="140">
        <f t="shared" si="193"/>
        <v>0</v>
      </c>
      <c r="AP887" s="140">
        <f t="shared" si="194"/>
        <v>0</v>
      </c>
    </row>
    <row r="888" spans="2:42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AC888" s="131">
        <f t="shared" si="182"/>
        <v>0</v>
      </c>
      <c r="AD888" s="131">
        <f t="shared" si="183"/>
        <v>0</v>
      </c>
      <c r="AE888" s="131">
        <f t="shared" si="184"/>
        <v>0</v>
      </c>
      <c r="AF888" s="131">
        <f t="shared" si="185"/>
        <v>0</v>
      </c>
      <c r="AG888" s="140">
        <f t="shared" si="186"/>
        <v>0</v>
      </c>
      <c r="AH888" s="140">
        <f t="shared" si="187"/>
        <v>0</v>
      </c>
      <c r="AI888" s="140">
        <f t="shared" si="188"/>
        <v>0</v>
      </c>
      <c r="AJ888" s="131">
        <f t="shared" si="189"/>
        <v>0</v>
      </c>
      <c r="AK888" s="131">
        <f t="shared" si="190"/>
        <v>0</v>
      </c>
      <c r="AL888" s="127">
        <f t="shared" si="195"/>
        <v>0</v>
      </c>
      <c r="AM888" s="140">
        <f t="shared" si="191"/>
        <v>0</v>
      </c>
      <c r="AN888" s="140">
        <f t="shared" si="192"/>
        <v>0</v>
      </c>
      <c r="AO888" s="140">
        <f t="shared" si="193"/>
        <v>0</v>
      </c>
      <c r="AP888" s="140">
        <f t="shared" si="194"/>
        <v>0</v>
      </c>
    </row>
    <row r="889" spans="2:42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AC889" s="131">
        <f t="shared" si="182"/>
        <v>0</v>
      </c>
      <c r="AD889" s="131">
        <f t="shared" si="183"/>
        <v>0</v>
      </c>
      <c r="AE889" s="131">
        <f t="shared" si="184"/>
        <v>0</v>
      </c>
      <c r="AF889" s="131">
        <f t="shared" si="185"/>
        <v>0</v>
      </c>
      <c r="AG889" s="140">
        <f t="shared" si="186"/>
        <v>0</v>
      </c>
      <c r="AH889" s="140">
        <f t="shared" si="187"/>
        <v>0</v>
      </c>
      <c r="AI889" s="140">
        <f t="shared" si="188"/>
        <v>0</v>
      </c>
      <c r="AJ889" s="131">
        <f t="shared" si="189"/>
        <v>0</v>
      </c>
      <c r="AK889" s="131">
        <f t="shared" si="190"/>
        <v>0</v>
      </c>
      <c r="AL889" s="127">
        <f t="shared" si="195"/>
        <v>0</v>
      </c>
      <c r="AM889" s="140">
        <f t="shared" si="191"/>
        <v>0</v>
      </c>
      <c r="AN889" s="140">
        <f t="shared" si="192"/>
        <v>0</v>
      </c>
      <c r="AO889" s="140">
        <f t="shared" si="193"/>
        <v>0</v>
      </c>
      <c r="AP889" s="140">
        <f t="shared" si="194"/>
        <v>0</v>
      </c>
    </row>
    <row r="890" spans="2:42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AC890" s="131">
        <f t="shared" si="182"/>
        <v>0</v>
      </c>
      <c r="AD890" s="131">
        <f t="shared" si="183"/>
        <v>0</v>
      </c>
      <c r="AE890" s="131">
        <f t="shared" si="184"/>
        <v>0</v>
      </c>
      <c r="AF890" s="131">
        <f t="shared" si="185"/>
        <v>0</v>
      </c>
      <c r="AG890" s="140">
        <f t="shared" si="186"/>
        <v>0</v>
      </c>
      <c r="AH890" s="140">
        <f t="shared" si="187"/>
        <v>0</v>
      </c>
      <c r="AI890" s="140">
        <f t="shared" si="188"/>
        <v>0</v>
      </c>
      <c r="AJ890" s="131">
        <f t="shared" si="189"/>
        <v>0</v>
      </c>
      <c r="AK890" s="131">
        <f t="shared" si="190"/>
        <v>0</v>
      </c>
      <c r="AL890" s="127">
        <f t="shared" si="195"/>
        <v>0</v>
      </c>
      <c r="AM890" s="140">
        <f t="shared" si="191"/>
        <v>0</v>
      </c>
      <c r="AN890" s="140">
        <f t="shared" si="192"/>
        <v>0</v>
      </c>
      <c r="AO890" s="140">
        <f t="shared" si="193"/>
        <v>0</v>
      </c>
      <c r="AP890" s="140">
        <f t="shared" si="194"/>
        <v>0</v>
      </c>
    </row>
    <row r="891" spans="2:42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AC891" s="131">
        <f t="shared" ref="AC891:AC954" si="196">+H891</f>
        <v>0</v>
      </c>
      <c r="AD891" s="131">
        <f t="shared" ref="AD891:AD954" si="197">+I891</f>
        <v>0</v>
      </c>
      <c r="AE891" s="131">
        <f t="shared" ref="AE891:AE954" si="198">+J891</f>
        <v>0</v>
      </c>
      <c r="AF891" s="131">
        <f t="shared" ref="AF891:AF954" si="199">+K891</f>
        <v>0</v>
      </c>
      <c r="AG891" s="140">
        <f t="shared" ref="AG891:AG954" si="200">+G891</f>
        <v>0</v>
      </c>
      <c r="AH891" s="140">
        <f t="shared" ref="AH891:AH954" si="201">+L891</f>
        <v>0</v>
      </c>
      <c r="AI891" s="140">
        <f t="shared" ref="AI891:AI954" si="202">+M891</f>
        <v>0</v>
      </c>
      <c r="AJ891" s="131">
        <f t="shared" ref="AJ891:AJ954" si="203">+T891</f>
        <v>0</v>
      </c>
      <c r="AK891" s="131">
        <f t="shared" ref="AK891:AK954" si="204">+N891+O891</f>
        <v>0</v>
      </c>
      <c r="AL891" s="127">
        <f t="shared" si="195"/>
        <v>0</v>
      </c>
      <c r="AM891" s="140">
        <f t="shared" ref="AM891:AM954" si="205">+P891+R891</f>
        <v>0</v>
      </c>
      <c r="AN891" s="140">
        <f t="shared" ref="AN891:AN954" si="206">+Q891+S891</f>
        <v>0</v>
      </c>
      <c r="AO891" s="140">
        <f t="shared" ref="AO891:AO954" si="207">+U891</f>
        <v>0</v>
      </c>
      <c r="AP891" s="140">
        <f t="shared" ref="AP891:AP954" si="208">+AG891+AH891+AJ891-AK891-AM891-AO891</f>
        <v>0</v>
      </c>
    </row>
    <row r="892" spans="2:42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AC892" s="131">
        <f t="shared" si="196"/>
        <v>0</v>
      </c>
      <c r="AD892" s="131">
        <f t="shared" si="197"/>
        <v>0</v>
      </c>
      <c r="AE892" s="131">
        <f t="shared" si="198"/>
        <v>0</v>
      </c>
      <c r="AF892" s="131">
        <f t="shared" si="199"/>
        <v>0</v>
      </c>
      <c r="AG892" s="140">
        <f t="shared" si="200"/>
        <v>0</v>
      </c>
      <c r="AH892" s="140">
        <f t="shared" si="201"/>
        <v>0</v>
      </c>
      <c r="AI892" s="140">
        <f t="shared" si="202"/>
        <v>0</v>
      </c>
      <c r="AJ892" s="131">
        <f t="shared" si="203"/>
        <v>0</v>
      </c>
      <c r="AK892" s="131">
        <f t="shared" si="204"/>
        <v>0</v>
      </c>
      <c r="AL892" s="127">
        <f t="shared" si="195"/>
        <v>0</v>
      </c>
      <c r="AM892" s="140">
        <f t="shared" si="205"/>
        <v>0</v>
      </c>
      <c r="AN892" s="140">
        <f t="shared" si="206"/>
        <v>0</v>
      </c>
      <c r="AO892" s="140">
        <f t="shared" si="207"/>
        <v>0</v>
      </c>
      <c r="AP892" s="140">
        <f t="shared" si="208"/>
        <v>0</v>
      </c>
    </row>
    <row r="893" spans="2:42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AC893" s="131">
        <f t="shared" si="196"/>
        <v>0</v>
      </c>
      <c r="AD893" s="131">
        <f t="shared" si="197"/>
        <v>0</v>
      </c>
      <c r="AE893" s="131">
        <f t="shared" si="198"/>
        <v>0</v>
      </c>
      <c r="AF893" s="131">
        <f t="shared" si="199"/>
        <v>0</v>
      </c>
      <c r="AG893" s="140">
        <f t="shared" si="200"/>
        <v>0</v>
      </c>
      <c r="AH893" s="140">
        <f t="shared" si="201"/>
        <v>0</v>
      </c>
      <c r="AI893" s="140">
        <f t="shared" si="202"/>
        <v>0</v>
      </c>
      <c r="AJ893" s="131">
        <f t="shared" si="203"/>
        <v>0</v>
      </c>
      <c r="AK893" s="131">
        <f t="shared" si="204"/>
        <v>0</v>
      </c>
      <c r="AL893" s="127">
        <f t="shared" si="195"/>
        <v>0</v>
      </c>
      <c r="AM893" s="140">
        <f t="shared" si="205"/>
        <v>0</v>
      </c>
      <c r="AN893" s="140">
        <f t="shared" si="206"/>
        <v>0</v>
      </c>
      <c r="AO893" s="140">
        <f t="shared" si="207"/>
        <v>0</v>
      </c>
      <c r="AP893" s="140">
        <f t="shared" si="208"/>
        <v>0</v>
      </c>
    </row>
    <row r="894" spans="2:42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AC894" s="131">
        <f t="shared" si="196"/>
        <v>0</v>
      </c>
      <c r="AD894" s="131">
        <f t="shared" si="197"/>
        <v>0</v>
      </c>
      <c r="AE894" s="131">
        <f t="shared" si="198"/>
        <v>0</v>
      </c>
      <c r="AF894" s="131">
        <f t="shared" si="199"/>
        <v>0</v>
      </c>
      <c r="AG894" s="140">
        <f t="shared" si="200"/>
        <v>0</v>
      </c>
      <c r="AH894" s="140">
        <f t="shared" si="201"/>
        <v>0</v>
      </c>
      <c r="AI894" s="140">
        <f t="shared" si="202"/>
        <v>0</v>
      </c>
      <c r="AJ894" s="131">
        <f t="shared" si="203"/>
        <v>0</v>
      </c>
      <c r="AK894" s="131">
        <f t="shared" si="204"/>
        <v>0</v>
      </c>
      <c r="AL894" s="127">
        <f t="shared" si="195"/>
        <v>0</v>
      </c>
      <c r="AM894" s="140">
        <f t="shared" si="205"/>
        <v>0</v>
      </c>
      <c r="AN894" s="140">
        <f t="shared" si="206"/>
        <v>0</v>
      </c>
      <c r="AO894" s="140">
        <f t="shared" si="207"/>
        <v>0</v>
      </c>
      <c r="AP894" s="140">
        <f t="shared" si="208"/>
        <v>0</v>
      </c>
    </row>
    <row r="895" spans="2:42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AC895" s="131">
        <f t="shared" si="196"/>
        <v>0</v>
      </c>
      <c r="AD895" s="131">
        <f t="shared" si="197"/>
        <v>0</v>
      </c>
      <c r="AE895" s="131">
        <f t="shared" si="198"/>
        <v>0</v>
      </c>
      <c r="AF895" s="131">
        <f t="shared" si="199"/>
        <v>0</v>
      </c>
      <c r="AG895" s="140">
        <f t="shared" si="200"/>
        <v>0</v>
      </c>
      <c r="AH895" s="140">
        <f t="shared" si="201"/>
        <v>0</v>
      </c>
      <c r="AI895" s="140">
        <f t="shared" si="202"/>
        <v>0</v>
      </c>
      <c r="AJ895" s="131">
        <f t="shared" si="203"/>
        <v>0</v>
      </c>
      <c r="AK895" s="131">
        <f t="shared" si="204"/>
        <v>0</v>
      </c>
      <c r="AL895" s="127">
        <f t="shared" si="195"/>
        <v>0</v>
      </c>
      <c r="AM895" s="140">
        <f t="shared" si="205"/>
        <v>0</v>
      </c>
      <c r="AN895" s="140">
        <f t="shared" si="206"/>
        <v>0</v>
      </c>
      <c r="AO895" s="140">
        <f t="shared" si="207"/>
        <v>0</v>
      </c>
      <c r="AP895" s="140">
        <f t="shared" si="208"/>
        <v>0</v>
      </c>
    </row>
    <row r="896" spans="2:42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AC896" s="131">
        <f t="shared" si="196"/>
        <v>0</v>
      </c>
      <c r="AD896" s="131">
        <f t="shared" si="197"/>
        <v>0</v>
      </c>
      <c r="AE896" s="131">
        <f t="shared" si="198"/>
        <v>0</v>
      </c>
      <c r="AF896" s="131">
        <f t="shared" si="199"/>
        <v>0</v>
      </c>
      <c r="AG896" s="140">
        <f t="shared" si="200"/>
        <v>0</v>
      </c>
      <c r="AH896" s="140">
        <f t="shared" si="201"/>
        <v>0</v>
      </c>
      <c r="AI896" s="140">
        <f t="shared" si="202"/>
        <v>0</v>
      </c>
      <c r="AJ896" s="131">
        <f t="shared" si="203"/>
        <v>0</v>
      </c>
      <c r="AK896" s="131">
        <f t="shared" si="204"/>
        <v>0</v>
      </c>
      <c r="AL896" s="127">
        <f t="shared" si="195"/>
        <v>0</v>
      </c>
      <c r="AM896" s="140">
        <f t="shared" si="205"/>
        <v>0</v>
      </c>
      <c r="AN896" s="140">
        <f t="shared" si="206"/>
        <v>0</v>
      </c>
      <c r="AO896" s="140">
        <f t="shared" si="207"/>
        <v>0</v>
      </c>
      <c r="AP896" s="140">
        <f t="shared" si="208"/>
        <v>0</v>
      </c>
    </row>
    <row r="897" spans="2:42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AC897" s="131">
        <f t="shared" si="196"/>
        <v>0</v>
      </c>
      <c r="AD897" s="131">
        <f t="shared" si="197"/>
        <v>0</v>
      </c>
      <c r="AE897" s="131">
        <f t="shared" si="198"/>
        <v>0</v>
      </c>
      <c r="AF897" s="131">
        <f t="shared" si="199"/>
        <v>0</v>
      </c>
      <c r="AG897" s="140">
        <f t="shared" si="200"/>
        <v>0</v>
      </c>
      <c r="AH897" s="140">
        <f t="shared" si="201"/>
        <v>0</v>
      </c>
      <c r="AI897" s="140">
        <f t="shared" si="202"/>
        <v>0</v>
      </c>
      <c r="AJ897" s="131">
        <f t="shared" si="203"/>
        <v>0</v>
      </c>
      <c r="AK897" s="131">
        <f t="shared" si="204"/>
        <v>0</v>
      </c>
      <c r="AL897" s="127">
        <f t="shared" si="195"/>
        <v>0</v>
      </c>
      <c r="AM897" s="140">
        <f t="shared" si="205"/>
        <v>0</v>
      </c>
      <c r="AN897" s="140">
        <f t="shared" si="206"/>
        <v>0</v>
      </c>
      <c r="AO897" s="140">
        <f t="shared" si="207"/>
        <v>0</v>
      </c>
      <c r="AP897" s="140">
        <f t="shared" si="208"/>
        <v>0</v>
      </c>
    </row>
    <row r="898" spans="2:42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AC898" s="131">
        <f t="shared" si="196"/>
        <v>0</v>
      </c>
      <c r="AD898" s="131">
        <f t="shared" si="197"/>
        <v>0</v>
      </c>
      <c r="AE898" s="131">
        <f t="shared" si="198"/>
        <v>0</v>
      </c>
      <c r="AF898" s="131">
        <f t="shared" si="199"/>
        <v>0</v>
      </c>
      <c r="AG898" s="140">
        <f t="shared" si="200"/>
        <v>0</v>
      </c>
      <c r="AH898" s="140">
        <f t="shared" si="201"/>
        <v>0</v>
      </c>
      <c r="AI898" s="140">
        <f t="shared" si="202"/>
        <v>0</v>
      </c>
      <c r="AJ898" s="131">
        <f t="shared" si="203"/>
        <v>0</v>
      </c>
      <c r="AK898" s="131">
        <f t="shared" si="204"/>
        <v>0</v>
      </c>
      <c r="AL898" s="127">
        <f t="shared" si="195"/>
        <v>0</v>
      </c>
      <c r="AM898" s="140">
        <f t="shared" si="205"/>
        <v>0</v>
      </c>
      <c r="AN898" s="140">
        <f t="shared" si="206"/>
        <v>0</v>
      </c>
      <c r="AO898" s="140">
        <f t="shared" si="207"/>
        <v>0</v>
      </c>
      <c r="AP898" s="140">
        <f t="shared" si="208"/>
        <v>0</v>
      </c>
    </row>
    <row r="899" spans="2:42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AC899" s="131">
        <f t="shared" si="196"/>
        <v>0</v>
      </c>
      <c r="AD899" s="131">
        <f t="shared" si="197"/>
        <v>0</v>
      </c>
      <c r="AE899" s="131">
        <f t="shared" si="198"/>
        <v>0</v>
      </c>
      <c r="AF899" s="131">
        <f t="shared" si="199"/>
        <v>0</v>
      </c>
      <c r="AG899" s="140">
        <f t="shared" si="200"/>
        <v>0</v>
      </c>
      <c r="AH899" s="140">
        <f t="shared" si="201"/>
        <v>0</v>
      </c>
      <c r="AI899" s="140">
        <f t="shared" si="202"/>
        <v>0</v>
      </c>
      <c r="AJ899" s="131">
        <f t="shared" si="203"/>
        <v>0</v>
      </c>
      <c r="AK899" s="131">
        <f t="shared" si="204"/>
        <v>0</v>
      </c>
      <c r="AL899" s="127">
        <f t="shared" ref="AL899:AL962" si="209">ROUND(IFERROR(+AK899/AH899*100,0),2)</f>
        <v>0</v>
      </c>
      <c r="AM899" s="140">
        <f t="shared" si="205"/>
        <v>0</v>
      </c>
      <c r="AN899" s="140">
        <f t="shared" si="206"/>
        <v>0</v>
      </c>
      <c r="AO899" s="140">
        <f t="shared" si="207"/>
        <v>0</v>
      </c>
      <c r="AP899" s="140">
        <f t="shared" si="208"/>
        <v>0</v>
      </c>
    </row>
    <row r="900" spans="2:42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AC900" s="131">
        <f t="shared" si="196"/>
        <v>0</v>
      </c>
      <c r="AD900" s="131">
        <f t="shared" si="197"/>
        <v>0</v>
      </c>
      <c r="AE900" s="131">
        <f t="shared" si="198"/>
        <v>0</v>
      </c>
      <c r="AF900" s="131">
        <f t="shared" si="199"/>
        <v>0</v>
      </c>
      <c r="AG900" s="140">
        <f t="shared" si="200"/>
        <v>0</v>
      </c>
      <c r="AH900" s="140">
        <f t="shared" si="201"/>
        <v>0</v>
      </c>
      <c r="AI900" s="140">
        <f t="shared" si="202"/>
        <v>0</v>
      </c>
      <c r="AJ900" s="131">
        <f t="shared" si="203"/>
        <v>0</v>
      </c>
      <c r="AK900" s="131">
        <f t="shared" si="204"/>
        <v>0</v>
      </c>
      <c r="AL900" s="127">
        <f t="shared" si="209"/>
        <v>0</v>
      </c>
      <c r="AM900" s="140">
        <f t="shared" si="205"/>
        <v>0</v>
      </c>
      <c r="AN900" s="140">
        <f t="shared" si="206"/>
        <v>0</v>
      </c>
      <c r="AO900" s="140">
        <f t="shared" si="207"/>
        <v>0</v>
      </c>
      <c r="AP900" s="140">
        <f t="shared" si="208"/>
        <v>0</v>
      </c>
    </row>
    <row r="901" spans="2:42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AC901" s="131">
        <f t="shared" si="196"/>
        <v>0</v>
      </c>
      <c r="AD901" s="131">
        <f t="shared" si="197"/>
        <v>0</v>
      </c>
      <c r="AE901" s="131">
        <f t="shared" si="198"/>
        <v>0</v>
      </c>
      <c r="AF901" s="131">
        <f t="shared" si="199"/>
        <v>0</v>
      </c>
      <c r="AG901" s="140">
        <f t="shared" si="200"/>
        <v>0</v>
      </c>
      <c r="AH901" s="140">
        <f t="shared" si="201"/>
        <v>0</v>
      </c>
      <c r="AI901" s="140">
        <f t="shared" si="202"/>
        <v>0</v>
      </c>
      <c r="AJ901" s="131">
        <f t="shared" si="203"/>
        <v>0</v>
      </c>
      <c r="AK901" s="131">
        <f t="shared" si="204"/>
        <v>0</v>
      </c>
      <c r="AL901" s="127">
        <f t="shared" si="209"/>
        <v>0</v>
      </c>
      <c r="AM901" s="140">
        <f t="shared" si="205"/>
        <v>0</v>
      </c>
      <c r="AN901" s="140">
        <f t="shared" si="206"/>
        <v>0</v>
      </c>
      <c r="AO901" s="140">
        <f t="shared" si="207"/>
        <v>0</v>
      </c>
      <c r="AP901" s="140">
        <f t="shared" si="208"/>
        <v>0</v>
      </c>
    </row>
    <row r="902" spans="2:42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AC902" s="131">
        <f t="shared" si="196"/>
        <v>0</v>
      </c>
      <c r="AD902" s="131">
        <f t="shared" si="197"/>
        <v>0</v>
      </c>
      <c r="AE902" s="131">
        <f t="shared" si="198"/>
        <v>0</v>
      </c>
      <c r="AF902" s="131">
        <f t="shared" si="199"/>
        <v>0</v>
      </c>
      <c r="AG902" s="140">
        <f t="shared" si="200"/>
        <v>0</v>
      </c>
      <c r="AH902" s="140">
        <f t="shared" si="201"/>
        <v>0</v>
      </c>
      <c r="AI902" s="140">
        <f t="shared" si="202"/>
        <v>0</v>
      </c>
      <c r="AJ902" s="131">
        <f t="shared" si="203"/>
        <v>0</v>
      </c>
      <c r="AK902" s="131">
        <f t="shared" si="204"/>
        <v>0</v>
      </c>
      <c r="AL902" s="127">
        <f t="shared" si="209"/>
        <v>0</v>
      </c>
      <c r="AM902" s="140">
        <f t="shared" si="205"/>
        <v>0</v>
      </c>
      <c r="AN902" s="140">
        <f t="shared" si="206"/>
        <v>0</v>
      </c>
      <c r="AO902" s="140">
        <f t="shared" si="207"/>
        <v>0</v>
      </c>
      <c r="AP902" s="140">
        <f t="shared" si="208"/>
        <v>0</v>
      </c>
    </row>
    <row r="903" spans="2:42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AC903" s="131">
        <f t="shared" si="196"/>
        <v>0</v>
      </c>
      <c r="AD903" s="131">
        <f t="shared" si="197"/>
        <v>0</v>
      </c>
      <c r="AE903" s="131">
        <f t="shared" si="198"/>
        <v>0</v>
      </c>
      <c r="AF903" s="131">
        <f t="shared" si="199"/>
        <v>0</v>
      </c>
      <c r="AG903" s="140">
        <f t="shared" si="200"/>
        <v>0</v>
      </c>
      <c r="AH903" s="140">
        <f t="shared" si="201"/>
        <v>0</v>
      </c>
      <c r="AI903" s="140">
        <f t="shared" si="202"/>
        <v>0</v>
      </c>
      <c r="AJ903" s="131">
        <f t="shared" si="203"/>
        <v>0</v>
      </c>
      <c r="AK903" s="131">
        <f t="shared" si="204"/>
        <v>0</v>
      </c>
      <c r="AL903" s="127">
        <f t="shared" si="209"/>
        <v>0</v>
      </c>
      <c r="AM903" s="140">
        <f t="shared" si="205"/>
        <v>0</v>
      </c>
      <c r="AN903" s="140">
        <f t="shared" si="206"/>
        <v>0</v>
      </c>
      <c r="AO903" s="140">
        <f t="shared" si="207"/>
        <v>0</v>
      </c>
      <c r="AP903" s="140">
        <f t="shared" si="208"/>
        <v>0</v>
      </c>
    </row>
    <row r="904" spans="2:42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AC904" s="131">
        <f t="shared" si="196"/>
        <v>0</v>
      </c>
      <c r="AD904" s="131">
        <f t="shared" si="197"/>
        <v>0</v>
      </c>
      <c r="AE904" s="131">
        <f t="shared" si="198"/>
        <v>0</v>
      </c>
      <c r="AF904" s="131">
        <f t="shared" si="199"/>
        <v>0</v>
      </c>
      <c r="AG904" s="140">
        <f t="shared" si="200"/>
        <v>0</v>
      </c>
      <c r="AH904" s="140">
        <f t="shared" si="201"/>
        <v>0</v>
      </c>
      <c r="AI904" s="140">
        <f t="shared" si="202"/>
        <v>0</v>
      </c>
      <c r="AJ904" s="131">
        <f t="shared" si="203"/>
        <v>0</v>
      </c>
      <c r="AK904" s="131">
        <f t="shared" si="204"/>
        <v>0</v>
      </c>
      <c r="AL904" s="127">
        <f t="shared" si="209"/>
        <v>0</v>
      </c>
      <c r="AM904" s="140">
        <f t="shared" si="205"/>
        <v>0</v>
      </c>
      <c r="AN904" s="140">
        <f t="shared" si="206"/>
        <v>0</v>
      </c>
      <c r="AO904" s="140">
        <f t="shared" si="207"/>
        <v>0</v>
      </c>
      <c r="AP904" s="140">
        <f t="shared" si="208"/>
        <v>0</v>
      </c>
    </row>
    <row r="905" spans="2:42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AC905" s="131">
        <f t="shared" si="196"/>
        <v>0</v>
      </c>
      <c r="AD905" s="131">
        <f t="shared" si="197"/>
        <v>0</v>
      </c>
      <c r="AE905" s="131">
        <f t="shared" si="198"/>
        <v>0</v>
      </c>
      <c r="AF905" s="131">
        <f t="shared" si="199"/>
        <v>0</v>
      </c>
      <c r="AG905" s="140">
        <f t="shared" si="200"/>
        <v>0</v>
      </c>
      <c r="AH905" s="140">
        <f t="shared" si="201"/>
        <v>0</v>
      </c>
      <c r="AI905" s="140">
        <f t="shared" si="202"/>
        <v>0</v>
      </c>
      <c r="AJ905" s="131">
        <f t="shared" si="203"/>
        <v>0</v>
      </c>
      <c r="AK905" s="131">
        <f t="shared" si="204"/>
        <v>0</v>
      </c>
      <c r="AL905" s="127">
        <f t="shared" si="209"/>
        <v>0</v>
      </c>
      <c r="AM905" s="140">
        <f t="shared" si="205"/>
        <v>0</v>
      </c>
      <c r="AN905" s="140">
        <f t="shared" si="206"/>
        <v>0</v>
      </c>
      <c r="AO905" s="140">
        <f t="shared" si="207"/>
        <v>0</v>
      </c>
      <c r="AP905" s="140">
        <f t="shared" si="208"/>
        <v>0</v>
      </c>
    </row>
    <row r="906" spans="2:42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AC906" s="131">
        <f t="shared" si="196"/>
        <v>0</v>
      </c>
      <c r="AD906" s="131">
        <f t="shared" si="197"/>
        <v>0</v>
      </c>
      <c r="AE906" s="131">
        <f t="shared" si="198"/>
        <v>0</v>
      </c>
      <c r="AF906" s="131">
        <f t="shared" si="199"/>
        <v>0</v>
      </c>
      <c r="AG906" s="140">
        <f t="shared" si="200"/>
        <v>0</v>
      </c>
      <c r="AH906" s="140">
        <f t="shared" si="201"/>
        <v>0</v>
      </c>
      <c r="AI906" s="140">
        <f t="shared" si="202"/>
        <v>0</v>
      </c>
      <c r="AJ906" s="131">
        <f t="shared" si="203"/>
        <v>0</v>
      </c>
      <c r="AK906" s="131">
        <f t="shared" si="204"/>
        <v>0</v>
      </c>
      <c r="AL906" s="127">
        <f t="shared" si="209"/>
        <v>0</v>
      </c>
      <c r="AM906" s="140">
        <f t="shared" si="205"/>
        <v>0</v>
      </c>
      <c r="AN906" s="140">
        <f t="shared" si="206"/>
        <v>0</v>
      </c>
      <c r="AO906" s="140">
        <f t="shared" si="207"/>
        <v>0</v>
      </c>
      <c r="AP906" s="140">
        <f t="shared" si="208"/>
        <v>0</v>
      </c>
    </row>
    <row r="907" spans="2:42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AC907" s="131">
        <f t="shared" si="196"/>
        <v>0</v>
      </c>
      <c r="AD907" s="131">
        <f t="shared" si="197"/>
        <v>0</v>
      </c>
      <c r="AE907" s="131">
        <f t="shared" si="198"/>
        <v>0</v>
      </c>
      <c r="AF907" s="131">
        <f t="shared" si="199"/>
        <v>0</v>
      </c>
      <c r="AG907" s="140">
        <f t="shared" si="200"/>
        <v>0</v>
      </c>
      <c r="AH907" s="140">
        <f t="shared" si="201"/>
        <v>0</v>
      </c>
      <c r="AI907" s="140">
        <f t="shared" si="202"/>
        <v>0</v>
      </c>
      <c r="AJ907" s="131">
        <f t="shared" si="203"/>
        <v>0</v>
      </c>
      <c r="AK907" s="131">
        <f t="shared" si="204"/>
        <v>0</v>
      </c>
      <c r="AL907" s="127">
        <f t="shared" si="209"/>
        <v>0</v>
      </c>
      <c r="AM907" s="140">
        <f t="shared" si="205"/>
        <v>0</v>
      </c>
      <c r="AN907" s="140">
        <f t="shared" si="206"/>
        <v>0</v>
      </c>
      <c r="AO907" s="140">
        <f t="shared" si="207"/>
        <v>0</v>
      </c>
      <c r="AP907" s="140">
        <f t="shared" si="208"/>
        <v>0</v>
      </c>
    </row>
    <row r="908" spans="2:42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AC908" s="131">
        <f t="shared" si="196"/>
        <v>0</v>
      </c>
      <c r="AD908" s="131">
        <f t="shared" si="197"/>
        <v>0</v>
      </c>
      <c r="AE908" s="131">
        <f t="shared" si="198"/>
        <v>0</v>
      </c>
      <c r="AF908" s="131">
        <f t="shared" si="199"/>
        <v>0</v>
      </c>
      <c r="AG908" s="140">
        <f t="shared" si="200"/>
        <v>0</v>
      </c>
      <c r="AH908" s="140">
        <f t="shared" si="201"/>
        <v>0</v>
      </c>
      <c r="AI908" s="140">
        <f t="shared" si="202"/>
        <v>0</v>
      </c>
      <c r="AJ908" s="131">
        <f t="shared" si="203"/>
        <v>0</v>
      </c>
      <c r="AK908" s="131">
        <f t="shared" si="204"/>
        <v>0</v>
      </c>
      <c r="AL908" s="127">
        <f t="shared" si="209"/>
        <v>0</v>
      </c>
      <c r="AM908" s="140">
        <f t="shared" si="205"/>
        <v>0</v>
      </c>
      <c r="AN908" s="140">
        <f t="shared" si="206"/>
        <v>0</v>
      </c>
      <c r="AO908" s="140">
        <f t="shared" si="207"/>
        <v>0</v>
      </c>
      <c r="AP908" s="140">
        <f t="shared" si="208"/>
        <v>0</v>
      </c>
    </row>
    <row r="909" spans="2:42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AC909" s="131">
        <f t="shared" si="196"/>
        <v>0</v>
      </c>
      <c r="AD909" s="131">
        <f t="shared" si="197"/>
        <v>0</v>
      </c>
      <c r="AE909" s="131">
        <f t="shared" si="198"/>
        <v>0</v>
      </c>
      <c r="AF909" s="131">
        <f t="shared" si="199"/>
        <v>0</v>
      </c>
      <c r="AG909" s="140">
        <f t="shared" si="200"/>
        <v>0</v>
      </c>
      <c r="AH909" s="140">
        <f t="shared" si="201"/>
        <v>0</v>
      </c>
      <c r="AI909" s="140">
        <f t="shared" si="202"/>
        <v>0</v>
      </c>
      <c r="AJ909" s="131">
        <f t="shared" si="203"/>
        <v>0</v>
      </c>
      <c r="AK909" s="131">
        <f t="shared" si="204"/>
        <v>0</v>
      </c>
      <c r="AL909" s="127">
        <f t="shared" si="209"/>
        <v>0</v>
      </c>
      <c r="AM909" s="140">
        <f t="shared" si="205"/>
        <v>0</v>
      </c>
      <c r="AN909" s="140">
        <f t="shared" si="206"/>
        <v>0</v>
      </c>
      <c r="AO909" s="140">
        <f t="shared" si="207"/>
        <v>0</v>
      </c>
      <c r="AP909" s="140">
        <f t="shared" si="208"/>
        <v>0</v>
      </c>
    </row>
    <row r="910" spans="2:42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AC910" s="131">
        <f t="shared" si="196"/>
        <v>0</v>
      </c>
      <c r="AD910" s="131">
        <f t="shared" si="197"/>
        <v>0</v>
      </c>
      <c r="AE910" s="131">
        <f t="shared" si="198"/>
        <v>0</v>
      </c>
      <c r="AF910" s="131">
        <f t="shared" si="199"/>
        <v>0</v>
      </c>
      <c r="AG910" s="140">
        <f t="shared" si="200"/>
        <v>0</v>
      </c>
      <c r="AH910" s="140">
        <f t="shared" si="201"/>
        <v>0</v>
      </c>
      <c r="AI910" s="140">
        <f t="shared" si="202"/>
        <v>0</v>
      </c>
      <c r="AJ910" s="131">
        <f t="shared" si="203"/>
        <v>0</v>
      </c>
      <c r="AK910" s="131">
        <f t="shared" si="204"/>
        <v>0</v>
      </c>
      <c r="AL910" s="127">
        <f t="shared" si="209"/>
        <v>0</v>
      </c>
      <c r="AM910" s="140">
        <f t="shared" si="205"/>
        <v>0</v>
      </c>
      <c r="AN910" s="140">
        <f t="shared" si="206"/>
        <v>0</v>
      </c>
      <c r="AO910" s="140">
        <f t="shared" si="207"/>
        <v>0</v>
      </c>
      <c r="AP910" s="140">
        <f t="shared" si="208"/>
        <v>0</v>
      </c>
    </row>
    <row r="911" spans="2:42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AC911" s="131">
        <f t="shared" si="196"/>
        <v>0</v>
      </c>
      <c r="AD911" s="131">
        <f t="shared" si="197"/>
        <v>0</v>
      </c>
      <c r="AE911" s="131">
        <f t="shared" si="198"/>
        <v>0</v>
      </c>
      <c r="AF911" s="131">
        <f t="shared" si="199"/>
        <v>0</v>
      </c>
      <c r="AG911" s="140">
        <f t="shared" si="200"/>
        <v>0</v>
      </c>
      <c r="AH911" s="140">
        <f t="shared" si="201"/>
        <v>0</v>
      </c>
      <c r="AI911" s="140">
        <f t="shared" si="202"/>
        <v>0</v>
      </c>
      <c r="AJ911" s="131">
        <f t="shared" si="203"/>
        <v>0</v>
      </c>
      <c r="AK911" s="131">
        <f t="shared" si="204"/>
        <v>0</v>
      </c>
      <c r="AL911" s="127">
        <f t="shared" si="209"/>
        <v>0</v>
      </c>
      <c r="AM911" s="140">
        <f t="shared" si="205"/>
        <v>0</v>
      </c>
      <c r="AN911" s="140">
        <f t="shared" si="206"/>
        <v>0</v>
      </c>
      <c r="AO911" s="140">
        <f t="shared" si="207"/>
        <v>0</v>
      </c>
      <c r="AP911" s="140">
        <f t="shared" si="208"/>
        <v>0</v>
      </c>
    </row>
    <row r="912" spans="2:42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AC912" s="131">
        <f t="shared" si="196"/>
        <v>0</v>
      </c>
      <c r="AD912" s="131">
        <f t="shared" si="197"/>
        <v>0</v>
      </c>
      <c r="AE912" s="131">
        <f t="shared" si="198"/>
        <v>0</v>
      </c>
      <c r="AF912" s="131">
        <f t="shared" si="199"/>
        <v>0</v>
      </c>
      <c r="AG912" s="140">
        <f t="shared" si="200"/>
        <v>0</v>
      </c>
      <c r="AH912" s="140">
        <f t="shared" si="201"/>
        <v>0</v>
      </c>
      <c r="AI912" s="140">
        <f t="shared" si="202"/>
        <v>0</v>
      </c>
      <c r="AJ912" s="131">
        <f t="shared" si="203"/>
        <v>0</v>
      </c>
      <c r="AK912" s="131">
        <f t="shared" si="204"/>
        <v>0</v>
      </c>
      <c r="AL912" s="127">
        <f t="shared" si="209"/>
        <v>0</v>
      </c>
      <c r="AM912" s="140">
        <f t="shared" si="205"/>
        <v>0</v>
      </c>
      <c r="AN912" s="140">
        <f t="shared" si="206"/>
        <v>0</v>
      </c>
      <c r="AO912" s="140">
        <f t="shared" si="207"/>
        <v>0</v>
      </c>
      <c r="AP912" s="140">
        <f t="shared" si="208"/>
        <v>0</v>
      </c>
    </row>
    <row r="913" spans="2:42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AC913" s="131">
        <f t="shared" si="196"/>
        <v>0</v>
      </c>
      <c r="AD913" s="131">
        <f t="shared" si="197"/>
        <v>0</v>
      </c>
      <c r="AE913" s="131">
        <f t="shared" si="198"/>
        <v>0</v>
      </c>
      <c r="AF913" s="131">
        <f t="shared" si="199"/>
        <v>0</v>
      </c>
      <c r="AG913" s="140">
        <f t="shared" si="200"/>
        <v>0</v>
      </c>
      <c r="AH913" s="140">
        <f t="shared" si="201"/>
        <v>0</v>
      </c>
      <c r="AI913" s="140">
        <f t="shared" si="202"/>
        <v>0</v>
      </c>
      <c r="AJ913" s="131">
        <f t="shared" si="203"/>
        <v>0</v>
      </c>
      <c r="AK913" s="131">
        <f t="shared" si="204"/>
        <v>0</v>
      </c>
      <c r="AL913" s="127">
        <f t="shared" si="209"/>
        <v>0</v>
      </c>
      <c r="AM913" s="140">
        <f t="shared" si="205"/>
        <v>0</v>
      </c>
      <c r="AN913" s="140">
        <f t="shared" si="206"/>
        <v>0</v>
      </c>
      <c r="AO913" s="140">
        <f t="shared" si="207"/>
        <v>0</v>
      </c>
      <c r="AP913" s="140">
        <f t="shared" si="208"/>
        <v>0</v>
      </c>
    </row>
    <row r="914" spans="2:42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AC914" s="131">
        <f t="shared" si="196"/>
        <v>0</v>
      </c>
      <c r="AD914" s="131">
        <f t="shared" si="197"/>
        <v>0</v>
      </c>
      <c r="AE914" s="131">
        <f t="shared" si="198"/>
        <v>0</v>
      </c>
      <c r="AF914" s="131">
        <f t="shared" si="199"/>
        <v>0</v>
      </c>
      <c r="AG914" s="140">
        <f t="shared" si="200"/>
        <v>0</v>
      </c>
      <c r="AH914" s="140">
        <f t="shared" si="201"/>
        <v>0</v>
      </c>
      <c r="AI914" s="140">
        <f t="shared" si="202"/>
        <v>0</v>
      </c>
      <c r="AJ914" s="131">
        <f t="shared" si="203"/>
        <v>0</v>
      </c>
      <c r="AK914" s="131">
        <f t="shared" si="204"/>
        <v>0</v>
      </c>
      <c r="AL914" s="127">
        <f t="shared" si="209"/>
        <v>0</v>
      </c>
      <c r="AM914" s="140">
        <f t="shared" si="205"/>
        <v>0</v>
      </c>
      <c r="AN914" s="140">
        <f t="shared" si="206"/>
        <v>0</v>
      </c>
      <c r="AO914" s="140">
        <f t="shared" si="207"/>
        <v>0</v>
      </c>
      <c r="AP914" s="140">
        <f t="shared" si="208"/>
        <v>0</v>
      </c>
    </row>
    <row r="915" spans="2:42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AC915" s="131">
        <f t="shared" si="196"/>
        <v>0</v>
      </c>
      <c r="AD915" s="131">
        <f t="shared" si="197"/>
        <v>0</v>
      </c>
      <c r="AE915" s="131">
        <f t="shared" si="198"/>
        <v>0</v>
      </c>
      <c r="AF915" s="131">
        <f t="shared" si="199"/>
        <v>0</v>
      </c>
      <c r="AG915" s="140">
        <f t="shared" si="200"/>
        <v>0</v>
      </c>
      <c r="AH915" s="140">
        <f t="shared" si="201"/>
        <v>0</v>
      </c>
      <c r="AI915" s="140">
        <f t="shared" si="202"/>
        <v>0</v>
      </c>
      <c r="AJ915" s="131">
        <f t="shared" si="203"/>
        <v>0</v>
      </c>
      <c r="AK915" s="131">
        <f t="shared" si="204"/>
        <v>0</v>
      </c>
      <c r="AL915" s="127">
        <f t="shared" si="209"/>
        <v>0</v>
      </c>
      <c r="AM915" s="140">
        <f t="shared" si="205"/>
        <v>0</v>
      </c>
      <c r="AN915" s="140">
        <f t="shared" si="206"/>
        <v>0</v>
      </c>
      <c r="AO915" s="140">
        <f t="shared" si="207"/>
        <v>0</v>
      </c>
      <c r="AP915" s="140">
        <f t="shared" si="208"/>
        <v>0</v>
      </c>
    </row>
    <row r="916" spans="2:42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AC916" s="131">
        <f t="shared" si="196"/>
        <v>0</v>
      </c>
      <c r="AD916" s="131">
        <f t="shared" si="197"/>
        <v>0</v>
      </c>
      <c r="AE916" s="131">
        <f t="shared" si="198"/>
        <v>0</v>
      </c>
      <c r="AF916" s="131">
        <f t="shared" si="199"/>
        <v>0</v>
      </c>
      <c r="AG916" s="140">
        <f t="shared" si="200"/>
        <v>0</v>
      </c>
      <c r="AH916" s="140">
        <f t="shared" si="201"/>
        <v>0</v>
      </c>
      <c r="AI916" s="140">
        <f t="shared" si="202"/>
        <v>0</v>
      </c>
      <c r="AJ916" s="131">
        <f t="shared" si="203"/>
        <v>0</v>
      </c>
      <c r="AK916" s="131">
        <f t="shared" si="204"/>
        <v>0</v>
      </c>
      <c r="AL916" s="127">
        <f t="shared" si="209"/>
        <v>0</v>
      </c>
      <c r="AM916" s="140">
        <f t="shared" si="205"/>
        <v>0</v>
      </c>
      <c r="AN916" s="140">
        <f t="shared" si="206"/>
        <v>0</v>
      </c>
      <c r="AO916" s="140">
        <f t="shared" si="207"/>
        <v>0</v>
      </c>
      <c r="AP916" s="140">
        <f t="shared" si="208"/>
        <v>0</v>
      </c>
    </row>
    <row r="917" spans="2:42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AC917" s="131">
        <f t="shared" si="196"/>
        <v>0</v>
      </c>
      <c r="AD917" s="131">
        <f t="shared" si="197"/>
        <v>0</v>
      </c>
      <c r="AE917" s="131">
        <f t="shared" si="198"/>
        <v>0</v>
      </c>
      <c r="AF917" s="131">
        <f t="shared" si="199"/>
        <v>0</v>
      </c>
      <c r="AG917" s="140">
        <f t="shared" si="200"/>
        <v>0</v>
      </c>
      <c r="AH917" s="140">
        <f t="shared" si="201"/>
        <v>0</v>
      </c>
      <c r="AI917" s="140">
        <f t="shared" si="202"/>
        <v>0</v>
      </c>
      <c r="AJ917" s="131">
        <f t="shared" si="203"/>
        <v>0</v>
      </c>
      <c r="AK917" s="131">
        <f t="shared" si="204"/>
        <v>0</v>
      </c>
      <c r="AL917" s="127">
        <f t="shared" si="209"/>
        <v>0</v>
      </c>
      <c r="AM917" s="140">
        <f t="shared" si="205"/>
        <v>0</v>
      </c>
      <c r="AN917" s="140">
        <f t="shared" si="206"/>
        <v>0</v>
      </c>
      <c r="AO917" s="140">
        <f t="shared" si="207"/>
        <v>0</v>
      </c>
      <c r="AP917" s="140">
        <f t="shared" si="208"/>
        <v>0</v>
      </c>
    </row>
    <row r="918" spans="2:42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AC918" s="131">
        <f t="shared" si="196"/>
        <v>0</v>
      </c>
      <c r="AD918" s="131">
        <f t="shared" si="197"/>
        <v>0</v>
      </c>
      <c r="AE918" s="131">
        <f t="shared" si="198"/>
        <v>0</v>
      </c>
      <c r="AF918" s="131">
        <f t="shared" si="199"/>
        <v>0</v>
      </c>
      <c r="AG918" s="140">
        <f t="shared" si="200"/>
        <v>0</v>
      </c>
      <c r="AH918" s="140">
        <f t="shared" si="201"/>
        <v>0</v>
      </c>
      <c r="AI918" s="140">
        <f t="shared" si="202"/>
        <v>0</v>
      </c>
      <c r="AJ918" s="131">
        <f t="shared" si="203"/>
        <v>0</v>
      </c>
      <c r="AK918" s="131">
        <f t="shared" si="204"/>
        <v>0</v>
      </c>
      <c r="AL918" s="127">
        <f t="shared" si="209"/>
        <v>0</v>
      </c>
      <c r="AM918" s="140">
        <f t="shared" si="205"/>
        <v>0</v>
      </c>
      <c r="AN918" s="140">
        <f t="shared" si="206"/>
        <v>0</v>
      </c>
      <c r="AO918" s="140">
        <f t="shared" si="207"/>
        <v>0</v>
      </c>
      <c r="AP918" s="140">
        <f t="shared" si="208"/>
        <v>0</v>
      </c>
    </row>
    <row r="919" spans="2:42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AC919" s="131">
        <f t="shared" si="196"/>
        <v>0</v>
      </c>
      <c r="AD919" s="131">
        <f t="shared" si="197"/>
        <v>0</v>
      </c>
      <c r="AE919" s="131">
        <f t="shared" si="198"/>
        <v>0</v>
      </c>
      <c r="AF919" s="131">
        <f t="shared" si="199"/>
        <v>0</v>
      </c>
      <c r="AG919" s="140">
        <f t="shared" si="200"/>
        <v>0</v>
      </c>
      <c r="AH919" s="140">
        <f t="shared" si="201"/>
        <v>0</v>
      </c>
      <c r="AI919" s="140">
        <f t="shared" si="202"/>
        <v>0</v>
      </c>
      <c r="AJ919" s="131">
        <f t="shared" si="203"/>
        <v>0</v>
      </c>
      <c r="AK919" s="131">
        <f t="shared" si="204"/>
        <v>0</v>
      </c>
      <c r="AL919" s="127">
        <f t="shared" si="209"/>
        <v>0</v>
      </c>
      <c r="AM919" s="140">
        <f t="shared" si="205"/>
        <v>0</v>
      </c>
      <c r="AN919" s="140">
        <f t="shared" si="206"/>
        <v>0</v>
      </c>
      <c r="AO919" s="140">
        <f t="shared" si="207"/>
        <v>0</v>
      </c>
      <c r="AP919" s="140">
        <f t="shared" si="208"/>
        <v>0</v>
      </c>
    </row>
    <row r="920" spans="2:42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AC920" s="131">
        <f t="shared" si="196"/>
        <v>0</v>
      </c>
      <c r="AD920" s="131">
        <f t="shared" si="197"/>
        <v>0</v>
      </c>
      <c r="AE920" s="131">
        <f t="shared" si="198"/>
        <v>0</v>
      </c>
      <c r="AF920" s="131">
        <f t="shared" si="199"/>
        <v>0</v>
      </c>
      <c r="AG920" s="140">
        <f t="shared" si="200"/>
        <v>0</v>
      </c>
      <c r="AH920" s="140">
        <f t="shared" si="201"/>
        <v>0</v>
      </c>
      <c r="AI920" s="140">
        <f t="shared" si="202"/>
        <v>0</v>
      </c>
      <c r="AJ920" s="131">
        <f t="shared" si="203"/>
        <v>0</v>
      </c>
      <c r="AK920" s="131">
        <f t="shared" si="204"/>
        <v>0</v>
      </c>
      <c r="AL920" s="127">
        <f t="shared" si="209"/>
        <v>0</v>
      </c>
      <c r="AM920" s="140">
        <f t="shared" si="205"/>
        <v>0</v>
      </c>
      <c r="AN920" s="140">
        <f t="shared" si="206"/>
        <v>0</v>
      </c>
      <c r="AO920" s="140">
        <f t="shared" si="207"/>
        <v>0</v>
      </c>
      <c r="AP920" s="140">
        <f t="shared" si="208"/>
        <v>0</v>
      </c>
    </row>
    <row r="921" spans="2:42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AC921" s="131">
        <f t="shared" si="196"/>
        <v>0</v>
      </c>
      <c r="AD921" s="131">
        <f t="shared" si="197"/>
        <v>0</v>
      </c>
      <c r="AE921" s="131">
        <f t="shared" si="198"/>
        <v>0</v>
      </c>
      <c r="AF921" s="131">
        <f t="shared" si="199"/>
        <v>0</v>
      </c>
      <c r="AG921" s="140">
        <f t="shared" si="200"/>
        <v>0</v>
      </c>
      <c r="AH921" s="140">
        <f t="shared" si="201"/>
        <v>0</v>
      </c>
      <c r="AI921" s="140">
        <f t="shared" si="202"/>
        <v>0</v>
      </c>
      <c r="AJ921" s="131">
        <f t="shared" si="203"/>
        <v>0</v>
      </c>
      <c r="AK921" s="131">
        <f t="shared" si="204"/>
        <v>0</v>
      </c>
      <c r="AL921" s="127">
        <f t="shared" si="209"/>
        <v>0</v>
      </c>
      <c r="AM921" s="140">
        <f t="shared" si="205"/>
        <v>0</v>
      </c>
      <c r="AN921" s="140">
        <f t="shared" si="206"/>
        <v>0</v>
      </c>
      <c r="AO921" s="140">
        <f t="shared" si="207"/>
        <v>0</v>
      </c>
      <c r="AP921" s="140">
        <f t="shared" si="208"/>
        <v>0</v>
      </c>
    </row>
    <row r="922" spans="2:42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AC922" s="131">
        <f t="shared" si="196"/>
        <v>0</v>
      </c>
      <c r="AD922" s="131">
        <f t="shared" si="197"/>
        <v>0</v>
      </c>
      <c r="AE922" s="131">
        <f t="shared" si="198"/>
        <v>0</v>
      </c>
      <c r="AF922" s="131">
        <f t="shared" si="199"/>
        <v>0</v>
      </c>
      <c r="AG922" s="140">
        <f t="shared" si="200"/>
        <v>0</v>
      </c>
      <c r="AH922" s="140">
        <f t="shared" si="201"/>
        <v>0</v>
      </c>
      <c r="AI922" s="140">
        <f t="shared" si="202"/>
        <v>0</v>
      </c>
      <c r="AJ922" s="131">
        <f t="shared" si="203"/>
        <v>0</v>
      </c>
      <c r="AK922" s="131">
        <f t="shared" si="204"/>
        <v>0</v>
      </c>
      <c r="AL922" s="127">
        <f t="shared" si="209"/>
        <v>0</v>
      </c>
      <c r="AM922" s="140">
        <f t="shared" si="205"/>
        <v>0</v>
      </c>
      <c r="AN922" s="140">
        <f t="shared" si="206"/>
        <v>0</v>
      </c>
      <c r="AO922" s="140">
        <f t="shared" si="207"/>
        <v>0</v>
      </c>
      <c r="AP922" s="140">
        <f t="shared" si="208"/>
        <v>0</v>
      </c>
    </row>
    <row r="923" spans="2:42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AC923" s="131">
        <f t="shared" si="196"/>
        <v>0</v>
      </c>
      <c r="AD923" s="131">
        <f t="shared" si="197"/>
        <v>0</v>
      </c>
      <c r="AE923" s="131">
        <f t="shared" si="198"/>
        <v>0</v>
      </c>
      <c r="AF923" s="131">
        <f t="shared" si="199"/>
        <v>0</v>
      </c>
      <c r="AG923" s="140">
        <f t="shared" si="200"/>
        <v>0</v>
      </c>
      <c r="AH923" s="140">
        <f t="shared" si="201"/>
        <v>0</v>
      </c>
      <c r="AI923" s="140">
        <f t="shared" si="202"/>
        <v>0</v>
      </c>
      <c r="AJ923" s="131">
        <f t="shared" si="203"/>
        <v>0</v>
      </c>
      <c r="AK923" s="131">
        <f t="shared" si="204"/>
        <v>0</v>
      </c>
      <c r="AL923" s="127">
        <f t="shared" si="209"/>
        <v>0</v>
      </c>
      <c r="AM923" s="140">
        <f t="shared" si="205"/>
        <v>0</v>
      </c>
      <c r="AN923" s="140">
        <f t="shared" si="206"/>
        <v>0</v>
      </c>
      <c r="AO923" s="140">
        <f t="shared" si="207"/>
        <v>0</v>
      </c>
      <c r="AP923" s="140">
        <f t="shared" si="208"/>
        <v>0</v>
      </c>
    </row>
    <row r="924" spans="2:42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AC924" s="131">
        <f t="shared" si="196"/>
        <v>0</v>
      </c>
      <c r="AD924" s="131">
        <f t="shared" si="197"/>
        <v>0</v>
      </c>
      <c r="AE924" s="131">
        <f t="shared" si="198"/>
        <v>0</v>
      </c>
      <c r="AF924" s="131">
        <f t="shared" si="199"/>
        <v>0</v>
      </c>
      <c r="AG924" s="140">
        <f t="shared" si="200"/>
        <v>0</v>
      </c>
      <c r="AH924" s="140">
        <f t="shared" si="201"/>
        <v>0</v>
      </c>
      <c r="AI924" s="140">
        <f t="shared" si="202"/>
        <v>0</v>
      </c>
      <c r="AJ924" s="131">
        <f t="shared" si="203"/>
        <v>0</v>
      </c>
      <c r="AK924" s="131">
        <f t="shared" si="204"/>
        <v>0</v>
      </c>
      <c r="AL924" s="127">
        <f t="shared" si="209"/>
        <v>0</v>
      </c>
      <c r="AM924" s="140">
        <f t="shared" si="205"/>
        <v>0</v>
      </c>
      <c r="AN924" s="140">
        <f t="shared" si="206"/>
        <v>0</v>
      </c>
      <c r="AO924" s="140">
        <f t="shared" si="207"/>
        <v>0</v>
      </c>
      <c r="AP924" s="140">
        <f t="shared" si="208"/>
        <v>0</v>
      </c>
    </row>
    <row r="925" spans="2:42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AC925" s="131">
        <f t="shared" si="196"/>
        <v>0</v>
      </c>
      <c r="AD925" s="131">
        <f t="shared" si="197"/>
        <v>0</v>
      </c>
      <c r="AE925" s="131">
        <f t="shared" si="198"/>
        <v>0</v>
      </c>
      <c r="AF925" s="131">
        <f t="shared" si="199"/>
        <v>0</v>
      </c>
      <c r="AG925" s="140">
        <f t="shared" si="200"/>
        <v>0</v>
      </c>
      <c r="AH925" s="140">
        <f t="shared" si="201"/>
        <v>0</v>
      </c>
      <c r="AI925" s="140">
        <f t="shared" si="202"/>
        <v>0</v>
      </c>
      <c r="AJ925" s="131">
        <f t="shared" si="203"/>
        <v>0</v>
      </c>
      <c r="AK925" s="131">
        <f t="shared" si="204"/>
        <v>0</v>
      </c>
      <c r="AL925" s="127">
        <f t="shared" si="209"/>
        <v>0</v>
      </c>
      <c r="AM925" s="140">
        <f t="shared" si="205"/>
        <v>0</v>
      </c>
      <c r="AN925" s="140">
        <f t="shared" si="206"/>
        <v>0</v>
      </c>
      <c r="AO925" s="140">
        <f t="shared" si="207"/>
        <v>0</v>
      </c>
      <c r="AP925" s="140">
        <f t="shared" si="208"/>
        <v>0</v>
      </c>
    </row>
    <row r="926" spans="2:42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AC926" s="131">
        <f t="shared" si="196"/>
        <v>0</v>
      </c>
      <c r="AD926" s="131">
        <f t="shared" si="197"/>
        <v>0</v>
      </c>
      <c r="AE926" s="131">
        <f t="shared" si="198"/>
        <v>0</v>
      </c>
      <c r="AF926" s="131">
        <f t="shared" si="199"/>
        <v>0</v>
      </c>
      <c r="AG926" s="140">
        <f t="shared" si="200"/>
        <v>0</v>
      </c>
      <c r="AH926" s="140">
        <f t="shared" si="201"/>
        <v>0</v>
      </c>
      <c r="AI926" s="140">
        <f t="shared" si="202"/>
        <v>0</v>
      </c>
      <c r="AJ926" s="131">
        <f t="shared" si="203"/>
        <v>0</v>
      </c>
      <c r="AK926" s="131">
        <f t="shared" si="204"/>
        <v>0</v>
      </c>
      <c r="AL926" s="127">
        <f t="shared" si="209"/>
        <v>0</v>
      </c>
      <c r="AM926" s="140">
        <f t="shared" si="205"/>
        <v>0</v>
      </c>
      <c r="AN926" s="140">
        <f t="shared" si="206"/>
        <v>0</v>
      </c>
      <c r="AO926" s="140">
        <f t="shared" si="207"/>
        <v>0</v>
      </c>
      <c r="AP926" s="140">
        <f t="shared" si="208"/>
        <v>0</v>
      </c>
    </row>
    <row r="927" spans="2:42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AC927" s="131">
        <f t="shared" si="196"/>
        <v>0</v>
      </c>
      <c r="AD927" s="131">
        <f t="shared" si="197"/>
        <v>0</v>
      </c>
      <c r="AE927" s="131">
        <f t="shared" si="198"/>
        <v>0</v>
      </c>
      <c r="AF927" s="131">
        <f t="shared" si="199"/>
        <v>0</v>
      </c>
      <c r="AG927" s="140">
        <f t="shared" si="200"/>
        <v>0</v>
      </c>
      <c r="AH927" s="140">
        <f t="shared" si="201"/>
        <v>0</v>
      </c>
      <c r="AI927" s="140">
        <f t="shared" si="202"/>
        <v>0</v>
      </c>
      <c r="AJ927" s="131">
        <f t="shared" si="203"/>
        <v>0</v>
      </c>
      <c r="AK927" s="131">
        <f t="shared" si="204"/>
        <v>0</v>
      </c>
      <c r="AL927" s="127">
        <f t="shared" si="209"/>
        <v>0</v>
      </c>
      <c r="AM927" s="140">
        <f t="shared" si="205"/>
        <v>0</v>
      </c>
      <c r="AN927" s="140">
        <f t="shared" si="206"/>
        <v>0</v>
      </c>
      <c r="AO927" s="140">
        <f t="shared" si="207"/>
        <v>0</v>
      </c>
      <c r="AP927" s="140">
        <f t="shared" si="208"/>
        <v>0</v>
      </c>
    </row>
    <row r="928" spans="2:42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AC928" s="131">
        <f t="shared" si="196"/>
        <v>0</v>
      </c>
      <c r="AD928" s="131">
        <f t="shared" si="197"/>
        <v>0</v>
      </c>
      <c r="AE928" s="131">
        <f t="shared" si="198"/>
        <v>0</v>
      </c>
      <c r="AF928" s="131">
        <f t="shared" si="199"/>
        <v>0</v>
      </c>
      <c r="AG928" s="140">
        <f t="shared" si="200"/>
        <v>0</v>
      </c>
      <c r="AH928" s="140">
        <f t="shared" si="201"/>
        <v>0</v>
      </c>
      <c r="AI928" s="140">
        <f t="shared" si="202"/>
        <v>0</v>
      </c>
      <c r="AJ928" s="131">
        <f t="shared" si="203"/>
        <v>0</v>
      </c>
      <c r="AK928" s="131">
        <f t="shared" si="204"/>
        <v>0</v>
      </c>
      <c r="AL928" s="127">
        <f t="shared" si="209"/>
        <v>0</v>
      </c>
      <c r="AM928" s="140">
        <f t="shared" si="205"/>
        <v>0</v>
      </c>
      <c r="AN928" s="140">
        <f t="shared" si="206"/>
        <v>0</v>
      </c>
      <c r="AO928" s="140">
        <f t="shared" si="207"/>
        <v>0</v>
      </c>
      <c r="AP928" s="140">
        <f t="shared" si="208"/>
        <v>0</v>
      </c>
    </row>
    <row r="929" spans="2:42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AC929" s="131">
        <f t="shared" si="196"/>
        <v>0</v>
      </c>
      <c r="AD929" s="131">
        <f t="shared" si="197"/>
        <v>0</v>
      </c>
      <c r="AE929" s="131">
        <f t="shared" si="198"/>
        <v>0</v>
      </c>
      <c r="AF929" s="131">
        <f t="shared" si="199"/>
        <v>0</v>
      </c>
      <c r="AG929" s="140">
        <f t="shared" si="200"/>
        <v>0</v>
      </c>
      <c r="AH929" s="140">
        <f t="shared" si="201"/>
        <v>0</v>
      </c>
      <c r="AI929" s="140">
        <f t="shared" si="202"/>
        <v>0</v>
      </c>
      <c r="AJ929" s="131">
        <f t="shared" si="203"/>
        <v>0</v>
      </c>
      <c r="AK929" s="131">
        <f t="shared" si="204"/>
        <v>0</v>
      </c>
      <c r="AL929" s="127">
        <f t="shared" si="209"/>
        <v>0</v>
      </c>
      <c r="AM929" s="140">
        <f t="shared" si="205"/>
        <v>0</v>
      </c>
      <c r="AN929" s="140">
        <f t="shared" si="206"/>
        <v>0</v>
      </c>
      <c r="AO929" s="140">
        <f t="shared" si="207"/>
        <v>0</v>
      </c>
      <c r="AP929" s="140">
        <f t="shared" si="208"/>
        <v>0</v>
      </c>
    </row>
    <row r="930" spans="2:42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AC930" s="131">
        <f t="shared" si="196"/>
        <v>0</v>
      </c>
      <c r="AD930" s="131">
        <f t="shared" si="197"/>
        <v>0</v>
      </c>
      <c r="AE930" s="131">
        <f t="shared" si="198"/>
        <v>0</v>
      </c>
      <c r="AF930" s="131">
        <f t="shared" si="199"/>
        <v>0</v>
      </c>
      <c r="AG930" s="140">
        <f t="shared" si="200"/>
        <v>0</v>
      </c>
      <c r="AH930" s="140">
        <f t="shared" si="201"/>
        <v>0</v>
      </c>
      <c r="AI930" s="140">
        <f t="shared" si="202"/>
        <v>0</v>
      </c>
      <c r="AJ930" s="131">
        <f t="shared" si="203"/>
        <v>0</v>
      </c>
      <c r="AK930" s="131">
        <f t="shared" si="204"/>
        <v>0</v>
      </c>
      <c r="AL930" s="127">
        <f t="shared" si="209"/>
        <v>0</v>
      </c>
      <c r="AM930" s="140">
        <f t="shared" si="205"/>
        <v>0</v>
      </c>
      <c r="AN930" s="140">
        <f t="shared" si="206"/>
        <v>0</v>
      </c>
      <c r="AO930" s="140">
        <f t="shared" si="207"/>
        <v>0</v>
      </c>
      <c r="AP930" s="140">
        <f t="shared" si="208"/>
        <v>0</v>
      </c>
    </row>
    <row r="931" spans="2:42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AC931" s="131">
        <f t="shared" si="196"/>
        <v>0</v>
      </c>
      <c r="AD931" s="131">
        <f t="shared" si="197"/>
        <v>0</v>
      </c>
      <c r="AE931" s="131">
        <f t="shared" si="198"/>
        <v>0</v>
      </c>
      <c r="AF931" s="131">
        <f t="shared" si="199"/>
        <v>0</v>
      </c>
      <c r="AG931" s="140">
        <f t="shared" si="200"/>
        <v>0</v>
      </c>
      <c r="AH931" s="140">
        <f t="shared" si="201"/>
        <v>0</v>
      </c>
      <c r="AI931" s="140">
        <f t="shared" si="202"/>
        <v>0</v>
      </c>
      <c r="AJ931" s="131">
        <f t="shared" si="203"/>
        <v>0</v>
      </c>
      <c r="AK931" s="131">
        <f t="shared" si="204"/>
        <v>0</v>
      </c>
      <c r="AL931" s="127">
        <f t="shared" si="209"/>
        <v>0</v>
      </c>
      <c r="AM931" s="140">
        <f t="shared" si="205"/>
        <v>0</v>
      </c>
      <c r="AN931" s="140">
        <f t="shared" si="206"/>
        <v>0</v>
      </c>
      <c r="AO931" s="140">
        <f t="shared" si="207"/>
        <v>0</v>
      </c>
      <c r="AP931" s="140">
        <f t="shared" si="208"/>
        <v>0</v>
      </c>
    </row>
    <row r="932" spans="2:42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AC932" s="131">
        <f t="shared" si="196"/>
        <v>0</v>
      </c>
      <c r="AD932" s="131">
        <f t="shared" si="197"/>
        <v>0</v>
      </c>
      <c r="AE932" s="131">
        <f t="shared" si="198"/>
        <v>0</v>
      </c>
      <c r="AF932" s="131">
        <f t="shared" si="199"/>
        <v>0</v>
      </c>
      <c r="AG932" s="140">
        <f t="shared" si="200"/>
        <v>0</v>
      </c>
      <c r="AH932" s="140">
        <f t="shared" si="201"/>
        <v>0</v>
      </c>
      <c r="AI932" s="140">
        <f t="shared" si="202"/>
        <v>0</v>
      </c>
      <c r="AJ932" s="131">
        <f t="shared" si="203"/>
        <v>0</v>
      </c>
      <c r="AK932" s="131">
        <f t="shared" si="204"/>
        <v>0</v>
      </c>
      <c r="AL932" s="127">
        <f t="shared" si="209"/>
        <v>0</v>
      </c>
      <c r="AM932" s="140">
        <f t="shared" si="205"/>
        <v>0</v>
      </c>
      <c r="AN932" s="140">
        <f t="shared" si="206"/>
        <v>0</v>
      </c>
      <c r="AO932" s="140">
        <f t="shared" si="207"/>
        <v>0</v>
      </c>
      <c r="AP932" s="140">
        <f t="shared" si="208"/>
        <v>0</v>
      </c>
    </row>
    <row r="933" spans="2:42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AC933" s="131">
        <f t="shared" si="196"/>
        <v>0</v>
      </c>
      <c r="AD933" s="131">
        <f t="shared" si="197"/>
        <v>0</v>
      </c>
      <c r="AE933" s="131">
        <f t="shared" si="198"/>
        <v>0</v>
      </c>
      <c r="AF933" s="131">
        <f t="shared" si="199"/>
        <v>0</v>
      </c>
      <c r="AG933" s="140">
        <f t="shared" si="200"/>
        <v>0</v>
      </c>
      <c r="AH933" s="140">
        <f t="shared" si="201"/>
        <v>0</v>
      </c>
      <c r="AI933" s="140">
        <f t="shared" si="202"/>
        <v>0</v>
      </c>
      <c r="AJ933" s="131">
        <f t="shared" si="203"/>
        <v>0</v>
      </c>
      <c r="AK933" s="131">
        <f t="shared" si="204"/>
        <v>0</v>
      </c>
      <c r="AL933" s="127">
        <f t="shared" si="209"/>
        <v>0</v>
      </c>
      <c r="AM933" s="140">
        <f t="shared" si="205"/>
        <v>0</v>
      </c>
      <c r="AN933" s="140">
        <f t="shared" si="206"/>
        <v>0</v>
      </c>
      <c r="AO933" s="140">
        <f t="shared" si="207"/>
        <v>0</v>
      </c>
      <c r="AP933" s="140">
        <f t="shared" si="208"/>
        <v>0</v>
      </c>
    </row>
    <row r="934" spans="2:42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AC934" s="131">
        <f t="shared" si="196"/>
        <v>0</v>
      </c>
      <c r="AD934" s="131">
        <f t="shared" si="197"/>
        <v>0</v>
      </c>
      <c r="AE934" s="131">
        <f t="shared" si="198"/>
        <v>0</v>
      </c>
      <c r="AF934" s="131">
        <f t="shared" si="199"/>
        <v>0</v>
      </c>
      <c r="AG934" s="140">
        <f t="shared" si="200"/>
        <v>0</v>
      </c>
      <c r="AH934" s="140">
        <f t="shared" si="201"/>
        <v>0</v>
      </c>
      <c r="AI934" s="140">
        <f t="shared" si="202"/>
        <v>0</v>
      </c>
      <c r="AJ934" s="131">
        <f t="shared" si="203"/>
        <v>0</v>
      </c>
      <c r="AK934" s="131">
        <f t="shared" si="204"/>
        <v>0</v>
      </c>
      <c r="AL934" s="127">
        <f t="shared" si="209"/>
        <v>0</v>
      </c>
      <c r="AM934" s="140">
        <f t="shared" si="205"/>
        <v>0</v>
      </c>
      <c r="AN934" s="140">
        <f t="shared" si="206"/>
        <v>0</v>
      </c>
      <c r="AO934" s="140">
        <f t="shared" si="207"/>
        <v>0</v>
      </c>
      <c r="AP934" s="140">
        <f t="shared" si="208"/>
        <v>0</v>
      </c>
    </row>
    <row r="935" spans="2:42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AC935" s="131">
        <f t="shared" si="196"/>
        <v>0</v>
      </c>
      <c r="AD935" s="131">
        <f t="shared" si="197"/>
        <v>0</v>
      </c>
      <c r="AE935" s="131">
        <f t="shared" si="198"/>
        <v>0</v>
      </c>
      <c r="AF935" s="131">
        <f t="shared" si="199"/>
        <v>0</v>
      </c>
      <c r="AG935" s="140">
        <f t="shared" si="200"/>
        <v>0</v>
      </c>
      <c r="AH935" s="140">
        <f t="shared" si="201"/>
        <v>0</v>
      </c>
      <c r="AI935" s="140">
        <f t="shared" si="202"/>
        <v>0</v>
      </c>
      <c r="AJ935" s="131">
        <f t="shared" si="203"/>
        <v>0</v>
      </c>
      <c r="AK935" s="131">
        <f t="shared" si="204"/>
        <v>0</v>
      </c>
      <c r="AL935" s="127">
        <f t="shared" si="209"/>
        <v>0</v>
      </c>
      <c r="AM935" s="140">
        <f t="shared" si="205"/>
        <v>0</v>
      </c>
      <c r="AN935" s="140">
        <f t="shared" si="206"/>
        <v>0</v>
      </c>
      <c r="AO935" s="140">
        <f t="shared" si="207"/>
        <v>0</v>
      </c>
      <c r="AP935" s="140">
        <f t="shared" si="208"/>
        <v>0</v>
      </c>
    </row>
    <row r="936" spans="2:42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AC936" s="131">
        <f t="shared" si="196"/>
        <v>0</v>
      </c>
      <c r="AD936" s="131">
        <f t="shared" si="197"/>
        <v>0</v>
      </c>
      <c r="AE936" s="131">
        <f t="shared" si="198"/>
        <v>0</v>
      </c>
      <c r="AF936" s="131">
        <f t="shared" si="199"/>
        <v>0</v>
      </c>
      <c r="AG936" s="140">
        <f t="shared" si="200"/>
        <v>0</v>
      </c>
      <c r="AH936" s="140">
        <f t="shared" si="201"/>
        <v>0</v>
      </c>
      <c r="AI936" s="140">
        <f t="shared" si="202"/>
        <v>0</v>
      </c>
      <c r="AJ936" s="131">
        <f t="shared" si="203"/>
        <v>0</v>
      </c>
      <c r="AK936" s="131">
        <f t="shared" si="204"/>
        <v>0</v>
      </c>
      <c r="AL936" s="127">
        <f t="shared" si="209"/>
        <v>0</v>
      </c>
      <c r="AM936" s="140">
        <f t="shared" si="205"/>
        <v>0</v>
      </c>
      <c r="AN936" s="140">
        <f t="shared" si="206"/>
        <v>0</v>
      </c>
      <c r="AO936" s="140">
        <f t="shared" si="207"/>
        <v>0</v>
      </c>
      <c r="AP936" s="140">
        <f t="shared" si="208"/>
        <v>0</v>
      </c>
    </row>
    <row r="937" spans="2:42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AC937" s="131">
        <f t="shared" si="196"/>
        <v>0</v>
      </c>
      <c r="AD937" s="131">
        <f t="shared" si="197"/>
        <v>0</v>
      </c>
      <c r="AE937" s="131">
        <f t="shared" si="198"/>
        <v>0</v>
      </c>
      <c r="AF937" s="131">
        <f t="shared" si="199"/>
        <v>0</v>
      </c>
      <c r="AG937" s="140">
        <f t="shared" si="200"/>
        <v>0</v>
      </c>
      <c r="AH937" s="140">
        <f t="shared" si="201"/>
        <v>0</v>
      </c>
      <c r="AI937" s="140">
        <f t="shared" si="202"/>
        <v>0</v>
      </c>
      <c r="AJ937" s="131">
        <f t="shared" si="203"/>
        <v>0</v>
      </c>
      <c r="AK937" s="131">
        <f t="shared" si="204"/>
        <v>0</v>
      </c>
      <c r="AL937" s="127">
        <f t="shared" si="209"/>
        <v>0</v>
      </c>
      <c r="AM937" s="140">
        <f t="shared" si="205"/>
        <v>0</v>
      </c>
      <c r="AN937" s="140">
        <f t="shared" si="206"/>
        <v>0</v>
      </c>
      <c r="AO937" s="140">
        <f t="shared" si="207"/>
        <v>0</v>
      </c>
      <c r="AP937" s="140">
        <f t="shared" si="208"/>
        <v>0</v>
      </c>
    </row>
    <row r="938" spans="2:42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AC938" s="131">
        <f t="shared" si="196"/>
        <v>0</v>
      </c>
      <c r="AD938" s="131">
        <f t="shared" si="197"/>
        <v>0</v>
      </c>
      <c r="AE938" s="131">
        <f t="shared" si="198"/>
        <v>0</v>
      </c>
      <c r="AF938" s="131">
        <f t="shared" si="199"/>
        <v>0</v>
      </c>
      <c r="AG938" s="140">
        <f t="shared" si="200"/>
        <v>0</v>
      </c>
      <c r="AH938" s="140">
        <f t="shared" si="201"/>
        <v>0</v>
      </c>
      <c r="AI938" s="140">
        <f t="shared" si="202"/>
        <v>0</v>
      </c>
      <c r="AJ938" s="131">
        <f t="shared" si="203"/>
        <v>0</v>
      </c>
      <c r="AK938" s="131">
        <f t="shared" si="204"/>
        <v>0</v>
      </c>
      <c r="AL938" s="127">
        <f t="shared" si="209"/>
        <v>0</v>
      </c>
      <c r="AM938" s="140">
        <f t="shared" si="205"/>
        <v>0</v>
      </c>
      <c r="AN938" s="140">
        <f t="shared" si="206"/>
        <v>0</v>
      </c>
      <c r="AO938" s="140">
        <f t="shared" si="207"/>
        <v>0</v>
      </c>
      <c r="AP938" s="140">
        <f t="shared" si="208"/>
        <v>0</v>
      </c>
    </row>
    <row r="939" spans="2:42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AC939" s="131">
        <f t="shared" si="196"/>
        <v>0</v>
      </c>
      <c r="AD939" s="131">
        <f t="shared" si="197"/>
        <v>0</v>
      </c>
      <c r="AE939" s="131">
        <f t="shared" si="198"/>
        <v>0</v>
      </c>
      <c r="AF939" s="131">
        <f t="shared" si="199"/>
        <v>0</v>
      </c>
      <c r="AG939" s="140">
        <f t="shared" si="200"/>
        <v>0</v>
      </c>
      <c r="AH939" s="140">
        <f t="shared" si="201"/>
        <v>0</v>
      </c>
      <c r="AI939" s="140">
        <f t="shared" si="202"/>
        <v>0</v>
      </c>
      <c r="AJ939" s="131">
        <f t="shared" si="203"/>
        <v>0</v>
      </c>
      <c r="AK939" s="131">
        <f t="shared" si="204"/>
        <v>0</v>
      </c>
      <c r="AL939" s="127">
        <f t="shared" si="209"/>
        <v>0</v>
      </c>
      <c r="AM939" s="140">
        <f t="shared" si="205"/>
        <v>0</v>
      </c>
      <c r="AN939" s="140">
        <f t="shared" si="206"/>
        <v>0</v>
      </c>
      <c r="AO939" s="140">
        <f t="shared" si="207"/>
        <v>0</v>
      </c>
      <c r="AP939" s="140">
        <f t="shared" si="208"/>
        <v>0</v>
      </c>
    </row>
    <row r="940" spans="2:42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AC940" s="131">
        <f t="shared" si="196"/>
        <v>0</v>
      </c>
      <c r="AD940" s="131">
        <f t="shared" si="197"/>
        <v>0</v>
      </c>
      <c r="AE940" s="131">
        <f t="shared" si="198"/>
        <v>0</v>
      </c>
      <c r="AF940" s="131">
        <f t="shared" si="199"/>
        <v>0</v>
      </c>
      <c r="AG940" s="140">
        <f t="shared" si="200"/>
        <v>0</v>
      </c>
      <c r="AH940" s="140">
        <f t="shared" si="201"/>
        <v>0</v>
      </c>
      <c r="AI940" s="140">
        <f t="shared" si="202"/>
        <v>0</v>
      </c>
      <c r="AJ940" s="131">
        <f t="shared" si="203"/>
        <v>0</v>
      </c>
      <c r="AK940" s="131">
        <f t="shared" si="204"/>
        <v>0</v>
      </c>
      <c r="AL940" s="127">
        <f t="shared" si="209"/>
        <v>0</v>
      </c>
      <c r="AM940" s="140">
        <f t="shared" si="205"/>
        <v>0</v>
      </c>
      <c r="AN940" s="140">
        <f t="shared" si="206"/>
        <v>0</v>
      </c>
      <c r="AO940" s="140">
        <f t="shared" si="207"/>
        <v>0</v>
      </c>
      <c r="AP940" s="140">
        <f t="shared" si="208"/>
        <v>0</v>
      </c>
    </row>
    <row r="941" spans="2:42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AC941" s="131">
        <f t="shared" si="196"/>
        <v>0</v>
      </c>
      <c r="AD941" s="131">
        <f t="shared" si="197"/>
        <v>0</v>
      </c>
      <c r="AE941" s="131">
        <f t="shared" si="198"/>
        <v>0</v>
      </c>
      <c r="AF941" s="131">
        <f t="shared" si="199"/>
        <v>0</v>
      </c>
      <c r="AG941" s="140">
        <f t="shared" si="200"/>
        <v>0</v>
      </c>
      <c r="AH941" s="140">
        <f t="shared" si="201"/>
        <v>0</v>
      </c>
      <c r="AI941" s="140">
        <f t="shared" si="202"/>
        <v>0</v>
      </c>
      <c r="AJ941" s="131">
        <f t="shared" si="203"/>
        <v>0</v>
      </c>
      <c r="AK941" s="131">
        <f t="shared" si="204"/>
        <v>0</v>
      </c>
      <c r="AL941" s="127">
        <f t="shared" si="209"/>
        <v>0</v>
      </c>
      <c r="AM941" s="140">
        <f t="shared" si="205"/>
        <v>0</v>
      </c>
      <c r="AN941" s="140">
        <f t="shared" si="206"/>
        <v>0</v>
      </c>
      <c r="AO941" s="140">
        <f t="shared" si="207"/>
        <v>0</v>
      </c>
      <c r="AP941" s="140">
        <f t="shared" si="208"/>
        <v>0</v>
      </c>
    </row>
    <row r="942" spans="2:42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AC942" s="131">
        <f t="shared" si="196"/>
        <v>0</v>
      </c>
      <c r="AD942" s="131">
        <f t="shared" si="197"/>
        <v>0</v>
      </c>
      <c r="AE942" s="131">
        <f t="shared" si="198"/>
        <v>0</v>
      </c>
      <c r="AF942" s="131">
        <f t="shared" si="199"/>
        <v>0</v>
      </c>
      <c r="AG942" s="140">
        <f t="shared" si="200"/>
        <v>0</v>
      </c>
      <c r="AH942" s="140">
        <f t="shared" si="201"/>
        <v>0</v>
      </c>
      <c r="AI942" s="140">
        <f t="shared" si="202"/>
        <v>0</v>
      </c>
      <c r="AJ942" s="131">
        <f t="shared" si="203"/>
        <v>0</v>
      </c>
      <c r="AK942" s="131">
        <f t="shared" si="204"/>
        <v>0</v>
      </c>
      <c r="AL942" s="127">
        <f t="shared" si="209"/>
        <v>0</v>
      </c>
      <c r="AM942" s="140">
        <f t="shared" si="205"/>
        <v>0</v>
      </c>
      <c r="AN942" s="140">
        <f t="shared" si="206"/>
        <v>0</v>
      </c>
      <c r="AO942" s="140">
        <f t="shared" si="207"/>
        <v>0</v>
      </c>
      <c r="AP942" s="140">
        <f t="shared" si="208"/>
        <v>0</v>
      </c>
    </row>
    <row r="943" spans="2:42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AC943" s="131">
        <f t="shared" si="196"/>
        <v>0</v>
      </c>
      <c r="AD943" s="131">
        <f t="shared" si="197"/>
        <v>0</v>
      </c>
      <c r="AE943" s="131">
        <f t="shared" si="198"/>
        <v>0</v>
      </c>
      <c r="AF943" s="131">
        <f t="shared" si="199"/>
        <v>0</v>
      </c>
      <c r="AG943" s="140">
        <f t="shared" si="200"/>
        <v>0</v>
      </c>
      <c r="AH943" s="140">
        <f t="shared" si="201"/>
        <v>0</v>
      </c>
      <c r="AI943" s="140">
        <f t="shared" si="202"/>
        <v>0</v>
      </c>
      <c r="AJ943" s="131">
        <f t="shared" si="203"/>
        <v>0</v>
      </c>
      <c r="AK943" s="131">
        <f t="shared" si="204"/>
        <v>0</v>
      </c>
      <c r="AL943" s="127">
        <f t="shared" si="209"/>
        <v>0</v>
      </c>
      <c r="AM943" s="140">
        <f t="shared" si="205"/>
        <v>0</v>
      </c>
      <c r="AN943" s="140">
        <f t="shared" si="206"/>
        <v>0</v>
      </c>
      <c r="AO943" s="140">
        <f t="shared" si="207"/>
        <v>0</v>
      </c>
      <c r="AP943" s="140">
        <f t="shared" si="208"/>
        <v>0</v>
      </c>
    </row>
    <row r="944" spans="2:42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AC944" s="131">
        <f t="shared" si="196"/>
        <v>0</v>
      </c>
      <c r="AD944" s="131">
        <f t="shared" si="197"/>
        <v>0</v>
      </c>
      <c r="AE944" s="131">
        <f t="shared" si="198"/>
        <v>0</v>
      </c>
      <c r="AF944" s="131">
        <f t="shared" si="199"/>
        <v>0</v>
      </c>
      <c r="AG944" s="140">
        <f t="shared" si="200"/>
        <v>0</v>
      </c>
      <c r="AH944" s="140">
        <f t="shared" si="201"/>
        <v>0</v>
      </c>
      <c r="AI944" s="140">
        <f t="shared" si="202"/>
        <v>0</v>
      </c>
      <c r="AJ944" s="131">
        <f t="shared" si="203"/>
        <v>0</v>
      </c>
      <c r="AK944" s="131">
        <f t="shared" si="204"/>
        <v>0</v>
      </c>
      <c r="AL944" s="127">
        <f t="shared" si="209"/>
        <v>0</v>
      </c>
      <c r="AM944" s="140">
        <f t="shared" si="205"/>
        <v>0</v>
      </c>
      <c r="AN944" s="140">
        <f t="shared" si="206"/>
        <v>0</v>
      </c>
      <c r="AO944" s="140">
        <f t="shared" si="207"/>
        <v>0</v>
      </c>
      <c r="AP944" s="140">
        <f t="shared" si="208"/>
        <v>0</v>
      </c>
    </row>
    <row r="945" spans="2:42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AC945" s="131">
        <f t="shared" si="196"/>
        <v>0</v>
      </c>
      <c r="AD945" s="131">
        <f t="shared" si="197"/>
        <v>0</v>
      </c>
      <c r="AE945" s="131">
        <f t="shared" si="198"/>
        <v>0</v>
      </c>
      <c r="AF945" s="131">
        <f t="shared" si="199"/>
        <v>0</v>
      </c>
      <c r="AG945" s="140">
        <f t="shared" si="200"/>
        <v>0</v>
      </c>
      <c r="AH945" s="140">
        <f t="shared" si="201"/>
        <v>0</v>
      </c>
      <c r="AI945" s="140">
        <f t="shared" si="202"/>
        <v>0</v>
      </c>
      <c r="AJ945" s="131">
        <f t="shared" si="203"/>
        <v>0</v>
      </c>
      <c r="AK945" s="131">
        <f t="shared" si="204"/>
        <v>0</v>
      </c>
      <c r="AL945" s="127">
        <f t="shared" si="209"/>
        <v>0</v>
      </c>
      <c r="AM945" s="140">
        <f t="shared" si="205"/>
        <v>0</v>
      </c>
      <c r="AN945" s="140">
        <f t="shared" si="206"/>
        <v>0</v>
      </c>
      <c r="AO945" s="140">
        <f t="shared" si="207"/>
        <v>0</v>
      </c>
      <c r="AP945" s="140">
        <f t="shared" si="208"/>
        <v>0</v>
      </c>
    </row>
    <row r="946" spans="2:42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AC946" s="131">
        <f t="shared" si="196"/>
        <v>0</v>
      </c>
      <c r="AD946" s="131">
        <f t="shared" si="197"/>
        <v>0</v>
      </c>
      <c r="AE946" s="131">
        <f t="shared" si="198"/>
        <v>0</v>
      </c>
      <c r="AF946" s="131">
        <f t="shared" si="199"/>
        <v>0</v>
      </c>
      <c r="AG946" s="140">
        <f t="shared" si="200"/>
        <v>0</v>
      </c>
      <c r="AH946" s="140">
        <f t="shared" si="201"/>
        <v>0</v>
      </c>
      <c r="AI946" s="140">
        <f t="shared" si="202"/>
        <v>0</v>
      </c>
      <c r="AJ946" s="131">
        <f t="shared" si="203"/>
        <v>0</v>
      </c>
      <c r="AK946" s="131">
        <f t="shared" si="204"/>
        <v>0</v>
      </c>
      <c r="AL946" s="127">
        <f t="shared" si="209"/>
        <v>0</v>
      </c>
      <c r="AM946" s="140">
        <f t="shared" si="205"/>
        <v>0</v>
      </c>
      <c r="AN946" s="140">
        <f t="shared" si="206"/>
        <v>0</v>
      </c>
      <c r="AO946" s="140">
        <f t="shared" si="207"/>
        <v>0</v>
      </c>
      <c r="AP946" s="140">
        <f t="shared" si="208"/>
        <v>0</v>
      </c>
    </row>
    <row r="947" spans="2:42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AC947" s="131">
        <f t="shared" si="196"/>
        <v>0</v>
      </c>
      <c r="AD947" s="131">
        <f t="shared" si="197"/>
        <v>0</v>
      </c>
      <c r="AE947" s="131">
        <f t="shared" si="198"/>
        <v>0</v>
      </c>
      <c r="AF947" s="131">
        <f t="shared" si="199"/>
        <v>0</v>
      </c>
      <c r="AG947" s="140">
        <f t="shared" si="200"/>
        <v>0</v>
      </c>
      <c r="AH947" s="140">
        <f t="shared" si="201"/>
        <v>0</v>
      </c>
      <c r="AI947" s="140">
        <f t="shared" si="202"/>
        <v>0</v>
      </c>
      <c r="AJ947" s="131">
        <f t="shared" si="203"/>
        <v>0</v>
      </c>
      <c r="AK947" s="131">
        <f t="shared" si="204"/>
        <v>0</v>
      </c>
      <c r="AL947" s="127">
        <f t="shared" si="209"/>
        <v>0</v>
      </c>
      <c r="AM947" s="140">
        <f t="shared" si="205"/>
        <v>0</v>
      </c>
      <c r="AN947" s="140">
        <f t="shared" si="206"/>
        <v>0</v>
      </c>
      <c r="AO947" s="140">
        <f t="shared" si="207"/>
        <v>0</v>
      </c>
      <c r="AP947" s="140">
        <f t="shared" si="208"/>
        <v>0</v>
      </c>
    </row>
    <row r="948" spans="2:42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AC948" s="131">
        <f t="shared" si="196"/>
        <v>0</v>
      </c>
      <c r="AD948" s="131">
        <f t="shared" si="197"/>
        <v>0</v>
      </c>
      <c r="AE948" s="131">
        <f t="shared" si="198"/>
        <v>0</v>
      </c>
      <c r="AF948" s="131">
        <f t="shared" si="199"/>
        <v>0</v>
      </c>
      <c r="AG948" s="140">
        <f t="shared" si="200"/>
        <v>0</v>
      </c>
      <c r="AH948" s="140">
        <f t="shared" si="201"/>
        <v>0</v>
      </c>
      <c r="AI948" s="140">
        <f t="shared" si="202"/>
        <v>0</v>
      </c>
      <c r="AJ948" s="131">
        <f t="shared" si="203"/>
        <v>0</v>
      </c>
      <c r="AK948" s="131">
        <f t="shared" si="204"/>
        <v>0</v>
      </c>
      <c r="AL948" s="127">
        <f t="shared" si="209"/>
        <v>0</v>
      </c>
      <c r="AM948" s="140">
        <f t="shared" si="205"/>
        <v>0</v>
      </c>
      <c r="AN948" s="140">
        <f t="shared" si="206"/>
        <v>0</v>
      </c>
      <c r="AO948" s="140">
        <f t="shared" si="207"/>
        <v>0</v>
      </c>
      <c r="AP948" s="140">
        <f t="shared" si="208"/>
        <v>0</v>
      </c>
    </row>
    <row r="949" spans="2:42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AC949" s="131">
        <f t="shared" si="196"/>
        <v>0</v>
      </c>
      <c r="AD949" s="131">
        <f t="shared" si="197"/>
        <v>0</v>
      </c>
      <c r="AE949" s="131">
        <f t="shared" si="198"/>
        <v>0</v>
      </c>
      <c r="AF949" s="131">
        <f t="shared" si="199"/>
        <v>0</v>
      </c>
      <c r="AG949" s="140">
        <f t="shared" si="200"/>
        <v>0</v>
      </c>
      <c r="AH949" s="140">
        <f t="shared" si="201"/>
        <v>0</v>
      </c>
      <c r="AI949" s="140">
        <f t="shared" si="202"/>
        <v>0</v>
      </c>
      <c r="AJ949" s="131">
        <f t="shared" si="203"/>
        <v>0</v>
      </c>
      <c r="AK949" s="131">
        <f t="shared" si="204"/>
        <v>0</v>
      </c>
      <c r="AL949" s="127">
        <f t="shared" si="209"/>
        <v>0</v>
      </c>
      <c r="AM949" s="140">
        <f t="shared" si="205"/>
        <v>0</v>
      </c>
      <c r="AN949" s="140">
        <f t="shared" si="206"/>
        <v>0</v>
      </c>
      <c r="AO949" s="140">
        <f t="shared" si="207"/>
        <v>0</v>
      </c>
      <c r="AP949" s="140">
        <f t="shared" si="208"/>
        <v>0</v>
      </c>
    </row>
    <row r="950" spans="2:42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AC950" s="131">
        <f t="shared" si="196"/>
        <v>0</v>
      </c>
      <c r="AD950" s="131">
        <f t="shared" si="197"/>
        <v>0</v>
      </c>
      <c r="AE950" s="131">
        <f t="shared" si="198"/>
        <v>0</v>
      </c>
      <c r="AF950" s="131">
        <f t="shared" si="199"/>
        <v>0</v>
      </c>
      <c r="AG950" s="140">
        <f t="shared" si="200"/>
        <v>0</v>
      </c>
      <c r="AH950" s="140">
        <f t="shared" si="201"/>
        <v>0</v>
      </c>
      <c r="AI950" s="140">
        <f t="shared" si="202"/>
        <v>0</v>
      </c>
      <c r="AJ950" s="131">
        <f t="shared" si="203"/>
        <v>0</v>
      </c>
      <c r="AK950" s="131">
        <f t="shared" si="204"/>
        <v>0</v>
      </c>
      <c r="AL950" s="127">
        <f t="shared" si="209"/>
        <v>0</v>
      </c>
      <c r="AM950" s="140">
        <f t="shared" si="205"/>
        <v>0</v>
      </c>
      <c r="AN950" s="140">
        <f t="shared" si="206"/>
        <v>0</v>
      </c>
      <c r="AO950" s="140">
        <f t="shared" si="207"/>
        <v>0</v>
      </c>
      <c r="AP950" s="140">
        <f t="shared" si="208"/>
        <v>0</v>
      </c>
    </row>
    <row r="951" spans="2:42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AC951" s="131">
        <f t="shared" si="196"/>
        <v>0</v>
      </c>
      <c r="AD951" s="131">
        <f t="shared" si="197"/>
        <v>0</v>
      </c>
      <c r="AE951" s="131">
        <f t="shared" si="198"/>
        <v>0</v>
      </c>
      <c r="AF951" s="131">
        <f t="shared" si="199"/>
        <v>0</v>
      </c>
      <c r="AG951" s="140">
        <f t="shared" si="200"/>
        <v>0</v>
      </c>
      <c r="AH951" s="140">
        <f t="shared" si="201"/>
        <v>0</v>
      </c>
      <c r="AI951" s="140">
        <f t="shared" si="202"/>
        <v>0</v>
      </c>
      <c r="AJ951" s="131">
        <f t="shared" si="203"/>
        <v>0</v>
      </c>
      <c r="AK951" s="131">
        <f t="shared" si="204"/>
        <v>0</v>
      </c>
      <c r="AL951" s="127">
        <f t="shared" si="209"/>
        <v>0</v>
      </c>
      <c r="AM951" s="140">
        <f t="shared" si="205"/>
        <v>0</v>
      </c>
      <c r="AN951" s="140">
        <f t="shared" si="206"/>
        <v>0</v>
      </c>
      <c r="AO951" s="140">
        <f t="shared" si="207"/>
        <v>0</v>
      </c>
      <c r="AP951" s="140">
        <f t="shared" si="208"/>
        <v>0</v>
      </c>
    </row>
    <row r="952" spans="2:42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AC952" s="131">
        <f t="shared" si="196"/>
        <v>0</v>
      </c>
      <c r="AD952" s="131">
        <f t="shared" si="197"/>
        <v>0</v>
      </c>
      <c r="AE952" s="131">
        <f t="shared" si="198"/>
        <v>0</v>
      </c>
      <c r="AF952" s="131">
        <f t="shared" si="199"/>
        <v>0</v>
      </c>
      <c r="AG952" s="140">
        <f t="shared" si="200"/>
        <v>0</v>
      </c>
      <c r="AH952" s="140">
        <f t="shared" si="201"/>
        <v>0</v>
      </c>
      <c r="AI952" s="140">
        <f t="shared" si="202"/>
        <v>0</v>
      </c>
      <c r="AJ952" s="131">
        <f t="shared" si="203"/>
        <v>0</v>
      </c>
      <c r="AK952" s="131">
        <f t="shared" si="204"/>
        <v>0</v>
      </c>
      <c r="AL952" s="127">
        <f t="shared" si="209"/>
        <v>0</v>
      </c>
      <c r="AM952" s="140">
        <f t="shared" si="205"/>
        <v>0</v>
      </c>
      <c r="AN952" s="140">
        <f t="shared" si="206"/>
        <v>0</v>
      </c>
      <c r="AO952" s="140">
        <f t="shared" si="207"/>
        <v>0</v>
      </c>
      <c r="AP952" s="140">
        <f t="shared" si="208"/>
        <v>0</v>
      </c>
    </row>
    <row r="953" spans="2:42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AC953" s="131">
        <f t="shared" si="196"/>
        <v>0</v>
      </c>
      <c r="AD953" s="131">
        <f t="shared" si="197"/>
        <v>0</v>
      </c>
      <c r="AE953" s="131">
        <f t="shared" si="198"/>
        <v>0</v>
      </c>
      <c r="AF953" s="131">
        <f t="shared" si="199"/>
        <v>0</v>
      </c>
      <c r="AG953" s="140">
        <f t="shared" si="200"/>
        <v>0</v>
      </c>
      <c r="AH953" s="140">
        <f t="shared" si="201"/>
        <v>0</v>
      </c>
      <c r="AI953" s="140">
        <f t="shared" si="202"/>
        <v>0</v>
      </c>
      <c r="AJ953" s="131">
        <f t="shared" si="203"/>
        <v>0</v>
      </c>
      <c r="AK953" s="131">
        <f t="shared" si="204"/>
        <v>0</v>
      </c>
      <c r="AL953" s="127">
        <f t="shared" si="209"/>
        <v>0</v>
      </c>
      <c r="AM953" s="140">
        <f t="shared" si="205"/>
        <v>0</v>
      </c>
      <c r="AN953" s="140">
        <f t="shared" si="206"/>
        <v>0</v>
      </c>
      <c r="AO953" s="140">
        <f t="shared" si="207"/>
        <v>0</v>
      </c>
      <c r="AP953" s="140">
        <f t="shared" si="208"/>
        <v>0</v>
      </c>
    </row>
    <row r="954" spans="2:42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AC954" s="131">
        <f t="shared" si="196"/>
        <v>0</v>
      </c>
      <c r="AD954" s="131">
        <f t="shared" si="197"/>
        <v>0</v>
      </c>
      <c r="AE954" s="131">
        <f t="shared" si="198"/>
        <v>0</v>
      </c>
      <c r="AF954" s="131">
        <f t="shared" si="199"/>
        <v>0</v>
      </c>
      <c r="AG954" s="140">
        <f t="shared" si="200"/>
        <v>0</v>
      </c>
      <c r="AH954" s="140">
        <f t="shared" si="201"/>
        <v>0</v>
      </c>
      <c r="AI954" s="140">
        <f t="shared" si="202"/>
        <v>0</v>
      </c>
      <c r="AJ954" s="131">
        <f t="shared" si="203"/>
        <v>0</v>
      </c>
      <c r="AK954" s="131">
        <f t="shared" si="204"/>
        <v>0</v>
      </c>
      <c r="AL954" s="127">
        <f t="shared" si="209"/>
        <v>0</v>
      </c>
      <c r="AM954" s="140">
        <f t="shared" si="205"/>
        <v>0</v>
      </c>
      <c r="AN954" s="140">
        <f t="shared" si="206"/>
        <v>0</v>
      </c>
      <c r="AO954" s="140">
        <f t="shared" si="207"/>
        <v>0</v>
      </c>
      <c r="AP954" s="140">
        <f t="shared" si="208"/>
        <v>0</v>
      </c>
    </row>
    <row r="955" spans="2:42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AC955" s="131">
        <f t="shared" ref="AC955:AC999" si="210">+H955</f>
        <v>0</v>
      </c>
      <c r="AD955" s="131">
        <f t="shared" ref="AD955:AD999" si="211">+I955</f>
        <v>0</v>
      </c>
      <c r="AE955" s="131">
        <f t="shared" ref="AE955:AE999" si="212">+J955</f>
        <v>0</v>
      </c>
      <c r="AF955" s="131">
        <f t="shared" ref="AF955:AF999" si="213">+K955</f>
        <v>0</v>
      </c>
      <c r="AG955" s="140">
        <f t="shared" ref="AG955:AG999" si="214">+G955</f>
        <v>0</v>
      </c>
      <c r="AH955" s="140">
        <f t="shared" ref="AH955:AH999" si="215">+L955</f>
        <v>0</v>
      </c>
      <c r="AI955" s="140">
        <f t="shared" ref="AI955:AI999" si="216">+M955</f>
        <v>0</v>
      </c>
      <c r="AJ955" s="131">
        <f t="shared" ref="AJ955:AJ999" si="217">+T955</f>
        <v>0</v>
      </c>
      <c r="AK955" s="131">
        <f t="shared" ref="AK955:AK999" si="218">+N955+O955</f>
        <v>0</v>
      </c>
      <c r="AL955" s="127">
        <f t="shared" si="209"/>
        <v>0</v>
      </c>
      <c r="AM955" s="140">
        <f t="shared" ref="AM955:AM999" si="219">+P955+R955</f>
        <v>0</v>
      </c>
      <c r="AN955" s="140">
        <f t="shared" ref="AN955:AN999" si="220">+Q955+S955</f>
        <v>0</v>
      </c>
      <c r="AO955" s="140">
        <f t="shared" ref="AO955:AO999" si="221">+U955</f>
        <v>0</v>
      </c>
      <c r="AP955" s="140">
        <f t="shared" ref="AP955:AP999" si="222">+AG955+AH955+AJ955-AK955-AM955-AO955</f>
        <v>0</v>
      </c>
    </row>
    <row r="956" spans="2:42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AC956" s="131">
        <f t="shared" si="210"/>
        <v>0</v>
      </c>
      <c r="AD956" s="131">
        <f t="shared" si="211"/>
        <v>0</v>
      </c>
      <c r="AE956" s="131">
        <f t="shared" si="212"/>
        <v>0</v>
      </c>
      <c r="AF956" s="131">
        <f t="shared" si="213"/>
        <v>0</v>
      </c>
      <c r="AG956" s="140">
        <f t="shared" si="214"/>
        <v>0</v>
      </c>
      <c r="AH956" s="140">
        <f t="shared" si="215"/>
        <v>0</v>
      </c>
      <c r="AI956" s="140">
        <f t="shared" si="216"/>
        <v>0</v>
      </c>
      <c r="AJ956" s="131">
        <f t="shared" si="217"/>
        <v>0</v>
      </c>
      <c r="AK956" s="131">
        <f t="shared" si="218"/>
        <v>0</v>
      </c>
      <c r="AL956" s="127">
        <f t="shared" si="209"/>
        <v>0</v>
      </c>
      <c r="AM956" s="140">
        <f t="shared" si="219"/>
        <v>0</v>
      </c>
      <c r="AN956" s="140">
        <f t="shared" si="220"/>
        <v>0</v>
      </c>
      <c r="AO956" s="140">
        <f t="shared" si="221"/>
        <v>0</v>
      </c>
      <c r="AP956" s="140">
        <f t="shared" si="222"/>
        <v>0</v>
      </c>
    </row>
    <row r="957" spans="2:42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AC957" s="131">
        <f t="shared" si="210"/>
        <v>0</v>
      </c>
      <c r="AD957" s="131">
        <f t="shared" si="211"/>
        <v>0</v>
      </c>
      <c r="AE957" s="131">
        <f t="shared" si="212"/>
        <v>0</v>
      </c>
      <c r="AF957" s="131">
        <f t="shared" si="213"/>
        <v>0</v>
      </c>
      <c r="AG957" s="140">
        <f t="shared" si="214"/>
        <v>0</v>
      </c>
      <c r="AH957" s="140">
        <f t="shared" si="215"/>
        <v>0</v>
      </c>
      <c r="AI957" s="140">
        <f t="shared" si="216"/>
        <v>0</v>
      </c>
      <c r="AJ957" s="131">
        <f t="shared" si="217"/>
        <v>0</v>
      </c>
      <c r="AK957" s="131">
        <f t="shared" si="218"/>
        <v>0</v>
      </c>
      <c r="AL957" s="127">
        <f t="shared" si="209"/>
        <v>0</v>
      </c>
      <c r="AM957" s="140">
        <f t="shared" si="219"/>
        <v>0</v>
      </c>
      <c r="AN957" s="140">
        <f t="shared" si="220"/>
        <v>0</v>
      </c>
      <c r="AO957" s="140">
        <f t="shared" si="221"/>
        <v>0</v>
      </c>
      <c r="AP957" s="140">
        <f t="shared" si="222"/>
        <v>0</v>
      </c>
    </row>
    <row r="958" spans="2:42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AC958" s="131">
        <f t="shared" si="210"/>
        <v>0</v>
      </c>
      <c r="AD958" s="131">
        <f t="shared" si="211"/>
        <v>0</v>
      </c>
      <c r="AE958" s="131">
        <f t="shared" si="212"/>
        <v>0</v>
      </c>
      <c r="AF958" s="131">
        <f t="shared" si="213"/>
        <v>0</v>
      </c>
      <c r="AG958" s="140">
        <f t="shared" si="214"/>
        <v>0</v>
      </c>
      <c r="AH958" s="140">
        <f t="shared" si="215"/>
        <v>0</v>
      </c>
      <c r="AI958" s="140">
        <f t="shared" si="216"/>
        <v>0</v>
      </c>
      <c r="AJ958" s="131">
        <f t="shared" si="217"/>
        <v>0</v>
      </c>
      <c r="AK958" s="131">
        <f t="shared" si="218"/>
        <v>0</v>
      </c>
      <c r="AL958" s="127">
        <f t="shared" si="209"/>
        <v>0</v>
      </c>
      <c r="AM958" s="140">
        <f t="shared" si="219"/>
        <v>0</v>
      </c>
      <c r="AN958" s="140">
        <f t="shared" si="220"/>
        <v>0</v>
      </c>
      <c r="AO958" s="140">
        <f t="shared" si="221"/>
        <v>0</v>
      </c>
      <c r="AP958" s="140">
        <f t="shared" si="222"/>
        <v>0</v>
      </c>
    </row>
    <row r="959" spans="2:42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AC959" s="131">
        <f t="shared" si="210"/>
        <v>0</v>
      </c>
      <c r="AD959" s="131">
        <f t="shared" si="211"/>
        <v>0</v>
      </c>
      <c r="AE959" s="131">
        <f t="shared" si="212"/>
        <v>0</v>
      </c>
      <c r="AF959" s="131">
        <f t="shared" si="213"/>
        <v>0</v>
      </c>
      <c r="AG959" s="140">
        <f t="shared" si="214"/>
        <v>0</v>
      </c>
      <c r="AH959" s="140">
        <f t="shared" si="215"/>
        <v>0</v>
      </c>
      <c r="AI959" s="140">
        <f t="shared" si="216"/>
        <v>0</v>
      </c>
      <c r="AJ959" s="131">
        <f t="shared" si="217"/>
        <v>0</v>
      </c>
      <c r="AK959" s="131">
        <f t="shared" si="218"/>
        <v>0</v>
      </c>
      <c r="AL959" s="127">
        <f t="shared" si="209"/>
        <v>0</v>
      </c>
      <c r="AM959" s="140">
        <f t="shared" si="219"/>
        <v>0</v>
      </c>
      <c r="AN959" s="140">
        <f t="shared" si="220"/>
        <v>0</v>
      </c>
      <c r="AO959" s="140">
        <f t="shared" si="221"/>
        <v>0</v>
      </c>
      <c r="AP959" s="140">
        <f t="shared" si="222"/>
        <v>0</v>
      </c>
    </row>
    <row r="960" spans="2:42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AC960" s="131">
        <f t="shared" si="210"/>
        <v>0</v>
      </c>
      <c r="AD960" s="131">
        <f t="shared" si="211"/>
        <v>0</v>
      </c>
      <c r="AE960" s="131">
        <f t="shared" si="212"/>
        <v>0</v>
      </c>
      <c r="AF960" s="131">
        <f t="shared" si="213"/>
        <v>0</v>
      </c>
      <c r="AG960" s="140">
        <f t="shared" si="214"/>
        <v>0</v>
      </c>
      <c r="AH960" s="140">
        <f t="shared" si="215"/>
        <v>0</v>
      </c>
      <c r="AI960" s="140">
        <f t="shared" si="216"/>
        <v>0</v>
      </c>
      <c r="AJ960" s="131">
        <f t="shared" si="217"/>
        <v>0</v>
      </c>
      <c r="AK960" s="131">
        <f t="shared" si="218"/>
        <v>0</v>
      </c>
      <c r="AL960" s="127">
        <f t="shared" si="209"/>
        <v>0</v>
      </c>
      <c r="AM960" s="140">
        <f t="shared" si="219"/>
        <v>0</v>
      </c>
      <c r="AN960" s="140">
        <f t="shared" si="220"/>
        <v>0</v>
      </c>
      <c r="AO960" s="140">
        <f t="shared" si="221"/>
        <v>0</v>
      </c>
      <c r="AP960" s="140">
        <f t="shared" si="222"/>
        <v>0</v>
      </c>
    </row>
    <row r="961" spans="2:42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AC961" s="131">
        <f t="shared" si="210"/>
        <v>0</v>
      </c>
      <c r="AD961" s="131">
        <f t="shared" si="211"/>
        <v>0</v>
      </c>
      <c r="AE961" s="131">
        <f t="shared" si="212"/>
        <v>0</v>
      </c>
      <c r="AF961" s="131">
        <f t="shared" si="213"/>
        <v>0</v>
      </c>
      <c r="AG961" s="140">
        <f t="shared" si="214"/>
        <v>0</v>
      </c>
      <c r="AH961" s="140">
        <f t="shared" si="215"/>
        <v>0</v>
      </c>
      <c r="AI961" s="140">
        <f t="shared" si="216"/>
        <v>0</v>
      </c>
      <c r="AJ961" s="131">
        <f t="shared" si="217"/>
        <v>0</v>
      </c>
      <c r="AK961" s="131">
        <f t="shared" si="218"/>
        <v>0</v>
      </c>
      <c r="AL961" s="127">
        <f t="shared" si="209"/>
        <v>0</v>
      </c>
      <c r="AM961" s="140">
        <f t="shared" si="219"/>
        <v>0</v>
      </c>
      <c r="AN961" s="140">
        <f t="shared" si="220"/>
        <v>0</v>
      </c>
      <c r="AO961" s="140">
        <f t="shared" si="221"/>
        <v>0</v>
      </c>
      <c r="AP961" s="140">
        <f t="shared" si="222"/>
        <v>0</v>
      </c>
    </row>
    <row r="962" spans="2:42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AC962" s="131">
        <f t="shared" si="210"/>
        <v>0</v>
      </c>
      <c r="AD962" s="131">
        <f t="shared" si="211"/>
        <v>0</v>
      </c>
      <c r="AE962" s="131">
        <f t="shared" si="212"/>
        <v>0</v>
      </c>
      <c r="AF962" s="131">
        <f t="shared" si="213"/>
        <v>0</v>
      </c>
      <c r="AG962" s="140">
        <f t="shared" si="214"/>
        <v>0</v>
      </c>
      <c r="AH962" s="140">
        <f t="shared" si="215"/>
        <v>0</v>
      </c>
      <c r="AI962" s="140">
        <f t="shared" si="216"/>
        <v>0</v>
      </c>
      <c r="AJ962" s="131">
        <f t="shared" si="217"/>
        <v>0</v>
      </c>
      <c r="AK962" s="131">
        <f t="shared" si="218"/>
        <v>0</v>
      </c>
      <c r="AL962" s="127">
        <f t="shared" si="209"/>
        <v>0</v>
      </c>
      <c r="AM962" s="140">
        <f t="shared" si="219"/>
        <v>0</v>
      </c>
      <c r="AN962" s="140">
        <f t="shared" si="220"/>
        <v>0</v>
      </c>
      <c r="AO962" s="140">
        <f t="shared" si="221"/>
        <v>0</v>
      </c>
      <c r="AP962" s="140">
        <f t="shared" si="222"/>
        <v>0</v>
      </c>
    </row>
    <row r="963" spans="2:42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AC963" s="131">
        <f t="shared" si="210"/>
        <v>0</v>
      </c>
      <c r="AD963" s="131">
        <f t="shared" si="211"/>
        <v>0</v>
      </c>
      <c r="AE963" s="131">
        <f t="shared" si="212"/>
        <v>0</v>
      </c>
      <c r="AF963" s="131">
        <f t="shared" si="213"/>
        <v>0</v>
      </c>
      <c r="AG963" s="140">
        <f t="shared" si="214"/>
        <v>0</v>
      </c>
      <c r="AH963" s="140">
        <f t="shared" si="215"/>
        <v>0</v>
      </c>
      <c r="AI963" s="140">
        <f t="shared" si="216"/>
        <v>0</v>
      </c>
      <c r="AJ963" s="131">
        <f t="shared" si="217"/>
        <v>0</v>
      </c>
      <c r="AK963" s="131">
        <f t="shared" si="218"/>
        <v>0</v>
      </c>
      <c r="AL963" s="127">
        <f t="shared" ref="AL963:AL999" si="223">ROUND(IFERROR(+AK963/AH963*100,0),2)</f>
        <v>0</v>
      </c>
      <c r="AM963" s="140">
        <f t="shared" si="219"/>
        <v>0</v>
      </c>
      <c r="AN963" s="140">
        <f t="shared" si="220"/>
        <v>0</v>
      </c>
      <c r="AO963" s="140">
        <f t="shared" si="221"/>
        <v>0</v>
      </c>
      <c r="AP963" s="140">
        <f t="shared" si="222"/>
        <v>0</v>
      </c>
    </row>
    <row r="964" spans="2:42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AC964" s="131">
        <f t="shared" si="210"/>
        <v>0</v>
      </c>
      <c r="AD964" s="131">
        <f t="shared" si="211"/>
        <v>0</v>
      </c>
      <c r="AE964" s="131">
        <f t="shared" si="212"/>
        <v>0</v>
      </c>
      <c r="AF964" s="131">
        <f t="shared" si="213"/>
        <v>0</v>
      </c>
      <c r="AG964" s="140">
        <f t="shared" si="214"/>
        <v>0</v>
      </c>
      <c r="AH964" s="140">
        <f t="shared" si="215"/>
        <v>0</v>
      </c>
      <c r="AI964" s="140">
        <f t="shared" si="216"/>
        <v>0</v>
      </c>
      <c r="AJ964" s="131">
        <f t="shared" si="217"/>
        <v>0</v>
      </c>
      <c r="AK964" s="131">
        <f t="shared" si="218"/>
        <v>0</v>
      </c>
      <c r="AL964" s="127">
        <f t="shared" si="223"/>
        <v>0</v>
      </c>
      <c r="AM964" s="140">
        <f t="shared" si="219"/>
        <v>0</v>
      </c>
      <c r="AN964" s="140">
        <f t="shared" si="220"/>
        <v>0</v>
      </c>
      <c r="AO964" s="140">
        <f t="shared" si="221"/>
        <v>0</v>
      </c>
      <c r="AP964" s="140">
        <f t="shared" si="222"/>
        <v>0</v>
      </c>
    </row>
    <row r="965" spans="2:42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AC965" s="131">
        <f t="shared" si="210"/>
        <v>0</v>
      </c>
      <c r="AD965" s="131">
        <f t="shared" si="211"/>
        <v>0</v>
      </c>
      <c r="AE965" s="131">
        <f t="shared" si="212"/>
        <v>0</v>
      </c>
      <c r="AF965" s="131">
        <f t="shared" si="213"/>
        <v>0</v>
      </c>
      <c r="AG965" s="140">
        <f t="shared" si="214"/>
        <v>0</v>
      </c>
      <c r="AH965" s="140">
        <f t="shared" si="215"/>
        <v>0</v>
      </c>
      <c r="AI965" s="140">
        <f t="shared" si="216"/>
        <v>0</v>
      </c>
      <c r="AJ965" s="131">
        <f t="shared" si="217"/>
        <v>0</v>
      </c>
      <c r="AK965" s="131">
        <f t="shared" si="218"/>
        <v>0</v>
      </c>
      <c r="AL965" s="127">
        <f t="shared" si="223"/>
        <v>0</v>
      </c>
      <c r="AM965" s="140">
        <f t="shared" si="219"/>
        <v>0</v>
      </c>
      <c r="AN965" s="140">
        <f t="shared" si="220"/>
        <v>0</v>
      </c>
      <c r="AO965" s="140">
        <f t="shared" si="221"/>
        <v>0</v>
      </c>
      <c r="AP965" s="140">
        <f t="shared" si="222"/>
        <v>0</v>
      </c>
    </row>
    <row r="966" spans="2:42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AC966" s="131">
        <f t="shared" si="210"/>
        <v>0</v>
      </c>
      <c r="AD966" s="131">
        <f t="shared" si="211"/>
        <v>0</v>
      </c>
      <c r="AE966" s="131">
        <f t="shared" si="212"/>
        <v>0</v>
      </c>
      <c r="AF966" s="131">
        <f t="shared" si="213"/>
        <v>0</v>
      </c>
      <c r="AG966" s="140">
        <f t="shared" si="214"/>
        <v>0</v>
      </c>
      <c r="AH966" s="140">
        <f t="shared" si="215"/>
        <v>0</v>
      </c>
      <c r="AI966" s="140">
        <f t="shared" si="216"/>
        <v>0</v>
      </c>
      <c r="AJ966" s="131">
        <f t="shared" si="217"/>
        <v>0</v>
      </c>
      <c r="AK966" s="131">
        <f t="shared" si="218"/>
        <v>0</v>
      </c>
      <c r="AL966" s="127">
        <f t="shared" si="223"/>
        <v>0</v>
      </c>
      <c r="AM966" s="140">
        <f t="shared" si="219"/>
        <v>0</v>
      </c>
      <c r="AN966" s="140">
        <f t="shared" si="220"/>
        <v>0</v>
      </c>
      <c r="AO966" s="140">
        <f t="shared" si="221"/>
        <v>0</v>
      </c>
      <c r="AP966" s="140">
        <f t="shared" si="222"/>
        <v>0</v>
      </c>
    </row>
    <row r="967" spans="2:42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AC967" s="131">
        <f t="shared" si="210"/>
        <v>0</v>
      </c>
      <c r="AD967" s="131">
        <f t="shared" si="211"/>
        <v>0</v>
      </c>
      <c r="AE967" s="131">
        <f t="shared" si="212"/>
        <v>0</v>
      </c>
      <c r="AF967" s="131">
        <f t="shared" si="213"/>
        <v>0</v>
      </c>
      <c r="AG967" s="140">
        <f t="shared" si="214"/>
        <v>0</v>
      </c>
      <c r="AH967" s="140">
        <f t="shared" si="215"/>
        <v>0</v>
      </c>
      <c r="AI967" s="140">
        <f t="shared" si="216"/>
        <v>0</v>
      </c>
      <c r="AJ967" s="131">
        <f t="shared" si="217"/>
        <v>0</v>
      </c>
      <c r="AK967" s="131">
        <f t="shared" si="218"/>
        <v>0</v>
      </c>
      <c r="AL967" s="127">
        <f t="shared" si="223"/>
        <v>0</v>
      </c>
      <c r="AM967" s="140">
        <f t="shared" si="219"/>
        <v>0</v>
      </c>
      <c r="AN967" s="140">
        <f t="shared" si="220"/>
        <v>0</v>
      </c>
      <c r="AO967" s="140">
        <f t="shared" si="221"/>
        <v>0</v>
      </c>
      <c r="AP967" s="140">
        <f t="shared" si="222"/>
        <v>0</v>
      </c>
    </row>
    <row r="968" spans="2:42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AC968" s="131">
        <f t="shared" si="210"/>
        <v>0</v>
      </c>
      <c r="AD968" s="131">
        <f t="shared" si="211"/>
        <v>0</v>
      </c>
      <c r="AE968" s="131">
        <f t="shared" si="212"/>
        <v>0</v>
      </c>
      <c r="AF968" s="131">
        <f t="shared" si="213"/>
        <v>0</v>
      </c>
      <c r="AG968" s="140">
        <f t="shared" si="214"/>
        <v>0</v>
      </c>
      <c r="AH968" s="140">
        <f t="shared" si="215"/>
        <v>0</v>
      </c>
      <c r="AI968" s="140">
        <f t="shared" si="216"/>
        <v>0</v>
      </c>
      <c r="AJ968" s="131">
        <f t="shared" si="217"/>
        <v>0</v>
      </c>
      <c r="AK968" s="131">
        <f t="shared" si="218"/>
        <v>0</v>
      </c>
      <c r="AL968" s="127">
        <f t="shared" si="223"/>
        <v>0</v>
      </c>
      <c r="AM968" s="140">
        <f t="shared" si="219"/>
        <v>0</v>
      </c>
      <c r="AN968" s="140">
        <f t="shared" si="220"/>
        <v>0</v>
      </c>
      <c r="AO968" s="140">
        <f t="shared" si="221"/>
        <v>0</v>
      </c>
      <c r="AP968" s="140">
        <f t="shared" si="222"/>
        <v>0</v>
      </c>
    </row>
    <row r="969" spans="2:42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AC969" s="131">
        <f t="shared" si="210"/>
        <v>0</v>
      </c>
      <c r="AD969" s="131">
        <f t="shared" si="211"/>
        <v>0</v>
      </c>
      <c r="AE969" s="131">
        <f t="shared" si="212"/>
        <v>0</v>
      </c>
      <c r="AF969" s="131">
        <f t="shared" si="213"/>
        <v>0</v>
      </c>
      <c r="AG969" s="140">
        <f t="shared" si="214"/>
        <v>0</v>
      </c>
      <c r="AH969" s="140">
        <f t="shared" si="215"/>
        <v>0</v>
      </c>
      <c r="AI969" s="140">
        <f t="shared" si="216"/>
        <v>0</v>
      </c>
      <c r="AJ969" s="131">
        <f t="shared" si="217"/>
        <v>0</v>
      </c>
      <c r="AK969" s="131">
        <f t="shared" si="218"/>
        <v>0</v>
      </c>
      <c r="AL969" s="127">
        <f t="shared" si="223"/>
        <v>0</v>
      </c>
      <c r="AM969" s="140">
        <f t="shared" si="219"/>
        <v>0</v>
      </c>
      <c r="AN969" s="140">
        <f t="shared" si="220"/>
        <v>0</v>
      </c>
      <c r="AO969" s="140">
        <f t="shared" si="221"/>
        <v>0</v>
      </c>
      <c r="AP969" s="140">
        <f t="shared" si="222"/>
        <v>0</v>
      </c>
    </row>
    <row r="970" spans="2:42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AC970" s="131">
        <f t="shared" si="210"/>
        <v>0</v>
      </c>
      <c r="AD970" s="131">
        <f t="shared" si="211"/>
        <v>0</v>
      </c>
      <c r="AE970" s="131">
        <f t="shared" si="212"/>
        <v>0</v>
      </c>
      <c r="AF970" s="131">
        <f t="shared" si="213"/>
        <v>0</v>
      </c>
      <c r="AG970" s="140">
        <f t="shared" si="214"/>
        <v>0</v>
      </c>
      <c r="AH970" s="140">
        <f t="shared" si="215"/>
        <v>0</v>
      </c>
      <c r="AI970" s="140">
        <f t="shared" si="216"/>
        <v>0</v>
      </c>
      <c r="AJ970" s="131">
        <f t="shared" si="217"/>
        <v>0</v>
      </c>
      <c r="AK970" s="131">
        <f t="shared" si="218"/>
        <v>0</v>
      </c>
      <c r="AL970" s="127">
        <f t="shared" si="223"/>
        <v>0</v>
      </c>
      <c r="AM970" s="140">
        <f t="shared" si="219"/>
        <v>0</v>
      </c>
      <c r="AN970" s="140">
        <f t="shared" si="220"/>
        <v>0</v>
      </c>
      <c r="AO970" s="140">
        <f t="shared" si="221"/>
        <v>0</v>
      </c>
      <c r="AP970" s="140">
        <f t="shared" si="222"/>
        <v>0</v>
      </c>
    </row>
    <row r="971" spans="2:42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AC971" s="131">
        <f t="shared" si="210"/>
        <v>0</v>
      </c>
      <c r="AD971" s="131">
        <f t="shared" si="211"/>
        <v>0</v>
      </c>
      <c r="AE971" s="131">
        <f t="shared" si="212"/>
        <v>0</v>
      </c>
      <c r="AF971" s="131">
        <f t="shared" si="213"/>
        <v>0</v>
      </c>
      <c r="AG971" s="140">
        <f t="shared" si="214"/>
        <v>0</v>
      </c>
      <c r="AH971" s="140">
        <f t="shared" si="215"/>
        <v>0</v>
      </c>
      <c r="AI971" s="140">
        <f t="shared" si="216"/>
        <v>0</v>
      </c>
      <c r="AJ971" s="131">
        <f t="shared" si="217"/>
        <v>0</v>
      </c>
      <c r="AK971" s="131">
        <f t="shared" si="218"/>
        <v>0</v>
      </c>
      <c r="AL971" s="127">
        <f t="shared" si="223"/>
        <v>0</v>
      </c>
      <c r="AM971" s="140">
        <f t="shared" si="219"/>
        <v>0</v>
      </c>
      <c r="AN971" s="140">
        <f t="shared" si="220"/>
        <v>0</v>
      </c>
      <c r="AO971" s="140">
        <f t="shared" si="221"/>
        <v>0</v>
      </c>
      <c r="AP971" s="140">
        <f t="shared" si="222"/>
        <v>0</v>
      </c>
    </row>
    <row r="972" spans="2:42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AC972" s="131">
        <f t="shared" si="210"/>
        <v>0</v>
      </c>
      <c r="AD972" s="131">
        <f t="shared" si="211"/>
        <v>0</v>
      </c>
      <c r="AE972" s="131">
        <f t="shared" si="212"/>
        <v>0</v>
      </c>
      <c r="AF972" s="131">
        <f t="shared" si="213"/>
        <v>0</v>
      </c>
      <c r="AG972" s="140">
        <f t="shared" si="214"/>
        <v>0</v>
      </c>
      <c r="AH972" s="140">
        <f t="shared" si="215"/>
        <v>0</v>
      </c>
      <c r="AI972" s="140">
        <f t="shared" si="216"/>
        <v>0</v>
      </c>
      <c r="AJ972" s="131">
        <f t="shared" si="217"/>
        <v>0</v>
      </c>
      <c r="AK972" s="131">
        <f t="shared" si="218"/>
        <v>0</v>
      </c>
      <c r="AL972" s="127">
        <f t="shared" si="223"/>
        <v>0</v>
      </c>
      <c r="AM972" s="140">
        <f t="shared" si="219"/>
        <v>0</v>
      </c>
      <c r="AN972" s="140">
        <f t="shared" si="220"/>
        <v>0</v>
      </c>
      <c r="AO972" s="140">
        <f t="shared" si="221"/>
        <v>0</v>
      </c>
      <c r="AP972" s="140">
        <f t="shared" si="222"/>
        <v>0</v>
      </c>
    </row>
    <row r="973" spans="2:42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AC973" s="131">
        <f t="shared" si="210"/>
        <v>0</v>
      </c>
      <c r="AD973" s="131">
        <f t="shared" si="211"/>
        <v>0</v>
      </c>
      <c r="AE973" s="131">
        <f t="shared" si="212"/>
        <v>0</v>
      </c>
      <c r="AF973" s="131">
        <f t="shared" si="213"/>
        <v>0</v>
      </c>
      <c r="AG973" s="140">
        <f t="shared" si="214"/>
        <v>0</v>
      </c>
      <c r="AH973" s="140">
        <f t="shared" si="215"/>
        <v>0</v>
      </c>
      <c r="AI973" s="140">
        <f t="shared" si="216"/>
        <v>0</v>
      </c>
      <c r="AJ973" s="131">
        <f t="shared" si="217"/>
        <v>0</v>
      </c>
      <c r="AK973" s="131">
        <f t="shared" si="218"/>
        <v>0</v>
      </c>
      <c r="AL973" s="127">
        <f t="shared" si="223"/>
        <v>0</v>
      </c>
      <c r="AM973" s="140">
        <f t="shared" si="219"/>
        <v>0</v>
      </c>
      <c r="AN973" s="140">
        <f t="shared" si="220"/>
        <v>0</v>
      </c>
      <c r="AO973" s="140">
        <f t="shared" si="221"/>
        <v>0</v>
      </c>
      <c r="AP973" s="140">
        <f t="shared" si="222"/>
        <v>0</v>
      </c>
    </row>
    <row r="974" spans="2:42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AC974" s="131">
        <f t="shared" si="210"/>
        <v>0</v>
      </c>
      <c r="AD974" s="131">
        <f t="shared" si="211"/>
        <v>0</v>
      </c>
      <c r="AE974" s="131">
        <f t="shared" si="212"/>
        <v>0</v>
      </c>
      <c r="AF974" s="131">
        <f t="shared" si="213"/>
        <v>0</v>
      </c>
      <c r="AG974" s="140">
        <f t="shared" si="214"/>
        <v>0</v>
      </c>
      <c r="AH974" s="140">
        <f t="shared" si="215"/>
        <v>0</v>
      </c>
      <c r="AI974" s="140">
        <f t="shared" si="216"/>
        <v>0</v>
      </c>
      <c r="AJ974" s="131">
        <f t="shared" si="217"/>
        <v>0</v>
      </c>
      <c r="AK974" s="131">
        <f t="shared" si="218"/>
        <v>0</v>
      </c>
      <c r="AL974" s="127">
        <f t="shared" si="223"/>
        <v>0</v>
      </c>
      <c r="AM974" s="140">
        <f t="shared" si="219"/>
        <v>0</v>
      </c>
      <c r="AN974" s="140">
        <f t="shared" si="220"/>
        <v>0</v>
      </c>
      <c r="AO974" s="140">
        <f t="shared" si="221"/>
        <v>0</v>
      </c>
      <c r="AP974" s="140">
        <f t="shared" si="222"/>
        <v>0</v>
      </c>
    </row>
    <row r="975" spans="2:42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AC975" s="131">
        <f t="shared" si="210"/>
        <v>0</v>
      </c>
      <c r="AD975" s="131">
        <f t="shared" si="211"/>
        <v>0</v>
      </c>
      <c r="AE975" s="131">
        <f t="shared" si="212"/>
        <v>0</v>
      </c>
      <c r="AF975" s="131">
        <f t="shared" si="213"/>
        <v>0</v>
      </c>
      <c r="AG975" s="140">
        <f t="shared" si="214"/>
        <v>0</v>
      </c>
      <c r="AH975" s="140">
        <f t="shared" si="215"/>
        <v>0</v>
      </c>
      <c r="AI975" s="140">
        <f t="shared" si="216"/>
        <v>0</v>
      </c>
      <c r="AJ975" s="131">
        <f t="shared" si="217"/>
        <v>0</v>
      </c>
      <c r="AK975" s="131">
        <f t="shared" si="218"/>
        <v>0</v>
      </c>
      <c r="AL975" s="127">
        <f t="shared" si="223"/>
        <v>0</v>
      </c>
      <c r="AM975" s="140">
        <f t="shared" si="219"/>
        <v>0</v>
      </c>
      <c r="AN975" s="140">
        <f t="shared" si="220"/>
        <v>0</v>
      </c>
      <c r="AO975" s="140">
        <f t="shared" si="221"/>
        <v>0</v>
      </c>
      <c r="AP975" s="140">
        <f t="shared" si="222"/>
        <v>0</v>
      </c>
    </row>
    <row r="976" spans="2:42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AC976" s="131">
        <f t="shared" si="210"/>
        <v>0</v>
      </c>
      <c r="AD976" s="131">
        <f t="shared" si="211"/>
        <v>0</v>
      </c>
      <c r="AE976" s="131">
        <f t="shared" si="212"/>
        <v>0</v>
      </c>
      <c r="AF976" s="131">
        <f t="shared" si="213"/>
        <v>0</v>
      </c>
      <c r="AG976" s="140">
        <f t="shared" si="214"/>
        <v>0</v>
      </c>
      <c r="AH976" s="140">
        <f t="shared" si="215"/>
        <v>0</v>
      </c>
      <c r="AI976" s="140">
        <f t="shared" si="216"/>
        <v>0</v>
      </c>
      <c r="AJ976" s="131">
        <f t="shared" si="217"/>
        <v>0</v>
      </c>
      <c r="AK976" s="131">
        <f t="shared" si="218"/>
        <v>0</v>
      </c>
      <c r="AL976" s="127">
        <f t="shared" si="223"/>
        <v>0</v>
      </c>
      <c r="AM976" s="140">
        <f t="shared" si="219"/>
        <v>0</v>
      </c>
      <c r="AN976" s="140">
        <f t="shared" si="220"/>
        <v>0</v>
      </c>
      <c r="AO976" s="140">
        <f t="shared" si="221"/>
        <v>0</v>
      </c>
      <c r="AP976" s="140">
        <f t="shared" si="222"/>
        <v>0</v>
      </c>
    </row>
    <row r="977" spans="2:42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AC977" s="131">
        <f t="shared" si="210"/>
        <v>0</v>
      </c>
      <c r="AD977" s="131">
        <f t="shared" si="211"/>
        <v>0</v>
      </c>
      <c r="AE977" s="131">
        <f t="shared" si="212"/>
        <v>0</v>
      </c>
      <c r="AF977" s="131">
        <f t="shared" si="213"/>
        <v>0</v>
      </c>
      <c r="AG977" s="140">
        <f t="shared" si="214"/>
        <v>0</v>
      </c>
      <c r="AH977" s="140">
        <f t="shared" si="215"/>
        <v>0</v>
      </c>
      <c r="AI977" s="140">
        <f t="shared" si="216"/>
        <v>0</v>
      </c>
      <c r="AJ977" s="131">
        <f t="shared" si="217"/>
        <v>0</v>
      </c>
      <c r="AK977" s="131">
        <f t="shared" si="218"/>
        <v>0</v>
      </c>
      <c r="AL977" s="127">
        <f t="shared" si="223"/>
        <v>0</v>
      </c>
      <c r="AM977" s="140">
        <f t="shared" si="219"/>
        <v>0</v>
      </c>
      <c r="AN977" s="140">
        <f t="shared" si="220"/>
        <v>0</v>
      </c>
      <c r="AO977" s="140">
        <f t="shared" si="221"/>
        <v>0</v>
      </c>
      <c r="AP977" s="140">
        <f t="shared" si="222"/>
        <v>0</v>
      </c>
    </row>
    <row r="978" spans="2:42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AC978" s="131">
        <f t="shared" si="210"/>
        <v>0</v>
      </c>
      <c r="AD978" s="131">
        <f t="shared" si="211"/>
        <v>0</v>
      </c>
      <c r="AE978" s="131">
        <f t="shared" si="212"/>
        <v>0</v>
      </c>
      <c r="AF978" s="131">
        <f t="shared" si="213"/>
        <v>0</v>
      </c>
      <c r="AG978" s="140">
        <f t="shared" si="214"/>
        <v>0</v>
      </c>
      <c r="AH978" s="140">
        <f t="shared" si="215"/>
        <v>0</v>
      </c>
      <c r="AI978" s="140">
        <f t="shared" si="216"/>
        <v>0</v>
      </c>
      <c r="AJ978" s="131">
        <f t="shared" si="217"/>
        <v>0</v>
      </c>
      <c r="AK978" s="131">
        <f t="shared" si="218"/>
        <v>0</v>
      </c>
      <c r="AL978" s="127">
        <f t="shared" si="223"/>
        <v>0</v>
      </c>
      <c r="AM978" s="140">
        <f t="shared" si="219"/>
        <v>0</v>
      </c>
      <c r="AN978" s="140">
        <f t="shared" si="220"/>
        <v>0</v>
      </c>
      <c r="AO978" s="140">
        <f t="shared" si="221"/>
        <v>0</v>
      </c>
      <c r="AP978" s="140">
        <f t="shared" si="222"/>
        <v>0</v>
      </c>
    </row>
    <row r="979" spans="2:42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AC979" s="131">
        <f t="shared" si="210"/>
        <v>0</v>
      </c>
      <c r="AD979" s="131">
        <f t="shared" si="211"/>
        <v>0</v>
      </c>
      <c r="AE979" s="131">
        <f t="shared" si="212"/>
        <v>0</v>
      </c>
      <c r="AF979" s="131">
        <f t="shared" si="213"/>
        <v>0</v>
      </c>
      <c r="AG979" s="140">
        <f t="shared" si="214"/>
        <v>0</v>
      </c>
      <c r="AH979" s="140">
        <f t="shared" si="215"/>
        <v>0</v>
      </c>
      <c r="AI979" s="140">
        <f t="shared" si="216"/>
        <v>0</v>
      </c>
      <c r="AJ979" s="131">
        <f t="shared" si="217"/>
        <v>0</v>
      </c>
      <c r="AK979" s="131">
        <f t="shared" si="218"/>
        <v>0</v>
      </c>
      <c r="AL979" s="127">
        <f t="shared" si="223"/>
        <v>0</v>
      </c>
      <c r="AM979" s="140">
        <f t="shared" si="219"/>
        <v>0</v>
      </c>
      <c r="AN979" s="140">
        <f t="shared" si="220"/>
        <v>0</v>
      </c>
      <c r="AO979" s="140">
        <f t="shared" si="221"/>
        <v>0</v>
      </c>
      <c r="AP979" s="140">
        <f t="shared" si="222"/>
        <v>0</v>
      </c>
    </row>
    <row r="980" spans="2:42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AC980" s="131">
        <f t="shared" si="210"/>
        <v>0</v>
      </c>
      <c r="AD980" s="131">
        <f t="shared" si="211"/>
        <v>0</v>
      </c>
      <c r="AE980" s="131">
        <f t="shared" si="212"/>
        <v>0</v>
      </c>
      <c r="AF980" s="131">
        <f t="shared" si="213"/>
        <v>0</v>
      </c>
      <c r="AG980" s="140">
        <f t="shared" si="214"/>
        <v>0</v>
      </c>
      <c r="AH980" s="140">
        <f t="shared" si="215"/>
        <v>0</v>
      </c>
      <c r="AI980" s="140">
        <f t="shared" si="216"/>
        <v>0</v>
      </c>
      <c r="AJ980" s="131">
        <f t="shared" si="217"/>
        <v>0</v>
      </c>
      <c r="AK980" s="131">
        <f t="shared" si="218"/>
        <v>0</v>
      </c>
      <c r="AL980" s="127">
        <f t="shared" si="223"/>
        <v>0</v>
      </c>
      <c r="AM980" s="140">
        <f t="shared" si="219"/>
        <v>0</v>
      </c>
      <c r="AN980" s="140">
        <f t="shared" si="220"/>
        <v>0</v>
      </c>
      <c r="AO980" s="140">
        <f t="shared" si="221"/>
        <v>0</v>
      </c>
      <c r="AP980" s="140">
        <f t="shared" si="222"/>
        <v>0</v>
      </c>
    </row>
    <row r="981" spans="2:42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AC981" s="131">
        <f t="shared" si="210"/>
        <v>0</v>
      </c>
      <c r="AD981" s="131">
        <f t="shared" si="211"/>
        <v>0</v>
      </c>
      <c r="AE981" s="131">
        <f t="shared" si="212"/>
        <v>0</v>
      </c>
      <c r="AF981" s="131">
        <f t="shared" si="213"/>
        <v>0</v>
      </c>
      <c r="AG981" s="140">
        <f t="shared" si="214"/>
        <v>0</v>
      </c>
      <c r="AH981" s="140">
        <f t="shared" si="215"/>
        <v>0</v>
      </c>
      <c r="AI981" s="140">
        <f t="shared" si="216"/>
        <v>0</v>
      </c>
      <c r="AJ981" s="131">
        <f t="shared" si="217"/>
        <v>0</v>
      </c>
      <c r="AK981" s="131">
        <f t="shared" si="218"/>
        <v>0</v>
      </c>
      <c r="AL981" s="127">
        <f t="shared" si="223"/>
        <v>0</v>
      </c>
      <c r="AM981" s="140">
        <f t="shared" si="219"/>
        <v>0</v>
      </c>
      <c r="AN981" s="140">
        <f t="shared" si="220"/>
        <v>0</v>
      </c>
      <c r="AO981" s="140">
        <f t="shared" si="221"/>
        <v>0</v>
      </c>
      <c r="AP981" s="140">
        <f t="shared" si="222"/>
        <v>0</v>
      </c>
    </row>
    <row r="982" spans="2:42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AC982" s="131">
        <f t="shared" si="210"/>
        <v>0</v>
      </c>
      <c r="AD982" s="131">
        <f t="shared" si="211"/>
        <v>0</v>
      </c>
      <c r="AE982" s="131">
        <f t="shared" si="212"/>
        <v>0</v>
      </c>
      <c r="AF982" s="131">
        <f t="shared" si="213"/>
        <v>0</v>
      </c>
      <c r="AG982" s="140">
        <f t="shared" si="214"/>
        <v>0</v>
      </c>
      <c r="AH982" s="140">
        <f t="shared" si="215"/>
        <v>0</v>
      </c>
      <c r="AI982" s="140">
        <f t="shared" si="216"/>
        <v>0</v>
      </c>
      <c r="AJ982" s="131">
        <f t="shared" si="217"/>
        <v>0</v>
      </c>
      <c r="AK982" s="131">
        <f t="shared" si="218"/>
        <v>0</v>
      </c>
      <c r="AL982" s="127">
        <f t="shared" si="223"/>
        <v>0</v>
      </c>
      <c r="AM982" s="140">
        <f t="shared" si="219"/>
        <v>0</v>
      </c>
      <c r="AN982" s="140">
        <f t="shared" si="220"/>
        <v>0</v>
      </c>
      <c r="AO982" s="140">
        <f t="shared" si="221"/>
        <v>0</v>
      </c>
      <c r="AP982" s="140">
        <f t="shared" si="222"/>
        <v>0</v>
      </c>
    </row>
    <row r="983" spans="2:42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AC983" s="131">
        <f t="shared" si="210"/>
        <v>0</v>
      </c>
      <c r="AD983" s="131">
        <f t="shared" si="211"/>
        <v>0</v>
      </c>
      <c r="AE983" s="131">
        <f t="shared" si="212"/>
        <v>0</v>
      </c>
      <c r="AF983" s="131">
        <f t="shared" si="213"/>
        <v>0</v>
      </c>
      <c r="AG983" s="140">
        <f t="shared" si="214"/>
        <v>0</v>
      </c>
      <c r="AH983" s="140">
        <f t="shared" si="215"/>
        <v>0</v>
      </c>
      <c r="AI983" s="140">
        <f t="shared" si="216"/>
        <v>0</v>
      </c>
      <c r="AJ983" s="131">
        <f t="shared" si="217"/>
        <v>0</v>
      </c>
      <c r="AK983" s="131">
        <f t="shared" si="218"/>
        <v>0</v>
      </c>
      <c r="AL983" s="127">
        <f t="shared" si="223"/>
        <v>0</v>
      </c>
      <c r="AM983" s="140">
        <f t="shared" si="219"/>
        <v>0</v>
      </c>
      <c r="AN983" s="140">
        <f t="shared" si="220"/>
        <v>0</v>
      </c>
      <c r="AO983" s="140">
        <f t="shared" si="221"/>
        <v>0</v>
      </c>
      <c r="AP983" s="140">
        <f t="shared" si="222"/>
        <v>0</v>
      </c>
    </row>
    <row r="984" spans="2:42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AC984" s="131">
        <f t="shared" si="210"/>
        <v>0</v>
      </c>
      <c r="AD984" s="131">
        <f t="shared" si="211"/>
        <v>0</v>
      </c>
      <c r="AE984" s="131">
        <f t="shared" si="212"/>
        <v>0</v>
      </c>
      <c r="AF984" s="131">
        <f t="shared" si="213"/>
        <v>0</v>
      </c>
      <c r="AG984" s="140">
        <f t="shared" si="214"/>
        <v>0</v>
      </c>
      <c r="AH984" s="140">
        <f t="shared" si="215"/>
        <v>0</v>
      </c>
      <c r="AI984" s="140">
        <f t="shared" si="216"/>
        <v>0</v>
      </c>
      <c r="AJ984" s="131">
        <f t="shared" si="217"/>
        <v>0</v>
      </c>
      <c r="AK984" s="131">
        <f t="shared" si="218"/>
        <v>0</v>
      </c>
      <c r="AL984" s="127">
        <f t="shared" si="223"/>
        <v>0</v>
      </c>
      <c r="AM984" s="140">
        <f t="shared" si="219"/>
        <v>0</v>
      </c>
      <c r="AN984" s="140">
        <f t="shared" si="220"/>
        <v>0</v>
      </c>
      <c r="AO984" s="140">
        <f t="shared" si="221"/>
        <v>0</v>
      </c>
      <c r="AP984" s="140">
        <f t="shared" si="222"/>
        <v>0</v>
      </c>
    </row>
    <row r="985" spans="2:42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AC985" s="131">
        <f t="shared" si="210"/>
        <v>0</v>
      </c>
      <c r="AD985" s="131">
        <f t="shared" si="211"/>
        <v>0</v>
      </c>
      <c r="AE985" s="131">
        <f t="shared" si="212"/>
        <v>0</v>
      </c>
      <c r="AF985" s="131">
        <f t="shared" si="213"/>
        <v>0</v>
      </c>
      <c r="AG985" s="140">
        <f t="shared" si="214"/>
        <v>0</v>
      </c>
      <c r="AH985" s="140">
        <f t="shared" si="215"/>
        <v>0</v>
      </c>
      <c r="AI985" s="140">
        <f t="shared" si="216"/>
        <v>0</v>
      </c>
      <c r="AJ985" s="131">
        <f t="shared" si="217"/>
        <v>0</v>
      </c>
      <c r="AK985" s="131">
        <f t="shared" si="218"/>
        <v>0</v>
      </c>
      <c r="AL985" s="127">
        <f t="shared" si="223"/>
        <v>0</v>
      </c>
      <c r="AM985" s="140">
        <f t="shared" si="219"/>
        <v>0</v>
      </c>
      <c r="AN985" s="140">
        <f t="shared" si="220"/>
        <v>0</v>
      </c>
      <c r="AO985" s="140">
        <f t="shared" si="221"/>
        <v>0</v>
      </c>
      <c r="AP985" s="140">
        <f t="shared" si="222"/>
        <v>0</v>
      </c>
    </row>
    <row r="986" spans="2:42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AC986" s="131">
        <f t="shared" si="210"/>
        <v>0</v>
      </c>
      <c r="AD986" s="131">
        <f t="shared" si="211"/>
        <v>0</v>
      </c>
      <c r="AE986" s="131">
        <f t="shared" si="212"/>
        <v>0</v>
      </c>
      <c r="AF986" s="131">
        <f t="shared" si="213"/>
        <v>0</v>
      </c>
      <c r="AG986" s="140">
        <f t="shared" si="214"/>
        <v>0</v>
      </c>
      <c r="AH986" s="140">
        <f t="shared" si="215"/>
        <v>0</v>
      </c>
      <c r="AI986" s="140">
        <f t="shared" si="216"/>
        <v>0</v>
      </c>
      <c r="AJ986" s="131">
        <f t="shared" si="217"/>
        <v>0</v>
      </c>
      <c r="AK986" s="131">
        <f t="shared" si="218"/>
        <v>0</v>
      </c>
      <c r="AL986" s="127">
        <f t="shared" si="223"/>
        <v>0</v>
      </c>
      <c r="AM986" s="140">
        <f t="shared" si="219"/>
        <v>0</v>
      </c>
      <c r="AN986" s="140">
        <f t="shared" si="220"/>
        <v>0</v>
      </c>
      <c r="AO986" s="140">
        <f t="shared" si="221"/>
        <v>0</v>
      </c>
      <c r="AP986" s="140">
        <f t="shared" si="222"/>
        <v>0</v>
      </c>
    </row>
    <row r="987" spans="2:42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AC987" s="131">
        <f t="shared" si="210"/>
        <v>0</v>
      </c>
      <c r="AD987" s="131">
        <f t="shared" si="211"/>
        <v>0</v>
      </c>
      <c r="AE987" s="131">
        <f t="shared" si="212"/>
        <v>0</v>
      </c>
      <c r="AF987" s="131">
        <f t="shared" si="213"/>
        <v>0</v>
      </c>
      <c r="AG987" s="140">
        <f t="shared" si="214"/>
        <v>0</v>
      </c>
      <c r="AH987" s="140">
        <f t="shared" si="215"/>
        <v>0</v>
      </c>
      <c r="AI987" s="140">
        <f t="shared" si="216"/>
        <v>0</v>
      </c>
      <c r="AJ987" s="131">
        <f t="shared" si="217"/>
        <v>0</v>
      </c>
      <c r="AK987" s="131">
        <f t="shared" si="218"/>
        <v>0</v>
      </c>
      <c r="AL987" s="127">
        <f t="shared" si="223"/>
        <v>0</v>
      </c>
      <c r="AM987" s="140">
        <f t="shared" si="219"/>
        <v>0</v>
      </c>
      <c r="AN987" s="140">
        <f t="shared" si="220"/>
        <v>0</v>
      </c>
      <c r="AO987" s="140">
        <f t="shared" si="221"/>
        <v>0</v>
      </c>
      <c r="AP987" s="140">
        <f t="shared" si="222"/>
        <v>0</v>
      </c>
    </row>
    <row r="988" spans="2:42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AC988" s="131">
        <f t="shared" si="210"/>
        <v>0</v>
      </c>
      <c r="AD988" s="131">
        <f t="shared" si="211"/>
        <v>0</v>
      </c>
      <c r="AE988" s="131">
        <f t="shared" si="212"/>
        <v>0</v>
      </c>
      <c r="AF988" s="131">
        <f t="shared" si="213"/>
        <v>0</v>
      </c>
      <c r="AG988" s="140">
        <f t="shared" si="214"/>
        <v>0</v>
      </c>
      <c r="AH988" s="140">
        <f t="shared" si="215"/>
        <v>0</v>
      </c>
      <c r="AI988" s="140">
        <f t="shared" si="216"/>
        <v>0</v>
      </c>
      <c r="AJ988" s="131">
        <f t="shared" si="217"/>
        <v>0</v>
      </c>
      <c r="AK988" s="131">
        <f t="shared" si="218"/>
        <v>0</v>
      </c>
      <c r="AL988" s="127">
        <f t="shared" si="223"/>
        <v>0</v>
      </c>
      <c r="AM988" s="140">
        <f t="shared" si="219"/>
        <v>0</v>
      </c>
      <c r="AN988" s="140">
        <f t="shared" si="220"/>
        <v>0</v>
      </c>
      <c r="AO988" s="140">
        <f t="shared" si="221"/>
        <v>0</v>
      </c>
      <c r="AP988" s="140">
        <f t="shared" si="222"/>
        <v>0</v>
      </c>
    </row>
    <row r="989" spans="2:42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AC989" s="131">
        <f t="shared" si="210"/>
        <v>0</v>
      </c>
      <c r="AD989" s="131">
        <f t="shared" si="211"/>
        <v>0</v>
      </c>
      <c r="AE989" s="131">
        <f t="shared" si="212"/>
        <v>0</v>
      </c>
      <c r="AF989" s="131">
        <f t="shared" si="213"/>
        <v>0</v>
      </c>
      <c r="AG989" s="140">
        <f t="shared" si="214"/>
        <v>0</v>
      </c>
      <c r="AH989" s="140">
        <f t="shared" si="215"/>
        <v>0</v>
      </c>
      <c r="AI989" s="140">
        <f t="shared" si="216"/>
        <v>0</v>
      </c>
      <c r="AJ989" s="131">
        <f t="shared" si="217"/>
        <v>0</v>
      </c>
      <c r="AK989" s="131">
        <f t="shared" si="218"/>
        <v>0</v>
      </c>
      <c r="AL989" s="127">
        <f t="shared" si="223"/>
        <v>0</v>
      </c>
      <c r="AM989" s="140">
        <f t="shared" si="219"/>
        <v>0</v>
      </c>
      <c r="AN989" s="140">
        <f t="shared" si="220"/>
        <v>0</v>
      </c>
      <c r="AO989" s="140">
        <f t="shared" si="221"/>
        <v>0</v>
      </c>
      <c r="AP989" s="140">
        <f t="shared" si="222"/>
        <v>0</v>
      </c>
    </row>
    <row r="990" spans="2:42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AC990" s="131">
        <f t="shared" si="210"/>
        <v>0</v>
      </c>
      <c r="AD990" s="131">
        <f t="shared" si="211"/>
        <v>0</v>
      </c>
      <c r="AE990" s="131">
        <f t="shared" si="212"/>
        <v>0</v>
      </c>
      <c r="AF990" s="131">
        <f t="shared" si="213"/>
        <v>0</v>
      </c>
      <c r="AG990" s="140">
        <f t="shared" si="214"/>
        <v>0</v>
      </c>
      <c r="AH990" s="140">
        <f t="shared" si="215"/>
        <v>0</v>
      </c>
      <c r="AI990" s="140">
        <f t="shared" si="216"/>
        <v>0</v>
      </c>
      <c r="AJ990" s="131">
        <f t="shared" si="217"/>
        <v>0</v>
      </c>
      <c r="AK990" s="131">
        <f t="shared" si="218"/>
        <v>0</v>
      </c>
      <c r="AL990" s="127">
        <f t="shared" si="223"/>
        <v>0</v>
      </c>
      <c r="AM990" s="140">
        <f t="shared" si="219"/>
        <v>0</v>
      </c>
      <c r="AN990" s="140">
        <f t="shared" si="220"/>
        <v>0</v>
      </c>
      <c r="AO990" s="140">
        <f t="shared" si="221"/>
        <v>0</v>
      </c>
      <c r="AP990" s="140">
        <f t="shared" si="222"/>
        <v>0</v>
      </c>
    </row>
    <row r="991" spans="2:42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AC991" s="131">
        <f t="shared" si="210"/>
        <v>0</v>
      </c>
      <c r="AD991" s="131">
        <f t="shared" si="211"/>
        <v>0</v>
      </c>
      <c r="AE991" s="131">
        <f t="shared" si="212"/>
        <v>0</v>
      </c>
      <c r="AF991" s="131">
        <f t="shared" si="213"/>
        <v>0</v>
      </c>
      <c r="AG991" s="140">
        <f t="shared" si="214"/>
        <v>0</v>
      </c>
      <c r="AH991" s="140">
        <f t="shared" si="215"/>
        <v>0</v>
      </c>
      <c r="AI991" s="140">
        <f t="shared" si="216"/>
        <v>0</v>
      </c>
      <c r="AJ991" s="131">
        <f t="shared" si="217"/>
        <v>0</v>
      </c>
      <c r="AK991" s="131">
        <f t="shared" si="218"/>
        <v>0</v>
      </c>
      <c r="AL991" s="127">
        <f t="shared" si="223"/>
        <v>0</v>
      </c>
      <c r="AM991" s="140">
        <f t="shared" si="219"/>
        <v>0</v>
      </c>
      <c r="AN991" s="140">
        <f t="shared" si="220"/>
        <v>0</v>
      </c>
      <c r="AO991" s="140">
        <f t="shared" si="221"/>
        <v>0</v>
      </c>
      <c r="AP991" s="140">
        <f t="shared" si="222"/>
        <v>0</v>
      </c>
    </row>
    <row r="992" spans="2:42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AC992" s="131">
        <f t="shared" si="210"/>
        <v>0</v>
      </c>
      <c r="AD992" s="131">
        <f t="shared" si="211"/>
        <v>0</v>
      </c>
      <c r="AE992" s="131">
        <f t="shared" si="212"/>
        <v>0</v>
      </c>
      <c r="AF992" s="131">
        <f t="shared" si="213"/>
        <v>0</v>
      </c>
      <c r="AG992" s="140">
        <f t="shared" si="214"/>
        <v>0</v>
      </c>
      <c r="AH992" s="140">
        <f t="shared" si="215"/>
        <v>0</v>
      </c>
      <c r="AI992" s="140">
        <f t="shared" si="216"/>
        <v>0</v>
      </c>
      <c r="AJ992" s="131">
        <f t="shared" si="217"/>
        <v>0</v>
      </c>
      <c r="AK992" s="131">
        <f t="shared" si="218"/>
        <v>0</v>
      </c>
      <c r="AL992" s="127">
        <f t="shared" si="223"/>
        <v>0</v>
      </c>
      <c r="AM992" s="140">
        <f t="shared" si="219"/>
        <v>0</v>
      </c>
      <c r="AN992" s="140">
        <f t="shared" si="220"/>
        <v>0</v>
      </c>
      <c r="AO992" s="140">
        <f t="shared" si="221"/>
        <v>0</v>
      </c>
      <c r="AP992" s="140">
        <f t="shared" si="222"/>
        <v>0</v>
      </c>
    </row>
    <row r="993" spans="2:42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AC993" s="131">
        <f t="shared" si="210"/>
        <v>0</v>
      </c>
      <c r="AD993" s="131">
        <f t="shared" si="211"/>
        <v>0</v>
      </c>
      <c r="AE993" s="131">
        <f t="shared" si="212"/>
        <v>0</v>
      </c>
      <c r="AF993" s="131">
        <f t="shared" si="213"/>
        <v>0</v>
      </c>
      <c r="AG993" s="140">
        <f t="shared" si="214"/>
        <v>0</v>
      </c>
      <c r="AH993" s="140">
        <f t="shared" si="215"/>
        <v>0</v>
      </c>
      <c r="AI993" s="140">
        <f t="shared" si="216"/>
        <v>0</v>
      </c>
      <c r="AJ993" s="131">
        <f t="shared" si="217"/>
        <v>0</v>
      </c>
      <c r="AK993" s="131">
        <f t="shared" si="218"/>
        <v>0</v>
      </c>
      <c r="AL993" s="127">
        <f t="shared" si="223"/>
        <v>0</v>
      </c>
      <c r="AM993" s="140">
        <f t="shared" si="219"/>
        <v>0</v>
      </c>
      <c r="AN993" s="140">
        <f t="shared" si="220"/>
        <v>0</v>
      </c>
      <c r="AO993" s="140">
        <f t="shared" si="221"/>
        <v>0</v>
      </c>
      <c r="AP993" s="140">
        <f t="shared" si="222"/>
        <v>0</v>
      </c>
    </row>
    <row r="994" spans="2:42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AC994" s="131">
        <f t="shared" si="210"/>
        <v>0</v>
      </c>
      <c r="AD994" s="131">
        <f t="shared" si="211"/>
        <v>0</v>
      </c>
      <c r="AE994" s="131">
        <f t="shared" si="212"/>
        <v>0</v>
      </c>
      <c r="AF994" s="131">
        <f t="shared" si="213"/>
        <v>0</v>
      </c>
      <c r="AG994" s="140">
        <f t="shared" si="214"/>
        <v>0</v>
      </c>
      <c r="AH994" s="140">
        <f t="shared" si="215"/>
        <v>0</v>
      </c>
      <c r="AI994" s="140">
        <f t="shared" si="216"/>
        <v>0</v>
      </c>
      <c r="AJ994" s="131">
        <f t="shared" si="217"/>
        <v>0</v>
      </c>
      <c r="AK994" s="131">
        <f t="shared" si="218"/>
        <v>0</v>
      </c>
      <c r="AL994" s="127">
        <f t="shared" si="223"/>
        <v>0</v>
      </c>
      <c r="AM994" s="140">
        <f t="shared" si="219"/>
        <v>0</v>
      </c>
      <c r="AN994" s="140">
        <f t="shared" si="220"/>
        <v>0</v>
      </c>
      <c r="AO994" s="140">
        <f t="shared" si="221"/>
        <v>0</v>
      </c>
      <c r="AP994" s="140">
        <f t="shared" si="222"/>
        <v>0</v>
      </c>
    </row>
    <row r="995" spans="2:42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AC995" s="131">
        <f t="shared" si="210"/>
        <v>0</v>
      </c>
      <c r="AD995" s="131">
        <f t="shared" si="211"/>
        <v>0</v>
      </c>
      <c r="AE995" s="131">
        <f t="shared" si="212"/>
        <v>0</v>
      </c>
      <c r="AF995" s="131">
        <f t="shared" si="213"/>
        <v>0</v>
      </c>
      <c r="AG995" s="140">
        <f t="shared" si="214"/>
        <v>0</v>
      </c>
      <c r="AH995" s="140">
        <f t="shared" si="215"/>
        <v>0</v>
      </c>
      <c r="AI995" s="140">
        <f t="shared" si="216"/>
        <v>0</v>
      </c>
      <c r="AJ995" s="131">
        <f t="shared" si="217"/>
        <v>0</v>
      </c>
      <c r="AK995" s="131">
        <f t="shared" si="218"/>
        <v>0</v>
      </c>
      <c r="AL995" s="127">
        <f t="shared" si="223"/>
        <v>0</v>
      </c>
      <c r="AM995" s="140">
        <f t="shared" si="219"/>
        <v>0</v>
      </c>
      <c r="AN995" s="140">
        <f t="shared" si="220"/>
        <v>0</v>
      </c>
      <c r="AO995" s="140">
        <f t="shared" si="221"/>
        <v>0</v>
      </c>
      <c r="AP995" s="140">
        <f t="shared" si="222"/>
        <v>0</v>
      </c>
    </row>
    <row r="996" spans="2:42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AC996" s="131">
        <f t="shared" si="210"/>
        <v>0</v>
      </c>
      <c r="AD996" s="131">
        <f t="shared" si="211"/>
        <v>0</v>
      </c>
      <c r="AE996" s="131">
        <f t="shared" si="212"/>
        <v>0</v>
      </c>
      <c r="AF996" s="131">
        <f t="shared" si="213"/>
        <v>0</v>
      </c>
      <c r="AG996" s="140">
        <f t="shared" si="214"/>
        <v>0</v>
      </c>
      <c r="AH996" s="140">
        <f t="shared" si="215"/>
        <v>0</v>
      </c>
      <c r="AI996" s="140">
        <f t="shared" si="216"/>
        <v>0</v>
      </c>
      <c r="AJ996" s="131">
        <f t="shared" si="217"/>
        <v>0</v>
      </c>
      <c r="AK996" s="131">
        <f t="shared" si="218"/>
        <v>0</v>
      </c>
      <c r="AL996" s="127">
        <f t="shared" si="223"/>
        <v>0</v>
      </c>
      <c r="AM996" s="140">
        <f t="shared" si="219"/>
        <v>0</v>
      </c>
      <c r="AN996" s="140">
        <f t="shared" si="220"/>
        <v>0</v>
      </c>
      <c r="AO996" s="140">
        <f t="shared" si="221"/>
        <v>0</v>
      </c>
      <c r="AP996" s="140">
        <f t="shared" si="222"/>
        <v>0</v>
      </c>
    </row>
    <row r="997" spans="2:42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AC997" s="131">
        <f t="shared" si="210"/>
        <v>0</v>
      </c>
      <c r="AD997" s="131">
        <f t="shared" si="211"/>
        <v>0</v>
      </c>
      <c r="AE997" s="131">
        <f t="shared" si="212"/>
        <v>0</v>
      </c>
      <c r="AF997" s="131">
        <f t="shared" si="213"/>
        <v>0</v>
      </c>
      <c r="AG997" s="140">
        <f t="shared" si="214"/>
        <v>0</v>
      </c>
      <c r="AH997" s="140">
        <f t="shared" si="215"/>
        <v>0</v>
      </c>
      <c r="AI997" s="140">
        <f t="shared" si="216"/>
        <v>0</v>
      </c>
      <c r="AJ997" s="131">
        <f t="shared" si="217"/>
        <v>0</v>
      </c>
      <c r="AK997" s="131">
        <f t="shared" si="218"/>
        <v>0</v>
      </c>
      <c r="AL997" s="127">
        <f t="shared" si="223"/>
        <v>0</v>
      </c>
      <c r="AM997" s="140">
        <f t="shared" si="219"/>
        <v>0</v>
      </c>
      <c r="AN997" s="140">
        <f t="shared" si="220"/>
        <v>0</v>
      </c>
      <c r="AO997" s="140">
        <f t="shared" si="221"/>
        <v>0</v>
      </c>
      <c r="AP997" s="140">
        <f t="shared" si="222"/>
        <v>0</v>
      </c>
    </row>
    <row r="998" spans="2:42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AC998" s="131">
        <f t="shared" si="210"/>
        <v>0</v>
      </c>
      <c r="AD998" s="131">
        <f t="shared" si="211"/>
        <v>0</v>
      </c>
      <c r="AE998" s="131">
        <f t="shared" si="212"/>
        <v>0</v>
      </c>
      <c r="AF998" s="131">
        <f t="shared" si="213"/>
        <v>0</v>
      </c>
      <c r="AG998" s="140">
        <f t="shared" si="214"/>
        <v>0</v>
      </c>
      <c r="AH998" s="140">
        <f t="shared" si="215"/>
        <v>0</v>
      </c>
      <c r="AI998" s="140">
        <f t="shared" si="216"/>
        <v>0</v>
      </c>
      <c r="AJ998" s="131">
        <f t="shared" si="217"/>
        <v>0</v>
      </c>
      <c r="AK998" s="131">
        <f t="shared" si="218"/>
        <v>0</v>
      </c>
      <c r="AL998" s="127">
        <f t="shared" si="223"/>
        <v>0</v>
      </c>
      <c r="AM998" s="140">
        <f t="shared" si="219"/>
        <v>0</v>
      </c>
      <c r="AN998" s="140">
        <f t="shared" si="220"/>
        <v>0</v>
      </c>
      <c r="AO998" s="140">
        <f t="shared" si="221"/>
        <v>0</v>
      </c>
      <c r="AP998" s="140">
        <f t="shared" si="222"/>
        <v>0</v>
      </c>
    </row>
    <row r="999" spans="2:42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AC999" s="131">
        <f t="shared" si="210"/>
        <v>0</v>
      </c>
      <c r="AD999" s="131">
        <f t="shared" si="211"/>
        <v>0</v>
      </c>
      <c r="AE999" s="131">
        <f t="shared" si="212"/>
        <v>0</v>
      </c>
      <c r="AF999" s="131">
        <f t="shared" si="213"/>
        <v>0</v>
      </c>
      <c r="AG999" s="140">
        <f t="shared" si="214"/>
        <v>0</v>
      </c>
      <c r="AH999" s="140">
        <f t="shared" si="215"/>
        <v>0</v>
      </c>
      <c r="AI999" s="140">
        <f t="shared" si="216"/>
        <v>0</v>
      </c>
      <c r="AJ999" s="131">
        <f t="shared" si="217"/>
        <v>0</v>
      </c>
      <c r="AK999" s="131">
        <f t="shared" si="218"/>
        <v>0</v>
      </c>
      <c r="AL999" s="127">
        <f t="shared" si="223"/>
        <v>0</v>
      </c>
      <c r="AM999" s="140">
        <f t="shared" si="219"/>
        <v>0</v>
      </c>
      <c r="AN999" s="140">
        <f t="shared" si="220"/>
        <v>0</v>
      </c>
      <c r="AO999" s="140">
        <f t="shared" si="221"/>
        <v>0</v>
      </c>
      <c r="AP999" s="140">
        <f t="shared" si="222"/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359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2720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Admin</cp:lastModifiedBy>
  <dcterms:created xsi:type="dcterms:W3CDTF">2023-03-22T04:08:45Z</dcterms:created>
  <dcterms:modified xsi:type="dcterms:W3CDTF">2025-02-27T03:43:09Z</dcterms:modified>
</cp:coreProperties>
</file>