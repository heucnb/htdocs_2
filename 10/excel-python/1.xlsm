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OnSave="0"/>
</workbook>
</file>

<file path=xl/calcChain.xml><?xml version="1.0" encoding="utf-8"?>
<calcChain xmlns="http://schemas.openxmlformats.org/spreadsheetml/2006/main">
  <c r="AB3" i="15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Q161" l="1"/>
  <c r="AQ29"/>
  <c r="AJ3"/>
  <c r="AJ169"/>
  <c r="AJ168"/>
  <c r="AJ167"/>
  <c r="AJ166"/>
  <c r="AJ165"/>
  <c r="AJ164"/>
  <c r="AJ163"/>
  <c r="AJ162"/>
  <c r="AQ157"/>
  <c r="AQ145"/>
  <c r="AQ225"/>
  <c r="AQ93"/>
  <c r="AQ221"/>
  <c r="AQ209"/>
  <c r="AQ129"/>
  <c r="AQ125"/>
  <c r="AJ113"/>
  <c r="AJ105"/>
  <c r="AJ104"/>
  <c r="AJ103"/>
  <c r="AJ102"/>
  <c r="AJ101"/>
  <c r="AJ100"/>
  <c r="AJ99"/>
  <c r="AJ98"/>
  <c r="AJ97"/>
  <c r="AQ193"/>
  <c r="AQ189"/>
  <c r="AJ249"/>
  <c r="AJ248"/>
  <c r="AJ247"/>
  <c r="AJ246"/>
  <c r="AQ237"/>
  <c r="AJ233"/>
  <c r="AQ233"/>
  <c r="AJ232"/>
  <c r="AJ231"/>
  <c r="AJ230"/>
  <c r="AJ229"/>
  <c r="AJ228"/>
  <c r="AJ227"/>
  <c r="AJ226"/>
  <c r="AQ241"/>
  <c r="AQ177"/>
  <c r="AQ77"/>
  <c r="AJ73"/>
  <c r="AJ72"/>
  <c r="AJ71"/>
  <c r="AJ70"/>
  <c r="AJ69"/>
  <c r="AJ68"/>
  <c r="AJ67"/>
  <c r="AJ66"/>
  <c r="AJ65"/>
  <c r="AJ64"/>
  <c r="AJ63"/>
  <c r="AJ62"/>
  <c r="AQ61"/>
  <c r="AJ57"/>
  <c r="AJ56"/>
  <c r="AJ55"/>
  <c r="AJ54"/>
  <c r="AJ53"/>
  <c r="AJ52"/>
  <c r="AJ51"/>
  <c r="AJ50"/>
  <c r="AJ49"/>
  <c r="AJ48"/>
  <c r="AJ47"/>
  <c r="AQ45"/>
  <c r="AJ41"/>
  <c r="AJ40"/>
  <c r="AJ39"/>
  <c r="AJ38"/>
  <c r="AJ37"/>
  <c r="AJ36"/>
  <c r="AJ35"/>
  <c r="AJ34"/>
  <c r="AJ33"/>
  <c r="AJ32"/>
  <c r="AJ31"/>
  <c r="AJ30"/>
  <c r="AQ173"/>
  <c r="AQ113"/>
  <c r="AQ109"/>
  <c r="AQ97"/>
  <c r="AQ205"/>
  <c r="AJ201"/>
  <c r="AJ200"/>
  <c r="AJ199"/>
  <c r="AJ198"/>
  <c r="AJ197"/>
  <c r="AJ196"/>
  <c r="AJ195"/>
  <c r="AJ194"/>
  <c r="AQ141"/>
  <c r="AJ137"/>
  <c r="AJ136"/>
  <c r="AJ135"/>
  <c r="AJ134"/>
  <c r="AJ133"/>
  <c r="AJ132"/>
  <c r="AJ131"/>
  <c r="AJ130"/>
  <c r="AQ13"/>
  <c r="AQ249"/>
  <c r="AJ245"/>
  <c r="AQ245"/>
  <c r="AJ244"/>
  <c r="AJ243"/>
  <c r="AQ243"/>
  <c r="AJ242"/>
  <c r="AJ217"/>
  <c r="AQ217"/>
  <c r="AJ216"/>
  <c r="AJ215"/>
  <c r="AJ214"/>
  <c r="AJ213"/>
  <c r="AQ213"/>
  <c r="AJ212"/>
  <c r="AJ211"/>
  <c r="AJ210"/>
  <c r="AJ185"/>
  <c r="AQ185"/>
  <c r="AJ184"/>
  <c r="AJ183"/>
  <c r="AJ182"/>
  <c r="AJ181"/>
  <c r="AQ181"/>
  <c r="AJ180"/>
  <c r="AJ179"/>
  <c r="AJ178"/>
  <c r="AJ153"/>
  <c r="AQ153"/>
  <c r="AJ152"/>
  <c r="AJ151"/>
  <c r="AJ150"/>
  <c r="AJ149"/>
  <c r="AQ149"/>
  <c r="AJ148"/>
  <c r="AJ147"/>
  <c r="AJ146"/>
  <c r="AJ121"/>
  <c r="AQ121"/>
  <c r="AJ120"/>
  <c r="AJ119"/>
  <c r="AJ118"/>
  <c r="AJ117"/>
  <c r="AQ117"/>
  <c r="AJ116"/>
  <c r="AJ115"/>
  <c r="AJ114"/>
  <c r="AJ89"/>
  <c r="AQ89"/>
  <c r="AJ88"/>
  <c r="AJ87"/>
  <c r="AJ86"/>
  <c r="AJ85"/>
  <c r="AQ85"/>
  <c r="AJ84"/>
  <c r="AJ83"/>
  <c r="AJ82"/>
  <c r="AJ81"/>
  <c r="AQ81"/>
  <c r="AJ80"/>
  <c r="AJ79"/>
  <c r="AJ25"/>
  <c r="AQ25"/>
  <c r="AJ24"/>
  <c r="AJ23"/>
  <c r="AJ22"/>
  <c r="AJ21"/>
  <c r="AQ21"/>
  <c r="AJ20"/>
  <c r="AJ19"/>
  <c r="AJ18"/>
  <c r="AJ17"/>
  <c r="AQ17"/>
  <c r="AJ16"/>
  <c r="AJ15"/>
  <c r="AJ14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J250"/>
  <c r="AQ250"/>
  <c r="AJ237"/>
  <c r="AJ236"/>
  <c r="AJ235"/>
  <c r="AQ235"/>
  <c r="AJ234"/>
  <c r="AJ221"/>
  <c r="AJ220"/>
  <c r="AJ219"/>
  <c r="AQ219"/>
  <c r="AJ218"/>
  <c r="AJ205"/>
  <c r="AJ204"/>
  <c r="AJ203"/>
  <c r="AQ203"/>
  <c r="AJ202"/>
  <c r="AJ189"/>
  <c r="AJ188"/>
  <c r="AJ187"/>
  <c r="AQ187"/>
  <c r="AJ186"/>
  <c r="AJ173"/>
  <c r="AJ172"/>
  <c r="AJ171"/>
  <c r="AQ171"/>
  <c r="AJ170"/>
  <c r="AJ157"/>
  <c r="AJ156"/>
  <c r="AJ155"/>
  <c r="AQ155"/>
  <c r="AJ154"/>
  <c r="AJ141"/>
  <c r="AJ140"/>
  <c r="AJ139"/>
  <c r="AQ139"/>
  <c r="AJ138"/>
  <c r="AJ125"/>
  <c r="AJ124"/>
  <c r="AJ123"/>
  <c r="AQ123"/>
  <c r="AJ122"/>
  <c r="AJ109"/>
  <c r="AJ108"/>
  <c r="AJ107"/>
  <c r="AQ107"/>
  <c r="AJ106"/>
  <c r="AJ93"/>
  <c r="AJ92"/>
  <c r="AJ91"/>
  <c r="AQ91"/>
  <c r="AJ90"/>
  <c r="AJ77"/>
  <c r="AJ76"/>
  <c r="AJ75"/>
  <c r="AQ75"/>
  <c r="AJ74"/>
  <c r="AJ61"/>
  <c r="AJ60"/>
  <c r="AJ59"/>
  <c r="AQ59"/>
  <c r="AJ58"/>
  <c r="AJ45"/>
  <c r="AJ44"/>
  <c r="AJ43"/>
  <c r="AQ43"/>
  <c r="AJ42"/>
  <c r="AJ29"/>
  <c r="AJ28"/>
  <c r="AJ27"/>
  <c r="AQ27"/>
  <c r="AJ26"/>
  <c r="AJ13"/>
  <c r="AJ12"/>
  <c r="AJ11"/>
  <c r="AQ11"/>
  <c r="AJ10"/>
  <c r="AJ9"/>
  <c r="AQ9"/>
  <c r="AJ8"/>
  <c r="AJ241"/>
  <c r="AJ240"/>
  <c r="AJ239"/>
  <c r="AQ239"/>
  <c r="AJ238"/>
  <c r="AJ225"/>
  <c r="AJ224"/>
  <c r="AJ223"/>
  <c r="AQ223"/>
  <c r="AJ222"/>
  <c r="AJ209"/>
  <c r="AJ208"/>
  <c r="AJ207"/>
  <c r="AQ207"/>
  <c r="AJ206"/>
  <c r="AJ193"/>
  <c r="AJ192"/>
  <c r="AJ191"/>
  <c r="AQ191"/>
  <c r="AJ190"/>
  <c r="AJ177"/>
  <c r="AJ176"/>
  <c r="AJ175"/>
  <c r="AQ175"/>
  <c r="AJ174"/>
  <c r="AJ161"/>
  <c r="AJ160"/>
  <c r="AJ159"/>
  <c r="AQ159"/>
  <c r="AJ158"/>
  <c r="AJ145"/>
  <c r="AJ144"/>
  <c r="AJ143"/>
  <c r="AQ143"/>
  <c r="AJ142"/>
  <c r="AJ129"/>
  <c r="AJ128"/>
  <c r="AJ127"/>
  <c r="AQ127"/>
  <c r="AJ126"/>
  <c r="AJ112"/>
  <c r="AJ111"/>
  <c r="AQ111"/>
  <c r="AJ110"/>
  <c r="AJ96"/>
  <c r="AJ95"/>
  <c r="AQ95"/>
  <c r="AJ94"/>
  <c r="AQ79"/>
  <c r="AJ78"/>
  <c r="AQ63"/>
  <c r="AQ47"/>
  <c r="AJ46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J7"/>
  <c r="AJ6"/>
  <c r="AQ6"/>
  <c r="AJ5"/>
  <c r="AJ4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J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A4"/>
  <c r="G4" s="1"/>
  <c r="A2"/>
  <c r="AF3" i="13"/>
  <c r="D2" i="14"/>
  <c r="AD2" i="15"/>
  <c r="H4" i="14" l="1"/>
  <c r="AC2" i="15"/>
  <c r="AB2"/>
  <c r="D20" i="14"/>
  <c r="E20" s="1"/>
  <c r="C20"/>
  <c r="C2"/>
  <c r="E2" s="1"/>
  <c r="G2" s="1"/>
  <c r="H2" s="1"/>
  <c r="I2" l="1"/>
  <c r="J2"/>
  <c r="L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AE6" i="13" l="1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Z2" i="4"/>
  <c r="AF13" i="13"/>
  <c r="AG13"/>
  <c r="BF13"/>
  <c r="AH13" s="1"/>
  <c r="BG13"/>
  <c r="AJ13" s="1"/>
  <c r="BN13"/>
  <c r="AQ13" s="1"/>
  <c r="BS13"/>
  <c r="AM13" s="1"/>
  <c r="BT13"/>
  <c r="CT13"/>
  <c r="CU13"/>
  <c r="CY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CY21"/>
  <c r="CZ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T24"/>
  <c r="CU24"/>
  <c r="CY24"/>
  <c r="CZ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CY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CZ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T68"/>
  <c r="CU68"/>
  <c r="CY68"/>
  <c r="CZ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T76"/>
  <c r="CU76"/>
  <c r="CY76"/>
  <c r="CZ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T82"/>
  <c r="CU82"/>
  <c r="CY82"/>
  <c r="CZ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CY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CZ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CZ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CY129"/>
  <c r="AF130"/>
  <c r="AG130"/>
  <c r="BF130"/>
  <c r="AH130" s="1"/>
  <c r="BG130"/>
  <c r="AJ130" s="1"/>
  <c r="BN130"/>
  <c r="BS130"/>
  <c r="AM130" s="1"/>
  <c r="BT130"/>
  <c r="AO130" s="1"/>
  <c r="CT130"/>
  <c r="CU130"/>
  <c r="CY130"/>
  <c r="AF131"/>
  <c r="AG131"/>
  <c r="BF131"/>
  <c r="BI131" s="1"/>
  <c r="BG131"/>
  <c r="AJ131" s="1"/>
  <c r="BN131"/>
  <c r="AQ131" s="1"/>
  <c r="BS131"/>
  <c r="BT131"/>
  <c r="AO131" s="1"/>
  <c r="CT131"/>
  <c r="CU131"/>
  <c r="CY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Y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CY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CY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CY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T187"/>
  <c r="CU187"/>
  <c r="CY187"/>
  <c r="CZ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AM11" i="13" l="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DU190" s="1"/>
  <c r="AK190" s="1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DU32" s="1"/>
  <c r="DV32" s="1"/>
  <c r="AL32" s="1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I168"/>
  <c r="AS166"/>
  <c r="AS163"/>
  <c r="AI162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N15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DB161"/>
  <c r="DC161" s="1"/>
  <c r="AQ159"/>
  <c r="BU155"/>
  <c r="DA155" s="1"/>
  <c r="AM155"/>
  <c r="AR155" s="1"/>
  <c r="AN139"/>
  <c r="CX128"/>
  <c r="AN123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CX135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X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AS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N100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DB45"/>
  <c r="DC45" s="1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N44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AK32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32"/>
  <c r="CX27"/>
  <c r="CX21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B90" i="13" l="1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DV110" i="13" l="1"/>
  <c r="AL110" s="1"/>
  <c r="AK114"/>
  <c r="DO145"/>
  <c r="DO117"/>
  <c r="AK175"/>
  <c r="DO90"/>
  <c r="DN5" i="12"/>
  <c r="AH17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AM17" i="12"/>
  <c r="DE32" i="13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AQ17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O17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<sst xmlns="http://schemas.openxmlformats.org/spreadsheetml/2006/main" count="998" uniqueCount="458">
  <si>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</si>
  <si>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</si>
  <si>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</si>
  <si>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</si>
  <si>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</si>
  <si>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</si>
  <si>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</si>
  <si>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</si>
  <si>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</si>
  <si>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</si>
  <si>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</si>
  <si>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</si>
  <si>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</si>
  <si>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</si>
  <si>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</si>
  <si>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</si>
  <si>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</si>
  <si>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</si>
  <si>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</si>
  <si>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</si>
  <si>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</si>
  <si>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</si>
  <si>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</si>
  <si>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</si>
  <si>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</si>
  <si>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</si>
  <si>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</si>
  <si>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</si>
  <si>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</si>
  <si>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</si>
  <si>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</si>
  <si>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</si>
  <si>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</si>
  <si>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</si>
  <si>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</si>
  <si>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</si>
  <si>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</si>
  <si>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</si>
  <si>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</si>
  <si>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</si>
  <si>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</si>
  <si>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</si>
  <si>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</si>
  <si>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</si>
  <si>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</si>
  <si>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</si>
  <si>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</si>
  <si>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</si>
  <si>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</si>
  <si>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</si>
  <si>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</si>
  <si>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</si>
  <si>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</si>
  <si>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</si>
  <si>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</si>
  <si>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</si>
  <si>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</si>
  <si>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</si>
  <si>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</si>
  <si>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</si>
  <si>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</si>
  <si>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</si>
  <si>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</si>
  <si>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</si>
  <si>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</si>
  <si>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</si>
  <si>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</si>
  <si>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</si>
  <si>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</si>
  <si>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</si>
  <si>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</si>
  <si>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</si>
  <si>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</si>
  <si>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</si>
  <si>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</si>
  <si>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</si>
  <si>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</si>
  <si>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</si>
  <si>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</si>
  <si>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</si>
  <si>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</si>
  <si>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</si>
  <si>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</si>
  <si>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</si>
  <si>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</si>
  <si>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</si>
  <si>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</si>
  <si>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</si>
  <si>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</si>
  <si>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</si>
  <si>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</si>
  <si>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</si>
  <si>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</si>
  <si>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</si>
  <si>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</si>
  <si>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</si>
  <si>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</si>
  <si>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</si>
  <si>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</si>
  <si>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</si>
  <si>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</si>
  <si>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</si>
  <si>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</si>
  <si>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</si>
  <si>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</si>
  <si>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</si>
  <si>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</si>
  <si>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</si>
  <si>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</si>
  <si>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</si>
  <si>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</si>
  <si>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</si>
  <si>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</si>
  <si>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</si>
  <si>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</si>
  <si>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</si>
  <si>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</si>
  <si>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</si>
  <si>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</si>
  <si>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</si>
  <si>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</si>
  <si>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</si>
  <si>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</si>
  <si>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</si>
  <si>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</si>
  <si>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</si>
  <si>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</si>
  <si>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</si>
  <si>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</si>
  <si>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</si>
  <si>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</si>
  <si>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</si>
  <si>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</si>
  <si>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</si>
  <si>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</si>
  <si>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</si>
  <si>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</si>
  <si>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</si>
  <si>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</si>
  <si>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</si>
  <si>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</si>
  <si>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</si>
  <si>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</si>
  <si>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</si>
  <si>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</si>
  <si>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</si>
  <si>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</si>
  <si>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</si>
  <si>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</si>
  <si>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</si>
  <si>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</si>
  <si>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</si>
  <si>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</si>
  <si>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</si>
  <si>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</si>
  <si>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</si>
  <si>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</si>
  <si>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</si>
  <si>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</si>
  <si>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</si>
  <si>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</si>
  <si>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</si>
  <si>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</si>
  <si>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</si>
  <si>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</si>
  <si>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</si>
  <si>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</si>
  <si>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</si>
  <si>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</si>
  <si>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</si>
  <si>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</si>
  <si>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</si>
  <si>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</si>
  <si>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</si>
  <si>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</si>
  <si>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</si>
  <si>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</si>
  <si>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</si>
  <si>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</si>
  <si>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</si>
  <si>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</si>
  <si>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</si>
  <si>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</si>
  <si>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</si>
  <si>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</si>
  <si>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</si>
  <si>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</si>
  <si>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</si>
  <si>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</si>
  <si>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</si>
  <si>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</si>
  <si>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</si>
  <si>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</si>
  <si>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</si>
  <si>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</si>
  <si>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</si>
  <si>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</si>
  <si>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</si>
  <si>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</si>
  <si>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</si>
  <si>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</si>
  <si>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</si>
  <si>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</si>
  <si>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</si>
  <si>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</si>
  <si>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</si>
  <si>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</si>
  <si>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</si>
  <si>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</si>
  <si>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</si>
  <si>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</si>
  <si>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</si>
  <si>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</si>
  <si>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</si>
  <si>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</si>
  <si>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</si>
  <si>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</si>
  <si>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</si>
  <si>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</si>
  <si>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</si>
  <si>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</si>
  <si>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</si>
  <si>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</si>
  <si>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</si>
  <si>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</si>
  <si>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</si>
  <si>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</si>
  <si>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</si>
  <si>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</si>
  <si>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</si>
  <si>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</si>
  <si>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</si>
  <si>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</si>
  <si>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</si>
  <si>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</si>
  <si>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</si>
  <si>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</si>
  <si>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</si>
  <si>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</si>
  <si>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</si>
  <si>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</si>
  <si>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</si>
  <si>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</si>
  <si>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</si>
  <si>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</si>
  <si>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</si>
  <si>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</si>
  <si>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</si>
  <si>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</si>
  <si>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</si>
  <si>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</si>
  <si>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</si>
  <si>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</si>
  <si>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</si>
  <si>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</si>
  <si>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</si>
  <si>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</si>
  <si>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</si>
  <si>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</si>
  <si>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</si>
  <si>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</si>
  <si>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</si>
  <si>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</si>
  <si>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</si>
  <si>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</si>
  <si>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</si>
  <si>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</si>
  <si>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</si>
  <si>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</si>
  <si>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</si>
  <si>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</si>
  <si>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</si>
  <si>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</si>
  <si>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</si>
  <si>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</si>
  <si>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</si>
  <si>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</si>
  <si>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</si>
  <si>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</si>
  <si>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</si>
  <si>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</si>
  <si>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</si>
  <si>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</si>
  <si>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</si>
  <si>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</si>
  <si>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</si>
  <si>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</si>
  <si>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</si>
  <si>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</si>
  <si>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</si>
  <si>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</si>
  <si>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</si>
  <si>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</si>
  <si>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</si>
  <si>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</si>
  <si>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</si>
  <si>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</si>
  <si>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</si>
  <si>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</si>
  <si>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</si>
  <si>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</si>
  <si>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</si>
  <si>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</si>
  <si>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</si>
  <si>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</si>
  <si>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</si>
  <si>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</si>
  <si>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</si>
  <si>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</si>
  <si>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</si>
  <si>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</si>
  <si>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</si>
  <si>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</si>
  <si>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</si>
  <si>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</si>
  <si>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</si>
  <si>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</si>
  <si>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</si>
  <si>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</si>
  <si>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</si>
  <si>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</si>
  <si>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</si>
  <si>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</si>
  <si>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LK1415-1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</si>
  <si>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</si>
  <si>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</si>
  <si>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</si>
  <si>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</si>
  <si>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</si>
  <si>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</si>
  <si>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</si>
  <si>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</si>
  <si>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</si>
  <si>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</si>
  <si>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10</t>
  </si>
  <si>
    <t>9-11</t>
  </si>
  <si>
    <t>11</t>
  </si>
  <si>
    <t>9-12</t>
  </si>
  <si>
    <t>Tổng</t>
  </si>
  <si>
    <t>PD02</t>
  </si>
  <si>
    <t>PD02101</t>
  </si>
  <si>
    <t>PD98</t>
  </si>
  <si>
    <t>PD98101</t>
  </si>
  <si>
    <t>PD78</t>
  </si>
  <si>
    <t>PD78101</t>
  </si>
  <si>
    <t>PD77</t>
  </si>
  <si>
    <t>PD77101</t>
  </si>
  <si>
    <t>PD76</t>
  </si>
  <si>
    <t>PD76101</t>
  </si>
  <si>
    <t>PD75</t>
  </si>
  <si>
    <t>PD75101</t>
  </si>
  <si>
    <t>PD65</t>
  </si>
  <si>
    <t>PD65101</t>
  </si>
  <si>
    <t>PD63</t>
  </si>
  <si>
    <t>PD63101</t>
  </si>
  <si>
    <t>PD62</t>
  </si>
  <si>
    <t>PD62101</t>
  </si>
  <si>
    <t>PD61</t>
  </si>
  <si>
    <t>PD61101</t>
  </si>
  <si>
    <t>PD53</t>
  </si>
  <si>
    <t>PD53101</t>
  </si>
  <si>
    <t>PD38</t>
  </si>
  <si>
    <t>PD38101</t>
  </si>
  <si>
    <t>PD319</t>
  </si>
  <si>
    <t>PD319101</t>
  </si>
  <si>
    <t>PD318</t>
  </si>
  <si>
    <t>PD318101</t>
  </si>
  <si>
    <t>PD310</t>
  </si>
  <si>
    <t>PD310101</t>
  </si>
  <si>
    <t>PD04</t>
  </si>
  <si>
    <t>PD04101</t>
  </si>
  <si>
    <t>PD03</t>
  </si>
  <si>
    <t>PD03101</t>
  </si>
  <si>
    <t>LV05</t>
  </si>
  <si>
    <t>LV05101</t>
  </si>
  <si>
    <t>LV04</t>
  </si>
  <si>
    <t>LV04101</t>
  </si>
  <si>
    <t>LV03</t>
  </si>
  <si>
    <t>LV03101</t>
  </si>
  <si>
    <t>LV02</t>
  </si>
  <si>
    <t>LV02101</t>
  </si>
  <si>
    <t>LV01</t>
  </si>
  <si>
    <t>LV01101</t>
  </si>
  <si>
    <t>PD28</t>
  </si>
  <si>
    <t>PD28101</t>
  </si>
  <si>
    <t>LV07</t>
  </si>
  <si>
    <t>LV07101</t>
  </si>
  <si>
    <t>LV06</t>
  </si>
  <si>
    <t>LV06101</t>
  </si>
  <si>
    <t>PD269</t>
  </si>
  <si>
    <t>PD269101</t>
  </si>
  <si>
    <t>PD438</t>
  </si>
  <si>
    <t>PD438101</t>
  </si>
  <si>
    <t>PD406</t>
  </si>
  <si>
    <t>PD406101</t>
  </si>
  <si>
    <t>PD928</t>
  </si>
  <si>
    <t>PD928101</t>
  </si>
  <si>
    <t>PD306</t>
  </si>
  <si>
    <t>PD306101</t>
  </si>
  <si>
    <t>PD313</t>
  </si>
  <si>
    <t>PD313101</t>
  </si>
  <si>
    <t>PD348</t>
  </si>
  <si>
    <t>PD348101</t>
  </si>
  <si>
    <t>pp01</t>
  </si>
  <si>
    <t>pp01101</t>
  </si>
  <si>
    <t>PD58</t>
  </si>
  <si>
    <t>PD58101</t>
  </si>
  <si>
    <t>PD10</t>
  </si>
  <si>
    <t>PD10101</t>
  </si>
  <si>
    <t>PD66</t>
  </si>
  <si>
    <t>PD66101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</si>
  <si>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</si>
  <si>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</si>
  <si>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</si>
  <si>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</si>
  <si>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</si>
  <si>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</si>
  <si>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</si>
  <si>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</si>
  <si>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</si>
  <si>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</si>
  <si>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</si>
  <si>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</si>
  <si>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</si>
  <si>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</si>
  <si>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</si>
  <si>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</si>
  <si>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</si>
  <si>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</si>
  <si>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</si>
  <si>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</si>
  <si>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</si>
  <si>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</si>
  <si>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</si>
  <si>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Chết</t>
  </si>
  <si>
    <t>Tỷ lệ chết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</si>
  <si>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</si>
  <si>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</si>
  <si>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</si>
  <si>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</si>
  <si>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</si>
  <si>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</si>
  <si>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</si>
  <si>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</si>
  <si>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</si>
  <si>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</si>
  <si>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</si>
  <si>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</si>
  <si>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21a-01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</si>
  <si>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</si>
  <si>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</si>
  <si>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</si>
  <si>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</si>
  <si>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</si>
  <si>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</si>
  <si>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</si>
  <si>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00-00</t>
  </si>
  <si>
    <t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data_thit.ngay&lt;para_ngay_bat_dau AND data_thit.cong_ty=para_cong_ty AND (data_thit.ngay_dong =0 OR data_thit.ngay_dong &gt;para_ngay_ket_thuc OR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</si>
</sst>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0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5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7" fontId="79" fillId="0" borderId="0" xfId="0" applyNumberFormat="1" applyFont="1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tabSelected="1" zoomScaleNormal="100" zoomScaleSheetLayoutView="100" workbookViewId="0">
      <selection activeCell="K19" sqref="K19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0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1" t="s">
        <v>21</v>
      </c>
      <c r="BF1" s="141"/>
      <c r="BG1" s="141"/>
      <c r="BH1" s="141"/>
      <c r="BI1" s="141"/>
      <c r="BJ1" s="141" t="s">
        <v>22</v>
      </c>
      <c r="BK1" s="141"/>
      <c r="BL1" s="141"/>
      <c r="BM1" s="141"/>
      <c r="BN1" s="141"/>
      <c r="BO1" s="141"/>
      <c r="BP1" s="144" t="s">
        <v>23</v>
      </c>
      <c r="BQ1" s="141" t="s">
        <v>24</v>
      </c>
      <c r="BR1" s="141" t="s">
        <v>25</v>
      </c>
      <c r="BS1" s="145" t="s">
        <v>26</v>
      </c>
      <c r="BT1" s="146" t="s">
        <v>27</v>
      </c>
      <c r="BU1" s="141" t="s">
        <v>28</v>
      </c>
      <c r="BV1" s="141" t="s">
        <v>29</v>
      </c>
      <c r="BW1" s="141" t="s">
        <v>30</v>
      </c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3" t="s">
        <v>39</v>
      </c>
      <c r="DD1" s="143"/>
      <c r="DE1" s="143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0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42" t="s">
        <v>18</v>
      </c>
      <c r="L2" s="142" t="s">
        <v>19</v>
      </c>
      <c r="M2" s="144" t="s">
        <v>17</v>
      </c>
      <c r="N2" s="141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4"/>
      <c r="BQ2" s="141"/>
      <c r="BR2" s="141"/>
      <c r="BS2" s="145"/>
      <c r="BT2" s="146"/>
      <c r="BU2" s="141"/>
      <c r="BV2" s="141"/>
      <c r="BW2" s="144" t="s">
        <v>86</v>
      </c>
      <c r="BX2" s="144"/>
      <c r="BY2" s="144" t="s">
        <v>87</v>
      </c>
      <c r="BZ2" s="144"/>
      <c r="CA2" s="144" t="s">
        <v>88</v>
      </c>
      <c r="CB2" s="144"/>
      <c r="CC2" s="144" t="s">
        <v>89</v>
      </c>
      <c r="CD2" s="144"/>
      <c r="CE2" s="144" t="s">
        <v>90</v>
      </c>
      <c r="CF2" s="144"/>
      <c r="CG2" s="147" t="s">
        <v>91</v>
      </c>
      <c r="CH2" s="144"/>
      <c r="CI2" s="147" t="s">
        <v>92</v>
      </c>
      <c r="CJ2" s="144"/>
      <c r="CK2" s="147">
        <v>962</v>
      </c>
      <c r="CL2" s="144"/>
      <c r="CM2" s="144">
        <v>972</v>
      </c>
      <c r="CN2" s="144"/>
      <c r="CO2" s="144">
        <v>972</v>
      </c>
      <c r="CP2" s="144"/>
      <c r="CQ2" s="144">
        <v>982</v>
      </c>
      <c r="CR2" s="144"/>
      <c r="CS2" s="148" t="s">
        <v>93</v>
      </c>
      <c r="CT2" s="148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2"/>
      <c r="L3" s="142"/>
      <c r="M3" s="144"/>
      <c r="N3" s="141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415</v>
      </c>
      <c r="AD4" s="38" t="s">
        <v>412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327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 s="28">
        <v>1</v>
      </c>
      <c r="B5" s="28" t="s">
        <v>314</v>
      </c>
      <c r="D5" s="115"/>
      <c r="E5" s="49"/>
      <c r="F5" s="49"/>
      <c r="G5" s="49"/>
      <c r="H5" s="49"/>
      <c r="I5" s="49"/>
      <c r="J5" s="52"/>
      <c r="K5" s="52"/>
      <c r="L5" s="52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>+IF(E5&gt;0,"Xem chi tiết","")</f>
        <v/>
      </c>
      <c r="AD5" s="104" t="str">
        <f>+RIGHT(B5,2)</f>
        <v>1</v>
      </c>
      <c r="AE5" s="49" t="s">
        <v>411</v>
      </c>
      <c r="AF5" s="28" t="s">
        <v>411</v>
      </c>
      <c r="AG5" s="104">
        <f>+BE5</f>
        <v>0</v>
      </c>
      <c r="AH5" s="104">
        <f>+ROUND(IFERROR(BG5,0),1)</f>
        <v>0</v>
      </c>
      <c r="AI5" s="104">
        <f>+BF5</f>
        <v>0</v>
      </c>
      <c r="AJ5" s="104">
        <f>+DT5</f>
        <v>0</v>
      </c>
      <c r="AK5" s="104">
        <f>+ROUND(IFERROR(DU5,0),1)</f>
        <v>0</v>
      </c>
      <c r="AL5" s="104">
        <f>+BR5</f>
        <v>0</v>
      </c>
      <c r="AM5" s="104">
        <f>+ROUND(IFERROR(CZ5,0),1)</f>
        <v>0</v>
      </c>
      <c r="AN5" s="104">
        <f>+BS5</f>
        <v>0</v>
      </c>
      <c r="AO5" s="104">
        <f>+AN5-AI5</f>
        <v>0</v>
      </c>
      <c r="AP5" s="49">
        <f>+ROUND(BM5,0)</f>
        <v>0</v>
      </c>
      <c r="AQ5" s="104">
        <f>+ROUND(IFERROR(AP5/AL5,0),1)</f>
        <v>0</v>
      </c>
      <c r="AR5" s="104">
        <f>+ROUND(IFERROR(BJ5,0),3)</f>
        <v>0</v>
      </c>
      <c r="AS5" s="104">
        <f>+ROUND(IFERROR(BK5,0),3)</f>
        <v>0</v>
      </c>
      <c r="AT5" s="104">
        <f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si="0">+E5</f>
        <v>0</v>
      </c>
      <c r="BF5" s="49">
        <f t="shared" ref="BF5:BF16" si="1">+F5</f>
        <v>0</v>
      </c>
      <c r="BG5" s="54" t="e">
        <f t="shared" ref="BG5:BG16" si="2">BF5/BE5</f>
        <v>#DIV/0!</v>
      </c>
      <c r="BH5" s="112" t="e">
        <f>BI5/BE5</f>
        <v>#DIV/0!</v>
      </c>
      <c r="BI5" s="113"/>
      <c r="BJ5" s="55" t="e">
        <f>BM5/(BS5-BF5)</f>
        <v>#DIV/0!</v>
      </c>
      <c r="BK5" s="55" t="e">
        <f t="shared" ref="BK5:BK17" si="3">DR5</f>
        <v>#DIV/0!</v>
      </c>
      <c r="BL5" s="55" t="e">
        <f>BJ5-BK5</f>
        <v>#DIV/0!</v>
      </c>
      <c r="BM5" s="53">
        <f t="shared" ref="BM5:BM16" si="4">+G5</f>
        <v>0</v>
      </c>
      <c r="BN5" s="112" t="e">
        <f t="shared" ref="BN5:BN17" si="5">BO5/BM5</f>
        <v>#DIV/0!</v>
      </c>
      <c r="BO5" s="112"/>
      <c r="BP5" s="49"/>
      <c r="BQ5" s="53" t="e">
        <f>BP5/BS5</f>
        <v>#DIV/0!</v>
      </c>
      <c r="BR5" s="53">
        <f t="shared" ref="BR5:BR16" si="6">+I5</f>
        <v>0</v>
      </c>
      <c r="BS5" s="53">
        <f t="shared" ref="BS5:BS16" si="7">+J5</f>
        <v>0</v>
      </c>
      <c r="BT5" s="56" t="e">
        <f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si="9">BE5</f>
        <v>0</v>
      </c>
      <c r="CV5" s="53">
        <f t="shared" si="9"/>
        <v>0</v>
      </c>
      <c r="CW5" s="58" t="e">
        <f t="shared" ref="CW5:CW17" si="10">ROUND(BG5,2)</f>
        <v>#DIV/0!</v>
      </c>
      <c r="CX5" s="53">
        <f>BR5</f>
        <v>0</v>
      </c>
      <c r="CY5" s="53">
        <f>BS5</f>
        <v>0</v>
      </c>
      <c r="CZ5" s="58" t="e">
        <f>ROUND(BT5,2)</f>
        <v>#DIV/0!</v>
      </c>
      <c r="DA5" s="48" t="e">
        <f t="shared" ref="DA5:DA17" si="11">IF(CZ5&lt;100,(LEFT(CZ5,2)),IF(CZ5&gt;100,(LEFT(CZ5,3))))</f>
        <v>#DIV/0!</v>
      </c>
      <c r="DB5" s="48" t="e">
        <f t="shared" ref="DB5:DB17" si="12">+DA5+1</f>
        <v>#DIV/0!</v>
      </c>
      <c r="DC5" s="48" t="e">
        <f t="shared" ref="DC5:DC17" si="13">LEFT(CW5,2)</f>
        <v>#DIV/0!</v>
      </c>
      <c r="DD5" s="48" t="e">
        <f t="shared" ref="DD5:DD17" si="14">ROUND(DC5,0)</f>
        <v>#DIV/0!</v>
      </c>
      <c r="DE5" s="48" t="e">
        <f t="shared" ref="DE5:DE17" si="15">+DC5+1</f>
        <v>#DIV/0!</v>
      </c>
      <c r="DF5" s="48" t="e">
        <f t="shared" ref="DF5:DF17" si="16">DD5&amp;DA5</f>
        <v>#DIV/0!</v>
      </c>
      <c r="DG5" s="48">
        <f>SUMIF(FCR!$BZ$4:$DB$500,DF5,FCR!$DE$4:$EG$500)</f>
        <v>0</v>
      </c>
      <c r="DH5" s="48" t="e">
        <f t="shared" ref="DH5:DH17" si="17">DE5&amp;DA5</f>
        <v>#DIV/0!</v>
      </c>
      <c r="DI5" s="48">
        <f>SUMIF(FCR!$BZ$4:$DB$142,DH5,FCR!$DE$4:$EG$142)</f>
        <v>0</v>
      </c>
      <c r="DJ5" s="48" t="e">
        <f t="shared" ref="DJ5:DJ17" si="18">(CW5-DD5)*100</f>
        <v>#DIV/0!</v>
      </c>
      <c r="DK5" s="55" t="e">
        <f t="shared" ref="DK5:DK17" si="19">ROUND(DG5+(DI5-DG5)/100*DJ5,3)</f>
        <v>#DIV/0!</v>
      </c>
      <c r="DL5" s="48" t="e">
        <f t="shared" ref="DL5:DL17" si="20">DD5&amp;DB5</f>
        <v>#DIV/0!</v>
      </c>
      <c r="DM5" s="48">
        <f>SUMIF(FCR!$BZ$4:$DB$142,DL5,FCR!$DE$4:$EG$142)</f>
        <v>0</v>
      </c>
      <c r="DN5" s="53" t="e">
        <f t="shared" ref="DN5:DN17" si="21">(CZ5-DA5)*100</f>
        <v>#DIV/0!</v>
      </c>
      <c r="DO5" s="55" t="e">
        <f t="shared" ref="DO5:DO17" si="22">ROUND(DG5+(DM5-DG5)/100*DN5,3)</f>
        <v>#DIV/0!</v>
      </c>
      <c r="DP5" s="55" t="e">
        <f t="shared" ref="DP5:DP17" si="23">ROUND((DO5+DK5)/2,3)</f>
        <v>#DIV/0!</v>
      </c>
      <c r="DQ5" s="55"/>
      <c r="DR5" s="55" t="e">
        <f t="shared" ref="DR5:DR17" si="24">DQ5+DP5</f>
        <v>#DIV/0!</v>
      </c>
      <c r="DS5" s="55" t="e">
        <f>+DP5-BK5</f>
        <v>#DIV/0!</v>
      </c>
      <c r="DT5" s="53">
        <f>CU5-CX5</f>
        <v>0</v>
      </c>
      <c r="DU5" s="59" t="e">
        <f t="shared" ref="DU5:DU17" si="25">ROUND(DT5/CU5*100,2)</f>
        <v>#DIV/0!</v>
      </c>
    </row>
    <row r="6" spans="1:125">
      <c r="A6" s="53">
        <v>2</v>
      </c>
      <c r="B6" s="53" t="s">
        <v>315</v>
      </c>
      <c r="J6" s="52"/>
      <c r="K6" s="52"/>
      <c r="L6" s="52"/>
      <c r="AC6" s="129" t="str">
        <f t="shared" ref="AC6:AC16" si="26">+IF(E6&gt;0,"Xem chi tiết","")</f>
        <v/>
      </c>
      <c r="AD6" s="104" t="str">
        <f t="shared" ref="AD6:AD16" si="27">+RIGHT(B6,2)</f>
        <v>2</v>
      </c>
      <c r="AE6" s="49" t="s">
        <v>411</v>
      </c>
      <c r="AF6" s="28" t="s">
        <v>411</v>
      </c>
      <c r="AG6" s="104">
        <f t="shared" ref="AG6:AG16" si="28">+BE6</f>
        <v>0</v>
      </c>
      <c r="AH6" s="104">
        <f t="shared" ref="AH6:AH16" si="29">+ROUND(IFERROR(BG6,0),1)</f>
        <v>0</v>
      </c>
      <c r="AI6" s="104">
        <f t="shared" ref="AI6:AI16" si="30">+BF6</f>
        <v>0</v>
      </c>
      <c r="AJ6" s="104">
        <f t="shared" ref="AJ6:AJ16" si="31">+DT6</f>
        <v>0</v>
      </c>
      <c r="AK6" s="104">
        <f t="shared" ref="AK6:AK16" si="32">+ROUND(IFERROR(DU6,0),1)</f>
        <v>0</v>
      </c>
      <c r="AL6" s="104">
        <f t="shared" ref="AL6:AL16" si="33">+BR6</f>
        <v>0</v>
      </c>
      <c r="AM6" s="104">
        <f t="shared" ref="AM6:AM16" si="34">+ROUND(IFERROR(CZ6,0),1)</f>
        <v>0</v>
      </c>
      <c r="AN6" s="104">
        <f t="shared" ref="AN6:AN16" si="35">+BS6</f>
        <v>0</v>
      </c>
      <c r="AO6" s="104">
        <f t="shared" ref="AO6:AO16" si="36">+AN6-AI6</f>
        <v>0</v>
      </c>
      <c r="AP6" s="49">
        <f t="shared" ref="AP6:AP16" si="37">+ROUND(BM6,0)</f>
        <v>0</v>
      </c>
      <c r="AQ6" s="104">
        <f t="shared" ref="AQ6:AQ16" si="38">+ROUND(IFERROR(AP6/AL6,0),1)</f>
        <v>0</v>
      </c>
      <c r="AR6" s="104">
        <f t="shared" ref="AR6:AR16" si="39">+ROUND(IFERROR(BJ6,0),3)</f>
        <v>0</v>
      </c>
      <c r="AS6" s="104">
        <f t="shared" ref="AS6:AS16" si="40">+ROUND(IFERROR(BK6,0),3)</f>
        <v>0</v>
      </c>
      <c r="AT6" s="104">
        <f t="shared" ref="AT6:AT16" si="41">+ROUND(IFERROR(BL6,0),3)</f>
        <v>0</v>
      </c>
      <c r="BE6" s="49">
        <f t="shared" si="0"/>
        <v>0</v>
      </c>
      <c r="BF6" s="49">
        <f t="shared" si="1"/>
        <v>0</v>
      </c>
      <c r="BG6" s="54" t="e">
        <f t="shared" si="2"/>
        <v>#DIV/0!</v>
      </c>
      <c r="BH6" s="112" t="e">
        <f t="shared" ref="BH6:BH17" si="42">BI6/BE6</f>
        <v>#DIV/0!</v>
      </c>
      <c r="BJ6" s="55" t="e">
        <f t="shared" ref="BJ6:BJ16" si="43">BM6/(BS6-BF6)</f>
        <v>#DIV/0!</v>
      </c>
      <c r="BK6" s="55" t="e">
        <f t="shared" si="3"/>
        <v>#DIV/0!</v>
      </c>
      <c r="BL6" s="55" t="e">
        <f t="shared" ref="BL6:BL17" si="44">BJ6-BK6</f>
        <v>#DIV/0!</v>
      </c>
      <c r="BM6" s="53">
        <f t="shared" si="4"/>
        <v>0</v>
      </c>
      <c r="BN6" s="112" t="e">
        <f t="shared" si="5"/>
        <v>#DIV/0!</v>
      </c>
      <c r="BQ6" s="53" t="e">
        <f t="shared" ref="BQ6:BQ17" si="45">BP6/BS6</f>
        <v>#DIV/0!</v>
      </c>
      <c r="BR6" s="53">
        <f t="shared" si="6"/>
        <v>0</v>
      </c>
      <c r="BS6" s="53">
        <f t="shared" si="7"/>
        <v>0</v>
      </c>
      <c r="BT6" s="56" t="e">
        <f t="shared" ref="BT6:BT16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si="9"/>
        <v>0</v>
      </c>
      <c r="CV6" s="53">
        <f t="shared" si="9"/>
        <v>0</v>
      </c>
      <c r="CW6" s="58" t="e">
        <f t="shared" si="10"/>
        <v>#DIV/0!</v>
      </c>
      <c r="CX6" s="53">
        <f t="shared" ref="CX6:CY17" si="47">BR6</f>
        <v>0</v>
      </c>
      <c r="CY6" s="53">
        <f t="shared" si="47"/>
        <v>0</v>
      </c>
      <c r="CZ6" s="58" t="e">
        <f t="shared" ref="CZ6:CZ17" si="48">ROUND(BT6,2)</f>
        <v>#DIV/0!</v>
      </c>
      <c r="DA6" s="48" t="e">
        <f t="shared" si="11"/>
        <v>#DIV/0!</v>
      </c>
      <c r="DB6" s="48" t="e">
        <f t="shared" si="12"/>
        <v>#DIV/0!</v>
      </c>
      <c r="DC6" s="48" t="e">
        <f t="shared" si="13"/>
        <v>#DIV/0!</v>
      </c>
      <c r="DD6" s="48" t="e">
        <f t="shared" si="14"/>
        <v>#DIV/0!</v>
      </c>
      <c r="DE6" s="48" t="e">
        <f t="shared" si="15"/>
        <v>#DIV/0!</v>
      </c>
      <c r="DF6" s="48" t="e">
        <f t="shared" si="16"/>
        <v>#DIV/0!</v>
      </c>
      <c r="DG6" s="48">
        <f>SUMIF(FCR!$BZ$4:$DB$500,DF6,FCR!$DE$4:$EG$500)</f>
        <v>0</v>
      </c>
      <c r="DH6" s="48" t="e">
        <f t="shared" si="17"/>
        <v>#DIV/0!</v>
      </c>
      <c r="DI6" s="48">
        <f>SUMIF(FCR!$BZ$4:$DB$142,DH6,FCR!$DE$4:$EG$142)</f>
        <v>0</v>
      </c>
      <c r="DJ6" s="48" t="e">
        <f t="shared" si="18"/>
        <v>#DIV/0!</v>
      </c>
      <c r="DK6" s="55" t="e">
        <f t="shared" si="19"/>
        <v>#DIV/0!</v>
      </c>
      <c r="DL6" s="48" t="e">
        <f t="shared" si="20"/>
        <v>#DIV/0!</v>
      </c>
      <c r="DM6" s="48">
        <f>SUMIF(FCR!$BZ$4:$DB$142,DL6,FCR!$DE$4:$EG$142)</f>
        <v>0</v>
      </c>
      <c r="DN6" s="53" t="e">
        <f t="shared" si="21"/>
        <v>#DIV/0!</v>
      </c>
      <c r="DO6" s="55" t="e">
        <f t="shared" si="22"/>
        <v>#DIV/0!</v>
      </c>
      <c r="DP6" s="55" t="e">
        <f t="shared" si="23"/>
        <v>#DIV/0!</v>
      </c>
      <c r="DQ6" s="55"/>
      <c r="DR6" s="55" t="e">
        <f t="shared" si="24"/>
        <v>#DIV/0!</v>
      </c>
      <c r="DS6" s="55" t="e">
        <f t="shared" ref="DS6:DS17" si="49">+DP6-BK6</f>
        <v>#DIV/0!</v>
      </c>
      <c r="DT6" s="53">
        <f t="shared" ref="DT6:DT17" si="50">CU6-CX6</f>
        <v>0</v>
      </c>
      <c r="DU6" s="59" t="e">
        <f t="shared" si="25"/>
        <v>#DIV/0!</v>
      </c>
    </row>
    <row r="7" spans="1:125">
      <c r="A7" s="53">
        <v>3</v>
      </c>
      <c r="B7" s="53" t="s">
        <v>326</v>
      </c>
      <c r="K7" s="52"/>
      <c r="L7" s="52"/>
      <c r="AC7" s="129" t="str">
        <f t="shared" si="26"/>
        <v/>
      </c>
      <c r="AD7" s="104" t="str">
        <f t="shared" si="27"/>
        <v>3</v>
      </c>
      <c r="AE7" s="49" t="s">
        <v>411</v>
      </c>
      <c r="AF7" s="28" t="s">
        <v>411</v>
      </c>
      <c r="AG7" s="104">
        <f t="shared" si="28"/>
        <v>0</v>
      </c>
      <c r="AH7" s="104">
        <f t="shared" si="29"/>
        <v>0</v>
      </c>
      <c r="AI7" s="104">
        <f t="shared" si="30"/>
        <v>0</v>
      </c>
      <c r="AJ7" s="104">
        <f t="shared" si="31"/>
        <v>0</v>
      </c>
      <c r="AK7" s="104">
        <f t="shared" si="32"/>
        <v>0</v>
      </c>
      <c r="AL7" s="104">
        <f t="shared" si="33"/>
        <v>0</v>
      </c>
      <c r="AM7" s="104">
        <f t="shared" si="34"/>
        <v>0</v>
      </c>
      <c r="AN7" s="104">
        <f t="shared" si="35"/>
        <v>0</v>
      </c>
      <c r="AO7" s="104">
        <f t="shared" si="36"/>
        <v>0</v>
      </c>
      <c r="AP7" s="49">
        <f t="shared" si="37"/>
        <v>0</v>
      </c>
      <c r="AQ7" s="104">
        <f t="shared" si="38"/>
        <v>0</v>
      </c>
      <c r="AR7" s="104">
        <f t="shared" si="39"/>
        <v>0</v>
      </c>
      <c r="AS7" s="104">
        <f t="shared" si="40"/>
        <v>0</v>
      </c>
      <c r="AT7" s="104">
        <f t="shared" si="41"/>
        <v>0</v>
      </c>
      <c r="BE7" s="49">
        <f t="shared" si="0"/>
        <v>0</v>
      </c>
      <c r="BF7" s="49">
        <f t="shared" si="1"/>
        <v>0</v>
      </c>
      <c r="BG7" s="54" t="e">
        <f t="shared" si="2"/>
        <v>#DIV/0!</v>
      </c>
      <c r="BH7" s="112" t="e">
        <f t="shared" si="42"/>
        <v>#DIV/0!</v>
      </c>
      <c r="BJ7" s="55" t="e">
        <f t="shared" si="43"/>
        <v>#DIV/0!</v>
      </c>
      <c r="BK7" s="55" t="e">
        <f t="shared" si="3"/>
        <v>#DIV/0!</v>
      </c>
      <c r="BL7" s="55" t="e">
        <f t="shared" si="44"/>
        <v>#DIV/0!</v>
      </c>
      <c r="BM7" s="53">
        <f t="shared" si="4"/>
        <v>0</v>
      </c>
      <c r="BN7" s="112" t="e">
        <f t="shared" si="5"/>
        <v>#DIV/0!</v>
      </c>
      <c r="BQ7" s="53" t="e">
        <f t="shared" si="45"/>
        <v>#DIV/0!</v>
      </c>
      <c r="BR7" s="53">
        <f t="shared" si="6"/>
        <v>0</v>
      </c>
      <c r="BS7" s="53">
        <f t="shared" si="7"/>
        <v>0</v>
      </c>
      <c r="BT7" s="56" t="e">
        <f t="shared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si="9"/>
        <v>0</v>
      </c>
      <c r="CV7" s="53">
        <f t="shared" si="9"/>
        <v>0</v>
      </c>
      <c r="CW7" s="58" t="e">
        <f t="shared" si="10"/>
        <v>#DIV/0!</v>
      </c>
      <c r="CX7" s="53">
        <f t="shared" si="47"/>
        <v>0</v>
      </c>
      <c r="CY7" s="53">
        <f t="shared" si="47"/>
        <v>0</v>
      </c>
      <c r="CZ7" s="58" t="e">
        <f t="shared" si="48"/>
        <v>#DIV/0!</v>
      </c>
      <c r="DA7" s="48" t="e">
        <f t="shared" si="11"/>
        <v>#DIV/0!</v>
      </c>
      <c r="DB7" s="48" t="e">
        <f t="shared" si="12"/>
        <v>#DIV/0!</v>
      </c>
      <c r="DC7" s="48" t="e">
        <f t="shared" si="13"/>
        <v>#DIV/0!</v>
      </c>
      <c r="DD7" s="48" t="e">
        <f t="shared" si="14"/>
        <v>#DIV/0!</v>
      </c>
      <c r="DE7" s="48" t="e">
        <f t="shared" si="15"/>
        <v>#DIV/0!</v>
      </c>
      <c r="DF7" s="48" t="e">
        <f t="shared" si="16"/>
        <v>#DIV/0!</v>
      </c>
      <c r="DG7" s="48">
        <f>SUMIF(FCR!$BZ$4:$DB$500,DF7,FCR!$DE$4:$EG$500)</f>
        <v>0</v>
      </c>
      <c r="DH7" s="48" t="e">
        <f t="shared" si="17"/>
        <v>#DIV/0!</v>
      </c>
      <c r="DI7" s="48">
        <f>SUMIF(FCR!$BZ$4:$DB$142,DH7,FCR!$DE$4:$EG$142)</f>
        <v>0</v>
      </c>
      <c r="DJ7" s="48" t="e">
        <f t="shared" si="18"/>
        <v>#DIV/0!</v>
      </c>
      <c r="DK7" s="55" t="e">
        <f t="shared" si="19"/>
        <v>#DIV/0!</v>
      </c>
      <c r="DL7" s="48" t="e">
        <f t="shared" si="20"/>
        <v>#DIV/0!</v>
      </c>
      <c r="DM7" s="48">
        <f>SUMIF(FCR!$BZ$4:$DB$142,DL7,FCR!$DE$4:$EG$142)</f>
        <v>0</v>
      </c>
      <c r="DN7" s="53" t="e">
        <f t="shared" si="21"/>
        <v>#DIV/0!</v>
      </c>
      <c r="DO7" s="55" t="e">
        <f t="shared" si="22"/>
        <v>#DIV/0!</v>
      </c>
      <c r="DP7" s="55" t="e">
        <f t="shared" si="23"/>
        <v>#DIV/0!</v>
      </c>
      <c r="DQ7" s="55"/>
      <c r="DR7" s="55" t="e">
        <f t="shared" si="24"/>
        <v>#DIV/0!</v>
      </c>
      <c r="DS7" s="55" t="e">
        <f t="shared" si="49"/>
        <v>#DIV/0!</v>
      </c>
      <c r="DT7" s="53">
        <f t="shared" si="50"/>
        <v>0</v>
      </c>
      <c r="DU7" s="59" t="e">
        <f t="shared" si="25"/>
        <v>#DIV/0!</v>
      </c>
    </row>
    <row r="8" spans="1:125">
      <c r="A8" s="53">
        <v>4</v>
      </c>
      <c r="B8" s="53" t="s">
        <v>324</v>
      </c>
      <c r="K8" s="52"/>
      <c r="L8" s="52"/>
      <c r="AC8" s="129" t="str">
        <f t="shared" si="26"/>
        <v/>
      </c>
      <c r="AD8" s="104" t="str">
        <f t="shared" si="27"/>
        <v>4</v>
      </c>
      <c r="AE8" s="49" t="s">
        <v>411</v>
      </c>
      <c r="AF8" s="28" t="s">
        <v>411</v>
      </c>
      <c r="AG8" s="104">
        <f t="shared" si="28"/>
        <v>0</v>
      </c>
      <c r="AH8" s="104">
        <f t="shared" si="29"/>
        <v>0</v>
      </c>
      <c r="AI8" s="104">
        <f t="shared" si="30"/>
        <v>0</v>
      </c>
      <c r="AJ8" s="104">
        <f t="shared" si="31"/>
        <v>0</v>
      </c>
      <c r="AK8" s="104">
        <f t="shared" si="32"/>
        <v>0</v>
      </c>
      <c r="AL8" s="104">
        <f t="shared" si="33"/>
        <v>0</v>
      </c>
      <c r="AM8" s="104">
        <f t="shared" si="34"/>
        <v>0</v>
      </c>
      <c r="AN8" s="104">
        <f t="shared" si="35"/>
        <v>0</v>
      </c>
      <c r="AO8" s="104">
        <f t="shared" si="36"/>
        <v>0</v>
      </c>
      <c r="AP8" s="49">
        <f t="shared" si="37"/>
        <v>0</v>
      </c>
      <c r="AQ8" s="104">
        <f t="shared" si="38"/>
        <v>0</v>
      </c>
      <c r="AR8" s="104">
        <f t="shared" si="39"/>
        <v>0</v>
      </c>
      <c r="AS8" s="104">
        <f t="shared" si="40"/>
        <v>0</v>
      </c>
      <c r="AT8" s="104">
        <f t="shared" si="41"/>
        <v>0</v>
      </c>
      <c r="BE8" s="49">
        <f t="shared" si="0"/>
        <v>0</v>
      </c>
      <c r="BF8" s="49">
        <f t="shared" si="1"/>
        <v>0</v>
      </c>
      <c r="BG8" s="54" t="e">
        <f t="shared" si="2"/>
        <v>#DIV/0!</v>
      </c>
      <c r="BH8" s="112" t="e">
        <f t="shared" si="42"/>
        <v>#DIV/0!</v>
      </c>
      <c r="BJ8" s="55" t="e">
        <f t="shared" si="43"/>
        <v>#DIV/0!</v>
      </c>
      <c r="BK8" s="55" t="e">
        <f t="shared" si="3"/>
        <v>#DIV/0!</v>
      </c>
      <c r="BL8" s="55" t="e">
        <f t="shared" si="44"/>
        <v>#DIV/0!</v>
      </c>
      <c r="BM8" s="53">
        <f t="shared" si="4"/>
        <v>0</v>
      </c>
      <c r="BN8" s="112" t="e">
        <f t="shared" si="5"/>
        <v>#DIV/0!</v>
      </c>
      <c r="BQ8" s="53" t="e">
        <f t="shared" si="45"/>
        <v>#DIV/0!</v>
      </c>
      <c r="BR8" s="53">
        <f t="shared" si="6"/>
        <v>0</v>
      </c>
      <c r="BS8" s="53">
        <f t="shared" si="7"/>
        <v>0</v>
      </c>
      <c r="BT8" s="56" t="e">
        <f t="shared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si="9"/>
        <v>0</v>
      </c>
      <c r="CV8" s="53">
        <f t="shared" si="9"/>
        <v>0</v>
      </c>
      <c r="CW8" s="58" t="e">
        <f t="shared" si="10"/>
        <v>#DIV/0!</v>
      </c>
      <c r="CX8" s="53">
        <f t="shared" si="47"/>
        <v>0</v>
      </c>
      <c r="CY8" s="53">
        <f t="shared" si="47"/>
        <v>0</v>
      </c>
      <c r="CZ8" s="58" t="e">
        <f t="shared" si="48"/>
        <v>#DIV/0!</v>
      </c>
      <c r="DA8" s="48" t="e">
        <f t="shared" si="11"/>
        <v>#DIV/0!</v>
      </c>
      <c r="DB8" s="48" t="e">
        <f t="shared" si="12"/>
        <v>#DIV/0!</v>
      </c>
      <c r="DC8" s="48" t="e">
        <f t="shared" si="13"/>
        <v>#DIV/0!</v>
      </c>
      <c r="DD8" s="48" t="e">
        <f t="shared" si="14"/>
        <v>#DIV/0!</v>
      </c>
      <c r="DE8" s="48" t="e">
        <f t="shared" si="15"/>
        <v>#DIV/0!</v>
      </c>
      <c r="DF8" s="48" t="e">
        <f t="shared" si="16"/>
        <v>#DIV/0!</v>
      </c>
      <c r="DG8" s="48">
        <f>SUMIF(FCR!$BZ$4:$DB$500,DF8,FCR!$DE$4:$EG$500)</f>
        <v>0</v>
      </c>
      <c r="DH8" s="48" t="e">
        <f t="shared" si="17"/>
        <v>#DIV/0!</v>
      </c>
      <c r="DI8" s="48">
        <f>SUMIF(FCR!$BZ$4:$DB$142,DH8,FCR!$DE$4:$EG$142)</f>
        <v>0</v>
      </c>
      <c r="DJ8" s="48" t="e">
        <f t="shared" si="18"/>
        <v>#DIV/0!</v>
      </c>
      <c r="DK8" s="55" t="e">
        <f t="shared" si="19"/>
        <v>#DIV/0!</v>
      </c>
      <c r="DL8" s="48" t="e">
        <f t="shared" si="20"/>
        <v>#DIV/0!</v>
      </c>
      <c r="DM8" s="48">
        <f>SUMIF(FCR!$BZ$4:$DB$142,DL8,FCR!$DE$4:$EG$142)</f>
        <v>0</v>
      </c>
      <c r="DN8" s="53" t="e">
        <f t="shared" si="21"/>
        <v>#DIV/0!</v>
      </c>
      <c r="DO8" s="55" t="e">
        <f t="shared" si="22"/>
        <v>#DIV/0!</v>
      </c>
      <c r="DP8" s="55" t="e">
        <f t="shared" si="23"/>
        <v>#DIV/0!</v>
      </c>
      <c r="DQ8" s="55"/>
      <c r="DR8" s="55" t="e">
        <f t="shared" si="24"/>
        <v>#DIV/0!</v>
      </c>
      <c r="DS8" s="55" t="e">
        <f t="shared" si="49"/>
        <v>#DIV/0!</v>
      </c>
      <c r="DT8" s="53">
        <f t="shared" si="50"/>
        <v>0</v>
      </c>
      <c r="DU8" s="59" t="e">
        <f t="shared" si="25"/>
        <v>#DIV/0!</v>
      </c>
    </row>
    <row r="9" spans="1:125">
      <c r="A9" s="53">
        <v>5</v>
      </c>
      <c r="B9" s="53" t="s">
        <v>325</v>
      </c>
      <c r="K9" s="52"/>
      <c r="L9" s="52"/>
      <c r="AC9" s="129" t="str">
        <f t="shared" si="26"/>
        <v/>
      </c>
      <c r="AD9" s="104" t="str">
        <f t="shared" si="27"/>
        <v>5</v>
      </c>
      <c r="AE9" s="49" t="s">
        <v>411</v>
      </c>
      <c r="AF9" s="28" t="s">
        <v>411</v>
      </c>
      <c r="AG9" s="104">
        <f t="shared" si="28"/>
        <v>0</v>
      </c>
      <c r="AH9" s="104">
        <f t="shared" si="29"/>
        <v>0</v>
      </c>
      <c r="AI9" s="104">
        <f t="shared" si="30"/>
        <v>0</v>
      </c>
      <c r="AJ9" s="104">
        <f t="shared" si="31"/>
        <v>0</v>
      </c>
      <c r="AK9" s="104">
        <f t="shared" si="32"/>
        <v>0</v>
      </c>
      <c r="AL9" s="104">
        <f t="shared" si="33"/>
        <v>0</v>
      </c>
      <c r="AM9" s="104">
        <f t="shared" si="34"/>
        <v>0</v>
      </c>
      <c r="AN9" s="104">
        <f t="shared" si="35"/>
        <v>0</v>
      </c>
      <c r="AO9" s="104">
        <f t="shared" si="36"/>
        <v>0</v>
      </c>
      <c r="AP9" s="49">
        <f t="shared" si="37"/>
        <v>0</v>
      </c>
      <c r="AQ9" s="104">
        <f t="shared" si="38"/>
        <v>0</v>
      </c>
      <c r="AR9" s="104">
        <f t="shared" si="39"/>
        <v>0</v>
      </c>
      <c r="AS9" s="104">
        <f t="shared" si="40"/>
        <v>0</v>
      </c>
      <c r="AT9" s="104">
        <f t="shared" si="41"/>
        <v>0</v>
      </c>
      <c r="BE9" s="49">
        <f t="shared" si="0"/>
        <v>0</v>
      </c>
      <c r="BF9" s="49">
        <f t="shared" si="1"/>
        <v>0</v>
      </c>
      <c r="BG9" s="54" t="e">
        <f t="shared" si="2"/>
        <v>#DIV/0!</v>
      </c>
      <c r="BH9" s="112" t="e">
        <f t="shared" si="42"/>
        <v>#DIV/0!</v>
      </c>
      <c r="BJ9" s="55" t="e">
        <f t="shared" si="43"/>
        <v>#DIV/0!</v>
      </c>
      <c r="BK9" s="55" t="e">
        <f t="shared" si="3"/>
        <v>#DIV/0!</v>
      </c>
      <c r="BL9" s="55" t="e">
        <f t="shared" si="44"/>
        <v>#DIV/0!</v>
      </c>
      <c r="BM9" s="53">
        <f t="shared" si="4"/>
        <v>0</v>
      </c>
      <c r="BN9" s="112" t="e">
        <f t="shared" si="5"/>
        <v>#DIV/0!</v>
      </c>
      <c r="BQ9" s="53" t="e">
        <f t="shared" si="45"/>
        <v>#DIV/0!</v>
      </c>
      <c r="BR9" s="53">
        <f t="shared" si="6"/>
        <v>0</v>
      </c>
      <c r="BS9" s="53">
        <f t="shared" si="7"/>
        <v>0</v>
      </c>
      <c r="BT9" s="56" t="e">
        <f t="shared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si="9"/>
        <v>0</v>
      </c>
      <c r="CV9" s="53">
        <f t="shared" si="9"/>
        <v>0</v>
      </c>
      <c r="CW9" s="58" t="e">
        <f t="shared" si="10"/>
        <v>#DIV/0!</v>
      </c>
      <c r="CX9" s="53">
        <f t="shared" si="47"/>
        <v>0</v>
      </c>
      <c r="CY9" s="53">
        <f t="shared" si="47"/>
        <v>0</v>
      </c>
      <c r="CZ9" s="58" t="e">
        <f t="shared" si="48"/>
        <v>#DIV/0!</v>
      </c>
      <c r="DA9" s="48" t="e">
        <f t="shared" si="11"/>
        <v>#DIV/0!</v>
      </c>
      <c r="DB9" s="48" t="e">
        <f t="shared" si="12"/>
        <v>#DIV/0!</v>
      </c>
      <c r="DC9" s="48" t="e">
        <f t="shared" si="13"/>
        <v>#DIV/0!</v>
      </c>
      <c r="DD9" s="48" t="e">
        <f t="shared" si="14"/>
        <v>#DIV/0!</v>
      </c>
      <c r="DE9" s="48" t="e">
        <f t="shared" si="15"/>
        <v>#DIV/0!</v>
      </c>
      <c r="DF9" s="48" t="e">
        <f t="shared" si="16"/>
        <v>#DIV/0!</v>
      </c>
      <c r="DG9" s="48">
        <f>SUMIF(FCR!$BZ$4:$DB$500,DF9,FCR!$DE$4:$EG$500)</f>
        <v>0</v>
      </c>
      <c r="DH9" s="48" t="e">
        <f t="shared" si="17"/>
        <v>#DIV/0!</v>
      </c>
      <c r="DI9" s="48">
        <f>SUMIF(FCR!$BZ$4:$DB$142,DH9,FCR!$DE$4:$EG$142)</f>
        <v>0</v>
      </c>
      <c r="DJ9" s="48" t="e">
        <f t="shared" si="18"/>
        <v>#DIV/0!</v>
      </c>
      <c r="DK9" s="55" t="e">
        <f t="shared" si="19"/>
        <v>#DIV/0!</v>
      </c>
      <c r="DL9" s="48" t="e">
        <f t="shared" si="20"/>
        <v>#DIV/0!</v>
      </c>
      <c r="DM9" s="48">
        <f>SUMIF(FCR!$BZ$4:$DB$142,DL9,FCR!$DE$4:$EG$142)</f>
        <v>0</v>
      </c>
      <c r="DN9" s="53" t="e">
        <f t="shared" si="21"/>
        <v>#DIV/0!</v>
      </c>
      <c r="DO9" s="55" t="e">
        <f t="shared" si="22"/>
        <v>#DIV/0!</v>
      </c>
      <c r="DP9" s="55" t="e">
        <f t="shared" si="23"/>
        <v>#DIV/0!</v>
      </c>
      <c r="DQ9" s="55"/>
      <c r="DR9" s="55" t="e">
        <f t="shared" si="24"/>
        <v>#DIV/0!</v>
      </c>
      <c r="DS9" s="55" t="e">
        <f t="shared" si="49"/>
        <v>#DIV/0!</v>
      </c>
      <c r="DT9" s="53">
        <f t="shared" si="50"/>
        <v>0</v>
      </c>
      <c r="DU9" s="59" t="e">
        <f t="shared" si="25"/>
        <v>#DIV/0!</v>
      </c>
    </row>
    <row r="10" spans="1:125">
      <c r="A10" s="53">
        <v>6</v>
      </c>
      <c r="B10" s="53" t="s">
        <v>329</v>
      </c>
      <c r="K10" s="52"/>
      <c r="L10" s="52"/>
      <c r="AC10" s="129" t="str">
        <f t="shared" si="26"/>
        <v/>
      </c>
      <c r="AD10" s="104" t="str">
        <f t="shared" si="27"/>
        <v>6</v>
      </c>
      <c r="AE10" s="49" t="s">
        <v>411</v>
      </c>
      <c r="AF10" s="28" t="s">
        <v>411</v>
      </c>
      <c r="AG10" s="104">
        <f t="shared" si="28"/>
        <v>0</v>
      </c>
      <c r="AH10" s="104">
        <f t="shared" si="29"/>
        <v>0</v>
      </c>
      <c r="AI10" s="104">
        <f t="shared" si="30"/>
        <v>0</v>
      </c>
      <c r="AJ10" s="104">
        <f t="shared" si="31"/>
        <v>0</v>
      </c>
      <c r="AK10" s="104">
        <f t="shared" si="32"/>
        <v>0</v>
      </c>
      <c r="AL10" s="104">
        <f t="shared" si="33"/>
        <v>0</v>
      </c>
      <c r="AM10" s="104">
        <f t="shared" si="34"/>
        <v>0</v>
      </c>
      <c r="AN10" s="104">
        <f t="shared" si="35"/>
        <v>0</v>
      </c>
      <c r="AO10" s="104">
        <f t="shared" si="36"/>
        <v>0</v>
      </c>
      <c r="AP10" s="49">
        <f t="shared" si="37"/>
        <v>0</v>
      </c>
      <c r="AQ10" s="104">
        <f t="shared" si="38"/>
        <v>0</v>
      </c>
      <c r="AR10" s="104">
        <f t="shared" si="39"/>
        <v>0</v>
      </c>
      <c r="AS10" s="104">
        <f t="shared" si="40"/>
        <v>0</v>
      </c>
      <c r="AT10" s="104">
        <f t="shared" si="41"/>
        <v>0</v>
      </c>
      <c r="BE10" s="49">
        <f t="shared" si="0"/>
        <v>0</v>
      </c>
      <c r="BF10" s="49">
        <f t="shared" si="1"/>
        <v>0</v>
      </c>
      <c r="BG10" s="54" t="e">
        <f t="shared" si="2"/>
        <v>#DIV/0!</v>
      </c>
      <c r="BH10" s="112" t="e">
        <f t="shared" si="42"/>
        <v>#DIV/0!</v>
      </c>
      <c r="BJ10" s="55" t="e">
        <f t="shared" si="43"/>
        <v>#DIV/0!</v>
      </c>
      <c r="BK10" s="55" t="e">
        <f t="shared" si="3"/>
        <v>#DIV/0!</v>
      </c>
      <c r="BL10" s="55" t="e">
        <f t="shared" si="44"/>
        <v>#DIV/0!</v>
      </c>
      <c r="BM10" s="53">
        <f t="shared" si="4"/>
        <v>0</v>
      </c>
      <c r="BN10" s="112" t="e">
        <f t="shared" si="5"/>
        <v>#DIV/0!</v>
      </c>
      <c r="BQ10" s="53" t="e">
        <f t="shared" si="45"/>
        <v>#DIV/0!</v>
      </c>
      <c r="BR10" s="53">
        <f t="shared" si="6"/>
        <v>0</v>
      </c>
      <c r="BS10" s="53">
        <f t="shared" si="7"/>
        <v>0</v>
      </c>
      <c r="BT10" s="56" t="e">
        <f t="shared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si="9"/>
        <v>0</v>
      </c>
      <c r="CV10" s="53">
        <f t="shared" si="9"/>
        <v>0</v>
      </c>
      <c r="CW10" s="58" t="e">
        <f t="shared" si="10"/>
        <v>#DIV/0!</v>
      </c>
      <c r="CX10" s="53">
        <f t="shared" si="47"/>
        <v>0</v>
      </c>
      <c r="CY10" s="53">
        <f t="shared" si="47"/>
        <v>0</v>
      </c>
      <c r="CZ10" s="58" t="e">
        <f t="shared" si="48"/>
        <v>#DIV/0!</v>
      </c>
      <c r="DA10" s="48" t="e">
        <f t="shared" si="11"/>
        <v>#DIV/0!</v>
      </c>
      <c r="DB10" s="48" t="e">
        <f t="shared" si="12"/>
        <v>#DIV/0!</v>
      </c>
      <c r="DC10" s="48" t="e">
        <f t="shared" si="13"/>
        <v>#DIV/0!</v>
      </c>
      <c r="DD10" s="48" t="e">
        <f t="shared" si="14"/>
        <v>#DIV/0!</v>
      </c>
      <c r="DE10" s="48" t="e">
        <f t="shared" si="15"/>
        <v>#DIV/0!</v>
      </c>
      <c r="DF10" s="48" t="e">
        <f t="shared" si="16"/>
        <v>#DIV/0!</v>
      </c>
      <c r="DG10" s="48">
        <f>SUMIF(FCR!$BZ$4:$DB$500,DF10,FCR!$DE$4:$EG$500)</f>
        <v>0</v>
      </c>
      <c r="DH10" s="48" t="e">
        <f t="shared" si="17"/>
        <v>#DIV/0!</v>
      </c>
      <c r="DI10" s="48">
        <f>SUMIF(FCR!$BZ$4:$DB$142,DH10,FCR!$DE$4:$EG$142)</f>
        <v>0</v>
      </c>
      <c r="DJ10" s="48" t="e">
        <f t="shared" si="18"/>
        <v>#DIV/0!</v>
      </c>
      <c r="DK10" s="55" t="e">
        <f t="shared" si="19"/>
        <v>#DIV/0!</v>
      </c>
      <c r="DL10" s="48" t="e">
        <f t="shared" si="20"/>
        <v>#DIV/0!</v>
      </c>
      <c r="DM10" s="48">
        <f>SUMIF(FCR!$BZ$4:$DB$142,DL10,FCR!$DE$4:$EG$142)</f>
        <v>0</v>
      </c>
      <c r="DN10" s="53" t="e">
        <f t="shared" si="21"/>
        <v>#DIV/0!</v>
      </c>
      <c r="DO10" s="55" t="e">
        <f t="shared" si="22"/>
        <v>#DIV/0!</v>
      </c>
      <c r="DP10" s="55" t="e">
        <f t="shared" si="23"/>
        <v>#DIV/0!</v>
      </c>
      <c r="DQ10" s="55"/>
      <c r="DR10" s="55" t="e">
        <f t="shared" si="24"/>
        <v>#DIV/0!</v>
      </c>
      <c r="DS10" s="55" t="e">
        <f t="shared" si="49"/>
        <v>#DIV/0!</v>
      </c>
      <c r="DT10" s="53">
        <f t="shared" si="50"/>
        <v>0</v>
      </c>
      <c r="DU10" s="59" t="e">
        <f t="shared" si="25"/>
        <v>#DIV/0!</v>
      </c>
    </row>
    <row r="11" spans="1:125">
      <c r="A11" s="53">
        <v>7</v>
      </c>
      <c r="B11" s="53" t="s">
        <v>330</v>
      </c>
      <c r="K11" s="52"/>
      <c r="L11" s="52"/>
      <c r="AC11" s="129" t="str">
        <f t="shared" si="26"/>
        <v/>
      </c>
      <c r="AD11" s="104" t="str">
        <f t="shared" si="27"/>
        <v>7</v>
      </c>
      <c r="AE11" s="49" t="s">
        <v>411</v>
      </c>
      <c r="AF11" s="28" t="s">
        <v>411</v>
      </c>
      <c r="AG11" s="104">
        <f t="shared" si="28"/>
        <v>0</v>
      </c>
      <c r="AH11" s="104">
        <f t="shared" si="29"/>
        <v>0</v>
      </c>
      <c r="AI11" s="104">
        <f t="shared" si="30"/>
        <v>0</v>
      </c>
      <c r="AJ11" s="104">
        <f t="shared" si="31"/>
        <v>0</v>
      </c>
      <c r="AK11" s="104">
        <f t="shared" si="32"/>
        <v>0</v>
      </c>
      <c r="AL11" s="104">
        <f t="shared" si="33"/>
        <v>0</v>
      </c>
      <c r="AM11" s="104">
        <f t="shared" si="34"/>
        <v>0</v>
      </c>
      <c r="AN11" s="104">
        <f t="shared" si="35"/>
        <v>0</v>
      </c>
      <c r="AO11" s="104">
        <f t="shared" si="36"/>
        <v>0</v>
      </c>
      <c r="AP11" s="49">
        <f t="shared" si="37"/>
        <v>0</v>
      </c>
      <c r="AQ11" s="104">
        <f t="shared" si="38"/>
        <v>0</v>
      </c>
      <c r="AR11" s="104">
        <f t="shared" si="39"/>
        <v>0</v>
      </c>
      <c r="AS11" s="104">
        <f t="shared" si="40"/>
        <v>0</v>
      </c>
      <c r="AT11" s="104">
        <f t="shared" si="41"/>
        <v>0</v>
      </c>
      <c r="BE11" s="49">
        <f t="shared" si="0"/>
        <v>0</v>
      </c>
      <c r="BF11" s="49">
        <f t="shared" si="1"/>
        <v>0</v>
      </c>
      <c r="BG11" s="54" t="e">
        <f t="shared" si="2"/>
        <v>#DIV/0!</v>
      </c>
      <c r="BH11" s="112" t="e">
        <f t="shared" si="42"/>
        <v>#DIV/0!</v>
      </c>
      <c r="BJ11" s="55" t="e">
        <f t="shared" si="43"/>
        <v>#DIV/0!</v>
      </c>
      <c r="BK11" s="55" t="e">
        <f t="shared" si="3"/>
        <v>#DIV/0!</v>
      </c>
      <c r="BL11" s="55" t="e">
        <f t="shared" si="44"/>
        <v>#DIV/0!</v>
      </c>
      <c r="BM11" s="53">
        <f t="shared" si="4"/>
        <v>0</v>
      </c>
      <c r="BN11" s="112" t="e">
        <f t="shared" si="5"/>
        <v>#DIV/0!</v>
      </c>
      <c r="BQ11" s="53" t="e">
        <f t="shared" si="45"/>
        <v>#DIV/0!</v>
      </c>
      <c r="BR11" s="53">
        <f t="shared" si="6"/>
        <v>0</v>
      </c>
      <c r="BS11" s="53">
        <f t="shared" si="7"/>
        <v>0</v>
      </c>
      <c r="BT11" s="56" t="e">
        <f t="shared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si="9"/>
        <v>0</v>
      </c>
      <c r="CV11" s="53">
        <f t="shared" si="9"/>
        <v>0</v>
      </c>
      <c r="CW11" s="58" t="e">
        <f t="shared" si="10"/>
        <v>#DIV/0!</v>
      </c>
      <c r="CX11" s="53">
        <f t="shared" si="47"/>
        <v>0</v>
      </c>
      <c r="CY11" s="53">
        <f t="shared" si="47"/>
        <v>0</v>
      </c>
      <c r="CZ11" s="58" t="e">
        <f t="shared" si="48"/>
        <v>#DIV/0!</v>
      </c>
      <c r="DA11" s="48" t="e">
        <f t="shared" si="11"/>
        <v>#DIV/0!</v>
      </c>
      <c r="DB11" s="48" t="e">
        <f t="shared" si="12"/>
        <v>#DIV/0!</v>
      </c>
      <c r="DC11" s="48" t="e">
        <f t="shared" si="13"/>
        <v>#DIV/0!</v>
      </c>
      <c r="DD11" s="48" t="e">
        <f t="shared" si="14"/>
        <v>#DIV/0!</v>
      </c>
      <c r="DE11" s="48" t="e">
        <f t="shared" si="15"/>
        <v>#DIV/0!</v>
      </c>
      <c r="DF11" s="48" t="e">
        <f t="shared" si="16"/>
        <v>#DIV/0!</v>
      </c>
      <c r="DG11" s="48">
        <f>SUMIF(FCR!$BZ$4:$DB$500,DF11,FCR!$DE$4:$EG$500)</f>
        <v>0</v>
      </c>
      <c r="DH11" s="48" t="e">
        <f t="shared" si="17"/>
        <v>#DIV/0!</v>
      </c>
      <c r="DI11" s="48">
        <f>SUMIF(FCR!$BZ$4:$DB$142,DH11,FCR!$DE$4:$EG$142)</f>
        <v>0</v>
      </c>
      <c r="DJ11" s="48" t="e">
        <f t="shared" si="18"/>
        <v>#DIV/0!</v>
      </c>
      <c r="DK11" s="55" t="e">
        <f t="shared" si="19"/>
        <v>#DIV/0!</v>
      </c>
      <c r="DL11" s="48" t="e">
        <f t="shared" si="20"/>
        <v>#DIV/0!</v>
      </c>
      <c r="DM11" s="48">
        <f>SUMIF(FCR!$BZ$4:$DB$142,DL11,FCR!$DE$4:$EG$142)</f>
        <v>0</v>
      </c>
      <c r="DN11" s="53" t="e">
        <f t="shared" si="21"/>
        <v>#DIV/0!</v>
      </c>
      <c r="DO11" s="55" t="e">
        <f t="shared" si="22"/>
        <v>#DIV/0!</v>
      </c>
      <c r="DP11" s="55" t="e">
        <f t="shared" si="23"/>
        <v>#DIV/0!</v>
      </c>
      <c r="DQ11" s="55"/>
      <c r="DR11" s="55" t="e">
        <f t="shared" si="24"/>
        <v>#DIV/0!</v>
      </c>
      <c r="DS11" s="55" t="e">
        <f t="shared" si="49"/>
        <v>#DIV/0!</v>
      </c>
      <c r="DT11" s="53">
        <f t="shared" si="50"/>
        <v>0</v>
      </c>
      <c r="DU11" s="59" t="e">
        <f t="shared" si="25"/>
        <v>#DIV/0!</v>
      </c>
    </row>
    <row r="12" spans="1:125">
      <c r="A12" s="53">
        <v>8</v>
      </c>
      <c r="B12" s="53" t="s">
        <v>331</v>
      </c>
      <c r="C12" s="53" t="s">
        <v>331</v>
      </c>
      <c r="D12" s="115" t="s">
        <v>322</v>
      </c>
      <c r="E12" s="49">
        <v>3000</v>
      </c>
      <c r="F12" s="49">
        <v>19500</v>
      </c>
      <c r="G12" s="49">
        <v>759716.62999999931</v>
      </c>
      <c r="H12" s="49">
        <v>48</v>
      </c>
      <c r="I12" s="49">
        <v>2952</v>
      </c>
      <c r="J12" s="49">
        <v>339480</v>
      </c>
      <c r="K12" s="52">
        <v>43901</v>
      </c>
      <c r="L12" s="52">
        <v>43901</v>
      </c>
      <c r="AC12" s="129" t="str">
        <f t="shared" si="26"/>
        <v>Xem chi tiết</v>
      </c>
      <c r="AD12" s="104" t="str">
        <f t="shared" si="27"/>
        <v>8</v>
      </c>
      <c r="AE12" s="49" t="s">
        <v>411</v>
      </c>
      <c r="AF12" s="28" t="s">
        <v>411</v>
      </c>
      <c r="AG12" s="104">
        <f t="shared" si="28"/>
        <v>3000</v>
      </c>
      <c r="AH12" s="104">
        <f t="shared" si="29"/>
        <v>6.5</v>
      </c>
      <c r="AI12" s="104">
        <f t="shared" si="30"/>
        <v>19500</v>
      </c>
      <c r="AJ12" s="104">
        <f t="shared" si="31"/>
        <v>48</v>
      </c>
      <c r="AK12" s="104">
        <f t="shared" si="32"/>
        <v>1.6</v>
      </c>
      <c r="AL12" s="104">
        <f t="shared" si="33"/>
        <v>2952</v>
      </c>
      <c r="AM12" s="104">
        <f t="shared" si="34"/>
        <v>115</v>
      </c>
      <c r="AN12" s="104">
        <f t="shared" si="35"/>
        <v>339480</v>
      </c>
      <c r="AO12" s="104">
        <f t="shared" si="36"/>
        <v>319980</v>
      </c>
      <c r="AP12" s="49">
        <f t="shared" si="37"/>
        <v>759717</v>
      </c>
      <c r="AQ12" s="104">
        <f t="shared" si="38"/>
        <v>257.39999999999998</v>
      </c>
      <c r="AR12" s="104">
        <f t="shared" si="39"/>
        <v>2.3740000000000001</v>
      </c>
      <c r="AS12" s="104">
        <f t="shared" si="40"/>
        <v>2.4409999999999998</v>
      </c>
      <c r="AT12" s="104">
        <f t="shared" si="41"/>
        <v>-6.7000000000000004E-2</v>
      </c>
      <c r="BE12" s="49">
        <f t="shared" si="0"/>
        <v>3000</v>
      </c>
      <c r="BF12" s="49">
        <f t="shared" si="1"/>
        <v>19500</v>
      </c>
      <c r="BG12" s="54">
        <f t="shared" si="2"/>
        <v>6.5</v>
      </c>
      <c r="BH12" s="112">
        <f t="shared" si="42"/>
        <v>0</v>
      </c>
      <c r="BJ12" s="55">
        <f t="shared" si="43"/>
        <v>2.3742628601787592</v>
      </c>
      <c r="BK12" s="55">
        <f t="shared" si="3"/>
        <v>2.4409999999999998</v>
      </c>
      <c r="BL12" s="55">
        <f t="shared" si="44"/>
        <v>-6.6737139821240632E-2</v>
      </c>
      <c r="BM12" s="53">
        <f t="shared" si="4"/>
        <v>759716.62999999931</v>
      </c>
      <c r="BN12" s="112">
        <f t="shared" si="5"/>
        <v>0</v>
      </c>
      <c r="BQ12" s="53">
        <f t="shared" si="45"/>
        <v>0</v>
      </c>
      <c r="BR12" s="53">
        <f t="shared" si="6"/>
        <v>2952</v>
      </c>
      <c r="BS12" s="53">
        <f t="shared" si="7"/>
        <v>339480</v>
      </c>
      <c r="BT12" s="56">
        <f t="shared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si="9"/>
        <v>3000</v>
      </c>
      <c r="CV12" s="53">
        <f t="shared" si="9"/>
        <v>19500</v>
      </c>
      <c r="CW12" s="58">
        <f t="shared" si="10"/>
        <v>6.5</v>
      </c>
      <c r="CX12" s="53">
        <f t="shared" si="47"/>
        <v>2952</v>
      </c>
      <c r="CY12" s="53">
        <f t="shared" si="47"/>
        <v>339480</v>
      </c>
      <c r="CZ12" s="58">
        <f t="shared" si="48"/>
        <v>115</v>
      </c>
      <c r="DA12" s="48" t="str">
        <f t="shared" si="11"/>
        <v>115</v>
      </c>
      <c r="DB12" s="48">
        <f t="shared" si="12"/>
        <v>116</v>
      </c>
      <c r="DC12" s="48" t="str">
        <f t="shared" si="13"/>
        <v>6.</v>
      </c>
      <c r="DD12" s="48">
        <f t="shared" si="14"/>
        <v>6</v>
      </c>
      <c r="DE12" s="48">
        <f t="shared" si="15"/>
        <v>7</v>
      </c>
      <c r="DF12" s="48" t="str">
        <f t="shared" si="16"/>
        <v>6115</v>
      </c>
      <c r="DG12" s="48">
        <f>SUMIF(FCR!$BZ$4:$DB$500,DF12,FCR!$DE$4:$EG$500)</f>
        <v>2.4359999999999999</v>
      </c>
      <c r="DH12" s="48" t="str">
        <f t="shared" si="17"/>
        <v>7115</v>
      </c>
      <c r="DI12" s="48">
        <f>SUMIF(FCR!$BZ$4:$DB$142,DH12,FCR!$DE$4:$EG$142)</f>
        <v>2.4540000000000002</v>
      </c>
      <c r="DJ12" s="48">
        <f t="shared" si="18"/>
        <v>50</v>
      </c>
      <c r="DK12" s="55">
        <f t="shared" si="19"/>
        <v>2.4449999999999998</v>
      </c>
      <c r="DL12" s="48" t="str">
        <f t="shared" si="20"/>
        <v>6116</v>
      </c>
      <c r="DM12" s="48">
        <f>SUMIF(FCR!$BZ$4:$DB$142,DL12,FCR!$DE$4:$EG$142)</f>
        <v>2.4430000000000001</v>
      </c>
      <c r="DN12" s="53">
        <f t="shared" si="21"/>
        <v>0</v>
      </c>
      <c r="DO12" s="55">
        <f t="shared" si="22"/>
        <v>2.4359999999999999</v>
      </c>
      <c r="DP12" s="55">
        <f t="shared" si="23"/>
        <v>2.4409999999999998</v>
      </c>
      <c r="DQ12" s="55"/>
      <c r="DR12" s="55">
        <f t="shared" si="24"/>
        <v>2.4409999999999998</v>
      </c>
      <c r="DS12" s="55">
        <f t="shared" si="49"/>
        <v>0</v>
      </c>
      <c r="DT12" s="53">
        <f t="shared" si="50"/>
        <v>48</v>
      </c>
      <c r="DU12" s="59">
        <f t="shared" si="25"/>
        <v>1.6</v>
      </c>
    </row>
    <row r="13" spans="1:125">
      <c r="A13" s="53">
        <v>9</v>
      </c>
      <c r="B13" s="53" t="s">
        <v>332</v>
      </c>
      <c r="C13" s="53" t="s">
        <v>332</v>
      </c>
      <c r="D13" s="115" t="s">
        <v>322</v>
      </c>
      <c r="E13" s="49">
        <v>3000</v>
      </c>
      <c r="F13" s="49">
        <v>19500</v>
      </c>
      <c r="G13" s="49">
        <v>759716.62999999931</v>
      </c>
      <c r="H13" s="49">
        <v>48</v>
      </c>
      <c r="I13" s="49">
        <v>2952</v>
      </c>
      <c r="J13" s="49">
        <v>339480</v>
      </c>
      <c r="K13" s="52">
        <v>43931</v>
      </c>
      <c r="L13" s="52">
        <v>43931</v>
      </c>
      <c r="AC13" s="129" t="str">
        <f t="shared" si="26"/>
        <v>Xem chi tiết</v>
      </c>
      <c r="AD13" s="104" t="str">
        <f t="shared" si="27"/>
        <v>9</v>
      </c>
      <c r="AE13" s="49" t="s">
        <v>411</v>
      </c>
      <c r="AF13" s="28" t="s">
        <v>411</v>
      </c>
      <c r="AG13" s="104">
        <f t="shared" si="28"/>
        <v>3000</v>
      </c>
      <c r="AH13" s="104">
        <f t="shared" si="29"/>
        <v>6.5</v>
      </c>
      <c r="AI13" s="104">
        <f t="shared" si="30"/>
        <v>19500</v>
      </c>
      <c r="AJ13" s="104">
        <f t="shared" si="31"/>
        <v>48</v>
      </c>
      <c r="AK13" s="104">
        <f t="shared" si="32"/>
        <v>1.6</v>
      </c>
      <c r="AL13" s="104">
        <f t="shared" si="33"/>
        <v>2952</v>
      </c>
      <c r="AM13" s="104">
        <f t="shared" si="34"/>
        <v>115</v>
      </c>
      <c r="AN13" s="104">
        <f t="shared" si="35"/>
        <v>339480</v>
      </c>
      <c r="AO13" s="104">
        <f t="shared" si="36"/>
        <v>319980</v>
      </c>
      <c r="AP13" s="49">
        <f t="shared" si="37"/>
        <v>759717</v>
      </c>
      <c r="AQ13" s="104">
        <f t="shared" si="38"/>
        <v>257.39999999999998</v>
      </c>
      <c r="AR13" s="104">
        <f t="shared" si="39"/>
        <v>2.3740000000000001</v>
      </c>
      <c r="AS13" s="104">
        <f t="shared" si="40"/>
        <v>2.4409999999999998</v>
      </c>
      <c r="AT13" s="104">
        <f t="shared" si="41"/>
        <v>-6.7000000000000004E-2</v>
      </c>
      <c r="BE13" s="49">
        <f t="shared" si="0"/>
        <v>3000</v>
      </c>
      <c r="BF13" s="49">
        <f t="shared" si="1"/>
        <v>19500</v>
      </c>
      <c r="BG13" s="54">
        <f t="shared" si="2"/>
        <v>6.5</v>
      </c>
      <c r="BH13" s="112">
        <f t="shared" si="42"/>
        <v>0</v>
      </c>
      <c r="BJ13" s="55">
        <f t="shared" si="43"/>
        <v>2.3742628601787592</v>
      </c>
      <c r="BK13" s="55">
        <f t="shared" si="3"/>
        <v>2.4409999999999998</v>
      </c>
      <c r="BL13" s="55">
        <f t="shared" si="44"/>
        <v>-6.6737139821240632E-2</v>
      </c>
      <c r="BM13" s="53">
        <f t="shared" si="4"/>
        <v>759716.62999999931</v>
      </c>
      <c r="BN13" s="112">
        <f t="shared" si="5"/>
        <v>0</v>
      </c>
      <c r="BQ13" s="53">
        <f t="shared" si="45"/>
        <v>0</v>
      </c>
      <c r="BR13" s="53">
        <f t="shared" si="6"/>
        <v>2952</v>
      </c>
      <c r="BS13" s="53">
        <f t="shared" si="7"/>
        <v>339480</v>
      </c>
      <c r="BT13" s="56">
        <f t="shared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si="9"/>
        <v>3000</v>
      </c>
      <c r="CV13" s="53">
        <f t="shared" si="9"/>
        <v>19500</v>
      </c>
      <c r="CW13" s="58">
        <f t="shared" si="10"/>
        <v>6.5</v>
      </c>
      <c r="CX13" s="53">
        <f t="shared" si="47"/>
        <v>2952</v>
      </c>
      <c r="CY13" s="53">
        <f t="shared" si="47"/>
        <v>339480</v>
      </c>
      <c r="CZ13" s="58">
        <f t="shared" si="48"/>
        <v>115</v>
      </c>
      <c r="DA13" s="48" t="str">
        <f t="shared" si="11"/>
        <v>115</v>
      </c>
      <c r="DB13" s="48">
        <f t="shared" si="12"/>
        <v>116</v>
      </c>
      <c r="DC13" s="48" t="str">
        <f t="shared" si="13"/>
        <v>6.</v>
      </c>
      <c r="DD13" s="48">
        <f t="shared" si="14"/>
        <v>6</v>
      </c>
      <c r="DE13" s="48">
        <f t="shared" si="15"/>
        <v>7</v>
      </c>
      <c r="DF13" s="48" t="str">
        <f t="shared" si="16"/>
        <v>6115</v>
      </c>
      <c r="DG13" s="48">
        <f>SUMIF(FCR!$BZ$4:$DB$500,DF13,FCR!$DE$4:$EG$500)</f>
        <v>2.4359999999999999</v>
      </c>
      <c r="DH13" s="48" t="str">
        <f t="shared" si="17"/>
        <v>7115</v>
      </c>
      <c r="DI13" s="48">
        <f>SUMIF(FCR!$BZ$4:$DB$142,DH13,FCR!$DE$4:$EG$142)</f>
        <v>2.4540000000000002</v>
      </c>
      <c r="DJ13" s="48">
        <f t="shared" si="18"/>
        <v>50</v>
      </c>
      <c r="DK13" s="55">
        <f t="shared" si="19"/>
        <v>2.4449999999999998</v>
      </c>
      <c r="DL13" s="48" t="str">
        <f t="shared" si="20"/>
        <v>6116</v>
      </c>
      <c r="DM13" s="48">
        <f>SUMIF(FCR!$BZ$4:$DB$142,DL13,FCR!$DE$4:$EG$142)</f>
        <v>2.4430000000000001</v>
      </c>
      <c r="DN13" s="53">
        <f t="shared" si="21"/>
        <v>0</v>
      </c>
      <c r="DO13" s="55">
        <f t="shared" si="22"/>
        <v>2.4359999999999999</v>
      </c>
      <c r="DP13" s="55">
        <f t="shared" si="23"/>
        <v>2.4409999999999998</v>
      </c>
      <c r="DQ13" s="55"/>
      <c r="DR13" s="55">
        <f t="shared" si="24"/>
        <v>2.4409999999999998</v>
      </c>
      <c r="DS13" s="55">
        <f t="shared" si="49"/>
        <v>0</v>
      </c>
      <c r="DT13" s="53">
        <f t="shared" si="50"/>
        <v>48</v>
      </c>
      <c r="DU13" s="59">
        <f t="shared" si="25"/>
        <v>1.6</v>
      </c>
    </row>
    <row r="14" spans="1:125">
      <c r="A14" s="53">
        <v>10</v>
      </c>
      <c r="B14" s="53" t="s">
        <v>333</v>
      </c>
      <c r="C14" s="53" t="s">
        <v>334</v>
      </c>
      <c r="D14" s="115" t="s">
        <v>322</v>
      </c>
      <c r="E14" s="49">
        <v>3000</v>
      </c>
      <c r="F14" s="49">
        <v>19500</v>
      </c>
      <c r="G14" s="49">
        <v>759716.62999999931</v>
      </c>
      <c r="H14" s="49">
        <v>48</v>
      </c>
      <c r="I14" s="49">
        <v>2952</v>
      </c>
      <c r="J14" s="49">
        <v>339480</v>
      </c>
      <c r="K14" s="52">
        <v>43961</v>
      </c>
      <c r="L14" s="52">
        <v>43961</v>
      </c>
      <c r="AC14" s="129" t="str">
        <f t="shared" si="26"/>
        <v>Xem chi tiết</v>
      </c>
      <c r="AD14" s="104" t="str">
        <f t="shared" si="27"/>
        <v>10</v>
      </c>
      <c r="AE14" s="49" t="s">
        <v>411</v>
      </c>
      <c r="AF14" s="28" t="s">
        <v>411</v>
      </c>
      <c r="AG14" s="104">
        <f t="shared" si="28"/>
        <v>3000</v>
      </c>
      <c r="AH14" s="104">
        <f t="shared" si="29"/>
        <v>6.5</v>
      </c>
      <c r="AI14" s="104">
        <f t="shared" si="30"/>
        <v>19500</v>
      </c>
      <c r="AJ14" s="104">
        <f t="shared" si="31"/>
        <v>48</v>
      </c>
      <c r="AK14" s="104">
        <f t="shared" si="32"/>
        <v>1.6</v>
      </c>
      <c r="AL14" s="104">
        <f t="shared" si="33"/>
        <v>2952</v>
      </c>
      <c r="AM14" s="104">
        <f t="shared" si="34"/>
        <v>115</v>
      </c>
      <c r="AN14" s="104">
        <f t="shared" si="35"/>
        <v>339480</v>
      </c>
      <c r="AO14" s="104">
        <f t="shared" si="36"/>
        <v>319980</v>
      </c>
      <c r="AP14" s="49">
        <f t="shared" si="37"/>
        <v>759717</v>
      </c>
      <c r="AQ14" s="104">
        <f t="shared" si="38"/>
        <v>257.39999999999998</v>
      </c>
      <c r="AR14" s="104">
        <f t="shared" si="39"/>
        <v>2.3740000000000001</v>
      </c>
      <c r="AS14" s="104">
        <f t="shared" si="40"/>
        <v>2.4409999999999998</v>
      </c>
      <c r="AT14" s="104">
        <f t="shared" si="41"/>
        <v>-6.7000000000000004E-2</v>
      </c>
      <c r="BE14" s="49">
        <f t="shared" si="0"/>
        <v>3000</v>
      </c>
      <c r="BF14" s="49">
        <f t="shared" si="1"/>
        <v>19500</v>
      </c>
      <c r="BG14" s="54">
        <f t="shared" si="2"/>
        <v>6.5</v>
      </c>
      <c r="BH14" s="112">
        <f t="shared" si="42"/>
        <v>0</v>
      </c>
      <c r="BJ14" s="55">
        <f t="shared" si="43"/>
        <v>2.3742628601787592</v>
      </c>
      <c r="BK14" s="55">
        <f t="shared" si="3"/>
        <v>2.4409999999999998</v>
      </c>
      <c r="BL14" s="55">
        <f t="shared" si="44"/>
        <v>-6.6737139821240632E-2</v>
      </c>
      <c r="BM14" s="53">
        <f t="shared" si="4"/>
        <v>759716.62999999931</v>
      </c>
      <c r="BN14" s="112">
        <f t="shared" si="5"/>
        <v>0</v>
      </c>
      <c r="BQ14" s="53">
        <f t="shared" si="45"/>
        <v>0</v>
      </c>
      <c r="BR14" s="53">
        <f t="shared" si="6"/>
        <v>2952</v>
      </c>
      <c r="BS14" s="53">
        <f t="shared" si="7"/>
        <v>339480</v>
      </c>
      <c r="BT14" s="56">
        <f t="shared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si="9"/>
        <v>3000</v>
      </c>
      <c r="CV14" s="53">
        <f t="shared" si="9"/>
        <v>19500</v>
      </c>
      <c r="CW14" s="58">
        <f t="shared" si="10"/>
        <v>6.5</v>
      </c>
      <c r="CX14" s="53">
        <f t="shared" si="47"/>
        <v>2952</v>
      </c>
      <c r="CY14" s="53">
        <f t="shared" si="47"/>
        <v>339480</v>
      </c>
      <c r="CZ14" s="58">
        <f t="shared" si="48"/>
        <v>115</v>
      </c>
      <c r="DA14" s="48" t="str">
        <f t="shared" si="11"/>
        <v>115</v>
      </c>
      <c r="DB14" s="48">
        <f t="shared" si="12"/>
        <v>116</v>
      </c>
      <c r="DC14" s="48" t="str">
        <f t="shared" si="13"/>
        <v>6.</v>
      </c>
      <c r="DD14" s="48">
        <f t="shared" si="14"/>
        <v>6</v>
      </c>
      <c r="DE14" s="48">
        <f t="shared" si="15"/>
        <v>7</v>
      </c>
      <c r="DF14" s="48" t="str">
        <f t="shared" si="16"/>
        <v>6115</v>
      </c>
      <c r="DG14" s="48">
        <f>SUMIF(FCR!$BZ$4:$DB$500,DF14,FCR!$DE$4:$EG$500)</f>
        <v>2.4359999999999999</v>
      </c>
      <c r="DH14" s="48" t="str">
        <f t="shared" si="17"/>
        <v>7115</v>
      </c>
      <c r="DI14" s="48">
        <f>SUMIF(FCR!$BZ$4:$DB$142,DH14,FCR!$DE$4:$EG$142)</f>
        <v>2.4540000000000002</v>
      </c>
      <c r="DJ14" s="48">
        <f t="shared" si="18"/>
        <v>50</v>
      </c>
      <c r="DK14" s="55">
        <f t="shared" si="19"/>
        <v>2.4449999999999998</v>
      </c>
      <c r="DL14" s="48" t="str">
        <f t="shared" si="20"/>
        <v>6116</v>
      </c>
      <c r="DM14" s="48">
        <f>SUMIF(FCR!$BZ$4:$DB$142,DL14,FCR!$DE$4:$EG$142)</f>
        <v>2.4430000000000001</v>
      </c>
      <c r="DN14" s="53">
        <f t="shared" si="21"/>
        <v>0</v>
      </c>
      <c r="DO14" s="55">
        <f t="shared" si="22"/>
        <v>2.4359999999999999</v>
      </c>
      <c r="DP14" s="55">
        <f t="shared" si="23"/>
        <v>2.4409999999999998</v>
      </c>
      <c r="DQ14" s="55"/>
      <c r="DR14" s="55">
        <f t="shared" si="24"/>
        <v>2.4409999999999998</v>
      </c>
      <c r="DS14" s="55">
        <f t="shared" si="49"/>
        <v>0</v>
      </c>
      <c r="DT14" s="53">
        <f t="shared" si="50"/>
        <v>48</v>
      </c>
      <c r="DU14" s="59">
        <f t="shared" si="25"/>
        <v>1.6</v>
      </c>
    </row>
    <row r="15" spans="1:125">
      <c r="A15" s="53">
        <v>11</v>
      </c>
      <c r="B15" s="53" t="s">
        <v>335</v>
      </c>
      <c r="C15" s="53" t="s">
        <v>336</v>
      </c>
      <c r="D15" s="115" t="s">
        <v>322</v>
      </c>
      <c r="E15" s="49">
        <v>2991</v>
      </c>
      <c r="F15" s="49">
        <v>19937</v>
      </c>
      <c r="G15" s="49">
        <v>737187.90999999829</v>
      </c>
      <c r="H15" s="49">
        <v>39</v>
      </c>
      <c r="I15" s="49">
        <v>2952</v>
      </c>
      <c r="J15" s="49">
        <v>339480</v>
      </c>
      <c r="K15" s="52">
        <v>43991</v>
      </c>
      <c r="L15" s="49">
        <v>43991</v>
      </c>
      <c r="AC15" s="129" t="str">
        <f t="shared" si="26"/>
        <v>Xem chi tiết</v>
      </c>
      <c r="AD15" s="104" t="str">
        <f t="shared" si="27"/>
        <v>11</v>
      </c>
      <c r="AE15" s="49" t="s">
        <v>411</v>
      </c>
      <c r="AF15" s="28" t="s">
        <v>411</v>
      </c>
      <c r="AG15" s="104">
        <f t="shared" si="28"/>
        <v>2991</v>
      </c>
      <c r="AH15" s="104">
        <f t="shared" si="29"/>
        <v>6.7</v>
      </c>
      <c r="AI15" s="104">
        <f t="shared" si="30"/>
        <v>19937</v>
      </c>
      <c r="AJ15" s="104">
        <f t="shared" si="31"/>
        <v>39</v>
      </c>
      <c r="AK15" s="104">
        <f t="shared" si="32"/>
        <v>1.3</v>
      </c>
      <c r="AL15" s="104">
        <f t="shared" si="33"/>
        <v>2952</v>
      </c>
      <c r="AM15" s="104">
        <f t="shared" si="34"/>
        <v>115</v>
      </c>
      <c r="AN15" s="104">
        <f t="shared" si="35"/>
        <v>339480</v>
      </c>
      <c r="AO15" s="104">
        <f t="shared" si="36"/>
        <v>319543</v>
      </c>
      <c r="AP15" s="49">
        <f t="shared" si="37"/>
        <v>737188</v>
      </c>
      <c r="AQ15" s="104">
        <f t="shared" si="38"/>
        <v>249.7</v>
      </c>
      <c r="AR15" s="104">
        <f t="shared" si="39"/>
        <v>2.3069999999999999</v>
      </c>
      <c r="AS15" s="104">
        <f t="shared" si="40"/>
        <v>2.4420000000000002</v>
      </c>
      <c r="AT15" s="104">
        <f t="shared" si="41"/>
        <v>-0.13500000000000001</v>
      </c>
      <c r="BE15" s="49">
        <f t="shared" si="0"/>
        <v>2991</v>
      </c>
      <c r="BF15" s="49">
        <f t="shared" si="1"/>
        <v>19937</v>
      </c>
      <c r="BG15" s="54">
        <f t="shared" si="2"/>
        <v>6.6656636576395858</v>
      </c>
      <c r="BH15" s="112">
        <f t="shared" si="42"/>
        <v>0</v>
      </c>
      <c r="BJ15" s="55">
        <f t="shared" si="43"/>
        <v>2.3070069129976192</v>
      </c>
      <c r="BK15" s="55">
        <f t="shared" si="3"/>
        <v>2.4420000000000002</v>
      </c>
      <c r="BL15" s="55">
        <f t="shared" si="44"/>
        <v>-0.134993087002381</v>
      </c>
      <c r="BM15" s="53">
        <f t="shared" si="4"/>
        <v>737187.90999999829</v>
      </c>
      <c r="BN15" s="112">
        <f t="shared" si="5"/>
        <v>0</v>
      </c>
      <c r="BQ15" s="53">
        <f t="shared" si="45"/>
        <v>0</v>
      </c>
      <c r="BR15" s="53">
        <f t="shared" si="6"/>
        <v>2952</v>
      </c>
      <c r="BS15" s="53">
        <f t="shared" si="7"/>
        <v>339480</v>
      </c>
      <c r="BT15" s="56">
        <f t="shared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si="9"/>
        <v>2991</v>
      </c>
      <c r="CV15" s="53">
        <f t="shared" si="9"/>
        <v>19937</v>
      </c>
      <c r="CW15" s="58">
        <f t="shared" si="10"/>
        <v>6.67</v>
      </c>
      <c r="CX15" s="53">
        <f t="shared" si="47"/>
        <v>2952</v>
      </c>
      <c r="CY15" s="53">
        <f t="shared" si="47"/>
        <v>339480</v>
      </c>
      <c r="CZ15" s="58">
        <f t="shared" si="48"/>
        <v>115</v>
      </c>
      <c r="DA15" s="48" t="str">
        <f t="shared" si="11"/>
        <v>115</v>
      </c>
      <c r="DB15" s="48">
        <f t="shared" si="12"/>
        <v>116</v>
      </c>
      <c r="DC15" s="48" t="str">
        <f t="shared" si="13"/>
        <v>6.</v>
      </c>
      <c r="DD15" s="48">
        <f t="shared" si="14"/>
        <v>6</v>
      </c>
      <c r="DE15" s="48">
        <f t="shared" si="15"/>
        <v>7</v>
      </c>
      <c r="DF15" s="48" t="str">
        <f t="shared" si="16"/>
        <v>6115</v>
      </c>
      <c r="DG15" s="48">
        <f>SUMIF(FCR!$BZ$4:$DB$500,DF15,FCR!$DE$4:$EG$500)</f>
        <v>2.4359999999999999</v>
      </c>
      <c r="DH15" s="48" t="str">
        <f t="shared" si="17"/>
        <v>7115</v>
      </c>
      <c r="DI15" s="48">
        <f>SUMIF(FCR!$BZ$4:$DB$142,DH15,FCR!$DE$4:$EG$142)</f>
        <v>2.4540000000000002</v>
      </c>
      <c r="DJ15" s="48">
        <f t="shared" si="18"/>
        <v>67</v>
      </c>
      <c r="DK15" s="55">
        <f t="shared" si="19"/>
        <v>2.448</v>
      </c>
      <c r="DL15" s="48" t="str">
        <f t="shared" si="20"/>
        <v>6116</v>
      </c>
      <c r="DM15" s="48">
        <f>SUMIF(FCR!$BZ$4:$DB$142,DL15,FCR!$DE$4:$EG$142)</f>
        <v>2.4430000000000001</v>
      </c>
      <c r="DN15" s="53">
        <f t="shared" si="21"/>
        <v>0</v>
      </c>
      <c r="DO15" s="55">
        <f t="shared" si="22"/>
        <v>2.4359999999999999</v>
      </c>
      <c r="DP15" s="55">
        <f t="shared" si="23"/>
        <v>2.4420000000000002</v>
      </c>
      <c r="DQ15" s="55"/>
      <c r="DR15" s="55">
        <f t="shared" si="24"/>
        <v>2.4420000000000002</v>
      </c>
      <c r="DS15" s="55">
        <f t="shared" si="49"/>
        <v>0</v>
      </c>
      <c r="DT15" s="53">
        <f t="shared" si="50"/>
        <v>39</v>
      </c>
      <c r="DU15" s="59">
        <f t="shared" si="25"/>
        <v>1.3</v>
      </c>
    </row>
    <row r="16" spans="1:125">
      <c r="A16" s="53">
        <v>12</v>
      </c>
      <c r="B16" s="53" t="s">
        <v>337</v>
      </c>
      <c r="K16" s="52"/>
      <c r="AC16" s="129" t="str">
        <f t="shared" si="26"/>
        <v/>
      </c>
      <c r="AD16" s="104" t="str">
        <f t="shared" si="27"/>
        <v>12</v>
      </c>
      <c r="AE16" s="49" t="s">
        <v>411</v>
      </c>
      <c r="AF16" s="28" t="s">
        <v>411</v>
      </c>
      <c r="AG16" s="104">
        <f t="shared" si="28"/>
        <v>0</v>
      </c>
      <c r="AH16" s="104">
        <f t="shared" si="29"/>
        <v>0</v>
      </c>
      <c r="AI16" s="104">
        <f t="shared" si="30"/>
        <v>0</v>
      </c>
      <c r="AJ16" s="104">
        <f t="shared" si="31"/>
        <v>0</v>
      </c>
      <c r="AK16" s="104">
        <f t="shared" si="32"/>
        <v>0</v>
      </c>
      <c r="AL16" s="104">
        <f t="shared" si="33"/>
        <v>0</v>
      </c>
      <c r="AM16" s="104">
        <f t="shared" si="34"/>
        <v>0</v>
      </c>
      <c r="AN16" s="104">
        <f t="shared" si="35"/>
        <v>0</v>
      </c>
      <c r="AO16" s="104">
        <f t="shared" si="36"/>
        <v>0</v>
      </c>
      <c r="AP16" s="49">
        <f t="shared" si="37"/>
        <v>0</v>
      </c>
      <c r="AQ16" s="104">
        <f t="shared" si="38"/>
        <v>0</v>
      </c>
      <c r="AR16" s="104">
        <f t="shared" si="39"/>
        <v>0</v>
      </c>
      <c r="AS16" s="104">
        <f t="shared" si="40"/>
        <v>0</v>
      </c>
      <c r="AT16" s="104">
        <f t="shared" si="41"/>
        <v>0</v>
      </c>
      <c r="BE16" s="49">
        <f t="shared" si="0"/>
        <v>0</v>
      </c>
      <c r="BF16" s="49">
        <f t="shared" si="1"/>
        <v>0</v>
      </c>
      <c r="BG16" s="54" t="e">
        <f t="shared" si="2"/>
        <v>#DIV/0!</v>
      </c>
      <c r="BH16" s="112" t="e">
        <f t="shared" si="42"/>
        <v>#DIV/0!</v>
      </c>
      <c r="BJ16" s="55" t="e">
        <f t="shared" si="43"/>
        <v>#DIV/0!</v>
      </c>
      <c r="BK16" s="55" t="e">
        <f t="shared" si="3"/>
        <v>#DIV/0!</v>
      </c>
      <c r="BL16" s="55" t="e">
        <f t="shared" si="44"/>
        <v>#DIV/0!</v>
      </c>
      <c r="BM16" s="53">
        <f t="shared" si="4"/>
        <v>0</v>
      </c>
      <c r="BN16" s="112" t="e">
        <f t="shared" si="5"/>
        <v>#DIV/0!</v>
      </c>
      <c r="BQ16" s="53" t="e">
        <f t="shared" si="45"/>
        <v>#DIV/0!</v>
      </c>
      <c r="BR16" s="53">
        <f t="shared" si="6"/>
        <v>0</v>
      </c>
      <c r="BS16" s="53">
        <f t="shared" si="7"/>
        <v>0</v>
      </c>
      <c r="BT16" s="56" t="e">
        <f t="shared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si="9"/>
        <v>0</v>
      </c>
      <c r="CV16" s="53">
        <f t="shared" si="9"/>
        <v>0</v>
      </c>
      <c r="CW16" s="58" t="e">
        <f t="shared" si="10"/>
        <v>#DIV/0!</v>
      </c>
      <c r="CX16" s="53">
        <f t="shared" si="47"/>
        <v>0</v>
      </c>
      <c r="CY16" s="53">
        <f t="shared" si="47"/>
        <v>0</v>
      </c>
      <c r="CZ16" s="58" t="e">
        <f t="shared" si="48"/>
        <v>#DIV/0!</v>
      </c>
      <c r="DA16" s="48" t="e">
        <f t="shared" si="11"/>
        <v>#DIV/0!</v>
      </c>
      <c r="DB16" s="48" t="e">
        <f t="shared" si="12"/>
        <v>#DIV/0!</v>
      </c>
      <c r="DC16" s="48" t="e">
        <f t="shared" si="13"/>
        <v>#DIV/0!</v>
      </c>
      <c r="DD16" s="48" t="e">
        <f t="shared" si="14"/>
        <v>#DIV/0!</v>
      </c>
      <c r="DE16" s="48" t="e">
        <f t="shared" si="15"/>
        <v>#DIV/0!</v>
      </c>
      <c r="DF16" s="48" t="e">
        <f t="shared" si="16"/>
        <v>#DIV/0!</v>
      </c>
      <c r="DG16" s="48">
        <f>SUMIF(FCR!$BZ$4:$DB$500,DF16,FCR!$DE$4:$EG$500)</f>
        <v>0</v>
      </c>
      <c r="DH16" s="48" t="e">
        <f t="shared" si="17"/>
        <v>#DIV/0!</v>
      </c>
      <c r="DI16" s="48">
        <f>SUMIF(FCR!$BZ$4:$DB$142,DH16,FCR!$DE$4:$EG$142)</f>
        <v>0</v>
      </c>
      <c r="DJ16" s="48" t="e">
        <f t="shared" si="18"/>
        <v>#DIV/0!</v>
      </c>
      <c r="DK16" s="55" t="e">
        <f t="shared" si="19"/>
        <v>#DIV/0!</v>
      </c>
      <c r="DL16" s="48" t="e">
        <f t="shared" si="20"/>
        <v>#DIV/0!</v>
      </c>
      <c r="DM16" s="48">
        <f>SUMIF(FCR!$BZ$4:$DB$142,DL16,FCR!$DE$4:$EG$142)</f>
        <v>0</v>
      </c>
      <c r="DN16" s="53" t="e">
        <f t="shared" si="21"/>
        <v>#DIV/0!</v>
      </c>
      <c r="DO16" s="55" t="e">
        <f t="shared" si="22"/>
        <v>#DIV/0!</v>
      </c>
      <c r="DP16" s="55" t="e">
        <f t="shared" si="23"/>
        <v>#DIV/0!</v>
      </c>
      <c r="DQ16" s="55"/>
      <c r="DR16" s="55" t="e">
        <f t="shared" si="24"/>
        <v>#DIV/0!</v>
      </c>
      <c r="DS16" s="55" t="e">
        <f t="shared" si="49"/>
        <v>#DIV/0!</v>
      </c>
      <c r="DT16" s="53">
        <f t="shared" si="50"/>
        <v>0</v>
      </c>
      <c r="DU16" s="59" t="e">
        <f t="shared" si="25"/>
        <v>#DIV/0!</v>
      </c>
    </row>
    <row r="17" spans="29:125">
      <c r="AC17" s="104" t="s">
        <v>411</v>
      </c>
      <c r="AD17" s="104" t="s">
        <v>338</v>
      </c>
      <c r="AE17" s="49" t="s">
        <v>411</v>
      </c>
      <c r="AF17" s="28" t="s">
        <v>411</v>
      </c>
      <c r="AG17" s="104">
        <f>+SUM(AG5:AG16)</f>
        <v>11991</v>
      </c>
      <c r="AH17" s="104">
        <f>ROUND(AI17/AG17,1)</f>
        <v>6.5</v>
      </c>
      <c r="AI17" s="104">
        <f>+SUM(AI5:AI16)</f>
        <v>78437</v>
      </c>
      <c r="AJ17" s="104">
        <f>+SUM(AJ5:AJ16)</f>
        <v>183</v>
      </c>
      <c r="AK17" s="104">
        <f>+ROUND(AJ17/AG17*100,1)</f>
        <v>1.5</v>
      </c>
      <c r="AL17" s="104">
        <f>+SUM(AL5:AL16)</f>
        <v>11808</v>
      </c>
      <c r="AM17" s="104">
        <f>+ROUND(AN17/AL17,1)</f>
        <v>115</v>
      </c>
      <c r="AN17" s="104">
        <f>+SUM(AN5:AN16)</f>
        <v>1357920</v>
      </c>
      <c r="AO17" s="104">
        <f>+SUM(AO5:AO16)</f>
        <v>1279483</v>
      </c>
      <c r="AP17" s="104">
        <f>+ROUND(SUM(AP5:AP16),0)</f>
        <v>3016339</v>
      </c>
      <c r="AQ17" s="104">
        <f>+ROUND(AP17/AL17,1)</f>
        <v>255.4</v>
      </c>
      <c r="AR17" s="104">
        <f>+ROUND(IFERROR(BJ17,0),3)</f>
        <v>2.3570000000000002</v>
      </c>
      <c r="AS17" s="104">
        <f>+ROUND(IFERROR(BK17,0),3)</f>
        <v>2.4409999999999998</v>
      </c>
      <c r="AT17" s="104">
        <f>+ROUND(IFERROR(BL17,0),3)</f>
        <v>-8.4000000000000005E-2</v>
      </c>
      <c r="BE17" s="49">
        <f>+SUM(BE5:BE16)</f>
        <v>11991</v>
      </c>
      <c r="BF17" s="49">
        <f>+SUM(BF5:BF16)</f>
        <v>78437</v>
      </c>
      <c r="BG17" s="54">
        <f>+BF17/BE17</f>
        <v>6.5413226586606621</v>
      </c>
      <c r="BH17" s="112">
        <f t="shared" si="42"/>
        <v>0</v>
      </c>
      <c r="BJ17" s="55">
        <f>BM17/(BS17-BF17)</f>
        <v>2.3574661015425731</v>
      </c>
      <c r="BK17" s="55">
        <f t="shared" si="3"/>
        <v>2.4409999999999998</v>
      </c>
      <c r="BL17" s="55">
        <f t="shared" si="44"/>
        <v>-8.3533898457426758E-2</v>
      </c>
      <c r="BM17" s="53">
        <f>+SUM(BM5:BM16)</f>
        <v>3016337.7999999961</v>
      </c>
      <c r="BN17" s="112">
        <f t="shared" si="5"/>
        <v>0</v>
      </c>
      <c r="BQ17" s="53">
        <f t="shared" si="45"/>
        <v>0</v>
      </c>
      <c r="BR17" s="53">
        <f>+SUM(BR5:BR16)</f>
        <v>11808</v>
      </c>
      <c r="BS17" s="53">
        <f>+SUM(BS5:BS16)</f>
        <v>1357920</v>
      </c>
      <c r="BT17" s="56">
        <f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si="9"/>
        <v>11991</v>
      </c>
      <c r="CV17" s="53">
        <f>BF17</f>
        <v>78437</v>
      </c>
      <c r="CW17" s="58">
        <f t="shared" si="10"/>
        <v>6.54</v>
      </c>
      <c r="CX17" s="53">
        <f t="shared" si="47"/>
        <v>11808</v>
      </c>
      <c r="CY17" s="53">
        <f t="shared" si="47"/>
        <v>1357920</v>
      </c>
      <c r="CZ17" s="58">
        <f t="shared" si="48"/>
        <v>115</v>
      </c>
      <c r="DA17" s="48" t="str">
        <f t="shared" si="11"/>
        <v>115</v>
      </c>
      <c r="DB17" s="48">
        <f t="shared" si="12"/>
        <v>116</v>
      </c>
      <c r="DC17" s="48" t="str">
        <f t="shared" si="13"/>
        <v>6.</v>
      </c>
      <c r="DD17" s="48">
        <f t="shared" si="14"/>
        <v>6</v>
      </c>
      <c r="DE17" s="48">
        <f t="shared" si="15"/>
        <v>7</v>
      </c>
      <c r="DF17" s="48" t="str">
        <f t="shared" si="16"/>
        <v>6115</v>
      </c>
      <c r="DG17" s="48">
        <f>SUMIF(FCR!$BZ$4:$DB$500,DF17,FCR!$DE$4:$EG$500)</f>
        <v>2.4359999999999999</v>
      </c>
      <c r="DH17" s="48" t="str">
        <f t="shared" si="17"/>
        <v>7115</v>
      </c>
      <c r="DI17" s="48">
        <f>SUMIF(FCR!$BZ$4:$DB$142,DH17,FCR!$DE$4:$EG$142)</f>
        <v>2.4540000000000002</v>
      </c>
      <c r="DJ17" s="48">
        <f t="shared" si="18"/>
        <v>54</v>
      </c>
      <c r="DK17" s="55">
        <f t="shared" si="19"/>
        <v>2.4460000000000002</v>
      </c>
      <c r="DL17" s="48" t="str">
        <f t="shared" si="20"/>
        <v>6116</v>
      </c>
      <c r="DM17" s="48">
        <f>SUMIF(FCR!$BZ$4:$DB$142,DL17,FCR!$DE$4:$EG$142)</f>
        <v>2.4430000000000001</v>
      </c>
      <c r="DN17" s="53">
        <f t="shared" si="21"/>
        <v>0</v>
      </c>
      <c r="DO17" s="55">
        <f t="shared" si="22"/>
        <v>2.4359999999999999</v>
      </c>
      <c r="DP17" s="55">
        <f t="shared" si="23"/>
        <v>2.4409999999999998</v>
      </c>
      <c r="DQ17" s="55"/>
      <c r="DR17" s="55">
        <f t="shared" si="24"/>
        <v>2.4409999999999998</v>
      </c>
      <c r="DS17" s="55">
        <f t="shared" si="49"/>
        <v>0</v>
      </c>
      <c r="DT17" s="53">
        <f t="shared" si="50"/>
        <v>183</v>
      </c>
      <c r="DU17" s="59">
        <f t="shared" si="25"/>
        <v>1.53</v>
      </c>
    </row>
    <row r="18" spans="29:125"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29:125"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29:125"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29:125"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AF3" sqref="AF3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49" t="s">
        <v>413</v>
      </c>
      <c r="B1" s="140" t="s">
        <v>14</v>
      </c>
      <c r="C1" s="151" t="s">
        <v>15</v>
      </c>
      <c r="D1" s="152" t="s">
        <v>16</v>
      </c>
      <c r="E1" s="150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1" t="s">
        <v>21</v>
      </c>
      <c r="BG1" s="141"/>
      <c r="BH1" s="141"/>
      <c r="BI1" s="141"/>
      <c r="BJ1" s="141"/>
      <c r="BK1" s="141" t="s">
        <v>22</v>
      </c>
      <c r="BL1" s="141"/>
      <c r="BM1" s="141"/>
      <c r="BN1" s="141"/>
      <c r="BO1" s="141"/>
      <c r="BP1" s="141"/>
      <c r="BQ1" s="144" t="s">
        <v>23</v>
      </c>
      <c r="BR1" s="141" t="s">
        <v>24</v>
      </c>
      <c r="BS1" s="141" t="s">
        <v>25</v>
      </c>
      <c r="BT1" s="145" t="s">
        <v>26</v>
      </c>
      <c r="BU1" s="146" t="s">
        <v>27</v>
      </c>
      <c r="BV1" s="141" t="s">
        <v>28</v>
      </c>
      <c r="BW1" s="141" t="s">
        <v>29</v>
      </c>
      <c r="BX1" s="141" t="s">
        <v>30</v>
      </c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3" t="s">
        <v>39</v>
      </c>
      <c r="DE1" s="143"/>
      <c r="DF1" s="143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49"/>
      <c r="B2" s="140"/>
      <c r="C2" s="151"/>
      <c r="D2" s="152"/>
      <c r="E2" s="150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42" t="s">
        <v>18</v>
      </c>
      <c r="M2" s="142" t="s">
        <v>19</v>
      </c>
      <c r="N2" s="144" t="s">
        <v>17</v>
      </c>
      <c r="O2" s="141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4"/>
      <c r="BR2" s="141"/>
      <c r="BS2" s="141"/>
      <c r="BT2" s="145"/>
      <c r="BU2" s="146"/>
      <c r="BV2" s="141"/>
      <c r="BW2" s="141"/>
      <c r="BX2" s="144" t="s">
        <v>86</v>
      </c>
      <c r="BY2" s="144"/>
      <c r="BZ2" s="144" t="s">
        <v>87</v>
      </c>
      <c r="CA2" s="144"/>
      <c r="CB2" s="144" t="s">
        <v>88</v>
      </c>
      <c r="CC2" s="144"/>
      <c r="CD2" s="144" t="s">
        <v>89</v>
      </c>
      <c r="CE2" s="144"/>
      <c r="CF2" s="144" t="s">
        <v>90</v>
      </c>
      <c r="CG2" s="144"/>
      <c r="CH2" s="147" t="s">
        <v>91</v>
      </c>
      <c r="CI2" s="144"/>
      <c r="CJ2" s="147" t="s">
        <v>92</v>
      </c>
      <c r="CK2" s="144"/>
      <c r="CL2" s="147">
        <v>962</v>
      </c>
      <c r="CM2" s="144"/>
      <c r="CN2" s="144">
        <v>972</v>
      </c>
      <c r="CO2" s="144"/>
      <c r="CP2" s="144">
        <v>972</v>
      </c>
      <c r="CQ2" s="144"/>
      <c r="CR2" s="144">
        <v>982</v>
      </c>
      <c r="CS2" s="144"/>
      <c r="CT2" s="148" t="s">
        <v>93</v>
      </c>
      <c r="CU2" s="148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2"/>
      <c r="M3" s="142"/>
      <c r="N3" s="144"/>
      <c r="O3" s="141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414</v>
      </c>
      <c r="AE4" s="38" t="s">
        <v>413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327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 s="28" t="s">
        <v>336</v>
      </c>
      <c r="B5" s="115" t="s">
        <v>322</v>
      </c>
      <c r="C5" s="123" t="s">
        <v>100</v>
      </c>
      <c r="D5" s="114" t="s">
        <v>326</v>
      </c>
      <c r="E5" s="114" t="s">
        <v>448</v>
      </c>
      <c r="F5" s="49">
        <v>991</v>
      </c>
      <c r="G5" s="49">
        <v>6937</v>
      </c>
      <c r="H5" s="49">
        <v>225407</v>
      </c>
      <c r="I5" s="49">
        <v>9</v>
      </c>
      <c r="J5" s="49">
        <v>982</v>
      </c>
      <c r="K5" s="52">
        <v>112930</v>
      </c>
      <c r="L5" s="52">
        <v>44006</v>
      </c>
      <c r="M5" s="52">
        <v>44006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411</v>
      </c>
      <c r="AE5" s="49" t="str">
        <f>+A5</f>
        <v>11</v>
      </c>
      <c r="AF5" s="49" t="str">
        <f>+C5</f>
        <v>Gia bình</v>
      </c>
      <c r="AG5" s="114" t="str">
        <f>+D5</f>
        <v>3</v>
      </c>
      <c r="AH5" s="104">
        <f>+BF5</f>
        <v>991</v>
      </c>
      <c r="AI5" s="104">
        <f>+ROUND(IFERROR(BH5,0),1)</f>
        <v>7</v>
      </c>
      <c r="AJ5" s="104">
        <f>+BG5</f>
        <v>6937</v>
      </c>
      <c r="AK5" s="104">
        <f>+DU5</f>
        <v>9</v>
      </c>
      <c r="AL5" s="104">
        <f>+ROUND(IFERROR(DV5,0),1)</f>
        <v>0.9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105993</v>
      </c>
      <c r="AQ5" s="49">
        <f>+ROUND(BN5,0)</f>
        <v>225407</v>
      </c>
      <c r="AR5" s="104">
        <f>+ROUND(IFERROR(AQ5/AM5,0),1)</f>
        <v>229.5</v>
      </c>
      <c r="AS5" s="104">
        <f>+ROUND(IFERROR(BK5,0),3)</f>
        <v>2.1269999999999998</v>
      </c>
      <c r="AT5" s="104">
        <f>+ROUND(IFERROR(BL5,0),3)</f>
        <v>2.4540000000000002</v>
      </c>
      <c r="AU5" s="104">
        <f>+ROUND(IFERROR(BM5,0),3)</f>
        <v>-0.32700000000000001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991</v>
      </c>
      <c r="BG5" s="49">
        <f t="shared" si="0"/>
        <v>6937</v>
      </c>
      <c r="BH5" s="54">
        <f t="shared" ref="BH5:BH12" si="1">BG5/BF5</f>
        <v>7</v>
      </c>
      <c r="BI5" s="112">
        <f>BJ5/BF5</f>
        <v>0</v>
      </c>
      <c r="BJ5" s="113"/>
      <c r="BK5" s="55">
        <f>BN5/(BT5-BG5)</f>
        <v>2.1266215693489192</v>
      </c>
      <c r="BL5" s="55">
        <f t="shared" ref="BL5:BL12" si="2">DS5</f>
        <v>2.4540000000000002</v>
      </c>
      <c r="BM5" s="55">
        <f>BK5-BL5</f>
        <v>-0.32737843065108096</v>
      </c>
      <c r="BN5" s="53">
        <f t="shared" ref="BN5:BN12" si="3">+H5</f>
        <v>225407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991</v>
      </c>
      <c r="CW5" s="53">
        <f t="shared" si="7"/>
        <v>6937</v>
      </c>
      <c r="CX5" s="58">
        <f t="shared" ref="CX5:CX12" si="8">ROUND(BH5,2)</f>
        <v>7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7</v>
      </c>
      <c r="DE5" s="48">
        <f t="shared" ref="DE5:DE12" si="12">ROUND(DD5,0)</f>
        <v>7</v>
      </c>
      <c r="DF5" s="48">
        <f t="shared" ref="DF5:DF12" si="13">+DD5+1</f>
        <v>8</v>
      </c>
      <c r="DG5" s="48" t="str">
        <f t="shared" ref="DG5:DG12" si="14">DE5&amp;DB5</f>
        <v>7115</v>
      </c>
      <c r="DH5" s="48">
        <f>SUMIF(FCR!$BZ$4:$DB$500,DG5,FCR!$DE$4:$EG$500)</f>
        <v>2.4540000000000002</v>
      </c>
      <c r="DI5" s="48" t="str">
        <f t="shared" ref="DI5:DI12" si="15">DF5&amp;DB5</f>
        <v>8115</v>
      </c>
      <c r="DJ5" s="48">
        <f>SUMIF(FCR!$BZ$4:$DB$142,DI5,FCR!$DE$4:$EG$142)</f>
        <v>2.4700000000000002</v>
      </c>
      <c r="DK5" s="48">
        <f t="shared" ref="DK5:DK12" si="16">(CX5-DE5)*100</f>
        <v>0</v>
      </c>
      <c r="DL5" s="55">
        <f t="shared" ref="DL5:DL12" si="17">ROUND(DH5+(DJ5-DH5)/100*DK5,3)</f>
        <v>2.4540000000000002</v>
      </c>
      <c r="DM5" s="48" t="str">
        <f t="shared" ref="DM5:DM12" si="18">DE5&amp;DC5</f>
        <v>7116</v>
      </c>
      <c r="DN5" s="48">
        <f>SUMIF(FCR!$BZ$4:$DB$142,DM5,FCR!$DE$4:$EG$142)</f>
        <v>2.4609999999999999</v>
      </c>
      <c r="DO5" s="53">
        <f t="shared" ref="DO5:DO12" si="19">(DA5-DB5)*100</f>
        <v>0</v>
      </c>
      <c r="DP5" s="55">
        <f t="shared" ref="DP5:DP12" si="20">ROUND(DH5+(DN5-DH5)/100*DO5,3)</f>
        <v>2.4540000000000002</v>
      </c>
      <c r="DQ5" s="55">
        <f t="shared" ref="DQ5:DQ12" si="21">ROUND((DP5+DL5)/2,3)</f>
        <v>2.4540000000000002</v>
      </c>
      <c r="DR5" s="55"/>
      <c r="DS5" s="55">
        <f t="shared" ref="DS5:DS12" si="22">DR5+DQ5</f>
        <v>2.4540000000000002</v>
      </c>
      <c r="DT5" s="55">
        <f>+DQ5-BL5</f>
        <v>0</v>
      </c>
      <c r="DU5" s="53">
        <f>CV5-CY5</f>
        <v>9</v>
      </c>
      <c r="DV5" s="59">
        <f t="shared" ref="DV5:DV12" si="23">ROUND(DU5/CV5*100,2)</f>
        <v>0.91</v>
      </c>
    </row>
    <row r="6" spans="1:126">
      <c r="A6" s="53" t="s">
        <v>336</v>
      </c>
      <c r="B6" s="115" t="s">
        <v>322</v>
      </c>
      <c r="C6" s="123" t="s">
        <v>101</v>
      </c>
      <c r="D6" s="114" t="s">
        <v>326</v>
      </c>
      <c r="E6" s="114" t="s">
        <v>448</v>
      </c>
      <c r="F6" s="49">
        <v>2000</v>
      </c>
      <c r="G6" s="49">
        <v>13000</v>
      </c>
      <c r="H6" s="49">
        <v>511780.90999999904</v>
      </c>
      <c r="I6" s="49">
        <v>30</v>
      </c>
      <c r="J6" s="49">
        <v>1970</v>
      </c>
      <c r="K6" s="52">
        <v>226550</v>
      </c>
      <c r="L6" s="52">
        <v>43991</v>
      </c>
      <c r="M6" s="52">
        <v>43991</v>
      </c>
      <c r="AD6" s="49" t="s">
        <v>411</v>
      </c>
      <c r="AE6" s="49" t="str">
        <f t="shared" ref="AE6:AE69" si="24">+A6</f>
        <v>11</v>
      </c>
      <c r="AF6" s="49" t="str">
        <f t="shared" ref="AF6:AF12" si="25">+C6</f>
        <v>Lương Tài</v>
      </c>
      <c r="AG6" s="114" t="str">
        <f t="shared" ref="AG6:AG12" si="26">+D6</f>
        <v>3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511781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2.3965390306719692</v>
      </c>
      <c r="BL6" s="55">
        <f t="shared" si="2"/>
        <v>2.4409999999999998</v>
      </c>
      <c r="BM6" s="55">
        <f t="shared" ref="BM6:BM12" si="41">BK6-BL6</f>
        <v>-4.4460969328030675E-2</v>
      </c>
      <c r="BN6" s="53">
        <f t="shared" si="3"/>
        <v>511780.90999999904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>
      <c r="C7" s="123"/>
      <c r="K7" s="52"/>
      <c r="L7" s="52"/>
      <c r="M7" s="52"/>
      <c r="AD7" s="49" t="s">
        <v>411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>
      <c r="C8" s="123"/>
      <c r="K8" s="52"/>
      <c r="L8" s="52"/>
      <c r="M8" s="52"/>
      <c r="AD8" s="49" t="s">
        <v>411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>
      <c r="C9" s="123"/>
      <c r="K9" s="52"/>
      <c r="L9" s="52"/>
      <c r="M9" s="52"/>
      <c r="AD9" s="49" t="s">
        <v>411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>
      <c r="C10" s="123"/>
      <c r="K10" s="52"/>
      <c r="L10" s="52"/>
      <c r="M10" s="52"/>
      <c r="AD10" s="49" t="s">
        <v>411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>
      <c r="C11" s="123"/>
      <c r="D11" s="115"/>
      <c r="E11" s="123"/>
      <c r="F11" s="115"/>
      <c r="G11" s="123"/>
      <c r="H11" s="115"/>
      <c r="I11" s="123"/>
      <c r="J11" s="115"/>
      <c r="K11" s="123"/>
      <c r="L11" s="123"/>
      <c r="M11" s="123"/>
      <c r="N11" s="115"/>
      <c r="O11" s="123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411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>
      <c r="C12" s="123"/>
      <c r="K12" s="52"/>
      <c r="L12" s="52"/>
      <c r="M12" s="52"/>
      <c r="AD12" s="49" t="s">
        <v>411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>
      <c r="C13" s="123"/>
      <c r="K13" s="52"/>
      <c r="L13" s="52"/>
      <c r="M13" s="52"/>
      <c r="AD13" s="49" t="s">
        <v>411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>
      <c r="C14" s="123"/>
      <c r="K14" s="52"/>
      <c r="L14" s="52"/>
      <c r="M14" s="52"/>
      <c r="AD14" s="49" t="s">
        <v>411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>
      <c r="C15" s="123"/>
      <c r="K15" s="52"/>
      <c r="L15" s="52"/>
      <c r="AD15" s="49" t="s">
        <v>411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>
      <c r="C16" s="123"/>
      <c r="K16" s="52"/>
      <c r="L16" s="52"/>
      <c r="AD16" s="49" t="s">
        <v>411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30:126">
      <c r="AD17" s="49" t="s">
        <v>411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30:126">
      <c r="AD18" s="49" t="s">
        <v>411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30:126">
      <c r="AD19" s="49" t="s">
        <v>411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30:126">
      <c r="AD20" s="49" t="s">
        <v>411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30:126">
      <c r="AD21" s="49" t="s">
        <v>411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30:126">
      <c r="AD22" s="49" t="s">
        <v>411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30:126">
      <c r="AD23" s="49" t="s">
        <v>411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30:126">
      <c r="AD24" s="49" t="s">
        <v>411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30:126">
      <c r="AD25" s="49" t="s">
        <v>411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30:126">
      <c r="AD26" s="49" t="s">
        <v>411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30:126">
      <c r="AD27" s="49" t="s">
        <v>411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30:126">
      <c r="AD28" s="49" t="s">
        <v>411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30:126">
      <c r="AD29" s="49" t="s">
        <v>411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30:126">
      <c r="AD30" s="49" t="s">
        <v>411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30:126">
      <c r="AD31" s="49" t="s">
        <v>411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30:126">
      <c r="AD32" s="49" t="s">
        <v>411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30:126">
      <c r="AD33" s="49" t="s">
        <v>411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30:126">
      <c r="AD34" s="49" t="s">
        <v>411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30:126">
      <c r="AD35" s="49" t="s">
        <v>411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30:126">
      <c r="AD36" s="49" t="s">
        <v>411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30:126">
      <c r="AD37" s="49" t="s">
        <v>411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30:126">
      <c r="AD38" s="49" t="s">
        <v>411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30:126">
      <c r="AD39" s="49" t="s">
        <v>411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30:126">
      <c r="AD40" s="49" t="s">
        <v>411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30:126">
      <c r="AD41" s="49" t="s">
        <v>411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30:126">
      <c r="AD42" s="49" t="s">
        <v>411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30:126">
      <c r="AD43" s="49" t="s">
        <v>411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30:126">
      <c r="AD44" s="49" t="s">
        <v>411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30:126">
      <c r="AD45" s="49" t="s">
        <v>411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30:126">
      <c r="AD46" s="49" t="s">
        <v>411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30:126">
      <c r="AD47" s="49" t="s">
        <v>411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30:126">
      <c r="AD48" s="49" t="s">
        <v>411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30:126">
      <c r="AD49" s="49" t="s">
        <v>411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30:126">
      <c r="AD50" s="49" t="s">
        <v>411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30:126">
      <c r="AD51" s="49" t="s">
        <v>411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30:126">
      <c r="AD52" s="49" t="s">
        <v>411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30:126">
      <c r="AD53" s="49" t="s">
        <v>411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30:126">
      <c r="AD54" s="49" t="s">
        <v>411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30:126">
      <c r="AD55" s="49" t="s">
        <v>411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30:126">
      <c r="AD56" s="49" t="s">
        <v>411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30:126">
      <c r="AD57" s="49" t="s">
        <v>411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30:126">
      <c r="AD58" s="49" t="s">
        <v>411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30:126">
      <c r="AD59" s="49" t="s">
        <v>411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30:126">
      <c r="AD60" s="49" t="s">
        <v>411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30:126">
      <c r="AD61" s="49" t="s">
        <v>411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30:126">
      <c r="AD62" s="49" t="s">
        <v>411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30:126">
      <c r="AD63" s="49" t="s">
        <v>411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30:126">
      <c r="AD64" s="49" t="s">
        <v>411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30:126">
      <c r="AD65" s="49" t="s">
        <v>411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30:126">
      <c r="AD66" s="49" t="s">
        <v>411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30:126">
      <c r="AD67" s="49" t="s">
        <v>411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30:126">
      <c r="AD68" s="49" t="s">
        <v>411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30:126">
      <c r="AD69" s="49" t="s">
        <v>411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30:126">
      <c r="AD70" s="49" t="s">
        <v>411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30:126">
      <c r="AD71" s="49" t="s">
        <v>411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30:126">
      <c r="AD72" s="49" t="s">
        <v>411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30:126">
      <c r="AD73" s="49" t="s">
        <v>411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30:126">
      <c r="AD74" s="49" t="s">
        <v>411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30:126">
      <c r="AD75" s="49" t="s">
        <v>411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30:126">
      <c r="AD76" s="49" t="s">
        <v>411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30:126">
      <c r="AD77" s="49" t="s">
        <v>411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30:126">
      <c r="AD78" s="49" t="s">
        <v>411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30:126">
      <c r="AD79" s="49" t="s">
        <v>411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30:126">
      <c r="AD80" s="49" t="s">
        <v>411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30:126">
      <c r="AD81" s="49" t="s">
        <v>411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30:126">
      <c r="AD82" s="49" t="s">
        <v>411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30:126">
      <c r="AD83" s="49" t="s">
        <v>411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30:126">
      <c r="AD84" s="49" t="s">
        <v>411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30:126">
      <c r="AD85" s="49" t="s">
        <v>411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30:126">
      <c r="AD86" s="49" t="s">
        <v>411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30:126">
      <c r="AD87" s="49" t="s">
        <v>411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30:126">
      <c r="AD88" s="49" t="s">
        <v>411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30:126">
      <c r="AD89" s="49" t="s">
        <v>411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30:126">
      <c r="AD90" s="49" t="s">
        <v>411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30:126">
      <c r="AD91" s="49" t="s">
        <v>411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30:126">
      <c r="AD92" s="49" t="s">
        <v>411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30:126">
      <c r="AD93" s="49" t="s">
        <v>411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30:126">
      <c r="AD94" s="49" t="s">
        <v>411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30:126">
      <c r="AD95" s="49" t="s">
        <v>411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30:126">
      <c r="AD96" s="49" t="s">
        <v>411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30:126">
      <c r="AD97" s="49" t="s">
        <v>411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30:126">
      <c r="AD98" s="49" t="s">
        <v>411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30:126">
      <c r="AD99" s="49" t="s">
        <v>411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30:126">
      <c r="AD100" s="49" t="s">
        <v>411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30:126">
      <c r="AD101" s="49" t="s">
        <v>411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30:126">
      <c r="AD102" s="49" t="s">
        <v>411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30:126">
      <c r="AD103" s="49" t="s">
        <v>411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30:126">
      <c r="AD104" s="49" t="s">
        <v>411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30:126">
      <c r="AD105" s="49" t="s">
        <v>411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30:126">
      <c r="AD106" s="49" t="s">
        <v>411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30:126">
      <c r="AD107" s="49" t="s">
        <v>411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30:126">
      <c r="AD108" s="49" t="s">
        <v>411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30:126">
      <c r="AD109" s="49" t="s">
        <v>411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30:126">
      <c r="AD110" s="49" t="s">
        <v>411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30:126">
      <c r="AD111" s="49" t="s">
        <v>411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30:126">
      <c r="AD112" s="49" t="s">
        <v>411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30:126">
      <c r="AD113" s="49" t="s">
        <v>411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30:126">
      <c r="AD114" s="49" t="s">
        <v>411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30:126">
      <c r="AD115" s="49" t="s">
        <v>411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30:126">
      <c r="AD116" s="49" t="s">
        <v>411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30:126">
      <c r="AD117" s="49" t="s">
        <v>411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30:126">
      <c r="AD118" s="49" t="s">
        <v>411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30:126">
      <c r="AD119" s="49" t="s">
        <v>411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30:126">
      <c r="AD120" s="49" t="s">
        <v>411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30:126">
      <c r="AD121" s="49" t="s">
        <v>411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30:126">
      <c r="AD122" s="49" t="s">
        <v>411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30:126">
      <c r="AD123" s="49" t="s">
        <v>411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30:126">
      <c r="AD124" s="49" t="s">
        <v>411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30:126">
      <c r="AD125" s="49" t="s">
        <v>411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30:126">
      <c r="AD126" s="49" t="s">
        <v>411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30:126">
      <c r="AD127" s="49" t="s">
        <v>411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30:126">
      <c r="AD128" s="49" t="s">
        <v>411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30:126">
      <c r="AD129" s="49" t="s">
        <v>411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30:126">
      <c r="AD130" s="49" t="s">
        <v>411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30:126">
      <c r="AD131" s="49" t="s">
        <v>411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30:126">
      <c r="AD132" s="49" t="s">
        <v>411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30:126">
      <c r="AD133" s="49" t="s">
        <v>411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30:126">
      <c r="AD134" s="49" t="s">
        <v>411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30:126">
      <c r="AD135" s="49" t="s">
        <v>411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30:126">
      <c r="AD136" s="49" t="s">
        <v>411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30:126">
      <c r="AD137" s="49" t="s">
        <v>411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30:126">
      <c r="AD138" s="49" t="s">
        <v>411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30:126">
      <c r="AD139" s="49" t="s">
        <v>411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30:126">
      <c r="AD140" s="49" t="s">
        <v>411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30:126">
      <c r="AD141" s="49" t="s">
        <v>411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30:126">
      <c r="AD142" s="49" t="s">
        <v>411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30:126">
      <c r="AD143" s="49" t="s">
        <v>411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30:126">
      <c r="AD144" s="49" t="s">
        <v>411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30:126">
      <c r="AD145" s="49" t="s">
        <v>411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30:126">
      <c r="AD146" s="49" t="s">
        <v>411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30:126">
      <c r="AD147" s="49" t="s">
        <v>411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30:126">
      <c r="AD148" s="49" t="s">
        <v>411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30:126">
      <c r="AD149" s="49" t="s">
        <v>411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30:126">
      <c r="AD150" s="49" t="s">
        <v>411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30:126">
      <c r="AD151" s="49" t="s">
        <v>411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30:126">
      <c r="AD152" s="49" t="s">
        <v>411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30:126">
      <c r="AD153" s="49" t="s">
        <v>411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30:126">
      <c r="AD154" s="49" t="s">
        <v>411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30:126">
      <c r="AD155" s="49" t="s">
        <v>411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30:126">
      <c r="AD156" s="49" t="s">
        <v>411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30:126">
      <c r="AD157" s="49" t="s">
        <v>411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30:126">
      <c r="AD158" s="49" t="s">
        <v>411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30:126">
      <c r="AD159" s="49" t="s">
        <v>411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30:126">
      <c r="AD160" s="49" t="s">
        <v>411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30:126">
      <c r="AD161" s="49" t="s">
        <v>411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30:126">
      <c r="AD162" s="49" t="s">
        <v>411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30:126">
      <c r="AD163" s="49" t="s">
        <v>411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30:126">
      <c r="AD164" s="49" t="s">
        <v>411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30:126">
      <c r="AD165" s="49" t="s">
        <v>411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30:126">
      <c r="AD166" s="49" t="s">
        <v>411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30:126">
      <c r="AD167" s="49" t="s">
        <v>411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30:126">
      <c r="AD168" s="49" t="s">
        <v>411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30:126">
      <c r="AD169" s="49" t="s">
        <v>411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30:126">
      <c r="AD170" s="49" t="s">
        <v>411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30:126">
      <c r="AD171" s="49" t="s">
        <v>411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30:126">
      <c r="AD172" s="49" t="s">
        <v>411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30:126">
      <c r="AD173" s="49" t="s">
        <v>411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30:126">
      <c r="AD174" s="49" t="s">
        <v>411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30:126">
      <c r="AD175" s="49" t="s">
        <v>411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30:126">
      <c r="AD176" s="49" t="s">
        <v>411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30:126">
      <c r="AD177" s="49" t="s">
        <v>411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30:126">
      <c r="AD178" s="49" t="s">
        <v>411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30:126">
      <c r="AD179" s="49" t="s">
        <v>411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30:126">
      <c r="AD180" s="49" t="s">
        <v>411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30:126">
      <c r="AD181" s="49" t="s">
        <v>411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30:126">
      <c r="AD182" s="49" t="s">
        <v>411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30:126">
      <c r="AD183" s="49" t="s">
        <v>411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30:126">
      <c r="AD184" s="49" t="s">
        <v>411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30:126">
      <c r="AD185" s="49" t="s">
        <v>411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30:126">
      <c r="AD186" s="49" t="s">
        <v>411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30:126">
      <c r="AD187" s="49" t="s">
        <v>411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30:126">
      <c r="AD188" s="49" t="s">
        <v>411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30:126">
      <c r="AD189" s="49" t="s">
        <v>411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30:126">
      <c r="AD190" s="49" t="s">
        <v>411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30:126">
      <c r="AD191" s="49" t="s">
        <v>411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30:126">
      <c r="AD192" s="49" t="s">
        <v>411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30:126">
      <c r="AD193" s="49" t="s">
        <v>411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30:126">
      <c r="AD194" s="49" t="s">
        <v>411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30:126">
      <c r="AD195" s="49" t="s">
        <v>411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30:126">
      <c r="AD196" s="49" t="s">
        <v>411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30:126">
      <c r="AD197" s="49" t="s">
        <v>411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30:126">
      <c r="AD198" s="49" t="s">
        <v>411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30:126">
      <c r="AD199" s="49" t="s">
        <v>411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30:126">
      <c r="AD200" s="49" t="s">
        <v>411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0" t="s">
        <v>14</v>
      </c>
      <c r="B1" s="151" t="s">
        <v>15</v>
      </c>
      <c r="C1" s="152" t="s">
        <v>16</v>
      </c>
      <c r="D1" s="150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1" t="s">
        <v>21</v>
      </c>
      <c r="AS1" s="141"/>
      <c r="AT1" s="141"/>
      <c r="AU1" s="141"/>
      <c r="AV1" s="141"/>
      <c r="AW1" s="141" t="s">
        <v>22</v>
      </c>
      <c r="AX1" s="141"/>
      <c r="AY1" s="141"/>
      <c r="AZ1" s="141"/>
      <c r="BA1" s="141"/>
      <c r="BB1" s="141"/>
      <c r="BC1" s="144" t="s">
        <v>23</v>
      </c>
      <c r="BD1" s="141" t="s">
        <v>24</v>
      </c>
      <c r="BE1" s="141" t="s">
        <v>25</v>
      </c>
      <c r="BF1" s="145" t="s">
        <v>26</v>
      </c>
      <c r="BG1" s="146" t="s">
        <v>27</v>
      </c>
      <c r="BH1" s="141" t="s">
        <v>28</v>
      </c>
      <c r="BI1" s="141" t="s">
        <v>29</v>
      </c>
      <c r="BJ1" s="141" t="s">
        <v>30</v>
      </c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3" t="s">
        <v>39</v>
      </c>
      <c r="CQ1" s="143"/>
      <c r="CR1" s="143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0"/>
      <c r="B2" s="151"/>
      <c r="C2" s="152"/>
      <c r="D2" s="150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42" t="s">
        <v>18</v>
      </c>
      <c r="L2" s="142" t="s">
        <v>19</v>
      </c>
      <c r="M2" s="144" t="s">
        <v>17</v>
      </c>
      <c r="N2" s="141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327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4"/>
      <c r="BD2" s="141"/>
      <c r="BE2" s="141"/>
      <c r="BF2" s="145"/>
      <c r="BG2" s="146"/>
      <c r="BH2" s="141"/>
      <c r="BI2" s="141"/>
      <c r="BJ2" s="144" t="s">
        <v>86</v>
      </c>
      <c r="BK2" s="144"/>
      <c r="BL2" s="144" t="s">
        <v>87</v>
      </c>
      <c r="BM2" s="144"/>
      <c r="BN2" s="144" t="s">
        <v>88</v>
      </c>
      <c r="BO2" s="144"/>
      <c r="BP2" s="144" t="s">
        <v>89</v>
      </c>
      <c r="BQ2" s="144"/>
      <c r="BR2" s="144" t="s">
        <v>90</v>
      </c>
      <c r="BS2" s="144"/>
      <c r="BT2" s="147" t="s">
        <v>91</v>
      </c>
      <c r="BU2" s="144"/>
      <c r="BV2" s="147" t="s">
        <v>92</v>
      </c>
      <c r="BW2" s="144"/>
      <c r="BX2" s="147">
        <v>962</v>
      </c>
      <c r="BY2" s="144"/>
      <c r="BZ2" s="144">
        <v>972</v>
      </c>
      <c r="CA2" s="144"/>
      <c r="CB2" s="144">
        <v>972</v>
      </c>
      <c r="CC2" s="144"/>
      <c r="CD2" s="144">
        <v>982</v>
      </c>
      <c r="CE2" s="144"/>
      <c r="CF2" s="148" t="s">
        <v>93</v>
      </c>
      <c r="CG2" s="148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2"/>
      <c r="L3" s="142"/>
      <c r="M3" s="144"/>
      <c r="N3" s="141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324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328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324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328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3" t="s">
        <v>104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4" t="s">
        <v>105</v>
      </c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7" workbookViewId="0">
      <selection activeCell="R25" sqref="R25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38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AB4:AC42</v>
      </c>
      <c r="AB2" s="3" t="s">
        <v>2</v>
      </c>
    </row>
    <row r="3" spans="1:36" ht="14.25">
      <c r="A3" s="1"/>
      <c r="B3" s="11"/>
      <c r="C3" s="1"/>
      <c r="D3" s="1"/>
      <c r="Z3" s="1">
        <v>1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 t="s">
        <v>12</v>
      </c>
      <c r="AD4" s="12" t="s">
        <v>323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339</v>
      </c>
      <c r="AB5" s="2" t="s">
        <v>340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341</v>
      </c>
      <c r="AB6" s="2" t="s">
        <v>342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343</v>
      </c>
      <c r="AB7" s="2" t="s">
        <v>344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345</v>
      </c>
      <c r="AB8" s="2" t="s">
        <v>346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347</v>
      </c>
      <c r="AB9" s="2" t="s">
        <v>348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349</v>
      </c>
      <c r="AB10" s="2" t="s">
        <v>350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351</v>
      </c>
      <c r="AB11" s="2" t="s">
        <v>352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353</v>
      </c>
      <c r="AB12" s="2" t="s">
        <v>354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355</v>
      </c>
      <c r="AB13" s="2" t="s">
        <v>356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357</v>
      </c>
      <c r="AB14" s="2" t="s">
        <v>358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359</v>
      </c>
      <c r="AB15" s="2" t="s">
        <v>360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361</v>
      </c>
      <c r="AB16" s="2" t="s">
        <v>362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363</v>
      </c>
      <c r="AB17" s="2" t="s">
        <v>364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365</v>
      </c>
      <c r="AB18" s="2" t="s">
        <v>366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367</v>
      </c>
      <c r="AB19" s="2" t="s">
        <v>368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369</v>
      </c>
      <c r="AB20" s="2" t="s">
        <v>370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371</v>
      </c>
      <c r="AB21" s="2" t="s">
        <v>372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373</v>
      </c>
      <c r="AB22" s="2" t="s">
        <v>374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375</v>
      </c>
      <c r="AB23" s="2" t="s">
        <v>376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377</v>
      </c>
      <c r="AB24" s="2" t="s">
        <v>378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379</v>
      </c>
      <c r="AB25" s="2" t="s">
        <v>380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381</v>
      </c>
      <c r="AB26" s="2" t="s">
        <v>382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383</v>
      </c>
      <c r="AB27" s="2" t="s">
        <v>384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385</v>
      </c>
      <c r="AB28" s="2" t="s">
        <v>386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387</v>
      </c>
      <c r="AB29" s="2" t="s">
        <v>388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389</v>
      </c>
      <c r="AB30" s="2" t="s">
        <v>390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391</v>
      </c>
      <c r="AB31" s="2" t="s">
        <v>392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393</v>
      </c>
      <c r="AB32" s="2" t="s">
        <v>394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395</v>
      </c>
      <c r="AB33" s="2" t="s">
        <v>396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397</v>
      </c>
      <c r="AB34" s="2" t="s">
        <v>398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399</v>
      </c>
      <c r="AB35" s="2" t="s">
        <v>400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401</v>
      </c>
      <c r="AB36" s="2" t="s">
        <v>402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403</v>
      </c>
      <c r="AB37" s="2" t="s">
        <v>404</v>
      </c>
      <c r="AC37" s="17">
        <v>0</v>
      </c>
    </row>
    <row r="38" spans="1:36" ht="15.75" customHeight="1">
      <c r="A38" s="1"/>
      <c r="B38" s="11"/>
      <c r="C38" s="1"/>
      <c r="D38" s="1"/>
      <c r="AA38" s="2" t="s">
        <v>405</v>
      </c>
      <c r="AB38" s="2" t="s">
        <v>406</v>
      </c>
      <c r="AC38" s="17">
        <v>0</v>
      </c>
    </row>
    <row r="39" spans="1:36" ht="15.75" customHeight="1">
      <c r="A39" s="1"/>
      <c r="B39" s="11"/>
      <c r="C39" s="1"/>
      <c r="D39" s="1"/>
      <c r="AA39" s="2" t="s">
        <v>339</v>
      </c>
      <c r="AB39" s="2" t="s">
        <v>340</v>
      </c>
      <c r="AC39" s="17">
        <v>0</v>
      </c>
    </row>
    <row r="40" spans="1:36" ht="15.75" customHeight="1">
      <c r="A40" s="1"/>
      <c r="B40" s="11"/>
      <c r="C40" s="1"/>
      <c r="D40" s="1"/>
      <c r="AA40" s="2" t="s">
        <v>347</v>
      </c>
      <c r="AB40" s="2" t="s">
        <v>348</v>
      </c>
      <c r="AC40" s="17">
        <v>0</v>
      </c>
    </row>
    <row r="41" spans="1:36" ht="15.75" customHeight="1">
      <c r="A41" s="1"/>
      <c r="B41" s="11"/>
      <c r="C41" s="1"/>
      <c r="D41" s="1"/>
      <c r="AA41" s="2" t="s">
        <v>407</v>
      </c>
      <c r="AB41" s="2" t="s">
        <v>408</v>
      </c>
      <c r="AC41" s="17">
        <v>0</v>
      </c>
    </row>
    <row r="42" spans="1:36" ht="15.75" customHeight="1">
      <c r="A42" s="1"/>
      <c r="B42" s="11"/>
      <c r="C42" s="1"/>
      <c r="D42" s="1"/>
      <c r="AA42" s="2" t="s">
        <v>409</v>
      </c>
      <c r="AB42" s="2" t="s">
        <v>410</v>
      </c>
      <c r="AC42" s="17">
        <v>0</v>
      </c>
    </row>
    <row r="43" spans="1:36" ht="15.75" customHeight="1">
      <c r="A43" s="1"/>
      <c r="B43" s="11"/>
      <c r="C43" s="1"/>
      <c r="D43" s="1"/>
    </row>
    <row r="44" spans="1:36" ht="15.75" customHeight="1">
      <c r="A44" s="1"/>
      <c r="B44" s="11"/>
      <c r="C44" s="1"/>
      <c r="D44" s="1"/>
    </row>
    <row r="45" spans="1:36" ht="15.75" customHeight="1">
      <c r="A45" s="1"/>
      <c r="B45" s="11"/>
      <c r="C45" s="1"/>
      <c r="D45" s="1"/>
    </row>
    <row r="46" spans="1:36" ht="15.75" customHeight="1">
      <c r="A46" s="1"/>
      <c r="B46" s="11"/>
      <c r="C46" s="1"/>
      <c r="D46" s="1"/>
    </row>
    <row r="47" spans="1:36" ht="15.75" customHeight="1">
      <c r="A47" s="1"/>
      <c r="B47" s="11"/>
      <c r="C47" s="1"/>
      <c r="D47" s="1"/>
    </row>
    <row r="48" spans="1:36" ht="15.75" customHeight="1">
      <c r="A48" s="1"/>
      <c r="B48" s="11"/>
      <c r="C48" s="1"/>
      <c r="D48" s="1"/>
    </row>
    <row r="49" spans="1:4" ht="15.75" customHeight="1">
      <c r="A49" s="1"/>
      <c r="B49" s="11"/>
      <c r="C49" s="1"/>
      <c r="D49" s="1"/>
    </row>
    <row r="50" spans="1:4" ht="15.75" customHeight="1">
      <c r="A50" s="1"/>
      <c r="B50" s="11"/>
      <c r="C50" s="1"/>
      <c r="D50" s="1"/>
    </row>
    <row r="51" spans="1:4" ht="15.75" customHeight="1">
      <c r="A51" s="1"/>
      <c r="B51" s="11"/>
      <c r="C51" s="1"/>
      <c r="D51" s="1"/>
    </row>
    <row r="52" spans="1:4" ht="15.75" customHeight="1">
      <c r="A52" s="1"/>
      <c r="B52" s="11"/>
      <c r="C52" s="1"/>
      <c r="D52" s="1"/>
    </row>
    <row r="53" spans="1:4" ht="15.75" customHeight="1">
      <c r="A53" s="1"/>
      <c r="B53" s="11"/>
      <c r="C53" s="1"/>
      <c r="D53" s="1"/>
    </row>
    <row r="54" spans="1:4" ht="15.75" customHeight="1">
      <c r="A54" s="1"/>
      <c r="B54" s="11"/>
      <c r="C54" s="1"/>
      <c r="D54" s="1"/>
    </row>
    <row r="55" spans="1:4" ht="15.75" customHeight="1">
      <c r="A55" s="1"/>
      <c r="B55" s="11"/>
      <c r="C55" s="1"/>
      <c r="D55" s="1"/>
    </row>
    <row r="56" spans="1:4" ht="15.75" customHeight="1">
      <c r="A56" s="1"/>
      <c r="B56" s="11"/>
      <c r="C56" s="1"/>
      <c r="D56" s="1"/>
    </row>
    <row r="57" spans="1:4" ht="15.75" customHeight="1">
      <c r="A57" s="1"/>
      <c r="B57" s="11"/>
      <c r="C57" s="1"/>
      <c r="D57" s="1"/>
    </row>
    <row r="58" spans="1:4" ht="15.75" customHeight="1">
      <c r="A58" s="1"/>
      <c r="B58" s="11"/>
      <c r="C58" s="1"/>
      <c r="D58" s="1"/>
    </row>
    <row r="59" spans="1:4" ht="15.75" customHeight="1">
      <c r="A59" s="1"/>
      <c r="B59" s="11"/>
      <c r="C59" s="1"/>
      <c r="D59" s="1"/>
    </row>
    <row r="60" spans="1:4" ht="15.75" customHeight="1">
      <c r="A60" s="1"/>
      <c r="B60" s="11"/>
      <c r="C60" s="1"/>
      <c r="D60" s="1"/>
    </row>
    <row r="61" spans="1:4" ht="15.75" customHeight="1">
      <c r="A61" s="1"/>
      <c r="B61" s="11"/>
      <c r="C61" s="1"/>
      <c r="D61" s="1"/>
    </row>
    <row r="62" spans="1:4" ht="15.75" customHeight="1">
      <c r="A62" s="1"/>
      <c r="B62" s="11"/>
      <c r="C62" s="1"/>
      <c r="D62" s="1"/>
    </row>
    <row r="63" spans="1:4" ht="15.75" customHeight="1">
      <c r="A63" s="1"/>
      <c r="B63" s="11"/>
      <c r="C63" s="1"/>
      <c r="D63" s="1"/>
    </row>
    <row r="64" spans="1:4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A5" sqref="A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387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338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workbookViewId="0">
      <selection activeCell="L11" sqref="L11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63.85546875" style="135" customWidth="1"/>
    <col min="13" max="16384" width="9.140625" style="135"/>
  </cols>
  <sheetData>
    <row r="1" spans="1:12" ht="166.5" customHeight="1">
      <c r="A1" s="139" t="s">
        <v>456</v>
      </c>
      <c r="B1" s="133" t="s">
        <v>451</v>
      </c>
      <c r="C1" s="133"/>
      <c r="D1" s="133" t="s">
        <v>416</v>
      </c>
      <c r="E1" s="133" t="s">
        <v>417</v>
      </c>
      <c r="F1" s="133"/>
      <c r="G1" s="133" t="s">
        <v>419</v>
      </c>
      <c r="H1" s="133" t="s">
        <v>420</v>
      </c>
      <c r="I1" s="133" t="s">
        <v>419</v>
      </c>
      <c r="J1" s="133" t="s">
        <v>420</v>
      </c>
      <c r="K1" s="133" t="s">
        <v>449</v>
      </c>
      <c r="L1" s="134" t="s">
        <v>457</v>
      </c>
    </row>
    <row r="2" spans="1:12" ht="167.25" customHeight="1">
      <c r="A2" s="135">
        <f>(VALUE(LEFT(A1,2)))</f>
        <v>0</v>
      </c>
      <c r="B2" s="135">
        <v>2020</v>
      </c>
      <c r="C2" s="136">
        <f>++DATE(B2,1,1)</f>
        <v>43831</v>
      </c>
      <c r="D2" s="136">
        <f>+WEEKDAY(DATE(B2,1,1),1)</f>
        <v>4</v>
      </c>
      <c r="E2" s="136">
        <f>+C2-D2+1</f>
        <v>43828</v>
      </c>
      <c r="F2" s="133" t="s">
        <v>418</v>
      </c>
      <c r="G2" s="136">
        <f>+E2+A2*7</f>
        <v>43828</v>
      </c>
      <c r="H2" s="136">
        <f>+G2-7</f>
        <v>43821</v>
      </c>
      <c r="I2" s="138" t="str">
        <f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322</v>
      </c>
      <c r="L2" s="133" t="str">
        <f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data_thit.ngay&lt;"2020-1-1" AND data_thit.cong_ty=103 AND (data_thit.ngay_dong =0 OR data_thit.ngay_dong &gt;"2020-12-31" OR data_thit.ngay_dong &lt;"2020-1-1"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103 AND data_thit.ngay &gt;= "2020-1-1" AND data_thit.ngay &lt;= "2020-12-31" GROUP BY data_thit.cong_ty , data_thit.trai , data_thit.chuong ) AS bang_dien_bien_tuan ) AS bang_dien_bien_tuan_vba ON bang_ton_dau_vba.ma = bang_dien_bien_tuan_vba.ma</v>
      </c>
    </row>
    <row r="3" spans="1:12">
      <c r="A3" s="135" t="s">
        <v>450</v>
      </c>
      <c r="D3" s="136"/>
      <c r="G3" s="135" t="s">
        <v>453</v>
      </c>
      <c r="H3" s="133" t="s">
        <v>452</v>
      </c>
    </row>
    <row r="4" spans="1:12">
      <c r="A4" s="135">
        <f>+VALUE(RIGHT(A1,2))</f>
        <v>0</v>
      </c>
      <c r="D4" s="136"/>
      <c r="G4" s="136">
        <f>++DATE(B2,A4+1,1)-1</f>
        <v>43830</v>
      </c>
      <c r="H4" s="136">
        <f>+DATE(B2,A4,1)</f>
        <v>43800</v>
      </c>
    </row>
    <row r="5" spans="1:12">
      <c r="D5" s="136"/>
      <c r="G5" s="135" t="s">
        <v>454</v>
      </c>
      <c r="H5" s="133" t="s">
        <v>455</v>
      </c>
    </row>
    <row r="6" spans="1:12">
      <c r="D6" s="136"/>
      <c r="G6" s="136">
        <f>++DATE(B2+1,1,1)-1</f>
        <v>44196</v>
      </c>
      <c r="H6" s="136">
        <f>+DATE(B2,1,1)</f>
        <v>43831</v>
      </c>
    </row>
    <row r="16" spans="1:12">
      <c r="A16" s="135" t="s">
        <v>421</v>
      </c>
      <c r="D16" s="136"/>
    </row>
    <row r="17" spans="1:5">
      <c r="A17" s="135" t="s">
        <v>422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workbookViewId="0">
      <selection activeCell="K19" sqref="K19"/>
    </sheetView>
  </sheetViews>
  <sheetFormatPr defaultRowHeight="15"/>
  <cols>
    <col min="1" max="10" width="9.140625" style="131"/>
    <col min="11" max="11" width="19.7109375" style="131" customWidth="1"/>
    <col min="12" max="12" width="9.140625" style="131"/>
    <col min="13" max="13" width="19.5703125" style="131" customWidth="1"/>
    <col min="14" max="14" width="13.42578125" style="131" customWidth="1"/>
    <col min="15" max="16" width="9.140625" style="131"/>
    <col min="17" max="17" width="14" style="131" customWidth="1"/>
    <col min="18" max="18" width="9.140625" style="131"/>
    <col min="19" max="19" width="24.42578125" style="131" customWidth="1"/>
    <col min="28" max="30" width="9.140625" style="131"/>
    <col min="31" max="31" width="12.5703125" style="131" customWidth="1"/>
    <col min="32" max="33" width="9.140625" style="131"/>
    <col min="34" max="34" width="7.5703125" style="131" customWidth="1"/>
    <col min="35" max="35" width="7.140625" style="131" customWidth="1"/>
    <col min="36" max="36" width="10.7109375" style="131" customWidth="1"/>
    <col min="37" max="44" width="9.140625" style="131"/>
  </cols>
  <sheetData>
    <row r="1" spans="1:44" s="130" customFormat="1" ht="66.75" customHeight="1">
      <c r="A1" s="132" t="s">
        <v>311</v>
      </c>
      <c r="B1" s="132" t="s">
        <v>310</v>
      </c>
      <c r="C1" s="132" t="s">
        <v>312</v>
      </c>
      <c r="D1" s="132" t="s">
        <v>445</v>
      </c>
      <c r="E1" s="132" t="s">
        <v>446</v>
      </c>
      <c r="F1" s="132" t="s">
        <v>309</v>
      </c>
      <c r="G1" s="132" t="s">
        <v>311</v>
      </c>
      <c r="H1" s="132" t="s">
        <v>310</v>
      </c>
      <c r="I1" s="132" t="s">
        <v>312</v>
      </c>
      <c r="J1" s="132" t="s">
        <v>313</v>
      </c>
      <c r="K1" s="132" t="s">
        <v>423</v>
      </c>
      <c r="L1" s="132" t="s">
        <v>424</v>
      </c>
      <c r="M1" s="132" t="s">
        <v>425</v>
      </c>
      <c r="N1" s="132" t="s">
        <v>426</v>
      </c>
      <c r="O1" s="132" t="s">
        <v>427</v>
      </c>
      <c r="P1" s="132" t="s">
        <v>428</v>
      </c>
      <c r="Q1" s="132" t="s">
        <v>429</v>
      </c>
      <c r="R1" s="132" t="s">
        <v>430</v>
      </c>
      <c r="S1" s="132" t="s">
        <v>309</v>
      </c>
      <c r="AA1" s="130" t="str">
        <f>++ADDRESS(1,28,4)&amp;":"&amp;ADDRESS(COUNTA(B1:B200),28+16,4)</f>
        <v>AB1:AR1</v>
      </c>
      <c r="AB1" s="132" t="s">
        <v>14</v>
      </c>
      <c r="AC1" s="132" t="s">
        <v>15</v>
      </c>
      <c r="AD1" s="132" t="s">
        <v>16</v>
      </c>
      <c r="AE1" s="132" t="s">
        <v>431</v>
      </c>
      <c r="AF1" s="132" t="s">
        <v>432</v>
      </c>
      <c r="AG1" s="132" t="s">
        <v>442</v>
      </c>
      <c r="AH1" s="132" t="s">
        <v>433</v>
      </c>
      <c r="AI1" s="132" t="s">
        <v>434</v>
      </c>
      <c r="AJ1" s="132" t="s">
        <v>435</v>
      </c>
      <c r="AK1" s="132" t="s">
        <v>436</v>
      </c>
      <c r="AL1" s="132" t="s">
        <v>443</v>
      </c>
      <c r="AM1" s="132" t="s">
        <v>437</v>
      </c>
      <c r="AN1" s="132" t="s">
        <v>438</v>
      </c>
      <c r="AO1" s="132" t="s">
        <v>439</v>
      </c>
      <c r="AP1" s="132" t="s">
        <v>440</v>
      </c>
      <c r="AQ1" s="132" t="s">
        <v>441</v>
      </c>
      <c r="AR1" s="132" t="s">
        <v>444</v>
      </c>
    </row>
    <row r="2" spans="1:44">
      <c r="D2" s="105"/>
      <c r="AB2" s="131">
        <f>+A2</f>
        <v>0</v>
      </c>
      <c r="AC2" s="131">
        <f>+B2</f>
        <v>0</v>
      </c>
      <c r="AD2" s="131">
        <f>+C2</f>
        <v>0</v>
      </c>
      <c r="AE2" s="131">
        <f>+E2</f>
        <v>0</v>
      </c>
      <c r="AF2" s="131">
        <f>+K2</f>
        <v>0</v>
      </c>
      <c r="AG2" s="131">
        <f>+L2</f>
        <v>0</v>
      </c>
      <c r="AH2" s="131">
        <f>+Q2</f>
        <v>0</v>
      </c>
      <c r="AI2" s="131">
        <f>+N2</f>
        <v>0</v>
      </c>
      <c r="AJ2" s="131" t="e">
        <f>+AI2/AF2*100</f>
        <v>#DIV/0!</v>
      </c>
      <c r="AK2" s="131">
        <f>+O2</f>
        <v>0</v>
      </c>
      <c r="AL2" s="131">
        <f>+P2</f>
        <v>0</v>
      </c>
      <c r="AM2" s="131">
        <v>0</v>
      </c>
      <c r="AN2" s="131">
        <f>+M2</f>
        <v>0</v>
      </c>
      <c r="AO2" s="131">
        <v>0</v>
      </c>
      <c r="AP2" s="131">
        <f>+R2</f>
        <v>0</v>
      </c>
      <c r="AQ2" s="131">
        <f>+AE2+AF2+AH2-AI2-AK2-AM2-AP2</f>
        <v>0</v>
      </c>
      <c r="AR2" s="131">
        <v>0</v>
      </c>
    </row>
    <row r="3" spans="1:44">
      <c r="D3" s="105"/>
      <c r="AB3" s="131">
        <f t="shared" ref="AB3:AB66" si="0">+A3</f>
        <v>0</v>
      </c>
      <c r="AC3" s="131">
        <f t="shared" ref="AC3:AC66" si="1">+B3</f>
        <v>0</v>
      </c>
      <c r="AD3" s="131">
        <f t="shared" ref="AD3:AD66" si="2">+C3</f>
        <v>0</v>
      </c>
      <c r="AE3" s="131">
        <f t="shared" ref="AE3:AE66" si="3">+E3</f>
        <v>0</v>
      </c>
      <c r="AF3" s="131">
        <f t="shared" ref="AF3:AF66" si="4">+K3</f>
        <v>0</v>
      </c>
      <c r="AG3" s="131">
        <f t="shared" ref="AG3:AG66" si="5">+L3</f>
        <v>0</v>
      </c>
      <c r="AH3" s="131">
        <f t="shared" ref="AH3:AH66" si="6">+Q3</f>
        <v>0</v>
      </c>
      <c r="AI3" s="131">
        <f t="shared" ref="AI3:AI66" si="7">+N3</f>
        <v>0</v>
      </c>
      <c r="AJ3" s="131" t="e">
        <f t="shared" ref="AJ3:AJ66" si="8">+AI3/AF3*100</f>
        <v>#DIV/0!</v>
      </c>
      <c r="AK3" s="131">
        <f t="shared" ref="AK3:AK66" si="9">+O3</f>
        <v>0</v>
      </c>
      <c r="AL3" s="131">
        <f t="shared" ref="AL3:AL66" si="10">+P3</f>
        <v>0</v>
      </c>
      <c r="AM3" s="131">
        <v>0</v>
      </c>
      <c r="AN3" s="131">
        <f t="shared" ref="AN3:AN66" si="11">+M3</f>
        <v>0</v>
      </c>
      <c r="AO3" s="131">
        <v>0</v>
      </c>
      <c r="AP3" s="131">
        <f t="shared" ref="AP3:AP66" si="12">+R3</f>
        <v>0</v>
      </c>
      <c r="AQ3" s="131">
        <f t="shared" ref="AQ3:AQ66" si="13">+AE3+AF3+AH3-AI3-AK3-AM3-AP3</f>
        <v>0</v>
      </c>
      <c r="AR3" s="131">
        <v>0</v>
      </c>
    </row>
    <row r="4" spans="1:44">
      <c r="D4" s="105"/>
      <c r="AB4" s="131">
        <f t="shared" si="0"/>
        <v>0</v>
      </c>
      <c r="AC4" s="131">
        <f t="shared" si="1"/>
        <v>0</v>
      </c>
      <c r="AD4" s="131">
        <f t="shared" si="2"/>
        <v>0</v>
      </c>
      <c r="AE4" s="131">
        <f t="shared" si="3"/>
        <v>0</v>
      </c>
      <c r="AF4" s="131">
        <f t="shared" si="4"/>
        <v>0</v>
      </c>
      <c r="AG4" s="131">
        <f t="shared" si="5"/>
        <v>0</v>
      </c>
      <c r="AH4" s="131">
        <f t="shared" si="6"/>
        <v>0</v>
      </c>
      <c r="AI4" s="131">
        <f t="shared" si="7"/>
        <v>0</v>
      </c>
      <c r="AJ4" s="131" t="e">
        <f t="shared" si="8"/>
        <v>#DIV/0!</v>
      </c>
      <c r="AK4" s="131">
        <f t="shared" si="9"/>
        <v>0</v>
      </c>
      <c r="AL4" s="131">
        <f t="shared" si="10"/>
        <v>0</v>
      </c>
      <c r="AM4" s="131">
        <v>0</v>
      </c>
      <c r="AN4" s="131">
        <f t="shared" si="11"/>
        <v>0</v>
      </c>
      <c r="AO4" s="131">
        <v>0</v>
      </c>
      <c r="AP4" s="131">
        <f t="shared" si="12"/>
        <v>0</v>
      </c>
      <c r="AQ4" s="131">
        <f t="shared" si="13"/>
        <v>0</v>
      </c>
      <c r="AR4" s="131">
        <v>0</v>
      </c>
    </row>
    <row r="5" spans="1:44">
      <c r="D5" s="105"/>
      <c r="K5" s="105"/>
      <c r="L5" s="105"/>
      <c r="M5" s="105"/>
      <c r="AB5" s="131">
        <f t="shared" si="0"/>
        <v>0</v>
      </c>
      <c r="AC5" s="131">
        <f t="shared" si="1"/>
        <v>0</v>
      </c>
      <c r="AD5" s="131">
        <f t="shared" si="2"/>
        <v>0</v>
      </c>
      <c r="AE5" s="131">
        <f t="shared" si="3"/>
        <v>0</v>
      </c>
      <c r="AF5" s="131">
        <f t="shared" si="4"/>
        <v>0</v>
      </c>
      <c r="AG5" s="131">
        <f t="shared" si="5"/>
        <v>0</v>
      </c>
      <c r="AH5" s="131">
        <f t="shared" si="6"/>
        <v>0</v>
      </c>
      <c r="AI5" s="131">
        <f t="shared" si="7"/>
        <v>0</v>
      </c>
      <c r="AJ5" s="131" t="e">
        <f t="shared" si="8"/>
        <v>#DIV/0!</v>
      </c>
      <c r="AK5" s="131">
        <f t="shared" si="9"/>
        <v>0</v>
      </c>
      <c r="AL5" s="131">
        <f t="shared" si="10"/>
        <v>0</v>
      </c>
      <c r="AM5" s="131">
        <v>0</v>
      </c>
      <c r="AN5" s="131">
        <f t="shared" si="11"/>
        <v>0</v>
      </c>
      <c r="AO5" s="131">
        <v>0</v>
      </c>
      <c r="AP5" s="131">
        <f t="shared" si="12"/>
        <v>0</v>
      </c>
      <c r="AQ5" s="131">
        <f t="shared" si="13"/>
        <v>0</v>
      </c>
      <c r="AR5" s="131">
        <v>0</v>
      </c>
    </row>
    <row r="6" spans="1:44">
      <c r="D6" s="105"/>
      <c r="K6" s="105"/>
      <c r="L6" s="105"/>
      <c r="M6" s="105"/>
      <c r="AB6" s="131">
        <f t="shared" si="0"/>
        <v>0</v>
      </c>
      <c r="AC6" s="131">
        <f t="shared" si="1"/>
        <v>0</v>
      </c>
      <c r="AD6" s="131">
        <f t="shared" si="2"/>
        <v>0</v>
      </c>
      <c r="AE6" s="131">
        <f t="shared" si="3"/>
        <v>0</v>
      </c>
      <c r="AF6" s="131">
        <f t="shared" si="4"/>
        <v>0</v>
      </c>
      <c r="AG6" s="131">
        <f t="shared" si="5"/>
        <v>0</v>
      </c>
      <c r="AH6" s="131">
        <f t="shared" si="6"/>
        <v>0</v>
      </c>
      <c r="AI6" s="131">
        <f t="shared" si="7"/>
        <v>0</v>
      </c>
      <c r="AJ6" s="131" t="e">
        <f t="shared" si="8"/>
        <v>#DIV/0!</v>
      </c>
      <c r="AK6" s="131">
        <f t="shared" si="9"/>
        <v>0</v>
      </c>
      <c r="AL6" s="131">
        <f t="shared" si="10"/>
        <v>0</v>
      </c>
      <c r="AM6" s="131">
        <v>0</v>
      </c>
      <c r="AN6" s="131">
        <f t="shared" si="11"/>
        <v>0</v>
      </c>
      <c r="AO6" s="131">
        <v>0</v>
      </c>
      <c r="AP6" s="131">
        <f t="shared" si="12"/>
        <v>0</v>
      </c>
      <c r="AQ6" s="131">
        <f t="shared" si="13"/>
        <v>0</v>
      </c>
      <c r="AR6" s="131">
        <v>0</v>
      </c>
    </row>
    <row r="7" spans="1:44">
      <c r="D7" s="105"/>
      <c r="K7" s="105"/>
      <c r="L7" s="105"/>
      <c r="AB7" s="131">
        <f t="shared" si="0"/>
        <v>0</v>
      </c>
      <c r="AC7" s="131">
        <f t="shared" si="1"/>
        <v>0</v>
      </c>
      <c r="AD7" s="131">
        <f t="shared" si="2"/>
        <v>0</v>
      </c>
      <c r="AE7" s="131">
        <f t="shared" si="3"/>
        <v>0</v>
      </c>
      <c r="AF7" s="131">
        <f t="shared" si="4"/>
        <v>0</v>
      </c>
      <c r="AG7" s="131">
        <f t="shared" si="5"/>
        <v>0</v>
      </c>
      <c r="AH7" s="131">
        <f t="shared" si="6"/>
        <v>0</v>
      </c>
      <c r="AI7" s="131">
        <f t="shared" si="7"/>
        <v>0</v>
      </c>
      <c r="AJ7" s="131" t="e">
        <f t="shared" si="8"/>
        <v>#DIV/0!</v>
      </c>
      <c r="AK7" s="131">
        <f t="shared" si="9"/>
        <v>0</v>
      </c>
      <c r="AL7" s="131">
        <f t="shared" si="10"/>
        <v>0</v>
      </c>
      <c r="AM7" s="131">
        <v>0</v>
      </c>
      <c r="AN7" s="131">
        <f t="shared" si="11"/>
        <v>0</v>
      </c>
      <c r="AO7" s="131">
        <v>0</v>
      </c>
      <c r="AP7" s="131">
        <f t="shared" si="12"/>
        <v>0</v>
      </c>
      <c r="AQ7" s="131">
        <f t="shared" si="13"/>
        <v>0</v>
      </c>
      <c r="AR7" s="131">
        <v>0</v>
      </c>
    </row>
    <row r="8" spans="1:44">
      <c r="D8" s="105"/>
      <c r="K8" s="105"/>
      <c r="L8" s="105"/>
      <c r="AB8" s="131">
        <f t="shared" si="0"/>
        <v>0</v>
      </c>
      <c r="AC8" s="131">
        <f t="shared" si="1"/>
        <v>0</v>
      </c>
      <c r="AD8" s="131">
        <f t="shared" si="2"/>
        <v>0</v>
      </c>
      <c r="AE8" s="131">
        <f t="shared" si="3"/>
        <v>0</v>
      </c>
      <c r="AF8" s="131">
        <f t="shared" si="4"/>
        <v>0</v>
      </c>
      <c r="AG8" s="131">
        <f t="shared" si="5"/>
        <v>0</v>
      </c>
      <c r="AH8" s="131">
        <f t="shared" si="6"/>
        <v>0</v>
      </c>
      <c r="AI8" s="131">
        <f t="shared" si="7"/>
        <v>0</v>
      </c>
      <c r="AJ8" s="131" t="e">
        <f t="shared" si="8"/>
        <v>#DIV/0!</v>
      </c>
      <c r="AK8" s="131">
        <f t="shared" si="9"/>
        <v>0</v>
      </c>
      <c r="AL8" s="131">
        <f t="shared" si="10"/>
        <v>0</v>
      </c>
      <c r="AM8" s="131">
        <v>0</v>
      </c>
      <c r="AN8" s="131">
        <f t="shared" si="11"/>
        <v>0</v>
      </c>
      <c r="AO8" s="131">
        <v>0</v>
      </c>
      <c r="AP8" s="131">
        <f t="shared" si="12"/>
        <v>0</v>
      </c>
      <c r="AQ8" s="131">
        <f t="shared" si="13"/>
        <v>0</v>
      </c>
      <c r="AR8" s="131">
        <v>0</v>
      </c>
    </row>
    <row r="9" spans="1:44">
      <c r="D9" s="105"/>
      <c r="K9" s="105"/>
      <c r="L9" s="105"/>
      <c r="AB9" s="131">
        <f t="shared" si="0"/>
        <v>0</v>
      </c>
      <c r="AC9" s="131">
        <f t="shared" si="1"/>
        <v>0</v>
      </c>
      <c r="AD9" s="131">
        <f t="shared" si="2"/>
        <v>0</v>
      </c>
      <c r="AE9" s="131">
        <f t="shared" si="3"/>
        <v>0</v>
      </c>
      <c r="AF9" s="131">
        <f t="shared" si="4"/>
        <v>0</v>
      </c>
      <c r="AG9" s="131">
        <f t="shared" si="5"/>
        <v>0</v>
      </c>
      <c r="AH9" s="131">
        <f t="shared" si="6"/>
        <v>0</v>
      </c>
      <c r="AI9" s="131">
        <f t="shared" si="7"/>
        <v>0</v>
      </c>
      <c r="AJ9" s="131" t="e">
        <f t="shared" si="8"/>
        <v>#DIV/0!</v>
      </c>
      <c r="AK9" s="131">
        <f t="shared" si="9"/>
        <v>0</v>
      </c>
      <c r="AL9" s="131">
        <f t="shared" si="10"/>
        <v>0</v>
      </c>
      <c r="AM9" s="131">
        <v>0</v>
      </c>
      <c r="AN9" s="131">
        <f t="shared" si="11"/>
        <v>0</v>
      </c>
      <c r="AO9" s="131">
        <v>0</v>
      </c>
      <c r="AP9" s="131">
        <f t="shared" si="12"/>
        <v>0</v>
      </c>
      <c r="AQ9" s="131">
        <f t="shared" si="13"/>
        <v>0</v>
      </c>
      <c r="AR9" s="131">
        <v>0</v>
      </c>
    </row>
    <row r="10" spans="1:44">
      <c r="D10" s="105"/>
      <c r="K10" s="105"/>
      <c r="L10" s="105"/>
      <c r="AB10" s="131">
        <f t="shared" si="0"/>
        <v>0</v>
      </c>
      <c r="AC10" s="131">
        <f t="shared" si="1"/>
        <v>0</v>
      </c>
      <c r="AD10" s="131">
        <f t="shared" si="2"/>
        <v>0</v>
      </c>
      <c r="AE10" s="131">
        <f t="shared" si="3"/>
        <v>0</v>
      </c>
      <c r="AF10" s="131">
        <f t="shared" si="4"/>
        <v>0</v>
      </c>
      <c r="AG10" s="131">
        <f t="shared" si="5"/>
        <v>0</v>
      </c>
      <c r="AH10" s="131">
        <f t="shared" si="6"/>
        <v>0</v>
      </c>
      <c r="AI10" s="131">
        <f t="shared" si="7"/>
        <v>0</v>
      </c>
      <c r="AJ10" s="131" t="e">
        <f t="shared" si="8"/>
        <v>#DIV/0!</v>
      </c>
      <c r="AK10" s="131">
        <f t="shared" si="9"/>
        <v>0</v>
      </c>
      <c r="AL10" s="131">
        <f t="shared" si="10"/>
        <v>0</v>
      </c>
      <c r="AM10" s="131">
        <v>0</v>
      </c>
      <c r="AN10" s="131">
        <f t="shared" si="11"/>
        <v>0</v>
      </c>
      <c r="AO10" s="131">
        <v>0</v>
      </c>
      <c r="AP10" s="131">
        <f t="shared" si="12"/>
        <v>0</v>
      </c>
      <c r="AQ10" s="131">
        <f t="shared" si="13"/>
        <v>0</v>
      </c>
      <c r="AR10" s="131">
        <v>0</v>
      </c>
    </row>
    <row r="11" spans="1:44">
      <c r="D11" s="105"/>
      <c r="K11" s="105"/>
      <c r="L11" s="105"/>
      <c r="AB11" s="131">
        <f t="shared" si="0"/>
        <v>0</v>
      </c>
      <c r="AC11" s="131">
        <f t="shared" si="1"/>
        <v>0</v>
      </c>
      <c r="AD11" s="131">
        <f t="shared" si="2"/>
        <v>0</v>
      </c>
      <c r="AE11" s="131">
        <f t="shared" si="3"/>
        <v>0</v>
      </c>
      <c r="AF11" s="131">
        <f t="shared" si="4"/>
        <v>0</v>
      </c>
      <c r="AG11" s="131">
        <f t="shared" si="5"/>
        <v>0</v>
      </c>
      <c r="AH11" s="131">
        <f t="shared" si="6"/>
        <v>0</v>
      </c>
      <c r="AI11" s="131">
        <f t="shared" si="7"/>
        <v>0</v>
      </c>
      <c r="AJ11" s="131" t="e">
        <f t="shared" si="8"/>
        <v>#DIV/0!</v>
      </c>
      <c r="AK11" s="131">
        <f t="shared" si="9"/>
        <v>0</v>
      </c>
      <c r="AL11" s="131">
        <f t="shared" si="10"/>
        <v>0</v>
      </c>
      <c r="AM11" s="131">
        <v>0</v>
      </c>
      <c r="AN11" s="131">
        <f t="shared" si="11"/>
        <v>0</v>
      </c>
      <c r="AO11" s="131">
        <v>0</v>
      </c>
      <c r="AP11" s="131">
        <f t="shared" si="12"/>
        <v>0</v>
      </c>
      <c r="AQ11" s="131">
        <f t="shared" si="13"/>
        <v>0</v>
      </c>
      <c r="AR11" s="131">
        <v>0</v>
      </c>
    </row>
    <row r="12" spans="1:44">
      <c r="D12" s="105"/>
      <c r="K12" s="105"/>
      <c r="L12" s="105"/>
      <c r="AB12" s="131">
        <f t="shared" si="0"/>
        <v>0</v>
      </c>
      <c r="AC12" s="131">
        <f t="shared" si="1"/>
        <v>0</v>
      </c>
      <c r="AD12" s="131">
        <f t="shared" si="2"/>
        <v>0</v>
      </c>
      <c r="AE12" s="131">
        <f t="shared" si="3"/>
        <v>0</v>
      </c>
      <c r="AF12" s="131">
        <f t="shared" si="4"/>
        <v>0</v>
      </c>
      <c r="AG12" s="131">
        <f t="shared" si="5"/>
        <v>0</v>
      </c>
      <c r="AH12" s="131">
        <f t="shared" si="6"/>
        <v>0</v>
      </c>
      <c r="AI12" s="131">
        <f t="shared" si="7"/>
        <v>0</v>
      </c>
      <c r="AJ12" s="131" t="e">
        <f t="shared" si="8"/>
        <v>#DIV/0!</v>
      </c>
      <c r="AK12" s="131">
        <f t="shared" si="9"/>
        <v>0</v>
      </c>
      <c r="AL12" s="131">
        <f t="shared" si="10"/>
        <v>0</v>
      </c>
      <c r="AM12" s="131">
        <v>0</v>
      </c>
      <c r="AN12" s="131">
        <f t="shared" si="11"/>
        <v>0</v>
      </c>
      <c r="AO12" s="131">
        <v>0</v>
      </c>
      <c r="AP12" s="131">
        <f t="shared" si="12"/>
        <v>0</v>
      </c>
      <c r="AQ12" s="131">
        <f t="shared" si="13"/>
        <v>0</v>
      </c>
      <c r="AR12" s="131">
        <v>0</v>
      </c>
    </row>
    <row r="13" spans="1:44">
      <c r="D13" s="105"/>
      <c r="K13" s="105"/>
      <c r="L13" s="105"/>
      <c r="AB13" s="131">
        <f t="shared" si="0"/>
        <v>0</v>
      </c>
      <c r="AC13" s="131">
        <f t="shared" si="1"/>
        <v>0</v>
      </c>
      <c r="AD13" s="131">
        <f t="shared" si="2"/>
        <v>0</v>
      </c>
      <c r="AE13" s="131">
        <f t="shared" si="3"/>
        <v>0</v>
      </c>
      <c r="AF13" s="131">
        <f t="shared" si="4"/>
        <v>0</v>
      </c>
      <c r="AG13" s="131">
        <f t="shared" si="5"/>
        <v>0</v>
      </c>
      <c r="AH13" s="131">
        <f t="shared" si="6"/>
        <v>0</v>
      </c>
      <c r="AI13" s="131">
        <f t="shared" si="7"/>
        <v>0</v>
      </c>
      <c r="AJ13" s="131" t="e">
        <f t="shared" si="8"/>
        <v>#DIV/0!</v>
      </c>
      <c r="AK13" s="131">
        <f t="shared" si="9"/>
        <v>0</v>
      </c>
      <c r="AL13" s="131">
        <f t="shared" si="10"/>
        <v>0</v>
      </c>
      <c r="AM13" s="131">
        <v>0</v>
      </c>
      <c r="AN13" s="131">
        <f t="shared" si="11"/>
        <v>0</v>
      </c>
      <c r="AO13" s="131">
        <v>0</v>
      </c>
      <c r="AP13" s="131">
        <f t="shared" si="12"/>
        <v>0</v>
      </c>
      <c r="AQ13" s="131">
        <f t="shared" si="13"/>
        <v>0</v>
      </c>
      <c r="AR13" s="131">
        <v>0</v>
      </c>
    </row>
    <row r="14" spans="1:44">
      <c r="D14" s="105"/>
      <c r="K14" s="105"/>
      <c r="L14" s="105"/>
      <c r="AB14" s="131">
        <f t="shared" si="0"/>
        <v>0</v>
      </c>
      <c r="AC14" s="131">
        <f t="shared" si="1"/>
        <v>0</v>
      </c>
      <c r="AD14" s="131">
        <f t="shared" si="2"/>
        <v>0</v>
      </c>
      <c r="AE14" s="131">
        <f t="shared" si="3"/>
        <v>0</v>
      </c>
      <c r="AF14" s="131">
        <f t="shared" si="4"/>
        <v>0</v>
      </c>
      <c r="AG14" s="131">
        <f t="shared" si="5"/>
        <v>0</v>
      </c>
      <c r="AH14" s="131">
        <f t="shared" si="6"/>
        <v>0</v>
      </c>
      <c r="AI14" s="131">
        <f t="shared" si="7"/>
        <v>0</v>
      </c>
      <c r="AJ14" s="131" t="e">
        <f t="shared" si="8"/>
        <v>#DIV/0!</v>
      </c>
      <c r="AK14" s="131">
        <f t="shared" si="9"/>
        <v>0</v>
      </c>
      <c r="AL14" s="131">
        <f t="shared" si="10"/>
        <v>0</v>
      </c>
      <c r="AM14" s="131">
        <v>0</v>
      </c>
      <c r="AN14" s="131">
        <f t="shared" si="11"/>
        <v>0</v>
      </c>
      <c r="AO14" s="131">
        <v>0</v>
      </c>
      <c r="AP14" s="131">
        <f t="shared" si="12"/>
        <v>0</v>
      </c>
      <c r="AQ14" s="131">
        <f t="shared" si="13"/>
        <v>0</v>
      </c>
      <c r="AR14" s="131">
        <v>0</v>
      </c>
    </row>
    <row r="15" spans="1:44">
      <c r="D15" s="105"/>
      <c r="K15" s="105"/>
      <c r="L15" s="105"/>
      <c r="AB15" s="131">
        <f t="shared" si="0"/>
        <v>0</v>
      </c>
      <c r="AC15" s="131">
        <f t="shared" si="1"/>
        <v>0</v>
      </c>
      <c r="AD15" s="131">
        <f t="shared" si="2"/>
        <v>0</v>
      </c>
      <c r="AE15" s="131">
        <f t="shared" si="3"/>
        <v>0</v>
      </c>
      <c r="AF15" s="131">
        <f t="shared" si="4"/>
        <v>0</v>
      </c>
      <c r="AG15" s="131">
        <f t="shared" si="5"/>
        <v>0</v>
      </c>
      <c r="AH15" s="131">
        <f t="shared" si="6"/>
        <v>0</v>
      </c>
      <c r="AI15" s="131">
        <f t="shared" si="7"/>
        <v>0</v>
      </c>
      <c r="AJ15" s="131" t="e">
        <f t="shared" si="8"/>
        <v>#DIV/0!</v>
      </c>
      <c r="AK15" s="131">
        <f t="shared" si="9"/>
        <v>0</v>
      </c>
      <c r="AL15" s="131">
        <f t="shared" si="10"/>
        <v>0</v>
      </c>
      <c r="AM15" s="131">
        <v>0</v>
      </c>
      <c r="AN15" s="131">
        <f t="shared" si="11"/>
        <v>0</v>
      </c>
      <c r="AO15" s="131">
        <v>0</v>
      </c>
      <c r="AP15" s="131">
        <f t="shared" si="12"/>
        <v>0</v>
      </c>
      <c r="AQ15" s="131">
        <f t="shared" si="13"/>
        <v>0</v>
      </c>
      <c r="AR15" s="131">
        <v>0</v>
      </c>
    </row>
    <row r="16" spans="1:44">
      <c r="D16" s="105"/>
      <c r="K16" s="105"/>
      <c r="L16" s="105"/>
      <c r="AB16" s="131">
        <f t="shared" si="0"/>
        <v>0</v>
      </c>
      <c r="AC16" s="131">
        <f t="shared" si="1"/>
        <v>0</v>
      </c>
      <c r="AD16" s="131">
        <f t="shared" si="2"/>
        <v>0</v>
      </c>
      <c r="AE16" s="131">
        <f t="shared" si="3"/>
        <v>0</v>
      </c>
      <c r="AF16" s="131">
        <f t="shared" si="4"/>
        <v>0</v>
      </c>
      <c r="AG16" s="131">
        <f t="shared" si="5"/>
        <v>0</v>
      </c>
      <c r="AH16" s="131">
        <f t="shared" si="6"/>
        <v>0</v>
      </c>
      <c r="AI16" s="131">
        <f t="shared" si="7"/>
        <v>0</v>
      </c>
      <c r="AJ16" s="131" t="e">
        <f t="shared" si="8"/>
        <v>#DIV/0!</v>
      </c>
      <c r="AK16" s="131">
        <f t="shared" si="9"/>
        <v>0</v>
      </c>
      <c r="AL16" s="131">
        <f t="shared" si="10"/>
        <v>0</v>
      </c>
      <c r="AM16" s="131">
        <v>0</v>
      </c>
      <c r="AN16" s="131">
        <f t="shared" si="11"/>
        <v>0</v>
      </c>
      <c r="AO16" s="131">
        <v>0</v>
      </c>
      <c r="AP16" s="131">
        <f t="shared" si="12"/>
        <v>0</v>
      </c>
      <c r="AQ16" s="131">
        <f t="shared" si="13"/>
        <v>0</v>
      </c>
      <c r="AR16" s="131">
        <v>0</v>
      </c>
    </row>
    <row r="17" spans="4:44">
      <c r="D17" s="105"/>
      <c r="AB17" s="131">
        <f t="shared" si="0"/>
        <v>0</v>
      </c>
      <c r="AC17" s="131">
        <f t="shared" si="1"/>
        <v>0</v>
      </c>
      <c r="AD17" s="131">
        <f t="shared" si="2"/>
        <v>0</v>
      </c>
      <c r="AE17" s="131">
        <f t="shared" si="3"/>
        <v>0</v>
      </c>
      <c r="AF17" s="131">
        <f t="shared" si="4"/>
        <v>0</v>
      </c>
      <c r="AG17" s="131">
        <f t="shared" si="5"/>
        <v>0</v>
      </c>
      <c r="AH17" s="131">
        <f t="shared" si="6"/>
        <v>0</v>
      </c>
      <c r="AI17" s="131">
        <f t="shared" si="7"/>
        <v>0</v>
      </c>
      <c r="AJ17" s="131" t="e">
        <f t="shared" si="8"/>
        <v>#DIV/0!</v>
      </c>
      <c r="AK17" s="131">
        <f t="shared" si="9"/>
        <v>0</v>
      </c>
      <c r="AL17" s="131">
        <f t="shared" si="10"/>
        <v>0</v>
      </c>
      <c r="AM17" s="131">
        <v>0</v>
      </c>
      <c r="AN17" s="131">
        <f t="shared" si="11"/>
        <v>0</v>
      </c>
      <c r="AO17" s="131">
        <v>0</v>
      </c>
      <c r="AP17" s="131">
        <f t="shared" si="12"/>
        <v>0</v>
      </c>
      <c r="AQ17" s="131">
        <f t="shared" si="13"/>
        <v>0</v>
      </c>
      <c r="AR17" s="131">
        <v>0</v>
      </c>
    </row>
    <row r="18" spans="4:44">
      <c r="AB18" s="131">
        <f t="shared" si="0"/>
        <v>0</v>
      </c>
      <c r="AC18" s="131">
        <f t="shared" si="1"/>
        <v>0</v>
      </c>
      <c r="AD18" s="131">
        <f t="shared" si="2"/>
        <v>0</v>
      </c>
      <c r="AE18" s="131">
        <f t="shared" si="3"/>
        <v>0</v>
      </c>
      <c r="AF18" s="131">
        <f t="shared" si="4"/>
        <v>0</v>
      </c>
      <c r="AG18" s="131">
        <f t="shared" si="5"/>
        <v>0</v>
      </c>
      <c r="AH18" s="131">
        <f t="shared" si="6"/>
        <v>0</v>
      </c>
      <c r="AI18" s="131">
        <f t="shared" si="7"/>
        <v>0</v>
      </c>
      <c r="AJ18" s="131" t="e">
        <f t="shared" si="8"/>
        <v>#DIV/0!</v>
      </c>
      <c r="AK18" s="131">
        <f t="shared" si="9"/>
        <v>0</v>
      </c>
      <c r="AL18" s="131">
        <f t="shared" si="10"/>
        <v>0</v>
      </c>
      <c r="AM18" s="131">
        <v>0</v>
      </c>
      <c r="AN18" s="131">
        <f t="shared" si="11"/>
        <v>0</v>
      </c>
      <c r="AO18" s="131">
        <v>0</v>
      </c>
      <c r="AP18" s="131">
        <f t="shared" si="12"/>
        <v>0</v>
      </c>
      <c r="AQ18" s="131">
        <f t="shared" si="13"/>
        <v>0</v>
      </c>
      <c r="AR18" s="131">
        <v>0</v>
      </c>
    </row>
    <row r="19" spans="4:44">
      <c r="AB19" s="131">
        <f t="shared" si="0"/>
        <v>0</v>
      </c>
      <c r="AC19" s="131">
        <f t="shared" si="1"/>
        <v>0</v>
      </c>
      <c r="AD19" s="131">
        <f t="shared" si="2"/>
        <v>0</v>
      </c>
      <c r="AE19" s="131">
        <f t="shared" si="3"/>
        <v>0</v>
      </c>
      <c r="AF19" s="131">
        <f t="shared" si="4"/>
        <v>0</v>
      </c>
      <c r="AG19" s="131">
        <f t="shared" si="5"/>
        <v>0</v>
      </c>
      <c r="AH19" s="131">
        <f t="shared" si="6"/>
        <v>0</v>
      </c>
      <c r="AI19" s="131">
        <f t="shared" si="7"/>
        <v>0</v>
      </c>
      <c r="AJ19" s="131" t="e">
        <f t="shared" si="8"/>
        <v>#DIV/0!</v>
      </c>
      <c r="AK19" s="131">
        <f t="shared" si="9"/>
        <v>0</v>
      </c>
      <c r="AL19" s="131">
        <f t="shared" si="10"/>
        <v>0</v>
      </c>
      <c r="AM19" s="131">
        <v>0</v>
      </c>
      <c r="AN19" s="131">
        <f t="shared" si="11"/>
        <v>0</v>
      </c>
      <c r="AO19" s="131">
        <v>0</v>
      </c>
      <c r="AP19" s="131">
        <f t="shared" si="12"/>
        <v>0</v>
      </c>
      <c r="AQ19" s="131">
        <f t="shared" si="13"/>
        <v>0</v>
      </c>
      <c r="AR19" s="131">
        <v>0</v>
      </c>
    </row>
    <row r="20" spans="4:44">
      <c r="AB20" s="131">
        <f t="shared" si="0"/>
        <v>0</v>
      </c>
      <c r="AC20" s="131">
        <f t="shared" si="1"/>
        <v>0</v>
      </c>
      <c r="AD20" s="131">
        <f t="shared" si="2"/>
        <v>0</v>
      </c>
      <c r="AE20" s="131">
        <f t="shared" si="3"/>
        <v>0</v>
      </c>
      <c r="AF20" s="131">
        <f t="shared" si="4"/>
        <v>0</v>
      </c>
      <c r="AG20" s="131">
        <f t="shared" si="5"/>
        <v>0</v>
      </c>
      <c r="AH20" s="131">
        <f t="shared" si="6"/>
        <v>0</v>
      </c>
      <c r="AI20" s="131">
        <f t="shared" si="7"/>
        <v>0</v>
      </c>
      <c r="AJ20" s="131" t="e">
        <f t="shared" si="8"/>
        <v>#DIV/0!</v>
      </c>
      <c r="AK20" s="131">
        <f t="shared" si="9"/>
        <v>0</v>
      </c>
      <c r="AL20" s="131">
        <f t="shared" si="10"/>
        <v>0</v>
      </c>
      <c r="AM20" s="131">
        <v>0</v>
      </c>
      <c r="AN20" s="131">
        <f t="shared" si="11"/>
        <v>0</v>
      </c>
      <c r="AO20" s="131">
        <v>0</v>
      </c>
      <c r="AP20" s="131">
        <f t="shared" si="12"/>
        <v>0</v>
      </c>
      <c r="AQ20" s="131">
        <f t="shared" si="13"/>
        <v>0</v>
      </c>
      <c r="AR20" s="131">
        <v>0</v>
      </c>
    </row>
    <row r="21" spans="4:44">
      <c r="AB21" s="131">
        <f t="shared" si="0"/>
        <v>0</v>
      </c>
      <c r="AC21" s="131">
        <f t="shared" si="1"/>
        <v>0</v>
      </c>
      <c r="AD21" s="131">
        <f t="shared" si="2"/>
        <v>0</v>
      </c>
      <c r="AE21" s="131">
        <f t="shared" si="3"/>
        <v>0</v>
      </c>
      <c r="AF21" s="131">
        <f t="shared" si="4"/>
        <v>0</v>
      </c>
      <c r="AG21" s="131">
        <f t="shared" si="5"/>
        <v>0</v>
      </c>
      <c r="AH21" s="131">
        <f t="shared" si="6"/>
        <v>0</v>
      </c>
      <c r="AI21" s="131">
        <f t="shared" si="7"/>
        <v>0</v>
      </c>
      <c r="AJ21" s="131" t="e">
        <f t="shared" si="8"/>
        <v>#DIV/0!</v>
      </c>
      <c r="AK21" s="131">
        <f t="shared" si="9"/>
        <v>0</v>
      </c>
      <c r="AL21" s="131">
        <f t="shared" si="10"/>
        <v>0</v>
      </c>
      <c r="AM21" s="131">
        <v>0</v>
      </c>
      <c r="AN21" s="131">
        <f t="shared" si="11"/>
        <v>0</v>
      </c>
      <c r="AO21" s="131">
        <v>0</v>
      </c>
      <c r="AP21" s="131">
        <f t="shared" si="12"/>
        <v>0</v>
      </c>
      <c r="AQ21" s="131">
        <f t="shared" si="13"/>
        <v>0</v>
      </c>
      <c r="AR21" s="131">
        <v>0</v>
      </c>
    </row>
    <row r="22" spans="4:44">
      <c r="AB22" s="131">
        <f t="shared" si="0"/>
        <v>0</v>
      </c>
      <c r="AC22" s="131">
        <f t="shared" si="1"/>
        <v>0</v>
      </c>
      <c r="AD22" s="131">
        <f t="shared" si="2"/>
        <v>0</v>
      </c>
      <c r="AE22" s="131">
        <f t="shared" si="3"/>
        <v>0</v>
      </c>
      <c r="AF22" s="131">
        <f t="shared" si="4"/>
        <v>0</v>
      </c>
      <c r="AG22" s="131">
        <f t="shared" si="5"/>
        <v>0</v>
      </c>
      <c r="AH22" s="131">
        <f t="shared" si="6"/>
        <v>0</v>
      </c>
      <c r="AI22" s="131">
        <f t="shared" si="7"/>
        <v>0</v>
      </c>
      <c r="AJ22" s="131" t="e">
        <f t="shared" si="8"/>
        <v>#DIV/0!</v>
      </c>
      <c r="AK22" s="131">
        <f t="shared" si="9"/>
        <v>0</v>
      </c>
      <c r="AL22" s="131">
        <f t="shared" si="10"/>
        <v>0</v>
      </c>
      <c r="AM22" s="131">
        <v>0</v>
      </c>
      <c r="AN22" s="131">
        <f t="shared" si="11"/>
        <v>0</v>
      </c>
      <c r="AO22" s="131">
        <v>0</v>
      </c>
      <c r="AP22" s="131">
        <f t="shared" si="12"/>
        <v>0</v>
      </c>
      <c r="AQ22" s="131">
        <f t="shared" si="13"/>
        <v>0</v>
      </c>
      <c r="AR22" s="131">
        <v>0</v>
      </c>
    </row>
    <row r="23" spans="4:44">
      <c r="AB23" s="131">
        <f t="shared" si="0"/>
        <v>0</v>
      </c>
      <c r="AC23" s="131">
        <f t="shared" si="1"/>
        <v>0</v>
      </c>
      <c r="AD23" s="131">
        <f t="shared" si="2"/>
        <v>0</v>
      </c>
      <c r="AE23" s="131">
        <f t="shared" si="3"/>
        <v>0</v>
      </c>
      <c r="AF23" s="131">
        <f t="shared" si="4"/>
        <v>0</v>
      </c>
      <c r="AG23" s="131">
        <f t="shared" si="5"/>
        <v>0</v>
      </c>
      <c r="AH23" s="131">
        <f t="shared" si="6"/>
        <v>0</v>
      </c>
      <c r="AI23" s="131">
        <f t="shared" si="7"/>
        <v>0</v>
      </c>
      <c r="AJ23" s="131" t="e">
        <f t="shared" si="8"/>
        <v>#DIV/0!</v>
      </c>
      <c r="AK23" s="131">
        <f t="shared" si="9"/>
        <v>0</v>
      </c>
      <c r="AL23" s="131">
        <f t="shared" si="10"/>
        <v>0</v>
      </c>
      <c r="AM23" s="131">
        <v>0</v>
      </c>
      <c r="AN23" s="131">
        <f t="shared" si="11"/>
        <v>0</v>
      </c>
      <c r="AO23" s="131">
        <v>0</v>
      </c>
      <c r="AP23" s="131">
        <f t="shared" si="12"/>
        <v>0</v>
      </c>
      <c r="AQ23" s="131">
        <f t="shared" si="13"/>
        <v>0</v>
      </c>
      <c r="AR23" s="131">
        <v>0</v>
      </c>
    </row>
    <row r="24" spans="4:44">
      <c r="AB24" s="131">
        <f t="shared" si="0"/>
        <v>0</v>
      </c>
      <c r="AC24" s="131">
        <f t="shared" si="1"/>
        <v>0</v>
      </c>
      <c r="AD24" s="131">
        <f t="shared" si="2"/>
        <v>0</v>
      </c>
      <c r="AE24" s="131">
        <f t="shared" si="3"/>
        <v>0</v>
      </c>
      <c r="AF24" s="131">
        <f t="shared" si="4"/>
        <v>0</v>
      </c>
      <c r="AG24" s="131">
        <f t="shared" si="5"/>
        <v>0</v>
      </c>
      <c r="AH24" s="131">
        <f t="shared" si="6"/>
        <v>0</v>
      </c>
      <c r="AI24" s="131">
        <f t="shared" si="7"/>
        <v>0</v>
      </c>
      <c r="AJ24" s="131" t="e">
        <f t="shared" si="8"/>
        <v>#DIV/0!</v>
      </c>
      <c r="AK24" s="131">
        <f t="shared" si="9"/>
        <v>0</v>
      </c>
      <c r="AL24" s="131">
        <f t="shared" si="10"/>
        <v>0</v>
      </c>
      <c r="AM24" s="131">
        <v>0</v>
      </c>
      <c r="AN24" s="131">
        <f t="shared" si="11"/>
        <v>0</v>
      </c>
      <c r="AO24" s="131">
        <v>0</v>
      </c>
      <c r="AP24" s="131">
        <f t="shared" si="12"/>
        <v>0</v>
      </c>
      <c r="AQ24" s="131">
        <f t="shared" si="13"/>
        <v>0</v>
      </c>
      <c r="AR24" s="131">
        <v>0</v>
      </c>
    </row>
    <row r="25" spans="4:44">
      <c r="AB25" s="131">
        <f t="shared" si="0"/>
        <v>0</v>
      </c>
      <c r="AC25" s="131">
        <f t="shared" si="1"/>
        <v>0</v>
      </c>
      <c r="AD25" s="131">
        <f t="shared" si="2"/>
        <v>0</v>
      </c>
      <c r="AE25" s="131">
        <f t="shared" si="3"/>
        <v>0</v>
      </c>
      <c r="AF25" s="131">
        <f t="shared" si="4"/>
        <v>0</v>
      </c>
      <c r="AG25" s="131">
        <f t="shared" si="5"/>
        <v>0</v>
      </c>
      <c r="AH25" s="131">
        <f t="shared" si="6"/>
        <v>0</v>
      </c>
      <c r="AI25" s="131">
        <f t="shared" si="7"/>
        <v>0</v>
      </c>
      <c r="AJ25" s="131" t="e">
        <f t="shared" si="8"/>
        <v>#DIV/0!</v>
      </c>
      <c r="AK25" s="131">
        <f t="shared" si="9"/>
        <v>0</v>
      </c>
      <c r="AL25" s="131">
        <f t="shared" si="10"/>
        <v>0</v>
      </c>
      <c r="AM25" s="131">
        <v>0</v>
      </c>
      <c r="AN25" s="131">
        <f t="shared" si="11"/>
        <v>0</v>
      </c>
      <c r="AO25" s="131">
        <v>0</v>
      </c>
      <c r="AP25" s="131">
        <f t="shared" si="12"/>
        <v>0</v>
      </c>
      <c r="AQ25" s="131">
        <f t="shared" si="13"/>
        <v>0</v>
      </c>
      <c r="AR25" s="131">
        <v>0</v>
      </c>
    </row>
    <row r="26" spans="4:44">
      <c r="AB26" s="131">
        <f t="shared" si="0"/>
        <v>0</v>
      </c>
      <c r="AC26" s="131">
        <f t="shared" si="1"/>
        <v>0</v>
      </c>
      <c r="AD26" s="131">
        <f t="shared" si="2"/>
        <v>0</v>
      </c>
      <c r="AE26" s="131">
        <f t="shared" si="3"/>
        <v>0</v>
      </c>
      <c r="AF26" s="131">
        <f t="shared" si="4"/>
        <v>0</v>
      </c>
      <c r="AG26" s="131">
        <f t="shared" si="5"/>
        <v>0</v>
      </c>
      <c r="AH26" s="131">
        <f t="shared" si="6"/>
        <v>0</v>
      </c>
      <c r="AI26" s="131">
        <f t="shared" si="7"/>
        <v>0</v>
      </c>
      <c r="AJ26" s="131" t="e">
        <f t="shared" si="8"/>
        <v>#DIV/0!</v>
      </c>
      <c r="AK26" s="131">
        <f t="shared" si="9"/>
        <v>0</v>
      </c>
      <c r="AL26" s="131">
        <f t="shared" si="10"/>
        <v>0</v>
      </c>
      <c r="AM26" s="131">
        <v>0</v>
      </c>
      <c r="AN26" s="131">
        <f t="shared" si="11"/>
        <v>0</v>
      </c>
      <c r="AO26" s="131">
        <v>0</v>
      </c>
      <c r="AP26" s="131">
        <f t="shared" si="12"/>
        <v>0</v>
      </c>
      <c r="AQ26" s="131">
        <f t="shared" si="13"/>
        <v>0</v>
      </c>
      <c r="AR26" s="131">
        <v>0</v>
      </c>
    </row>
    <row r="27" spans="4:44">
      <c r="AB27" s="131">
        <f t="shared" si="0"/>
        <v>0</v>
      </c>
      <c r="AC27" s="131">
        <f t="shared" si="1"/>
        <v>0</v>
      </c>
      <c r="AD27" s="131">
        <f t="shared" si="2"/>
        <v>0</v>
      </c>
      <c r="AE27" s="131">
        <f t="shared" si="3"/>
        <v>0</v>
      </c>
      <c r="AF27" s="131">
        <f t="shared" si="4"/>
        <v>0</v>
      </c>
      <c r="AG27" s="131">
        <f t="shared" si="5"/>
        <v>0</v>
      </c>
      <c r="AH27" s="131">
        <f t="shared" si="6"/>
        <v>0</v>
      </c>
      <c r="AI27" s="131">
        <f t="shared" si="7"/>
        <v>0</v>
      </c>
      <c r="AJ27" s="131" t="e">
        <f t="shared" si="8"/>
        <v>#DIV/0!</v>
      </c>
      <c r="AK27" s="131">
        <f t="shared" si="9"/>
        <v>0</v>
      </c>
      <c r="AL27" s="131">
        <f t="shared" si="10"/>
        <v>0</v>
      </c>
      <c r="AM27" s="131">
        <v>0</v>
      </c>
      <c r="AN27" s="131">
        <f t="shared" si="11"/>
        <v>0</v>
      </c>
      <c r="AO27" s="131">
        <v>0</v>
      </c>
      <c r="AP27" s="131">
        <f t="shared" si="12"/>
        <v>0</v>
      </c>
      <c r="AQ27" s="131">
        <f t="shared" si="13"/>
        <v>0</v>
      </c>
      <c r="AR27" s="131">
        <v>0</v>
      </c>
    </row>
    <row r="28" spans="4:44">
      <c r="AB28" s="131">
        <f t="shared" si="0"/>
        <v>0</v>
      </c>
      <c r="AC28" s="131">
        <f t="shared" si="1"/>
        <v>0</v>
      </c>
      <c r="AD28" s="131">
        <f t="shared" si="2"/>
        <v>0</v>
      </c>
      <c r="AE28" s="131">
        <f t="shared" si="3"/>
        <v>0</v>
      </c>
      <c r="AF28" s="131">
        <f t="shared" si="4"/>
        <v>0</v>
      </c>
      <c r="AG28" s="131">
        <f t="shared" si="5"/>
        <v>0</v>
      </c>
      <c r="AH28" s="131">
        <f t="shared" si="6"/>
        <v>0</v>
      </c>
      <c r="AI28" s="131">
        <f t="shared" si="7"/>
        <v>0</v>
      </c>
      <c r="AJ28" s="131" t="e">
        <f t="shared" si="8"/>
        <v>#DIV/0!</v>
      </c>
      <c r="AK28" s="131">
        <f t="shared" si="9"/>
        <v>0</v>
      </c>
      <c r="AL28" s="131">
        <f t="shared" si="10"/>
        <v>0</v>
      </c>
      <c r="AM28" s="131">
        <v>0</v>
      </c>
      <c r="AN28" s="131">
        <f t="shared" si="11"/>
        <v>0</v>
      </c>
      <c r="AO28" s="131">
        <v>0</v>
      </c>
      <c r="AP28" s="131">
        <f t="shared" si="12"/>
        <v>0</v>
      </c>
      <c r="AQ28" s="131">
        <f t="shared" si="13"/>
        <v>0</v>
      </c>
      <c r="AR28" s="131">
        <v>0</v>
      </c>
    </row>
    <row r="29" spans="4:44">
      <c r="AB29" s="131">
        <f t="shared" si="0"/>
        <v>0</v>
      </c>
      <c r="AC29" s="131">
        <f t="shared" si="1"/>
        <v>0</v>
      </c>
      <c r="AD29" s="131">
        <f t="shared" si="2"/>
        <v>0</v>
      </c>
      <c r="AE29" s="131">
        <f t="shared" si="3"/>
        <v>0</v>
      </c>
      <c r="AF29" s="131">
        <f t="shared" si="4"/>
        <v>0</v>
      </c>
      <c r="AG29" s="131">
        <f t="shared" si="5"/>
        <v>0</v>
      </c>
      <c r="AH29" s="131">
        <f t="shared" si="6"/>
        <v>0</v>
      </c>
      <c r="AI29" s="131">
        <f t="shared" si="7"/>
        <v>0</v>
      </c>
      <c r="AJ29" s="131" t="e">
        <f t="shared" si="8"/>
        <v>#DIV/0!</v>
      </c>
      <c r="AK29" s="131">
        <f t="shared" si="9"/>
        <v>0</v>
      </c>
      <c r="AL29" s="131">
        <f t="shared" si="10"/>
        <v>0</v>
      </c>
      <c r="AM29" s="131">
        <v>0</v>
      </c>
      <c r="AN29" s="131">
        <f t="shared" si="11"/>
        <v>0</v>
      </c>
      <c r="AO29" s="131">
        <v>0</v>
      </c>
      <c r="AP29" s="131">
        <f t="shared" si="12"/>
        <v>0</v>
      </c>
      <c r="AQ29" s="131">
        <f t="shared" si="13"/>
        <v>0</v>
      </c>
      <c r="AR29" s="131">
        <v>0</v>
      </c>
    </row>
    <row r="30" spans="4:44">
      <c r="AB30" s="131">
        <f t="shared" si="0"/>
        <v>0</v>
      </c>
      <c r="AC30" s="131">
        <f t="shared" si="1"/>
        <v>0</v>
      </c>
      <c r="AD30" s="131">
        <f t="shared" si="2"/>
        <v>0</v>
      </c>
      <c r="AE30" s="131">
        <f t="shared" si="3"/>
        <v>0</v>
      </c>
      <c r="AF30" s="131">
        <f t="shared" si="4"/>
        <v>0</v>
      </c>
      <c r="AG30" s="131">
        <f t="shared" si="5"/>
        <v>0</v>
      </c>
      <c r="AH30" s="131">
        <f t="shared" si="6"/>
        <v>0</v>
      </c>
      <c r="AI30" s="131">
        <f t="shared" si="7"/>
        <v>0</v>
      </c>
      <c r="AJ30" s="131" t="e">
        <f t="shared" si="8"/>
        <v>#DIV/0!</v>
      </c>
      <c r="AK30" s="131">
        <f t="shared" si="9"/>
        <v>0</v>
      </c>
      <c r="AL30" s="131">
        <f t="shared" si="10"/>
        <v>0</v>
      </c>
      <c r="AM30" s="131">
        <v>0</v>
      </c>
      <c r="AN30" s="131">
        <f t="shared" si="11"/>
        <v>0</v>
      </c>
      <c r="AO30" s="131">
        <v>0</v>
      </c>
      <c r="AP30" s="131">
        <f t="shared" si="12"/>
        <v>0</v>
      </c>
      <c r="AQ30" s="131">
        <f t="shared" si="13"/>
        <v>0</v>
      </c>
      <c r="AR30" s="131">
        <v>0</v>
      </c>
    </row>
    <row r="31" spans="4:44">
      <c r="AB31" s="131">
        <f t="shared" si="0"/>
        <v>0</v>
      </c>
      <c r="AC31" s="131">
        <f t="shared" si="1"/>
        <v>0</v>
      </c>
      <c r="AD31" s="131">
        <f t="shared" si="2"/>
        <v>0</v>
      </c>
      <c r="AE31" s="131">
        <f t="shared" si="3"/>
        <v>0</v>
      </c>
      <c r="AF31" s="131">
        <f t="shared" si="4"/>
        <v>0</v>
      </c>
      <c r="AG31" s="131">
        <f t="shared" si="5"/>
        <v>0</v>
      </c>
      <c r="AH31" s="131">
        <f t="shared" si="6"/>
        <v>0</v>
      </c>
      <c r="AI31" s="131">
        <f t="shared" si="7"/>
        <v>0</v>
      </c>
      <c r="AJ31" s="131" t="e">
        <f t="shared" si="8"/>
        <v>#DIV/0!</v>
      </c>
      <c r="AK31" s="131">
        <f t="shared" si="9"/>
        <v>0</v>
      </c>
      <c r="AL31" s="131">
        <f t="shared" si="10"/>
        <v>0</v>
      </c>
      <c r="AM31" s="131">
        <v>0</v>
      </c>
      <c r="AN31" s="131">
        <f t="shared" si="11"/>
        <v>0</v>
      </c>
      <c r="AO31" s="131">
        <v>0</v>
      </c>
      <c r="AP31" s="131">
        <f t="shared" si="12"/>
        <v>0</v>
      </c>
      <c r="AQ31" s="131">
        <f t="shared" si="13"/>
        <v>0</v>
      </c>
      <c r="AR31" s="131">
        <v>0</v>
      </c>
    </row>
    <row r="32" spans="4:44">
      <c r="AB32" s="131">
        <f t="shared" si="0"/>
        <v>0</v>
      </c>
      <c r="AC32" s="131">
        <f t="shared" si="1"/>
        <v>0</v>
      </c>
      <c r="AD32" s="131">
        <f t="shared" si="2"/>
        <v>0</v>
      </c>
      <c r="AE32" s="131">
        <f t="shared" si="3"/>
        <v>0</v>
      </c>
      <c r="AF32" s="131">
        <f t="shared" si="4"/>
        <v>0</v>
      </c>
      <c r="AG32" s="131">
        <f t="shared" si="5"/>
        <v>0</v>
      </c>
      <c r="AH32" s="131">
        <f t="shared" si="6"/>
        <v>0</v>
      </c>
      <c r="AI32" s="131">
        <f t="shared" si="7"/>
        <v>0</v>
      </c>
      <c r="AJ32" s="131" t="e">
        <f t="shared" si="8"/>
        <v>#DIV/0!</v>
      </c>
      <c r="AK32" s="131">
        <f t="shared" si="9"/>
        <v>0</v>
      </c>
      <c r="AL32" s="131">
        <f t="shared" si="10"/>
        <v>0</v>
      </c>
      <c r="AM32" s="131">
        <v>0</v>
      </c>
      <c r="AN32" s="131">
        <f t="shared" si="11"/>
        <v>0</v>
      </c>
      <c r="AO32" s="131">
        <v>0</v>
      </c>
      <c r="AP32" s="131">
        <f t="shared" si="12"/>
        <v>0</v>
      </c>
      <c r="AQ32" s="131">
        <f t="shared" si="13"/>
        <v>0</v>
      </c>
      <c r="AR32" s="131">
        <v>0</v>
      </c>
    </row>
    <row r="33" spans="28:44">
      <c r="AB33" s="131">
        <f t="shared" si="0"/>
        <v>0</v>
      </c>
      <c r="AC33" s="131">
        <f t="shared" si="1"/>
        <v>0</v>
      </c>
      <c r="AD33" s="131">
        <f t="shared" si="2"/>
        <v>0</v>
      </c>
      <c r="AE33" s="131">
        <f t="shared" si="3"/>
        <v>0</v>
      </c>
      <c r="AF33" s="131">
        <f t="shared" si="4"/>
        <v>0</v>
      </c>
      <c r="AG33" s="131">
        <f t="shared" si="5"/>
        <v>0</v>
      </c>
      <c r="AH33" s="131">
        <f t="shared" si="6"/>
        <v>0</v>
      </c>
      <c r="AI33" s="131">
        <f t="shared" si="7"/>
        <v>0</v>
      </c>
      <c r="AJ33" s="131" t="e">
        <f t="shared" si="8"/>
        <v>#DIV/0!</v>
      </c>
      <c r="AK33" s="131">
        <f t="shared" si="9"/>
        <v>0</v>
      </c>
      <c r="AL33" s="131">
        <f t="shared" si="10"/>
        <v>0</v>
      </c>
      <c r="AM33" s="131">
        <v>0</v>
      </c>
      <c r="AN33" s="131">
        <f t="shared" si="11"/>
        <v>0</v>
      </c>
      <c r="AO33" s="131">
        <v>0</v>
      </c>
      <c r="AP33" s="131">
        <f t="shared" si="12"/>
        <v>0</v>
      </c>
      <c r="AQ33" s="131">
        <f t="shared" si="13"/>
        <v>0</v>
      </c>
      <c r="AR33" s="131">
        <v>0</v>
      </c>
    </row>
    <row r="34" spans="28:44">
      <c r="AB34" s="131">
        <f t="shared" si="0"/>
        <v>0</v>
      </c>
      <c r="AC34" s="131">
        <f t="shared" si="1"/>
        <v>0</v>
      </c>
      <c r="AD34" s="131">
        <f t="shared" si="2"/>
        <v>0</v>
      </c>
      <c r="AE34" s="131">
        <f t="shared" si="3"/>
        <v>0</v>
      </c>
      <c r="AF34" s="131">
        <f t="shared" si="4"/>
        <v>0</v>
      </c>
      <c r="AG34" s="131">
        <f t="shared" si="5"/>
        <v>0</v>
      </c>
      <c r="AH34" s="131">
        <f t="shared" si="6"/>
        <v>0</v>
      </c>
      <c r="AI34" s="131">
        <f t="shared" si="7"/>
        <v>0</v>
      </c>
      <c r="AJ34" s="131" t="e">
        <f t="shared" si="8"/>
        <v>#DIV/0!</v>
      </c>
      <c r="AK34" s="131">
        <f t="shared" si="9"/>
        <v>0</v>
      </c>
      <c r="AL34" s="131">
        <f t="shared" si="10"/>
        <v>0</v>
      </c>
      <c r="AM34" s="131">
        <v>0</v>
      </c>
      <c r="AN34" s="131">
        <f t="shared" si="11"/>
        <v>0</v>
      </c>
      <c r="AO34" s="131">
        <v>0</v>
      </c>
      <c r="AP34" s="131">
        <f t="shared" si="12"/>
        <v>0</v>
      </c>
      <c r="AQ34" s="131">
        <f t="shared" si="13"/>
        <v>0</v>
      </c>
      <c r="AR34" s="131">
        <v>0</v>
      </c>
    </row>
    <row r="35" spans="28:44">
      <c r="AB35" s="131">
        <f t="shared" si="0"/>
        <v>0</v>
      </c>
      <c r="AC35" s="131">
        <f t="shared" si="1"/>
        <v>0</v>
      </c>
      <c r="AD35" s="131">
        <f t="shared" si="2"/>
        <v>0</v>
      </c>
      <c r="AE35" s="131">
        <f t="shared" si="3"/>
        <v>0</v>
      </c>
      <c r="AF35" s="131">
        <f t="shared" si="4"/>
        <v>0</v>
      </c>
      <c r="AG35" s="131">
        <f t="shared" si="5"/>
        <v>0</v>
      </c>
      <c r="AH35" s="131">
        <f t="shared" si="6"/>
        <v>0</v>
      </c>
      <c r="AI35" s="131">
        <f t="shared" si="7"/>
        <v>0</v>
      </c>
      <c r="AJ35" s="131" t="e">
        <f t="shared" si="8"/>
        <v>#DIV/0!</v>
      </c>
      <c r="AK35" s="131">
        <f t="shared" si="9"/>
        <v>0</v>
      </c>
      <c r="AL35" s="131">
        <f t="shared" si="10"/>
        <v>0</v>
      </c>
      <c r="AM35" s="131">
        <v>0</v>
      </c>
      <c r="AN35" s="131">
        <f t="shared" si="11"/>
        <v>0</v>
      </c>
      <c r="AO35" s="131">
        <v>0</v>
      </c>
      <c r="AP35" s="131">
        <f t="shared" si="12"/>
        <v>0</v>
      </c>
      <c r="AQ35" s="131">
        <f t="shared" si="13"/>
        <v>0</v>
      </c>
      <c r="AR35" s="131">
        <v>0</v>
      </c>
    </row>
    <row r="36" spans="28:44">
      <c r="AB36" s="131">
        <f t="shared" si="0"/>
        <v>0</v>
      </c>
      <c r="AC36" s="131">
        <f t="shared" si="1"/>
        <v>0</v>
      </c>
      <c r="AD36" s="131">
        <f t="shared" si="2"/>
        <v>0</v>
      </c>
      <c r="AE36" s="131">
        <f t="shared" si="3"/>
        <v>0</v>
      </c>
      <c r="AF36" s="131">
        <f t="shared" si="4"/>
        <v>0</v>
      </c>
      <c r="AG36" s="131">
        <f t="shared" si="5"/>
        <v>0</v>
      </c>
      <c r="AH36" s="131">
        <f t="shared" si="6"/>
        <v>0</v>
      </c>
      <c r="AI36" s="131">
        <f t="shared" si="7"/>
        <v>0</v>
      </c>
      <c r="AJ36" s="131" t="e">
        <f t="shared" si="8"/>
        <v>#DIV/0!</v>
      </c>
      <c r="AK36" s="131">
        <f t="shared" si="9"/>
        <v>0</v>
      </c>
      <c r="AL36" s="131">
        <f t="shared" si="10"/>
        <v>0</v>
      </c>
      <c r="AM36" s="131">
        <v>0</v>
      </c>
      <c r="AN36" s="131">
        <f t="shared" si="11"/>
        <v>0</v>
      </c>
      <c r="AO36" s="131">
        <v>0</v>
      </c>
      <c r="AP36" s="131">
        <f t="shared" si="12"/>
        <v>0</v>
      </c>
      <c r="AQ36" s="131">
        <f t="shared" si="13"/>
        <v>0</v>
      </c>
      <c r="AR36" s="131">
        <v>0</v>
      </c>
    </row>
    <row r="37" spans="28:44">
      <c r="AB37" s="131">
        <f t="shared" si="0"/>
        <v>0</v>
      </c>
      <c r="AC37" s="131">
        <f t="shared" si="1"/>
        <v>0</v>
      </c>
      <c r="AD37" s="131">
        <f t="shared" si="2"/>
        <v>0</v>
      </c>
      <c r="AE37" s="131">
        <f t="shared" si="3"/>
        <v>0</v>
      </c>
      <c r="AF37" s="131">
        <f t="shared" si="4"/>
        <v>0</v>
      </c>
      <c r="AG37" s="131">
        <f t="shared" si="5"/>
        <v>0</v>
      </c>
      <c r="AH37" s="131">
        <f t="shared" si="6"/>
        <v>0</v>
      </c>
      <c r="AI37" s="131">
        <f t="shared" si="7"/>
        <v>0</v>
      </c>
      <c r="AJ37" s="131" t="e">
        <f t="shared" si="8"/>
        <v>#DIV/0!</v>
      </c>
      <c r="AK37" s="131">
        <f t="shared" si="9"/>
        <v>0</v>
      </c>
      <c r="AL37" s="131">
        <f t="shared" si="10"/>
        <v>0</v>
      </c>
      <c r="AM37" s="131">
        <v>0</v>
      </c>
      <c r="AN37" s="131">
        <f t="shared" si="11"/>
        <v>0</v>
      </c>
      <c r="AO37" s="131">
        <v>0</v>
      </c>
      <c r="AP37" s="131">
        <f t="shared" si="12"/>
        <v>0</v>
      </c>
      <c r="AQ37" s="131">
        <f t="shared" si="13"/>
        <v>0</v>
      </c>
      <c r="AR37" s="131">
        <v>0</v>
      </c>
    </row>
    <row r="38" spans="28:44">
      <c r="AB38" s="131">
        <f t="shared" si="0"/>
        <v>0</v>
      </c>
      <c r="AC38" s="131">
        <f t="shared" si="1"/>
        <v>0</v>
      </c>
      <c r="AD38" s="131">
        <f t="shared" si="2"/>
        <v>0</v>
      </c>
      <c r="AE38" s="131">
        <f t="shared" si="3"/>
        <v>0</v>
      </c>
      <c r="AF38" s="131">
        <f t="shared" si="4"/>
        <v>0</v>
      </c>
      <c r="AG38" s="131">
        <f t="shared" si="5"/>
        <v>0</v>
      </c>
      <c r="AH38" s="131">
        <f t="shared" si="6"/>
        <v>0</v>
      </c>
      <c r="AI38" s="131">
        <f t="shared" si="7"/>
        <v>0</v>
      </c>
      <c r="AJ38" s="131" t="e">
        <f t="shared" si="8"/>
        <v>#DIV/0!</v>
      </c>
      <c r="AK38" s="131">
        <f t="shared" si="9"/>
        <v>0</v>
      </c>
      <c r="AL38" s="131">
        <f t="shared" si="10"/>
        <v>0</v>
      </c>
      <c r="AM38" s="131">
        <v>0</v>
      </c>
      <c r="AN38" s="131">
        <f t="shared" si="11"/>
        <v>0</v>
      </c>
      <c r="AO38" s="131">
        <v>0</v>
      </c>
      <c r="AP38" s="131">
        <f t="shared" si="12"/>
        <v>0</v>
      </c>
      <c r="AQ38" s="131">
        <f t="shared" si="13"/>
        <v>0</v>
      </c>
      <c r="AR38" s="131">
        <v>0</v>
      </c>
    </row>
    <row r="39" spans="28:44">
      <c r="AB39" s="131">
        <f t="shared" si="0"/>
        <v>0</v>
      </c>
      <c r="AC39" s="131">
        <f t="shared" si="1"/>
        <v>0</v>
      </c>
      <c r="AD39" s="131">
        <f t="shared" si="2"/>
        <v>0</v>
      </c>
      <c r="AE39" s="131">
        <f t="shared" si="3"/>
        <v>0</v>
      </c>
      <c r="AF39" s="131">
        <f t="shared" si="4"/>
        <v>0</v>
      </c>
      <c r="AG39" s="131">
        <f t="shared" si="5"/>
        <v>0</v>
      </c>
      <c r="AH39" s="131">
        <f t="shared" si="6"/>
        <v>0</v>
      </c>
      <c r="AI39" s="131">
        <f t="shared" si="7"/>
        <v>0</v>
      </c>
      <c r="AJ39" s="131" t="e">
        <f t="shared" si="8"/>
        <v>#DIV/0!</v>
      </c>
      <c r="AK39" s="131">
        <f t="shared" si="9"/>
        <v>0</v>
      </c>
      <c r="AL39" s="131">
        <f t="shared" si="10"/>
        <v>0</v>
      </c>
      <c r="AM39" s="131">
        <v>0</v>
      </c>
      <c r="AN39" s="131">
        <f t="shared" si="11"/>
        <v>0</v>
      </c>
      <c r="AO39" s="131">
        <v>0</v>
      </c>
      <c r="AP39" s="131">
        <f t="shared" si="12"/>
        <v>0</v>
      </c>
      <c r="AQ39" s="131">
        <f t="shared" si="13"/>
        <v>0</v>
      </c>
      <c r="AR39" s="131">
        <v>0</v>
      </c>
    </row>
    <row r="40" spans="28:44">
      <c r="AB40" s="131">
        <f t="shared" si="0"/>
        <v>0</v>
      </c>
      <c r="AC40" s="131">
        <f t="shared" si="1"/>
        <v>0</v>
      </c>
      <c r="AD40" s="131">
        <f t="shared" si="2"/>
        <v>0</v>
      </c>
      <c r="AE40" s="131">
        <f t="shared" si="3"/>
        <v>0</v>
      </c>
      <c r="AF40" s="131">
        <f t="shared" si="4"/>
        <v>0</v>
      </c>
      <c r="AG40" s="131">
        <f t="shared" si="5"/>
        <v>0</v>
      </c>
      <c r="AH40" s="131">
        <f t="shared" si="6"/>
        <v>0</v>
      </c>
      <c r="AI40" s="131">
        <f t="shared" si="7"/>
        <v>0</v>
      </c>
      <c r="AJ40" s="131" t="e">
        <f t="shared" si="8"/>
        <v>#DIV/0!</v>
      </c>
      <c r="AK40" s="131">
        <f t="shared" si="9"/>
        <v>0</v>
      </c>
      <c r="AL40" s="131">
        <f t="shared" si="10"/>
        <v>0</v>
      </c>
      <c r="AM40" s="131">
        <v>0</v>
      </c>
      <c r="AN40" s="131">
        <f t="shared" si="11"/>
        <v>0</v>
      </c>
      <c r="AO40" s="131">
        <v>0</v>
      </c>
      <c r="AP40" s="131">
        <f t="shared" si="12"/>
        <v>0</v>
      </c>
      <c r="AQ40" s="131">
        <f t="shared" si="13"/>
        <v>0</v>
      </c>
      <c r="AR40" s="131">
        <v>0</v>
      </c>
    </row>
    <row r="41" spans="28:44">
      <c r="AB41" s="131">
        <f t="shared" si="0"/>
        <v>0</v>
      </c>
      <c r="AC41" s="131">
        <f t="shared" si="1"/>
        <v>0</v>
      </c>
      <c r="AD41" s="131">
        <f t="shared" si="2"/>
        <v>0</v>
      </c>
      <c r="AE41" s="131">
        <f t="shared" si="3"/>
        <v>0</v>
      </c>
      <c r="AF41" s="131">
        <f t="shared" si="4"/>
        <v>0</v>
      </c>
      <c r="AG41" s="131">
        <f t="shared" si="5"/>
        <v>0</v>
      </c>
      <c r="AH41" s="131">
        <f t="shared" si="6"/>
        <v>0</v>
      </c>
      <c r="AI41" s="131">
        <f t="shared" si="7"/>
        <v>0</v>
      </c>
      <c r="AJ41" s="131" t="e">
        <f t="shared" si="8"/>
        <v>#DIV/0!</v>
      </c>
      <c r="AK41" s="131">
        <f t="shared" si="9"/>
        <v>0</v>
      </c>
      <c r="AL41" s="131">
        <f t="shared" si="10"/>
        <v>0</v>
      </c>
      <c r="AM41" s="131">
        <v>0</v>
      </c>
      <c r="AN41" s="131">
        <f t="shared" si="11"/>
        <v>0</v>
      </c>
      <c r="AO41" s="131">
        <v>0</v>
      </c>
      <c r="AP41" s="131">
        <f t="shared" si="12"/>
        <v>0</v>
      </c>
      <c r="AQ41" s="131">
        <f t="shared" si="13"/>
        <v>0</v>
      </c>
      <c r="AR41" s="131">
        <v>0</v>
      </c>
    </row>
    <row r="42" spans="28:44">
      <c r="AB42" s="131">
        <f t="shared" si="0"/>
        <v>0</v>
      </c>
      <c r="AC42" s="131">
        <f t="shared" si="1"/>
        <v>0</v>
      </c>
      <c r="AD42" s="131">
        <f t="shared" si="2"/>
        <v>0</v>
      </c>
      <c r="AE42" s="131">
        <f t="shared" si="3"/>
        <v>0</v>
      </c>
      <c r="AF42" s="131">
        <f t="shared" si="4"/>
        <v>0</v>
      </c>
      <c r="AG42" s="131">
        <f t="shared" si="5"/>
        <v>0</v>
      </c>
      <c r="AH42" s="131">
        <f t="shared" si="6"/>
        <v>0</v>
      </c>
      <c r="AI42" s="131">
        <f t="shared" si="7"/>
        <v>0</v>
      </c>
      <c r="AJ42" s="131" t="e">
        <f t="shared" si="8"/>
        <v>#DIV/0!</v>
      </c>
      <c r="AK42" s="131">
        <f t="shared" si="9"/>
        <v>0</v>
      </c>
      <c r="AL42" s="131">
        <f t="shared" si="10"/>
        <v>0</v>
      </c>
      <c r="AM42" s="131">
        <v>0</v>
      </c>
      <c r="AN42" s="131">
        <f t="shared" si="11"/>
        <v>0</v>
      </c>
      <c r="AO42" s="131">
        <v>0</v>
      </c>
      <c r="AP42" s="131">
        <f t="shared" si="12"/>
        <v>0</v>
      </c>
      <c r="AQ42" s="131">
        <f t="shared" si="13"/>
        <v>0</v>
      </c>
      <c r="AR42" s="131">
        <v>0</v>
      </c>
    </row>
    <row r="43" spans="28:44">
      <c r="AB43" s="131">
        <f t="shared" si="0"/>
        <v>0</v>
      </c>
      <c r="AC43" s="131">
        <f t="shared" si="1"/>
        <v>0</v>
      </c>
      <c r="AD43" s="131">
        <f t="shared" si="2"/>
        <v>0</v>
      </c>
      <c r="AE43" s="131">
        <f t="shared" si="3"/>
        <v>0</v>
      </c>
      <c r="AF43" s="131">
        <f t="shared" si="4"/>
        <v>0</v>
      </c>
      <c r="AG43" s="131">
        <f t="shared" si="5"/>
        <v>0</v>
      </c>
      <c r="AH43" s="131">
        <f t="shared" si="6"/>
        <v>0</v>
      </c>
      <c r="AI43" s="131">
        <f t="shared" si="7"/>
        <v>0</v>
      </c>
      <c r="AJ43" s="131" t="e">
        <f t="shared" si="8"/>
        <v>#DIV/0!</v>
      </c>
      <c r="AK43" s="131">
        <f t="shared" si="9"/>
        <v>0</v>
      </c>
      <c r="AL43" s="131">
        <f t="shared" si="10"/>
        <v>0</v>
      </c>
      <c r="AM43" s="131">
        <v>0</v>
      </c>
      <c r="AN43" s="131">
        <f t="shared" si="11"/>
        <v>0</v>
      </c>
      <c r="AO43" s="131">
        <v>0</v>
      </c>
      <c r="AP43" s="131">
        <f t="shared" si="12"/>
        <v>0</v>
      </c>
      <c r="AQ43" s="131">
        <f t="shared" si="13"/>
        <v>0</v>
      </c>
      <c r="AR43" s="131">
        <v>0</v>
      </c>
    </row>
    <row r="44" spans="28:44">
      <c r="AB44" s="131">
        <f t="shared" si="0"/>
        <v>0</v>
      </c>
      <c r="AC44" s="131">
        <f t="shared" si="1"/>
        <v>0</v>
      </c>
      <c r="AD44" s="131">
        <f t="shared" si="2"/>
        <v>0</v>
      </c>
      <c r="AE44" s="131">
        <f t="shared" si="3"/>
        <v>0</v>
      </c>
      <c r="AF44" s="131">
        <f t="shared" si="4"/>
        <v>0</v>
      </c>
      <c r="AG44" s="131">
        <f t="shared" si="5"/>
        <v>0</v>
      </c>
      <c r="AH44" s="131">
        <f t="shared" si="6"/>
        <v>0</v>
      </c>
      <c r="AI44" s="131">
        <f t="shared" si="7"/>
        <v>0</v>
      </c>
      <c r="AJ44" s="131" t="e">
        <f t="shared" si="8"/>
        <v>#DIV/0!</v>
      </c>
      <c r="AK44" s="131">
        <f t="shared" si="9"/>
        <v>0</v>
      </c>
      <c r="AL44" s="131">
        <f t="shared" si="10"/>
        <v>0</v>
      </c>
      <c r="AM44" s="131">
        <v>0</v>
      </c>
      <c r="AN44" s="131">
        <f t="shared" si="11"/>
        <v>0</v>
      </c>
      <c r="AO44" s="131">
        <v>0</v>
      </c>
      <c r="AP44" s="131">
        <f t="shared" si="12"/>
        <v>0</v>
      </c>
      <c r="AQ44" s="131">
        <f t="shared" si="13"/>
        <v>0</v>
      </c>
      <c r="AR44" s="131">
        <v>0</v>
      </c>
    </row>
    <row r="45" spans="28:44">
      <c r="AB45" s="131">
        <f t="shared" si="0"/>
        <v>0</v>
      </c>
      <c r="AC45" s="131">
        <f t="shared" si="1"/>
        <v>0</v>
      </c>
      <c r="AD45" s="131">
        <f t="shared" si="2"/>
        <v>0</v>
      </c>
      <c r="AE45" s="131">
        <f t="shared" si="3"/>
        <v>0</v>
      </c>
      <c r="AF45" s="131">
        <f t="shared" si="4"/>
        <v>0</v>
      </c>
      <c r="AG45" s="131">
        <f t="shared" si="5"/>
        <v>0</v>
      </c>
      <c r="AH45" s="131">
        <f t="shared" si="6"/>
        <v>0</v>
      </c>
      <c r="AI45" s="131">
        <f t="shared" si="7"/>
        <v>0</v>
      </c>
      <c r="AJ45" s="131" t="e">
        <f t="shared" si="8"/>
        <v>#DIV/0!</v>
      </c>
      <c r="AK45" s="131">
        <f t="shared" si="9"/>
        <v>0</v>
      </c>
      <c r="AL45" s="131">
        <f t="shared" si="10"/>
        <v>0</v>
      </c>
      <c r="AM45" s="131">
        <v>0</v>
      </c>
      <c r="AN45" s="131">
        <f t="shared" si="11"/>
        <v>0</v>
      </c>
      <c r="AO45" s="131">
        <v>0</v>
      </c>
      <c r="AP45" s="131">
        <f t="shared" si="12"/>
        <v>0</v>
      </c>
      <c r="AQ45" s="131">
        <f t="shared" si="13"/>
        <v>0</v>
      </c>
      <c r="AR45" s="131">
        <v>0</v>
      </c>
    </row>
    <row r="46" spans="28:44">
      <c r="AB46" s="131">
        <f t="shared" si="0"/>
        <v>0</v>
      </c>
      <c r="AC46" s="131">
        <f t="shared" si="1"/>
        <v>0</v>
      </c>
      <c r="AD46" s="131">
        <f t="shared" si="2"/>
        <v>0</v>
      </c>
      <c r="AE46" s="131">
        <f t="shared" si="3"/>
        <v>0</v>
      </c>
      <c r="AF46" s="131">
        <f t="shared" si="4"/>
        <v>0</v>
      </c>
      <c r="AG46" s="131">
        <f t="shared" si="5"/>
        <v>0</v>
      </c>
      <c r="AH46" s="131">
        <f t="shared" si="6"/>
        <v>0</v>
      </c>
      <c r="AI46" s="131">
        <f t="shared" si="7"/>
        <v>0</v>
      </c>
      <c r="AJ46" s="131" t="e">
        <f t="shared" si="8"/>
        <v>#DIV/0!</v>
      </c>
      <c r="AK46" s="131">
        <f t="shared" si="9"/>
        <v>0</v>
      </c>
      <c r="AL46" s="131">
        <f t="shared" si="10"/>
        <v>0</v>
      </c>
      <c r="AM46" s="131">
        <v>0</v>
      </c>
      <c r="AN46" s="131">
        <f t="shared" si="11"/>
        <v>0</v>
      </c>
      <c r="AO46" s="131">
        <v>0</v>
      </c>
      <c r="AP46" s="131">
        <f t="shared" si="12"/>
        <v>0</v>
      </c>
      <c r="AQ46" s="131">
        <f t="shared" si="13"/>
        <v>0</v>
      </c>
      <c r="AR46" s="131">
        <v>0</v>
      </c>
    </row>
    <row r="47" spans="28:44">
      <c r="AB47" s="131">
        <f t="shared" si="0"/>
        <v>0</v>
      </c>
      <c r="AC47" s="131">
        <f t="shared" si="1"/>
        <v>0</v>
      </c>
      <c r="AD47" s="131">
        <f t="shared" si="2"/>
        <v>0</v>
      </c>
      <c r="AE47" s="131">
        <f t="shared" si="3"/>
        <v>0</v>
      </c>
      <c r="AF47" s="131">
        <f t="shared" si="4"/>
        <v>0</v>
      </c>
      <c r="AG47" s="131">
        <f t="shared" si="5"/>
        <v>0</v>
      </c>
      <c r="AH47" s="131">
        <f t="shared" si="6"/>
        <v>0</v>
      </c>
      <c r="AI47" s="131">
        <f t="shared" si="7"/>
        <v>0</v>
      </c>
      <c r="AJ47" s="131" t="e">
        <f t="shared" si="8"/>
        <v>#DIV/0!</v>
      </c>
      <c r="AK47" s="131">
        <f t="shared" si="9"/>
        <v>0</v>
      </c>
      <c r="AL47" s="131">
        <f t="shared" si="10"/>
        <v>0</v>
      </c>
      <c r="AM47" s="131">
        <v>0</v>
      </c>
      <c r="AN47" s="131">
        <f t="shared" si="11"/>
        <v>0</v>
      </c>
      <c r="AO47" s="131">
        <v>0</v>
      </c>
      <c r="AP47" s="131">
        <f t="shared" si="12"/>
        <v>0</v>
      </c>
      <c r="AQ47" s="131">
        <f t="shared" si="13"/>
        <v>0</v>
      </c>
      <c r="AR47" s="131">
        <v>0</v>
      </c>
    </row>
    <row r="48" spans="28:44">
      <c r="AB48" s="131">
        <f t="shared" si="0"/>
        <v>0</v>
      </c>
      <c r="AC48" s="131">
        <f t="shared" si="1"/>
        <v>0</v>
      </c>
      <c r="AD48" s="131">
        <f t="shared" si="2"/>
        <v>0</v>
      </c>
      <c r="AE48" s="131">
        <f t="shared" si="3"/>
        <v>0</v>
      </c>
      <c r="AF48" s="131">
        <f t="shared" si="4"/>
        <v>0</v>
      </c>
      <c r="AG48" s="131">
        <f t="shared" si="5"/>
        <v>0</v>
      </c>
      <c r="AH48" s="131">
        <f t="shared" si="6"/>
        <v>0</v>
      </c>
      <c r="AI48" s="131">
        <f t="shared" si="7"/>
        <v>0</v>
      </c>
      <c r="AJ48" s="131" t="e">
        <f t="shared" si="8"/>
        <v>#DIV/0!</v>
      </c>
      <c r="AK48" s="131">
        <f t="shared" si="9"/>
        <v>0</v>
      </c>
      <c r="AL48" s="131">
        <f t="shared" si="10"/>
        <v>0</v>
      </c>
      <c r="AM48" s="131">
        <v>0</v>
      </c>
      <c r="AN48" s="131">
        <f t="shared" si="11"/>
        <v>0</v>
      </c>
      <c r="AO48" s="131">
        <v>0</v>
      </c>
      <c r="AP48" s="131">
        <f t="shared" si="12"/>
        <v>0</v>
      </c>
      <c r="AQ48" s="131">
        <f t="shared" si="13"/>
        <v>0</v>
      </c>
      <c r="AR48" s="131">
        <v>0</v>
      </c>
    </row>
    <row r="49" spans="28:44">
      <c r="AB49" s="131">
        <f t="shared" si="0"/>
        <v>0</v>
      </c>
      <c r="AC49" s="131">
        <f t="shared" si="1"/>
        <v>0</v>
      </c>
      <c r="AD49" s="131">
        <f t="shared" si="2"/>
        <v>0</v>
      </c>
      <c r="AE49" s="131">
        <f t="shared" si="3"/>
        <v>0</v>
      </c>
      <c r="AF49" s="131">
        <f t="shared" si="4"/>
        <v>0</v>
      </c>
      <c r="AG49" s="131">
        <f t="shared" si="5"/>
        <v>0</v>
      </c>
      <c r="AH49" s="131">
        <f t="shared" si="6"/>
        <v>0</v>
      </c>
      <c r="AI49" s="131">
        <f t="shared" si="7"/>
        <v>0</v>
      </c>
      <c r="AJ49" s="131" t="e">
        <f t="shared" si="8"/>
        <v>#DIV/0!</v>
      </c>
      <c r="AK49" s="131">
        <f t="shared" si="9"/>
        <v>0</v>
      </c>
      <c r="AL49" s="131">
        <f t="shared" si="10"/>
        <v>0</v>
      </c>
      <c r="AM49" s="131">
        <v>0</v>
      </c>
      <c r="AN49" s="131">
        <f t="shared" si="11"/>
        <v>0</v>
      </c>
      <c r="AO49" s="131">
        <v>0</v>
      </c>
      <c r="AP49" s="131">
        <f t="shared" si="12"/>
        <v>0</v>
      </c>
      <c r="AQ49" s="131">
        <f t="shared" si="13"/>
        <v>0</v>
      </c>
      <c r="AR49" s="131">
        <v>0</v>
      </c>
    </row>
    <row r="50" spans="28:44">
      <c r="AB50" s="131">
        <f t="shared" si="0"/>
        <v>0</v>
      </c>
      <c r="AC50" s="131">
        <f t="shared" si="1"/>
        <v>0</v>
      </c>
      <c r="AD50" s="131">
        <f t="shared" si="2"/>
        <v>0</v>
      </c>
      <c r="AE50" s="131">
        <f t="shared" si="3"/>
        <v>0</v>
      </c>
      <c r="AF50" s="131">
        <f t="shared" si="4"/>
        <v>0</v>
      </c>
      <c r="AG50" s="131">
        <f t="shared" si="5"/>
        <v>0</v>
      </c>
      <c r="AH50" s="131">
        <f t="shared" si="6"/>
        <v>0</v>
      </c>
      <c r="AI50" s="131">
        <f t="shared" si="7"/>
        <v>0</v>
      </c>
      <c r="AJ50" s="131" t="e">
        <f t="shared" si="8"/>
        <v>#DIV/0!</v>
      </c>
      <c r="AK50" s="131">
        <f t="shared" si="9"/>
        <v>0</v>
      </c>
      <c r="AL50" s="131">
        <f t="shared" si="10"/>
        <v>0</v>
      </c>
      <c r="AM50" s="131">
        <v>0</v>
      </c>
      <c r="AN50" s="131">
        <f t="shared" si="11"/>
        <v>0</v>
      </c>
      <c r="AO50" s="131">
        <v>0</v>
      </c>
      <c r="AP50" s="131">
        <f t="shared" si="12"/>
        <v>0</v>
      </c>
      <c r="AQ50" s="131">
        <f t="shared" si="13"/>
        <v>0</v>
      </c>
      <c r="AR50" s="131">
        <v>0</v>
      </c>
    </row>
    <row r="51" spans="28:44">
      <c r="AB51" s="131">
        <f t="shared" si="0"/>
        <v>0</v>
      </c>
      <c r="AC51" s="131">
        <f t="shared" si="1"/>
        <v>0</v>
      </c>
      <c r="AD51" s="131">
        <f t="shared" si="2"/>
        <v>0</v>
      </c>
      <c r="AE51" s="131">
        <f t="shared" si="3"/>
        <v>0</v>
      </c>
      <c r="AF51" s="131">
        <f t="shared" si="4"/>
        <v>0</v>
      </c>
      <c r="AG51" s="131">
        <f t="shared" si="5"/>
        <v>0</v>
      </c>
      <c r="AH51" s="131">
        <f t="shared" si="6"/>
        <v>0</v>
      </c>
      <c r="AI51" s="131">
        <f t="shared" si="7"/>
        <v>0</v>
      </c>
      <c r="AJ51" s="131" t="e">
        <f t="shared" si="8"/>
        <v>#DIV/0!</v>
      </c>
      <c r="AK51" s="131">
        <f t="shared" si="9"/>
        <v>0</v>
      </c>
      <c r="AL51" s="131">
        <f t="shared" si="10"/>
        <v>0</v>
      </c>
      <c r="AM51" s="131">
        <v>0</v>
      </c>
      <c r="AN51" s="131">
        <f t="shared" si="11"/>
        <v>0</v>
      </c>
      <c r="AO51" s="131">
        <v>0</v>
      </c>
      <c r="AP51" s="131">
        <f t="shared" si="12"/>
        <v>0</v>
      </c>
      <c r="AQ51" s="131">
        <f t="shared" si="13"/>
        <v>0</v>
      </c>
      <c r="AR51" s="131">
        <v>0</v>
      </c>
    </row>
    <row r="52" spans="28:44">
      <c r="AB52" s="131">
        <f t="shared" si="0"/>
        <v>0</v>
      </c>
      <c r="AC52" s="131">
        <f t="shared" si="1"/>
        <v>0</v>
      </c>
      <c r="AD52" s="131">
        <f t="shared" si="2"/>
        <v>0</v>
      </c>
      <c r="AE52" s="131">
        <f t="shared" si="3"/>
        <v>0</v>
      </c>
      <c r="AF52" s="131">
        <f t="shared" si="4"/>
        <v>0</v>
      </c>
      <c r="AG52" s="131">
        <f t="shared" si="5"/>
        <v>0</v>
      </c>
      <c r="AH52" s="131">
        <f t="shared" si="6"/>
        <v>0</v>
      </c>
      <c r="AI52" s="131">
        <f t="shared" si="7"/>
        <v>0</v>
      </c>
      <c r="AJ52" s="131" t="e">
        <f t="shared" si="8"/>
        <v>#DIV/0!</v>
      </c>
      <c r="AK52" s="131">
        <f t="shared" si="9"/>
        <v>0</v>
      </c>
      <c r="AL52" s="131">
        <f t="shared" si="10"/>
        <v>0</v>
      </c>
      <c r="AM52" s="131">
        <v>0</v>
      </c>
      <c r="AN52" s="131">
        <f t="shared" si="11"/>
        <v>0</v>
      </c>
      <c r="AO52" s="131">
        <v>0</v>
      </c>
      <c r="AP52" s="131">
        <f t="shared" si="12"/>
        <v>0</v>
      </c>
      <c r="AQ52" s="131">
        <f t="shared" si="13"/>
        <v>0</v>
      </c>
      <c r="AR52" s="131">
        <v>0</v>
      </c>
    </row>
    <row r="53" spans="28:44">
      <c r="AB53" s="131">
        <f t="shared" si="0"/>
        <v>0</v>
      </c>
      <c r="AC53" s="131">
        <f t="shared" si="1"/>
        <v>0</v>
      </c>
      <c r="AD53" s="131">
        <f t="shared" si="2"/>
        <v>0</v>
      </c>
      <c r="AE53" s="131">
        <f t="shared" si="3"/>
        <v>0</v>
      </c>
      <c r="AF53" s="131">
        <f t="shared" si="4"/>
        <v>0</v>
      </c>
      <c r="AG53" s="131">
        <f t="shared" si="5"/>
        <v>0</v>
      </c>
      <c r="AH53" s="131">
        <f t="shared" si="6"/>
        <v>0</v>
      </c>
      <c r="AI53" s="131">
        <f t="shared" si="7"/>
        <v>0</v>
      </c>
      <c r="AJ53" s="131" t="e">
        <f t="shared" si="8"/>
        <v>#DIV/0!</v>
      </c>
      <c r="AK53" s="131">
        <f t="shared" si="9"/>
        <v>0</v>
      </c>
      <c r="AL53" s="131">
        <f t="shared" si="10"/>
        <v>0</v>
      </c>
      <c r="AM53" s="131">
        <v>0</v>
      </c>
      <c r="AN53" s="131">
        <f t="shared" si="11"/>
        <v>0</v>
      </c>
      <c r="AO53" s="131">
        <v>0</v>
      </c>
      <c r="AP53" s="131">
        <f t="shared" si="12"/>
        <v>0</v>
      </c>
      <c r="AQ53" s="131">
        <f t="shared" si="13"/>
        <v>0</v>
      </c>
      <c r="AR53" s="131">
        <v>0</v>
      </c>
    </row>
    <row r="54" spans="28:44">
      <c r="AB54" s="131">
        <f t="shared" si="0"/>
        <v>0</v>
      </c>
      <c r="AC54" s="131">
        <f t="shared" si="1"/>
        <v>0</v>
      </c>
      <c r="AD54" s="131">
        <f t="shared" si="2"/>
        <v>0</v>
      </c>
      <c r="AE54" s="131">
        <f t="shared" si="3"/>
        <v>0</v>
      </c>
      <c r="AF54" s="131">
        <f t="shared" si="4"/>
        <v>0</v>
      </c>
      <c r="AG54" s="131">
        <f t="shared" si="5"/>
        <v>0</v>
      </c>
      <c r="AH54" s="131">
        <f t="shared" si="6"/>
        <v>0</v>
      </c>
      <c r="AI54" s="131">
        <f t="shared" si="7"/>
        <v>0</v>
      </c>
      <c r="AJ54" s="131" t="e">
        <f t="shared" si="8"/>
        <v>#DIV/0!</v>
      </c>
      <c r="AK54" s="131">
        <f t="shared" si="9"/>
        <v>0</v>
      </c>
      <c r="AL54" s="131">
        <f t="shared" si="10"/>
        <v>0</v>
      </c>
      <c r="AM54" s="131">
        <v>0</v>
      </c>
      <c r="AN54" s="131">
        <f t="shared" si="11"/>
        <v>0</v>
      </c>
      <c r="AO54" s="131">
        <v>0</v>
      </c>
      <c r="AP54" s="131">
        <f t="shared" si="12"/>
        <v>0</v>
      </c>
      <c r="AQ54" s="131">
        <f t="shared" si="13"/>
        <v>0</v>
      </c>
      <c r="AR54" s="131">
        <v>0</v>
      </c>
    </row>
    <row r="55" spans="28:44">
      <c r="AB55" s="131">
        <f t="shared" si="0"/>
        <v>0</v>
      </c>
      <c r="AC55" s="131">
        <f t="shared" si="1"/>
        <v>0</v>
      </c>
      <c r="AD55" s="131">
        <f t="shared" si="2"/>
        <v>0</v>
      </c>
      <c r="AE55" s="131">
        <f t="shared" si="3"/>
        <v>0</v>
      </c>
      <c r="AF55" s="131">
        <f t="shared" si="4"/>
        <v>0</v>
      </c>
      <c r="AG55" s="131">
        <f t="shared" si="5"/>
        <v>0</v>
      </c>
      <c r="AH55" s="131">
        <f t="shared" si="6"/>
        <v>0</v>
      </c>
      <c r="AI55" s="131">
        <f t="shared" si="7"/>
        <v>0</v>
      </c>
      <c r="AJ55" s="131" t="e">
        <f t="shared" si="8"/>
        <v>#DIV/0!</v>
      </c>
      <c r="AK55" s="131">
        <f t="shared" si="9"/>
        <v>0</v>
      </c>
      <c r="AL55" s="131">
        <f t="shared" si="10"/>
        <v>0</v>
      </c>
      <c r="AM55" s="131">
        <v>0</v>
      </c>
      <c r="AN55" s="131">
        <f t="shared" si="11"/>
        <v>0</v>
      </c>
      <c r="AO55" s="131">
        <v>0</v>
      </c>
      <c r="AP55" s="131">
        <f t="shared" si="12"/>
        <v>0</v>
      </c>
      <c r="AQ55" s="131">
        <f t="shared" si="13"/>
        <v>0</v>
      </c>
      <c r="AR55" s="131">
        <v>0</v>
      </c>
    </row>
    <row r="56" spans="28:44">
      <c r="AB56" s="131">
        <f t="shared" si="0"/>
        <v>0</v>
      </c>
      <c r="AC56" s="131">
        <f t="shared" si="1"/>
        <v>0</v>
      </c>
      <c r="AD56" s="131">
        <f t="shared" si="2"/>
        <v>0</v>
      </c>
      <c r="AE56" s="131">
        <f t="shared" si="3"/>
        <v>0</v>
      </c>
      <c r="AF56" s="131">
        <f t="shared" si="4"/>
        <v>0</v>
      </c>
      <c r="AG56" s="131">
        <f t="shared" si="5"/>
        <v>0</v>
      </c>
      <c r="AH56" s="131">
        <f t="shared" si="6"/>
        <v>0</v>
      </c>
      <c r="AI56" s="131">
        <f t="shared" si="7"/>
        <v>0</v>
      </c>
      <c r="AJ56" s="131" t="e">
        <f t="shared" si="8"/>
        <v>#DIV/0!</v>
      </c>
      <c r="AK56" s="131">
        <f t="shared" si="9"/>
        <v>0</v>
      </c>
      <c r="AL56" s="131">
        <f t="shared" si="10"/>
        <v>0</v>
      </c>
      <c r="AM56" s="131">
        <v>0</v>
      </c>
      <c r="AN56" s="131">
        <f t="shared" si="11"/>
        <v>0</v>
      </c>
      <c r="AO56" s="131">
        <v>0</v>
      </c>
      <c r="AP56" s="131">
        <f t="shared" si="12"/>
        <v>0</v>
      </c>
      <c r="AQ56" s="131">
        <f t="shared" si="13"/>
        <v>0</v>
      </c>
      <c r="AR56" s="131">
        <v>0</v>
      </c>
    </row>
    <row r="57" spans="28:44">
      <c r="AB57" s="131">
        <f t="shared" si="0"/>
        <v>0</v>
      </c>
      <c r="AC57" s="131">
        <f t="shared" si="1"/>
        <v>0</v>
      </c>
      <c r="AD57" s="131">
        <f t="shared" si="2"/>
        <v>0</v>
      </c>
      <c r="AE57" s="131">
        <f t="shared" si="3"/>
        <v>0</v>
      </c>
      <c r="AF57" s="131">
        <f t="shared" si="4"/>
        <v>0</v>
      </c>
      <c r="AG57" s="131">
        <f t="shared" si="5"/>
        <v>0</v>
      </c>
      <c r="AH57" s="131">
        <f t="shared" si="6"/>
        <v>0</v>
      </c>
      <c r="AI57" s="131">
        <f t="shared" si="7"/>
        <v>0</v>
      </c>
      <c r="AJ57" s="131" t="e">
        <f t="shared" si="8"/>
        <v>#DIV/0!</v>
      </c>
      <c r="AK57" s="131">
        <f t="shared" si="9"/>
        <v>0</v>
      </c>
      <c r="AL57" s="131">
        <f t="shared" si="10"/>
        <v>0</v>
      </c>
      <c r="AM57" s="131">
        <v>0</v>
      </c>
      <c r="AN57" s="131">
        <f t="shared" si="11"/>
        <v>0</v>
      </c>
      <c r="AO57" s="131">
        <v>0</v>
      </c>
      <c r="AP57" s="131">
        <f t="shared" si="12"/>
        <v>0</v>
      </c>
      <c r="AQ57" s="131">
        <f t="shared" si="13"/>
        <v>0</v>
      </c>
      <c r="AR57" s="131">
        <v>0</v>
      </c>
    </row>
    <row r="58" spans="28:44">
      <c r="AB58" s="131">
        <f t="shared" si="0"/>
        <v>0</v>
      </c>
      <c r="AC58" s="131">
        <f t="shared" si="1"/>
        <v>0</v>
      </c>
      <c r="AD58" s="131">
        <f t="shared" si="2"/>
        <v>0</v>
      </c>
      <c r="AE58" s="131">
        <f t="shared" si="3"/>
        <v>0</v>
      </c>
      <c r="AF58" s="131">
        <f t="shared" si="4"/>
        <v>0</v>
      </c>
      <c r="AG58" s="131">
        <f t="shared" si="5"/>
        <v>0</v>
      </c>
      <c r="AH58" s="131">
        <f t="shared" si="6"/>
        <v>0</v>
      </c>
      <c r="AI58" s="131">
        <f t="shared" si="7"/>
        <v>0</v>
      </c>
      <c r="AJ58" s="131" t="e">
        <f t="shared" si="8"/>
        <v>#DIV/0!</v>
      </c>
      <c r="AK58" s="131">
        <f t="shared" si="9"/>
        <v>0</v>
      </c>
      <c r="AL58" s="131">
        <f t="shared" si="10"/>
        <v>0</v>
      </c>
      <c r="AM58" s="131">
        <v>0</v>
      </c>
      <c r="AN58" s="131">
        <f t="shared" si="11"/>
        <v>0</v>
      </c>
      <c r="AO58" s="131">
        <v>0</v>
      </c>
      <c r="AP58" s="131">
        <f t="shared" si="12"/>
        <v>0</v>
      </c>
      <c r="AQ58" s="131">
        <f t="shared" si="13"/>
        <v>0</v>
      </c>
      <c r="AR58" s="131">
        <v>0</v>
      </c>
    </row>
    <row r="59" spans="28:44">
      <c r="AB59" s="131">
        <f t="shared" si="0"/>
        <v>0</v>
      </c>
      <c r="AC59" s="131">
        <f t="shared" si="1"/>
        <v>0</v>
      </c>
      <c r="AD59" s="131">
        <f t="shared" si="2"/>
        <v>0</v>
      </c>
      <c r="AE59" s="131">
        <f t="shared" si="3"/>
        <v>0</v>
      </c>
      <c r="AF59" s="131">
        <f t="shared" si="4"/>
        <v>0</v>
      </c>
      <c r="AG59" s="131">
        <f t="shared" si="5"/>
        <v>0</v>
      </c>
      <c r="AH59" s="131">
        <f t="shared" si="6"/>
        <v>0</v>
      </c>
      <c r="AI59" s="131">
        <f t="shared" si="7"/>
        <v>0</v>
      </c>
      <c r="AJ59" s="131" t="e">
        <f t="shared" si="8"/>
        <v>#DIV/0!</v>
      </c>
      <c r="AK59" s="131">
        <f t="shared" si="9"/>
        <v>0</v>
      </c>
      <c r="AL59" s="131">
        <f t="shared" si="10"/>
        <v>0</v>
      </c>
      <c r="AM59" s="131">
        <v>0</v>
      </c>
      <c r="AN59" s="131">
        <f t="shared" si="11"/>
        <v>0</v>
      </c>
      <c r="AO59" s="131">
        <v>0</v>
      </c>
      <c r="AP59" s="131">
        <f t="shared" si="12"/>
        <v>0</v>
      </c>
      <c r="AQ59" s="131">
        <f t="shared" si="13"/>
        <v>0</v>
      </c>
      <c r="AR59" s="131">
        <v>0</v>
      </c>
    </row>
    <row r="60" spans="28:44">
      <c r="AB60" s="131">
        <f t="shared" si="0"/>
        <v>0</v>
      </c>
      <c r="AC60" s="131">
        <f t="shared" si="1"/>
        <v>0</v>
      </c>
      <c r="AD60" s="131">
        <f t="shared" si="2"/>
        <v>0</v>
      </c>
      <c r="AE60" s="131">
        <f t="shared" si="3"/>
        <v>0</v>
      </c>
      <c r="AF60" s="131">
        <f t="shared" si="4"/>
        <v>0</v>
      </c>
      <c r="AG60" s="131">
        <f t="shared" si="5"/>
        <v>0</v>
      </c>
      <c r="AH60" s="131">
        <f t="shared" si="6"/>
        <v>0</v>
      </c>
      <c r="AI60" s="131">
        <f t="shared" si="7"/>
        <v>0</v>
      </c>
      <c r="AJ60" s="131" t="e">
        <f t="shared" si="8"/>
        <v>#DIV/0!</v>
      </c>
      <c r="AK60" s="131">
        <f t="shared" si="9"/>
        <v>0</v>
      </c>
      <c r="AL60" s="131">
        <f t="shared" si="10"/>
        <v>0</v>
      </c>
      <c r="AM60" s="131">
        <v>0</v>
      </c>
      <c r="AN60" s="131">
        <f t="shared" si="11"/>
        <v>0</v>
      </c>
      <c r="AO60" s="131">
        <v>0</v>
      </c>
      <c r="AP60" s="131">
        <f t="shared" si="12"/>
        <v>0</v>
      </c>
      <c r="AQ60" s="131">
        <f t="shared" si="13"/>
        <v>0</v>
      </c>
      <c r="AR60" s="131">
        <v>0</v>
      </c>
    </row>
    <row r="61" spans="28:44">
      <c r="AB61" s="131">
        <f t="shared" si="0"/>
        <v>0</v>
      </c>
      <c r="AC61" s="131">
        <f t="shared" si="1"/>
        <v>0</v>
      </c>
      <c r="AD61" s="131">
        <f t="shared" si="2"/>
        <v>0</v>
      </c>
      <c r="AE61" s="131">
        <f t="shared" si="3"/>
        <v>0</v>
      </c>
      <c r="AF61" s="131">
        <f t="shared" si="4"/>
        <v>0</v>
      </c>
      <c r="AG61" s="131">
        <f t="shared" si="5"/>
        <v>0</v>
      </c>
      <c r="AH61" s="131">
        <f t="shared" si="6"/>
        <v>0</v>
      </c>
      <c r="AI61" s="131">
        <f t="shared" si="7"/>
        <v>0</v>
      </c>
      <c r="AJ61" s="131" t="e">
        <f t="shared" si="8"/>
        <v>#DIV/0!</v>
      </c>
      <c r="AK61" s="131">
        <f t="shared" si="9"/>
        <v>0</v>
      </c>
      <c r="AL61" s="131">
        <f t="shared" si="10"/>
        <v>0</v>
      </c>
      <c r="AM61" s="131">
        <v>0</v>
      </c>
      <c r="AN61" s="131">
        <f t="shared" si="11"/>
        <v>0</v>
      </c>
      <c r="AO61" s="131">
        <v>0</v>
      </c>
      <c r="AP61" s="131">
        <f t="shared" si="12"/>
        <v>0</v>
      </c>
      <c r="AQ61" s="131">
        <f t="shared" si="13"/>
        <v>0</v>
      </c>
      <c r="AR61" s="131">
        <v>0</v>
      </c>
    </row>
    <row r="62" spans="28:44">
      <c r="AB62" s="131">
        <f t="shared" si="0"/>
        <v>0</v>
      </c>
      <c r="AC62" s="131">
        <f t="shared" si="1"/>
        <v>0</v>
      </c>
      <c r="AD62" s="131">
        <f t="shared" si="2"/>
        <v>0</v>
      </c>
      <c r="AE62" s="131">
        <f t="shared" si="3"/>
        <v>0</v>
      </c>
      <c r="AF62" s="131">
        <f t="shared" si="4"/>
        <v>0</v>
      </c>
      <c r="AG62" s="131">
        <f t="shared" si="5"/>
        <v>0</v>
      </c>
      <c r="AH62" s="131">
        <f t="shared" si="6"/>
        <v>0</v>
      </c>
      <c r="AI62" s="131">
        <f t="shared" si="7"/>
        <v>0</v>
      </c>
      <c r="AJ62" s="131" t="e">
        <f t="shared" si="8"/>
        <v>#DIV/0!</v>
      </c>
      <c r="AK62" s="131">
        <f t="shared" si="9"/>
        <v>0</v>
      </c>
      <c r="AL62" s="131">
        <f t="shared" si="10"/>
        <v>0</v>
      </c>
      <c r="AM62" s="131">
        <v>0</v>
      </c>
      <c r="AN62" s="131">
        <f t="shared" si="11"/>
        <v>0</v>
      </c>
      <c r="AO62" s="131">
        <v>0</v>
      </c>
      <c r="AP62" s="131">
        <f t="shared" si="12"/>
        <v>0</v>
      </c>
      <c r="AQ62" s="131">
        <f t="shared" si="13"/>
        <v>0</v>
      </c>
      <c r="AR62" s="131">
        <v>0</v>
      </c>
    </row>
    <row r="63" spans="28:44">
      <c r="AB63" s="131">
        <f t="shared" si="0"/>
        <v>0</v>
      </c>
      <c r="AC63" s="131">
        <f t="shared" si="1"/>
        <v>0</v>
      </c>
      <c r="AD63" s="131">
        <f t="shared" si="2"/>
        <v>0</v>
      </c>
      <c r="AE63" s="131">
        <f t="shared" si="3"/>
        <v>0</v>
      </c>
      <c r="AF63" s="131">
        <f t="shared" si="4"/>
        <v>0</v>
      </c>
      <c r="AG63" s="131">
        <f t="shared" si="5"/>
        <v>0</v>
      </c>
      <c r="AH63" s="131">
        <f t="shared" si="6"/>
        <v>0</v>
      </c>
      <c r="AI63" s="131">
        <f t="shared" si="7"/>
        <v>0</v>
      </c>
      <c r="AJ63" s="131" t="e">
        <f t="shared" si="8"/>
        <v>#DIV/0!</v>
      </c>
      <c r="AK63" s="131">
        <f t="shared" si="9"/>
        <v>0</v>
      </c>
      <c r="AL63" s="131">
        <f t="shared" si="10"/>
        <v>0</v>
      </c>
      <c r="AM63" s="131">
        <v>0</v>
      </c>
      <c r="AN63" s="131">
        <f t="shared" si="11"/>
        <v>0</v>
      </c>
      <c r="AO63" s="131">
        <v>0</v>
      </c>
      <c r="AP63" s="131">
        <f t="shared" si="12"/>
        <v>0</v>
      </c>
      <c r="AQ63" s="131">
        <f t="shared" si="13"/>
        <v>0</v>
      </c>
      <c r="AR63" s="131">
        <v>0</v>
      </c>
    </row>
    <row r="64" spans="28:44">
      <c r="AB64" s="131">
        <f t="shared" si="0"/>
        <v>0</v>
      </c>
      <c r="AC64" s="131">
        <f t="shared" si="1"/>
        <v>0</v>
      </c>
      <c r="AD64" s="131">
        <f t="shared" si="2"/>
        <v>0</v>
      </c>
      <c r="AE64" s="131">
        <f t="shared" si="3"/>
        <v>0</v>
      </c>
      <c r="AF64" s="131">
        <f t="shared" si="4"/>
        <v>0</v>
      </c>
      <c r="AG64" s="131">
        <f t="shared" si="5"/>
        <v>0</v>
      </c>
      <c r="AH64" s="131">
        <f t="shared" si="6"/>
        <v>0</v>
      </c>
      <c r="AI64" s="131">
        <f t="shared" si="7"/>
        <v>0</v>
      </c>
      <c r="AJ64" s="131" t="e">
        <f t="shared" si="8"/>
        <v>#DIV/0!</v>
      </c>
      <c r="AK64" s="131">
        <f t="shared" si="9"/>
        <v>0</v>
      </c>
      <c r="AL64" s="131">
        <f t="shared" si="10"/>
        <v>0</v>
      </c>
      <c r="AM64" s="131">
        <v>0</v>
      </c>
      <c r="AN64" s="131">
        <f t="shared" si="11"/>
        <v>0</v>
      </c>
      <c r="AO64" s="131">
        <v>0</v>
      </c>
      <c r="AP64" s="131">
        <f t="shared" si="12"/>
        <v>0</v>
      </c>
      <c r="AQ64" s="131">
        <f t="shared" si="13"/>
        <v>0</v>
      </c>
      <c r="AR64" s="131">
        <v>0</v>
      </c>
    </row>
    <row r="65" spans="28:44">
      <c r="AB65" s="131">
        <f t="shared" si="0"/>
        <v>0</v>
      </c>
      <c r="AC65" s="131">
        <f t="shared" si="1"/>
        <v>0</v>
      </c>
      <c r="AD65" s="131">
        <f t="shared" si="2"/>
        <v>0</v>
      </c>
      <c r="AE65" s="131">
        <f t="shared" si="3"/>
        <v>0</v>
      </c>
      <c r="AF65" s="131">
        <f t="shared" si="4"/>
        <v>0</v>
      </c>
      <c r="AG65" s="131">
        <f t="shared" si="5"/>
        <v>0</v>
      </c>
      <c r="AH65" s="131">
        <f t="shared" si="6"/>
        <v>0</v>
      </c>
      <c r="AI65" s="131">
        <f t="shared" si="7"/>
        <v>0</v>
      </c>
      <c r="AJ65" s="131" t="e">
        <f t="shared" si="8"/>
        <v>#DIV/0!</v>
      </c>
      <c r="AK65" s="131">
        <f t="shared" si="9"/>
        <v>0</v>
      </c>
      <c r="AL65" s="131">
        <f t="shared" si="10"/>
        <v>0</v>
      </c>
      <c r="AM65" s="131">
        <v>0</v>
      </c>
      <c r="AN65" s="131">
        <f t="shared" si="11"/>
        <v>0</v>
      </c>
      <c r="AO65" s="131">
        <v>0</v>
      </c>
      <c r="AP65" s="131">
        <f t="shared" si="12"/>
        <v>0</v>
      </c>
      <c r="AQ65" s="131">
        <f t="shared" si="13"/>
        <v>0</v>
      </c>
      <c r="AR65" s="131">
        <v>0</v>
      </c>
    </row>
    <row r="66" spans="28:44">
      <c r="AB66" s="131">
        <f t="shared" si="0"/>
        <v>0</v>
      </c>
      <c r="AC66" s="131">
        <f t="shared" si="1"/>
        <v>0</v>
      </c>
      <c r="AD66" s="131">
        <f t="shared" si="2"/>
        <v>0</v>
      </c>
      <c r="AE66" s="131">
        <f t="shared" si="3"/>
        <v>0</v>
      </c>
      <c r="AF66" s="131">
        <f t="shared" si="4"/>
        <v>0</v>
      </c>
      <c r="AG66" s="131">
        <f t="shared" si="5"/>
        <v>0</v>
      </c>
      <c r="AH66" s="131">
        <f t="shared" si="6"/>
        <v>0</v>
      </c>
      <c r="AI66" s="131">
        <f t="shared" si="7"/>
        <v>0</v>
      </c>
      <c r="AJ66" s="131" t="e">
        <f t="shared" si="8"/>
        <v>#DIV/0!</v>
      </c>
      <c r="AK66" s="131">
        <f t="shared" si="9"/>
        <v>0</v>
      </c>
      <c r="AL66" s="131">
        <f t="shared" si="10"/>
        <v>0</v>
      </c>
      <c r="AM66" s="131">
        <v>0</v>
      </c>
      <c r="AN66" s="131">
        <f t="shared" si="11"/>
        <v>0</v>
      </c>
      <c r="AO66" s="131">
        <v>0</v>
      </c>
      <c r="AP66" s="131">
        <f t="shared" si="12"/>
        <v>0</v>
      </c>
      <c r="AQ66" s="131">
        <f t="shared" si="13"/>
        <v>0</v>
      </c>
      <c r="AR66" s="131">
        <v>0</v>
      </c>
    </row>
    <row r="67" spans="28:44">
      <c r="AB67" s="131">
        <f t="shared" ref="AB67:AB130" si="14">+A67</f>
        <v>0</v>
      </c>
      <c r="AC67" s="131">
        <f t="shared" ref="AC67:AC130" si="15">+B67</f>
        <v>0</v>
      </c>
      <c r="AD67" s="131">
        <f t="shared" ref="AD67:AD130" si="16">+C67</f>
        <v>0</v>
      </c>
      <c r="AE67" s="131">
        <f t="shared" ref="AE67:AE130" si="17">+E67</f>
        <v>0</v>
      </c>
      <c r="AF67" s="131">
        <f t="shared" ref="AF67:AF130" si="18">+K67</f>
        <v>0</v>
      </c>
      <c r="AG67" s="131">
        <f t="shared" ref="AG67:AG130" si="19">+L67</f>
        <v>0</v>
      </c>
      <c r="AH67" s="131">
        <f t="shared" ref="AH67:AH130" si="20">+Q67</f>
        <v>0</v>
      </c>
      <c r="AI67" s="131">
        <f t="shared" ref="AI67:AI130" si="21">+N67</f>
        <v>0</v>
      </c>
      <c r="AJ67" s="131" t="e">
        <f t="shared" ref="AJ67:AJ130" si="22">+AI67/AF67*100</f>
        <v>#DIV/0!</v>
      </c>
      <c r="AK67" s="131">
        <f t="shared" ref="AK67:AK130" si="23">+O67</f>
        <v>0</v>
      </c>
      <c r="AL67" s="131">
        <f t="shared" ref="AL67:AL130" si="24">+P67</f>
        <v>0</v>
      </c>
      <c r="AM67" s="131">
        <v>0</v>
      </c>
      <c r="AN67" s="131">
        <f t="shared" ref="AN67:AN130" si="25">+M67</f>
        <v>0</v>
      </c>
      <c r="AO67" s="131">
        <v>0</v>
      </c>
      <c r="AP67" s="131">
        <f t="shared" ref="AP67:AP130" si="26">+R67</f>
        <v>0</v>
      </c>
      <c r="AQ67" s="131">
        <f t="shared" ref="AQ67:AQ130" si="27">+AE67+AF67+AH67-AI67-AK67-AM67-AP67</f>
        <v>0</v>
      </c>
      <c r="AR67" s="131">
        <v>0</v>
      </c>
    </row>
    <row r="68" spans="28:44">
      <c r="AB68" s="131">
        <f t="shared" si="14"/>
        <v>0</v>
      </c>
      <c r="AC68" s="131">
        <f t="shared" si="15"/>
        <v>0</v>
      </c>
      <c r="AD68" s="131">
        <f t="shared" si="16"/>
        <v>0</v>
      </c>
      <c r="AE68" s="131">
        <f t="shared" si="17"/>
        <v>0</v>
      </c>
      <c r="AF68" s="131">
        <f t="shared" si="18"/>
        <v>0</v>
      </c>
      <c r="AG68" s="131">
        <f t="shared" si="19"/>
        <v>0</v>
      </c>
      <c r="AH68" s="131">
        <f t="shared" si="20"/>
        <v>0</v>
      </c>
      <c r="AI68" s="131">
        <f t="shared" si="21"/>
        <v>0</v>
      </c>
      <c r="AJ68" s="131" t="e">
        <f t="shared" si="22"/>
        <v>#DIV/0!</v>
      </c>
      <c r="AK68" s="131">
        <f t="shared" si="23"/>
        <v>0</v>
      </c>
      <c r="AL68" s="131">
        <f t="shared" si="24"/>
        <v>0</v>
      </c>
      <c r="AM68" s="131">
        <v>0</v>
      </c>
      <c r="AN68" s="131">
        <f t="shared" si="25"/>
        <v>0</v>
      </c>
      <c r="AO68" s="131">
        <v>0</v>
      </c>
      <c r="AP68" s="131">
        <f t="shared" si="26"/>
        <v>0</v>
      </c>
      <c r="AQ68" s="131">
        <f t="shared" si="27"/>
        <v>0</v>
      </c>
      <c r="AR68" s="131">
        <v>0</v>
      </c>
    </row>
    <row r="69" spans="28:44">
      <c r="AB69" s="131">
        <f t="shared" si="14"/>
        <v>0</v>
      </c>
      <c r="AC69" s="131">
        <f t="shared" si="15"/>
        <v>0</v>
      </c>
      <c r="AD69" s="131">
        <f t="shared" si="16"/>
        <v>0</v>
      </c>
      <c r="AE69" s="131">
        <f t="shared" si="17"/>
        <v>0</v>
      </c>
      <c r="AF69" s="131">
        <f t="shared" si="18"/>
        <v>0</v>
      </c>
      <c r="AG69" s="131">
        <f t="shared" si="19"/>
        <v>0</v>
      </c>
      <c r="AH69" s="131">
        <f t="shared" si="20"/>
        <v>0</v>
      </c>
      <c r="AI69" s="131">
        <f t="shared" si="21"/>
        <v>0</v>
      </c>
      <c r="AJ69" s="131" t="e">
        <f t="shared" si="22"/>
        <v>#DIV/0!</v>
      </c>
      <c r="AK69" s="131">
        <f t="shared" si="23"/>
        <v>0</v>
      </c>
      <c r="AL69" s="131">
        <f t="shared" si="24"/>
        <v>0</v>
      </c>
      <c r="AM69" s="131">
        <v>0</v>
      </c>
      <c r="AN69" s="131">
        <f t="shared" si="25"/>
        <v>0</v>
      </c>
      <c r="AO69" s="131">
        <v>0</v>
      </c>
      <c r="AP69" s="131">
        <f t="shared" si="26"/>
        <v>0</v>
      </c>
      <c r="AQ69" s="131">
        <f t="shared" si="27"/>
        <v>0</v>
      </c>
      <c r="AR69" s="131">
        <v>0</v>
      </c>
    </row>
    <row r="70" spans="28:44">
      <c r="AB70" s="131">
        <f t="shared" si="14"/>
        <v>0</v>
      </c>
      <c r="AC70" s="131">
        <f t="shared" si="15"/>
        <v>0</v>
      </c>
      <c r="AD70" s="131">
        <f t="shared" si="16"/>
        <v>0</v>
      </c>
      <c r="AE70" s="131">
        <f t="shared" si="17"/>
        <v>0</v>
      </c>
      <c r="AF70" s="131">
        <f t="shared" si="18"/>
        <v>0</v>
      </c>
      <c r="AG70" s="131">
        <f t="shared" si="19"/>
        <v>0</v>
      </c>
      <c r="AH70" s="131">
        <f t="shared" si="20"/>
        <v>0</v>
      </c>
      <c r="AI70" s="131">
        <f t="shared" si="21"/>
        <v>0</v>
      </c>
      <c r="AJ70" s="131" t="e">
        <f t="shared" si="22"/>
        <v>#DIV/0!</v>
      </c>
      <c r="AK70" s="131">
        <f t="shared" si="23"/>
        <v>0</v>
      </c>
      <c r="AL70" s="131">
        <f t="shared" si="24"/>
        <v>0</v>
      </c>
      <c r="AM70" s="131">
        <v>0</v>
      </c>
      <c r="AN70" s="131">
        <f t="shared" si="25"/>
        <v>0</v>
      </c>
      <c r="AO70" s="131">
        <v>0</v>
      </c>
      <c r="AP70" s="131">
        <f t="shared" si="26"/>
        <v>0</v>
      </c>
      <c r="AQ70" s="131">
        <f t="shared" si="27"/>
        <v>0</v>
      </c>
      <c r="AR70" s="131">
        <v>0</v>
      </c>
    </row>
    <row r="71" spans="28:44">
      <c r="AB71" s="131">
        <f t="shared" si="14"/>
        <v>0</v>
      </c>
      <c r="AC71" s="131">
        <f t="shared" si="15"/>
        <v>0</v>
      </c>
      <c r="AD71" s="131">
        <f t="shared" si="16"/>
        <v>0</v>
      </c>
      <c r="AE71" s="131">
        <f t="shared" si="17"/>
        <v>0</v>
      </c>
      <c r="AF71" s="131">
        <f t="shared" si="18"/>
        <v>0</v>
      </c>
      <c r="AG71" s="131">
        <f t="shared" si="19"/>
        <v>0</v>
      </c>
      <c r="AH71" s="131">
        <f t="shared" si="20"/>
        <v>0</v>
      </c>
      <c r="AI71" s="131">
        <f t="shared" si="21"/>
        <v>0</v>
      </c>
      <c r="AJ71" s="131" t="e">
        <f t="shared" si="22"/>
        <v>#DIV/0!</v>
      </c>
      <c r="AK71" s="131">
        <f t="shared" si="23"/>
        <v>0</v>
      </c>
      <c r="AL71" s="131">
        <f t="shared" si="24"/>
        <v>0</v>
      </c>
      <c r="AM71" s="131">
        <v>0</v>
      </c>
      <c r="AN71" s="131">
        <f t="shared" si="25"/>
        <v>0</v>
      </c>
      <c r="AO71" s="131">
        <v>0</v>
      </c>
      <c r="AP71" s="131">
        <f t="shared" si="26"/>
        <v>0</v>
      </c>
      <c r="AQ71" s="131">
        <f t="shared" si="27"/>
        <v>0</v>
      </c>
      <c r="AR71" s="131">
        <v>0</v>
      </c>
    </row>
    <row r="72" spans="28:44">
      <c r="AB72" s="131">
        <f t="shared" si="14"/>
        <v>0</v>
      </c>
      <c r="AC72" s="131">
        <f t="shared" si="15"/>
        <v>0</v>
      </c>
      <c r="AD72" s="131">
        <f t="shared" si="16"/>
        <v>0</v>
      </c>
      <c r="AE72" s="131">
        <f t="shared" si="17"/>
        <v>0</v>
      </c>
      <c r="AF72" s="131">
        <f t="shared" si="18"/>
        <v>0</v>
      </c>
      <c r="AG72" s="131">
        <f t="shared" si="19"/>
        <v>0</v>
      </c>
      <c r="AH72" s="131">
        <f t="shared" si="20"/>
        <v>0</v>
      </c>
      <c r="AI72" s="131">
        <f t="shared" si="21"/>
        <v>0</v>
      </c>
      <c r="AJ72" s="131" t="e">
        <f t="shared" si="22"/>
        <v>#DIV/0!</v>
      </c>
      <c r="AK72" s="131">
        <f t="shared" si="23"/>
        <v>0</v>
      </c>
      <c r="AL72" s="131">
        <f t="shared" si="24"/>
        <v>0</v>
      </c>
      <c r="AM72" s="131">
        <v>0</v>
      </c>
      <c r="AN72" s="131">
        <f t="shared" si="25"/>
        <v>0</v>
      </c>
      <c r="AO72" s="131">
        <v>0</v>
      </c>
      <c r="AP72" s="131">
        <f t="shared" si="26"/>
        <v>0</v>
      </c>
      <c r="AQ72" s="131">
        <f t="shared" si="27"/>
        <v>0</v>
      </c>
      <c r="AR72" s="131">
        <v>0</v>
      </c>
    </row>
    <row r="73" spans="28:44">
      <c r="AB73" s="131">
        <f t="shared" si="14"/>
        <v>0</v>
      </c>
      <c r="AC73" s="131">
        <f t="shared" si="15"/>
        <v>0</v>
      </c>
      <c r="AD73" s="131">
        <f t="shared" si="16"/>
        <v>0</v>
      </c>
      <c r="AE73" s="131">
        <f t="shared" si="17"/>
        <v>0</v>
      </c>
      <c r="AF73" s="131">
        <f t="shared" si="18"/>
        <v>0</v>
      </c>
      <c r="AG73" s="131">
        <f t="shared" si="19"/>
        <v>0</v>
      </c>
      <c r="AH73" s="131">
        <f t="shared" si="20"/>
        <v>0</v>
      </c>
      <c r="AI73" s="131">
        <f t="shared" si="21"/>
        <v>0</v>
      </c>
      <c r="AJ73" s="131" t="e">
        <f t="shared" si="22"/>
        <v>#DIV/0!</v>
      </c>
      <c r="AK73" s="131">
        <f t="shared" si="23"/>
        <v>0</v>
      </c>
      <c r="AL73" s="131">
        <f t="shared" si="24"/>
        <v>0</v>
      </c>
      <c r="AM73" s="131">
        <v>0</v>
      </c>
      <c r="AN73" s="131">
        <f t="shared" si="25"/>
        <v>0</v>
      </c>
      <c r="AO73" s="131">
        <v>0</v>
      </c>
      <c r="AP73" s="131">
        <f t="shared" si="26"/>
        <v>0</v>
      </c>
      <c r="AQ73" s="131">
        <f t="shared" si="27"/>
        <v>0</v>
      </c>
      <c r="AR73" s="131">
        <v>0</v>
      </c>
    </row>
    <row r="74" spans="28:44">
      <c r="AB74" s="131">
        <f t="shared" si="14"/>
        <v>0</v>
      </c>
      <c r="AC74" s="131">
        <f t="shared" si="15"/>
        <v>0</v>
      </c>
      <c r="AD74" s="131">
        <f t="shared" si="16"/>
        <v>0</v>
      </c>
      <c r="AE74" s="131">
        <f t="shared" si="17"/>
        <v>0</v>
      </c>
      <c r="AF74" s="131">
        <f t="shared" si="18"/>
        <v>0</v>
      </c>
      <c r="AG74" s="131">
        <f t="shared" si="19"/>
        <v>0</v>
      </c>
      <c r="AH74" s="131">
        <f t="shared" si="20"/>
        <v>0</v>
      </c>
      <c r="AI74" s="131">
        <f t="shared" si="21"/>
        <v>0</v>
      </c>
      <c r="AJ74" s="131" t="e">
        <f t="shared" si="22"/>
        <v>#DIV/0!</v>
      </c>
      <c r="AK74" s="131">
        <f t="shared" si="23"/>
        <v>0</v>
      </c>
      <c r="AL74" s="131">
        <f t="shared" si="24"/>
        <v>0</v>
      </c>
      <c r="AM74" s="131">
        <v>0</v>
      </c>
      <c r="AN74" s="131">
        <f t="shared" si="25"/>
        <v>0</v>
      </c>
      <c r="AO74" s="131">
        <v>0</v>
      </c>
      <c r="AP74" s="131">
        <f t="shared" si="26"/>
        <v>0</v>
      </c>
      <c r="AQ74" s="131">
        <f t="shared" si="27"/>
        <v>0</v>
      </c>
      <c r="AR74" s="131">
        <v>0</v>
      </c>
    </row>
    <row r="75" spans="28:44">
      <c r="AB75" s="131">
        <f t="shared" si="14"/>
        <v>0</v>
      </c>
      <c r="AC75" s="131">
        <f t="shared" si="15"/>
        <v>0</v>
      </c>
      <c r="AD75" s="131">
        <f t="shared" si="16"/>
        <v>0</v>
      </c>
      <c r="AE75" s="131">
        <f t="shared" si="17"/>
        <v>0</v>
      </c>
      <c r="AF75" s="131">
        <f t="shared" si="18"/>
        <v>0</v>
      </c>
      <c r="AG75" s="131">
        <f t="shared" si="19"/>
        <v>0</v>
      </c>
      <c r="AH75" s="131">
        <f t="shared" si="20"/>
        <v>0</v>
      </c>
      <c r="AI75" s="131">
        <f t="shared" si="21"/>
        <v>0</v>
      </c>
      <c r="AJ75" s="131" t="e">
        <f t="shared" si="22"/>
        <v>#DIV/0!</v>
      </c>
      <c r="AK75" s="131">
        <f t="shared" si="23"/>
        <v>0</v>
      </c>
      <c r="AL75" s="131">
        <f t="shared" si="24"/>
        <v>0</v>
      </c>
      <c r="AM75" s="131">
        <v>0</v>
      </c>
      <c r="AN75" s="131">
        <f t="shared" si="25"/>
        <v>0</v>
      </c>
      <c r="AO75" s="131">
        <v>0</v>
      </c>
      <c r="AP75" s="131">
        <f t="shared" si="26"/>
        <v>0</v>
      </c>
      <c r="AQ75" s="131">
        <f t="shared" si="27"/>
        <v>0</v>
      </c>
      <c r="AR75" s="131">
        <v>0</v>
      </c>
    </row>
    <row r="76" spans="28:44">
      <c r="AB76" s="131">
        <f t="shared" si="14"/>
        <v>0</v>
      </c>
      <c r="AC76" s="131">
        <f t="shared" si="15"/>
        <v>0</v>
      </c>
      <c r="AD76" s="131">
        <f t="shared" si="16"/>
        <v>0</v>
      </c>
      <c r="AE76" s="131">
        <f t="shared" si="17"/>
        <v>0</v>
      </c>
      <c r="AF76" s="131">
        <f t="shared" si="18"/>
        <v>0</v>
      </c>
      <c r="AG76" s="131">
        <f t="shared" si="19"/>
        <v>0</v>
      </c>
      <c r="AH76" s="131">
        <f t="shared" si="20"/>
        <v>0</v>
      </c>
      <c r="AI76" s="131">
        <f t="shared" si="21"/>
        <v>0</v>
      </c>
      <c r="AJ76" s="131" t="e">
        <f t="shared" si="22"/>
        <v>#DIV/0!</v>
      </c>
      <c r="AK76" s="131">
        <f t="shared" si="23"/>
        <v>0</v>
      </c>
      <c r="AL76" s="131">
        <f t="shared" si="24"/>
        <v>0</v>
      </c>
      <c r="AM76" s="131">
        <v>0</v>
      </c>
      <c r="AN76" s="131">
        <f t="shared" si="25"/>
        <v>0</v>
      </c>
      <c r="AO76" s="131">
        <v>0</v>
      </c>
      <c r="AP76" s="131">
        <f t="shared" si="26"/>
        <v>0</v>
      </c>
      <c r="AQ76" s="131">
        <f t="shared" si="27"/>
        <v>0</v>
      </c>
      <c r="AR76" s="131">
        <v>0</v>
      </c>
    </row>
    <row r="77" spans="28:44">
      <c r="AB77" s="131">
        <f t="shared" si="14"/>
        <v>0</v>
      </c>
      <c r="AC77" s="131">
        <f t="shared" si="15"/>
        <v>0</v>
      </c>
      <c r="AD77" s="131">
        <f t="shared" si="16"/>
        <v>0</v>
      </c>
      <c r="AE77" s="131">
        <f t="shared" si="17"/>
        <v>0</v>
      </c>
      <c r="AF77" s="131">
        <f t="shared" si="18"/>
        <v>0</v>
      </c>
      <c r="AG77" s="131">
        <f t="shared" si="19"/>
        <v>0</v>
      </c>
      <c r="AH77" s="131">
        <f t="shared" si="20"/>
        <v>0</v>
      </c>
      <c r="AI77" s="131">
        <f t="shared" si="21"/>
        <v>0</v>
      </c>
      <c r="AJ77" s="131" t="e">
        <f t="shared" si="22"/>
        <v>#DIV/0!</v>
      </c>
      <c r="AK77" s="131">
        <f t="shared" si="23"/>
        <v>0</v>
      </c>
      <c r="AL77" s="131">
        <f t="shared" si="24"/>
        <v>0</v>
      </c>
      <c r="AM77" s="131">
        <v>0</v>
      </c>
      <c r="AN77" s="131">
        <f t="shared" si="25"/>
        <v>0</v>
      </c>
      <c r="AO77" s="131">
        <v>0</v>
      </c>
      <c r="AP77" s="131">
        <f t="shared" si="26"/>
        <v>0</v>
      </c>
      <c r="AQ77" s="131">
        <f t="shared" si="27"/>
        <v>0</v>
      </c>
      <c r="AR77" s="131">
        <v>0</v>
      </c>
    </row>
    <row r="78" spans="28:44">
      <c r="AB78" s="131">
        <f t="shared" si="14"/>
        <v>0</v>
      </c>
      <c r="AC78" s="131">
        <f t="shared" si="15"/>
        <v>0</v>
      </c>
      <c r="AD78" s="131">
        <f t="shared" si="16"/>
        <v>0</v>
      </c>
      <c r="AE78" s="131">
        <f t="shared" si="17"/>
        <v>0</v>
      </c>
      <c r="AF78" s="131">
        <f t="shared" si="18"/>
        <v>0</v>
      </c>
      <c r="AG78" s="131">
        <f t="shared" si="19"/>
        <v>0</v>
      </c>
      <c r="AH78" s="131">
        <f t="shared" si="20"/>
        <v>0</v>
      </c>
      <c r="AI78" s="131">
        <f t="shared" si="21"/>
        <v>0</v>
      </c>
      <c r="AJ78" s="131" t="e">
        <f t="shared" si="22"/>
        <v>#DIV/0!</v>
      </c>
      <c r="AK78" s="131">
        <f t="shared" si="23"/>
        <v>0</v>
      </c>
      <c r="AL78" s="131">
        <f t="shared" si="24"/>
        <v>0</v>
      </c>
      <c r="AM78" s="131">
        <v>0</v>
      </c>
      <c r="AN78" s="131">
        <f t="shared" si="25"/>
        <v>0</v>
      </c>
      <c r="AO78" s="131">
        <v>0</v>
      </c>
      <c r="AP78" s="131">
        <f t="shared" si="26"/>
        <v>0</v>
      </c>
      <c r="AQ78" s="131">
        <f t="shared" si="27"/>
        <v>0</v>
      </c>
      <c r="AR78" s="131">
        <v>0</v>
      </c>
    </row>
    <row r="79" spans="28:44">
      <c r="AB79" s="131">
        <f t="shared" si="14"/>
        <v>0</v>
      </c>
      <c r="AC79" s="131">
        <f t="shared" si="15"/>
        <v>0</v>
      </c>
      <c r="AD79" s="131">
        <f t="shared" si="16"/>
        <v>0</v>
      </c>
      <c r="AE79" s="131">
        <f t="shared" si="17"/>
        <v>0</v>
      </c>
      <c r="AF79" s="131">
        <f t="shared" si="18"/>
        <v>0</v>
      </c>
      <c r="AG79" s="131">
        <f t="shared" si="19"/>
        <v>0</v>
      </c>
      <c r="AH79" s="131">
        <f t="shared" si="20"/>
        <v>0</v>
      </c>
      <c r="AI79" s="131">
        <f t="shared" si="21"/>
        <v>0</v>
      </c>
      <c r="AJ79" s="131" t="e">
        <f t="shared" si="22"/>
        <v>#DIV/0!</v>
      </c>
      <c r="AK79" s="131">
        <f t="shared" si="23"/>
        <v>0</v>
      </c>
      <c r="AL79" s="131">
        <f t="shared" si="24"/>
        <v>0</v>
      </c>
      <c r="AM79" s="131">
        <v>0</v>
      </c>
      <c r="AN79" s="131">
        <f t="shared" si="25"/>
        <v>0</v>
      </c>
      <c r="AO79" s="131">
        <v>0</v>
      </c>
      <c r="AP79" s="131">
        <f t="shared" si="26"/>
        <v>0</v>
      </c>
      <c r="AQ79" s="131">
        <f t="shared" si="27"/>
        <v>0</v>
      </c>
      <c r="AR79" s="131">
        <v>0</v>
      </c>
    </row>
    <row r="80" spans="28:44">
      <c r="AB80" s="131">
        <f t="shared" si="14"/>
        <v>0</v>
      </c>
      <c r="AC80" s="131">
        <f t="shared" si="15"/>
        <v>0</v>
      </c>
      <c r="AD80" s="131">
        <f t="shared" si="16"/>
        <v>0</v>
      </c>
      <c r="AE80" s="131">
        <f t="shared" si="17"/>
        <v>0</v>
      </c>
      <c r="AF80" s="131">
        <f t="shared" si="18"/>
        <v>0</v>
      </c>
      <c r="AG80" s="131">
        <f t="shared" si="19"/>
        <v>0</v>
      </c>
      <c r="AH80" s="131">
        <f t="shared" si="20"/>
        <v>0</v>
      </c>
      <c r="AI80" s="131">
        <f t="shared" si="21"/>
        <v>0</v>
      </c>
      <c r="AJ80" s="131" t="e">
        <f t="shared" si="22"/>
        <v>#DIV/0!</v>
      </c>
      <c r="AK80" s="131">
        <f t="shared" si="23"/>
        <v>0</v>
      </c>
      <c r="AL80" s="131">
        <f t="shared" si="24"/>
        <v>0</v>
      </c>
      <c r="AM80" s="131">
        <v>0</v>
      </c>
      <c r="AN80" s="131">
        <f t="shared" si="25"/>
        <v>0</v>
      </c>
      <c r="AO80" s="131">
        <v>0</v>
      </c>
      <c r="AP80" s="131">
        <f t="shared" si="26"/>
        <v>0</v>
      </c>
      <c r="AQ80" s="131">
        <f t="shared" si="27"/>
        <v>0</v>
      </c>
      <c r="AR80" s="131">
        <v>0</v>
      </c>
    </row>
    <row r="81" spans="28:44">
      <c r="AB81" s="131">
        <f t="shared" si="14"/>
        <v>0</v>
      </c>
      <c r="AC81" s="131">
        <f t="shared" si="15"/>
        <v>0</v>
      </c>
      <c r="AD81" s="131">
        <f t="shared" si="16"/>
        <v>0</v>
      </c>
      <c r="AE81" s="131">
        <f t="shared" si="17"/>
        <v>0</v>
      </c>
      <c r="AF81" s="131">
        <f t="shared" si="18"/>
        <v>0</v>
      </c>
      <c r="AG81" s="131">
        <f t="shared" si="19"/>
        <v>0</v>
      </c>
      <c r="AH81" s="131">
        <f t="shared" si="20"/>
        <v>0</v>
      </c>
      <c r="AI81" s="131">
        <f t="shared" si="21"/>
        <v>0</v>
      </c>
      <c r="AJ81" s="131" t="e">
        <f t="shared" si="22"/>
        <v>#DIV/0!</v>
      </c>
      <c r="AK81" s="131">
        <f t="shared" si="23"/>
        <v>0</v>
      </c>
      <c r="AL81" s="131">
        <f t="shared" si="24"/>
        <v>0</v>
      </c>
      <c r="AM81" s="131">
        <v>0</v>
      </c>
      <c r="AN81" s="131">
        <f t="shared" si="25"/>
        <v>0</v>
      </c>
      <c r="AO81" s="131">
        <v>0</v>
      </c>
      <c r="AP81" s="131">
        <f t="shared" si="26"/>
        <v>0</v>
      </c>
      <c r="AQ81" s="131">
        <f t="shared" si="27"/>
        <v>0</v>
      </c>
      <c r="AR81" s="131">
        <v>0</v>
      </c>
    </row>
    <row r="82" spans="28:44">
      <c r="AB82" s="131">
        <f t="shared" si="14"/>
        <v>0</v>
      </c>
      <c r="AC82" s="131">
        <f t="shared" si="15"/>
        <v>0</v>
      </c>
      <c r="AD82" s="131">
        <f t="shared" si="16"/>
        <v>0</v>
      </c>
      <c r="AE82" s="131">
        <f t="shared" si="17"/>
        <v>0</v>
      </c>
      <c r="AF82" s="131">
        <f t="shared" si="18"/>
        <v>0</v>
      </c>
      <c r="AG82" s="131">
        <f t="shared" si="19"/>
        <v>0</v>
      </c>
      <c r="AH82" s="131">
        <f t="shared" si="20"/>
        <v>0</v>
      </c>
      <c r="AI82" s="131">
        <f t="shared" si="21"/>
        <v>0</v>
      </c>
      <c r="AJ82" s="131" t="e">
        <f t="shared" si="22"/>
        <v>#DIV/0!</v>
      </c>
      <c r="AK82" s="131">
        <f t="shared" si="23"/>
        <v>0</v>
      </c>
      <c r="AL82" s="131">
        <f t="shared" si="24"/>
        <v>0</v>
      </c>
      <c r="AM82" s="131">
        <v>0</v>
      </c>
      <c r="AN82" s="131">
        <f t="shared" si="25"/>
        <v>0</v>
      </c>
      <c r="AO82" s="131">
        <v>0</v>
      </c>
      <c r="AP82" s="131">
        <f t="shared" si="26"/>
        <v>0</v>
      </c>
      <c r="AQ82" s="131">
        <f t="shared" si="27"/>
        <v>0</v>
      </c>
      <c r="AR82" s="131">
        <v>0</v>
      </c>
    </row>
    <row r="83" spans="28:44">
      <c r="AB83" s="131">
        <f t="shared" si="14"/>
        <v>0</v>
      </c>
      <c r="AC83" s="131">
        <f t="shared" si="15"/>
        <v>0</v>
      </c>
      <c r="AD83" s="131">
        <f t="shared" si="16"/>
        <v>0</v>
      </c>
      <c r="AE83" s="131">
        <f t="shared" si="17"/>
        <v>0</v>
      </c>
      <c r="AF83" s="131">
        <f t="shared" si="18"/>
        <v>0</v>
      </c>
      <c r="AG83" s="131">
        <f t="shared" si="19"/>
        <v>0</v>
      </c>
      <c r="AH83" s="131">
        <f t="shared" si="20"/>
        <v>0</v>
      </c>
      <c r="AI83" s="131">
        <f t="shared" si="21"/>
        <v>0</v>
      </c>
      <c r="AJ83" s="131" t="e">
        <f t="shared" si="22"/>
        <v>#DIV/0!</v>
      </c>
      <c r="AK83" s="131">
        <f t="shared" si="23"/>
        <v>0</v>
      </c>
      <c r="AL83" s="131">
        <f t="shared" si="24"/>
        <v>0</v>
      </c>
      <c r="AM83" s="131">
        <v>0</v>
      </c>
      <c r="AN83" s="131">
        <f t="shared" si="25"/>
        <v>0</v>
      </c>
      <c r="AO83" s="131">
        <v>0</v>
      </c>
      <c r="AP83" s="131">
        <f t="shared" si="26"/>
        <v>0</v>
      </c>
      <c r="AQ83" s="131">
        <f t="shared" si="27"/>
        <v>0</v>
      </c>
      <c r="AR83" s="131">
        <v>0</v>
      </c>
    </row>
    <row r="84" spans="28:44">
      <c r="AB84" s="131">
        <f t="shared" si="14"/>
        <v>0</v>
      </c>
      <c r="AC84" s="131">
        <f t="shared" si="15"/>
        <v>0</v>
      </c>
      <c r="AD84" s="131">
        <f t="shared" si="16"/>
        <v>0</v>
      </c>
      <c r="AE84" s="131">
        <f t="shared" si="17"/>
        <v>0</v>
      </c>
      <c r="AF84" s="131">
        <f t="shared" si="18"/>
        <v>0</v>
      </c>
      <c r="AG84" s="131">
        <f t="shared" si="19"/>
        <v>0</v>
      </c>
      <c r="AH84" s="131">
        <f t="shared" si="20"/>
        <v>0</v>
      </c>
      <c r="AI84" s="131">
        <f t="shared" si="21"/>
        <v>0</v>
      </c>
      <c r="AJ84" s="131" t="e">
        <f t="shared" si="22"/>
        <v>#DIV/0!</v>
      </c>
      <c r="AK84" s="131">
        <f t="shared" si="23"/>
        <v>0</v>
      </c>
      <c r="AL84" s="131">
        <f t="shared" si="24"/>
        <v>0</v>
      </c>
      <c r="AM84" s="131">
        <v>0</v>
      </c>
      <c r="AN84" s="131">
        <f t="shared" si="25"/>
        <v>0</v>
      </c>
      <c r="AO84" s="131">
        <v>0</v>
      </c>
      <c r="AP84" s="131">
        <f t="shared" si="26"/>
        <v>0</v>
      </c>
      <c r="AQ84" s="131">
        <f t="shared" si="27"/>
        <v>0</v>
      </c>
      <c r="AR84" s="131">
        <v>0</v>
      </c>
    </row>
    <row r="85" spans="28:44">
      <c r="AB85" s="131">
        <f t="shared" si="14"/>
        <v>0</v>
      </c>
      <c r="AC85" s="131">
        <f t="shared" si="15"/>
        <v>0</v>
      </c>
      <c r="AD85" s="131">
        <f t="shared" si="16"/>
        <v>0</v>
      </c>
      <c r="AE85" s="131">
        <f t="shared" si="17"/>
        <v>0</v>
      </c>
      <c r="AF85" s="131">
        <f t="shared" si="18"/>
        <v>0</v>
      </c>
      <c r="AG85" s="131">
        <f t="shared" si="19"/>
        <v>0</v>
      </c>
      <c r="AH85" s="131">
        <f t="shared" si="20"/>
        <v>0</v>
      </c>
      <c r="AI85" s="131">
        <f t="shared" si="21"/>
        <v>0</v>
      </c>
      <c r="AJ85" s="131" t="e">
        <f t="shared" si="22"/>
        <v>#DIV/0!</v>
      </c>
      <c r="AK85" s="131">
        <f t="shared" si="23"/>
        <v>0</v>
      </c>
      <c r="AL85" s="131">
        <f t="shared" si="24"/>
        <v>0</v>
      </c>
      <c r="AM85" s="131">
        <v>0</v>
      </c>
      <c r="AN85" s="131">
        <f t="shared" si="25"/>
        <v>0</v>
      </c>
      <c r="AO85" s="131">
        <v>0</v>
      </c>
      <c r="AP85" s="131">
        <f t="shared" si="26"/>
        <v>0</v>
      </c>
      <c r="AQ85" s="131">
        <f t="shared" si="27"/>
        <v>0</v>
      </c>
      <c r="AR85" s="131">
        <v>0</v>
      </c>
    </row>
    <row r="86" spans="28:44">
      <c r="AB86" s="131">
        <f t="shared" si="14"/>
        <v>0</v>
      </c>
      <c r="AC86" s="131">
        <f t="shared" si="15"/>
        <v>0</v>
      </c>
      <c r="AD86" s="131">
        <f t="shared" si="16"/>
        <v>0</v>
      </c>
      <c r="AE86" s="131">
        <f t="shared" si="17"/>
        <v>0</v>
      </c>
      <c r="AF86" s="131">
        <f t="shared" si="18"/>
        <v>0</v>
      </c>
      <c r="AG86" s="131">
        <f t="shared" si="19"/>
        <v>0</v>
      </c>
      <c r="AH86" s="131">
        <f t="shared" si="20"/>
        <v>0</v>
      </c>
      <c r="AI86" s="131">
        <f t="shared" si="21"/>
        <v>0</v>
      </c>
      <c r="AJ86" s="131" t="e">
        <f t="shared" si="22"/>
        <v>#DIV/0!</v>
      </c>
      <c r="AK86" s="131">
        <f t="shared" si="23"/>
        <v>0</v>
      </c>
      <c r="AL86" s="131">
        <f t="shared" si="24"/>
        <v>0</v>
      </c>
      <c r="AM86" s="131">
        <v>0</v>
      </c>
      <c r="AN86" s="131">
        <f t="shared" si="25"/>
        <v>0</v>
      </c>
      <c r="AO86" s="131">
        <v>0</v>
      </c>
      <c r="AP86" s="131">
        <f t="shared" si="26"/>
        <v>0</v>
      </c>
      <c r="AQ86" s="131">
        <f t="shared" si="27"/>
        <v>0</v>
      </c>
      <c r="AR86" s="131">
        <v>0</v>
      </c>
    </row>
    <row r="87" spans="28:44">
      <c r="AB87" s="131">
        <f t="shared" si="14"/>
        <v>0</v>
      </c>
      <c r="AC87" s="131">
        <f t="shared" si="15"/>
        <v>0</v>
      </c>
      <c r="AD87" s="131">
        <f t="shared" si="16"/>
        <v>0</v>
      </c>
      <c r="AE87" s="131">
        <f t="shared" si="17"/>
        <v>0</v>
      </c>
      <c r="AF87" s="131">
        <f t="shared" si="18"/>
        <v>0</v>
      </c>
      <c r="AG87" s="131">
        <f t="shared" si="19"/>
        <v>0</v>
      </c>
      <c r="AH87" s="131">
        <f t="shared" si="20"/>
        <v>0</v>
      </c>
      <c r="AI87" s="131">
        <f t="shared" si="21"/>
        <v>0</v>
      </c>
      <c r="AJ87" s="131" t="e">
        <f t="shared" si="22"/>
        <v>#DIV/0!</v>
      </c>
      <c r="AK87" s="131">
        <f t="shared" si="23"/>
        <v>0</v>
      </c>
      <c r="AL87" s="131">
        <f t="shared" si="24"/>
        <v>0</v>
      </c>
      <c r="AM87" s="131">
        <v>0</v>
      </c>
      <c r="AN87" s="131">
        <f t="shared" si="25"/>
        <v>0</v>
      </c>
      <c r="AO87" s="131">
        <v>0</v>
      </c>
      <c r="AP87" s="131">
        <f t="shared" si="26"/>
        <v>0</v>
      </c>
      <c r="AQ87" s="131">
        <f t="shared" si="27"/>
        <v>0</v>
      </c>
      <c r="AR87" s="131">
        <v>0</v>
      </c>
    </row>
    <row r="88" spans="28:44">
      <c r="AB88" s="131">
        <f t="shared" si="14"/>
        <v>0</v>
      </c>
      <c r="AC88" s="131">
        <f t="shared" si="15"/>
        <v>0</v>
      </c>
      <c r="AD88" s="131">
        <f t="shared" si="16"/>
        <v>0</v>
      </c>
      <c r="AE88" s="131">
        <f t="shared" si="17"/>
        <v>0</v>
      </c>
      <c r="AF88" s="131">
        <f t="shared" si="18"/>
        <v>0</v>
      </c>
      <c r="AG88" s="131">
        <f t="shared" si="19"/>
        <v>0</v>
      </c>
      <c r="AH88" s="131">
        <f t="shared" si="20"/>
        <v>0</v>
      </c>
      <c r="AI88" s="131">
        <f t="shared" si="21"/>
        <v>0</v>
      </c>
      <c r="AJ88" s="131" t="e">
        <f t="shared" si="22"/>
        <v>#DIV/0!</v>
      </c>
      <c r="AK88" s="131">
        <f t="shared" si="23"/>
        <v>0</v>
      </c>
      <c r="AL88" s="131">
        <f t="shared" si="24"/>
        <v>0</v>
      </c>
      <c r="AM88" s="131">
        <v>0</v>
      </c>
      <c r="AN88" s="131">
        <f t="shared" si="25"/>
        <v>0</v>
      </c>
      <c r="AO88" s="131">
        <v>0</v>
      </c>
      <c r="AP88" s="131">
        <f t="shared" si="26"/>
        <v>0</v>
      </c>
      <c r="AQ88" s="131">
        <f t="shared" si="27"/>
        <v>0</v>
      </c>
      <c r="AR88" s="131">
        <v>0</v>
      </c>
    </row>
    <row r="89" spans="28:44">
      <c r="AB89" s="131">
        <f t="shared" si="14"/>
        <v>0</v>
      </c>
      <c r="AC89" s="131">
        <f t="shared" si="15"/>
        <v>0</v>
      </c>
      <c r="AD89" s="131">
        <f t="shared" si="16"/>
        <v>0</v>
      </c>
      <c r="AE89" s="131">
        <f t="shared" si="17"/>
        <v>0</v>
      </c>
      <c r="AF89" s="131">
        <f t="shared" si="18"/>
        <v>0</v>
      </c>
      <c r="AG89" s="131">
        <f t="shared" si="19"/>
        <v>0</v>
      </c>
      <c r="AH89" s="131">
        <f t="shared" si="20"/>
        <v>0</v>
      </c>
      <c r="AI89" s="131">
        <f t="shared" si="21"/>
        <v>0</v>
      </c>
      <c r="AJ89" s="131" t="e">
        <f t="shared" si="22"/>
        <v>#DIV/0!</v>
      </c>
      <c r="AK89" s="131">
        <f t="shared" si="23"/>
        <v>0</v>
      </c>
      <c r="AL89" s="131">
        <f t="shared" si="24"/>
        <v>0</v>
      </c>
      <c r="AM89" s="131">
        <v>0</v>
      </c>
      <c r="AN89" s="131">
        <f t="shared" si="25"/>
        <v>0</v>
      </c>
      <c r="AO89" s="131">
        <v>0</v>
      </c>
      <c r="AP89" s="131">
        <f t="shared" si="26"/>
        <v>0</v>
      </c>
      <c r="AQ89" s="131">
        <f t="shared" si="27"/>
        <v>0</v>
      </c>
      <c r="AR89" s="131">
        <v>0</v>
      </c>
    </row>
    <row r="90" spans="28:44">
      <c r="AB90" s="131">
        <f t="shared" si="14"/>
        <v>0</v>
      </c>
      <c r="AC90" s="131">
        <f t="shared" si="15"/>
        <v>0</v>
      </c>
      <c r="AD90" s="131">
        <f t="shared" si="16"/>
        <v>0</v>
      </c>
      <c r="AE90" s="131">
        <f t="shared" si="17"/>
        <v>0</v>
      </c>
      <c r="AF90" s="131">
        <f t="shared" si="18"/>
        <v>0</v>
      </c>
      <c r="AG90" s="131">
        <f t="shared" si="19"/>
        <v>0</v>
      </c>
      <c r="AH90" s="131">
        <f t="shared" si="20"/>
        <v>0</v>
      </c>
      <c r="AI90" s="131">
        <f t="shared" si="21"/>
        <v>0</v>
      </c>
      <c r="AJ90" s="131" t="e">
        <f t="shared" si="22"/>
        <v>#DIV/0!</v>
      </c>
      <c r="AK90" s="131">
        <f t="shared" si="23"/>
        <v>0</v>
      </c>
      <c r="AL90" s="131">
        <f t="shared" si="24"/>
        <v>0</v>
      </c>
      <c r="AM90" s="131">
        <v>0</v>
      </c>
      <c r="AN90" s="131">
        <f t="shared" si="25"/>
        <v>0</v>
      </c>
      <c r="AO90" s="131">
        <v>0</v>
      </c>
      <c r="AP90" s="131">
        <f t="shared" si="26"/>
        <v>0</v>
      </c>
      <c r="AQ90" s="131">
        <f t="shared" si="27"/>
        <v>0</v>
      </c>
      <c r="AR90" s="131">
        <v>0</v>
      </c>
    </row>
    <row r="91" spans="28:44">
      <c r="AB91" s="131">
        <f t="shared" si="14"/>
        <v>0</v>
      </c>
      <c r="AC91" s="131">
        <f t="shared" si="15"/>
        <v>0</v>
      </c>
      <c r="AD91" s="131">
        <f t="shared" si="16"/>
        <v>0</v>
      </c>
      <c r="AE91" s="131">
        <f t="shared" si="17"/>
        <v>0</v>
      </c>
      <c r="AF91" s="131">
        <f t="shared" si="18"/>
        <v>0</v>
      </c>
      <c r="AG91" s="131">
        <f t="shared" si="19"/>
        <v>0</v>
      </c>
      <c r="AH91" s="131">
        <f t="shared" si="20"/>
        <v>0</v>
      </c>
      <c r="AI91" s="131">
        <f t="shared" si="21"/>
        <v>0</v>
      </c>
      <c r="AJ91" s="131" t="e">
        <f t="shared" si="22"/>
        <v>#DIV/0!</v>
      </c>
      <c r="AK91" s="131">
        <f t="shared" si="23"/>
        <v>0</v>
      </c>
      <c r="AL91" s="131">
        <f t="shared" si="24"/>
        <v>0</v>
      </c>
      <c r="AM91" s="131">
        <v>0</v>
      </c>
      <c r="AN91" s="131">
        <f t="shared" si="25"/>
        <v>0</v>
      </c>
      <c r="AO91" s="131">
        <v>0</v>
      </c>
      <c r="AP91" s="131">
        <f t="shared" si="26"/>
        <v>0</v>
      </c>
      <c r="AQ91" s="131">
        <f t="shared" si="27"/>
        <v>0</v>
      </c>
      <c r="AR91" s="131">
        <v>0</v>
      </c>
    </row>
    <row r="92" spans="28:44">
      <c r="AB92" s="131">
        <f t="shared" si="14"/>
        <v>0</v>
      </c>
      <c r="AC92" s="131">
        <f t="shared" si="15"/>
        <v>0</v>
      </c>
      <c r="AD92" s="131">
        <f t="shared" si="16"/>
        <v>0</v>
      </c>
      <c r="AE92" s="131">
        <f t="shared" si="17"/>
        <v>0</v>
      </c>
      <c r="AF92" s="131">
        <f t="shared" si="18"/>
        <v>0</v>
      </c>
      <c r="AG92" s="131">
        <f t="shared" si="19"/>
        <v>0</v>
      </c>
      <c r="AH92" s="131">
        <f t="shared" si="20"/>
        <v>0</v>
      </c>
      <c r="AI92" s="131">
        <f t="shared" si="21"/>
        <v>0</v>
      </c>
      <c r="AJ92" s="131" t="e">
        <f t="shared" si="22"/>
        <v>#DIV/0!</v>
      </c>
      <c r="AK92" s="131">
        <f t="shared" si="23"/>
        <v>0</v>
      </c>
      <c r="AL92" s="131">
        <f t="shared" si="24"/>
        <v>0</v>
      </c>
      <c r="AM92" s="131">
        <v>0</v>
      </c>
      <c r="AN92" s="131">
        <f t="shared" si="25"/>
        <v>0</v>
      </c>
      <c r="AO92" s="131">
        <v>0</v>
      </c>
      <c r="AP92" s="131">
        <f t="shared" si="26"/>
        <v>0</v>
      </c>
      <c r="AQ92" s="131">
        <f t="shared" si="27"/>
        <v>0</v>
      </c>
      <c r="AR92" s="131">
        <v>0</v>
      </c>
    </row>
    <row r="93" spans="28:44">
      <c r="AB93" s="131">
        <f t="shared" si="14"/>
        <v>0</v>
      </c>
      <c r="AC93" s="131">
        <f t="shared" si="15"/>
        <v>0</v>
      </c>
      <c r="AD93" s="131">
        <f t="shared" si="16"/>
        <v>0</v>
      </c>
      <c r="AE93" s="131">
        <f t="shared" si="17"/>
        <v>0</v>
      </c>
      <c r="AF93" s="131">
        <f t="shared" si="18"/>
        <v>0</v>
      </c>
      <c r="AG93" s="131">
        <f t="shared" si="19"/>
        <v>0</v>
      </c>
      <c r="AH93" s="131">
        <f t="shared" si="20"/>
        <v>0</v>
      </c>
      <c r="AI93" s="131">
        <f t="shared" si="21"/>
        <v>0</v>
      </c>
      <c r="AJ93" s="131" t="e">
        <f t="shared" si="22"/>
        <v>#DIV/0!</v>
      </c>
      <c r="AK93" s="131">
        <f t="shared" si="23"/>
        <v>0</v>
      </c>
      <c r="AL93" s="131">
        <f t="shared" si="24"/>
        <v>0</v>
      </c>
      <c r="AM93" s="131">
        <v>0</v>
      </c>
      <c r="AN93" s="131">
        <f t="shared" si="25"/>
        <v>0</v>
      </c>
      <c r="AO93" s="131">
        <v>0</v>
      </c>
      <c r="AP93" s="131">
        <f t="shared" si="26"/>
        <v>0</v>
      </c>
      <c r="AQ93" s="131">
        <f t="shared" si="27"/>
        <v>0</v>
      </c>
      <c r="AR93" s="131">
        <v>0</v>
      </c>
    </row>
    <row r="94" spans="28:44">
      <c r="AB94" s="131">
        <f t="shared" si="14"/>
        <v>0</v>
      </c>
      <c r="AC94" s="131">
        <f t="shared" si="15"/>
        <v>0</v>
      </c>
      <c r="AD94" s="131">
        <f t="shared" si="16"/>
        <v>0</v>
      </c>
      <c r="AE94" s="131">
        <f t="shared" si="17"/>
        <v>0</v>
      </c>
      <c r="AF94" s="131">
        <f t="shared" si="18"/>
        <v>0</v>
      </c>
      <c r="AG94" s="131">
        <f t="shared" si="19"/>
        <v>0</v>
      </c>
      <c r="AH94" s="131">
        <f t="shared" si="20"/>
        <v>0</v>
      </c>
      <c r="AI94" s="131">
        <f t="shared" si="21"/>
        <v>0</v>
      </c>
      <c r="AJ94" s="131" t="e">
        <f t="shared" si="22"/>
        <v>#DIV/0!</v>
      </c>
      <c r="AK94" s="131">
        <f t="shared" si="23"/>
        <v>0</v>
      </c>
      <c r="AL94" s="131">
        <f t="shared" si="24"/>
        <v>0</v>
      </c>
      <c r="AM94" s="131">
        <v>0</v>
      </c>
      <c r="AN94" s="131">
        <f t="shared" si="25"/>
        <v>0</v>
      </c>
      <c r="AO94" s="131">
        <v>0</v>
      </c>
      <c r="AP94" s="131">
        <f t="shared" si="26"/>
        <v>0</v>
      </c>
      <c r="AQ94" s="131">
        <f t="shared" si="27"/>
        <v>0</v>
      </c>
      <c r="AR94" s="131">
        <v>0</v>
      </c>
    </row>
    <row r="95" spans="28:44">
      <c r="AB95" s="131">
        <f t="shared" si="14"/>
        <v>0</v>
      </c>
      <c r="AC95" s="131">
        <f t="shared" si="15"/>
        <v>0</v>
      </c>
      <c r="AD95" s="131">
        <f t="shared" si="16"/>
        <v>0</v>
      </c>
      <c r="AE95" s="131">
        <f t="shared" si="17"/>
        <v>0</v>
      </c>
      <c r="AF95" s="131">
        <f t="shared" si="18"/>
        <v>0</v>
      </c>
      <c r="AG95" s="131">
        <f t="shared" si="19"/>
        <v>0</v>
      </c>
      <c r="AH95" s="131">
        <f t="shared" si="20"/>
        <v>0</v>
      </c>
      <c r="AI95" s="131">
        <f t="shared" si="21"/>
        <v>0</v>
      </c>
      <c r="AJ95" s="131" t="e">
        <f t="shared" si="22"/>
        <v>#DIV/0!</v>
      </c>
      <c r="AK95" s="131">
        <f t="shared" si="23"/>
        <v>0</v>
      </c>
      <c r="AL95" s="131">
        <f t="shared" si="24"/>
        <v>0</v>
      </c>
      <c r="AM95" s="131">
        <v>0</v>
      </c>
      <c r="AN95" s="131">
        <f t="shared" si="25"/>
        <v>0</v>
      </c>
      <c r="AO95" s="131">
        <v>0</v>
      </c>
      <c r="AP95" s="131">
        <f t="shared" si="26"/>
        <v>0</v>
      </c>
      <c r="AQ95" s="131">
        <f t="shared" si="27"/>
        <v>0</v>
      </c>
      <c r="AR95" s="131">
        <v>0</v>
      </c>
    </row>
    <row r="96" spans="28:44">
      <c r="AB96" s="131">
        <f t="shared" si="14"/>
        <v>0</v>
      </c>
      <c r="AC96" s="131">
        <f t="shared" si="15"/>
        <v>0</v>
      </c>
      <c r="AD96" s="131">
        <f t="shared" si="16"/>
        <v>0</v>
      </c>
      <c r="AE96" s="131">
        <f t="shared" si="17"/>
        <v>0</v>
      </c>
      <c r="AF96" s="131">
        <f t="shared" si="18"/>
        <v>0</v>
      </c>
      <c r="AG96" s="131">
        <f t="shared" si="19"/>
        <v>0</v>
      </c>
      <c r="AH96" s="131">
        <f t="shared" si="20"/>
        <v>0</v>
      </c>
      <c r="AI96" s="131">
        <f t="shared" si="21"/>
        <v>0</v>
      </c>
      <c r="AJ96" s="131" t="e">
        <f t="shared" si="22"/>
        <v>#DIV/0!</v>
      </c>
      <c r="AK96" s="131">
        <f t="shared" si="23"/>
        <v>0</v>
      </c>
      <c r="AL96" s="131">
        <f t="shared" si="24"/>
        <v>0</v>
      </c>
      <c r="AM96" s="131">
        <v>0</v>
      </c>
      <c r="AN96" s="131">
        <f t="shared" si="25"/>
        <v>0</v>
      </c>
      <c r="AO96" s="131">
        <v>0</v>
      </c>
      <c r="AP96" s="131">
        <f t="shared" si="26"/>
        <v>0</v>
      </c>
      <c r="AQ96" s="131">
        <f t="shared" si="27"/>
        <v>0</v>
      </c>
      <c r="AR96" s="131">
        <v>0</v>
      </c>
    </row>
    <row r="97" spans="28:44">
      <c r="AB97" s="131">
        <f t="shared" si="14"/>
        <v>0</v>
      </c>
      <c r="AC97" s="131">
        <f t="shared" si="15"/>
        <v>0</v>
      </c>
      <c r="AD97" s="131">
        <f t="shared" si="16"/>
        <v>0</v>
      </c>
      <c r="AE97" s="131">
        <f t="shared" si="17"/>
        <v>0</v>
      </c>
      <c r="AF97" s="131">
        <f t="shared" si="18"/>
        <v>0</v>
      </c>
      <c r="AG97" s="131">
        <f t="shared" si="19"/>
        <v>0</v>
      </c>
      <c r="AH97" s="131">
        <f t="shared" si="20"/>
        <v>0</v>
      </c>
      <c r="AI97" s="131">
        <f t="shared" si="21"/>
        <v>0</v>
      </c>
      <c r="AJ97" s="131" t="e">
        <f t="shared" si="22"/>
        <v>#DIV/0!</v>
      </c>
      <c r="AK97" s="131">
        <f t="shared" si="23"/>
        <v>0</v>
      </c>
      <c r="AL97" s="131">
        <f t="shared" si="24"/>
        <v>0</v>
      </c>
      <c r="AM97" s="131">
        <v>0</v>
      </c>
      <c r="AN97" s="131">
        <f t="shared" si="25"/>
        <v>0</v>
      </c>
      <c r="AO97" s="131">
        <v>0</v>
      </c>
      <c r="AP97" s="131">
        <f t="shared" si="26"/>
        <v>0</v>
      </c>
      <c r="AQ97" s="131">
        <f t="shared" si="27"/>
        <v>0</v>
      </c>
      <c r="AR97" s="131">
        <v>0</v>
      </c>
    </row>
    <row r="98" spans="28:44">
      <c r="AB98" s="131">
        <f t="shared" si="14"/>
        <v>0</v>
      </c>
      <c r="AC98" s="131">
        <f t="shared" si="15"/>
        <v>0</v>
      </c>
      <c r="AD98" s="131">
        <f t="shared" si="16"/>
        <v>0</v>
      </c>
      <c r="AE98" s="131">
        <f t="shared" si="17"/>
        <v>0</v>
      </c>
      <c r="AF98" s="131">
        <f t="shared" si="18"/>
        <v>0</v>
      </c>
      <c r="AG98" s="131">
        <f t="shared" si="19"/>
        <v>0</v>
      </c>
      <c r="AH98" s="131">
        <f t="shared" si="20"/>
        <v>0</v>
      </c>
      <c r="AI98" s="131">
        <f t="shared" si="21"/>
        <v>0</v>
      </c>
      <c r="AJ98" s="131" t="e">
        <f t="shared" si="22"/>
        <v>#DIV/0!</v>
      </c>
      <c r="AK98" s="131">
        <f t="shared" si="23"/>
        <v>0</v>
      </c>
      <c r="AL98" s="131">
        <f t="shared" si="24"/>
        <v>0</v>
      </c>
      <c r="AM98" s="131">
        <v>0</v>
      </c>
      <c r="AN98" s="131">
        <f t="shared" si="25"/>
        <v>0</v>
      </c>
      <c r="AO98" s="131">
        <v>0</v>
      </c>
      <c r="AP98" s="131">
        <f t="shared" si="26"/>
        <v>0</v>
      </c>
      <c r="AQ98" s="131">
        <f t="shared" si="27"/>
        <v>0</v>
      </c>
      <c r="AR98" s="131">
        <v>0</v>
      </c>
    </row>
    <row r="99" spans="28:44">
      <c r="AB99" s="131">
        <f t="shared" si="14"/>
        <v>0</v>
      </c>
      <c r="AC99" s="131">
        <f t="shared" si="15"/>
        <v>0</v>
      </c>
      <c r="AD99" s="131">
        <f t="shared" si="16"/>
        <v>0</v>
      </c>
      <c r="AE99" s="131">
        <f t="shared" si="17"/>
        <v>0</v>
      </c>
      <c r="AF99" s="131">
        <f t="shared" si="18"/>
        <v>0</v>
      </c>
      <c r="AG99" s="131">
        <f t="shared" si="19"/>
        <v>0</v>
      </c>
      <c r="AH99" s="131">
        <f t="shared" si="20"/>
        <v>0</v>
      </c>
      <c r="AI99" s="131">
        <f t="shared" si="21"/>
        <v>0</v>
      </c>
      <c r="AJ99" s="131" t="e">
        <f t="shared" si="22"/>
        <v>#DIV/0!</v>
      </c>
      <c r="AK99" s="131">
        <f t="shared" si="23"/>
        <v>0</v>
      </c>
      <c r="AL99" s="131">
        <f t="shared" si="24"/>
        <v>0</v>
      </c>
      <c r="AM99" s="131">
        <v>0</v>
      </c>
      <c r="AN99" s="131">
        <f t="shared" si="25"/>
        <v>0</v>
      </c>
      <c r="AO99" s="131">
        <v>0</v>
      </c>
      <c r="AP99" s="131">
        <f t="shared" si="26"/>
        <v>0</v>
      </c>
      <c r="AQ99" s="131">
        <f t="shared" si="27"/>
        <v>0</v>
      </c>
      <c r="AR99" s="131">
        <v>0</v>
      </c>
    </row>
    <row r="100" spans="28:44">
      <c r="AB100" s="131">
        <f t="shared" si="14"/>
        <v>0</v>
      </c>
      <c r="AC100" s="131">
        <f t="shared" si="15"/>
        <v>0</v>
      </c>
      <c r="AD100" s="131">
        <f t="shared" si="16"/>
        <v>0</v>
      </c>
      <c r="AE100" s="131">
        <f t="shared" si="17"/>
        <v>0</v>
      </c>
      <c r="AF100" s="131">
        <f t="shared" si="18"/>
        <v>0</v>
      </c>
      <c r="AG100" s="131">
        <f t="shared" si="19"/>
        <v>0</v>
      </c>
      <c r="AH100" s="131">
        <f t="shared" si="20"/>
        <v>0</v>
      </c>
      <c r="AI100" s="131">
        <f t="shared" si="21"/>
        <v>0</v>
      </c>
      <c r="AJ100" s="131" t="e">
        <f t="shared" si="22"/>
        <v>#DIV/0!</v>
      </c>
      <c r="AK100" s="131">
        <f t="shared" si="23"/>
        <v>0</v>
      </c>
      <c r="AL100" s="131">
        <f t="shared" si="24"/>
        <v>0</v>
      </c>
      <c r="AM100" s="131">
        <v>0</v>
      </c>
      <c r="AN100" s="131">
        <f t="shared" si="25"/>
        <v>0</v>
      </c>
      <c r="AO100" s="131">
        <v>0</v>
      </c>
      <c r="AP100" s="131">
        <f t="shared" si="26"/>
        <v>0</v>
      </c>
      <c r="AQ100" s="131">
        <f t="shared" si="27"/>
        <v>0</v>
      </c>
      <c r="AR100" s="131">
        <v>0</v>
      </c>
    </row>
    <row r="101" spans="28:44">
      <c r="AB101" s="131">
        <f t="shared" si="14"/>
        <v>0</v>
      </c>
      <c r="AC101" s="131">
        <f t="shared" si="15"/>
        <v>0</v>
      </c>
      <c r="AD101" s="131">
        <f t="shared" si="16"/>
        <v>0</v>
      </c>
      <c r="AE101" s="131">
        <f t="shared" si="17"/>
        <v>0</v>
      </c>
      <c r="AF101" s="131">
        <f t="shared" si="18"/>
        <v>0</v>
      </c>
      <c r="AG101" s="131">
        <f t="shared" si="19"/>
        <v>0</v>
      </c>
      <c r="AH101" s="131">
        <f t="shared" si="20"/>
        <v>0</v>
      </c>
      <c r="AI101" s="131">
        <f t="shared" si="21"/>
        <v>0</v>
      </c>
      <c r="AJ101" s="131" t="e">
        <f t="shared" si="22"/>
        <v>#DIV/0!</v>
      </c>
      <c r="AK101" s="131">
        <f t="shared" si="23"/>
        <v>0</v>
      </c>
      <c r="AL101" s="131">
        <f t="shared" si="24"/>
        <v>0</v>
      </c>
      <c r="AM101" s="131">
        <v>0</v>
      </c>
      <c r="AN101" s="131">
        <f t="shared" si="25"/>
        <v>0</v>
      </c>
      <c r="AO101" s="131">
        <v>0</v>
      </c>
      <c r="AP101" s="131">
        <f t="shared" si="26"/>
        <v>0</v>
      </c>
      <c r="AQ101" s="131">
        <f t="shared" si="27"/>
        <v>0</v>
      </c>
      <c r="AR101" s="131">
        <v>0</v>
      </c>
    </row>
    <row r="102" spans="28:44">
      <c r="AB102" s="131">
        <f t="shared" si="14"/>
        <v>0</v>
      </c>
      <c r="AC102" s="131">
        <f t="shared" si="15"/>
        <v>0</v>
      </c>
      <c r="AD102" s="131">
        <f t="shared" si="16"/>
        <v>0</v>
      </c>
      <c r="AE102" s="131">
        <f t="shared" si="17"/>
        <v>0</v>
      </c>
      <c r="AF102" s="131">
        <f t="shared" si="18"/>
        <v>0</v>
      </c>
      <c r="AG102" s="131">
        <f t="shared" si="19"/>
        <v>0</v>
      </c>
      <c r="AH102" s="131">
        <f t="shared" si="20"/>
        <v>0</v>
      </c>
      <c r="AI102" s="131">
        <f t="shared" si="21"/>
        <v>0</v>
      </c>
      <c r="AJ102" s="131" t="e">
        <f t="shared" si="22"/>
        <v>#DIV/0!</v>
      </c>
      <c r="AK102" s="131">
        <f t="shared" si="23"/>
        <v>0</v>
      </c>
      <c r="AL102" s="131">
        <f t="shared" si="24"/>
        <v>0</v>
      </c>
      <c r="AM102" s="131">
        <v>0</v>
      </c>
      <c r="AN102" s="131">
        <f t="shared" si="25"/>
        <v>0</v>
      </c>
      <c r="AO102" s="131">
        <v>0</v>
      </c>
      <c r="AP102" s="131">
        <f t="shared" si="26"/>
        <v>0</v>
      </c>
      <c r="AQ102" s="131">
        <f t="shared" si="27"/>
        <v>0</v>
      </c>
      <c r="AR102" s="131">
        <v>0</v>
      </c>
    </row>
    <row r="103" spans="28:44">
      <c r="AB103" s="131">
        <f t="shared" si="14"/>
        <v>0</v>
      </c>
      <c r="AC103" s="131">
        <f t="shared" si="15"/>
        <v>0</v>
      </c>
      <c r="AD103" s="131">
        <f t="shared" si="16"/>
        <v>0</v>
      </c>
      <c r="AE103" s="131">
        <f t="shared" si="17"/>
        <v>0</v>
      </c>
      <c r="AF103" s="131">
        <f t="shared" si="18"/>
        <v>0</v>
      </c>
      <c r="AG103" s="131">
        <f t="shared" si="19"/>
        <v>0</v>
      </c>
      <c r="AH103" s="131">
        <f t="shared" si="20"/>
        <v>0</v>
      </c>
      <c r="AI103" s="131">
        <f t="shared" si="21"/>
        <v>0</v>
      </c>
      <c r="AJ103" s="131" t="e">
        <f t="shared" si="22"/>
        <v>#DIV/0!</v>
      </c>
      <c r="AK103" s="131">
        <f t="shared" si="23"/>
        <v>0</v>
      </c>
      <c r="AL103" s="131">
        <f t="shared" si="24"/>
        <v>0</v>
      </c>
      <c r="AM103" s="131">
        <v>0</v>
      </c>
      <c r="AN103" s="131">
        <f t="shared" si="25"/>
        <v>0</v>
      </c>
      <c r="AO103" s="131">
        <v>0</v>
      </c>
      <c r="AP103" s="131">
        <f t="shared" si="26"/>
        <v>0</v>
      </c>
      <c r="AQ103" s="131">
        <f t="shared" si="27"/>
        <v>0</v>
      </c>
      <c r="AR103" s="131">
        <v>0</v>
      </c>
    </row>
    <row r="104" spans="28:44">
      <c r="AB104" s="131">
        <f t="shared" si="14"/>
        <v>0</v>
      </c>
      <c r="AC104" s="131">
        <f t="shared" si="15"/>
        <v>0</v>
      </c>
      <c r="AD104" s="131">
        <f t="shared" si="16"/>
        <v>0</v>
      </c>
      <c r="AE104" s="131">
        <f t="shared" si="17"/>
        <v>0</v>
      </c>
      <c r="AF104" s="131">
        <f t="shared" si="18"/>
        <v>0</v>
      </c>
      <c r="AG104" s="131">
        <f t="shared" si="19"/>
        <v>0</v>
      </c>
      <c r="AH104" s="131">
        <f t="shared" si="20"/>
        <v>0</v>
      </c>
      <c r="AI104" s="131">
        <f t="shared" si="21"/>
        <v>0</v>
      </c>
      <c r="AJ104" s="131" t="e">
        <f t="shared" si="22"/>
        <v>#DIV/0!</v>
      </c>
      <c r="AK104" s="131">
        <f t="shared" si="23"/>
        <v>0</v>
      </c>
      <c r="AL104" s="131">
        <f t="shared" si="24"/>
        <v>0</v>
      </c>
      <c r="AM104" s="131">
        <v>0</v>
      </c>
      <c r="AN104" s="131">
        <f t="shared" si="25"/>
        <v>0</v>
      </c>
      <c r="AO104" s="131">
        <v>0</v>
      </c>
      <c r="AP104" s="131">
        <f t="shared" si="26"/>
        <v>0</v>
      </c>
      <c r="AQ104" s="131">
        <f t="shared" si="27"/>
        <v>0</v>
      </c>
      <c r="AR104" s="131">
        <v>0</v>
      </c>
    </row>
    <row r="105" spans="28:44">
      <c r="AB105" s="131">
        <f t="shared" si="14"/>
        <v>0</v>
      </c>
      <c r="AC105" s="131">
        <f t="shared" si="15"/>
        <v>0</v>
      </c>
      <c r="AD105" s="131">
        <f t="shared" si="16"/>
        <v>0</v>
      </c>
      <c r="AE105" s="131">
        <f t="shared" si="17"/>
        <v>0</v>
      </c>
      <c r="AF105" s="131">
        <f t="shared" si="18"/>
        <v>0</v>
      </c>
      <c r="AG105" s="131">
        <f t="shared" si="19"/>
        <v>0</v>
      </c>
      <c r="AH105" s="131">
        <f t="shared" si="20"/>
        <v>0</v>
      </c>
      <c r="AI105" s="131">
        <f t="shared" si="21"/>
        <v>0</v>
      </c>
      <c r="AJ105" s="131" t="e">
        <f t="shared" si="22"/>
        <v>#DIV/0!</v>
      </c>
      <c r="AK105" s="131">
        <f t="shared" si="23"/>
        <v>0</v>
      </c>
      <c r="AL105" s="131">
        <f t="shared" si="24"/>
        <v>0</v>
      </c>
      <c r="AM105" s="131">
        <v>0</v>
      </c>
      <c r="AN105" s="131">
        <f t="shared" si="25"/>
        <v>0</v>
      </c>
      <c r="AO105" s="131">
        <v>0</v>
      </c>
      <c r="AP105" s="131">
        <f t="shared" si="26"/>
        <v>0</v>
      </c>
      <c r="AQ105" s="131">
        <f t="shared" si="27"/>
        <v>0</v>
      </c>
      <c r="AR105" s="131">
        <v>0</v>
      </c>
    </row>
    <row r="106" spans="28:44">
      <c r="AB106" s="131">
        <f t="shared" si="14"/>
        <v>0</v>
      </c>
      <c r="AC106" s="131">
        <f t="shared" si="15"/>
        <v>0</v>
      </c>
      <c r="AD106" s="131">
        <f t="shared" si="16"/>
        <v>0</v>
      </c>
      <c r="AE106" s="131">
        <f t="shared" si="17"/>
        <v>0</v>
      </c>
      <c r="AF106" s="131">
        <f t="shared" si="18"/>
        <v>0</v>
      </c>
      <c r="AG106" s="131">
        <f t="shared" si="19"/>
        <v>0</v>
      </c>
      <c r="AH106" s="131">
        <f t="shared" si="20"/>
        <v>0</v>
      </c>
      <c r="AI106" s="131">
        <f t="shared" si="21"/>
        <v>0</v>
      </c>
      <c r="AJ106" s="131" t="e">
        <f t="shared" si="22"/>
        <v>#DIV/0!</v>
      </c>
      <c r="AK106" s="131">
        <f t="shared" si="23"/>
        <v>0</v>
      </c>
      <c r="AL106" s="131">
        <f t="shared" si="24"/>
        <v>0</v>
      </c>
      <c r="AM106" s="131">
        <v>0</v>
      </c>
      <c r="AN106" s="131">
        <f t="shared" si="25"/>
        <v>0</v>
      </c>
      <c r="AO106" s="131">
        <v>0</v>
      </c>
      <c r="AP106" s="131">
        <f t="shared" si="26"/>
        <v>0</v>
      </c>
      <c r="AQ106" s="131">
        <f t="shared" si="27"/>
        <v>0</v>
      </c>
      <c r="AR106" s="131">
        <v>0</v>
      </c>
    </row>
    <row r="107" spans="28:44">
      <c r="AB107" s="131">
        <f t="shared" si="14"/>
        <v>0</v>
      </c>
      <c r="AC107" s="131">
        <f t="shared" si="15"/>
        <v>0</v>
      </c>
      <c r="AD107" s="131">
        <f t="shared" si="16"/>
        <v>0</v>
      </c>
      <c r="AE107" s="131">
        <f t="shared" si="17"/>
        <v>0</v>
      </c>
      <c r="AF107" s="131">
        <f t="shared" si="18"/>
        <v>0</v>
      </c>
      <c r="AG107" s="131">
        <f t="shared" si="19"/>
        <v>0</v>
      </c>
      <c r="AH107" s="131">
        <f t="shared" si="20"/>
        <v>0</v>
      </c>
      <c r="AI107" s="131">
        <f t="shared" si="21"/>
        <v>0</v>
      </c>
      <c r="AJ107" s="131" t="e">
        <f t="shared" si="22"/>
        <v>#DIV/0!</v>
      </c>
      <c r="AK107" s="131">
        <f t="shared" si="23"/>
        <v>0</v>
      </c>
      <c r="AL107" s="131">
        <f t="shared" si="24"/>
        <v>0</v>
      </c>
      <c r="AM107" s="131">
        <v>0</v>
      </c>
      <c r="AN107" s="131">
        <f t="shared" si="25"/>
        <v>0</v>
      </c>
      <c r="AO107" s="131">
        <v>0</v>
      </c>
      <c r="AP107" s="131">
        <f t="shared" si="26"/>
        <v>0</v>
      </c>
      <c r="AQ107" s="131">
        <f t="shared" si="27"/>
        <v>0</v>
      </c>
      <c r="AR107" s="131">
        <v>0</v>
      </c>
    </row>
    <row r="108" spans="28:44">
      <c r="AB108" s="131">
        <f t="shared" si="14"/>
        <v>0</v>
      </c>
      <c r="AC108" s="131">
        <f t="shared" si="15"/>
        <v>0</v>
      </c>
      <c r="AD108" s="131">
        <f t="shared" si="16"/>
        <v>0</v>
      </c>
      <c r="AE108" s="131">
        <f t="shared" si="17"/>
        <v>0</v>
      </c>
      <c r="AF108" s="131">
        <f t="shared" si="18"/>
        <v>0</v>
      </c>
      <c r="AG108" s="131">
        <f t="shared" si="19"/>
        <v>0</v>
      </c>
      <c r="AH108" s="131">
        <f t="shared" si="20"/>
        <v>0</v>
      </c>
      <c r="AI108" s="131">
        <f t="shared" si="21"/>
        <v>0</v>
      </c>
      <c r="AJ108" s="131" t="e">
        <f t="shared" si="22"/>
        <v>#DIV/0!</v>
      </c>
      <c r="AK108" s="131">
        <f t="shared" si="23"/>
        <v>0</v>
      </c>
      <c r="AL108" s="131">
        <f t="shared" si="24"/>
        <v>0</v>
      </c>
      <c r="AM108" s="131">
        <v>0</v>
      </c>
      <c r="AN108" s="131">
        <f t="shared" si="25"/>
        <v>0</v>
      </c>
      <c r="AO108" s="131">
        <v>0</v>
      </c>
      <c r="AP108" s="131">
        <f t="shared" si="26"/>
        <v>0</v>
      </c>
      <c r="AQ108" s="131">
        <f t="shared" si="27"/>
        <v>0</v>
      </c>
      <c r="AR108" s="131">
        <v>0</v>
      </c>
    </row>
    <row r="109" spans="28:44">
      <c r="AB109" s="131">
        <f t="shared" si="14"/>
        <v>0</v>
      </c>
      <c r="AC109" s="131">
        <f t="shared" si="15"/>
        <v>0</v>
      </c>
      <c r="AD109" s="131">
        <f t="shared" si="16"/>
        <v>0</v>
      </c>
      <c r="AE109" s="131">
        <f t="shared" si="17"/>
        <v>0</v>
      </c>
      <c r="AF109" s="131">
        <f t="shared" si="18"/>
        <v>0</v>
      </c>
      <c r="AG109" s="131">
        <f t="shared" si="19"/>
        <v>0</v>
      </c>
      <c r="AH109" s="131">
        <f t="shared" si="20"/>
        <v>0</v>
      </c>
      <c r="AI109" s="131">
        <f t="shared" si="21"/>
        <v>0</v>
      </c>
      <c r="AJ109" s="131" t="e">
        <f t="shared" si="22"/>
        <v>#DIV/0!</v>
      </c>
      <c r="AK109" s="131">
        <f t="shared" si="23"/>
        <v>0</v>
      </c>
      <c r="AL109" s="131">
        <f t="shared" si="24"/>
        <v>0</v>
      </c>
      <c r="AM109" s="131">
        <v>0</v>
      </c>
      <c r="AN109" s="131">
        <f t="shared" si="25"/>
        <v>0</v>
      </c>
      <c r="AO109" s="131">
        <v>0</v>
      </c>
      <c r="AP109" s="131">
        <f t="shared" si="26"/>
        <v>0</v>
      </c>
      <c r="AQ109" s="131">
        <f t="shared" si="27"/>
        <v>0</v>
      </c>
      <c r="AR109" s="131">
        <v>0</v>
      </c>
    </row>
    <row r="110" spans="28:44">
      <c r="AB110" s="131">
        <f t="shared" si="14"/>
        <v>0</v>
      </c>
      <c r="AC110" s="131">
        <f t="shared" si="15"/>
        <v>0</v>
      </c>
      <c r="AD110" s="131">
        <f t="shared" si="16"/>
        <v>0</v>
      </c>
      <c r="AE110" s="131">
        <f t="shared" si="17"/>
        <v>0</v>
      </c>
      <c r="AF110" s="131">
        <f t="shared" si="18"/>
        <v>0</v>
      </c>
      <c r="AG110" s="131">
        <f t="shared" si="19"/>
        <v>0</v>
      </c>
      <c r="AH110" s="131">
        <f t="shared" si="20"/>
        <v>0</v>
      </c>
      <c r="AI110" s="131">
        <f t="shared" si="21"/>
        <v>0</v>
      </c>
      <c r="AJ110" s="131" t="e">
        <f t="shared" si="22"/>
        <v>#DIV/0!</v>
      </c>
      <c r="AK110" s="131">
        <f t="shared" si="23"/>
        <v>0</v>
      </c>
      <c r="AL110" s="131">
        <f t="shared" si="24"/>
        <v>0</v>
      </c>
      <c r="AM110" s="131">
        <v>0</v>
      </c>
      <c r="AN110" s="131">
        <f t="shared" si="25"/>
        <v>0</v>
      </c>
      <c r="AO110" s="131">
        <v>0</v>
      </c>
      <c r="AP110" s="131">
        <f t="shared" si="26"/>
        <v>0</v>
      </c>
      <c r="AQ110" s="131">
        <f t="shared" si="27"/>
        <v>0</v>
      </c>
      <c r="AR110" s="131">
        <v>0</v>
      </c>
    </row>
    <row r="111" spans="28:44">
      <c r="AB111" s="131">
        <f t="shared" si="14"/>
        <v>0</v>
      </c>
      <c r="AC111" s="131">
        <f t="shared" si="15"/>
        <v>0</v>
      </c>
      <c r="AD111" s="131">
        <f t="shared" si="16"/>
        <v>0</v>
      </c>
      <c r="AE111" s="131">
        <f t="shared" si="17"/>
        <v>0</v>
      </c>
      <c r="AF111" s="131">
        <f t="shared" si="18"/>
        <v>0</v>
      </c>
      <c r="AG111" s="131">
        <f t="shared" si="19"/>
        <v>0</v>
      </c>
      <c r="AH111" s="131">
        <f t="shared" si="20"/>
        <v>0</v>
      </c>
      <c r="AI111" s="131">
        <f t="shared" si="21"/>
        <v>0</v>
      </c>
      <c r="AJ111" s="131" t="e">
        <f t="shared" si="22"/>
        <v>#DIV/0!</v>
      </c>
      <c r="AK111" s="131">
        <f t="shared" si="23"/>
        <v>0</v>
      </c>
      <c r="AL111" s="131">
        <f t="shared" si="24"/>
        <v>0</v>
      </c>
      <c r="AM111" s="131">
        <v>0</v>
      </c>
      <c r="AN111" s="131">
        <f t="shared" si="25"/>
        <v>0</v>
      </c>
      <c r="AO111" s="131">
        <v>0</v>
      </c>
      <c r="AP111" s="131">
        <f t="shared" si="26"/>
        <v>0</v>
      </c>
      <c r="AQ111" s="131">
        <f t="shared" si="27"/>
        <v>0</v>
      </c>
      <c r="AR111" s="131">
        <v>0</v>
      </c>
    </row>
    <row r="112" spans="28:44">
      <c r="AB112" s="131">
        <f t="shared" si="14"/>
        <v>0</v>
      </c>
      <c r="AC112" s="131">
        <f t="shared" si="15"/>
        <v>0</v>
      </c>
      <c r="AD112" s="131">
        <f t="shared" si="16"/>
        <v>0</v>
      </c>
      <c r="AE112" s="131">
        <f t="shared" si="17"/>
        <v>0</v>
      </c>
      <c r="AF112" s="131">
        <f t="shared" si="18"/>
        <v>0</v>
      </c>
      <c r="AG112" s="131">
        <f t="shared" si="19"/>
        <v>0</v>
      </c>
      <c r="AH112" s="131">
        <f t="shared" si="20"/>
        <v>0</v>
      </c>
      <c r="AI112" s="131">
        <f t="shared" si="21"/>
        <v>0</v>
      </c>
      <c r="AJ112" s="131" t="e">
        <f t="shared" si="22"/>
        <v>#DIV/0!</v>
      </c>
      <c r="AK112" s="131">
        <f t="shared" si="23"/>
        <v>0</v>
      </c>
      <c r="AL112" s="131">
        <f t="shared" si="24"/>
        <v>0</v>
      </c>
      <c r="AM112" s="131">
        <v>0</v>
      </c>
      <c r="AN112" s="131">
        <f t="shared" si="25"/>
        <v>0</v>
      </c>
      <c r="AO112" s="131">
        <v>0</v>
      </c>
      <c r="AP112" s="131">
        <f t="shared" si="26"/>
        <v>0</v>
      </c>
      <c r="AQ112" s="131">
        <f t="shared" si="27"/>
        <v>0</v>
      </c>
      <c r="AR112" s="131">
        <v>0</v>
      </c>
    </row>
    <row r="113" spans="28:44">
      <c r="AB113" s="131">
        <f t="shared" si="14"/>
        <v>0</v>
      </c>
      <c r="AC113" s="131">
        <f t="shared" si="15"/>
        <v>0</v>
      </c>
      <c r="AD113" s="131">
        <f t="shared" si="16"/>
        <v>0</v>
      </c>
      <c r="AE113" s="131">
        <f t="shared" si="17"/>
        <v>0</v>
      </c>
      <c r="AF113" s="131">
        <f t="shared" si="18"/>
        <v>0</v>
      </c>
      <c r="AG113" s="131">
        <f t="shared" si="19"/>
        <v>0</v>
      </c>
      <c r="AH113" s="131">
        <f t="shared" si="20"/>
        <v>0</v>
      </c>
      <c r="AI113" s="131">
        <f t="shared" si="21"/>
        <v>0</v>
      </c>
      <c r="AJ113" s="131" t="e">
        <f t="shared" si="22"/>
        <v>#DIV/0!</v>
      </c>
      <c r="AK113" s="131">
        <f t="shared" si="23"/>
        <v>0</v>
      </c>
      <c r="AL113" s="131">
        <f t="shared" si="24"/>
        <v>0</v>
      </c>
      <c r="AM113" s="131">
        <v>0</v>
      </c>
      <c r="AN113" s="131">
        <f t="shared" si="25"/>
        <v>0</v>
      </c>
      <c r="AO113" s="131">
        <v>0</v>
      </c>
      <c r="AP113" s="131">
        <f t="shared" si="26"/>
        <v>0</v>
      </c>
      <c r="AQ113" s="131">
        <f t="shared" si="27"/>
        <v>0</v>
      </c>
      <c r="AR113" s="131">
        <v>0</v>
      </c>
    </row>
    <row r="114" spans="28:44">
      <c r="AB114" s="131">
        <f t="shared" si="14"/>
        <v>0</v>
      </c>
      <c r="AC114" s="131">
        <f t="shared" si="15"/>
        <v>0</v>
      </c>
      <c r="AD114" s="131">
        <f t="shared" si="16"/>
        <v>0</v>
      </c>
      <c r="AE114" s="131">
        <f t="shared" si="17"/>
        <v>0</v>
      </c>
      <c r="AF114" s="131">
        <f t="shared" si="18"/>
        <v>0</v>
      </c>
      <c r="AG114" s="131">
        <f t="shared" si="19"/>
        <v>0</v>
      </c>
      <c r="AH114" s="131">
        <f t="shared" si="20"/>
        <v>0</v>
      </c>
      <c r="AI114" s="131">
        <f t="shared" si="21"/>
        <v>0</v>
      </c>
      <c r="AJ114" s="131" t="e">
        <f t="shared" si="22"/>
        <v>#DIV/0!</v>
      </c>
      <c r="AK114" s="131">
        <f t="shared" si="23"/>
        <v>0</v>
      </c>
      <c r="AL114" s="131">
        <f t="shared" si="24"/>
        <v>0</v>
      </c>
      <c r="AM114" s="131">
        <v>0</v>
      </c>
      <c r="AN114" s="131">
        <f t="shared" si="25"/>
        <v>0</v>
      </c>
      <c r="AO114" s="131">
        <v>0</v>
      </c>
      <c r="AP114" s="131">
        <f t="shared" si="26"/>
        <v>0</v>
      </c>
      <c r="AQ114" s="131">
        <f t="shared" si="27"/>
        <v>0</v>
      </c>
      <c r="AR114" s="131">
        <v>0</v>
      </c>
    </row>
    <row r="115" spans="28:44">
      <c r="AB115" s="131">
        <f t="shared" si="14"/>
        <v>0</v>
      </c>
      <c r="AC115" s="131">
        <f t="shared" si="15"/>
        <v>0</v>
      </c>
      <c r="AD115" s="131">
        <f t="shared" si="16"/>
        <v>0</v>
      </c>
      <c r="AE115" s="131">
        <f t="shared" si="17"/>
        <v>0</v>
      </c>
      <c r="AF115" s="131">
        <f t="shared" si="18"/>
        <v>0</v>
      </c>
      <c r="AG115" s="131">
        <f t="shared" si="19"/>
        <v>0</v>
      </c>
      <c r="AH115" s="131">
        <f t="shared" si="20"/>
        <v>0</v>
      </c>
      <c r="AI115" s="131">
        <f t="shared" si="21"/>
        <v>0</v>
      </c>
      <c r="AJ115" s="131" t="e">
        <f t="shared" si="22"/>
        <v>#DIV/0!</v>
      </c>
      <c r="AK115" s="131">
        <f t="shared" si="23"/>
        <v>0</v>
      </c>
      <c r="AL115" s="131">
        <f t="shared" si="24"/>
        <v>0</v>
      </c>
      <c r="AM115" s="131">
        <v>0</v>
      </c>
      <c r="AN115" s="131">
        <f t="shared" si="25"/>
        <v>0</v>
      </c>
      <c r="AO115" s="131">
        <v>0</v>
      </c>
      <c r="AP115" s="131">
        <f t="shared" si="26"/>
        <v>0</v>
      </c>
      <c r="AQ115" s="131">
        <f t="shared" si="27"/>
        <v>0</v>
      </c>
      <c r="AR115" s="131">
        <v>0</v>
      </c>
    </row>
    <row r="116" spans="28:44">
      <c r="AB116" s="131">
        <f t="shared" si="14"/>
        <v>0</v>
      </c>
      <c r="AC116" s="131">
        <f t="shared" si="15"/>
        <v>0</v>
      </c>
      <c r="AD116" s="131">
        <f t="shared" si="16"/>
        <v>0</v>
      </c>
      <c r="AE116" s="131">
        <f t="shared" si="17"/>
        <v>0</v>
      </c>
      <c r="AF116" s="131">
        <f t="shared" si="18"/>
        <v>0</v>
      </c>
      <c r="AG116" s="131">
        <f t="shared" si="19"/>
        <v>0</v>
      </c>
      <c r="AH116" s="131">
        <f t="shared" si="20"/>
        <v>0</v>
      </c>
      <c r="AI116" s="131">
        <f t="shared" si="21"/>
        <v>0</v>
      </c>
      <c r="AJ116" s="131" t="e">
        <f t="shared" si="22"/>
        <v>#DIV/0!</v>
      </c>
      <c r="AK116" s="131">
        <f t="shared" si="23"/>
        <v>0</v>
      </c>
      <c r="AL116" s="131">
        <f t="shared" si="24"/>
        <v>0</v>
      </c>
      <c r="AM116" s="131">
        <v>0</v>
      </c>
      <c r="AN116" s="131">
        <f t="shared" si="25"/>
        <v>0</v>
      </c>
      <c r="AO116" s="131">
        <v>0</v>
      </c>
      <c r="AP116" s="131">
        <f t="shared" si="26"/>
        <v>0</v>
      </c>
      <c r="AQ116" s="131">
        <f t="shared" si="27"/>
        <v>0</v>
      </c>
      <c r="AR116" s="131">
        <v>0</v>
      </c>
    </row>
    <row r="117" spans="28:44">
      <c r="AB117" s="131">
        <f t="shared" si="14"/>
        <v>0</v>
      </c>
      <c r="AC117" s="131">
        <f t="shared" si="15"/>
        <v>0</v>
      </c>
      <c r="AD117" s="131">
        <f t="shared" si="16"/>
        <v>0</v>
      </c>
      <c r="AE117" s="131">
        <f t="shared" si="17"/>
        <v>0</v>
      </c>
      <c r="AF117" s="131">
        <f t="shared" si="18"/>
        <v>0</v>
      </c>
      <c r="AG117" s="131">
        <f t="shared" si="19"/>
        <v>0</v>
      </c>
      <c r="AH117" s="131">
        <f t="shared" si="20"/>
        <v>0</v>
      </c>
      <c r="AI117" s="131">
        <f t="shared" si="21"/>
        <v>0</v>
      </c>
      <c r="AJ117" s="131" t="e">
        <f t="shared" si="22"/>
        <v>#DIV/0!</v>
      </c>
      <c r="AK117" s="131">
        <f t="shared" si="23"/>
        <v>0</v>
      </c>
      <c r="AL117" s="131">
        <f t="shared" si="24"/>
        <v>0</v>
      </c>
      <c r="AM117" s="131">
        <v>0</v>
      </c>
      <c r="AN117" s="131">
        <f t="shared" si="25"/>
        <v>0</v>
      </c>
      <c r="AO117" s="131">
        <v>0</v>
      </c>
      <c r="AP117" s="131">
        <f t="shared" si="26"/>
        <v>0</v>
      </c>
      <c r="AQ117" s="131">
        <f t="shared" si="27"/>
        <v>0</v>
      </c>
      <c r="AR117" s="131">
        <v>0</v>
      </c>
    </row>
    <row r="118" spans="28:44">
      <c r="AB118" s="131">
        <f t="shared" si="14"/>
        <v>0</v>
      </c>
      <c r="AC118" s="131">
        <f t="shared" si="15"/>
        <v>0</v>
      </c>
      <c r="AD118" s="131">
        <f t="shared" si="16"/>
        <v>0</v>
      </c>
      <c r="AE118" s="131">
        <f t="shared" si="17"/>
        <v>0</v>
      </c>
      <c r="AF118" s="131">
        <f t="shared" si="18"/>
        <v>0</v>
      </c>
      <c r="AG118" s="131">
        <f t="shared" si="19"/>
        <v>0</v>
      </c>
      <c r="AH118" s="131">
        <f t="shared" si="20"/>
        <v>0</v>
      </c>
      <c r="AI118" s="131">
        <f t="shared" si="21"/>
        <v>0</v>
      </c>
      <c r="AJ118" s="131" t="e">
        <f t="shared" si="22"/>
        <v>#DIV/0!</v>
      </c>
      <c r="AK118" s="131">
        <f t="shared" si="23"/>
        <v>0</v>
      </c>
      <c r="AL118" s="131">
        <f t="shared" si="24"/>
        <v>0</v>
      </c>
      <c r="AM118" s="131">
        <v>0</v>
      </c>
      <c r="AN118" s="131">
        <f t="shared" si="25"/>
        <v>0</v>
      </c>
      <c r="AO118" s="131">
        <v>0</v>
      </c>
      <c r="AP118" s="131">
        <f t="shared" si="26"/>
        <v>0</v>
      </c>
      <c r="AQ118" s="131">
        <f t="shared" si="27"/>
        <v>0</v>
      </c>
      <c r="AR118" s="131">
        <v>0</v>
      </c>
    </row>
    <row r="119" spans="28:44">
      <c r="AB119" s="131">
        <f t="shared" si="14"/>
        <v>0</v>
      </c>
      <c r="AC119" s="131">
        <f t="shared" si="15"/>
        <v>0</v>
      </c>
      <c r="AD119" s="131">
        <f t="shared" si="16"/>
        <v>0</v>
      </c>
      <c r="AE119" s="131">
        <f t="shared" si="17"/>
        <v>0</v>
      </c>
      <c r="AF119" s="131">
        <f t="shared" si="18"/>
        <v>0</v>
      </c>
      <c r="AG119" s="131">
        <f t="shared" si="19"/>
        <v>0</v>
      </c>
      <c r="AH119" s="131">
        <f t="shared" si="20"/>
        <v>0</v>
      </c>
      <c r="AI119" s="131">
        <f t="shared" si="21"/>
        <v>0</v>
      </c>
      <c r="AJ119" s="131" t="e">
        <f t="shared" si="22"/>
        <v>#DIV/0!</v>
      </c>
      <c r="AK119" s="131">
        <f t="shared" si="23"/>
        <v>0</v>
      </c>
      <c r="AL119" s="131">
        <f t="shared" si="24"/>
        <v>0</v>
      </c>
      <c r="AM119" s="131">
        <v>0</v>
      </c>
      <c r="AN119" s="131">
        <f t="shared" si="25"/>
        <v>0</v>
      </c>
      <c r="AO119" s="131">
        <v>0</v>
      </c>
      <c r="AP119" s="131">
        <f t="shared" si="26"/>
        <v>0</v>
      </c>
      <c r="AQ119" s="131">
        <f t="shared" si="27"/>
        <v>0</v>
      </c>
      <c r="AR119" s="131">
        <v>0</v>
      </c>
    </row>
    <row r="120" spans="28:44">
      <c r="AB120" s="131">
        <f t="shared" si="14"/>
        <v>0</v>
      </c>
      <c r="AC120" s="131">
        <f t="shared" si="15"/>
        <v>0</v>
      </c>
      <c r="AD120" s="131">
        <f t="shared" si="16"/>
        <v>0</v>
      </c>
      <c r="AE120" s="131">
        <f t="shared" si="17"/>
        <v>0</v>
      </c>
      <c r="AF120" s="131">
        <f t="shared" si="18"/>
        <v>0</v>
      </c>
      <c r="AG120" s="131">
        <f t="shared" si="19"/>
        <v>0</v>
      </c>
      <c r="AH120" s="131">
        <f t="shared" si="20"/>
        <v>0</v>
      </c>
      <c r="AI120" s="131">
        <f t="shared" si="21"/>
        <v>0</v>
      </c>
      <c r="AJ120" s="131" t="e">
        <f t="shared" si="22"/>
        <v>#DIV/0!</v>
      </c>
      <c r="AK120" s="131">
        <f t="shared" si="23"/>
        <v>0</v>
      </c>
      <c r="AL120" s="131">
        <f t="shared" si="24"/>
        <v>0</v>
      </c>
      <c r="AM120" s="131">
        <v>0</v>
      </c>
      <c r="AN120" s="131">
        <f t="shared" si="25"/>
        <v>0</v>
      </c>
      <c r="AO120" s="131">
        <v>0</v>
      </c>
      <c r="AP120" s="131">
        <f t="shared" si="26"/>
        <v>0</v>
      </c>
      <c r="AQ120" s="131">
        <f t="shared" si="27"/>
        <v>0</v>
      </c>
      <c r="AR120" s="131">
        <v>0</v>
      </c>
    </row>
    <row r="121" spans="28:44">
      <c r="AB121" s="131">
        <f t="shared" si="14"/>
        <v>0</v>
      </c>
      <c r="AC121" s="131">
        <f t="shared" si="15"/>
        <v>0</v>
      </c>
      <c r="AD121" s="131">
        <f t="shared" si="16"/>
        <v>0</v>
      </c>
      <c r="AE121" s="131">
        <f t="shared" si="17"/>
        <v>0</v>
      </c>
      <c r="AF121" s="131">
        <f t="shared" si="18"/>
        <v>0</v>
      </c>
      <c r="AG121" s="131">
        <f t="shared" si="19"/>
        <v>0</v>
      </c>
      <c r="AH121" s="131">
        <f t="shared" si="20"/>
        <v>0</v>
      </c>
      <c r="AI121" s="131">
        <f t="shared" si="21"/>
        <v>0</v>
      </c>
      <c r="AJ121" s="131" t="e">
        <f t="shared" si="22"/>
        <v>#DIV/0!</v>
      </c>
      <c r="AK121" s="131">
        <f t="shared" si="23"/>
        <v>0</v>
      </c>
      <c r="AL121" s="131">
        <f t="shared" si="24"/>
        <v>0</v>
      </c>
      <c r="AM121" s="131">
        <v>0</v>
      </c>
      <c r="AN121" s="131">
        <f t="shared" si="25"/>
        <v>0</v>
      </c>
      <c r="AO121" s="131">
        <v>0</v>
      </c>
      <c r="AP121" s="131">
        <f t="shared" si="26"/>
        <v>0</v>
      </c>
      <c r="AQ121" s="131">
        <f t="shared" si="27"/>
        <v>0</v>
      </c>
      <c r="AR121" s="131">
        <v>0</v>
      </c>
    </row>
    <row r="122" spans="28:44">
      <c r="AB122" s="131">
        <f t="shared" si="14"/>
        <v>0</v>
      </c>
      <c r="AC122" s="131">
        <f t="shared" si="15"/>
        <v>0</v>
      </c>
      <c r="AD122" s="131">
        <f t="shared" si="16"/>
        <v>0</v>
      </c>
      <c r="AE122" s="131">
        <f t="shared" si="17"/>
        <v>0</v>
      </c>
      <c r="AF122" s="131">
        <f t="shared" si="18"/>
        <v>0</v>
      </c>
      <c r="AG122" s="131">
        <f t="shared" si="19"/>
        <v>0</v>
      </c>
      <c r="AH122" s="131">
        <f t="shared" si="20"/>
        <v>0</v>
      </c>
      <c r="AI122" s="131">
        <f t="shared" si="21"/>
        <v>0</v>
      </c>
      <c r="AJ122" s="131" t="e">
        <f t="shared" si="22"/>
        <v>#DIV/0!</v>
      </c>
      <c r="AK122" s="131">
        <f t="shared" si="23"/>
        <v>0</v>
      </c>
      <c r="AL122" s="131">
        <f t="shared" si="24"/>
        <v>0</v>
      </c>
      <c r="AM122" s="131">
        <v>0</v>
      </c>
      <c r="AN122" s="131">
        <f t="shared" si="25"/>
        <v>0</v>
      </c>
      <c r="AO122" s="131">
        <v>0</v>
      </c>
      <c r="AP122" s="131">
        <f t="shared" si="26"/>
        <v>0</v>
      </c>
      <c r="AQ122" s="131">
        <f t="shared" si="27"/>
        <v>0</v>
      </c>
      <c r="AR122" s="131">
        <v>0</v>
      </c>
    </row>
    <row r="123" spans="28:44">
      <c r="AB123" s="131">
        <f t="shared" si="14"/>
        <v>0</v>
      </c>
      <c r="AC123" s="131">
        <f t="shared" si="15"/>
        <v>0</v>
      </c>
      <c r="AD123" s="131">
        <f t="shared" si="16"/>
        <v>0</v>
      </c>
      <c r="AE123" s="131">
        <f t="shared" si="17"/>
        <v>0</v>
      </c>
      <c r="AF123" s="131">
        <f t="shared" si="18"/>
        <v>0</v>
      </c>
      <c r="AG123" s="131">
        <f t="shared" si="19"/>
        <v>0</v>
      </c>
      <c r="AH123" s="131">
        <f t="shared" si="20"/>
        <v>0</v>
      </c>
      <c r="AI123" s="131">
        <f t="shared" si="21"/>
        <v>0</v>
      </c>
      <c r="AJ123" s="131" t="e">
        <f t="shared" si="22"/>
        <v>#DIV/0!</v>
      </c>
      <c r="AK123" s="131">
        <f t="shared" si="23"/>
        <v>0</v>
      </c>
      <c r="AL123" s="131">
        <f t="shared" si="24"/>
        <v>0</v>
      </c>
      <c r="AM123" s="131">
        <v>0</v>
      </c>
      <c r="AN123" s="131">
        <f t="shared" si="25"/>
        <v>0</v>
      </c>
      <c r="AO123" s="131">
        <v>0</v>
      </c>
      <c r="AP123" s="131">
        <f t="shared" si="26"/>
        <v>0</v>
      </c>
      <c r="AQ123" s="131">
        <f t="shared" si="27"/>
        <v>0</v>
      </c>
      <c r="AR123" s="131">
        <v>0</v>
      </c>
    </row>
    <row r="124" spans="28:44">
      <c r="AB124" s="131">
        <f t="shared" si="14"/>
        <v>0</v>
      </c>
      <c r="AC124" s="131">
        <f t="shared" si="15"/>
        <v>0</v>
      </c>
      <c r="AD124" s="131">
        <f t="shared" si="16"/>
        <v>0</v>
      </c>
      <c r="AE124" s="131">
        <f t="shared" si="17"/>
        <v>0</v>
      </c>
      <c r="AF124" s="131">
        <f t="shared" si="18"/>
        <v>0</v>
      </c>
      <c r="AG124" s="131">
        <f t="shared" si="19"/>
        <v>0</v>
      </c>
      <c r="AH124" s="131">
        <f t="shared" si="20"/>
        <v>0</v>
      </c>
      <c r="AI124" s="131">
        <f t="shared" si="21"/>
        <v>0</v>
      </c>
      <c r="AJ124" s="131" t="e">
        <f t="shared" si="22"/>
        <v>#DIV/0!</v>
      </c>
      <c r="AK124" s="131">
        <f t="shared" si="23"/>
        <v>0</v>
      </c>
      <c r="AL124" s="131">
        <f t="shared" si="24"/>
        <v>0</v>
      </c>
      <c r="AM124" s="131">
        <v>0</v>
      </c>
      <c r="AN124" s="131">
        <f t="shared" si="25"/>
        <v>0</v>
      </c>
      <c r="AO124" s="131">
        <v>0</v>
      </c>
      <c r="AP124" s="131">
        <f t="shared" si="26"/>
        <v>0</v>
      </c>
      <c r="AQ124" s="131">
        <f t="shared" si="27"/>
        <v>0</v>
      </c>
      <c r="AR124" s="131">
        <v>0</v>
      </c>
    </row>
    <row r="125" spans="28:44">
      <c r="AB125" s="131">
        <f t="shared" si="14"/>
        <v>0</v>
      </c>
      <c r="AC125" s="131">
        <f t="shared" si="15"/>
        <v>0</v>
      </c>
      <c r="AD125" s="131">
        <f t="shared" si="16"/>
        <v>0</v>
      </c>
      <c r="AE125" s="131">
        <f t="shared" si="17"/>
        <v>0</v>
      </c>
      <c r="AF125" s="131">
        <f t="shared" si="18"/>
        <v>0</v>
      </c>
      <c r="AG125" s="131">
        <f t="shared" si="19"/>
        <v>0</v>
      </c>
      <c r="AH125" s="131">
        <f t="shared" si="20"/>
        <v>0</v>
      </c>
      <c r="AI125" s="131">
        <f t="shared" si="21"/>
        <v>0</v>
      </c>
      <c r="AJ125" s="131" t="e">
        <f t="shared" si="22"/>
        <v>#DIV/0!</v>
      </c>
      <c r="AK125" s="131">
        <f t="shared" si="23"/>
        <v>0</v>
      </c>
      <c r="AL125" s="131">
        <f t="shared" si="24"/>
        <v>0</v>
      </c>
      <c r="AM125" s="131">
        <v>0</v>
      </c>
      <c r="AN125" s="131">
        <f t="shared" si="25"/>
        <v>0</v>
      </c>
      <c r="AO125" s="131">
        <v>0</v>
      </c>
      <c r="AP125" s="131">
        <f t="shared" si="26"/>
        <v>0</v>
      </c>
      <c r="AQ125" s="131">
        <f t="shared" si="27"/>
        <v>0</v>
      </c>
      <c r="AR125" s="131">
        <v>0</v>
      </c>
    </row>
    <row r="126" spans="28:44">
      <c r="AB126" s="131">
        <f t="shared" si="14"/>
        <v>0</v>
      </c>
      <c r="AC126" s="131">
        <f t="shared" si="15"/>
        <v>0</v>
      </c>
      <c r="AD126" s="131">
        <f t="shared" si="16"/>
        <v>0</v>
      </c>
      <c r="AE126" s="131">
        <f t="shared" si="17"/>
        <v>0</v>
      </c>
      <c r="AF126" s="131">
        <f t="shared" si="18"/>
        <v>0</v>
      </c>
      <c r="AG126" s="131">
        <f t="shared" si="19"/>
        <v>0</v>
      </c>
      <c r="AH126" s="131">
        <f t="shared" si="20"/>
        <v>0</v>
      </c>
      <c r="AI126" s="131">
        <f t="shared" si="21"/>
        <v>0</v>
      </c>
      <c r="AJ126" s="131" t="e">
        <f t="shared" si="22"/>
        <v>#DIV/0!</v>
      </c>
      <c r="AK126" s="131">
        <f t="shared" si="23"/>
        <v>0</v>
      </c>
      <c r="AL126" s="131">
        <f t="shared" si="24"/>
        <v>0</v>
      </c>
      <c r="AM126" s="131">
        <v>0</v>
      </c>
      <c r="AN126" s="131">
        <f t="shared" si="25"/>
        <v>0</v>
      </c>
      <c r="AO126" s="131">
        <v>0</v>
      </c>
      <c r="AP126" s="131">
        <f t="shared" si="26"/>
        <v>0</v>
      </c>
      <c r="AQ126" s="131">
        <f t="shared" si="27"/>
        <v>0</v>
      </c>
      <c r="AR126" s="131">
        <v>0</v>
      </c>
    </row>
    <row r="127" spans="28:44">
      <c r="AB127" s="131">
        <f t="shared" si="14"/>
        <v>0</v>
      </c>
      <c r="AC127" s="131">
        <f t="shared" si="15"/>
        <v>0</v>
      </c>
      <c r="AD127" s="131">
        <f t="shared" si="16"/>
        <v>0</v>
      </c>
      <c r="AE127" s="131">
        <f t="shared" si="17"/>
        <v>0</v>
      </c>
      <c r="AF127" s="131">
        <f t="shared" si="18"/>
        <v>0</v>
      </c>
      <c r="AG127" s="131">
        <f t="shared" si="19"/>
        <v>0</v>
      </c>
      <c r="AH127" s="131">
        <f t="shared" si="20"/>
        <v>0</v>
      </c>
      <c r="AI127" s="131">
        <f t="shared" si="21"/>
        <v>0</v>
      </c>
      <c r="AJ127" s="131" t="e">
        <f t="shared" si="22"/>
        <v>#DIV/0!</v>
      </c>
      <c r="AK127" s="131">
        <f t="shared" si="23"/>
        <v>0</v>
      </c>
      <c r="AL127" s="131">
        <f t="shared" si="24"/>
        <v>0</v>
      </c>
      <c r="AM127" s="131">
        <v>0</v>
      </c>
      <c r="AN127" s="131">
        <f t="shared" si="25"/>
        <v>0</v>
      </c>
      <c r="AO127" s="131">
        <v>0</v>
      </c>
      <c r="AP127" s="131">
        <f t="shared" si="26"/>
        <v>0</v>
      </c>
      <c r="AQ127" s="131">
        <f t="shared" si="27"/>
        <v>0</v>
      </c>
      <c r="AR127" s="131">
        <v>0</v>
      </c>
    </row>
    <row r="128" spans="28:44">
      <c r="AB128" s="131">
        <f t="shared" si="14"/>
        <v>0</v>
      </c>
      <c r="AC128" s="131">
        <f t="shared" si="15"/>
        <v>0</v>
      </c>
      <c r="AD128" s="131">
        <f t="shared" si="16"/>
        <v>0</v>
      </c>
      <c r="AE128" s="131">
        <f t="shared" si="17"/>
        <v>0</v>
      </c>
      <c r="AF128" s="131">
        <f t="shared" si="18"/>
        <v>0</v>
      </c>
      <c r="AG128" s="131">
        <f t="shared" si="19"/>
        <v>0</v>
      </c>
      <c r="AH128" s="131">
        <f t="shared" si="20"/>
        <v>0</v>
      </c>
      <c r="AI128" s="131">
        <f t="shared" si="21"/>
        <v>0</v>
      </c>
      <c r="AJ128" s="131" t="e">
        <f t="shared" si="22"/>
        <v>#DIV/0!</v>
      </c>
      <c r="AK128" s="131">
        <f t="shared" si="23"/>
        <v>0</v>
      </c>
      <c r="AL128" s="131">
        <f t="shared" si="24"/>
        <v>0</v>
      </c>
      <c r="AM128" s="131">
        <v>0</v>
      </c>
      <c r="AN128" s="131">
        <f t="shared" si="25"/>
        <v>0</v>
      </c>
      <c r="AO128" s="131">
        <v>0</v>
      </c>
      <c r="AP128" s="131">
        <f t="shared" si="26"/>
        <v>0</v>
      </c>
      <c r="AQ128" s="131">
        <f t="shared" si="27"/>
        <v>0</v>
      </c>
      <c r="AR128" s="131">
        <v>0</v>
      </c>
    </row>
    <row r="129" spans="28:44">
      <c r="AB129" s="131">
        <f t="shared" si="14"/>
        <v>0</v>
      </c>
      <c r="AC129" s="131">
        <f t="shared" si="15"/>
        <v>0</v>
      </c>
      <c r="AD129" s="131">
        <f t="shared" si="16"/>
        <v>0</v>
      </c>
      <c r="AE129" s="131">
        <f t="shared" si="17"/>
        <v>0</v>
      </c>
      <c r="AF129" s="131">
        <f t="shared" si="18"/>
        <v>0</v>
      </c>
      <c r="AG129" s="131">
        <f t="shared" si="19"/>
        <v>0</v>
      </c>
      <c r="AH129" s="131">
        <f t="shared" si="20"/>
        <v>0</v>
      </c>
      <c r="AI129" s="131">
        <f t="shared" si="21"/>
        <v>0</v>
      </c>
      <c r="AJ129" s="131" t="e">
        <f t="shared" si="22"/>
        <v>#DIV/0!</v>
      </c>
      <c r="AK129" s="131">
        <f t="shared" si="23"/>
        <v>0</v>
      </c>
      <c r="AL129" s="131">
        <f t="shared" si="24"/>
        <v>0</v>
      </c>
      <c r="AM129" s="131">
        <v>0</v>
      </c>
      <c r="AN129" s="131">
        <f t="shared" si="25"/>
        <v>0</v>
      </c>
      <c r="AO129" s="131">
        <v>0</v>
      </c>
      <c r="AP129" s="131">
        <f t="shared" si="26"/>
        <v>0</v>
      </c>
      <c r="AQ129" s="131">
        <f t="shared" si="27"/>
        <v>0</v>
      </c>
      <c r="AR129" s="131">
        <v>0</v>
      </c>
    </row>
    <row r="130" spans="28:44">
      <c r="AB130" s="131">
        <f t="shared" si="14"/>
        <v>0</v>
      </c>
      <c r="AC130" s="131">
        <f t="shared" si="15"/>
        <v>0</v>
      </c>
      <c r="AD130" s="131">
        <f t="shared" si="16"/>
        <v>0</v>
      </c>
      <c r="AE130" s="131">
        <f t="shared" si="17"/>
        <v>0</v>
      </c>
      <c r="AF130" s="131">
        <f t="shared" si="18"/>
        <v>0</v>
      </c>
      <c r="AG130" s="131">
        <f t="shared" si="19"/>
        <v>0</v>
      </c>
      <c r="AH130" s="131">
        <f t="shared" si="20"/>
        <v>0</v>
      </c>
      <c r="AI130" s="131">
        <f t="shared" si="21"/>
        <v>0</v>
      </c>
      <c r="AJ130" s="131" t="e">
        <f t="shared" si="22"/>
        <v>#DIV/0!</v>
      </c>
      <c r="AK130" s="131">
        <f t="shared" si="23"/>
        <v>0</v>
      </c>
      <c r="AL130" s="131">
        <f t="shared" si="24"/>
        <v>0</v>
      </c>
      <c r="AM130" s="131">
        <v>0</v>
      </c>
      <c r="AN130" s="131">
        <f t="shared" si="25"/>
        <v>0</v>
      </c>
      <c r="AO130" s="131">
        <v>0</v>
      </c>
      <c r="AP130" s="131">
        <f t="shared" si="26"/>
        <v>0</v>
      </c>
      <c r="AQ130" s="131">
        <f t="shared" si="27"/>
        <v>0</v>
      </c>
      <c r="AR130" s="131">
        <v>0</v>
      </c>
    </row>
    <row r="131" spans="28:44">
      <c r="AB131" s="131">
        <f t="shared" ref="AB131:AB194" si="28">+A131</f>
        <v>0</v>
      </c>
      <c r="AC131" s="131">
        <f t="shared" ref="AC131:AC194" si="29">+B131</f>
        <v>0</v>
      </c>
      <c r="AD131" s="131">
        <f t="shared" ref="AD131:AD194" si="30">+C131</f>
        <v>0</v>
      </c>
      <c r="AE131" s="131">
        <f t="shared" ref="AE131:AE194" si="31">+E131</f>
        <v>0</v>
      </c>
      <c r="AF131" s="131">
        <f t="shared" ref="AF131:AF194" si="32">+K131</f>
        <v>0</v>
      </c>
      <c r="AG131" s="131">
        <f t="shared" ref="AG131:AG194" si="33">+L131</f>
        <v>0</v>
      </c>
      <c r="AH131" s="131">
        <f t="shared" ref="AH131:AH194" si="34">+Q131</f>
        <v>0</v>
      </c>
      <c r="AI131" s="131">
        <f t="shared" ref="AI131:AI194" si="35">+N131</f>
        <v>0</v>
      </c>
      <c r="AJ131" s="131" t="e">
        <f t="shared" ref="AJ131:AJ194" si="36">+AI131/AF131*100</f>
        <v>#DIV/0!</v>
      </c>
      <c r="AK131" s="131">
        <f t="shared" ref="AK131:AK194" si="37">+O131</f>
        <v>0</v>
      </c>
      <c r="AL131" s="131">
        <f t="shared" ref="AL131:AL194" si="38">+P131</f>
        <v>0</v>
      </c>
      <c r="AM131" s="131">
        <v>0</v>
      </c>
      <c r="AN131" s="131">
        <f t="shared" ref="AN131:AN194" si="39">+M131</f>
        <v>0</v>
      </c>
      <c r="AO131" s="131">
        <v>0</v>
      </c>
      <c r="AP131" s="131">
        <f t="shared" ref="AP131:AP194" si="40">+R131</f>
        <v>0</v>
      </c>
      <c r="AQ131" s="131">
        <f t="shared" ref="AQ131:AQ194" si="41">+AE131+AF131+AH131-AI131-AK131-AM131-AP131</f>
        <v>0</v>
      </c>
      <c r="AR131" s="131">
        <v>0</v>
      </c>
    </row>
    <row r="132" spans="28:44">
      <c r="AB132" s="131">
        <f t="shared" si="28"/>
        <v>0</v>
      </c>
      <c r="AC132" s="131">
        <f t="shared" si="29"/>
        <v>0</v>
      </c>
      <c r="AD132" s="131">
        <f t="shared" si="30"/>
        <v>0</v>
      </c>
      <c r="AE132" s="131">
        <f t="shared" si="31"/>
        <v>0</v>
      </c>
      <c r="AF132" s="131">
        <f t="shared" si="32"/>
        <v>0</v>
      </c>
      <c r="AG132" s="131">
        <f t="shared" si="33"/>
        <v>0</v>
      </c>
      <c r="AH132" s="131">
        <f t="shared" si="34"/>
        <v>0</v>
      </c>
      <c r="AI132" s="131">
        <f t="shared" si="35"/>
        <v>0</v>
      </c>
      <c r="AJ132" s="131" t="e">
        <f t="shared" si="36"/>
        <v>#DIV/0!</v>
      </c>
      <c r="AK132" s="131">
        <f t="shared" si="37"/>
        <v>0</v>
      </c>
      <c r="AL132" s="131">
        <f t="shared" si="38"/>
        <v>0</v>
      </c>
      <c r="AM132" s="131">
        <v>0</v>
      </c>
      <c r="AN132" s="131">
        <f t="shared" si="39"/>
        <v>0</v>
      </c>
      <c r="AO132" s="131">
        <v>0</v>
      </c>
      <c r="AP132" s="131">
        <f t="shared" si="40"/>
        <v>0</v>
      </c>
      <c r="AQ132" s="131">
        <f t="shared" si="41"/>
        <v>0</v>
      </c>
      <c r="AR132" s="131">
        <v>0</v>
      </c>
    </row>
    <row r="133" spans="28:44">
      <c r="AB133" s="131">
        <f t="shared" si="28"/>
        <v>0</v>
      </c>
      <c r="AC133" s="131">
        <f t="shared" si="29"/>
        <v>0</v>
      </c>
      <c r="AD133" s="131">
        <f t="shared" si="30"/>
        <v>0</v>
      </c>
      <c r="AE133" s="131">
        <f t="shared" si="31"/>
        <v>0</v>
      </c>
      <c r="AF133" s="131">
        <f t="shared" si="32"/>
        <v>0</v>
      </c>
      <c r="AG133" s="131">
        <f t="shared" si="33"/>
        <v>0</v>
      </c>
      <c r="AH133" s="131">
        <f t="shared" si="34"/>
        <v>0</v>
      </c>
      <c r="AI133" s="131">
        <f t="shared" si="35"/>
        <v>0</v>
      </c>
      <c r="AJ133" s="131" t="e">
        <f t="shared" si="36"/>
        <v>#DIV/0!</v>
      </c>
      <c r="AK133" s="131">
        <f t="shared" si="37"/>
        <v>0</v>
      </c>
      <c r="AL133" s="131">
        <f t="shared" si="38"/>
        <v>0</v>
      </c>
      <c r="AM133" s="131">
        <v>0</v>
      </c>
      <c r="AN133" s="131">
        <f t="shared" si="39"/>
        <v>0</v>
      </c>
      <c r="AO133" s="131">
        <v>0</v>
      </c>
      <c r="AP133" s="131">
        <f t="shared" si="40"/>
        <v>0</v>
      </c>
      <c r="AQ133" s="131">
        <f t="shared" si="41"/>
        <v>0</v>
      </c>
      <c r="AR133" s="131">
        <v>0</v>
      </c>
    </row>
    <row r="134" spans="28:44">
      <c r="AB134" s="131">
        <f t="shared" si="28"/>
        <v>0</v>
      </c>
      <c r="AC134" s="131">
        <f t="shared" si="29"/>
        <v>0</v>
      </c>
      <c r="AD134" s="131">
        <f t="shared" si="30"/>
        <v>0</v>
      </c>
      <c r="AE134" s="131">
        <f t="shared" si="31"/>
        <v>0</v>
      </c>
      <c r="AF134" s="131">
        <f t="shared" si="32"/>
        <v>0</v>
      </c>
      <c r="AG134" s="131">
        <f t="shared" si="33"/>
        <v>0</v>
      </c>
      <c r="AH134" s="131">
        <f t="shared" si="34"/>
        <v>0</v>
      </c>
      <c r="AI134" s="131">
        <f t="shared" si="35"/>
        <v>0</v>
      </c>
      <c r="AJ134" s="131" t="e">
        <f t="shared" si="36"/>
        <v>#DIV/0!</v>
      </c>
      <c r="AK134" s="131">
        <f t="shared" si="37"/>
        <v>0</v>
      </c>
      <c r="AL134" s="131">
        <f t="shared" si="38"/>
        <v>0</v>
      </c>
      <c r="AM134" s="131">
        <v>0</v>
      </c>
      <c r="AN134" s="131">
        <f t="shared" si="39"/>
        <v>0</v>
      </c>
      <c r="AO134" s="131">
        <v>0</v>
      </c>
      <c r="AP134" s="131">
        <f t="shared" si="40"/>
        <v>0</v>
      </c>
      <c r="AQ134" s="131">
        <f t="shared" si="41"/>
        <v>0</v>
      </c>
      <c r="AR134" s="131">
        <v>0</v>
      </c>
    </row>
    <row r="135" spans="28:44">
      <c r="AB135" s="131">
        <f t="shared" si="28"/>
        <v>0</v>
      </c>
      <c r="AC135" s="131">
        <f t="shared" si="29"/>
        <v>0</v>
      </c>
      <c r="AD135" s="131">
        <f t="shared" si="30"/>
        <v>0</v>
      </c>
      <c r="AE135" s="131">
        <f t="shared" si="31"/>
        <v>0</v>
      </c>
      <c r="AF135" s="131">
        <f t="shared" si="32"/>
        <v>0</v>
      </c>
      <c r="AG135" s="131">
        <f t="shared" si="33"/>
        <v>0</v>
      </c>
      <c r="AH135" s="131">
        <f t="shared" si="34"/>
        <v>0</v>
      </c>
      <c r="AI135" s="131">
        <f t="shared" si="35"/>
        <v>0</v>
      </c>
      <c r="AJ135" s="131" t="e">
        <f t="shared" si="36"/>
        <v>#DIV/0!</v>
      </c>
      <c r="AK135" s="131">
        <f t="shared" si="37"/>
        <v>0</v>
      </c>
      <c r="AL135" s="131">
        <f t="shared" si="38"/>
        <v>0</v>
      </c>
      <c r="AM135" s="131">
        <v>0</v>
      </c>
      <c r="AN135" s="131">
        <f t="shared" si="39"/>
        <v>0</v>
      </c>
      <c r="AO135" s="131">
        <v>0</v>
      </c>
      <c r="AP135" s="131">
        <f t="shared" si="40"/>
        <v>0</v>
      </c>
      <c r="AQ135" s="131">
        <f t="shared" si="41"/>
        <v>0</v>
      </c>
      <c r="AR135" s="131">
        <v>0</v>
      </c>
    </row>
    <row r="136" spans="28:44">
      <c r="AB136" s="131">
        <f t="shared" si="28"/>
        <v>0</v>
      </c>
      <c r="AC136" s="131">
        <f t="shared" si="29"/>
        <v>0</v>
      </c>
      <c r="AD136" s="131">
        <f t="shared" si="30"/>
        <v>0</v>
      </c>
      <c r="AE136" s="131">
        <f t="shared" si="31"/>
        <v>0</v>
      </c>
      <c r="AF136" s="131">
        <f t="shared" si="32"/>
        <v>0</v>
      </c>
      <c r="AG136" s="131">
        <f t="shared" si="33"/>
        <v>0</v>
      </c>
      <c r="AH136" s="131">
        <f t="shared" si="34"/>
        <v>0</v>
      </c>
      <c r="AI136" s="131">
        <f t="shared" si="35"/>
        <v>0</v>
      </c>
      <c r="AJ136" s="131" t="e">
        <f t="shared" si="36"/>
        <v>#DIV/0!</v>
      </c>
      <c r="AK136" s="131">
        <f t="shared" si="37"/>
        <v>0</v>
      </c>
      <c r="AL136" s="131">
        <f t="shared" si="38"/>
        <v>0</v>
      </c>
      <c r="AM136" s="131">
        <v>0</v>
      </c>
      <c r="AN136" s="131">
        <f t="shared" si="39"/>
        <v>0</v>
      </c>
      <c r="AO136" s="131">
        <v>0</v>
      </c>
      <c r="AP136" s="131">
        <f t="shared" si="40"/>
        <v>0</v>
      </c>
      <c r="AQ136" s="131">
        <f t="shared" si="41"/>
        <v>0</v>
      </c>
      <c r="AR136" s="131">
        <v>0</v>
      </c>
    </row>
    <row r="137" spans="28:44">
      <c r="AB137" s="131">
        <f t="shared" si="28"/>
        <v>0</v>
      </c>
      <c r="AC137" s="131">
        <f t="shared" si="29"/>
        <v>0</v>
      </c>
      <c r="AD137" s="131">
        <f t="shared" si="30"/>
        <v>0</v>
      </c>
      <c r="AE137" s="131">
        <f t="shared" si="31"/>
        <v>0</v>
      </c>
      <c r="AF137" s="131">
        <f t="shared" si="32"/>
        <v>0</v>
      </c>
      <c r="AG137" s="131">
        <f t="shared" si="33"/>
        <v>0</v>
      </c>
      <c r="AH137" s="131">
        <f t="shared" si="34"/>
        <v>0</v>
      </c>
      <c r="AI137" s="131">
        <f t="shared" si="35"/>
        <v>0</v>
      </c>
      <c r="AJ137" s="131" t="e">
        <f t="shared" si="36"/>
        <v>#DIV/0!</v>
      </c>
      <c r="AK137" s="131">
        <f t="shared" si="37"/>
        <v>0</v>
      </c>
      <c r="AL137" s="131">
        <f t="shared" si="38"/>
        <v>0</v>
      </c>
      <c r="AM137" s="131">
        <v>0</v>
      </c>
      <c r="AN137" s="131">
        <f t="shared" si="39"/>
        <v>0</v>
      </c>
      <c r="AO137" s="131">
        <v>0</v>
      </c>
      <c r="AP137" s="131">
        <f t="shared" si="40"/>
        <v>0</v>
      </c>
      <c r="AQ137" s="131">
        <f t="shared" si="41"/>
        <v>0</v>
      </c>
      <c r="AR137" s="131">
        <v>0</v>
      </c>
    </row>
    <row r="138" spans="28:44">
      <c r="AB138" s="131">
        <f t="shared" si="28"/>
        <v>0</v>
      </c>
      <c r="AC138" s="131">
        <f t="shared" si="29"/>
        <v>0</v>
      </c>
      <c r="AD138" s="131">
        <f t="shared" si="30"/>
        <v>0</v>
      </c>
      <c r="AE138" s="131">
        <f t="shared" si="31"/>
        <v>0</v>
      </c>
      <c r="AF138" s="131">
        <f t="shared" si="32"/>
        <v>0</v>
      </c>
      <c r="AG138" s="131">
        <f t="shared" si="33"/>
        <v>0</v>
      </c>
      <c r="AH138" s="131">
        <f t="shared" si="34"/>
        <v>0</v>
      </c>
      <c r="AI138" s="131">
        <f t="shared" si="35"/>
        <v>0</v>
      </c>
      <c r="AJ138" s="131" t="e">
        <f t="shared" si="36"/>
        <v>#DIV/0!</v>
      </c>
      <c r="AK138" s="131">
        <f t="shared" si="37"/>
        <v>0</v>
      </c>
      <c r="AL138" s="131">
        <f t="shared" si="38"/>
        <v>0</v>
      </c>
      <c r="AM138" s="131">
        <v>0</v>
      </c>
      <c r="AN138" s="131">
        <f t="shared" si="39"/>
        <v>0</v>
      </c>
      <c r="AO138" s="131">
        <v>0</v>
      </c>
      <c r="AP138" s="131">
        <f t="shared" si="40"/>
        <v>0</v>
      </c>
      <c r="AQ138" s="131">
        <f t="shared" si="41"/>
        <v>0</v>
      </c>
      <c r="AR138" s="131">
        <v>0</v>
      </c>
    </row>
    <row r="139" spans="28:44">
      <c r="AB139" s="131">
        <f t="shared" si="28"/>
        <v>0</v>
      </c>
      <c r="AC139" s="131">
        <f t="shared" si="29"/>
        <v>0</v>
      </c>
      <c r="AD139" s="131">
        <f t="shared" si="30"/>
        <v>0</v>
      </c>
      <c r="AE139" s="131">
        <f t="shared" si="31"/>
        <v>0</v>
      </c>
      <c r="AF139" s="131">
        <f t="shared" si="32"/>
        <v>0</v>
      </c>
      <c r="AG139" s="131">
        <f t="shared" si="33"/>
        <v>0</v>
      </c>
      <c r="AH139" s="131">
        <f t="shared" si="34"/>
        <v>0</v>
      </c>
      <c r="AI139" s="131">
        <f t="shared" si="35"/>
        <v>0</v>
      </c>
      <c r="AJ139" s="131" t="e">
        <f t="shared" si="36"/>
        <v>#DIV/0!</v>
      </c>
      <c r="AK139" s="131">
        <f t="shared" si="37"/>
        <v>0</v>
      </c>
      <c r="AL139" s="131">
        <f t="shared" si="38"/>
        <v>0</v>
      </c>
      <c r="AM139" s="131">
        <v>0</v>
      </c>
      <c r="AN139" s="131">
        <f t="shared" si="39"/>
        <v>0</v>
      </c>
      <c r="AO139" s="131">
        <v>0</v>
      </c>
      <c r="AP139" s="131">
        <f t="shared" si="40"/>
        <v>0</v>
      </c>
      <c r="AQ139" s="131">
        <f t="shared" si="41"/>
        <v>0</v>
      </c>
      <c r="AR139" s="131">
        <v>0</v>
      </c>
    </row>
    <row r="140" spans="28:44">
      <c r="AB140" s="131">
        <f t="shared" si="28"/>
        <v>0</v>
      </c>
      <c r="AC140" s="131">
        <f t="shared" si="29"/>
        <v>0</v>
      </c>
      <c r="AD140" s="131">
        <f t="shared" si="30"/>
        <v>0</v>
      </c>
      <c r="AE140" s="131">
        <f t="shared" si="31"/>
        <v>0</v>
      </c>
      <c r="AF140" s="131">
        <f t="shared" si="32"/>
        <v>0</v>
      </c>
      <c r="AG140" s="131">
        <f t="shared" si="33"/>
        <v>0</v>
      </c>
      <c r="AH140" s="131">
        <f t="shared" si="34"/>
        <v>0</v>
      </c>
      <c r="AI140" s="131">
        <f t="shared" si="35"/>
        <v>0</v>
      </c>
      <c r="AJ140" s="131" t="e">
        <f t="shared" si="36"/>
        <v>#DIV/0!</v>
      </c>
      <c r="AK140" s="131">
        <f t="shared" si="37"/>
        <v>0</v>
      </c>
      <c r="AL140" s="131">
        <f t="shared" si="38"/>
        <v>0</v>
      </c>
      <c r="AM140" s="131">
        <v>0</v>
      </c>
      <c r="AN140" s="131">
        <f t="shared" si="39"/>
        <v>0</v>
      </c>
      <c r="AO140" s="131">
        <v>0</v>
      </c>
      <c r="AP140" s="131">
        <f t="shared" si="40"/>
        <v>0</v>
      </c>
      <c r="AQ140" s="131">
        <f t="shared" si="41"/>
        <v>0</v>
      </c>
      <c r="AR140" s="131">
        <v>0</v>
      </c>
    </row>
    <row r="141" spans="28:44">
      <c r="AB141" s="131">
        <f t="shared" si="28"/>
        <v>0</v>
      </c>
      <c r="AC141" s="131">
        <f t="shared" si="29"/>
        <v>0</v>
      </c>
      <c r="AD141" s="131">
        <f t="shared" si="30"/>
        <v>0</v>
      </c>
      <c r="AE141" s="131">
        <f t="shared" si="31"/>
        <v>0</v>
      </c>
      <c r="AF141" s="131">
        <f t="shared" si="32"/>
        <v>0</v>
      </c>
      <c r="AG141" s="131">
        <f t="shared" si="33"/>
        <v>0</v>
      </c>
      <c r="AH141" s="131">
        <f t="shared" si="34"/>
        <v>0</v>
      </c>
      <c r="AI141" s="131">
        <f t="shared" si="35"/>
        <v>0</v>
      </c>
      <c r="AJ141" s="131" t="e">
        <f t="shared" si="36"/>
        <v>#DIV/0!</v>
      </c>
      <c r="AK141" s="131">
        <f t="shared" si="37"/>
        <v>0</v>
      </c>
      <c r="AL141" s="131">
        <f t="shared" si="38"/>
        <v>0</v>
      </c>
      <c r="AM141" s="131">
        <v>0</v>
      </c>
      <c r="AN141" s="131">
        <f t="shared" si="39"/>
        <v>0</v>
      </c>
      <c r="AO141" s="131">
        <v>0</v>
      </c>
      <c r="AP141" s="131">
        <f t="shared" si="40"/>
        <v>0</v>
      </c>
      <c r="AQ141" s="131">
        <f t="shared" si="41"/>
        <v>0</v>
      </c>
      <c r="AR141" s="131">
        <v>0</v>
      </c>
    </row>
    <row r="142" spans="28:44">
      <c r="AB142" s="131">
        <f t="shared" si="28"/>
        <v>0</v>
      </c>
      <c r="AC142" s="131">
        <f t="shared" si="29"/>
        <v>0</v>
      </c>
      <c r="AD142" s="131">
        <f t="shared" si="30"/>
        <v>0</v>
      </c>
      <c r="AE142" s="131">
        <f t="shared" si="31"/>
        <v>0</v>
      </c>
      <c r="AF142" s="131">
        <f t="shared" si="32"/>
        <v>0</v>
      </c>
      <c r="AG142" s="131">
        <f t="shared" si="33"/>
        <v>0</v>
      </c>
      <c r="AH142" s="131">
        <f t="shared" si="34"/>
        <v>0</v>
      </c>
      <c r="AI142" s="131">
        <f t="shared" si="35"/>
        <v>0</v>
      </c>
      <c r="AJ142" s="131" t="e">
        <f t="shared" si="36"/>
        <v>#DIV/0!</v>
      </c>
      <c r="AK142" s="131">
        <f t="shared" si="37"/>
        <v>0</v>
      </c>
      <c r="AL142" s="131">
        <f t="shared" si="38"/>
        <v>0</v>
      </c>
      <c r="AM142" s="131">
        <v>0</v>
      </c>
      <c r="AN142" s="131">
        <f t="shared" si="39"/>
        <v>0</v>
      </c>
      <c r="AO142" s="131">
        <v>0</v>
      </c>
      <c r="AP142" s="131">
        <f t="shared" si="40"/>
        <v>0</v>
      </c>
      <c r="AQ142" s="131">
        <f t="shared" si="41"/>
        <v>0</v>
      </c>
      <c r="AR142" s="131">
        <v>0</v>
      </c>
    </row>
    <row r="143" spans="28:44">
      <c r="AB143" s="131">
        <f t="shared" si="28"/>
        <v>0</v>
      </c>
      <c r="AC143" s="131">
        <f t="shared" si="29"/>
        <v>0</v>
      </c>
      <c r="AD143" s="131">
        <f t="shared" si="30"/>
        <v>0</v>
      </c>
      <c r="AE143" s="131">
        <f t="shared" si="31"/>
        <v>0</v>
      </c>
      <c r="AF143" s="131">
        <f t="shared" si="32"/>
        <v>0</v>
      </c>
      <c r="AG143" s="131">
        <f t="shared" si="33"/>
        <v>0</v>
      </c>
      <c r="AH143" s="131">
        <f t="shared" si="34"/>
        <v>0</v>
      </c>
      <c r="AI143" s="131">
        <f t="shared" si="35"/>
        <v>0</v>
      </c>
      <c r="AJ143" s="131" t="e">
        <f t="shared" si="36"/>
        <v>#DIV/0!</v>
      </c>
      <c r="AK143" s="131">
        <f t="shared" si="37"/>
        <v>0</v>
      </c>
      <c r="AL143" s="131">
        <f t="shared" si="38"/>
        <v>0</v>
      </c>
      <c r="AM143" s="131">
        <v>0</v>
      </c>
      <c r="AN143" s="131">
        <f t="shared" si="39"/>
        <v>0</v>
      </c>
      <c r="AO143" s="131">
        <v>0</v>
      </c>
      <c r="AP143" s="131">
        <f t="shared" si="40"/>
        <v>0</v>
      </c>
      <c r="AQ143" s="131">
        <f t="shared" si="41"/>
        <v>0</v>
      </c>
      <c r="AR143" s="131">
        <v>0</v>
      </c>
    </row>
    <row r="144" spans="28:44">
      <c r="AB144" s="131">
        <f t="shared" si="28"/>
        <v>0</v>
      </c>
      <c r="AC144" s="131">
        <f t="shared" si="29"/>
        <v>0</v>
      </c>
      <c r="AD144" s="131">
        <f t="shared" si="30"/>
        <v>0</v>
      </c>
      <c r="AE144" s="131">
        <f t="shared" si="31"/>
        <v>0</v>
      </c>
      <c r="AF144" s="131">
        <f t="shared" si="32"/>
        <v>0</v>
      </c>
      <c r="AG144" s="131">
        <f t="shared" si="33"/>
        <v>0</v>
      </c>
      <c r="AH144" s="131">
        <f t="shared" si="34"/>
        <v>0</v>
      </c>
      <c r="AI144" s="131">
        <f t="shared" si="35"/>
        <v>0</v>
      </c>
      <c r="AJ144" s="131" t="e">
        <f t="shared" si="36"/>
        <v>#DIV/0!</v>
      </c>
      <c r="AK144" s="131">
        <f t="shared" si="37"/>
        <v>0</v>
      </c>
      <c r="AL144" s="131">
        <f t="shared" si="38"/>
        <v>0</v>
      </c>
      <c r="AM144" s="131">
        <v>0</v>
      </c>
      <c r="AN144" s="131">
        <f t="shared" si="39"/>
        <v>0</v>
      </c>
      <c r="AO144" s="131">
        <v>0</v>
      </c>
      <c r="AP144" s="131">
        <f t="shared" si="40"/>
        <v>0</v>
      </c>
      <c r="AQ144" s="131">
        <f t="shared" si="41"/>
        <v>0</v>
      </c>
      <c r="AR144" s="131">
        <v>0</v>
      </c>
    </row>
    <row r="145" spans="28:44">
      <c r="AB145" s="131">
        <f t="shared" si="28"/>
        <v>0</v>
      </c>
      <c r="AC145" s="131">
        <f t="shared" si="29"/>
        <v>0</v>
      </c>
      <c r="AD145" s="131">
        <f t="shared" si="30"/>
        <v>0</v>
      </c>
      <c r="AE145" s="131">
        <f t="shared" si="31"/>
        <v>0</v>
      </c>
      <c r="AF145" s="131">
        <f t="shared" si="32"/>
        <v>0</v>
      </c>
      <c r="AG145" s="131">
        <f t="shared" si="33"/>
        <v>0</v>
      </c>
      <c r="AH145" s="131">
        <f t="shared" si="34"/>
        <v>0</v>
      </c>
      <c r="AI145" s="131">
        <f t="shared" si="35"/>
        <v>0</v>
      </c>
      <c r="AJ145" s="131" t="e">
        <f t="shared" si="36"/>
        <v>#DIV/0!</v>
      </c>
      <c r="AK145" s="131">
        <f t="shared" si="37"/>
        <v>0</v>
      </c>
      <c r="AL145" s="131">
        <f t="shared" si="38"/>
        <v>0</v>
      </c>
      <c r="AM145" s="131">
        <v>0</v>
      </c>
      <c r="AN145" s="131">
        <f t="shared" si="39"/>
        <v>0</v>
      </c>
      <c r="AO145" s="131">
        <v>0</v>
      </c>
      <c r="AP145" s="131">
        <f t="shared" si="40"/>
        <v>0</v>
      </c>
      <c r="AQ145" s="131">
        <f t="shared" si="41"/>
        <v>0</v>
      </c>
      <c r="AR145" s="131">
        <v>0</v>
      </c>
    </row>
    <row r="146" spans="28:44">
      <c r="AB146" s="131">
        <f t="shared" si="28"/>
        <v>0</v>
      </c>
      <c r="AC146" s="131">
        <f t="shared" si="29"/>
        <v>0</v>
      </c>
      <c r="AD146" s="131">
        <f t="shared" si="30"/>
        <v>0</v>
      </c>
      <c r="AE146" s="131">
        <f t="shared" si="31"/>
        <v>0</v>
      </c>
      <c r="AF146" s="131">
        <f t="shared" si="32"/>
        <v>0</v>
      </c>
      <c r="AG146" s="131">
        <f t="shared" si="33"/>
        <v>0</v>
      </c>
      <c r="AH146" s="131">
        <f t="shared" si="34"/>
        <v>0</v>
      </c>
      <c r="AI146" s="131">
        <f t="shared" si="35"/>
        <v>0</v>
      </c>
      <c r="AJ146" s="131" t="e">
        <f t="shared" si="36"/>
        <v>#DIV/0!</v>
      </c>
      <c r="AK146" s="131">
        <f t="shared" si="37"/>
        <v>0</v>
      </c>
      <c r="AL146" s="131">
        <f t="shared" si="38"/>
        <v>0</v>
      </c>
      <c r="AM146" s="131">
        <v>0</v>
      </c>
      <c r="AN146" s="131">
        <f t="shared" si="39"/>
        <v>0</v>
      </c>
      <c r="AO146" s="131">
        <v>0</v>
      </c>
      <c r="AP146" s="131">
        <f t="shared" si="40"/>
        <v>0</v>
      </c>
      <c r="AQ146" s="131">
        <f t="shared" si="41"/>
        <v>0</v>
      </c>
      <c r="AR146" s="131">
        <v>0</v>
      </c>
    </row>
    <row r="147" spans="28:44">
      <c r="AB147" s="131">
        <f t="shared" si="28"/>
        <v>0</v>
      </c>
      <c r="AC147" s="131">
        <f t="shared" si="29"/>
        <v>0</v>
      </c>
      <c r="AD147" s="131">
        <f t="shared" si="30"/>
        <v>0</v>
      </c>
      <c r="AE147" s="131">
        <f t="shared" si="31"/>
        <v>0</v>
      </c>
      <c r="AF147" s="131">
        <f t="shared" si="32"/>
        <v>0</v>
      </c>
      <c r="AG147" s="131">
        <f t="shared" si="33"/>
        <v>0</v>
      </c>
      <c r="AH147" s="131">
        <f t="shared" si="34"/>
        <v>0</v>
      </c>
      <c r="AI147" s="131">
        <f t="shared" si="35"/>
        <v>0</v>
      </c>
      <c r="AJ147" s="131" t="e">
        <f t="shared" si="36"/>
        <v>#DIV/0!</v>
      </c>
      <c r="AK147" s="131">
        <f t="shared" si="37"/>
        <v>0</v>
      </c>
      <c r="AL147" s="131">
        <f t="shared" si="38"/>
        <v>0</v>
      </c>
      <c r="AM147" s="131">
        <v>0</v>
      </c>
      <c r="AN147" s="131">
        <f t="shared" si="39"/>
        <v>0</v>
      </c>
      <c r="AO147" s="131">
        <v>0</v>
      </c>
      <c r="AP147" s="131">
        <f t="shared" si="40"/>
        <v>0</v>
      </c>
      <c r="AQ147" s="131">
        <f t="shared" si="41"/>
        <v>0</v>
      </c>
      <c r="AR147" s="131">
        <v>0</v>
      </c>
    </row>
    <row r="148" spans="28:44">
      <c r="AB148" s="131">
        <f t="shared" si="28"/>
        <v>0</v>
      </c>
      <c r="AC148" s="131">
        <f t="shared" si="29"/>
        <v>0</v>
      </c>
      <c r="AD148" s="131">
        <f t="shared" si="30"/>
        <v>0</v>
      </c>
      <c r="AE148" s="131">
        <f t="shared" si="31"/>
        <v>0</v>
      </c>
      <c r="AF148" s="131">
        <f t="shared" si="32"/>
        <v>0</v>
      </c>
      <c r="AG148" s="131">
        <f t="shared" si="33"/>
        <v>0</v>
      </c>
      <c r="AH148" s="131">
        <f t="shared" si="34"/>
        <v>0</v>
      </c>
      <c r="AI148" s="131">
        <f t="shared" si="35"/>
        <v>0</v>
      </c>
      <c r="AJ148" s="131" t="e">
        <f t="shared" si="36"/>
        <v>#DIV/0!</v>
      </c>
      <c r="AK148" s="131">
        <f t="shared" si="37"/>
        <v>0</v>
      </c>
      <c r="AL148" s="131">
        <f t="shared" si="38"/>
        <v>0</v>
      </c>
      <c r="AM148" s="131">
        <v>0</v>
      </c>
      <c r="AN148" s="131">
        <f t="shared" si="39"/>
        <v>0</v>
      </c>
      <c r="AO148" s="131">
        <v>0</v>
      </c>
      <c r="AP148" s="131">
        <f t="shared" si="40"/>
        <v>0</v>
      </c>
      <c r="AQ148" s="131">
        <f t="shared" si="41"/>
        <v>0</v>
      </c>
      <c r="AR148" s="131">
        <v>0</v>
      </c>
    </row>
    <row r="149" spans="28:44">
      <c r="AB149" s="131">
        <f t="shared" si="28"/>
        <v>0</v>
      </c>
      <c r="AC149" s="131">
        <f t="shared" si="29"/>
        <v>0</v>
      </c>
      <c r="AD149" s="131">
        <f t="shared" si="30"/>
        <v>0</v>
      </c>
      <c r="AE149" s="131">
        <f t="shared" si="31"/>
        <v>0</v>
      </c>
      <c r="AF149" s="131">
        <f t="shared" si="32"/>
        <v>0</v>
      </c>
      <c r="AG149" s="131">
        <f t="shared" si="33"/>
        <v>0</v>
      </c>
      <c r="AH149" s="131">
        <f t="shared" si="34"/>
        <v>0</v>
      </c>
      <c r="AI149" s="131">
        <f t="shared" si="35"/>
        <v>0</v>
      </c>
      <c r="AJ149" s="131" t="e">
        <f t="shared" si="36"/>
        <v>#DIV/0!</v>
      </c>
      <c r="AK149" s="131">
        <f t="shared" si="37"/>
        <v>0</v>
      </c>
      <c r="AL149" s="131">
        <f t="shared" si="38"/>
        <v>0</v>
      </c>
      <c r="AM149" s="131">
        <v>0</v>
      </c>
      <c r="AN149" s="131">
        <f t="shared" si="39"/>
        <v>0</v>
      </c>
      <c r="AO149" s="131">
        <v>0</v>
      </c>
      <c r="AP149" s="131">
        <f t="shared" si="40"/>
        <v>0</v>
      </c>
      <c r="AQ149" s="131">
        <f t="shared" si="41"/>
        <v>0</v>
      </c>
      <c r="AR149" s="131">
        <v>0</v>
      </c>
    </row>
    <row r="150" spans="28:44">
      <c r="AB150" s="131">
        <f t="shared" si="28"/>
        <v>0</v>
      </c>
      <c r="AC150" s="131">
        <f t="shared" si="29"/>
        <v>0</v>
      </c>
      <c r="AD150" s="131">
        <f t="shared" si="30"/>
        <v>0</v>
      </c>
      <c r="AE150" s="131">
        <f t="shared" si="31"/>
        <v>0</v>
      </c>
      <c r="AF150" s="131">
        <f t="shared" si="32"/>
        <v>0</v>
      </c>
      <c r="AG150" s="131">
        <f t="shared" si="33"/>
        <v>0</v>
      </c>
      <c r="AH150" s="131">
        <f t="shared" si="34"/>
        <v>0</v>
      </c>
      <c r="AI150" s="131">
        <f t="shared" si="35"/>
        <v>0</v>
      </c>
      <c r="AJ150" s="131" t="e">
        <f t="shared" si="36"/>
        <v>#DIV/0!</v>
      </c>
      <c r="AK150" s="131">
        <f t="shared" si="37"/>
        <v>0</v>
      </c>
      <c r="AL150" s="131">
        <f t="shared" si="38"/>
        <v>0</v>
      </c>
      <c r="AM150" s="131">
        <v>0</v>
      </c>
      <c r="AN150" s="131">
        <f t="shared" si="39"/>
        <v>0</v>
      </c>
      <c r="AO150" s="131">
        <v>0</v>
      </c>
      <c r="AP150" s="131">
        <f t="shared" si="40"/>
        <v>0</v>
      </c>
      <c r="AQ150" s="131">
        <f t="shared" si="41"/>
        <v>0</v>
      </c>
      <c r="AR150" s="131">
        <v>0</v>
      </c>
    </row>
    <row r="151" spans="28:44">
      <c r="AB151" s="131">
        <f t="shared" si="28"/>
        <v>0</v>
      </c>
      <c r="AC151" s="131">
        <f t="shared" si="29"/>
        <v>0</v>
      </c>
      <c r="AD151" s="131">
        <f t="shared" si="30"/>
        <v>0</v>
      </c>
      <c r="AE151" s="131">
        <f t="shared" si="31"/>
        <v>0</v>
      </c>
      <c r="AF151" s="131">
        <f t="shared" si="32"/>
        <v>0</v>
      </c>
      <c r="AG151" s="131">
        <f t="shared" si="33"/>
        <v>0</v>
      </c>
      <c r="AH151" s="131">
        <f t="shared" si="34"/>
        <v>0</v>
      </c>
      <c r="AI151" s="131">
        <f t="shared" si="35"/>
        <v>0</v>
      </c>
      <c r="AJ151" s="131" t="e">
        <f t="shared" si="36"/>
        <v>#DIV/0!</v>
      </c>
      <c r="AK151" s="131">
        <f t="shared" si="37"/>
        <v>0</v>
      </c>
      <c r="AL151" s="131">
        <f t="shared" si="38"/>
        <v>0</v>
      </c>
      <c r="AM151" s="131">
        <v>0</v>
      </c>
      <c r="AN151" s="131">
        <f t="shared" si="39"/>
        <v>0</v>
      </c>
      <c r="AO151" s="131">
        <v>0</v>
      </c>
      <c r="AP151" s="131">
        <f t="shared" si="40"/>
        <v>0</v>
      </c>
      <c r="AQ151" s="131">
        <f t="shared" si="41"/>
        <v>0</v>
      </c>
      <c r="AR151" s="131">
        <v>0</v>
      </c>
    </row>
    <row r="152" spans="28:44">
      <c r="AB152" s="131">
        <f t="shared" si="28"/>
        <v>0</v>
      </c>
      <c r="AC152" s="131">
        <f t="shared" si="29"/>
        <v>0</v>
      </c>
      <c r="AD152" s="131">
        <f t="shared" si="30"/>
        <v>0</v>
      </c>
      <c r="AE152" s="131">
        <f t="shared" si="31"/>
        <v>0</v>
      </c>
      <c r="AF152" s="131">
        <f t="shared" si="32"/>
        <v>0</v>
      </c>
      <c r="AG152" s="131">
        <f t="shared" si="33"/>
        <v>0</v>
      </c>
      <c r="AH152" s="131">
        <f t="shared" si="34"/>
        <v>0</v>
      </c>
      <c r="AI152" s="131">
        <f t="shared" si="35"/>
        <v>0</v>
      </c>
      <c r="AJ152" s="131" t="e">
        <f t="shared" si="36"/>
        <v>#DIV/0!</v>
      </c>
      <c r="AK152" s="131">
        <f t="shared" si="37"/>
        <v>0</v>
      </c>
      <c r="AL152" s="131">
        <f t="shared" si="38"/>
        <v>0</v>
      </c>
      <c r="AM152" s="131">
        <v>0</v>
      </c>
      <c r="AN152" s="131">
        <f t="shared" si="39"/>
        <v>0</v>
      </c>
      <c r="AO152" s="131">
        <v>0</v>
      </c>
      <c r="AP152" s="131">
        <f t="shared" si="40"/>
        <v>0</v>
      </c>
      <c r="AQ152" s="131">
        <f t="shared" si="41"/>
        <v>0</v>
      </c>
      <c r="AR152" s="131">
        <v>0</v>
      </c>
    </row>
    <row r="153" spans="28:44">
      <c r="AB153" s="131">
        <f t="shared" si="28"/>
        <v>0</v>
      </c>
      <c r="AC153" s="131">
        <f t="shared" si="29"/>
        <v>0</v>
      </c>
      <c r="AD153" s="131">
        <f t="shared" si="30"/>
        <v>0</v>
      </c>
      <c r="AE153" s="131">
        <f t="shared" si="31"/>
        <v>0</v>
      </c>
      <c r="AF153" s="131">
        <f t="shared" si="32"/>
        <v>0</v>
      </c>
      <c r="AG153" s="131">
        <f t="shared" si="33"/>
        <v>0</v>
      </c>
      <c r="AH153" s="131">
        <f t="shared" si="34"/>
        <v>0</v>
      </c>
      <c r="AI153" s="131">
        <f t="shared" si="35"/>
        <v>0</v>
      </c>
      <c r="AJ153" s="131" t="e">
        <f t="shared" si="36"/>
        <v>#DIV/0!</v>
      </c>
      <c r="AK153" s="131">
        <f t="shared" si="37"/>
        <v>0</v>
      </c>
      <c r="AL153" s="131">
        <f t="shared" si="38"/>
        <v>0</v>
      </c>
      <c r="AM153" s="131">
        <v>0</v>
      </c>
      <c r="AN153" s="131">
        <f t="shared" si="39"/>
        <v>0</v>
      </c>
      <c r="AO153" s="131">
        <v>0</v>
      </c>
      <c r="AP153" s="131">
        <f t="shared" si="40"/>
        <v>0</v>
      </c>
      <c r="AQ153" s="131">
        <f t="shared" si="41"/>
        <v>0</v>
      </c>
      <c r="AR153" s="131">
        <v>0</v>
      </c>
    </row>
    <row r="154" spans="28:44">
      <c r="AB154" s="131">
        <f t="shared" si="28"/>
        <v>0</v>
      </c>
      <c r="AC154" s="131">
        <f t="shared" si="29"/>
        <v>0</v>
      </c>
      <c r="AD154" s="131">
        <f t="shared" si="30"/>
        <v>0</v>
      </c>
      <c r="AE154" s="131">
        <f t="shared" si="31"/>
        <v>0</v>
      </c>
      <c r="AF154" s="131">
        <f t="shared" si="32"/>
        <v>0</v>
      </c>
      <c r="AG154" s="131">
        <f t="shared" si="33"/>
        <v>0</v>
      </c>
      <c r="AH154" s="131">
        <f t="shared" si="34"/>
        <v>0</v>
      </c>
      <c r="AI154" s="131">
        <f t="shared" si="35"/>
        <v>0</v>
      </c>
      <c r="AJ154" s="131" t="e">
        <f t="shared" si="36"/>
        <v>#DIV/0!</v>
      </c>
      <c r="AK154" s="131">
        <f t="shared" si="37"/>
        <v>0</v>
      </c>
      <c r="AL154" s="131">
        <f t="shared" si="38"/>
        <v>0</v>
      </c>
      <c r="AM154" s="131">
        <v>0</v>
      </c>
      <c r="AN154" s="131">
        <f t="shared" si="39"/>
        <v>0</v>
      </c>
      <c r="AO154" s="131">
        <v>0</v>
      </c>
      <c r="AP154" s="131">
        <f t="shared" si="40"/>
        <v>0</v>
      </c>
      <c r="AQ154" s="131">
        <f t="shared" si="41"/>
        <v>0</v>
      </c>
      <c r="AR154" s="131">
        <v>0</v>
      </c>
    </row>
    <row r="155" spans="28:44">
      <c r="AB155" s="131">
        <f t="shared" si="28"/>
        <v>0</v>
      </c>
      <c r="AC155" s="131">
        <f t="shared" si="29"/>
        <v>0</v>
      </c>
      <c r="AD155" s="131">
        <f t="shared" si="30"/>
        <v>0</v>
      </c>
      <c r="AE155" s="131">
        <f t="shared" si="31"/>
        <v>0</v>
      </c>
      <c r="AF155" s="131">
        <f t="shared" si="32"/>
        <v>0</v>
      </c>
      <c r="AG155" s="131">
        <f t="shared" si="33"/>
        <v>0</v>
      </c>
      <c r="AH155" s="131">
        <f t="shared" si="34"/>
        <v>0</v>
      </c>
      <c r="AI155" s="131">
        <f t="shared" si="35"/>
        <v>0</v>
      </c>
      <c r="AJ155" s="131" t="e">
        <f t="shared" si="36"/>
        <v>#DIV/0!</v>
      </c>
      <c r="AK155" s="131">
        <f t="shared" si="37"/>
        <v>0</v>
      </c>
      <c r="AL155" s="131">
        <f t="shared" si="38"/>
        <v>0</v>
      </c>
      <c r="AM155" s="131">
        <v>0</v>
      </c>
      <c r="AN155" s="131">
        <f t="shared" si="39"/>
        <v>0</v>
      </c>
      <c r="AO155" s="131">
        <v>0</v>
      </c>
      <c r="AP155" s="131">
        <f t="shared" si="40"/>
        <v>0</v>
      </c>
      <c r="AQ155" s="131">
        <f t="shared" si="41"/>
        <v>0</v>
      </c>
      <c r="AR155" s="131">
        <v>0</v>
      </c>
    </row>
    <row r="156" spans="28:44">
      <c r="AB156" s="131">
        <f t="shared" si="28"/>
        <v>0</v>
      </c>
      <c r="AC156" s="131">
        <f t="shared" si="29"/>
        <v>0</v>
      </c>
      <c r="AD156" s="131">
        <f t="shared" si="30"/>
        <v>0</v>
      </c>
      <c r="AE156" s="131">
        <f t="shared" si="31"/>
        <v>0</v>
      </c>
      <c r="AF156" s="131">
        <f t="shared" si="32"/>
        <v>0</v>
      </c>
      <c r="AG156" s="131">
        <f t="shared" si="33"/>
        <v>0</v>
      </c>
      <c r="AH156" s="131">
        <f t="shared" si="34"/>
        <v>0</v>
      </c>
      <c r="AI156" s="131">
        <f t="shared" si="35"/>
        <v>0</v>
      </c>
      <c r="AJ156" s="131" t="e">
        <f t="shared" si="36"/>
        <v>#DIV/0!</v>
      </c>
      <c r="AK156" s="131">
        <f t="shared" si="37"/>
        <v>0</v>
      </c>
      <c r="AL156" s="131">
        <f t="shared" si="38"/>
        <v>0</v>
      </c>
      <c r="AM156" s="131">
        <v>0</v>
      </c>
      <c r="AN156" s="131">
        <f t="shared" si="39"/>
        <v>0</v>
      </c>
      <c r="AO156" s="131">
        <v>0</v>
      </c>
      <c r="AP156" s="131">
        <f t="shared" si="40"/>
        <v>0</v>
      </c>
      <c r="AQ156" s="131">
        <f t="shared" si="41"/>
        <v>0</v>
      </c>
      <c r="AR156" s="131">
        <v>0</v>
      </c>
    </row>
    <row r="157" spans="28:44">
      <c r="AB157" s="131">
        <f t="shared" si="28"/>
        <v>0</v>
      </c>
      <c r="AC157" s="131">
        <f t="shared" si="29"/>
        <v>0</v>
      </c>
      <c r="AD157" s="131">
        <f t="shared" si="30"/>
        <v>0</v>
      </c>
      <c r="AE157" s="131">
        <f t="shared" si="31"/>
        <v>0</v>
      </c>
      <c r="AF157" s="131">
        <f t="shared" si="32"/>
        <v>0</v>
      </c>
      <c r="AG157" s="131">
        <f t="shared" si="33"/>
        <v>0</v>
      </c>
      <c r="AH157" s="131">
        <f t="shared" si="34"/>
        <v>0</v>
      </c>
      <c r="AI157" s="131">
        <f t="shared" si="35"/>
        <v>0</v>
      </c>
      <c r="AJ157" s="131" t="e">
        <f t="shared" si="36"/>
        <v>#DIV/0!</v>
      </c>
      <c r="AK157" s="131">
        <f t="shared" si="37"/>
        <v>0</v>
      </c>
      <c r="AL157" s="131">
        <f t="shared" si="38"/>
        <v>0</v>
      </c>
      <c r="AM157" s="131">
        <v>0</v>
      </c>
      <c r="AN157" s="131">
        <f t="shared" si="39"/>
        <v>0</v>
      </c>
      <c r="AO157" s="131">
        <v>0</v>
      </c>
      <c r="AP157" s="131">
        <f t="shared" si="40"/>
        <v>0</v>
      </c>
      <c r="AQ157" s="131">
        <f t="shared" si="41"/>
        <v>0</v>
      </c>
      <c r="AR157" s="131">
        <v>0</v>
      </c>
    </row>
    <row r="158" spans="28:44">
      <c r="AB158" s="131">
        <f t="shared" si="28"/>
        <v>0</v>
      </c>
      <c r="AC158" s="131">
        <f t="shared" si="29"/>
        <v>0</v>
      </c>
      <c r="AD158" s="131">
        <f t="shared" si="30"/>
        <v>0</v>
      </c>
      <c r="AE158" s="131">
        <f t="shared" si="31"/>
        <v>0</v>
      </c>
      <c r="AF158" s="131">
        <f t="shared" si="32"/>
        <v>0</v>
      </c>
      <c r="AG158" s="131">
        <f t="shared" si="33"/>
        <v>0</v>
      </c>
      <c r="AH158" s="131">
        <f t="shared" si="34"/>
        <v>0</v>
      </c>
      <c r="AI158" s="131">
        <f t="shared" si="35"/>
        <v>0</v>
      </c>
      <c r="AJ158" s="131" t="e">
        <f t="shared" si="36"/>
        <v>#DIV/0!</v>
      </c>
      <c r="AK158" s="131">
        <f t="shared" si="37"/>
        <v>0</v>
      </c>
      <c r="AL158" s="131">
        <f t="shared" si="38"/>
        <v>0</v>
      </c>
      <c r="AM158" s="131">
        <v>0</v>
      </c>
      <c r="AN158" s="131">
        <f t="shared" si="39"/>
        <v>0</v>
      </c>
      <c r="AO158" s="131">
        <v>0</v>
      </c>
      <c r="AP158" s="131">
        <f t="shared" si="40"/>
        <v>0</v>
      </c>
      <c r="AQ158" s="131">
        <f t="shared" si="41"/>
        <v>0</v>
      </c>
      <c r="AR158" s="131">
        <v>0</v>
      </c>
    </row>
    <row r="159" spans="28:44">
      <c r="AB159" s="131">
        <f t="shared" si="28"/>
        <v>0</v>
      </c>
      <c r="AC159" s="131">
        <f t="shared" si="29"/>
        <v>0</v>
      </c>
      <c r="AD159" s="131">
        <f t="shared" si="30"/>
        <v>0</v>
      </c>
      <c r="AE159" s="131">
        <f t="shared" si="31"/>
        <v>0</v>
      </c>
      <c r="AF159" s="131">
        <f t="shared" si="32"/>
        <v>0</v>
      </c>
      <c r="AG159" s="131">
        <f t="shared" si="33"/>
        <v>0</v>
      </c>
      <c r="AH159" s="131">
        <f t="shared" si="34"/>
        <v>0</v>
      </c>
      <c r="AI159" s="131">
        <f t="shared" si="35"/>
        <v>0</v>
      </c>
      <c r="AJ159" s="131" t="e">
        <f t="shared" si="36"/>
        <v>#DIV/0!</v>
      </c>
      <c r="AK159" s="131">
        <f t="shared" si="37"/>
        <v>0</v>
      </c>
      <c r="AL159" s="131">
        <f t="shared" si="38"/>
        <v>0</v>
      </c>
      <c r="AM159" s="131">
        <v>0</v>
      </c>
      <c r="AN159" s="131">
        <f t="shared" si="39"/>
        <v>0</v>
      </c>
      <c r="AO159" s="131">
        <v>0</v>
      </c>
      <c r="AP159" s="131">
        <f t="shared" si="40"/>
        <v>0</v>
      </c>
      <c r="AQ159" s="131">
        <f t="shared" si="41"/>
        <v>0</v>
      </c>
      <c r="AR159" s="131">
        <v>0</v>
      </c>
    </row>
    <row r="160" spans="28:44">
      <c r="AB160" s="131">
        <f t="shared" si="28"/>
        <v>0</v>
      </c>
      <c r="AC160" s="131">
        <f t="shared" si="29"/>
        <v>0</v>
      </c>
      <c r="AD160" s="131">
        <f t="shared" si="30"/>
        <v>0</v>
      </c>
      <c r="AE160" s="131">
        <f t="shared" si="31"/>
        <v>0</v>
      </c>
      <c r="AF160" s="131">
        <f t="shared" si="32"/>
        <v>0</v>
      </c>
      <c r="AG160" s="131">
        <f t="shared" si="33"/>
        <v>0</v>
      </c>
      <c r="AH160" s="131">
        <f t="shared" si="34"/>
        <v>0</v>
      </c>
      <c r="AI160" s="131">
        <f t="shared" si="35"/>
        <v>0</v>
      </c>
      <c r="AJ160" s="131" t="e">
        <f t="shared" si="36"/>
        <v>#DIV/0!</v>
      </c>
      <c r="AK160" s="131">
        <f t="shared" si="37"/>
        <v>0</v>
      </c>
      <c r="AL160" s="131">
        <f t="shared" si="38"/>
        <v>0</v>
      </c>
      <c r="AM160" s="131">
        <v>0</v>
      </c>
      <c r="AN160" s="131">
        <f t="shared" si="39"/>
        <v>0</v>
      </c>
      <c r="AO160" s="131">
        <v>0</v>
      </c>
      <c r="AP160" s="131">
        <f t="shared" si="40"/>
        <v>0</v>
      </c>
      <c r="AQ160" s="131">
        <f t="shared" si="41"/>
        <v>0</v>
      </c>
      <c r="AR160" s="131">
        <v>0</v>
      </c>
    </row>
    <row r="161" spans="28:44">
      <c r="AB161" s="131">
        <f t="shared" si="28"/>
        <v>0</v>
      </c>
      <c r="AC161" s="131">
        <f t="shared" si="29"/>
        <v>0</v>
      </c>
      <c r="AD161" s="131">
        <f t="shared" si="30"/>
        <v>0</v>
      </c>
      <c r="AE161" s="131">
        <f t="shared" si="31"/>
        <v>0</v>
      </c>
      <c r="AF161" s="131">
        <f t="shared" si="32"/>
        <v>0</v>
      </c>
      <c r="AG161" s="131">
        <f t="shared" si="33"/>
        <v>0</v>
      </c>
      <c r="AH161" s="131">
        <f t="shared" si="34"/>
        <v>0</v>
      </c>
      <c r="AI161" s="131">
        <f t="shared" si="35"/>
        <v>0</v>
      </c>
      <c r="AJ161" s="131" t="e">
        <f t="shared" si="36"/>
        <v>#DIV/0!</v>
      </c>
      <c r="AK161" s="131">
        <f t="shared" si="37"/>
        <v>0</v>
      </c>
      <c r="AL161" s="131">
        <f t="shared" si="38"/>
        <v>0</v>
      </c>
      <c r="AM161" s="131">
        <v>0</v>
      </c>
      <c r="AN161" s="131">
        <f t="shared" si="39"/>
        <v>0</v>
      </c>
      <c r="AO161" s="131">
        <v>0</v>
      </c>
      <c r="AP161" s="131">
        <f t="shared" si="40"/>
        <v>0</v>
      </c>
      <c r="AQ161" s="131">
        <f t="shared" si="41"/>
        <v>0</v>
      </c>
      <c r="AR161" s="131">
        <v>0</v>
      </c>
    </row>
    <row r="162" spans="28:44">
      <c r="AB162" s="131">
        <f t="shared" si="28"/>
        <v>0</v>
      </c>
      <c r="AC162" s="131">
        <f t="shared" si="29"/>
        <v>0</v>
      </c>
      <c r="AD162" s="131">
        <f t="shared" si="30"/>
        <v>0</v>
      </c>
      <c r="AE162" s="131">
        <f t="shared" si="31"/>
        <v>0</v>
      </c>
      <c r="AF162" s="131">
        <f t="shared" si="32"/>
        <v>0</v>
      </c>
      <c r="AG162" s="131">
        <f t="shared" si="33"/>
        <v>0</v>
      </c>
      <c r="AH162" s="131">
        <f t="shared" si="34"/>
        <v>0</v>
      </c>
      <c r="AI162" s="131">
        <f t="shared" si="35"/>
        <v>0</v>
      </c>
      <c r="AJ162" s="131" t="e">
        <f t="shared" si="36"/>
        <v>#DIV/0!</v>
      </c>
      <c r="AK162" s="131">
        <f t="shared" si="37"/>
        <v>0</v>
      </c>
      <c r="AL162" s="131">
        <f t="shared" si="38"/>
        <v>0</v>
      </c>
      <c r="AM162" s="131">
        <v>0</v>
      </c>
      <c r="AN162" s="131">
        <f t="shared" si="39"/>
        <v>0</v>
      </c>
      <c r="AO162" s="131">
        <v>0</v>
      </c>
      <c r="AP162" s="131">
        <f t="shared" si="40"/>
        <v>0</v>
      </c>
      <c r="AQ162" s="131">
        <f t="shared" si="41"/>
        <v>0</v>
      </c>
      <c r="AR162" s="131">
        <v>0</v>
      </c>
    </row>
    <row r="163" spans="28:44">
      <c r="AB163" s="131">
        <f t="shared" si="28"/>
        <v>0</v>
      </c>
      <c r="AC163" s="131">
        <f t="shared" si="29"/>
        <v>0</v>
      </c>
      <c r="AD163" s="131">
        <f t="shared" si="30"/>
        <v>0</v>
      </c>
      <c r="AE163" s="131">
        <f t="shared" si="31"/>
        <v>0</v>
      </c>
      <c r="AF163" s="131">
        <f t="shared" si="32"/>
        <v>0</v>
      </c>
      <c r="AG163" s="131">
        <f t="shared" si="33"/>
        <v>0</v>
      </c>
      <c r="AH163" s="131">
        <f t="shared" si="34"/>
        <v>0</v>
      </c>
      <c r="AI163" s="131">
        <f t="shared" si="35"/>
        <v>0</v>
      </c>
      <c r="AJ163" s="131" t="e">
        <f t="shared" si="36"/>
        <v>#DIV/0!</v>
      </c>
      <c r="AK163" s="131">
        <f t="shared" si="37"/>
        <v>0</v>
      </c>
      <c r="AL163" s="131">
        <f t="shared" si="38"/>
        <v>0</v>
      </c>
      <c r="AM163" s="131">
        <v>0</v>
      </c>
      <c r="AN163" s="131">
        <f t="shared" si="39"/>
        <v>0</v>
      </c>
      <c r="AO163" s="131">
        <v>0</v>
      </c>
      <c r="AP163" s="131">
        <f t="shared" si="40"/>
        <v>0</v>
      </c>
      <c r="AQ163" s="131">
        <f t="shared" si="41"/>
        <v>0</v>
      </c>
      <c r="AR163" s="131">
        <v>0</v>
      </c>
    </row>
    <row r="164" spans="28:44">
      <c r="AB164" s="131">
        <f t="shared" si="28"/>
        <v>0</v>
      </c>
      <c r="AC164" s="131">
        <f t="shared" si="29"/>
        <v>0</v>
      </c>
      <c r="AD164" s="131">
        <f t="shared" si="30"/>
        <v>0</v>
      </c>
      <c r="AE164" s="131">
        <f t="shared" si="31"/>
        <v>0</v>
      </c>
      <c r="AF164" s="131">
        <f t="shared" si="32"/>
        <v>0</v>
      </c>
      <c r="AG164" s="131">
        <f t="shared" si="33"/>
        <v>0</v>
      </c>
      <c r="AH164" s="131">
        <f t="shared" si="34"/>
        <v>0</v>
      </c>
      <c r="AI164" s="131">
        <f t="shared" si="35"/>
        <v>0</v>
      </c>
      <c r="AJ164" s="131" t="e">
        <f t="shared" si="36"/>
        <v>#DIV/0!</v>
      </c>
      <c r="AK164" s="131">
        <f t="shared" si="37"/>
        <v>0</v>
      </c>
      <c r="AL164" s="131">
        <f t="shared" si="38"/>
        <v>0</v>
      </c>
      <c r="AM164" s="131">
        <v>0</v>
      </c>
      <c r="AN164" s="131">
        <f t="shared" si="39"/>
        <v>0</v>
      </c>
      <c r="AO164" s="131">
        <v>0</v>
      </c>
      <c r="AP164" s="131">
        <f t="shared" si="40"/>
        <v>0</v>
      </c>
      <c r="AQ164" s="131">
        <f t="shared" si="41"/>
        <v>0</v>
      </c>
      <c r="AR164" s="131">
        <v>0</v>
      </c>
    </row>
    <row r="165" spans="28:44">
      <c r="AB165" s="131">
        <f t="shared" si="28"/>
        <v>0</v>
      </c>
      <c r="AC165" s="131">
        <f t="shared" si="29"/>
        <v>0</v>
      </c>
      <c r="AD165" s="131">
        <f t="shared" si="30"/>
        <v>0</v>
      </c>
      <c r="AE165" s="131">
        <f t="shared" si="31"/>
        <v>0</v>
      </c>
      <c r="AF165" s="131">
        <f t="shared" si="32"/>
        <v>0</v>
      </c>
      <c r="AG165" s="131">
        <f t="shared" si="33"/>
        <v>0</v>
      </c>
      <c r="AH165" s="131">
        <f t="shared" si="34"/>
        <v>0</v>
      </c>
      <c r="AI165" s="131">
        <f t="shared" si="35"/>
        <v>0</v>
      </c>
      <c r="AJ165" s="131" t="e">
        <f t="shared" si="36"/>
        <v>#DIV/0!</v>
      </c>
      <c r="AK165" s="131">
        <f t="shared" si="37"/>
        <v>0</v>
      </c>
      <c r="AL165" s="131">
        <f t="shared" si="38"/>
        <v>0</v>
      </c>
      <c r="AM165" s="131">
        <v>0</v>
      </c>
      <c r="AN165" s="131">
        <f t="shared" si="39"/>
        <v>0</v>
      </c>
      <c r="AO165" s="131">
        <v>0</v>
      </c>
      <c r="AP165" s="131">
        <f t="shared" si="40"/>
        <v>0</v>
      </c>
      <c r="AQ165" s="131">
        <f t="shared" si="41"/>
        <v>0</v>
      </c>
      <c r="AR165" s="131">
        <v>0</v>
      </c>
    </row>
    <row r="166" spans="28:44">
      <c r="AB166" s="131">
        <f t="shared" si="28"/>
        <v>0</v>
      </c>
      <c r="AC166" s="131">
        <f t="shared" si="29"/>
        <v>0</v>
      </c>
      <c r="AD166" s="131">
        <f t="shared" si="30"/>
        <v>0</v>
      </c>
      <c r="AE166" s="131">
        <f t="shared" si="31"/>
        <v>0</v>
      </c>
      <c r="AF166" s="131">
        <f t="shared" si="32"/>
        <v>0</v>
      </c>
      <c r="AG166" s="131">
        <f t="shared" si="33"/>
        <v>0</v>
      </c>
      <c r="AH166" s="131">
        <f t="shared" si="34"/>
        <v>0</v>
      </c>
      <c r="AI166" s="131">
        <f t="shared" si="35"/>
        <v>0</v>
      </c>
      <c r="AJ166" s="131" t="e">
        <f t="shared" si="36"/>
        <v>#DIV/0!</v>
      </c>
      <c r="AK166" s="131">
        <f t="shared" si="37"/>
        <v>0</v>
      </c>
      <c r="AL166" s="131">
        <f t="shared" si="38"/>
        <v>0</v>
      </c>
      <c r="AM166" s="131">
        <v>0</v>
      </c>
      <c r="AN166" s="131">
        <f t="shared" si="39"/>
        <v>0</v>
      </c>
      <c r="AO166" s="131">
        <v>0</v>
      </c>
      <c r="AP166" s="131">
        <f t="shared" si="40"/>
        <v>0</v>
      </c>
      <c r="AQ166" s="131">
        <f t="shared" si="41"/>
        <v>0</v>
      </c>
      <c r="AR166" s="131">
        <v>0</v>
      </c>
    </row>
    <row r="167" spans="28:44">
      <c r="AB167" s="131">
        <f t="shared" si="28"/>
        <v>0</v>
      </c>
      <c r="AC167" s="131">
        <f t="shared" si="29"/>
        <v>0</v>
      </c>
      <c r="AD167" s="131">
        <f t="shared" si="30"/>
        <v>0</v>
      </c>
      <c r="AE167" s="131">
        <f t="shared" si="31"/>
        <v>0</v>
      </c>
      <c r="AF167" s="131">
        <f t="shared" si="32"/>
        <v>0</v>
      </c>
      <c r="AG167" s="131">
        <f t="shared" si="33"/>
        <v>0</v>
      </c>
      <c r="AH167" s="131">
        <f t="shared" si="34"/>
        <v>0</v>
      </c>
      <c r="AI167" s="131">
        <f t="shared" si="35"/>
        <v>0</v>
      </c>
      <c r="AJ167" s="131" t="e">
        <f t="shared" si="36"/>
        <v>#DIV/0!</v>
      </c>
      <c r="AK167" s="131">
        <f t="shared" si="37"/>
        <v>0</v>
      </c>
      <c r="AL167" s="131">
        <f t="shared" si="38"/>
        <v>0</v>
      </c>
      <c r="AM167" s="131">
        <v>0</v>
      </c>
      <c r="AN167" s="131">
        <f t="shared" si="39"/>
        <v>0</v>
      </c>
      <c r="AO167" s="131">
        <v>0</v>
      </c>
      <c r="AP167" s="131">
        <f t="shared" si="40"/>
        <v>0</v>
      </c>
      <c r="AQ167" s="131">
        <f t="shared" si="41"/>
        <v>0</v>
      </c>
      <c r="AR167" s="131">
        <v>0</v>
      </c>
    </row>
    <row r="168" spans="28:44">
      <c r="AB168" s="131">
        <f t="shared" si="28"/>
        <v>0</v>
      </c>
      <c r="AC168" s="131">
        <f t="shared" si="29"/>
        <v>0</v>
      </c>
      <c r="AD168" s="131">
        <f t="shared" si="30"/>
        <v>0</v>
      </c>
      <c r="AE168" s="131">
        <f t="shared" si="31"/>
        <v>0</v>
      </c>
      <c r="AF168" s="131">
        <f t="shared" si="32"/>
        <v>0</v>
      </c>
      <c r="AG168" s="131">
        <f t="shared" si="33"/>
        <v>0</v>
      </c>
      <c r="AH168" s="131">
        <f t="shared" si="34"/>
        <v>0</v>
      </c>
      <c r="AI168" s="131">
        <f t="shared" si="35"/>
        <v>0</v>
      </c>
      <c r="AJ168" s="131" t="e">
        <f t="shared" si="36"/>
        <v>#DIV/0!</v>
      </c>
      <c r="AK168" s="131">
        <f t="shared" si="37"/>
        <v>0</v>
      </c>
      <c r="AL168" s="131">
        <f t="shared" si="38"/>
        <v>0</v>
      </c>
      <c r="AM168" s="131">
        <v>0</v>
      </c>
      <c r="AN168" s="131">
        <f t="shared" si="39"/>
        <v>0</v>
      </c>
      <c r="AO168" s="131">
        <v>0</v>
      </c>
      <c r="AP168" s="131">
        <f t="shared" si="40"/>
        <v>0</v>
      </c>
      <c r="AQ168" s="131">
        <f t="shared" si="41"/>
        <v>0</v>
      </c>
      <c r="AR168" s="131">
        <v>0</v>
      </c>
    </row>
    <row r="169" spans="28:44">
      <c r="AB169" s="131">
        <f t="shared" si="28"/>
        <v>0</v>
      </c>
      <c r="AC169" s="131">
        <f t="shared" si="29"/>
        <v>0</v>
      </c>
      <c r="AD169" s="131">
        <f t="shared" si="30"/>
        <v>0</v>
      </c>
      <c r="AE169" s="131">
        <f t="shared" si="31"/>
        <v>0</v>
      </c>
      <c r="AF169" s="131">
        <f t="shared" si="32"/>
        <v>0</v>
      </c>
      <c r="AG169" s="131">
        <f t="shared" si="33"/>
        <v>0</v>
      </c>
      <c r="AH169" s="131">
        <f t="shared" si="34"/>
        <v>0</v>
      </c>
      <c r="AI169" s="131">
        <f t="shared" si="35"/>
        <v>0</v>
      </c>
      <c r="AJ169" s="131" t="e">
        <f t="shared" si="36"/>
        <v>#DIV/0!</v>
      </c>
      <c r="AK169" s="131">
        <f t="shared" si="37"/>
        <v>0</v>
      </c>
      <c r="AL169" s="131">
        <f t="shared" si="38"/>
        <v>0</v>
      </c>
      <c r="AM169" s="131">
        <v>0</v>
      </c>
      <c r="AN169" s="131">
        <f t="shared" si="39"/>
        <v>0</v>
      </c>
      <c r="AO169" s="131">
        <v>0</v>
      </c>
      <c r="AP169" s="131">
        <f t="shared" si="40"/>
        <v>0</v>
      </c>
      <c r="AQ169" s="131">
        <f t="shared" si="41"/>
        <v>0</v>
      </c>
      <c r="AR169" s="131">
        <v>0</v>
      </c>
    </row>
    <row r="170" spans="28:44">
      <c r="AB170" s="131">
        <f t="shared" si="28"/>
        <v>0</v>
      </c>
      <c r="AC170" s="131">
        <f t="shared" si="29"/>
        <v>0</v>
      </c>
      <c r="AD170" s="131">
        <f t="shared" si="30"/>
        <v>0</v>
      </c>
      <c r="AE170" s="131">
        <f t="shared" si="31"/>
        <v>0</v>
      </c>
      <c r="AF170" s="131">
        <f t="shared" si="32"/>
        <v>0</v>
      </c>
      <c r="AG170" s="131">
        <f t="shared" si="33"/>
        <v>0</v>
      </c>
      <c r="AH170" s="131">
        <f t="shared" si="34"/>
        <v>0</v>
      </c>
      <c r="AI170" s="131">
        <f t="shared" si="35"/>
        <v>0</v>
      </c>
      <c r="AJ170" s="131" t="e">
        <f t="shared" si="36"/>
        <v>#DIV/0!</v>
      </c>
      <c r="AK170" s="131">
        <f t="shared" si="37"/>
        <v>0</v>
      </c>
      <c r="AL170" s="131">
        <f t="shared" si="38"/>
        <v>0</v>
      </c>
      <c r="AM170" s="131">
        <v>0</v>
      </c>
      <c r="AN170" s="131">
        <f t="shared" si="39"/>
        <v>0</v>
      </c>
      <c r="AO170" s="131">
        <v>0</v>
      </c>
      <c r="AP170" s="131">
        <f t="shared" si="40"/>
        <v>0</v>
      </c>
      <c r="AQ170" s="131">
        <f t="shared" si="41"/>
        <v>0</v>
      </c>
      <c r="AR170" s="131">
        <v>0</v>
      </c>
    </row>
    <row r="171" spans="28:44">
      <c r="AB171" s="131">
        <f t="shared" si="28"/>
        <v>0</v>
      </c>
      <c r="AC171" s="131">
        <f t="shared" si="29"/>
        <v>0</v>
      </c>
      <c r="AD171" s="131">
        <f t="shared" si="30"/>
        <v>0</v>
      </c>
      <c r="AE171" s="131">
        <f t="shared" si="31"/>
        <v>0</v>
      </c>
      <c r="AF171" s="131">
        <f t="shared" si="32"/>
        <v>0</v>
      </c>
      <c r="AG171" s="131">
        <f t="shared" si="33"/>
        <v>0</v>
      </c>
      <c r="AH171" s="131">
        <f t="shared" si="34"/>
        <v>0</v>
      </c>
      <c r="AI171" s="131">
        <f t="shared" si="35"/>
        <v>0</v>
      </c>
      <c r="AJ171" s="131" t="e">
        <f t="shared" si="36"/>
        <v>#DIV/0!</v>
      </c>
      <c r="AK171" s="131">
        <f t="shared" si="37"/>
        <v>0</v>
      </c>
      <c r="AL171" s="131">
        <f t="shared" si="38"/>
        <v>0</v>
      </c>
      <c r="AM171" s="131">
        <v>0</v>
      </c>
      <c r="AN171" s="131">
        <f t="shared" si="39"/>
        <v>0</v>
      </c>
      <c r="AO171" s="131">
        <v>0</v>
      </c>
      <c r="AP171" s="131">
        <f t="shared" si="40"/>
        <v>0</v>
      </c>
      <c r="AQ171" s="131">
        <f t="shared" si="41"/>
        <v>0</v>
      </c>
      <c r="AR171" s="131">
        <v>0</v>
      </c>
    </row>
    <row r="172" spans="28:44">
      <c r="AB172" s="131">
        <f t="shared" si="28"/>
        <v>0</v>
      </c>
      <c r="AC172" s="131">
        <f t="shared" si="29"/>
        <v>0</v>
      </c>
      <c r="AD172" s="131">
        <f t="shared" si="30"/>
        <v>0</v>
      </c>
      <c r="AE172" s="131">
        <f t="shared" si="31"/>
        <v>0</v>
      </c>
      <c r="AF172" s="131">
        <f t="shared" si="32"/>
        <v>0</v>
      </c>
      <c r="AG172" s="131">
        <f t="shared" si="33"/>
        <v>0</v>
      </c>
      <c r="AH172" s="131">
        <f t="shared" si="34"/>
        <v>0</v>
      </c>
      <c r="AI172" s="131">
        <f t="shared" si="35"/>
        <v>0</v>
      </c>
      <c r="AJ172" s="131" t="e">
        <f t="shared" si="36"/>
        <v>#DIV/0!</v>
      </c>
      <c r="AK172" s="131">
        <f t="shared" si="37"/>
        <v>0</v>
      </c>
      <c r="AL172" s="131">
        <f t="shared" si="38"/>
        <v>0</v>
      </c>
      <c r="AM172" s="131">
        <v>0</v>
      </c>
      <c r="AN172" s="131">
        <f t="shared" si="39"/>
        <v>0</v>
      </c>
      <c r="AO172" s="131">
        <v>0</v>
      </c>
      <c r="AP172" s="131">
        <f t="shared" si="40"/>
        <v>0</v>
      </c>
      <c r="AQ172" s="131">
        <f t="shared" si="41"/>
        <v>0</v>
      </c>
      <c r="AR172" s="131">
        <v>0</v>
      </c>
    </row>
    <row r="173" spans="28:44">
      <c r="AB173" s="131">
        <f t="shared" si="28"/>
        <v>0</v>
      </c>
      <c r="AC173" s="131">
        <f t="shared" si="29"/>
        <v>0</v>
      </c>
      <c r="AD173" s="131">
        <f t="shared" si="30"/>
        <v>0</v>
      </c>
      <c r="AE173" s="131">
        <f t="shared" si="31"/>
        <v>0</v>
      </c>
      <c r="AF173" s="131">
        <f t="shared" si="32"/>
        <v>0</v>
      </c>
      <c r="AG173" s="131">
        <f t="shared" si="33"/>
        <v>0</v>
      </c>
      <c r="AH173" s="131">
        <f t="shared" si="34"/>
        <v>0</v>
      </c>
      <c r="AI173" s="131">
        <f t="shared" si="35"/>
        <v>0</v>
      </c>
      <c r="AJ173" s="131" t="e">
        <f t="shared" si="36"/>
        <v>#DIV/0!</v>
      </c>
      <c r="AK173" s="131">
        <f t="shared" si="37"/>
        <v>0</v>
      </c>
      <c r="AL173" s="131">
        <f t="shared" si="38"/>
        <v>0</v>
      </c>
      <c r="AM173" s="131">
        <v>0</v>
      </c>
      <c r="AN173" s="131">
        <f t="shared" si="39"/>
        <v>0</v>
      </c>
      <c r="AO173" s="131">
        <v>0</v>
      </c>
      <c r="AP173" s="131">
        <f t="shared" si="40"/>
        <v>0</v>
      </c>
      <c r="AQ173" s="131">
        <f t="shared" si="41"/>
        <v>0</v>
      </c>
      <c r="AR173" s="131">
        <v>0</v>
      </c>
    </row>
    <row r="174" spans="28:44">
      <c r="AB174" s="131">
        <f t="shared" si="28"/>
        <v>0</v>
      </c>
      <c r="AC174" s="131">
        <f t="shared" si="29"/>
        <v>0</v>
      </c>
      <c r="AD174" s="131">
        <f t="shared" si="30"/>
        <v>0</v>
      </c>
      <c r="AE174" s="131">
        <f t="shared" si="31"/>
        <v>0</v>
      </c>
      <c r="AF174" s="131">
        <f t="shared" si="32"/>
        <v>0</v>
      </c>
      <c r="AG174" s="131">
        <f t="shared" si="33"/>
        <v>0</v>
      </c>
      <c r="AH174" s="131">
        <f t="shared" si="34"/>
        <v>0</v>
      </c>
      <c r="AI174" s="131">
        <f t="shared" si="35"/>
        <v>0</v>
      </c>
      <c r="AJ174" s="131" t="e">
        <f t="shared" si="36"/>
        <v>#DIV/0!</v>
      </c>
      <c r="AK174" s="131">
        <f t="shared" si="37"/>
        <v>0</v>
      </c>
      <c r="AL174" s="131">
        <f t="shared" si="38"/>
        <v>0</v>
      </c>
      <c r="AM174" s="131">
        <v>0</v>
      </c>
      <c r="AN174" s="131">
        <f t="shared" si="39"/>
        <v>0</v>
      </c>
      <c r="AO174" s="131">
        <v>0</v>
      </c>
      <c r="AP174" s="131">
        <f t="shared" si="40"/>
        <v>0</v>
      </c>
      <c r="AQ174" s="131">
        <f t="shared" si="41"/>
        <v>0</v>
      </c>
      <c r="AR174" s="131">
        <v>0</v>
      </c>
    </row>
    <row r="175" spans="28:44">
      <c r="AB175" s="131">
        <f t="shared" si="28"/>
        <v>0</v>
      </c>
      <c r="AC175" s="131">
        <f t="shared" si="29"/>
        <v>0</v>
      </c>
      <c r="AD175" s="131">
        <f t="shared" si="30"/>
        <v>0</v>
      </c>
      <c r="AE175" s="131">
        <f t="shared" si="31"/>
        <v>0</v>
      </c>
      <c r="AF175" s="131">
        <f t="shared" si="32"/>
        <v>0</v>
      </c>
      <c r="AG175" s="131">
        <f t="shared" si="33"/>
        <v>0</v>
      </c>
      <c r="AH175" s="131">
        <f t="shared" si="34"/>
        <v>0</v>
      </c>
      <c r="AI175" s="131">
        <f t="shared" si="35"/>
        <v>0</v>
      </c>
      <c r="AJ175" s="131" t="e">
        <f t="shared" si="36"/>
        <v>#DIV/0!</v>
      </c>
      <c r="AK175" s="131">
        <f t="shared" si="37"/>
        <v>0</v>
      </c>
      <c r="AL175" s="131">
        <f t="shared" si="38"/>
        <v>0</v>
      </c>
      <c r="AM175" s="131">
        <v>0</v>
      </c>
      <c r="AN175" s="131">
        <f t="shared" si="39"/>
        <v>0</v>
      </c>
      <c r="AO175" s="131">
        <v>0</v>
      </c>
      <c r="AP175" s="131">
        <f t="shared" si="40"/>
        <v>0</v>
      </c>
      <c r="AQ175" s="131">
        <f t="shared" si="41"/>
        <v>0</v>
      </c>
      <c r="AR175" s="131">
        <v>0</v>
      </c>
    </row>
    <row r="176" spans="28:44">
      <c r="AB176" s="131">
        <f t="shared" si="28"/>
        <v>0</v>
      </c>
      <c r="AC176" s="131">
        <f t="shared" si="29"/>
        <v>0</v>
      </c>
      <c r="AD176" s="131">
        <f t="shared" si="30"/>
        <v>0</v>
      </c>
      <c r="AE176" s="131">
        <f t="shared" si="31"/>
        <v>0</v>
      </c>
      <c r="AF176" s="131">
        <f t="shared" si="32"/>
        <v>0</v>
      </c>
      <c r="AG176" s="131">
        <f t="shared" si="33"/>
        <v>0</v>
      </c>
      <c r="AH176" s="131">
        <f t="shared" si="34"/>
        <v>0</v>
      </c>
      <c r="AI176" s="131">
        <f t="shared" si="35"/>
        <v>0</v>
      </c>
      <c r="AJ176" s="131" t="e">
        <f t="shared" si="36"/>
        <v>#DIV/0!</v>
      </c>
      <c r="AK176" s="131">
        <f t="shared" si="37"/>
        <v>0</v>
      </c>
      <c r="AL176" s="131">
        <f t="shared" si="38"/>
        <v>0</v>
      </c>
      <c r="AM176" s="131">
        <v>0</v>
      </c>
      <c r="AN176" s="131">
        <f t="shared" si="39"/>
        <v>0</v>
      </c>
      <c r="AO176" s="131">
        <v>0</v>
      </c>
      <c r="AP176" s="131">
        <f t="shared" si="40"/>
        <v>0</v>
      </c>
      <c r="AQ176" s="131">
        <f t="shared" si="41"/>
        <v>0</v>
      </c>
      <c r="AR176" s="131">
        <v>0</v>
      </c>
    </row>
    <row r="177" spans="28:44">
      <c r="AB177" s="131">
        <f t="shared" si="28"/>
        <v>0</v>
      </c>
      <c r="AC177" s="131">
        <f t="shared" si="29"/>
        <v>0</v>
      </c>
      <c r="AD177" s="131">
        <f t="shared" si="30"/>
        <v>0</v>
      </c>
      <c r="AE177" s="131">
        <f t="shared" si="31"/>
        <v>0</v>
      </c>
      <c r="AF177" s="131">
        <f t="shared" si="32"/>
        <v>0</v>
      </c>
      <c r="AG177" s="131">
        <f t="shared" si="33"/>
        <v>0</v>
      </c>
      <c r="AH177" s="131">
        <f t="shared" si="34"/>
        <v>0</v>
      </c>
      <c r="AI177" s="131">
        <f t="shared" si="35"/>
        <v>0</v>
      </c>
      <c r="AJ177" s="131" t="e">
        <f t="shared" si="36"/>
        <v>#DIV/0!</v>
      </c>
      <c r="AK177" s="131">
        <f t="shared" si="37"/>
        <v>0</v>
      </c>
      <c r="AL177" s="131">
        <f t="shared" si="38"/>
        <v>0</v>
      </c>
      <c r="AM177" s="131">
        <v>0</v>
      </c>
      <c r="AN177" s="131">
        <f t="shared" si="39"/>
        <v>0</v>
      </c>
      <c r="AO177" s="131">
        <v>0</v>
      </c>
      <c r="AP177" s="131">
        <f t="shared" si="40"/>
        <v>0</v>
      </c>
      <c r="AQ177" s="131">
        <f t="shared" si="41"/>
        <v>0</v>
      </c>
      <c r="AR177" s="131">
        <v>0</v>
      </c>
    </row>
    <row r="178" spans="28:44">
      <c r="AB178" s="131">
        <f t="shared" si="28"/>
        <v>0</v>
      </c>
      <c r="AC178" s="131">
        <f t="shared" si="29"/>
        <v>0</v>
      </c>
      <c r="AD178" s="131">
        <f t="shared" si="30"/>
        <v>0</v>
      </c>
      <c r="AE178" s="131">
        <f t="shared" si="31"/>
        <v>0</v>
      </c>
      <c r="AF178" s="131">
        <f t="shared" si="32"/>
        <v>0</v>
      </c>
      <c r="AG178" s="131">
        <f t="shared" si="33"/>
        <v>0</v>
      </c>
      <c r="AH178" s="131">
        <f t="shared" si="34"/>
        <v>0</v>
      </c>
      <c r="AI178" s="131">
        <f t="shared" si="35"/>
        <v>0</v>
      </c>
      <c r="AJ178" s="131" t="e">
        <f t="shared" si="36"/>
        <v>#DIV/0!</v>
      </c>
      <c r="AK178" s="131">
        <f t="shared" si="37"/>
        <v>0</v>
      </c>
      <c r="AL178" s="131">
        <f t="shared" si="38"/>
        <v>0</v>
      </c>
      <c r="AM178" s="131">
        <v>0</v>
      </c>
      <c r="AN178" s="131">
        <f t="shared" si="39"/>
        <v>0</v>
      </c>
      <c r="AO178" s="131">
        <v>0</v>
      </c>
      <c r="AP178" s="131">
        <f t="shared" si="40"/>
        <v>0</v>
      </c>
      <c r="AQ178" s="131">
        <f t="shared" si="41"/>
        <v>0</v>
      </c>
      <c r="AR178" s="131">
        <v>0</v>
      </c>
    </row>
    <row r="179" spans="28:44">
      <c r="AB179" s="131">
        <f t="shared" si="28"/>
        <v>0</v>
      </c>
      <c r="AC179" s="131">
        <f t="shared" si="29"/>
        <v>0</v>
      </c>
      <c r="AD179" s="131">
        <f t="shared" si="30"/>
        <v>0</v>
      </c>
      <c r="AE179" s="131">
        <f t="shared" si="31"/>
        <v>0</v>
      </c>
      <c r="AF179" s="131">
        <f t="shared" si="32"/>
        <v>0</v>
      </c>
      <c r="AG179" s="131">
        <f t="shared" si="33"/>
        <v>0</v>
      </c>
      <c r="AH179" s="131">
        <f t="shared" si="34"/>
        <v>0</v>
      </c>
      <c r="AI179" s="131">
        <f t="shared" si="35"/>
        <v>0</v>
      </c>
      <c r="AJ179" s="131" t="e">
        <f t="shared" si="36"/>
        <v>#DIV/0!</v>
      </c>
      <c r="AK179" s="131">
        <f t="shared" si="37"/>
        <v>0</v>
      </c>
      <c r="AL179" s="131">
        <f t="shared" si="38"/>
        <v>0</v>
      </c>
      <c r="AM179" s="131">
        <v>0</v>
      </c>
      <c r="AN179" s="131">
        <f t="shared" si="39"/>
        <v>0</v>
      </c>
      <c r="AO179" s="131">
        <v>0</v>
      </c>
      <c r="AP179" s="131">
        <f t="shared" si="40"/>
        <v>0</v>
      </c>
      <c r="AQ179" s="131">
        <f t="shared" si="41"/>
        <v>0</v>
      </c>
      <c r="AR179" s="131">
        <v>0</v>
      </c>
    </row>
    <row r="180" spans="28:44">
      <c r="AB180" s="131">
        <f t="shared" si="28"/>
        <v>0</v>
      </c>
      <c r="AC180" s="131">
        <f t="shared" si="29"/>
        <v>0</v>
      </c>
      <c r="AD180" s="131">
        <f t="shared" si="30"/>
        <v>0</v>
      </c>
      <c r="AE180" s="131">
        <f t="shared" si="31"/>
        <v>0</v>
      </c>
      <c r="AF180" s="131">
        <f t="shared" si="32"/>
        <v>0</v>
      </c>
      <c r="AG180" s="131">
        <f t="shared" si="33"/>
        <v>0</v>
      </c>
      <c r="AH180" s="131">
        <f t="shared" si="34"/>
        <v>0</v>
      </c>
      <c r="AI180" s="131">
        <f t="shared" si="35"/>
        <v>0</v>
      </c>
      <c r="AJ180" s="131" t="e">
        <f t="shared" si="36"/>
        <v>#DIV/0!</v>
      </c>
      <c r="AK180" s="131">
        <f t="shared" si="37"/>
        <v>0</v>
      </c>
      <c r="AL180" s="131">
        <f t="shared" si="38"/>
        <v>0</v>
      </c>
      <c r="AM180" s="131">
        <v>0</v>
      </c>
      <c r="AN180" s="131">
        <f t="shared" si="39"/>
        <v>0</v>
      </c>
      <c r="AO180" s="131">
        <v>0</v>
      </c>
      <c r="AP180" s="131">
        <f t="shared" si="40"/>
        <v>0</v>
      </c>
      <c r="AQ180" s="131">
        <f t="shared" si="41"/>
        <v>0</v>
      </c>
      <c r="AR180" s="131">
        <v>0</v>
      </c>
    </row>
    <row r="181" spans="28:44">
      <c r="AB181" s="131">
        <f t="shared" si="28"/>
        <v>0</v>
      </c>
      <c r="AC181" s="131">
        <f t="shared" si="29"/>
        <v>0</v>
      </c>
      <c r="AD181" s="131">
        <f t="shared" si="30"/>
        <v>0</v>
      </c>
      <c r="AE181" s="131">
        <f t="shared" si="31"/>
        <v>0</v>
      </c>
      <c r="AF181" s="131">
        <f t="shared" si="32"/>
        <v>0</v>
      </c>
      <c r="AG181" s="131">
        <f t="shared" si="33"/>
        <v>0</v>
      </c>
      <c r="AH181" s="131">
        <f t="shared" si="34"/>
        <v>0</v>
      </c>
      <c r="AI181" s="131">
        <f t="shared" si="35"/>
        <v>0</v>
      </c>
      <c r="AJ181" s="131" t="e">
        <f t="shared" si="36"/>
        <v>#DIV/0!</v>
      </c>
      <c r="AK181" s="131">
        <f t="shared" si="37"/>
        <v>0</v>
      </c>
      <c r="AL181" s="131">
        <f t="shared" si="38"/>
        <v>0</v>
      </c>
      <c r="AM181" s="131">
        <v>0</v>
      </c>
      <c r="AN181" s="131">
        <f t="shared" si="39"/>
        <v>0</v>
      </c>
      <c r="AO181" s="131">
        <v>0</v>
      </c>
      <c r="AP181" s="131">
        <f t="shared" si="40"/>
        <v>0</v>
      </c>
      <c r="AQ181" s="131">
        <f t="shared" si="41"/>
        <v>0</v>
      </c>
      <c r="AR181" s="131">
        <v>0</v>
      </c>
    </row>
    <row r="182" spans="28:44">
      <c r="AB182" s="131">
        <f t="shared" si="28"/>
        <v>0</v>
      </c>
      <c r="AC182" s="131">
        <f t="shared" si="29"/>
        <v>0</v>
      </c>
      <c r="AD182" s="131">
        <f t="shared" si="30"/>
        <v>0</v>
      </c>
      <c r="AE182" s="131">
        <f t="shared" si="31"/>
        <v>0</v>
      </c>
      <c r="AF182" s="131">
        <f t="shared" si="32"/>
        <v>0</v>
      </c>
      <c r="AG182" s="131">
        <f t="shared" si="33"/>
        <v>0</v>
      </c>
      <c r="AH182" s="131">
        <f t="shared" si="34"/>
        <v>0</v>
      </c>
      <c r="AI182" s="131">
        <f t="shared" si="35"/>
        <v>0</v>
      </c>
      <c r="AJ182" s="131" t="e">
        <f t="shared" si="36"/>
        <v>#DIV/0!</v>
      </c>
      <c r="AK182" s="131">
        <f t="shared" si="37"/>
        <v>0</v>
      </c>
      <c r="AL182" s="131">
        <f t="shared" si="38"/>
        <v>0</v>
      </c>
      <c r="AM182" s="131">
        <v>0</v>
      </c>
      <c r="AN182" s="131">
        <f t="shared" si="39"/>
        <v>0</v>
      </c>
      <c r="AO182" s="131">
        <v>0</v>
      </c>
      <c r="AP182" s="131">
        <f t="shared" si="40"/>
        <v>0</v>
      </c>
      <c r="AQ182" s="131">
        <f t="shared" si="41"/>
        <v>0</v>
      </c>
      <c r="AR182" s="131">
        <v>0</v>
      </c>
    </row>
    <row r="183" spans="28:44">
      <c r="AB183" s="131">
        <f t="shared" si="28"/>
        <v>0</v>
      </c>
      <c r="AC183" s="131">
        <f t="shared" si="29"/>
        <v>0</v>
      </c>
      <c r="AD183" s="131">
        <f t="shared" si="30"/>
        <v>0</v>
      </c>
      <c r="AE183" s="131">
        <f t="shared" si="31"/>
        <v>0</v>
      </c>
      <c r="AF183" s="131">
        <f t="shared" si="32"/>
        <v>0</v>
      </c>
      <c r="AG183" s="131">
        <f t="shared" si="33"/>
        <v>0</v>
      </c>
      <c r="AH183" s="131">
        <f t="shared" si="34"/>
        <v>0</v>
      </c>
      <c r="AI183" s="131">
        <f t="shared" si="35"/>
        <v>0</v>
      </c>
      <c r="AJ183" s="131" t="e">
        <f t="shared" si="36"/>
        <v>#DIV/0!</v>
      </c>
      <c r="AK183" s="131">
        <f t="shared" si="37"/>
        <v>0</v>
      </c>
      <c r="AL183" s="131">
        <f t="shared" si="38"/>
        <v>0</v>
      </c>
      <c r="AM183" s="131">
        <v>0</v>
      </c>
      <c r="AN183" s="131">
        <f t="shared" si="39"/>
        <v>0</v>
      </c>
      <c r="AO183" s="131">
        <v>0</v>
      </c>
      <c r="AP183" s="131">
        <f t="shared" si="40"/>
        <v>0</v>
      </c>
      <c r="AQ183" s="131">
        <f t="shared" si="41"/>
        <v>0</v>
      </c>
      <c r="AR183" s="131">
        <v>0</v>
      </c>
    </row>
    <row r="184" spans="28:44">
      <c r="AB184" s="131">
        <f t="shared" si="28"/>
        <v>0</v>
      </c>
      <c r="AC184" s="131">
        <f t="shared" si="29"/>
        <v>0</v>
      </c>
      <c r="AD184" s="131">
        <f t="shared" si="30"/>
        <v>0</v>
      </c>
      <c r="AE184" s="131">
        <f t="shared" si="31"/>
        <v>0</v>
      </c>
      <c r="AF184" s="131">
        <f t="shared" si="32"/>
        <v>0</v>
      </c>
      <c r="AG184" s="131">
        <f t="shared" si="33"/>
        <v>0</v>
      </c>
      <c r="AH184" s="131">
        <f t="shared" si="34"/>
        <v>0</v>
      </c>
      <c r="AI184" s="131">
        <f t="shared" si="35"/>
        <v>0</v>
      </c>
      <c r="AJ184" s="131" t="e">
        <f t="shared" si="36"/>
        <v>#DIV/0!</v>
      </c>
      <c r="AK184" s="131">
        <f t="shared" si="37"/>
        <v>0</v>
      </c>
      <c r="AL184" s="131">
        <f t="shared" si="38"/>
        <v>0</v>
      </c>
      <c r="AM184" s="131">
        <v>0</v>
      </c>
      <c r="AN184" s="131">
        <f t="shared" si="39"/>
        <v>0</v>
      </c>
      <c r="AO184" s="131">
        <v>0</v>
      </c>
      <c r="AP184" s="131">
        <f t="shared" si="40"/>
        <v>0</v>
      </c>
      <c r="AQ184" s="131">
        <f t="shared" si="41"/>
        <v>0</v>
      </c>
      <c r="AR184" s="131">
        <v>0</v>
      </c>
    </row>
    <row r="185" spans="28:44">
      <c r="AB185" s="131">
        <f t="shared" si="28"/>
        <v>0</v>
      </c>
      <c r="AC185" s="131">
        <f t="shared" si="29"/>
        <v>0</v>
      </c>
      <c r="AD185" s="131">
        <f t="shared" si="30"/>
        <v>0</v>
      </c>
      <c r="AE185" s="131">
        <f t="shared" si="31"/>
        <v>0</v>
      </c>
      <c r="AF185" s="131">
        <f t="shared" si="32"/>
        <v>0</v>
      </c>
      <c r="AG185" s="131">
        <f t="shared" si="33"/>
        <v>0</v>
      </c>
      <c r="AH185" s="131">
        <f t="shared" si="34"/>
        <v>0</v>
      </c>
      <c r="AI185" s="131">
        <f t="shared" si="35"/>
        <v>0</v>
      </c>
      <c r="AJ185" s="131" t="e">
        <f t="shared" si="36"/>
        <v>#DIV/0!</v>
      </c>
      <c r="AK185" s="131">
        <f t="shared" si="37"/>
        <v>0</v>
      </c>
      <c r="AL185" s="131">
        <f t="shared" si="38"/>
        <v>0</v>
      </c>
      <c r="AM185" s="131">
        <v>0</v>
      </c>
      <c r="AN185" s="131">
        <f t="shared" si="39"/>
        <v>0</v>
      </c>
      <c r="AO185" s="131">
        <v>0</v>
      </c>
      <c r="AP185" s="131">
        <f t="shared" si="40"/>
        <v>0</v>
      </c>
      <c r="AQ185" s="131">
        <f t="shared" si="41"/>
        <v>0</v>
      </c>
      <c r="AR185" s="131">
        <v>0</v>
      </c>
    </row>
    <row r="186" spans="28:44">
      <c r="AB186" s="131">
        <f t="shared" si="28"/>
        <v>0</v>
      </c>
      <c r="AC186" s="131">
        <f t="shared" si="29"/>
        <v>0</v>
      </c>
      <c r="AD186" s="131">
        <f t="shared" si="30"/>
        <v>0</v>
      </c>
      <c r="AE186" s="131">
        <f t="shared" si="31"/>
        <v>0</v>
      </c>
      <c r="AF186" s="131">
        <f t="shared" si="32"/>
        <v>0</v>
      </c>
      <c r="AG186" s="131">
        <f t="shared" si="33"/>
        <v>0</v>
      </c>
      <c r="AH186" s="131">
        <f t="shared" si="34"/>
        <v>0</v>
      </c>
      <c r="AI186" s="131">
        <f t="shared" si="35"/>
        <v>0</v>
      </c>
      <c r="AJ186" s="131" t="e">
        <f t="shared" si="36"/>
        <v>#DIV/0!</v>
      </c>
      <c r="AK186" s="131">
        <f t="shared" si="37"/>
        <v>0</v>
      </c>
      <c r="AL186" s="131">
        <f t="shared" si="38"/>
        <v>0</v>
      </c>
      <c r="AM186" s="131">
        <v>0</v>
      </c>
      <c r="AN186" s="131">
        <f t="shared" si="39"/>
        <v>0</v>
      </c>
      <c r="AO186" s="131">
        <v>0</v>
      </c>
      <c r="AP186" s="131">
        <f t="shared" si="40"/>
        <v>0</v>
      </c>
      <c r="AQ186" s="131">
        <f t="shared" si="41"/>
        <v>0</v>
      </c>
      <c r="AR186" s="131">
        <v>0</v>
      </c>
    </row>
    <row r="187" spans="28:44">
      <c r="AB187" s="131">
        <f t="shared" si="28"/>
        <v>0</v>
      </c>
      <c r="AC187" s="131">
        <f t="shared" si="29"/>
        <v>0</v>
      </c>
      <c r="AD187" s="131">
        <f t="shared" si="30"/>
        <v>0</v>
      </c>
      <c r="AE187" s="131">
        <f t="shared" si="31"/>
        <v>0</v>
      </c>
      <c r="AF187" s="131">
        <f t="shared" si="32"/>
        <v>0</v>
      </c>
      <c r="AG187" s="131">
        <f t="shared" si="33"/>
        <v>0</v>
      </c>
      <c r="AH187" s="131">
        <f t="shared" si="34"/>
        <v>0</v>
      </c>
      <c r="AI187" s="131">
        <f t="shared" si="35"/>
        <v>0</v>
      </c>
      <c r="AJ187" s="131" t="e">
        <f t="shared" si="36"/>
        <v>#DIV/0!</v>
      </c>
      <c r="AK187" s="131">
        <f t="shared" si="37"/>
        <v>0</v>
      </c>
      <c r="AL187" s="131">
        <f t="shared" si="38"/>
        <v>0</v>
      </c>
      <c r="AM187" s="131">
        <v>0</v>
      </c>
      <c r="AN187" s="131">
        <f t="shared" si="39"/>
        <v>0</v>
      </c>
      <c r="AO187" s="131">
        <v>0</v>
      </c>
      <c r="AP187" s="131">
        <f t="shared" si="40"/>
        <v>0</v>
      </c>
      <c r="AQ187" s="131">
        <f t="shared" si="41"/>
        <v>0</v>
      </c>
      <c r="AR187" s="131">
        <v>0</v>
      </c>
    </row>
    <row r="188" spans="28:44">
      <c r="AB188" s="131">
        <f t="shared" si="28"/>
        <v>0</v>
      </c>
      <c r="AC188" s="131">
        <f t="shared" si="29"/>
        <v>0</v>
      </c>
      <c r="AD188" s="131">
        <f t="shared" si="30"/>
        <v>0</v>
      </c>
      <c r="AE188" s="131">
        <f t="shared" si="31"/>
        <v>0</v>
      </c>
      <c r="AF188" s="131">
        <f t="shared" si="32"/>
        <v>0</v>
      </c>
      <c r="AG188" s="131">
        <f t="shared" si="33"/>
        <v>0</v>
      </c>
      <c r="AH188" s="131">
        <f t="shared" si="34"/>
        <v>0</v>
      </c>
      <c r="AI188" s="131">
        <f t="shared" si="35"/>
        <v>0</v>
      </c>
      <c r="AJ188" s="131" t="e">
        <f t="shared" si="36"/>
        <v>#DIV/0!</v>
      </c>
      <c r="AK188" s="131">
        <f t="shared" si="37"/>
        <v>0</v>
      </c>
      <c r="AL188" s="131">
        <f t="shared" si="38"/>
        <v>0</v>
      </c>
      <c r="AM188" s="131">
        <v>0</v>
      </c>
      <c r="AN188" s="131">
        <f t="shared" si="39"/>
        <v>0</v>
      </c>
      <c r="AO188" s="131">
        <v>0</v>
      </c>
      <c r="AP188" s="131">
        <f t="shared" si="40"/>
        <v>0</v>
      </c>
      <c r="AQ188" s="131">
        <f t="shared" si="41"/>
        <v>0</v>
      </c>
      <c r="AR188" s="131">
        <v>0</v>
      </c>
    </row>
    <row r="189" spans="28:44">
      <c r="AB189" s="131">
        <f t="shared" si="28"/>
        <v>0</v>
      </c>
      <c r="AC189" s="131">
        <f t="shared" si="29"/>
        <v>0</v>
      </c>
      <c r="AD189" s="131">
        <f t="shared" si="30"/>
        <v>0</v>
      </c>
      <c r="AE189" s="131">
        <f t="shared" si="31"/>
        <v>0</v>
      </c>
      <c r="AF189" s="131">
        <f t="shared" si="32"/>
        <v>0</v>
      </c>
      <c r="AG189" s="131">
        <f t="shared" si="33"/>
        <v>0</v>
      </c>
      <c r="AH189" s="131">
        <f t="shared" si="34"/>
        <v>0</v>
      </c>
      <c r="AI189" s="131">
        <f t="shared" si="35"/>
        <v>0</v>
      </c>
      <c r="AJ189" s="131" t="e">
        <f t="shared" si="36"/>
        <v>#DIV/0!</v>
      </c>
      <c r="AK189" s="131">
        <f t="shared" si="37"/>
        <v>0</v>
      </c>
      <c r="AL189" s="131">
        <f t="shared" si="38"/>
        <v>0</v>
      </c>
      <c r="AM189" s="131">
        <v>0</v>
      </c>
      <c r="AN189" s="131">
        <f t="shared" si="39"/>
        <v>0</v>
      </c>
      <c r="AO189" s="131">
        <v>0</v>
      </c>
      <c r="AP189" s="131">
        <f t="shared" si="40"/>
        <v>0</v>
      </c>
      <c r="AQ189" s="131">
        <f t="shared" si="41"/>
        <v>0</v>
      </c>
      <c r="AR189" s="131">
        <v>0</v>
      </c>
    </row>
    <row r="190" spans="28:44">
      <c r="AB190" s="131">
        <f t="shared" si="28"/>
        <v>0</v>
      </c>
      <c r="AC190" s="131">
        <f t="shared" si="29"/>
        <v>0</v>
      </c>
      <c r="AD190" s="131">
        <f t="shared" si="30"/>
        <v>0</v>
      </c>
      <c r="AE190" s="131">
        <f t="shared" si="31"/>
        <v>0</v>
      </c>
      <c r="AF190" s="131">
        <f t="shared" si="32"/>
        <v>0</v>
      </c>
      <c r="AG190" s="131">
        <f t="shared" si="33"/>
        <v>0</v>
      </c>
      <c r="AH190" s="131">
        <f t="shared" si="34"/>
        <v>0</v>
      </c>
      <c r="AI190" s="131">
        <f t="shared" si="35"/>
        <v>0</v>
      </c>
      <c r="AJ190" s="131" t="e">
        <f t="shared" si="36"/>
        <v>#DIV/0!</v>
      </c>
      <c r="AK190" s="131">
        <f t="shared" si="37"/>
        <v>0</v>
      </c>
      <c r="AL190" s="131">
        <f t="shared" si="38"/>
        <v>0</v>
      </c>
      <c r="AM190" s="131">
        <v>0</v>
      </c>
      <c r="AN190" s="131">
        <f t="shared" si="39"/>
        <v>0</v>
      </c>
      <c r="AO190" s="131">
        <v>0</v>
      </c>
      <c r="AP190" s="131">
        <f t="shared" si="40"/>
        <v>0</v>
      </c>
      <c r="AQ190" s="131">
        <f t="shared" si="41"/>
        <v>0</v>
      </c>
      <c r="AR190" s="131">
        <v>0</v>
      </c>
    </row>
    <row r="191" spans="28:44">
      <c r="AB191" s="131">
        <f t="shared" si="28"/>
        <v>0</v>
      </c>
      <c r="AC191" s="131">
        <f t="shared" si="29"/>
        <v>0</v>
      </c>
      <c r="AD191" s="131">
        <f t="shared" si="30"/>
        <v>0</v>
      </c>
      <c r="AE191" s="131">
        <f t="shared" si="31"/>
        <v>0</v>
      </c>
      <c r="AF191" s="131">
        <f t="shared" si="32"/>
        <v>0</v>
      </c>
      <c r="AG191" s="131">
        <f t="shared" si="33"/>
        <v>0</v>
      </c>
      <c r="AH191" s="131">
        <f t="shared" si="34"/>
        <v>0</v>
      </c>
      <c r="AI191" s="131">
        <f t="shared" si="35"/>
        <v>0</v>
      </c>
      <c r="AJ191" s="131" t="e">
        <f t="shared" si="36"/>
        <v>#DIV/0!</v>
      </c>
      <c r="AK191" s="131">
        <f t="shared" si="37"/>
        <v>0</v>
      </c>
      <c r="AL191" s="131">
        <f t="shared" si="38"/>
        <v>0</v>
      </c>
      <c r="AM191" s="131">
        <v>0</v>
      </c>
      <c r="AN191" s="131">
        <f t="shared" si="39"/>
        <v>0</v>
      </c>
      <c r="AO191" s="131">
        <v>0</v>
      </c>
      <c r="AP191" s="131">
        <f t="shared" si="40"/>
        <v>0</v>
      </c>
      <c r="AQ191" s="131">
        <f t="shared" si="41"/>
        <v>0</v>
      </c>
      <c r="AR191" s="131">
        <v>0</v>
      </c>
    </row>
    <row r="192" spans="28:44">
      <c r="AB192" s="131">
        <f t="shared" si="28"/>
        <v>0</v>
      </c>
      <c r="AC192" s="131">
        <f t="shared" si="29"/>
        <v>0</v>
      </c>
      <c r="AD192" s="131">
        <f t="shared" si="30"/>
        <v>0</v>
      </c>
      <c r="AE192" s="131">
        <f t="shared" si="31"/>
        <v>0</v>
      </c>
      <c r="AF192" s="131">
        <f t="shared" si="32"/>
        <v>0</v>
      </c>
      <c r="AG192" s="131">
        <f t="shared" si="33"/>
        <v>0</v>
      </c>
      <c r="AH192" s="131">
        <f t="shared" si="34"/>
        <v>0</v>
      </c>
      <c r="AI192" s="131">
        <f t="shared" si="35"/>
        <v>0</v>
      </c>
      <c r="AJ192" s="131" t="e">
        <f t="shared" si="36"/>
        <v>#DIV/0!</v>
      </c>
      <c r="AK192" s="131">
        <f t="shared" si="37"/>
        <v>0</v>
      </c>
      <c r="AL192" s="131">
        <f t="shared" si="38"/>
        <v>0</v>
      </c>
      <c r="AM192" s="131">
        <v>0</v>
      </c>
      <c r="AN192" s="131">
        <f t="shared" si="39"/>
        <v>0</v>
      </c>
      <c r="AO192" s="131">
        <v>0</v>
      </c>
      <c r="AP192" s="131">
        <f t="shared" si="40"/>
        <v>0</v>
      </c>
      <c r="AQ192" s="131">
        <f t="shared" si="41"/>
        <v>0</v>
      </c>
      <c r="AR192" s="131">
        <v>0</v>
      </c>
    </row>
    <row r="193" spans="28:44">
      <c r="AB193" s="131">
        <f t="shared" si="28"/>
        <v>0</v>
      </c>
      <c r="AC193" s="131">
        <f t="shared" si="29"/>
        <v>0</v>
      </c>
      <c r="AD193" s="131">
        <f t="shared" si="30"/>
        <v>0</v>
      </c>
      <c r="AE193" s="131">
        <f t="shared" si="31"/>
        <v>0</v>
      </c>
      <c r="AF193" s="131">
        <f t="shared" si="32"/>
        <v>0</v>
      </c>
      <c r="AG193" s="131">
        <f t="shared" si="33"/>
        <v>0</v>
      </c>
      <c r="AH193" s="131">
        <f t="shared" si="34"/>
        <v>0</v>
      </c>
      <c r="AI193" s="131">
        <f t="shared" si="35"/>
        <v>0</v>
      </c>
      <c r="AJ193" s="131" t="e">
        <f t="shared" si="36"/>
        <v>#DIV/0!</v>
      </c>
      <c r="AK193" s="131">
        <f t="shared" si="37"/>
        <v>0</v>
      </c>
      <c r="AL193" s="131">
        <f t="shared" si="38"/>
        <v>0</v>
      </c>
      <c r="AM193" s="131">
        <v>0</v>
      </c>
      <c r="AN193" s="131">
        <f t="shared" si="39"/>
        <v>0</v>
      </c>
      <c r="AO193" s="131">
        <v>0</v>
      </c>
      <c r="AP193" s="131">
        <f t="shared" si="40"/>
        <v>0</v>
      </c>
      <c r="AQ193" s="131">
        <f t="shared" si="41"/>
        <v>0</v>
      </c>
      <c r="AR193" s="131">
        <v>0</v>
      </c>
    </row>
    <row r="194" spans="28:44">
      <c r="AB194" s="131">
        <f t="shared" si="28"/>
        <v>0</v>
      </c>
      <c r="AC194" s="131">
        <f t="shared" si="29"/>
        <v>0</v>
      </c>
      <c r="AD194" s="131">
        <f t="shared" si="30"/>
        <v>0</v>
      </c>
      <c r="AE194" s="131">
        <f t="shared" si="31"/>
        <v>0</v>
      </c>
      <c r="AF194" s="131">
        <f t="shared" si="32"/>
        <v>0</v>
      </c>
      <c r="AG194" s="131">
        <f t="shared" si="33"/>
        <v>0</v>
      </c>
      <c r="AH194" s="131">
        <f t="shared" si="34"/>
        <v>0</v>
      </c>
      <c r="AI194" s="131">
        <f t="shared" si="35"/>
        <v>0</v>
      </c>
      <c r="AJ194" s="131" t="e">
        <f t="shared" si="36"/>
        <v>#DIV/0!</v>
      </c>
      <c r="AK194" s="131">
        <f t="shared" si="37"/>
        <v>0</v>
      </c>
      <c r="AL194" s="131">
        <f t="shared" si="38"/>
        <v>0</v>
      </c>
      <c r="AM194" s="131">
        <v>0</v>
      </c>
      <c r="AN194" s="131">
        <f t="shared" si="39"/>
        <v>0</v>
      </c>
      <c r="AO194" s="131">
        <v>0</v>
      </c>
      <c r="AP194" s="131">
        <f t="shared" si="40"/>
        <v>0</v>
      </c>
      <c r="AQ194" s="131">
        <f t="shared" si="41"/>
        <v>0</v>
      </c>
      <c r="AR194" s="131">
        <v>0</v>
      </c>
    </row>
    <row r="195" spans="28:44">
      <c r="AB195" s="131">
        <f t="shared" ref="AB195:AB250" si="42">+A195</f>
        <v>0</v>
      </c>
      <c r="AC195" s="131">
        <f t="shared" ref="AC195:AC250" si="43">+B195</f>
        <v>0</v>
      </c>
      <c r="AD195" s="131">
        <f t="shared" ref="AD195:AD250" si="44">+C195</f>
        <v>0</v>
      </c>
      <c r="AE195" s="131">
        <f t="shared" ref="AE195:AE250" si="45">+E195</f>
        <v>0</v>
      </c>
      <c r="AF195" s="131">
        <f t="shared" ref="AF195:AF250" si="46">+K195</f>
        <v>0</v>
      </c>
      <c r="AG195" s="131">
        <f t="shared" ref="AG195:AG250" si="47">+L195</f>
        <v>0</v>
      </c>
      <c r="AH195" s="131">
        <f t="shared" ref="AH195:AH250" si="48">+Q195</f>
        <v>0</v>
      </c>
      <c r="AI195" s="131">
        <f t="shared" ref="AI195:AI250" si="49">+N195</f>
        <v>0</v>
      </c>
      <c r="AJ195" s="131" t="e">
        <f t="shared" ref="AJ195:AJ250" si="50">+AI195/AF195*100</f>
        <v>#DIV/0!</v>
      </c>
      <c r="AK195" s="131">
        <f t="shared" ref="AK195:AK250" si="51">+O195</f>
        <v>0</v>
      </c>
      <c r="AL195" s="131">
        <f t="shared" ref="AL195:AL250" si="52">+P195</f>
        <v>0</v>
      </c>
      <c r="AM195" s="131">
        <v>0</v>
      </c>
      <c r="AN195" s="131">
        <f t="shared" ref="AN195:AN250" si="53">+M195</f>
        <v>0</v>
      </c>
      <c r="AO195" s="131">
        <v>0</v>
      </c>
      <c r="AP195" s="131">
        <f t="shared" ref="AP195:AP250" si="54">+R195</f>
        <v>0</v>
      </c>
      <c r="AQ195" s="131">
        <f t="shared" ref="AQ195:AQ250" si="55">+AE195+AF195+AH195-AI195-AK195-AM195-AP195</f>
        <v>0</v>
      </c>
      <c r="AR195" s="131">
        <v>0</v>
      </c>
    </row>
    <row r="196" spans="28:44">
      <c r="AB196" s="131">
        <f t="shared" si="42"/>
        <v>0</v>
      </c>
      <c r="AC196" s="131">
        <f t="shared" si="43"/>
        <v>0</v>
      </c>
      <c r="AD196" s="131">
        <f t="shared" si="44"/>
        <v>0</v>
      </c>
      <c r="AE196" s="131">
        <f t="shared" si="45"/>
        <v>0</v>
      </c>
      <c r="AF196" s="131">
        <f t="shared" si="46"/>
        <v>0</v>
      </c>
      <c r="AG196" s="131">
        <f t="shared" si="47"/>
        <v>0</v>
      </c>
      <c r="AH196" s="131">
        <f t="shared" si="48"/>
        <v>0</v>
      </c>
      <c r="AI196" s="131">
        <f t="shared" si="49"/>
        <v>0</v>
      </c>
      <c r="AJ196" s="131" t="e">
        <f t="shared" si="50"/>
        <v>#DIV/0!</v>
      </c>
      <c r="AK196" s="131">
        <f t="shared" si="51"/>
        <v>0</v>
      </c>
      <c r="AL196" s="131">
        <f t="shared" si="52"/>
        <v>0</v>
      </c>
      <c r="AM196" s="131">
        <v>0</v>
      </c>
      <c r="AN196" s="131">
        <f t="shared" si="53"/>
        <v>0</v>
      </c>
      <c r="AO196" s="131">
        <v>0</v>
      </c>
      <c r="AP196" s="131">
        <f t="shared" si="54"/>
        <v>0</v>
      </c>
      <c r="AQ196" s="131">
        <f t="shared" si="55"/>
        <v>0</v>
      </c>
      <c r="AR196" s="131">
        <v>0</v>
      </c>
    </row>
    <row r="197" spans="28:44">
      <c r="AB197" s="131">
        <f t="shared" si="42"/>
        <v>0</v>
      </c>
      <c r="AC197" s="131">
        <f t="shared" si="43"/>
        <v>0</v>
      </c>
      <c r="AD197" s="131">
        <f t="shared" si="44"/>
        <v>0</v>
      </c>
      <c r="AE197" s="131">
        <f t="shared" si="45"/>
        <v>0</v>
      </c>
      <c r="AF197" s="131">
        <f t="shared" si="46"/>
        <v>0</v>
      </c>
      <c r="AG197" s="131">
        <f t="shared" si="47"/>
        <v>0</v>
      </c>
      <c r="AH197" s="131">
        <f t="shared" si="48"/>
        <v>0</v>
      </c>
      <c r="AI197" s="131">
        <f t="shared" si="49"/>
        <v>0</v>
      </c>
      <c r="AJ197" s="131" t="e">
        <f t="shared" si="50"/>
        <v>#DIV/0!</v>
      </c>
      <c r="AK197" s="131">
        <f t="shared" si="51"/>
        <v>0</v>
      </c>
      <c r="AL197" s="131">
        <f t="shared" si="52"/>
        <v>0</v>
      </c>
      <c r="AM197" s="131">
        <v>0</v>
      </c>
      <c r="AN197" s="131">
        <f t="shared" si="53"/>
        <v>0</v>
      </c>
      <c r="AO197" s="131">
        <v>0</v>
      </c>
      <c r="AP197" s="131">
        <f t="shared" si="54"/>
        <v>0</v>
      </c>
      <c r="AQ197" s="131">
        <f t="shared" si="55"/>
        <v>0</v>
      </c>
      <c r="AR197" s="131">
        <v>0</v>
      </c>
    </row>
    <row r="198" spans="28:44">
      <c r="AB198" s="131">
        <f t="shared" si="42"/>
        <v>0</v>
      </c>
      <c r="AC198" s="131">
        <f t="shared" si="43"/>
        <v>0</v>
      </c>
      <c r="AD198" s="131">
        <f t="shared" si="44"/>
        <v>0</v>
      </c>
      <c r="AE198" s="131">
        <f t="shared" si="45"/>
        <v>0</v>
      </c>
      <c r="AF198" s="131">
        <f t="shared" si="46"/>
        <v>0</v>
      </c>
      <c r="AG198" s="131">
        <f t="shared" si="47"/>
        <v>0</v>
      </c>
      <c r="AH198" s="131">
        <f t="shared" si="48"/>
        <v>0</v>
      </c>
      <c r="AI198" s="131">
        <f t="shared" si="49"/>
        <v>0</v>
      </c>
      <c r="AJ198" s="131" t="e">
        <f t="shared" si="50"/>
        <v>#DIV/0!</v>
      </c>
      <c r="AK198" s="131">
        <f t="shared" si="51"/>
        <v>0</v>
      </c>
      <c r="AL198" s="131">
        <f t="shared" si="52"/>
        <v>0</v>
      </c>
      <c r="AM198" s="131">
        <v>0</v>
      </c>
      <c r="AN198" s="131">
        <f t="shared" si="53"/>
        <v>0</v>
      </c>
      <c r="AO198" s="131">
        <v>0</v>
      </c>
      <c r="AP198" s="131">
        <f t="shared" si="54"/>
        <v>0</v>
      </c>
      <c r="AQ198" s="131">
        <f t="shared" si="55"/>
        <v>0</v>
      </c>
      <c r="AR198" s="131">
        <v>0</v>
      </c>
    </row>
    <row r="199" spans="28:44">
      <c r="AB199" s="131">
        <f t="shared" si="42"/>
        <v>0</v>
      </c>
      <c r="AC199" s="131">
        <f t="shared" si="43"/>
        <v>0</v>
      </c>
      <c r="AD199" s="131">
        <f t="shared" si="44"/>
        <v>0</v>
      </c>
      <c r="AE199" s="131">
        <f t="shared" si="45"/>
        <v>0</v>
      </c>
      <c r="AF199" s="131">
        <f t="shared" si="46"/>
        <v>0</v>
      </c>
      <c r="AG199" s="131">
        <f t="shared" si="47"/>
        <v>0</v>
      </c>
      <c r="AH199" s="131">
        <f t="shared" si="48"/>
        <v>0</v>
      </c>
      <c r="AI199" s="131">
        <f t="shared" si="49"/>
        <v>0</v>
      </c>
      <c r="AJ199" s="131" t="e">
        <f t="shared" si="50"/>
        <v>#DIV/0!</v>
      </c>
      <c r="AK199" s="131">
        <f t="shared" si="51"/>
        <v>0</v>
      </c>
      <c r="AL199" s="131">
        <f t="shared" si="52"/>
        <v>0</v>
      </c>
      <c r="AM199" s="131">
        <v>0</v>
      </c>
      <c r="AN199" s="131">
        <f t="shared" si="53"/>
        <v>0</v>
      </c>
      <c r="AO199" s="131">
        <v>0</v>
      </c>
      <c r="AP199" s="131">
        <f t="shared" si="54"/>
        <v>0</v>
      </c>
      <c r="AQ199" s="131">
        <f t="shared" si="55"/>
        <v>0</v>
      </c>
      <c r="AR199" s="131">
        <v>0</v>
      </c>
    </row>
    <row r="200" spans="28:44">
      <c r="AB200" s="131">
        <f t="shared" si="42"/>
        <v>0</v>
      </c>
      <c r="AC200" s="131">
        <f t="shared" si="43"/>
        <v>0</v>
      </c>
      <c r="AD200" s="131">
        <f t="shared" si="44"/>
        <v>0</v>
      </c>
      <c r="AE200" s="131">
        <f t="shared" si="45"/>
        <v>0</v>
      </c>
      <c r="AF200" s="131">
        <f t="shared" si="46"/>
        <v>0</v>
      </c>
      <c r="AG200" s="131">
        <f t="shared" si="47"/>
        <v>0</v>
      </c>
      <c r="AH200" s="131">
        <f t="shared" si="48"/>
        <v>0</v>
      </c>
      <c r="AI200" s="131">
        <f t="shared" si="49"/>
        <v>0</v>
      </c>
      <c r="AJ200" s="131" t="e">
        <f t="shared" si="50"/>
        <v>#DIV/0!</v>
      </c>
      <c r="AK200" s="131">
        <f t="shared" si="51"/>
        <v>0</v>
      </c>
      <c r="AL200" s="131">
        <f t="shared" si="52"/>
        <v>0</v>
      </c>
      <c r="AM200" s="131">
        <v>0</v>
      </c>
      <c r="AN200" s="131">
        <f t="shared" si="53"/>
        <v>0</v>
      </c>
      <c r="AO200" s="131">
        <v>0</v>
      </c>
      <c r="AP200" s="131">
        <f t="shared" si="54"/>
        <v>0</v>
      </c>
      <c r="AQ200" s="131">
        <f t="shared" si="55"/>
        <v>0</v>
      </c>
      <c r="AR200" s="131">
        <v>0</v>
      </c>
    </row>
    <row r="201" spans="28:44">
      <c r="AB201" s="131">
        <f t="shared" si="42"/>
        <v>0</v>
      </c>
      <c r="AC201" s="131">
        <f t="shared" si="43"/>
        <v>0</v>
      </c>
      <c r="AD201" s="131">
        <f t="shared" si="44"/>
        <v>0</v>
      </c>
      <c r="AE201" s="131">
        <f t="shared" si="45"/>
        <v>0</v>
      </c>
      <c r="AF201" s="131">
        <f t="shared" si="46"/>
        <v>0</v>
      </c>
      <c r="AG201" s="131">
        <f t="shared" si="47"/>
        <v>0</v>
      </c>
      <c r="AH201" s="131">
        <f t="shared" si="48"/>
        <v>0</v>
      </c>
      <c r="AI201" s="131">
        <f t="shared" si="49"/>
        <v>0</v>
      </c>
      <c r="AJ201" s="131" t="e">
        <f t="shared" si="50"/>
        <v>#DIV/0!</v>
      </c>
      <c r="AK201" s="131">
        <f t="shared" si="51"/>
        <v>0</v>
      </c>
      <c r="AL201" s="131">
        <f t="shared" si="52"/>
        <v>0</v>
      </c>
      <c r="AM201" s="131">
        <v>0</v>
      </c>
      <c r="AN201" s="131">
        <f t="shared" si="53"/>
        <v>0</v>
      </c>
      <c r="AO201" s="131">
        <v>0</v>
      </c>
      <c r="AP201" s="131">
        <f t="shared" si="54"/>
        <v>0</v>
      </c>
      <c r="AQ201" s="131">
        <f t="shared" si="55"/>
        <v>0</v>
      </c>
      <c r="AR201" s="131">
        <v>0</v>
      </c>
    </row>
    <row r="202" spans="28:44">
      <c r="AB202" s="131">
        <f t="shared" si="42"/>
        <v>0</v>
      </c>
      <c r="AC202" s="131">
        <f t="shared" si="43"/>
        <v>0</v>
      </c>
      <c r="AD202" s="131">
        <f t="shared" si="44"/>
        <v>0</v>
      </c>
      <c r="AE202" s="131">
        <f t="shared" si="45"/>
        <v>0</v>
      </c>
      <c r="AF202" s="131">
        <f t="shared" si="46"/>
        <v>0</v>
      </c>
      <c r="AG202" s="131">
        <f t="shared" si="47"/>
        <v>0</v>
      </c>
      <c r="AH202" s="131">
        <f t="shared" si="48"/>
        <v>0</v>
      </c>
      <c r="AI202" s="131">
        <f t="shared" si="49"/>
        <v>0</v>
      </c>
      <c r="AJ202" s="131" t="e">
        <f t="shared" si="50"/>
        <v>#DIV/0!</v>
      </c>
      <c r="AK202" s="131">
        <f t="shared" si="51"/>
        <v>0</v>
      </c>
      <c r="AL202" s="131">
        <f t="shared" si="52"/>
        <v>0</v>
      </c>
      <c r="AM202" s="131">
        <v>0</v>
      </c>
      <c r="AN202" s="131">
        <f t="shared" si="53"/>
        <v>0</v>
      </c>
      <c r="AO202" s="131">
        <v>0</v>
      </c>
      <c r="AP202" s="131">
        <f t="shared" si="54"/>
        <v>0</v>
      </c>
      <c r="AQ202" s="131">
        <f t="shared" si="55"/>
        <v>0</v>
      </c>
      <c r="AR202" s="131">
        <v>0</v>
      </c>
    </row>
    <row r="203" spans="28:44">
      <c r="AB203" s="131">
        <f t="shared" si="42"/>
        <v>0</v>
      </c>
      <c r="AC203" s="131">
        <f t="shared" si="43"/>
        <v>0</v>
      </c>
      <c r="AD203" s="131">
        <f t="shared" si="44"/>
        <v>0</v>
      </c>
      <c r="AE203" s="131">
        <f t="shared" si="45"/>
        <v>0</v>
      </c>
      <c r="AF203" s="131">
        <f t="shared" si="46"/>
        <v>0</v>
      </c>
      <c r="AG203" s="131">
        <f t="shared" si="47"/>
        <v>0</v>
      </c>
      <c r="AH203" s="131">
        <f t="shared" si="48"/>
        <v>0</v>
      </c>
      <c r="AI203" s="131">
        <f t="shared" si="49"/>
        <v>0</v>
      </c>
      <c r="AJ203" s="131" t="e">
        <f t="shared" si="50"/>
        <v>#DIV/0!</v>
      </c>
      <c r="AK203" s="131">
        <f t="shared" si="51"/>
        <v>0</v>
      </c>
      <c r="AL203" s="131">
        <f t="shared" si="52"/>
        <v>0</v>
      </c>
      <c r="AM203" s="131">
        <v>0</v>
      </c>
      <c r="AN203" s="131">
        <f t="shared" si="53"/>
        <v>0</v>
      </c>
      <c r="AO203" s="131">
        <v>0</v>
      </c>
      <c r="AP203" s="131">
        <f t="shared" si="54"/>
        <v>0</v>
      </c>
      <c r="AQ203" s="131">
        <f t="shared" si="55"/>
        <v>0</v>
      </c>
      <c r="AR203" s="131">
        <v>0</v>
      </c>
    </row>
    <row r="204" spans="28:44">
      <c r="AB204" s="131">
        <f t="shared" si="42"/>
        <v>0</v>
      </c>
      <c r="AC204" s="131">
        <f t="shared" si="43"/>
        <v>0</v>
      </c>
      <c r="AD204" s="131">
        <f t="shared" si="44"/>
        <v>0</v>
      </c>
      <c r="AE204" s="131">
        <f t="shared" si="45"/>
        <v>0</v>
      </c>
      <c r="AF204" s="131">
        <f t="shared" si="46"/>
        <v>0</v>
      </c>
      <c r="AG204" s="131">
        <f t="shared" si="47"/>
        <v>0</v>
      </c>
      <c r="AH204" s="131">
        <f t="shared" si="48"/>
        <v>0</v>
      </c>
      <c r="AI204" s="131">
        <f t="shared" si="49"/>
        <v>0</v>
      </c>
      <c r="AJ204" s="131" t="e">
        <f t="shared" si="50"/>
        <v>#DIV/0!</v>
      </c>
      <c r="AK204" s="131">
        <f t="shared" si="51"/>
        <v>0</v>
      </c>
      <c r="AL204" s="131">
        <f t="shared" si="52"/>
        <v>0</v>
      </c>
      <c r="AM204" s="131">
        <v>0</v>
      </c>
      <c r="AN204" s="131">
        <f t="shared" si="53"/>
        <v>0</v>
      </c>
      <c r="AO204" s="131">
        <v>0</v>
      </c>
      <c r="AP204" s="131">
        <f t="shared" si="54"/>
        <v>0</v>
      </c>
      <c r="AQ204" s="131">
        <f t="shared" si="55"/>
        <v>0</v>
      </c>
      <c r="AR204" s="131">
        <v>0</v>
      </c>
    </row>
    <row r="205" spans="28:44">
      <c r="AB205" s="131">
        <f t="shared" si="42"/>
        <v>0</v>
      </c>
      <c r="AC205" s="131">
        <f t="shared" si="43"/>
        <v>0</v>
      </c>
      <c r="AD205" s="131">
        <f t="shared" si="44"/>
        <v>0</v>
      </c>
      <c r="AE205" s="131">
        <f t="shared" si="45"/>
        <v>0</v>
      </c>
      <c r="AF205" s="131">
        <f t="shared" si="46"/>
        <v>0</v>
      </c>
      <c r="AG205" s="131">
        <f t="shared" si="47"/>
        <v>0</v>
      </c>
      <c r="AH205" s="131">
        <f t="shared" si="48"/>
        <v>0</v>
      </c>
      <c r="AI205" s="131">
        <f t="shared" si="49"/>
        <v>0</v>
      </c>
      <c r="AJ205" s="131" t="e">
        <f t="shared" si="50"/>
        <v>#DIV/0!</v>
      </c>
      <c r="AK205" s="131">
        <f t="shared" si="51"/>
        <v>0</v>
      </c>
      <c r="AL205" s="131">
        <f t="shared" si="52"/>
        <v>0</v>
      </c>
      <c r="AM205" s="131">
        <v>0</v>
      </c>
      <c r="AN205" s="131">
        <f t="shared" si="53"/>
        <v>0</v>
      </c>
      <c r="AO205" s="131">
        <v>0</v>
      </c>
      <c r="AP205" s="131">
        <f t="shared" si="54"/>
        <v>0</v>
      </c>
      <c r="AQ205" s="131">
        <f t="shared" si="55"/>
        <v>0</v>
      </c>
      <c r="AR205" s="131">
        <v>0</v>
      </c>
    </row>
    <row r="206" spans="28:44">
      <c r="AB206" s="131">
        <f t="shared" si="42"/>
        <v>0</v>
      </c>
      <c r="AC206" s="131">
        <f t="shared" si="43"/>
        <v>0</v>
      </c>
      <c r="AD206" s="131">
        <f t="shared" si="44"/>
        <v>0</v>
      </c>
      <c r="AE206" s="131">
        <f t="shared" si="45"/>
        <v>0</v>
      </c>
      <c r="AF206" s="131">
        <f t="shared" si="46"/>
        <v>0</v>
      </c>
      <c r="AG206" s="131">
        <f t="shared" si="47"/>
        <v>0</v>
      </c>
      <c r="AH206" s="131">
        <f t="shared" si="48"/>
        <v>0</v>
      </c>
      <c r="AI206" s="131">
        <f t="shared" si="49"/>
        <v>0</v>
      </c>
      <c r="AJ206" s="131" t="e">
        <f t="shared" si="50"/>
        <v>#DIV/0!</v>
      </c>
      <c r="AK206" s="131">
        <f t="shared" si="51"/>
        <v>0</v>
      </c>
      <c r="AL206" s="131">
        <f t="shared" si="52"/>
        <v>0</v>
      </c>
      <c r="AM206" s="131">
        <v>0</v>
      </c>
      <c r="AN206" s="131">
        <f t="shared" si="53"/>
        <v>0</v>
      </c>
      <c r="AO206" s="131">
        <v>0</v>
      </c>
      <c r="AP206" s="131">
        <f t="shared" si="54"/>
        <v>0</v>
      </c>
      <c r="AQ206" s="131">
        <f t="shared" si="55"/>
        <v>0</v>
      </c>
      <c r="AR206" s="131">
        <v>0</v>
      </c>
    </row>
    <row r="207" spans="28:44">
      <c r="AB207" s="131">
        <f t="shared" si="42"/>
        <v>0</v>
      </c>
      <c r="AC207" s="131">
        <f t="shared" si="43"/>
        <v>0</v>
      </c>
      <c r="AD207" s="131">
        <f t="shared" si="44"/>
        <v>0</v>
      </c>
      <c r="AE207" s="131">
        <f t="shared" si="45"/>
        <v>0</v>
      </c>
      <c r="AF207" s="131">
        <f t="shared" si="46"/>
        <v>0</v>
      </c>
      <c r="AG207" s="131">
        <f t="shared" si="47"/>
        <v>0</v>
      </c>
      <c r="AH207" s="131">
        <f t="shared" si="48"/>
        <v>0</v>
      </c>
      <c r="AI207" s="131">
        <f t="shared" si="49"/>
        <v>0</v>
      </c>
      <c r="AJ207" s="131" t="e">
        <f t="shared" si="50"/>
        <v>#DIV/0!</v>
      </c>
      <c r="AK207" s="131">
        <f t="shared" si="51"/>
        <v>0</v>
      </c>
      <c r="AL207" s="131">
        <f t="shared" si="52"/>
        <v>0</v>
      </c>
      <c r="AM207" s="131">
        <v>0</v>
      </c>
      <c r="AN207" s="131">
        <f t="shared" si="53"/>
        <v>0</v>
      </c>
      <c r="AO207" s="131">
        <v>0</v>
      </c>
      <c r="AP207" s="131">
        <f t="shared" si="54"/>
        <v>0</v>
      </c>
      <c r="AQ207" s="131">
        <f t="shared" si="55"/>
        <v>0</v>
      </c>
      <c r="AR207" s="131">
        <v>0</v>
      </c>
    </row>
    <row r="208" spans="28:44">
      <c r="AB208" s="131">
        <f t="shared" si="42"/>
        <v>0</v>
      </c>
      <c r="AC208" s="131">
        <f t="shared" si="43"/>
        <v>0</v>
      </c>
      <c r="AD208" s="131">
        <f t="shared" si="44"/>
        <v>0</v>
      </c>
      <c r="AE208" s="131">
        <f t="shared" si="45"/>
        <v>0</v>
      </c>
      <c r="AF208" s="131">
        <f t="shared" si="46"/>
        <v>0</v>
      </c>
      <c r="AG208" s="131">
        <f t="shared" si="47"/>
        <v>0</v>
      </c>
      <c r="AH208" s="131">
        <f t="shared" si="48"/>
        <v>0</v>
      </c>
      <c r="AI208" s="131">
        <f t="shared" si="49"/>
        <v>0</v>
      </c>
      <c r="AJ208" s="131" t="e">
        <f t="shared" si="50"/>
        <v>#DIV/0!</v>
      </c>
      <c r="AK208" s="131">
        <f t="shared" si="51"/>
        <v>0</v>
      </c>
      <c r="AL208" s="131">
        <f t="shared" si="52"/>
        <v>0</v>
      </c>
      <c r="AM208" s="131">
        <v>0</v>
      </c>
      <c r="AN208" s="131">
        <f t="shared" si="53"/>
        <v>0</v>
      </c>
      <c r="AO208" s="131">
        <v>0</v>
      </c>
      <c r="AP208" s="131">
        <f t="shared" si="54"/>
        <v>0</v>
      </c>
      <c r="AQ208" s="131">
        <f t="shared" si="55"/>
        <v>0</v>
      </c>
      <c r="AR208" s="131">
        <v>0</v>
      </c>
    </row>
    <row r="209" spans="28:44">
      <c r="AB209" s="131">
        <f t="shared" si="42"/>
        <v>0</v>
      </c>
      <c r="AC209" s="131">
        <f t="shared" si="43"/>
        <v>0</v>
      </c>
      <c r="AD209" s="131">
        <f t="shared" si="44"/>
        <v>0</v>
      </c>
      <c r="AE209" s="131">
        <f t="shared" si="45"/>
        <v>0</v>
      </c>
      <c r="AF209" s="131">
        <f t="shared" si="46"/>
        <v>0</v>
      </c>
      <c r="AG209" s="131">
        <f t="shared" si="47"/>
        <v>0</v>
      </c>
      <c r="AH209" s="131">
        <f t="shared" si="48"/>
        <v>0</v>
      </c>
      <c r="AI209" s="131">
        <f t="shared" si="49"/>
        <v>0</v>
      </c>
      <c r="AJ209" s="131" t="e">
        <f t="shared" si="50"/>
        <v>#DIV/0!</v>
      </c>
      <c r="AK209" s="131">
        <f t="shared" si="51"/>
        <v>0</v>
      </c>
      <c r="AL209" s="131">
        <f t="shared" si="52"/>
        <v>0</v>
      </c>
      <c r="AM209" s="131">
        <v>0</v>
      </c>
      <c r="AN209" s="131">
        <f t="shared" si="53"/>
        <v>0</v>
      </c>
      <c r="AO209" s="131">
        <v>0</v>
      </c>
      <c r="AP209" s="131">
        <f t="shared" si="54"/>
        <v>0</v>
      </c>
      <c r="AQ209" s="131">
        <f t="shared" si="55"/>
        <v>0</v>
      </c>
      <c r="AR209" s="131">
        <v>0</v>
      </c>
    </row>
    <row r="210" spans="28:44">
      <c r="AB210" s="131">
        <f t="shared" si="42"/>
        <v>0</v>
      </c>
      <c r="AC210" s="131">
        <f t="shared" si="43"/>
        <v>0</v>
      </c>
      <c r="AD210" s="131">
        <f t="shared" si="44"/>
        <v>0</v>
      </c>
      <c r="AE210" s="131">
        <f t="shared" si="45"/>
        <v>0</v>
      </c>
      <c r="AF210" s="131">
        <f t="shared" si="46"/>
        <v>0</v>
      </c>
      <c r="AG210" s="131">
        <f t="shared" si="47"/>
        <v>0</v>
      </c>
      <c r="AH210" s="131">
        <f t="shared" si="48"/>
        <v>0</v>
      </c>
      <c r="AI210" s="131">
        <f t="shared" si="49"/>
        <v>0</v>
      </c>
      <c r="AJ210" s="131" t="e">
        <f t="shared" si="50"/>
        <v>#DIV/0!</v>
      </c>
      <c r="AK210" s="131">
        <f t="shared" si="51"/>
        <v>0</v>
      </c>
      <c r="AL210" s="131">
        <f t="shared" si="52"/>
        <v>0</v>
      </c>
      <c r="AM210" s="131">
        <v>0</v>
      </c>
      <c r="AN210" s="131">
        <f t="shared" si="53"/>
        <v>0</v>
      </c>
      <c r="AO210" s="131">
        <v>0</v>
      </c>
      <c r="AP210" s="131">
        <f t="shared" si="54"/>
        <v>0</v>
      </c>
      <c r="AQ210" s="131">
        <f t="shared" si="55"/>
        <v>0</v>
      </c>
      <c r="AR210" s="131">
        <v>0</v>
      </c>
    </row>
    <row r="211" spans="28:44">
      <c r="AB211" s="131">
        <f t="shared" si="42"/>
        <v>0</v>
      </c>
      <c r="AC211" s="131">
        <f t="shared" si="43"/>
        <v>0</v>
      </c>
      <c r="AD211" s="131">
        <f t="shared" si="44"/>
        <v>0</v>
      </c>
      <c r="AE211" s="131">
        <f t="shared" si="45"/>
        <v>0</v>
      </c>
      <c r="AF211" s="131">
        <f t="shared" si="46"/>
        <v>0</v>
      </c>
      <c r="AG211" s="131">
        <f t="shared" si="47"/>
        <v>0</v>
      </c>
      <c r="AH211" s="131">
        <f t="shared" si="48"/>
        <v>0</v>
      </c>
      <c r="AI211" s="131">
        <f t="shared" si="49"/>
        <v>0</v>
      </c>
      <c r="AJ211" s="131" t="e">
        <f t="shared" si="50"/>
        <v>#DIV/0!</v>
      </c>
      <c r="AK211" s="131">
        <f t="shared" si="51"/>
        <v>0</v>
      </c>
      <c r="AL211" s="131">
        <f t="shared" si="52"/>
        <v>0</v>
      </c>
      <c r="AM211" s="131">
        <v>0</v>
      </c>
      <c r="AN211" s="131">
        <f t="shared" si="53"/>
        <v>0</v>
      </c>
      <c r="AO211" s="131">
        <v>0</v>
      </c>
      <c r="AP211" s="131">
        <f t="shared" si="54"/>
        <v>0</v>
      </c>
      <c r="AQ211" s="131">
        <f t="shared" si="55"/>
        <v>0</v>
      </c>
      <c r="AR211" s="131">
        <v>0</v>
      </c>
    </row>
    <row r="212" spans="28:44">
      <c r="AB212" s="131">
        <f t="shared" si="42"/>
        <v>0</v>
      </c>
      <c r="AC212" s="131">
        <f t="shared" si="43"/>
        <v>0</v>
      </c>
      <c r="AD212" s="131">
        <f t="shared" si="44"/>
        <v>0</v>
      </c>
      <c r="AE212" s="131">
        <f t="shared" si="45"/>
        <v>0</v>
      </c>
      <c r="AF212" s="131">
        <f t="shared" si="46"/>
        <v>0</v>
      </c>
      <c r="AG212" s="131">
        <f t="shared" si="47"/>
        <v>0</v>
      </c>
      <c r="AH212" s="131">
        <f t="shared" si="48"/>
        <v>0</v>
      </c>
      <c r="AI212" s="131">
        <f t="shared" si="49"/>
        <v>0</v>
      </c>
      <c r="AJ212" s="131" t="e">
        <f t="shared" si="50"/>
        <v>#DIV/0!</v>
      </c>
      <c r="AK212" s="131">
        <f t="shared" si="51"/>
        <v>0</v>
      </c>
      <c r="AL212" s="131">
        <f t="shared" si="52"/>
        <v>0</v>
      </c>
      <c r="AM212" s="131">
        <v>0</v>
      </c>
      <c r="AN212" s="131">
        <f t="shared" si="53"/>
        <v>0</v>
      </c>
      <c r="AO212" s="131">
        <v>0</v>
      </c>
      <c r="AP212" s="131">
        <f t="shared" si="54"/>
        <v>0</v>
      </c>
      <c r="AQ212" s="131">
        <f t="shared" si="55"/>
        <v>0</v>
      </c>
      <c r="AR212" s="131">
        <v>0</v>
      </c>
    </row>
    <row r="213" spans="28:44">
      <c r="AB213" s="131">
        <f t="shared" si="42"/>
        <v>0</v>
      </c>
      <c r="AC213" s="131">
        <f t="shared" si="43"/>
        <v>0</v>
      </c>
      <c r="AD213" s="131">
        <f t="shared" si="44"/>
        <v>0</v>
      </c>
      <c r="AE213" s="131">
        <f t="shared" si="45"/>
        <v>0</v>
      </c>
      <c r="AF213" s="131">
        <f t="shared" si="46"/>
        <v>0</v>
      </c>
      <c r="AG213" s="131">
        <f t="shared" si="47"/>
        <v>0</v>
      </c>
      <c r="AH213" s="131">
        <f t="shared" si="48"/>
        <v>0</v>
      </c>
      <c r="AI213" s="131">
        <f t="shared" si="49"/>
        <v>0</v>
      </c>
      <c r="AJ213" s="131" t="e">
        <f t="shared" si="50"/>
        <v>#DIV/0!</v>
      </c>
      <c r="AK213" s="131">
        <f t="shared" si="51"/>
        <v>0</v>
      </c>
      <c r="AL213" s="131">
        <f t="shared" si="52"/>
        <v>0</v>
      </c>
      <c r="AM213" s="131">
        <v>0</v>
      </c>
      <c r="AN213" s="131">
        <f t="shared" si="53"/>
        <v>0</v>
      </c>
      <c r="AO213" s="131">
        <v>0</v>
      </c>
      <c r="AP213" s="131">
        <f t="shared" si="54"/>
        <v>0</v>
      </c>
      <c r="AQ213" s="131">
        <f t="shared" si="55"/>
        <v>0</v>
      </c>
      <c r="AR213" s="131">
        <v>0</v>
      </c>
    </row>
    <row r="214" spans="28:44">
      <c r="AB214" s="131">
        <f t="shared" si="42"/>
        <v>0</v>
      </c>
      <c r="AC214" s="131">
        <f t="shared" si="43"/>
        <v>0</v>
      </c>
      <c r="AD214" s="131">
        <f t="shared" si="44"/>
        <v>0</v>
      </c>
      <c r="AE214" s="131">
        <f t="shared" si="45"/>
        <v>0</v>
      </c>
      <c r="AF214" s="131">
        <f t="shared" si="46"/>
        <v>0</v>
      </c>
      <c r="AG214" s="131">
        <f t="shared" si="47"/>
        <v>0</v>
      </c>
      <c r="AH214" s="131">
        <f t="shared" si="48"/>
        <v>0</v>
      </c>
      <c r="AI214" s="131">
        <f t="shared" si="49"/>
        <v>0</v>
      </c>
      <c r="AJ214" s="131" t="e">
        <f t="shared" si="50"/>
        <v>#DIV/0!</v>
      </c>
      <c r="AK214" s="131">
        <f t="shared" si="51"/>
        <v>0</v>
      </c>
      <c r="AL214" s="131">
        <f t="shared" si="52"/>
        <v>0</v>
      </c>
      <c r="AM214" s="131">
        <v>0</v>
      </c>
      <c r="AN214" s="131">
        <f t="shared" si="53"/>
        <v>0</v>
      </c>
      <c r="AO214" s="131">
        <v>0</v>
      </c>
      <c r="AP214" s="131">
        <f t="shared" si="54"/>
        <v>0</v>
      </c>
      <c r="AQ214" s="131">
        <f t="shared" si="55"/>
        <v>0</v>
      </c>
      <c r="AR214" s="131">
        <v>0</v>
      </c>
    </row>
    <row r="215" spans="28:44">
      <c r="AB215" s="131">
        <f t="shared" si="42"/>
        <v>0</v>
      </c>
      <c r="AC215" s="131">
        <f t="shared" si="43"/>
        <v>0</v>
      </c>
      <c r="AD215" s="131">
        <f t="shared" si="44"/>
        <v>0</v>
      </c>
      <c r="AE215" s="131">
        <f t="shared" si="45"/>
        <v>0</v>
      </c>
      <c r="AF215" s="131">
        <f t="shared" si="46"/>
        <v>0</v>
      </c>
      <c r="AG215" s="131">
        <f t="shared" si="47"/>
        <v>0</v>
      </c>
      <c r="AH215" s="131">
        <f t="shared" si="48"/>
        <v>0</v>
      </c>
      <c r="AI215" s="131">
        <f t="shared" si="49"/>
        <v>0</v>
      </c>
      <c r="AJ215" s="131" t="e">
        <f t="shared" si="50"/>
        <v>#DIV/0!</v>
      </c>
      <c r="AK215" s="131">
        <f t="shared" si="51"/>
        <v>0</v>
      </c>
      <c r="AL215" s="131">
        <f t="shared" si="52"/>
        <v>0</v>
      </c>
      <c r="AM215" s="131">
        <v>0</v>
      </c>
      <c r="AN215" s="131">
        <f t="shared" si="53"/>
        <v>0</v>
      </c>
      <c r="AO215" s="131">
        <v>0</v>
      </c>
      <c r="AP215" s="131">
        <f t="shared" si="54"/>
        <v>0</v>
      </c>
      <c r="AQ215" s="131">
        <f t="shared" si="55"/>
        <v>0</v>
      </c>
      <c r="AR215" s="131">
        <v>0</v>
      </c>
    </row>
    <row r="216" spans="28:44">
      <c r="AB216" s="131">
        <f t="shared" si="42"/>
        <v>0</v>
      </c>
      <c r="AC216" s="131">
        <f t="shared" si="43"/>
        <v>0</v>
      </c>
      <c r="AD216" s="131">
        <f t="shared" si="44"/>
        <v>0</v>
      </c>
      <c r="AE216" s="131">
        <f t="shared" si="45"/>
        <v>0</v>
      </c>
      <c r="AF216" s="131">
        <f t="shared" si="46"/>
        <v>0</v>
      </c>
      <c r="AG216" s="131">
        <f t="shared" si="47"/>
        <v>0</v>
      </c>
      <c r="AH216" s="131">
        <f t="shared" si="48"/>
        <v>0</v>
      </c>
      <c r="AI216" s="131">
        <f t="shared" si="49"/>
        <v>0</v>
      </c>
      <c r="AJ216" s="131" t="e">
        <f t="shared" si="50"/>
        <v>#DIV/0!</v>
      </c>
      <c r="AK216" s="131">
        <f t="shared" si="51"/>
        <v>0</v>
      </c>
      <c r="AL216" s="131">
        <f t="shared" si="52"/>
        <v>0</v>
      </c>
      <c r="AM216" s="131">
        <v>0</v>
      </c>
      <c r="AN216" s="131">
        <f t="shared" si="53"/>
        <v>0</v>
      </c>
      <c r="AO216" s="131">
        <v>0</v>
      </c>
      <c r="AP216" s="131">
        <f t="shared" si="54"/>
        <v>0</v>
      </c>
      <c r="AQ216" s="131">
        <f t="shared" si="55"/>
        <v>0</v>
      </c>
      <c r="AR216" s="131">
        <v>0</v>
      </c>
    </row>
    <row r="217" spans="28:44">
      <c r="AB217" s="131">
        <f t="shared" si="42"/>
        <v>0</v>
      </c>
      <c r="AC217" s="131">
        <f t="shared" si="43"/>
        <v>0</v>
      </c>
      <c r="AD217" s="131">
        <f t="shared" si="44"/>
        <v>0</v>
      </c>
      <c r="AE217" s="131">
        <f t="shared" si="45"/>
        <v>0</v>
      </c>
      <c r="AF217" s="131">
        <f t="shared" si="46"/>
        <v>0</v>
      </c>
      <c r="AG217" s="131">
        <f t="shared" si="47"/>
        <v>0</v>
      </c>
      <c r="AH217" s="131">
        <f t="shared" si="48"/>
        <v>0</v>
      </c>
      <c r="AI217" s="131">
        <f t="shared" si="49"/>
        <v>0</v>
      </c>
      <c r="AJ217" s="131" t="e">
        <f t="shared" si="50"/>
        <v>#DIV/0!</v>
      </c>
      <c r="AK217" s="131">
        <f t="shared" si="51"/>
        <v>0</v>
      </c>
      <c r="AL217" s="131">
        <f t="shared" si="52"/>
        <v>0</v>
      </c>
      <c r="AM217" s="131">
        <v>0</v>
      </c>
      <c r="AN217" s="131">
        <f t="shared" si="53"/>
        <v>0</v>
      </c>
      <c r="AO217" s="131">
        <v>0</v>
      </c>
      <c r="AP217" s="131">
        <f t="shared" si="54"/>
        <v>0</v>
      </c>
      <c r="AQ217" s="131">
        <f t="shared" si="55"/>
        <v>0</v>
      </c>
      <c r="AR217" s="131">
        <v>0</v>
      </c>
    </row>
    <row r="218" spans="28:44">
      <c r="AB218" s="131">
        <f t="shared" si="42"/>
        <v>0</v>
      </c>
      <c r="AC218" s="131">
        <f t="shared" si="43"/>
        <v>0</v>
      </c>
      <c r="AD218" s="131">
        <f t="shared" si="44"/>
        <v>0</v>
      </c>
      <c r="AE218" s="131">
        <f t="shared" si="45"/>
        <v>0</v>
      </c>
      <c r="AF218" s="131">
        <f t="shared" si="46"/>
        <v>0</v>
      </c>
      <c r="AG218" s="131">
        <f t="shared" si="47"/>
        <v>0</v>
      </c>
      <c r="AH218" s="131">
        <f t="shared" si="48"/>
        <v>0</v>
      </c>
      <c r="AI218" s="131">
        <f t="shared" si="49"/>
        <v>0</v>
      </c>
      <c r="AJ218" s="131" t="e">
        <f t="shared" si="50"/>
        <v>#DIV/0!</v>
      </c>
      <c r="AK218" s="131">
        <f t="shared" si="51"/>
        <v>0</v>
      </c>
      <c r="AL218" s="131">
        <f t="shared" si="52"/>
        <v>0</v>
      </c>
      <c r="AM218" s="131">
        <v>0</v>
      </c>
      <c r="AN218" s="131">
        <f t="shared" si="53"/>
        <v>0</v>
      </c>
      <c r="AO218" s="131">
        <v>0</v>
      </c>
      <c r="AP218" s="131">
        <f t="shared" si="54"/>
        <v>0</v>
      </c>
      <c r="AQ218" s="131">
        <f t="shared" si="55"/>
        <v>0</v>
      </c>
      <c r="AR218" s="131">
        <v>0</v>
      </c>
    </row>
    <row r="219" spans="28:44">
      <c r="AB219" s="131">
        <f t="shared" si="42"/>
        <v>0</v>
      </c>
      <c r="AC219" s="131">
        <f t="shared" si="43"/>
        <v>0</v>
      </c>
      <c r="AD219" s="131">
        <f t="shared" si="44"/>
        <v>0</v>
      </c>
      <c r="AE219" s="131">
        <f t="shared" si="45"/>
        <v>0</v>
      </c>
      <c r="AF219" s="131">
        <f t="shared" si="46"/>
        <v>0</v>
      </c>
      <c r="AG219" s="131">
        <f t="shared" si="47"/>
        <v>0</v>
      </c>
      <c r="AH219" s="131">
        <f t="shared" si="48"/>
        <v>0</v>
      </c>
      <c r="AI219" s="131">
        <f t="shared" si="49"/>
        <v>0</v>
      </c>
      <c r="AJ219" s="131" t="e">
        <f t="shared" si="50"/>
        <v>#DIV/0!</v>
      </c>
      <c r="AK219" s="131">
        <f t="shared" si="51"/>
        <v>0</v>
      </c>
      <c r="AL219" s="131">
        <f t="shared" si="52"/>
        <v>0</v>
      </c>
      <c r="AM219" s="131">
        <v>0</v>
      </c>
      <c r="AN219" s="131">
        <f t="shared" si="53"/>
        <v>0</v>
      </c>
      <c r="AO219" s="131">
        <v>0</v>
      </c>
      <c r="AP219" s="131">
        <f t="shared" si="54"/>
        <v>0</v>
      </c>
      <c r="AQ219" s="131">
        <f t="shared" si="55"/>
        <v>0</v>
      </c>
      <c r="AR219" s="131">
        <v>0</v>
      </c>
    </row>
    <row r="220" spans="28:44">
      <c r="AB220" s="131">
        <f t="shared" si="42"/>
        <v>0</v>
      </c>
      <c r="AC220" s="131">
        <f t="shared" si="43"/>
        <v>0</v>
      </c>
      <c r="AD220" s="131">
        <f t="shared" si="44"/>
        <v>0</v>
      </c>
      <c r="AE220" s="131">
        <f t="shared" si="45"/>
        <v>0</v>
      </c>
      <c r="AF220" s="131">
        <f t="shared" si="46"/>
        <v>0</v>
      </c>
      <c r="AG220" s="131">
        <f t="shared" si="47"/>
        <v>0</v>
      </c>
      <c r="AH220" s="131">
        <f t="shared" si="48"/>
        <v>0</v>
      </c>
      <c r="AI220" s="131">
        <f t="shared" si="49"/>
        <v>0</v>
      </c>
      <c r="AJ220" s="131" t="e">
        <f t="shared" si="50"/>
        <v>#DIV/0!</v>
      </c>
      <c r="AK220" s="131">
        <f t="shared" si="51"/>
        <v>0</v>
      </c>
      <c r="AL220" s="131">
        <f t="shared" si="52"/>
        <v>0</v>
      </c>
      <c r="AM220" s="131">
        <v>0</v>
      </c>
      <c r="AN220" s="131">
        <f t="shared" si="53"/>
        <v>0</v>
      </c>
      <c r="AO220" s="131">
        <v>0</v>
      </c>
      <c r="AP220" s="131">
        <f t="shared" si="54"/>
        <v>0</v>
      </c>
      <c r="AQ220" s="131">
        <f t="shared" si="55"/>
        <v>0</v>
      </c>
      <c r="AR220" s="131">
        <v>0</v>
      </c>
    </row>
    <row r="221" spans="28:44">
      <c r="AB221" s="131">
        <f t="shared" si="42"/>
        <v>0</v>
      </c>
      <c r="AC221" s="131">
        <f t="shared" si="43"/>
        <v>0</v>
      </c>
      <c r="AD221" s="131">
        <f t="shared" si="44"/>
        <v>0</v>
      </c>
      <c r="AE221" s="131">
        <f t="shared" si="45"/>
        <v>0</v>
      </c>
      <c r="AF221" s="131">
        <f t="shared" si="46"/>
        <v>0</v>
      </c>
      <c r="AG221" s="131">
        <f t="shared" si="47"/>
        <v>0</v>
      </c>
      <c r="AH221" s="131">
        <f t="shared" si="48"/>
        <v>0</v>
      </c>
      <c r="AI221" s="131">
        <f t="shared" si="49"/>
        <v>0</v>
      </c>
      <c r="AJ221" s="131" t="e">
        <f t="shared" si="50"/>
        <v>#DIV/0!</v>
      </c>
      <c r="AK221" s="131">
        <f t="shared" si="51"/>
        <v>0</v>
      </c>
      <c r="AL221" s="131">
        <f t="shared" si="52"/>
        <v>0</v>
      </c>
      <c r="AM221" s="131">
        <v>0</v>
      </c>
      <c r="AN221" s="131">
        <f t="shared" si="53"/>
        <v>0</v>
      </c>
      <c r="AO221" s="131">
        <v>0</v>
      </c>
      <c r="AP221" s="131">
        <f t="shared" si="54"/>
        <v>0</v>
      </c>
      <c r="AQ221" s="131">
        <f t="shared" si="55"/>
        <v>0</v>
      </c>
      <c r="AR221" s="131">
        <v>0</v>
      </c>
    </row>
    <row r="222" spans="28:44">
      <c r="AB222" s="131">
        <f t="shared" si="42"/>
        <v>0</v>
      </c>
      <c r="AC222" s="131">
        <f t="shared" si="43"/>
        <v>0</v>
      </c>
      <c r="AD222" s="131">
        <f t="shared" si="44"/>
        <v>0</v>
      </c>
      <c r="AE222" s="131">
        <f t="shared" si="45"/>
        <v>0</v>
      </c>
      <c r="AF222" s="131">
        <f t="shared" si="46"/>
        <v>0</v>
      </c>
      <c r="AG222" s="131">
        <f t="shared" si="47"/>
        <v>0</v>
      </c>
      <c r="AH222" s="131">
        <f t="shared" si="48"/>
        <v>0</v>
      </c>
      <c r="AI222" s="131">
        <f t="shared" si="49"/>
        <v>0</v>
      </c>
      <c r="AJ222" s="131" t="e">
        <f t="shared" si="50"/>
        <v>#DIV/0!</v>
      </c>
      <c r="AK222" s="131">
        <f t="shared" si="51"/>
        <v>0</v>
      </c>
      <c r="AL222" s="131">
        <f t="shared" si="52"/>
        <v>0</v>
      </c>
      <c r="AM222" s="131">
        <v>0</v>
      </c>
      <c r="AN222" s="131">
        <f t="shared" si="53"/>
        <v>0</v>
      </c>
      <c r="AO222" s="131">
        <v>0</v>
      </c>
      <c r="AP222" s="131">
        <f t="shared" si="54"/>
        <v>0</v>
      </c>
      <c r="AQ222" s="131">
        <f t="shared" si="55"/>
        <v>0</v>
      </c>
      <c r="AR222" s="131">
        <v>0</v>
      </c>
    </row>
    <row r="223" spans="28:44">
      <c r="AB223" s="131">
        <f t="shared" si="42"/>
        <v>0</v>
      </c>
      <c r="AC223" s="131">
        <f t="shared" si="43"/>
        <v>0</v>
      </c>
      <c r="AD223" s="131">
        <f t="shared" si="44"/>
        <v>0</v>
      </c>
      <c r="AE223" s="131">
        <f t="shared" si="45"/>
        <v>0</v>
      </c>
      <c r="AF223" s="131">
        <f t="shared" si="46"/>
        <v>0</v>
      </c>
      <c r="AG223" s="131">
        <f t="shared" si="47"/>
        <v>0</v>
      </c>
      <c r="AH223" s="131">
        <f t="shared" si="48"/>
        <v>0</v>
      </c>
      <c r="AI223" s="131">
        <f t="shared" si="49"/>
        <v>0</v>
      </c>
      <c r="AJ223" s="131" t="e">
        <f t="shared" si="50"/>
        <v>#DIV/0!</v>
      </c>
      <c r="AK223" s="131">
        <f t="shared" si="51"/>
        <v>0</v>
      </c>
      <c r="AL223" s="131">
        <f t="shared" si="52"/>
        <v>0</v>
      </c>
      <c r="AM223" s="131">
        <v>0</v>
      </c>
      <c r="AN223" s="131">
        <f t="shared" si="53"/>
        <v>0</v>
      </c>
      <c r="AO223" s="131">
        <v>0</v>
      </c>
      <c r="AP223" s="131">
        <f t="shared" si="54"/>
        <v>0</v>
      </c>
      <c r="AQ223" s="131">
        <f t="shared" si="55"/>
        <v>0</v>
      </c>
      <c r="AR223" s="131">
        <v>0</v>
      </c>
    </row>
    <row r="224" spans="28:44">
      <c r="AB224" s="131">
        <f t="shared" si="42"/>
        <v>0</v>
      </c>
      <c r="AC224" s="131">
        <f t="shared" si="43"/>
        <v>0</v>
      </c>
      <c r="AD224" s="131">
        <f t="shared" si="44"/>
        <v>0</v>
      </c>
      <c r="AE224" s="131">
        <f t="shared" si="45"/>
        <v>0</v>
      </c>
      <c r="AF224" s="131">
        <f t="shared" si="46"/>
        <v>0</v>
      </c>
      <c r="AG224" s="131">
        <f t="shared" si="47"/>
        <v>0</v>
      </c>
      <c r="AH224" s="131">
        <f t="shared" si="48"/>
        <v>0</v>
      </c>
      <c r="AI224" s="131">
        <f t="shared" si="49"/>
        <v>0</v>
      </c>
      <c r="AJ224" s="131" t="e">
        <f t="shared" si="50"/>
        <v>#DIV/0!</v>
      </c>
      <c r="AK224" s="131">
        <f t="shared" si="51"/>
        <v>0</v>
      </c>
      <c r="AL224" s="131">
        <f t="shared" si="52"/>
        <v>0</v>
      </c>
      <c r="AM224" s="131">
        <v>0</v>
      </c>
      <c r="AN224" s="131">
        <f t="shared" si="53"/>
        <v>0</v>
      </c>
      <c r="AO224" s="131">
        <v>0</v>
      </c>
      <c r="AP224" s="131">
        <f t="shared" si="54"/>
        <v>0</v>
      </c>
      <c r="AQ224" s="131">
        <f t="shared" si="55"/>
        <v>0</v>
      </c>
      <c r="AR224" s="131">
        <v>0</v>
      </c>
    </row>
    <row r="225" spans="28:44">
      <c r="AB225" s="131">
        <f t="shared" si="42"/>
        <v>0</v>
      </c>
      <c r="AC225" s="131">
        <f t="shared" si="43"/>
        <v>0</v>
      </c>
      <c r="AD225" s="131">
        <f t="shared" si="44"/>
        <v>0</v>
      </c>
      <c r="AE225" s="131">
        <f t="shared" si="45"/>
        <v>0</v>
      </c>
      <c r="AF225" s="131">
        <f t="shared" si="46"/>
        <v>0</v>
      </c>
      <c r="AG225" s="131">
        <f t="shared" si="47"/>
        <v>0</v>
      </c>
      <c r="AH225" s="131">
        <f t="shared" si="48"/>
        <v>0</v>
      </c>
      <c r="AI225" s="131">
        <f t="shared" si="49"/>
        <v>0</v>
      </c>
      <c r="AJ225" s="131" t="e">
        <f t="shared" si="50"/>
        <v>#DIV/0!</v>
      </c>
      <c r="AK225" s="131">
        <f t="shared" si="51"/>
        <v>0</v>
      </c>
      <c r="AL225" s="131">
        <f t="shared" si="52"/>
        <v>0</v>
      </c>
      <c r="AM225" s="131">
        <v>0</v>
      </c>
      <c r="AN225" s="131">
        <f t="shared" si="53"/>
        <v>0</v>
      </c>
      <c r="AO225" s="131">
        <v>0</v>
      </c>
      <c r="AP225" s="131">
        <f t="shared" si="54"/>
        <v>0</v>
      </c>
      <c r="AQ225" s="131">
        <f t="shared" si="55"/>
        <v>0</v>
      </c>
      <c r="AR225" s="131">
        <v>0</v>
      </c>
    </row>
    <row r="226" spans="28:44">
      <c r="AB226" s="131">
        <f t="shared" si="42"/>
        <v>0</v>
      </c>
      <c r="AC226" s="131">
        <f t="shared" si="43"/>
        <v>0</v>
      </c>
      <c r="AD226" s="131">
        <f t="shared" si="44"/>
        <v>0</v>
      </c>
      <c r="AE226" s="131">
        <f t="shared" si="45"/>
        <v>0</v>
      </c>
      <c r="AF226" s="131">
        <f t="shared" si="46"/>
        <v>0</v>
      </c>
      <c r="AG226" s="131">
        <f t="shared" si="47"/>
        <v>0</v>
      </c>
      <c r="AH226" s="131">
        <f t="shared" si="48"/>
        <v>0</v>
      </c>
      <c r="AI226" s="131">
        <f t="shared" si="49"/>
        <v>0</v>
      </c>
      <c r="AJ226" s="131" t="e">
        <f t="shared" si="50"/>
        <v>#DIV/0!</v>
      </c>
      <c r="AK226" s="131">
        <f t="shared" si="51"/>
        <v>0</v>
      </c>
      <c r="AL226" s="131">
        <f t="shared" si="52"/>
        <v>0</v>
      </c>
      <c r="AM226" s="131">
        <v>0</v>
      </c>
      <c r="AN226" s="131">
        <f t="shared" si="53"/>
        <v>0</v>
      </c>
      <c r="AO226" s="131">
        <v>0</v>
      </c>
      <c r="AP226" s="131">
        <f t="shared" si="54"/>
        <v>0</v>
      </c>
      <c r="AQ226" s="131">
        <f t="shared" si="55"/>
        <v>0</v>
      </c>
      <c r="AR226" s="131">
        <v>0</v>
      </c>
    </row>
    <row r="227" spans="28:44">
      <c r="AB227" s="131">
        <f t="shared" si="42"/>
        <v>0</v>
      </c>
      <c r="AC227" s="131">
        <f t="shared" si="43"/>
        <v>0</v>
      </c>
      <c r="AD227" s="131">
        <f t="shared" si="44"/>
        <v>0</v>
      </c>
      <c r="AE227" s="131">
        <f t="shared" si="45"/>
        <v>0</v>
      </c>
      <c r="AF227" s="131">
        <f t="shared" si="46"/>
        <v>0</v>
      </c>
      <c r="AG227" s="131">
        <f t="shared" si="47"/>
        <v>0</v>
      </c>
      <c r="AH227" s="131">
        <f t="shared" si="48"/>
        <v>0</v>
      </c>
      <c r="AI227" s="131">
        <f t="shared" si="49"/>
        <v>0</v>
      </c>
      <c r="AJ227" s="131" t="e">
        <f t="shared" si="50"/>
        <v>#DIV/0!</v>
      </c>
      <c r="AK227" s="131">
        <f t="shared" si="51"/>
        <v>0</v>
      </c>
      <c r="AL227" s="131">
        <f t="shared" si="52"/>
        <v>0</v>
      </c>
      <c r="AM227" s="131">
        <v>0</v>
      </c>
      <c r="AN227" s="131">
        <f t="shared" si="53"/>
        <v>0</v>
      </c>
      <c r="AO227" s="131">
        <v>0</v>
      </c>
      <c r="AP227" s="131">
        <f t="shared" si="54"/>
        <v>0</v>
      </c>
      <c r="AQ227" s="131">
        <f t="shared" si="55"/>
        <v>0</v>
      </c>
      <c r="AR227" s="131">
        <v>0</v>
      </c>
    </row>
    <row r="228" spans="28:44">
      <c r="AB228" s="131">
        <f t="shared" si="42"/>
        <v>0</v>
      </c>
      <c r="AC228" s="131">
        <f t="shared" si="43"/>
        <v>0</v>
      </c>
      <c r="AD228" s="131">
        <f t="shared" si="44"/>
        <v>0</v>
      </c>
      <c r="AE228" s="131">
        <f t="shared" si="45"/>
        <v>0</v>
      </c>
      <c r="AF228" s="131">
        <f t="shared" si="46"/>
        <v>0</v>
      </c>
      <c r="AG228" s="131">
        <f t="shared" si="47"/>
        <v>0</v>
      </c>
      <c r="AH228" s="131">
        <f t="shared" si="48"/>
        <v>0</v>
      </c>
      <c r="AI228" s="131">
        <f t="shared" si="49"/>
        <v>0</v>
      </c>
      <c r="AJ228" s="131" t="e">
        <f t="shared" si="50"/>
        <v>#DIV/0!</v>
      </c>
      <c r="AK228" s="131">
        <f t="shared" si="51"/>
        <v>0</v>
      </c>
      <c r="AL228" s="131">
        <f t="shared" si="52"/>
        <v>0</v>
      </c>
      <c r="AM228" s="131">
        <v>0</v>
      </c>
      <c r="AN228" s="131">
        <f t="shared" si="53"/>
        <v>0</v>
      </c>
      <c r="AO228" s="131">
        <v>0</v>
      </c>
      <c r="AP228" s="131">
        <f t="shared" si="54"/>
        <v>0</v>
      </c>
      <c r="AQ228" s="131">
        <f t="shared" si="55"/>
        <v>0</v>
      </c>
      <c r="AR228" s="131">
        <v>0</v>
      </c>
    </row>
    <row r="229" spans="28:44">
      <c r="AB229" s="131">
        <f t="shared" si="42"/>
        <v>0</v>
      </c>
      <c r="AC229" s="131">
        <f t="shared" si="43"/>
        <v>0</v>
      </c>
      <c r="AD229" s="131">
        <f t="shared" si="44"/>
        <v>0</v>
      </c>
      <c r="AE229" s="131">
        <f t="shared" si="45"/>
        <v>0</v>
      </c>
      <c r="AF229" s="131">
        <f t="shared" si="46"/>
        <v>0</v>
      </c>
      <c r="AG229" s="131">
        <f t="shared" si="47"/>
        <v>0</v>
      </c>
      <c r="AH229" s="131">
        <f t="shared" si="48"/>
        <v>0</v>
      </c>
      <c r="AI229" s="131">
        <f t="shared" si="49"/>
        <v>0</v>
      </c>
      <c r="AJ229" s="131" t="e">
        <f t="shared" si="50"/>
        <v>#DIV/0!</v>
      </c>
      <c r="AK229" s="131">
        <f t="shared" si="51"/>
        <v>0</v>
      </c>
      <c r="AL229" s="131">
        <f t="shared" si="52"/>
        <v>0</v>
      </c>
      <c r="AM229" s="131">
        <v>0</v>
      </c>
      <c r="AN229" s="131">
        <f t="shared" si="53"/>
        <v>0</v>
      </c>
      <c r="AO229" s="131">
        <v>0</v>
      </c>
      <c r="AP229" s="131">
        <f t="shared" si="54"/>
        <v>0</v>
      </c>
      <c r="AQ229" s="131">
        <f t="shared" si="55"/>
        <v>0</v>
      </c>
      <c r="AR229" s="131">
        <v>0</v>
      </c>
    </row>
    <row r="230" spans="28:44">
      <c r="AB230" s="131">
        <f t="shared" si="42"/>
        <v>0</v>
      </c>
      <c r="AC230" s="131">
        <f t="shared" si="43"/>
        <v>0</v>
      </c>
      <c r="AD230" s="131">
        <f t="shared" si="44"/>
        <v>0</v>
      </c>
      <c r="AE230" s="131">
        <f t="shared" si="45"/>
        <v>0</v>
      </c>
      <c r="AF230" s="131">
        <f t="shared" si="46"/>
        <v>0</v>
      </c>
      <c r="AG230" s="131">
        <f t="shared" si="47"/>
        <v>0</v>
      </c>
      <c r="AH230" s="131">
        <f t="shared" si="48"/>
        <v>0</v>
      </c>
      <c r="AI230" s="131">
        <f t="shared" si="49"/>
        <v>0</v>
      </c>
      <c r="AJ230" s="131" t="e">
        <f t="shared" si="50"/>
        <v>#DIV/0!</v>
      </c>
      <c r="AK230" s="131">
        <f t="shared" si="51"/>
        <v>0</v>
      </c>
      <c r="AL230" s="131">
        <f t="shared" si="52"/>
        <v>0</v>
      </c>
      <c r="AM230" s="131">
        <v>0</v>
      </c>
      <c r="AN230" s="131">
        <f t="shared" si="53"/>
        <v>0</v>
      </c>
      <c r="AO230" s="131">
        <v>0</v>
      </c>
      <c r="AP230" s="131">
        <f t="shared" si="54"/>
        <v>0</v>
      </c>
      <c r="AQ230" s="131">
        <f t="shared" si="55"/>
        <v>0</v>
      </c>
      <c r="AR230" s="131">
        <v>0</v>
      </c>
    </row>
    <row r="231" spans="28:44">
      <c r="AB231" s="131">
        <f t="shared" si="42"/>
        <v>0</v>
      </c>
      <c r="AC231" s="131">
        <f t="shared" si="43"/>
        <v>0</v>
      </c>
      <c r="AD231" s="131">
        <f t="shared" si="44"/>
        <v>0</v>
      </c>
      <c r="AE231" s="131">
        <f t="shared" si="45"/>
        <v>0</v>
      </c>
      <c r="AF231" s="131">
        <f t="shared" si="46"/>
        <v>0</v>
      </c>
      <c r="AG231" s="131">
        <f t="shared" si="47"/>
        <v>0</v>
      </c>
      <c r="AH231" s="131">
        <f t="shared" si="48"/>
        <v>0</v>
      </c>
      <c r="AI231" s="131">
        <f t="shared" si="49"/>
        <v>0</v>
      </c>
      <c r="AJ231" s="131" t="e">
        <f t="shared" si="50"/>
        <v>#DIV/0!</v>
      </c>
      <c r="AK231" s="131">
        <f t="shared" si="51"/>
        <v>0</v>
      </c>
      <c r="AL231" s="131">
        <f t="shared" si="52"/>
        <v>0</v>
      </c>
      <c r="AM231" s="131">
        <v>0</v>
      </c>
      <c r="AN231" s="131">
        <f t="shared" si="53"/>
        <v>0</v>
      </c>
      <c r="AO231" s="131">
        <v>0</v>
      </c>
      <c r="AP231" s="131">
        <f t="shared" si="54"/>
        <v>0</v>
      </c>
      <c r="AQ231" s="131">
        <f t="shared" si="55"/>
        <v>0</v>
      </c>
      <c r="AR231" s="131">
        <v>0</v>
      </c>
    </row>
    <row r="232" spans="28:44">
      <c r="AB232" s="131">
        <f t="shared" si="42"/>
        <v>0</v>
      </c>
      <c r="AC232" s="131">
        <f t="shared" si="43"/>
        <v>0</v>
      </c>
      <c r="AD232" s="131">
        <f t="shared" si="44"/>
        <v>0</v>
      </c>
      <c r="AE232" s="131">
        <f t="shared" si="45"/>
        <v>0</v>
      </c>
      <c r="AF232" s="131">
        <f t="shared" si="46"/>
        <v>0</v>
      </c>
      <c r="AG232" s="131">
        <f t="shared" si="47"/>
        <v>0</v>
      </c>
      <c r="AH232" s="131">
        <f t="shared" si="48"/>
        <v>0</v>
      </c>
      <c r="AI232" s="131">
        <f t="shared" si="49"/>
        <v>0</v>
      </c>
      <c r="AJ232" s="131" t="e">
        <f t="shared" si="50"/>
        <v>#DIV/0!</v>
      </c>
      <c r="AK232" s="131">
        <f t="shared" si="51"/>
        <v>0</v>
      </c>
      <c r="AL232" s="131">
        <f t="shared" si="52"/>
        <v>0</v>
      </c>
      <c r="AM232" s="131">
        <v>0</v>
      </c>
      <c r="AN232" s="131">
        <f t="shared" si="53"/>
        <v>0</v>
      </c>
      <c r="AO232" s="131">
        <v>0</v>
      </c>
      <c r="AP232" s="131">
        <f t="shared" si="54"/>
        <v>0</v>
      </c>
      <c r="AQ232" s="131">
        <f t="shared" si="55"/>
        <v>0</v>
      </c>
      <c r="AR232" s="131">
        <v>0</v>
      </c>
    </row>
    <row r="233" spans="28:44">
      <c r="AB233" s="131">
        <f t="shared" si="42"/>
        <v>0</v>
      </c>
      <c r="AC233" s="131">
        <f t="shared" si="43"/>
        <v>0</v>
      </c>
      <c r="AD233" s="131">
        <f t="shared" si="44"/>
        <v>0</v>
      </c>
      <c r="AE233" s="131">
        <f t="shared" si="45"/>
        <v>0</v>
      </c>
      <c r="AF233" s="131">
        <f t="shared" si="46"/>
        <v>0</v>
      </c>
      <c r="AG233" s="131">
        <f t="shared" si="47"/>
        <v>0</v>
      </c>
      <c r="AH233" s="131">
        <f t="shared" si="48"/>
        <v>0</v>
      </c>
      <c r="AI233" s="131">
        <f t="shared" si="49"/>
        <v>0</v>
      </c>
      <c r="AJ233" s="131" t="e">
        <f t="shared" si="50"/>
        <v>#DIV/0!</v>
      </c>
      <c r="AK233" s="131">
        <f t="shared" si="51"/>
        <v>0</v>
      </c>
      <c r="AL233" s="131">
        <f t="shared" si="52"/>
        <v>0</v>
      </c>
      <c r="AM233" s="131">
        <v>0</v>
      </c>
      <c r="AN233" s="131">
        <f t="shared" si="53"/>
        <v>0</v>
      </c>
      <c r="AO233" s="131">
        <v>0</v>
      </c>
      <c r="AP233" s="131">
        <f t="shared" si="54"/>
        <v>0</v>
      </c>
      <c r="AQ233" s="131">
        <f t="shared" si="55"/>
        <v>0</v>
      </c>
      <c r="AR233" s="131">
        <v>0</v>
      </c>
    </row>
    <row r="234" spans="28:44">
      <c r="AB234" s="131">
        <f t="shared" si="42"/>
        <v>0</v>
      </c>
      <c r="AC234" s="131">
        <f t="shared" si="43"/>
        <v>0</v>
      </c>
      <c r="AD234" s="131">
        <f t="shared" si="44"/>
        <v>0</v>
      </c>
      <c r="AE234" s="131">
        <f t="shared" si="45"/>
        <v>0</v>
      </c>
      <c r="AF234" s="131">
        <f t="shared" si="46"/>
        <v>0</v>
      </c>
      <c r="AG234" s="131">
        <f t="shared" si="47"/>
        <v>0</v>
      </c>
      <c r="AH234" s="131">
        <f t="shared" si="48"/>
        <v>0</v>
      </c>
      <c r="AI234" s="131">
        <f t="shared" si="49"/>
        <v>0</v>
      </c>
      <c r="AJ234" s="131" t="e">
        <f t="shared" si="50"/>
        <v>#DIV/0!</v>
      </c>
      <c r="AK234" s="131">
        <f t="shared" si="51"/>
        <v>0</v>
      </c>
      <c r="AL234" s="131">
        <f t="shared" si="52"/>
        <v>0</v>
      </c>
      <c r="AM234" s="131">
        <v>0</v>
      </c>
      <c r="AN234" s="131">
        <f t="shared" si="53"/>
        <v>0</v>
      </c>
      <c r="AO234" s="131">
        <v>0</v>
      </c>
      <c r="AP234" s="131">
        <f t="shared" si="54"/>
        <v>0</v>
      </c>
      <c r="AQ234" s="131">
        <f t="shared" si="55"/>
        <v>0</v>
      </c>
      <c r="AR234" s="131">
        <v>0</v>
      </c>
    </row>
    <row r="235" spans="28:44">
      <c r="AB235" s="131">
        <f t="shared" si="42"/>
        <v>0</v>
      </c>
      <c r="AC235" s="131">
        <f t="shared" si="43"/>
        <v>0</v>
      </c>
      <c r="AD235" s="131">
        <f t="shared" si="44"/>
        <v>0</v>
      </c>
      <c r="AE235" s="131">
        <f t="shared" si="45"/>
        <v>0</v>
      </c>
      <c r="AF235" s="131">
        <f t="shared" si="46"/>
        <v>0</v>
      </c>
      <c r="AG235" s="131">
        <f t="shared" si="47"/>
        <v>0</v>
      </c>
      <c r="AH235" s="131">
        <f t="shared" si="48"/>
        <v>0</v>
      </c>
      <c r="AI235" s="131">
        <f t="shared" si="49"/>
        <v>0</v>
      </c>
      <c r="AJ235" s="131" t="e">
        <f t="shared" si="50"/>
        <v>#DIV/0!</v>
      </c>
      <c r="AK235" s="131">
        <f t="shared" si="51"/>
        <v>0</v>
      </c>
      <c r="AL235" s="131">
        <f t="shared" si="52"/>
        <v>0</v>
      </c>
      <c r="AM235" s="131">
        <v>0</v>
      </c>
      <c r="AN235" s="131">
        <f t="shared" si="53"/>
        <v>0</v>
      </c>
      <c r="AO235" s="131">
        <v>0</v>
      </c>
      <c r="AP235" s="131">
        <f t="shared" si="54"/>
        <v>0</v>
      </c>
      <c r="AQ235" s="131">
        <f t="shared" si="55"/>
        <v>0</v>
      </c>
      <c r="AR235" s="131">
        <v>0</v>
      </c>
    </row>
    <row r="236" spans="28:44">
      <c r="AB236" s="131">
        <f t="shared" si="42"/>
        <v>0</v>
      </c>
      <c r="AC236" s="131">
        <f t="shared" si="43"/>
        <v>0</v>
      </c>
      <c r="AD236" s="131">
        <f t="shared" si="44"/>
        <v>0</v>
      </c>
      <c r="AE236" s="131">
        <f t="shared" si="45"/>
        <v>0</v>
      </c>
      <c r="AF236" s="131">
        <f t="shared" si="46"/>
        <v>0</v>
      </c>
      <c r="AG236" s="131">
        <f t="shared" si="47"/>
        <v>0</v>
      </c>
      <c r="AH236" s="131">
        <f t="shared" si="48"/>
        <v>0</v>
      </c>
      <c r="AI236" s="131">
        <f t="shared" si="49"/>
        <v>0</v>
      </c>
      <c r="AJ236" s="131" t="e">
        <f t="shared" si="50"/>
        <v>#DIV/0!</v>
      </c>
      <c r="AK236" s="131">
        <f t="shared" si="51"/>
        <v>0</v>
      </c>
      <c r="AL236" s="131">
        <f t="shared" si="52"/>
        <v>0</v>
      </c>
      <c r="AM236" s="131">
        <v>0</v>
      </c>
      <c r="AN236" s="131">
        <f t="shared" si="53"/>
        <v>0</v>
      </c>
      <c r="AO236" s="131">
        <v>0</v>
      </c>
      <c r="AP236" s="131">
        <f t="shared" si="54"/>
        <v>0</v>
      </c>
      <c r="AQ236" s="131">
        <f t="shared" si="55"/>
        <v>0</v>
      </c>
      <c r="AR236" s="131">
        <v>0</v>
      </c>
    </row>
    <row r="237" spans="28:44">
      <c r="AB237" s="131">
        <f t="shared" si="42"/>
        <v>0</v>
      </c>
      <c r="AC237" s="131">
        <f t="shared" si="43"/>
        <v>0</v>
      </c>
      <c r="AD237" s="131">
        <f t="shared" si="44"/>
        <v>0</v>
      </c>
      <c r="AE237" s="131">
        <f t="shared" si="45"/>
        <v>0</v>
      </c>
      <c r="AF237" s="131">
        <f t="shared" si="46"/>
        <v>0</v>
      </c>
      <c r="AG237" s="131">
        <f t="shared" si="47"/>
        <v>0</v>
      </c>
      <c r="AH237" s="131">
        <f t="shared" si="48"/>
        <v>0</v>
      </c>
      <c r="AI237" s="131">
        <f t="shared" si="49"/>
        <v>0</v>
      </c>
      <c r="AJ237" s="131" t="e">
        <f t="shared" si="50"/>
        <v>#DIV/0!</v>
      </c>
      <c r="AK237" s="131">
        <f t="shared" si="51"/>
        <v>0</v>
      </c>
      <c r="AL237" s="131">
        <f t="shared" si="52"/>
        <v>0</v>
      </c>
      <c r="AM237" s="131">
        <v>0</v>
      </c>
      <c r="AN237" s="131">
        <f t="shared" si="53"/>
        <v>0</v>
      </c>
      <c r="AO237" s="131">
        <v>0</v>
      </c>
      <c r="AP237" s="131">
        <f t="shared" si="54"/>
        <v>0</v>
      </c>
      <c r="AQ237" s="131">
        <f t="shared" si="55"/>
        <v>0</v>
      </c>
      <c r="AR237" s="131">
        <v>0</v>
      </c>
    </row>
    <row r="238" spans="28:44">
      <c r="AB238" s="131">
        <f t="shared" si="42"/>
        <v>0</v>
      </c>
      <c r="AC238" s="131">
        <f t="shared" si="43"/>
        <v>0</v>
      </c>
      <c r="AD238" s="131">
        <f t="shared" si="44"/>
        <v>0</v>
      </c>
      <c r="AE238" s="131">
        <f t="shared" si="45"/>
        <v>0</v>
      </c>
      <c r="AF238" s="131">
        <f t="shared" si="46"/>
        <v>0</v>
      </c>
      <c r="AG238" s="131">
        <f t="shared" si="47"/>
        <v>0</v>
      </c>
      <c r="AH238" s="131">
        <f t="shared" si="48"/>
        <v>0</v>
      </c>
      <c r="AI238" s="131">
        <f t="shared" si="49"/>
        <v>0</v>
      </c>
      <c r="AJ238" s="131" t="e">
        <f t="shared" si="50"/>
        <v>#DIV/0!</v>
      </c>
      <c r="AK238" s="131">
        <f t="shared" si="51"/>
        <v>0</v>
      </c>
      <c r="AL238" s="131">
        <f t="shared" si="52"/>
        <v>0</v>
      </c>
      <c r="AM238" s="131">
        <v>0</v>
      </c>
      <c r="AN238" s="131">
        <f t="shared" si="53"/>
        <v>0</v>
      </c>
      <c r="AO238" s="131">
        <v>0</v>
      </c>
      <c r="AP238" s="131">
        <f t="shared" si="54"/>
        <v>0</v>
      </c>
      <c r="AQ238" s="131">
        <f t="shared" si="55"/>
        <v>0</v>
      </c>
      <c r="AR238" s="131">
        <v>0</v>
      </c>
    </row>
    <row r="239" spans="28:44">
      <c r="AB239" s="131">
        <f t="shared" si="42"/>
        <v>0</v>
      </c>
      <c r="AC239" s="131">
        <f t="shared" si="43"/>
        <v>0</v>
      </c>
      <c r="AD239" s="131">
        <f t="shared" si="44"/>
        <v>0</v>
      </c>
      <c r="AE239" s="131">
        <f t="shared" si="45"/>
        <v>0</v>
      </c>
      <c r="AF239" s="131">
        <f t="shared" si="46"/>
        <v>0</v>
      </c>
      <c r="AG239" s="131">
        <f t="shared" si="47"/>
        <v>0</v>
      </c>
      <c r="AH239" s="131">
        <f t="shared" si="48"/>
        <v>0</v>
      </c>
      <c r="AI239" s="131">
        <f t="shared" si="49"/>
        <v>0</v>
      </c>
      <c r="AJ239" s="131" t="e">
        <f t="shared" si="50"/>
        <v>#DIV/0!</v>
      </c>
      <c r="AK239" s="131">
        <f t="shared" si="51"/>
        <v>0</v>
      </c>
      <c r="AL239" s="131">
        <f t="shared" si="52"/>
        <v>0</v>
      </c>
      <c r="AM239" s="131">
        <v>0</v>
      </c>
      <c r="AN239" s="131">
        <f t="shared" si="53"/>
        <v>0</v>
      </c>
      <c r="AO239" s="131">
        <v>0</v>
      </c>
      <c r="AP239" s="131">
        <f t="shared" si="54"/>
        <v>0</v>
      </c>
      <c r="AQ239" s="131">
        <f t="shared" si="55"/>
        <v>0</v>
      </c>
      <c r="AR239" s="131">
        <v>0</v>
      </c>
    </row>
    <row r="240" spans="28:44">
      <c r="AB240" s="131">
        <f t="shared" si="42"/>
        <v>0</v>
      </c>
      <c r="AC240" s="131">
        <f t="shared" si="43"/>
        <v>0</v>
      </c>
      <c r="AD240" s="131">
        <f t="shared" si="44"/>
        <v>0</v>
      </c>
      <c r="AE240" s="131">
        <f t="shared" si="45"/>
        <v>0</v>
      </c>
      <c r="AF240" s="131">
        <f t="shared" si="46"/>
        <v>0</v>
      </c>
      <c r="AG240" s="131">
        <f t="shared" si="47"/>
        <v>0</v>
      </c>
      <c r="AH240" s="131">
        <f t="shared" si="48"/>
        <v>0</v>
      </c>
      <c r="AI240" s="131">
        <f t="shared" si="49"/>
        <v>0</v>
      </c>
      <c r="AJ240" s="131" t="e">
        <f t="shared" si="50"/>
        <v>#DIV/0!</v>
      </c>
      <c r="AK240" s="131">
        <f t="shared" si="51"/>
        <v>0</v>
      </c>
      <c r="AL240" s="131">
        <f t="shared" si="52"/>
        <v>0</v>
      </c>
      <c r="AM240" s="131">
        <v>0</v>
      </c>
      <c r="AN240" s="131">
        <f t="shared" si="53"/>
        <v>0</v>
      </c>
      <c r="AO240" s="131">
        <v>0</v>
      </c>
      <c r="AP240" s="131">
        <f t="shared" si="54"/>
        <v>0</v>
      </c>
      <c r="AQ240" s="131">
        <f t="shared" si="55"/>
        <v>0</v>
      </c>
      <c r="AR240" s="131">
        <v>0</v>
      </c>
    </row>
    <row r="241" spans="28:44">
      <c r="AB241" s="131">
        <f t="shared" si="42"/>
        <v>0</v>
      </c>
      <c r="AC241" s="131">
        <f t="shared" si="43"/>
        <v>0</v>
      </c>
      <c r="AD241" s="131">
        <f t="shared" si="44"/>
        <v>0</v>
      </c>
      <c r="AE241" s="131">
        <f t="shared" si="45"/>
        <v>0</v>
      </c>
      <c r="AF241" s="131">
        <f t="shared" si="46"/>
        <v>0</v>
      </c>
      <c r="AG241" s="131">
        <f t="shared" si="47"/>
        <v>0</v>
      </c>
      <c r="AH241" s="131">
        <f t="shared" si="48"/>
        <v>0</v>
      </c>
      <c r="AI241" s="131">
        <f t="shared" si="49"/>
        <v>0</v>
      </c>
      <c r="AJ241" s="131" t="e">
        <f t="shared" si="50"/>
        <v>#DIV/0!</v>
      </c>
      <c r="AK241" s="131">
        <f t="shared" si="51"/>
        <v>0</v>
      </c>
      <c r="AL241" s="131">
        <f t="shared" si="52"/>
        <v>0</v>
      </c>
      <c r="AM241" s="131">
        <v>0</v>
      </c>
      <c r="AN241" s="131">
        <f t="shared" si="53"/>
        <v>0</v>
      </c>
      <c r="AO241" s="131">
        <v>0</v>
      </c>
      <c r="AP241" s="131">
        <f t="shared" si="54"/>
        <v>0</v>
      </c>
      <c r="AQ241" s="131">
        <f t="shared" si="55"/>
        <v>0</v>
      </c>
      <c r="AR241" s="131">
        <v>0</v>
      </c>
    </row>
    <row r="242" spans="28:44">
      <c r="AB242" s="131">
        <f t="shared" si="42"/>
        <v>0</v>
      </c>
      <c r="AC242" s="131">
        <f t="shared" si="43"/>
        <v>0</v>
      </c>
      <c r="AD242" s="131">
        <f t="shared" si="44"/>
        <v>0</v>
      </c>
      <c r="AE242" s="131">
        <f t="shared" si="45"/>
        <v>0</v>
      </c>
      <c r="AF242" s="131">
        <f t="shared" si="46"/>
        <v>0</v>
      </c>
      <c r="AG242" s="131">
        <f t="shared" si="47"/>
        <v>0</v>
      </c>
      <c r="AH242" s="131">
        <f t="shared" si="48"/>
        <v>0</v>
      </c>
      <c r="AI242" s="131">
        <f t="shared" si="49"/>
        <v>0</v>
      </c>
      <c r="AJ242" s="131" t="e">
        <f t="shared" si="50"/>
        <v>#DIV/0!</v>
      </c>
      <c r="AK242" s="131">
        <f t="shared" si="51"/>
        <v>0</v>
      </c>
      <c r="AL242" s="131">
        <f t="shared" si="52"/>
        <v>0</v>
      </c>
      <c r="AM242" s="131">
        <v>0</v>
      </c>
      <c r="AN242" s="131">
        <f t="shared" si="53"/>
        <v>0</v>
      </c>
      <c r="AO242" s="131">
        <v>0</v>
      </c>
      <c r="AP242" s="131">
        <f t="shared" si="54"/>
        <v>0</v>
      </c>
      <c r="AQ242" s="131">
        <f t="shared" si="55"/>
        <v>0</v>
      </c>
      <c r="AR242" s="131">
        <v>0</v>
      </c>
    </row>
    <row r="243" spans="28:44">
      <c r="AB243" s="131">
        <f t="shared" si="42"/>
        <v>0</v>
      </c>
      <c r="AC243" s="131">
        <f t="shared" si="43"/>
        <v>0</v>
      </c>
      <c r="AD243" s="131">
        <f t="shared" si="44"/>
        <v>0</v>
      </c>
      <c r="AE243" s="131">
        <f t="shared" si="45"/>
        <v>0</v>
      </c>
      <c r="AF243" s="131">
        <f t="shared" si="46"/>
        <v>0</v>
      </c>
      <c r="AG243" s="131">
        <f t="shared" si="47"/>
        <v>0</v>
      </c>
      <c r="AH243" s="131">
        <f t="shared" si="48"/>
        <v>0</v>
      </c>
      <c r="AI243" s="131">
        <f t="shared" si="49"/>
        <v>0</v>
      </c>
      <c r="AJ243" s="131" t="e">
        <f t="shared" si="50"/>
        <v>#DIV/0!</v>
      </c>
      <c r="AK243" s="131">
        <f t="shared" si="51"/>
        <v>0</v>
      </c>
      <c r="AL243" s="131">
        <f t="shared" si="52"/>
        <v>0</v>
      </c>
      <c r="AM243" s="131">
        <v>0</v>
      </c>
      <c r="AN243" s="131">
        <f t="shared" si="53"/>
        <v>0</v>
      </c>
      <c r="AO243" s="131">
        <v>0</v>
      </c>
      <c r="AP243" s="131">
        <f t="shared" si="54"/>
        <v>0</v>
      </c>
      <c r="AQ243" s="131">
        <f t="shared" si="55"/>
        <v>0</v>
      </c>
      <c r="AR243" s="131">
        <v>0</v>
      </c>
    </row>
    <row r="244" spans="28:44">
      <c r="AB244" s="131">
        <f t="shared" si="42"/>
        <v>0</v>
      </c>
      <c r="AC244" s="131">
        <f t="shared" si="43"/>
        <v>0</v>
      </c>
      <c r="AD244" s="131">
        <f t="shared" si="44"/>
        <v>0</v>
      </c>
      <c r="AE244" s="131">
        <f t="shared" si="45"/>
        <v>0</v>
      </c>
      <c r="AF244" s="131">
        <f t="shared" si="46"/>
        <v>0</v>
      </c>
      <c r="AG244" s="131">
        <f t="shared" si="47"/>
        <v>0</v>
      </c>
      <c r="AH244" s="131">
        <f t="shared" si="48"/>
        <v>0</v>
      </c>
      <c r="AI244" s="131">
        <f t="shared" si="49"/>
        <v>0</v>
      </c>
      <c r="AJ244" s="131" t="e">
        <f t="shared" si="50"/>
        <v>#DIV/0!</v>
      </c>
      <c r="AK244" s="131">
        <f t="shared" si="51"/>
        <v>0</v>
      </c>
      <c r="AL244" s="131">
        <f t="shared" si="52"/>
        <v>0</v>
      </c>
      <c r="AM244" s="131">
        <v>0</v>
      </c>
      <c r="AN244" s="131">
        <f t="shared" si="53"/>
        <v>0</v>
      </c>
      <c r="AO244" s="131">
        <v>0</v>
      </c>
      <c r="AP244" s="131">
        <f t="shared" si="54"/>
        <v>0</v>
      </c>
      <c r="AQ244" s="131">
        <f t="shared" si="55"/>
        <v>0</v>
      </c>
      <c r="AR244" s="131">
        <v>0</v>
      </c>
    </row>
    <row r="245" spans="28:44">
      <c r="AB245" s="131">
        <f t="shared" si="42"/>
        <v>0</v>
      </c>
      <c r="AC245" s="131">
        <f t="shared" si="43"/>
        <v>0</v>
      </c>
      <c r="AD245" s="131">
        <f t="shared" si="44"/>
        <v>0</v>
      </c>
      <c r="AE245" s="131">
        <f t="shared" si="45"/>
        <v>0</v>
      </c>
      <c r="AF245" s="131">
        <f t="shared" si="46"/>
        <v>0</v>
      </c>
      <c r="AG245" s="131">
        <f t="shared" si="47"/>
        <v>0</v>
      </c>
      <c r="AH245" s="131">
        <f t="shared" si="48"/>
        <v>0</v>
      </c>
      <c r="AI245" s="131">
        <f t="shared" si="49"/>
        <v>0</v>
      </c>
      <c r="AJ245" s="131" t="e">
        <f t="shared" si="50"/>
        <v>#DIV/0!</v>
      </c>
      <c r="AK245" s="131">
        <f t="shared" si="51"/>
        <v>0</v>
      </c>
      <c r="AL245" s="131">
        <f t="shared" si="52"/>
        <v>0</v>
      </c>
      <c r="AM245" s="131">
        <v>0</v>
      </c>
      <c r="AN245" s="131">
        <f t="shared" si="53"/>
        <v>0</v>
      </c>
      <c r="AO245" s="131">
        <v>0</v>
      </c>
      <c r="AP245" s="131">
        <f t="shared" si="54"/>
        <v>0</v>
      </c>
      <c r="AQ245" s="131">
        <f t="shared" si="55"/>
        <v>0</v>
      </c>
      <c r="AR245" s="131">
        <v>0</v>
      </c>
    </row>
    <row r="246" spans="28:44">
      <c r="AB246" s="131">
        <f t="shared" si="42"/>
        <v>0</v>
      </c>
      <c r="AC246" s="131">
        <f t="shared" si="43"/>
        <v>0</v>
      </c>
      <c r="AD246" s="131">
        <f t="shared" si="44"/>
        <v>0</v>
      </c>
      <c r="AE246" s="131">
        <f t="shared" si="45"/>
        <v>0</v>
      </c>
      <c r="AF246" s="131">
        <f t="shared" si="46"/>
        <v>0</v>
      </c>
      <c r="AG246" s="131">
        <f t="shared" si="47"/>
        <v>0</v>
      </c>
      <c r="AH246" s="131">
        <f t="shared" si="48"/>
        <v>0</v>
      </c>
      <c r="AI246" s="131">
        <f t="shared" si="49"/>
        <v>0</v>
      </c>
      <c r="AJ246" s="131" t="e">
        <f t="shared" si="50"/>
        <v>#DIV/0!</v>
      </c>
      <c r="AK246" s="131">
        <f t="shared" si="51"/>
        <v>0</v>
      </c>
      <c r="AL246" s="131">
        <f t="shared" si="52"/>
        <v>0</v>
      </c>
      <c r="AM246" s="131">
        <v>0</v>
      </c>
      <c r="AN246" s="131">
        <f t="shared" si="53"/>
        <v>0</v>
      </c>
      <c r="AO246" s="131">
        <v>0</v>
      </c>
      <c r="AP246" s="131">
        <f t="shared" si="54"/>
        <v>0</v>
      </c>
      <c r="AQ246" s="131">
        <f t="shared" si="55"/>
        <v>0</v>
      </c>
      <c r="AR246" s="131">
        <v>0</v>
      </c>
    </row>
    <row r="247" spans="28:44">
      <c r="AB247" s="131">
        <f t="shared" si="42"/>
        <v>0</v>
      </c>
      <c r="AC247" s="131">
        <f t="shared" si="43"/>
        <v>0</v>
      </c>
      <c r="AD247" s="131">
        <f t="shared" si="44"/>
        <v>0</v>
      </c>
      <c r="AE247" s="131">
        <f t="shared" si="45"/>
        <v>0</v>
      </c>
      <c r="AF247" s="131">
        <f t="shared" si="46"/>
        <v>0</v>
      </c>
      <c r="AG247" s="131">
        <f t="shared" si="47"/>
        <v>0</v>
      </c>
      <c r="AH247" s="131">
        <f t="shared" si="48"/>
        <v>0</v>
      </c>
      <c r="AI247" s="131">
        <f t="shared" si="49"/>
        <v>0</v>
      </c>
      <c r="AJ247" s="131" t="e">
        <f t="shared" si="50"/>
        <v>#DIV/0!</v>
      </c>
      <c r="AK247" s="131">
        <f t="shared" si="51"/>
        <v>0</v>
      </c>
      <c r="AL247" s="131">
        <f t="shared" si="52"/>
        <v>0</v>
      </c>
      <c r="AM247" s="131">
        <v>0</v>
      </c>
      <c r="AN247" s="131">
        <f t="shared" si="53"/>
        <v>0</v>
      </c>
      <c r="AO247" s="131">
        <v>0</v>
      </c>
      <c r="AP247" s="131">
        <f t="shared" si="54"/>
        <v>0</v>
      </c>
      <c r="AQ247" s="131">
        <f t="shared" si="55"/>
        <v>0</v>
      </c>
      <c r="AR247" s="131">
        <v>0</v>
      </c>
    </row>
    <row r="248" spans="28:44">
      <c r="AB248" s="131">
        <f t="shared" si="42"/>
        <v>0</v>
      </c>
      <c r="AC248" s="131">
        <f t="shared" si="43"/>
        <v>0</v>
      </c>
      <c r="AD248" s="131">
        <f t="shared" si="44"/>
        <v>0</v>
      </c>
      <c r="AE248" s="131">
        <f t="shared" si="45"/>
        <v>0</v>
      </c>
      <c r="AF248" s="131">
        <f t="shared" si="46"/>
        <v>0</v>
      </c>
      <c r="AG248" s="131">
        <f t="shared" si="47"/>
        <v>0</v>
      </c>
      <c r="AH248" s="131">
        <f t="shared" si="48"/>
        <v>0</v>
      </c>
      <c r="AI248" s="131">
        <f t="shared" si="49"/>
        <v>0</v>
      </c>
      <c r="AJ248" s="131" t="e">
        <f t="shared" si="50"/>
        <v>#DIV/0!</v>
      </c>
      <c r="AK248" s="131">
        <f t="shared" si="51"/>
        <v>0</v>
      </c>
      <c r="AL248" s="131">
        <f t="shared" si="52"/>
        <v>0</v>
      </c>
      <c r="AM248" s="131">
        <v>0</v>
      </c>
      <c r="AN248" s="131">
        <f t="shared" si="53"/>
        <v>0</v>
      </c>
      <c r="AO248" s="131">
        <v>0</v>
      </c>
      <c r="AP248" s="131">
        <f t="shared" si="54"/>
        <v>0</v>
      </c>
      <c r="AQ248" s="131">
        <f t="shared" si="55"/>
        <v>0</v>
      </c>
      <c r="AR248" s="131">
        <v>0</v>
      </c>
    </row>
    <row r="249" spans="28:44">
      <c r="AB249" s="131">
        <f t="shared" si="42"/>
        <v>0</v>
      </c>
      <c r="AC249" s="131">
        <f t="shared" si="43"/>
        <v>0</v>
      </c>
      <c r="AD249" s="131">
        <f t="shared" si="44"/>
        <v>0</v>
      </c>
      <c r="AE249" s="131">
        <f t="shared" si="45"/>
        <v>0</v>
      </c>
      <c r="AF249" s="131">
        <f t="shared" si="46"/>
        <v>0</v>
      </c>
      <c r="AG249" s="131">
        <f t="shared" si="47"/>
        <v>0</v>
      </c>
      <c r="AH249" s="131">
        <f t="shared" si="48"/>
        <v>0</v>
      </c>
      <c r="AI249" s="131">
        <f t="shared" si="49"/>
        <v>0</v>
      </c>
      <c r="AJ249" s="131" t="e">
        <f t="shared" si="50"/>
        <v>#DIV/0!</v>
      </c>
      <c r="AK249" s="131">
        <f t="shared" si="51"/>
        <v>0</v>
      </c>
      <c r="AL249" s="131">
        <f t="shared" si="52"/>
        <v>0</v>
      </c>
      <c r="AM249" s="131">
        <v>0</v>
      </c>
      <c r="AN249" s="131">
        <f t="shared" si="53"/>
        <v>0</v>
      </c>
      <c r="AO249" s="131">
        <v>0</v>
      </c>
      <c r="AP249" s="131">
        <f t="shared" si="54"/>
        <v>0</v>
      </c>
      <c r="AQ249" s="131">
        <f t="shared" si="55"/>
        <v>0</v>
      </c>
      <c r="AR249" s="131">
        <v>0</v>
      </c>
    </row>
    <row r="250" spans="28:44">
      <c r="AB250" s="131">
        <f t="shared" si="42"/>
        <v>0</v>
      </c>
      <c r="AC250" s="131">
        <f t="shared" si="43"/>
        <v>0</v>
      </c>
      <c r="AD250" s="131">
        <f t="shared" si="44"/>
        <v>0</v>
      </c>
      <c r="AE250" s="131">
        <f t="shared" si="45"/>
        <v>0</v>
      </c>
      <c r="AF250" s="131">
        <f t="shared" si="46"/>
        <v>0</v>
      </c>
      <c r="AG250" s="131">
        <f t="shared" si="47"/>
        <v>0</v>
      </c>
      <c r="AH250" s="131">
        <f t="shared" si="48"/>
        <v>0</v>
      </c>
      <c r="AI250" s="131">
        <f t="shared" si="49"/>
        <v>0</v>
      </c>
      <c r="AJ250" s="131" t="e">
        <f t="shared" si="50"/>
        <v>#DIV/0!</v>
      </c>
      <c r="AK250" s="131">
        <f t="shared" si="51"/>
        <v>0</v>
      </c>
      <c r="AL250" s="131">
        <f t="shared" si="52"/>
        <v>0</v>
      </c>
      <c r="AM250" s="131">
        <v>0</v>
      </c>
      <c r="AN250" s="131">
        <f t="shared" si="53"/>
        <v>0</v>
      </c>
      <c r="AO250" s="131">
        <v>0</v>
      </c>
      <c r="AP250" s="131">
        <f t="shared" si="54"/>
        <v>0</v>
      </c>
      <c r="AQ250" s="131">
        <f t="shared" si="55"/>
        <v>0</v>
      </c>
      <c r="AR250" s="131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A2" sqref="A2"/>
    </sheetView>
  </sheetViews>
  <sheetFormatPr defaultRowHeight="15"/>
  <cols>
    <col min="1" max="1" width="51" customWidth="1"/>
  </cols>
  <sheetData>
    <row r="1" spans="1:1" ht="345">
      <c r="A1" s="132" t="s">
        <v>447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2023-08-01T02:26:02Z</dcterms:modified>
</cp:coreProperties>
</file>