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3955" windowHeight="10050" tabRatio="513" activeTab="5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Z2" i="4"/>
  <c r="A2" i="14" l="1"/>
  <c r="A4"/>
  <c r="AB3" i="15" l="1"/>
  <c r="AC3"/>
  <c r="AD3"/>
  <c r="AE3"/>
  <c r="AF3"/>
  <c r="AG3"/>
  <c r="AH3"/>
  <c r="AI3"/>
  <c r="AK3"/>
  <c r="AL3"/>
  <c r="AN3"/>
  <c r="AP3"/>
  <c r="AB4"/>
  <c r="AC4"/>
  <c r="AD4"/>
  <c r="AE4"/>
  <c r="AF4"/>
  <c r="AG4"/>
  <c r="AH4"/>
  <c r="AI4"/>
  <c r="AK4"/>
  <c r="AL4"/>
  <c r="AN4"/>
  <c r="AP4"/>
  <c r="AB5"/>
  <c r="AC5"/>
  <c r="AD5"/>
  <c r="AE5"/>
  <c r="AF5"/>
  <c r="AG5"/>
  <c r="AH5"/>
  <c r="AI5"/>
  <c r="AK5"/>
  <c r="AL5"/>
  <c r="AN5"/>
  <c r="AP5"/>
  <c r="AB6"/>
  <c r="AC6"/>
  <c r="AD6"/>
  <c r="AE6"/>
  <c r="AF6"/>
  <c r="AG6"/>
  <c r="AH6"/>
  <c r="AI6"/>
  <c r="AK6"/>
  <c r="AL6"/>
  <c r="AN6"/>
  <c r="AP6"/>
  <c r="AB7"/>
  <c r="AC7"/>
  <c r="AD7"/>
  <c r="AE7"/>
  <c r="AF7"/>
  <c r="AG7"/>
  <c r="AH7"/>
  <c r="AI7"/>
  <c r="AK7"/>
  <c r="AL7"/>
  <c r="AN7"/>
  <c r="AP7"/>
  <c r="AB8"/>
  <c r="AC8"/>
  <c r="AD8"/>
  <c r="AE8"/>
  <c r="AF8"/>
  <c r="AG8"/>
  <c r="AH8"/>
  <c r="AI8"/>
  <c r="AK8"/>
  <c r="AL8"/>
  <c r="AN8"/>
  <c r="AP8"/>
  <c r="AB9"/>
  <c r="AC9"/>
  <c r="AD9"/>
  <c r="AE9"/>
  <c r="AF9"/>
  <c r="AG9"/>
  <c r="AH9"/>
  <c r="AI9"/>
  <c r="AK9"/>
  <c r="AL9"/>
  <c r="AN9"/>
  <c r="AP9"/>
  <c r="AB10"/>
  <c r="AC10"/>
  <c r="AD10"/>
  <c r="AE10"/>
  <c r="AF10"/>
  <c r="AG10"/>
  <c r="AH10"/>
  <c r="AI10"/>
  <c r="AK10"/>
  <c r="AL10"/>
  <c r="AN10"/>
  <c r="AP10"/>
  <c r="AB11"/>
  <c r="AC11"/>
  <c r="AD11"/>
  <c r="AE11"/>
  <c r="AF11"/>
  <c r="AG11"/>
  <c r="AH11"/>
  <c r="AI11"/>
  <c r="AK11"/>
  <c r="AL11"/>
  <c r="AN11"/>
  <c r="AP11"/>
  <c r="AB12"/>
  <c r="AC12"/>
  <c r="AD12"/>
  <c r="AE12"/>
  <c r="AF12"/>
  <c r="AG12"/>
  <c r="AH12"/>
  <c r="AI12"/>
  <c r="AK12"/>
  <c r="AL12"/>
  <c r="AN12"/>
  <c r="AP12"/>
  <c r="AB13"/>
  <c r="AC13"/>
  <c r="AD13"/>
  <c r="AE13"/>
  <c r="AF13"/>
  <c r="AG13"/>
  <c r="AH13"/>
  <c r="AI13"/>
  <c r="AK13"/>
  <c r="AL13"/>
  <c r="AN13"/>
  <c r="AP13"/>
  <c r="AB14"/>
  <c r="AC14"/>
  <c r="AD14"/>
  <c r="AE14"/>
  <c r="AF14"/>
  <c r="AG14"/>
  <c r="AH14"/>
  <c r="AI14"/>
  <c r="AK14"/>
  <c r="AL14"/>
  <c r="AN14"/>
  <c r="AP14"/>
  <c r="AB15"/>
  <c r="AC15"/>
  <c r="AD15"/>
  <c r="AE15"/>
  <c r="AF15"/>
  <c r="AG15"/>
  <c r="AH15"/>
  <c r="AI15"/>
  <c r="AK15"/>
  <c r="AL15"/>
  <c r="AN15"/>
  <c r="AP15"/>
  <c r="AB16"/>
  <c r="AC16"/>
  <c r="AD16"/>
  <c r="AE16"/>
  <c r="AF16"/>
  <c r="AG16"/>
  <c r="AH16"/>
  <c r="AI16"/>
  <c r="AK16"/>
  <c r="AL16"/>
  <c r="AN16"/>
  <c r="AP16"/>
  <c r="AB17"/>
  <c r="AC17"/>
  <c r="AD17"/>
  <c r="AE17"/>
  <c r="AF17"/>
  <c r="AG17"/>
  <c r="AH17"/>
  <c r="AI17"/>
  <c r="AK17"/>
  <c r="AL17"/>
  <c r="AN17"/>
  <c r="AP17"/>
  <c r="AB18"/>
  <c r="AC18"/>
  <c r="AD18"/>
  <c r="AE18"/>
  <c r="AF18"/>
  <c r="AG18"/>
  <c r="AH18"/>
  <c r="AI18"/>
  <c r="AK18"/>
  <c r="AL18"/>
  <c r="AN18"/>
  <c r="AP18"/>
  <c r="AB19"/>
  <c r="AC19"/>
  <c r="AD19"/>
  <c r="AE19"/>
  <c r="AF19"/>
  <c r="AG19"/>
  <c r="AH19"/>
  <c r="AI19"/>
  <c r="AK19"/>
  <c r="AL19"/>
  <c r="AN19"/>
  <c r="AP19"/>
  <c r="AB20"/>
  <c r="AC20"/>
  <c r="AD20"/>
  <c r="AE20"/>
  <c r="AF20"/>
  <c r="AG20"/>
  <c r="AH20"/>
  <c r="AI20"/>
  <c r="AK20"/>
  <c r="AL20"/>
  <c r="AN20"/>
  <c r="AP20"/>
  <c r="AB21"/>
  <c r="AC21"/>
  <c r="AD21"/>
  <c r="AE21"/>
  <c r="AF21"/>
  <c r="AG21"/>
  <c r="AH21"/>
  <c r="AI21"/>
  <c r="AK21"/>
  <c r="AL21"/>
  <c r="AN21"/>
  <c r="AP21"/>
  <c r="AB22"/>
  <c r="AC22"/>
  <c r="AD22"/>
  <c r="AE22"/>
  <c r="AF22"/>
  <c r="AG22"/>
  <c r="AH22"/>
  <c r="AI22"/>
  <c r="AK22"/>
  <c r="AL22"/>
  <c r="AN22"/>
  <c r="AP22"/>
  <c r="AB23"/>
  <c r="AC23"/>
  <c r="AD23"/>
  <c r="AE23"/>
  <c r="AF23"/>
  <c r="AG23"/>
  <c r="AH23"/>
  <c r="AI23"/>
  <c r="AK23"/>
  <c r="AL23"/>
  <c r="AN23"/>
  <c r="AP23"/>
  <c r="AB24"/>
  <c r="AC24"/>
  <c r="AD24"/>
  <c r="AE24"/>
  <c r="AF24"/>
  <c r="AG24"/>
  <c r="AH24"/>
  <c r="AI24"/>
  <c r="AK24"/>
  <c r="AL24"/>
  <c r="AN24"/>
  <c r="AP24"/>
  <c r="AB25"/>
  <c r="AC25"/>
  <c r="AD25"/>
  <c r="AE25"/>
  <c r="AF25"/>
  <c r="AG25"/>
  <c r="AH25"/>
  <c r="AI25"/>
  <c r="AK25"/>
  <c r="AL25"/>
  <c r="AN25"/>
  <c r="AP25"/>
  <c r="AB26"/>
  <c r="AC26"/>
  <c r="AD26"/>
  <c r="AE26"/>
  <c r="AF26"/>
  <c r="AG26"/>
  <c r="AH26"/>
  <c r="AI26"/>
  <c r="AK26"/>
  <c r="AL26"/>
  <c r="AN26"/>
  <c r="AP26"/>
  <c r="AB27"/>
  <c r="AC27"/>
  <c r="AD27"/>
  <c r="AE27"/>
  <c r="AF27"/>
  <c r="AG27"/>
  <c r="AH27"/>
  <c r="AI27"/>
  <c r="AK27"/>
  <c r="AL27"/>
  <c r="AN27"/>
  <c r="AP27"/>
  <c r="AB28"/>
  <c r="AC28"/>
  <c r="AD28"/>
  <c r="AE28"/>
  <c r="AF28"/>
  <c r="AG28"/>
  <c r="AH28"/>
  <c r="AI28"/>
  <c r="AK28"/>
  <c r="AL28"/>
  <c r="AN28"/>
  <c r="AP28"/>
  <c r="AB29"/>
  <c r="AC29"/>
  <c r="AD29"/>
  <c r="AE29"/>
  <c r="AF29"/>
  <c r="AG29"/>
  <c r="AH29"/>
  <c r="AI29"/>
  <c r="AK29"/>
  <c r="AL29"/>
  <c r="AN29"/>
  <c r="AP29"/>
  <c r="AB30"/>
  <c r="AC30"/>
  <c r="AD30"/>
  <c r="AE30"/>
  <c r="AF30"/>
  <c r="AG30"/>
  <c r="AH30"/>
  <c r="AI30"/>
  <c r="AK30"/>
  <c r="AL30"/>
  <c r="AN30"/>
  <c r="AP30"/>
  <c r="AB31"/>
  <c r="AC31"/>
  <c r="AD31"/>
  <c r="AE31"/>
  <c r="AF31"/>
  <c r="AG31"/>
  <c r="AH31"/>
  <c r="AI31"/>
  <c r="AK31"/>
  <c r="AL31"/>
  <c r="AN31"/>
  <c r="AP31"/>
  <c r="AB32"/>
  <c r="AC32"/>
  <c r="AD32"/>
  <c r="AE32"/>
  <c r="AF32"/>
  <c r="AG32"/>
  <c r="AH32"/>
  <c r="AI32"/>
  <c r="AK32"/>
  <c r="AL32"/>
  <c r="AN32"/>
  <c r="AP32"/>
  <c r="AB33"/>
  <c r="AC33"/>
  <c r="AD33"/>
  <c r="AE33"/>
  <c r="AF33"/>
  <c r="AG33"/>
  <c r="AH33"/>
  <c r="AI33"/>
  <c r="AK33"/>
  <c r="AL33"/>
  <c r="AN33"/>
  <c r="AP33"/>
  <c r="AB34"/>
  <c r="AC34"/>
  <c r="AD34"/>
  <c r="AE34"/>
  <c r="AF34"/>
  <c r="AG34"/>
  <c r="AH34"/>
  <c r="AI34"/>
  <c r="AK34"/>
  <c r="AL34"/>
  <c r="AN34"/>
  <c r="AP34"/>
  <c r="AB35"/>
  <c r="AC35"/>
  <c r="AD35"/>
  <c r="AE35"/>
  <c r="AF35"/>
  <c r="AG35"/>
  <c r="AH35"/>
  <c r="AI35"/>
  <c r="AK35"/>
  <c r="AL35"/>
  <c r="AN35"/>
  <c r="AP35"/>
  <c r="AB36"/>
  <c r="AC36"/>
  <c r="AD36"/>
  <c r="AE36"/>
  <c r="AF36"/>
  <c r="AG36"/>
  <c r="AH36"/>
  <c r="AI36"/>
  <c r="AK36"/>
  <c r="AL36"/>
  <c r="AN36"/>
  <c r="AP36"/>
  <c r="AB37"/>
  <c r="AC37"/>
  <c r="AD37"/>
  <c r="AE37"/>
  <c r="AF37"/>
  <c r="AG37"/>
  <c r="AH37"/>
  <c r="AI37"/>
  <c r="AK37"/>
  <c r="AL37"/>
  <c r="AN37"/>
  <c r="AP37"/>
  <c r="AB38"/>
  <c r="AC38"/>
  <c r="AD38"/>
  <c r="AE38"/>
  <c r="AF38"/>
  <c r="AG38"/>
  <c r="AH38"/>
  <c r="AI38"/>
  <c r="AK38"/>
  <c r="AL38"/>
  <c r="AN38"/>
  <c r="AP38"/>
  <c r="AB39"/>
  <c r="AC39"/>
  <c r="AD39"/>
  <c r="AE39"/>
  <c r="AF39"/>
  <c r="AG39"/>
  <c r="AH39"/>
  <c r="AI39"/>
  <c r="AK39"/>
  <c r="AL39"/>
  <c r="AN39"/>
  <c r="AP39"/>
  <c r="AB40"/>
  <c r="AC40"/>
  <c r="AD40"/>
  <c r="AE40"/>
  <c r="AF40"/>
  <c r="AG40"/>
  <c r="AH40"/>
  <c r="AI40"/>
  <c r="AK40"/>
  <c r="AL40"/>
  <c r="AN40"/>
  <c r="AP40"/>
  <c r="AB41"/>
  <c r="AC41"/>
  <c r="AD41"/>
  <c r="AE41"/>
  <c r="AF41"/>
  <c r="AG41"/>
  <c r="AH41"/>
  <c r="AI41"/>
  <c r="AK41"/>
  <c r="AL41"/>
  <c r="AN41"/>
  <c r="AP41"/>
  <c r="AB42"/>
  <c r="AC42"/>
  <c r="AD42"/>
  <c r="AE42"/>
  <c r="AF42"/>
  <c r="AG42"/>
  <c r="AH42"/>
  <c r="AI42"/>
  <c r="AK42"/>
  <c r="AL42"/>
  <c r="AN42"/>
  <c r="AP42"/>
  <c r="AB43"/>
  <c r="AC43"/>
  <c r="AD43"/>
  <c r="AE43"/>
  <c r="AF43"/>
  <c r="AG43"/>
  <c r="AH43"/>
  <c r="AI43"/>
  <c r="AK43"/>
  <c r="AL43"/>
  <c r="AN43"/>
  <c r="AP43"/>
  <c r="AB44"/>
  <c r="AC44"/>
  <c r="AD44"/>
  <c r="AE44"/>
  <c r="AF44"/>
  <c r="AG44"/>
  <c r="AH44"/>
  <c r="AI44"/>
  <c r="AK44"/>
  <c r="AL44"/>
  <c r="AN44"/>
  <c r="AP44"/>
  <c r="AB45"/>
  <c r="AC45"/>
  <c r="AD45"/>
  <c r="AE45"/>
  <c r="AF45"/>
  <c r="AG45"/>
  <c r="AH45"/>
  <c r="AI45"/>
  <c r="AK45"/>
  <c r="AL45"/>
  <c r="AN45"/>
  <c r="AP45"/>
  <c r="AB46"/>
  <c r="AC46"/>
  <c r="AD46"/>
  <c r="AE46"/>
  <c r="AF46"/>
  <c r="AG46"/>
  <c r="AH46"/>
  <c r="AI46"/>
  <c r="AK46"/>
  <c r="AL46"/>
  <c r="AN46"/>
  <c r="AP46"/>
  <c r="AB47"/>
  <c r="AC47"/>
  <c r="AD47"/>
  <c r="AE47"/>
  <c r="AF47"/>
  <c r="AG47"/>
  <c r="AH47"/>
  <c r="AI47"/>
  <c r="AK47"/>
  <c r="AL47"/>
  <c r="AN47"/>
  <c r="AP47"/>
  <c r="AB48"/>
  <c r="AC48"/>
  <c r="AD48"/>
  <c r="AE48"/>
  <c r="AF48"/>
  <c r="AG48"/>
  <c r="AH48"/>
  <c r="AI48"/>
  <c r="AK48"/>
  <c r="AL48"/>
  <c r="AN48"/>
  <c r="AP48"/>
  <c r="AB49"/>
  <c r="AC49"/>
  <c r="AD49"/>
  <c r="AE49"/>
  <c r="AF49"/>
  <c r="AG49"/>
  <c r="AH49"/>
  <c r="AI49"/>
  <c r="AK49"/>
  <c r="AL49"/>
  <c r="AN49"/>
  <c r="AP49"/>
  <c r="AB50"/>
  <c r="AC50"/>
  <c r="AD50"/>
  <c r="AE50"/>
  <c r="AF50"/>
  <c r="AG50"/>
  <c r="AH50"/>
  <c r="AI50"/>
  <c r="AK50"/>
  <c r="AL50"/>
  <c r="AN50"/>
  <c r="AP50"/>
  <c r="AB51"/>
  <c r="AC51"/>
  <c r="AD51"/>
  <c r="AE51"/>
  <c r="AF51"/>
  <c r="AG51"/>
  <c r="AH51"/>
  <c r="AI51"/>
  <c r="AK51"/>
  <c r="AL51"/>
  <c r="AN51"/>
  <c r="AP51"/>
  <c r="AB52"/>
  <c r="AC52"/>
  <c r="AD52"/>
  <c r="AE52"/>
  <c r="AF52"/>
  <c r="AG52"/>
  <c r="AH52"/>
  <c r="AI52"/>
  <c r="AK52"/>
  <c r="AL52"/>
  <c r="AN52"/>
  <c r="AP52"/>
  <c r="AB53"/>
  <c r="AC53"/>
  <c r="AD53"/>
  <c r="AE53"/>
  <c r="AF53"/>
  <c r="AG53"/>
  <c r="AH53"/>
  <c r="AI53"/>
  <c r="AK53"/>
  <c r="AL53"/>
  <c r="AN53"/>
  <c r="AP53"/>
  <c r="AB54"/>
  <c r="AC54"/>
  <c r="AD54"/>
  <c r="AE54"/>
  <c r="AF54"/>
  <c r="AG54"/>
  <c r="AH54"/>
  <c r="AI54"/>
  <c r="AK54"/>
  <c r="AL54"/>
  <c r="AN54"/>
  <c r="AP54"/>
  <c r="AB55"/>
  <c r="AC55"/>
  <c r="AD55"/>
  <c r="AE55"/>
  <c r="AF55"/>
  <c r="AG55"/>
  <c r="AH55"/>
  <c r="AI55"/>
  <c r="AK55"/>
  <c r="AL55"/>
  <c r="AN55"/>
  <c r="AP55"/>
  <c r="AB56"/>
  <c r="AC56"/>
  <c r="AD56"/>
  <c r="AE56"/>
  <c r="AF56"/>
  <c r="AG56"/>
  <c r="AH56"/>
  <c r="AI56"/>
  <c r="AK56"/>
  <c r="AL56"/>
  <c r="AN56"/>
  <c r="AP56"/>
  <c r="AB57"/>
  <c r="AC57"/>
  <c r="AD57"/>
  <c r="AE57"/>
  <c r="AF57"/>
  <c r="AG57"/>
  <c r="AH57"/>
  <c r="AI57"/>
  <c r="AK57"/>
  <c r="AL57"/>
  <c r="AN57"/>
  <c r="AP57"/>
  <c r="AB58"/>
  <c r="AC58"/>
  <c r="AD58"/>
  <c r="AE58"/>
  <c r="AF58"/>
  <c r="AG58"/>
  <c r="AH58"/>
  <c r="AI58"/>
  <c r="AK58"/>
  <c r="AL58"/>
  <c r="AN58"/>
  <c r="AP58"/>
  <c r="AB59"/>
  <c r="AC59"/>
  <c r="AD59"/>
  <c r="AE59"/>
  <c r="AF59"/>
  <c r="AG59"/>
  <c r="AH59"/>
  <c r="AI59"/>
  <c r="AK59"/>
  <c r="AL59"/>
  <c r="AN59"/>
  <c r="AP59"/>
  <c r="AB60"/>
  <c r="AC60"/>
  <c r="AD60"/>
  <c r="AE60"/>
  <c r="AF60"/>
  <c r="AG60"/>
  <c r="AH60"/>
  <c r="AI60"/>
  <c r="AK60"/>
  <c r="AL60"/>
  <c r="AN60"/>
  <c r="AP60"/>
  <c r="AB61"/>
  <c r="AC61"/>
  <c r="AD61"/>
  <c r="AE61"/>
  <c r="AF61"/>
  <c r="AG61"/>
  <c r="AH61"/>
  <c r="AI61"/>
  <c r="AK61"/>
  <c r="AL61"/>
  <c r="AN61"/>
  <c r="AP61"/>
  <c r="AB62"/>
  <c r="AC62"/>
  <c r="AD62"/>
  <c r="AE62"/>
  <c r="AF62"/>
  <c r="AG62"/>
  <c r="AH62"/>
  <c r="AI62"/>
  <c r="AK62"/>
  <c r="AL62"/>
  <c r="AN62"/>
  <c r="AP62"/>
  <c r="AB63"/>
  <c r="AC63"/>
  <c r="AD63"/>
  <c r="AE63"/>
  <c r="AF63"/>
  <c r="AG63"/>
  <c r="AH63"/>
  <c r="AI63"/>
  <c r="AK63"/>
  <c r="AL63"/>
  <c r="AN63"/>
  <c r="AP63"/>
  <c r="AB64"/>
  <c r="AC64"/>
  <c r="AD64"/>
  <c r="AE64"/>
  <c r="AF64"/>
  <c r="AG64"/>
  <c r="AH64"/>
  <c r="AI64"/>
  <c r="AK64"/>
  <c r="AL64"/>
  <c r="AN64"/>
  <c r="AP64"/>
  <c r="AB65"/>
  <c r="AC65"/>
  <c r="AD65"/>
  <c r="AE65"/>
  <c r="AF65"/>
  <c r="AG65"/>
  <c r="AH65"/>
  <c r="AI65"/>
  <c r="AK65"/>
  <c r="AL65"/>
  <c r="AN65"/>
  <c r="AP65"/>
  <c r="AB66"/>
  <c r="AC66"/>
  <c r="AD66"/>
  <c r="AE66"/>
  <c r="AF66"/>
  <c r="AG66"/>
  <c r="AH66"/>
  <c r="AI66"/>
  <c r="AK66"/>
  <c r="AL66"/>
  <c r="AN66"/>
  <c r="AP66"/>
  <c r="AB67"/>
  <c r="AC67"/>
  <c r="AD67"/>
  <c r="AE67"/>
  <c r="AF67"/>
  <c r="AG67"/>
  <c r="AH67"/>
  <c r="AI67"/>
  <c r="AK67"/>
  <c r="AL67"/>
  <c r="AN67"/>
  <c r="AP67"/>
  <c r="AB68"/>
  <c r="AC68"/>
  <c r="AD68"/>
  <c r="AE68"/>
  <c r="AF68"/>
  <c r="AG68"/>
  <c r="AH68"/>
  <c r="AI68"/>
  <c r="AK68"/>
  <c r="AL68"/>
  <c r="AN68"/>
  <c r="AP68"/>
  <c r="AB69"/>
  <c r="AC69"/>
  <c r="AD69"/>
  <c r="AE69"/>
  <c r="AF69"/>
  <c r="AG69"/>
  <c r="AH69"/>
  <c r="AI69"/>
  <c r="AK69"/>
  <c r="AL69"/>
  <c r="AN69"/>
  <c r="AP69"/>
  <c r="AB70"/>
  <c r="AC70"/>
  <c r="AD70"/>
  <c r="AE70"/>
  <c r="AF70"/>
  <c r="AG70"/>
  <c r="AH70"/>
  <c r="AI70"/>
  <c r="AK70"/>
  <c r="AL70"/>
  <c r="AN70"/>
  <c r="AP70"/>
  <c r="AB71"/>
  <c r="AC71"/>
  <c r="AD71"/>
  <c r="AE71"/>
  <c r="AF71"/>
  <c r="AG71"/>
  <c r="AH71"/>
  <c r="AI71"/>
  <c r="AK71"/>
  <c r="AL71"/>
  <c r="AN71"/>
  <c r="AP71"/>
  <c r="AB72"/>
  <c r="AC72"/>
  <c r="AD72"/>
  <c r="AE72"/>
  <c r="AF72"/>
  <c r="AG72"/>
  <c r="AH72"/>
  <c r="AI72"/>
  <c r="AK72"/>
  <c r="AL72"/>
  <c r="AN72"/>
  <c r="AP72"/>
  <c r="AB73"/>
  <c r="AC73"/>
  <c r="AD73"/>
  <c r="AE73"/>
  <c r="AF73"/>
  <c r="AG73"/>
  <c r="AH73"/>
  <c r="AI73"/>
  <c r="AK73"/>
  <c r="AL73"/>
  <c r="AN73"/>
  <c r="AP73"/>
  <c r="AB74"/>
  <c r="AC74"/>
  <c r="AD74"/>
  <c r="AE74"/>
  <c r="AF74"/>
  <c r="AG74"/>
  <c r="AH74"/>
  <c r="AI74"/>
  <c r="AK74"/>
  <c r="AL74"/>
  <c r="AN74"/>
  <c r="AP74"/>
  <c r="AB75"/>
  <c r="AC75"/>
  <c r="AD75"/>
  <c r="AE75"/>
  <c r="AF75"/>
  <c r="AG75"/>
  <c r="AH75"/>
  <c r="AI75"/>
  <c r="AK75"/>
  <c r="AL75"/>
  <c r="AN75"/>
  <c r="AP75"/>
  <c r="AB76"/>
  <c r="AC76"/>
  <c r="AD76"/>
  <c r="AE76"/>
  <c r="AF76"/>
  <c r="AG76"/>
  <c r="AH76"/>
  <c r="AI76"/>
  <c r="AK76"/>
  <c r="AL76"/>
  <c r="AN76"/>
  <c r="AP76"/>
  <c r="AB77"/>
  <c r="AC77"/>
  <c r="AD77"/>
  <c r="AE77"/>
  <c r="AF77"/>
  <c r="AG77"/>
  <c r="AH77"/>
  <c r="AI77"/>
  <c r="AK77"/>
  <c r="AL77"/>
  <c r="AN77"/>
  <c r="AP77"/>
  <c r="AB78"/>
  <c r="AC78"/>
  <c r="AD78"/>
  <c r="AE78"/>
  <c r="AF78"/>
  <c r="AG78"/>
  <c r="AH78"/>
  <c r="AI78"/>
  <c r="AK78"/>
  <c r="AL78"/>
  <c r="AN78"/>
  <c r="AP78"/>
  <c r="AB79"/>
  <c r="AC79"/>
  <c r="AD79"/>
  <c r="AE79"/>
  <c r="AF79"/>
  <c r="AG79"/>
  <c r="AH79"/>
  <c r="AI79"/>
  <c r="AK79"/>
  <c r="AL79"/>
  <c r="AN79"/>
  <c r="AP79"/>
  <c r="AB80"/>
  <c r="AC80"/>
  <c r="AD80"/>
  <c r="AE80"/>
  <c r="AF80"/>
  <c r="AG80"/>
  <c r="AH80"/>
  <c r="AI80"/>
  <c r="AK80"/>
  <c r="AL80"/>
  <c r="AN80"/>
  <c r="AP80"/>
  <c r="AB81"/>
  <c r="AC81"/>
  <c r="AD81"/>
  <c r="AE81"/>
  <c r="AF81"/>
  <c r="AG81"/>
  <c r="AH81"/>
  <c r="AI81"/>
  <c r="AK81"/>
  <c r="AL81"/>
  <c r="AN81"/>
  <c r="AP81"/>
  <c r="AB82"/>
  <c r="AC82"/>
  <c r="AD82"/>
  <c r="AE82"/>
  <c r="AF82"/>
  <c r="AG82"/>
  <c r="AH82"/>
  <c r="AI82"/>
  <c r="AK82"/>
  <c r="AL82"/>
  <c r="AN82"/>
  <c r="AP82"/>
  <c r="AB83"/>
  <c r="AC83"/>
  <c r="AD83"/>
  <c r="AE83"/>
  <c r="AF83"/>
  <c r="AG83"/>
  <c r="AH83"/>
  <c r="AI83"/>
  <c r="AK83"/>
  <c r="AL83"/>
  <c r="AN83"/>
  <c r="AP83"/>
  <c r="AB84"/>
  <c r="AC84"/>
  <c r="AD84"/>
  <c r="AE84"/>
  <c r="AF84"/>
  <c r="AG84"/>
  <c r="AH84"/>
  <c r="AI84"/>
  <c r="AK84"/>
  <c r="AL84"/>
  <c r="AN84"/>
  <c r="AP84"/>
  <c r="AB85"/>
  <c r="AC85"/>
  <c r="AD85"/>
  <c r="AE85"/>
  <c r="AF85"/>
  <c r="AG85"/>
  <c r="AH85"/>
  <c r="AI85"/>
  <c r="AK85"/>
  <c r="AL85"/>
  <c r="AN85"/>
  <c r="AP85"/>
  <c r="AB86"/>
  <c r="AC86"/>
  <c r="AD86"/>
  <c r="AE86"/>
  <c r="AF86"/>
  <c r="AG86"/>
  <c r="AH86"/>
  <c r="AI86"/>
  <c r="AK86"/>
  <c r="AL86"/>
  <c r="AN86"/>
  <c r="AP86"/>
  <c r="AB87"/>
  <c r="AC87"/>
  <c r="AD87"/>
  <c r="AE87"/>
  <c r="AF87"/>
  <c r="AG87"/>
  <c r="AH87"/>
  <c r="AI87"/>
  <c r="AK87"/>
  <c r="AL87"/>
  <c r="AN87"/>
  <c r="AP87"/>
  <c r="AB88"/>
  <c r="AC88"/>
  <c r="AD88"/>
  <c r="AE88"/>
  <c r="AF88"/>
  <c r="AG88"/>
  <c r="AH88"/>
  <c r="AI88"/>
  <c r="AK88"/>
  <c r="AL88"/>
  <c r="AN88"/>
  <c r="AP88"/>
  <c r="AB89"/>
  <c r="AC89"/>
  <c r="AD89"/>
  <c r="AE89"/>
  <c r="AF89"/>
  <c r="AG89"/>
  <c r="AH89"/>
  <c r="AI89"/>
  <c r="AK89"/>
  <c r="AL89"/>
  <c r="AN89"/>
  <c r="AP89"/>
  <c r="AB90"/>
  <c r="AC90"/>
  <c r="AD90"/>
  <c r="AE90"/>
  <c r="AF90"/>
  <c r="AG90"/>
  <c r="AH90"/>
  <c r="AI90"/>
  <c r="AK90"/>
  <c r="AL90"/>
  <c r="AN90"/>
  <c r="AP90"/>
  <c r="AB91"/>
  <c r="AC91"/>
  <c r="AD91"/>
  <c r="AE91"/>
  <c r="AF91"/>
  <c r="AG91"/>
  <c r="AH91"/>
  <c r="AI91"/>
  <c r="AK91"/>
  <c r="AL91"/>
  <c r="AN91"/>
  <c r="AP91"/>
  <c r="AB92"/>
  <c r="AC92"/>
  <c r="AD92"/>
  <c r="AE92"/>
  <c r="AF92"/>
  <c r="AG92"/>
  <c r="AH92"/>
  <c r="AI92"/>
  <c r="AK92"/>
  <c r="AL92"/>
  <c r="AN92"/>
  <c r="AP92"/>
  <c r="AB93"/>
  <c r="AC93"/>
  <c r="AD93"/>
  <c r="AE93"/>
  <c r="AF93"/>
  <c r="AG93"/>
  <c r="AH93"/>
  <c r="AI93"/>
  <c r="AK93"/>
  <c r="AL93"/>
  <c r="AN93"/>
  <c r="AP93"/>
  <c r="AB94"/>
  <c r="AC94"/>
  <c r="AD94"/>
  <c r="AE94"/>
  <c r="AF94"/>
  <c r="AG94"/>
  <c r="AH94"/>
  <c r="AI94"/>
  <c r="AK94"/>
  <c r="AL94"/>
  <c r="AN94"/>
  <c r="AP94"/>
  <c r="AB95"/>
  <c r="AC95"/>
  <c r="AD95"/>
  <c r="AE95"/>
  <c r="AF95"/>
  <c r="AG95"/>
  <c r="AH95"/>
  <c r="AI95"/>
  <c r="AK95"/>
  <c r="AL95"/>
  <c r="AN95"/>
  <c r="AP95"/>
  <c r="AB96"/>
  <c r="AC96"/>
  <c r="AD96"/>
  <c r="AE96"/>
  <c r="AF96"/>
  <c r="AG96"/>
  <c r="AH96"/>
  <c r="AI96"/>
  <c r="AK96"/>
  <c r="AL96"/>
  <c r="AN96"/>
  <c r="AP96"/>
  <c r="AB97"/>
  <c r="AC97"/>
  <c r="AD97"/>
  <c r="AE97"/>
  <c r="AF97"/>
  <c r="AG97"/>
  <c r="AH97"/>
  <c r="AI97"/>
  <c r="AK97"/>
  <c r="AL97"/>
  <c r="AN97"/>
  <c r="AP97"/>
  <c r="AB98"/>
  <c r="AC98"/>
  <c r="AD98"/>
  <c r="AE98"/>
  <c r="AF98"/>
  <c r="AG98"/>
  <c r="AH98"/>
  <c r="AI98"/>
  <c r="AK98"/>
  <c r="AL98"/>
  <c r="AN98"/>
  <c r="AP98"/>
  <c r="AB99"/>
  <c r="AC99"/>
  <c r="AD99"/>
  <c r="AE99"/>
  <c r="AF99"/>
  <c r="AG99"/>
  <c r="AH99"/>
  <c r="AI99"/>
  <c r="AK99"/>
  <c r="AL99"/>
  <c r="AN99"/>
  <c r="AP99"/>
  <c r="AB100"/>
  <c r="AC100"/>
  <c r="AD100"/>
  <c r="AE100"/>
  <c r="AF100"/>
  <c r="AG100"/>
  <c r="AH100"/>
  <c r="AI100"/>
  <c r="AK100"/>
  <c r="AL100"/>
  <c r="AN100"/>
  <c r="AP100"/>
  <c r="AB101"/>
  <c r="AC101"/>
  <c r="AD101"/>
  <c r="AE101"/>
  <c r="AF101"/>
  <c r="AG101"/>
  <c r="AH101"/>
  <c r="AI101"/>
  <c r="AK101"/>
  <c r="AL101"/>
  <c r="AN101"/>
  <c r="AP101"/>
  <c r="AB102"/>
  <c r="AC102"/>
  <c r="AD102"/>
  <c r="AE102"/>
  <c r="AF102"/>
  <c r="AG102"/>
  <c r="AH102"/>
  <c r="AI102"/>
  <c r="AK102"/>
  <c r="AL102"/>
  <c r="AN102"/>
  <c r="AP102"/>
  <c r="AB103"/>
  <c r="AC103"/>
  <c r="AD103"/>
  <c r="AE103"/>
  <c r="AF103"/>
  <c r="AG103"/>
  <c r="AH103"/>
  <c r="AI103"/>
  <c r="AK103"/>
  <c r="AL103"/>
  <c r="AN103"/>
  <c r="AP103"/>
  <c r="AB104"/>
  <c r="AC104"/>
  <c r="AD104"/>
  <c r="AE104"/>
  <c r="AF104"/>
  <c r="AG104"/>
  <c r="AH104"/>
  <c r="AI104"/>
  <c r="AK104"/>
  <c r="AL104"/>
  <c r="AN104"/>
  <c r="AP104"/>
  <c r="AB105"/>
  <c r="AC105"/>
  <c r="AD105"/>
  <c r="AE105"/>
  <c r="AF105"/>
  <c r="AG105"/>
  <c r="AH105"/>
  <c r="AI105"/>
  <c r="AK105"/>
  <c r="AL105"/>
  <c r="AN105"/>
  <c r="AP105"/>
  <c r="AB106"/>
  <c r="AC106"/>
  <c r="AD106"/>
  <c r="AE106"/>
  <c r="AF106"/>
  <c r="AG106"/>
  <c r="AH106"/>
  <c r="AI106"/>
  <c r="AK106"/>
  <c r="AL106"/>
  <c r="AN106"/>
  <c r="AP106"/>
  <c r="AB107"/>
  <c r="AC107"/>
  <c r="AD107"/>
  <c r="AE107"/>
  <c r="AF107"/>
  <c r="AG107"/>
  <c r="AH107"/>
  <c r="AI107"/>
  <c r="AK107"/>
  <c r="AL107"/>
  <c r="AN107"/>
  <c r="AP107"/>
  <c r="AB108"/>
  <c r="AC108"/>
  <c r="AD108"/>
  <c r="AE108"/>
  <c r="AF108"/>
  <c r="AG108"/>
  <c r="AH108"/>
  <c r="AI108"/>
  <c r="AK108"/>
  <c r="AL108"/>
  <c r="AN108"/>
  <c r="AP108"/>
  <c r="AB109"/>
  <c r="AC109"/>
  <c r="AD109"/>
  <c r="AE109"/>
  <c r="AF109"/>
  <c r="AG109"/>
  <c r="AH109"/>
  <c r="AI109"/>
  <c r="AK109"/>
  <c r="AL109"/>
  <c r="AN109"/>
  <c r="AP109"/>
  <c r="AB110"/>
  <c r="AC110"/>
  <c r="AD110"/>
  <c r="AE110"/>
  <c r="AF110"/>
  <c r="AG110"/>
  <c r="AH110"/>
  <c r="AI110"/>
  <c r="AK110"/>
  <c r="AL110"/>
  <c r="AN110"/>
  <c r="AP110"/>
  <c r="AB111"/>
  <c r="AC111"/>
  <c r="AD111"/>
  <c r="AE111"/>
  <c r="AF111"/>
  <c r="AG111"/>
  <c r="AH111"/>
  <c r="AI111"/>
  <c r="AK111"/>
  <c r="AL111"/>
  <c r="AN111"/>
  <c r="AP111"/>
  <c r="AB112"/>
  <c r="AC112"/>
  <c r="AD112"/>
  <c r="AE112"/>
  <c r="AF112"/>
  <c r="AG112"/>
  <c r="AH112"/>
  <c r="AI112"/>
  <c r="AK112"/>
  <c r="AL112"/>
  <c r="AN112"/>
  <c r="AP112"/>
  <c r="AB113"/>
  <c r="AC113"/>
  <c r="AD113"/>
  <c r="AE113"/>
  <c r="AF113"/>
  <c r="AG113"/>
  <c r="AH113"/>
  <c r="AI113"/>
  <c r="AK113"/>
  <c r="AL113"/>
  <c r="AN113"/>
  <c r="AP113"/>
  <c r="AB114"/>
  <c r="AC114"/>
  <c r="AD114"/>
  <c r="AE114"/>
  <c r="AF114"/>
  <c r="AG114"/>
  <c r="AH114"/>
  <c r="AI114"/>
  <c r="AK114"/>
  <c r="AL114"/>
  <c r="AN114"/>
  <c r="AP114"/>
  <c r="AB115"/>
  <c r="AC115"/>
  <c r="AD115"/>
  <c r="AE115"/>
  <c r="AF115"/>
  <c r="AG115"/>
  <c r="AH115"/>
  <c r="AI115"/>
  <c r="AK115"/>
  <c r="AL115"/>
  <c r="AN115"/>
  <c r="AP115"/>
  <c r="AB116"/>
  <c r="AC116"/>
  <c r="AD116"/>
  <c r="AE116"/>
  <c r="AF116"/>
  <c r="AG116"/>
  <c r="AH116"/>
  <c r="AI116"/>
  <c r="AK116"/>
  <c r="AL116"/>
  <c r="AN116"/>
  <c r="AP116"/>
  <c r="AB117"/>
  <c r="AC117"/>
  <c r="AD117"/>
  <c r="AE117"/>
  <c r="AF117"/>
  <c r="AG117"/>
  <c r="AH117"/>
  <c r="AI117"/>
  <c r="AK117"/>
  <c r="AL117"/>
  <c r="AN117"/>
  <c r="AP117"/>
  <c r="AB118"/>
  <c r="AC118"/>
  <c r="AD118"/>
  <c r="AE118"/>
  <c r="AF118"/>
  <c r="AG118"/>
  <c r="AH118"/>
  <c r="AI118"/>
  <c r="AK118"/>
  <c r="AL118"/>
  <c r="AN118"/>
  <c r="AP118"/>
  <c r="AB119"/>
  <c r="AC119"/>
  <c r="AD119"/>
  <c r="AE119"/>
  <c r="AF119"/>
  <c r="AG119"/>
  <c r="AH119"/>
  <c r="AI119"/>
  <c r="AK119"/>
  <c r="AL119"/>
  <c r="AN119"/>
  <c r="AP119"/>
  <c r="AB120"/>
  <c r="AC120"/>
  <c r="AD120"/>
  <c r="AE120"/>
  <c r="AF120"/>
  <c r="AG120"/>
  <c r="AH120"/>
  <c r="AI120"/>
  <c r="AK120"/>
  <c r="AL120"/>
  <c r="AN120"/>
  <c r="AP120"/>
  <c r="AB121"/>
  <c r="AC121"/>
  <c r="AD121"/>
  <c r="AE121"/>
  <c r="AF121"/>
  <c r="AG121"/>
  <c r="AH121"/>
  <c r="AI121"/>
  <c r="AK121"/>
  <c r="AL121"/>
  <c r="AN121"/>
  <c r="AP121"/>
  <c r="AB122"/>
  <c r="AC122"/>
  <c r="AD122"/>
  <c r="AE122"/>
  <c r="AF122"/>
  <c r="AG122"/>
  <c r="AH122"/>
  <c r="AI122"/>
  <c r="AK122"/>
  <c r="AL122"/>
  <c r="AN122"/>
  <c r="AP122"/>
  <c r="AB123"/>
  <c r="AC123"/>
  <c r="AD123"/>
  <c r="AE123"/>
  <c r="AF123"/>
  <c r="AG123"/>
  <c r="AH123"/>
  <c r="AI123"/>
  <c r="AK123"/>
  <c r="AL123"/>
  <c r="AN123"/>
  <c r="AP123"/>
  <c r="AB124"/>
  <c r="AC124"/>
  <c r="AD124"/>
  <c r="AE124"/>
  <c r="AF124"/>
  <c r="AG124"/>
  <c r="AH124"/>
  <c r="AI124"/>
  <c r="AK124"/>
  <c r="AL124"/>
  <c r="AN124"/>
  <c r="AP124"/>
  <c r="AB125"/>
  <c r="AC125"/>
  <c r="AD125"/>
  <c r="AE125"/>
  <c r="AF125"/>
  <c r="AG125"/>
  <c r="AH125"/>
  <c r="AI125"/>
  <c r="AK125"/>
  <c r="AL125"/>
  <c r="AN125"/>
  <c r="AP125"/>
  <c r="AB126"/>
  <c r="AC126"/>
  <c r="AD126"/>
  <c r="AE126"/>
  <c r="AF126"/>
  <c r="AG126"/>
  <c r="AH126"/>
  <c r="AI126"/>
  <c r="AK126"/>
  <c r="AL126"/>
  <c r="AN126"/>
  <c r="AP126"/>
  <c r="AB127"/>
  <c r="AC127"/>
  <c r="AD127"/>
  <c r="AE127"/>
  <c r="AF127"/>
  <c r="AG127"/>
  <c r="AH127"/>
  <c r="AI127"/>
  <c r="AK127"/>
  <c r="AL127"/>
  <c r="AN127"/>
  <c r="AP127"/>
  <c r="AB128"/>
  <c r="AC128"/>
  <c r="AD128"/>
  <c r="AE128"/>
  <c r="AF128"/>
  <c r="AG128"/>
  <c r="AH128"/>
  <c r="AI128"/>
  <c r="AK128"/>
  <c r="AL128"/>
  <c r="AN128"/>
  <c r="AP128"/>
  <c r="AB129"/>
  <c r="AC129"/>
  <c r="AD129"/>
  <c r="AE129"/>
  <c r="AF129"/>
  <c r="AG129"/>
  <c r="AH129"/>
  <c r="AI129"/>
  <c r="AK129"/>
  <c r="AL129"/>
  <c r="AN129"/>
  <c r="AP129"/>
  <c r="AB130"/>
  <c r="AC130"/>
  <c r="AD130"/>
  <c r="AE130"/>
  <c r="AF130"/>
  <c r="AG130"/>
  <c r="AH130"/>
  <c r="AI130"/>
  <c r="AK130"/>
  <c r="AL130"/>
  <c r="AN130"/>
  <c r="AP130"/>
  <c r="AB131"/>
  <c r="AC131"/>
  <c r="AD131"/>
  <c r="AE131"/>
  <c r="AF131"/>
  <c r="AG131"/>
  <c r="AH131"/>
  <c r="AI131"/>
  <c r="AK131"/>
  <c r="AL131"/>
  <c r="AN131"/>
  <c r="AP131"/>
  <c r="AB132"/>
  <c r="AC132"/>
  <c r="AD132"/>
  <c r="AE132"/>
  <c r="AF132"/>
  <c r="AG132"/>
  <c r="AH132"/>
  <c r="AI132"/>
  <c r="AK132"/>
  <c r="AL132"/>
  <c r="AN132"/>
  <c r="AP132"/>
  <c r="AB133"/>
  <c r="AC133"/>
  <c r="AD133"/>
  <c r="AE133"/>
  <c r="AF133"/>
  <c r="AG133"/>
  <c r="AH133"/>
  <c r="AI133"/>
  <c r="AK133"/>
  <c r="AL133"/>
  <c r="AN133"/>
  <c r="AP133"/>
  <c r="AB134"/>
  <c r="AC134"/>
  <c r="AD134"/>
  <c r="AE134"/>
  <c r="AF134"/>
  <c r="AG134"/>
  <c r="AH134"/>
  <c r="AI134"/>
  <c r="AK134"/>
  <c r="AL134"/>
  <c r="AN134"/>
  <c r="AP134"/>
  <c r="AB135"/>
  <c r="AC135"/>
  <c r="AD135"/>
  <c r="AE135"/>
  <c r="AF135"/>
  <c r="AG135"/>
  <c r="AH135"/>
  <c r="AI135"/>
  <c r="AK135"/>
  <c r="AL135"/>
  <c r="AN135"/>
  <c r="AP135"/>
  <c r="AB136"/>
  <c r="AC136"/>
  <c r="AD136"/>
  <c r="AE136"/>
  <c r="AF136"/>
  <c r="AG136"/>
  <c r="AH136"/>
  <c r="AI136"/>
  <c r="AK136"/>
  <c r="AL136"/>
  <c r="AN136"/>
  <c r="AP136"/>
  <c r="AB137"/>
  <c r="AC137"/>
  <c r="AD137"/>
  <c r="AE137"/>
  <c r="AF137"/>
  <c r="AG137"/>
  <c r="AH137"/>
  <c r="AI137"/>
  <c r="AK137"/>
  <c r="AL137"/>
  <c r="AN137"/>
  <c r="AP137"/>
  <c r="AB138"/>
  <c r="AC138"/>
  <c r="AD138"/>
  <c r="AE138"/>
  <c r="AF138"/>
  <c r="AG138"/>
  <c r="AH138"/>
  <c r="AI138"/>
  <c r="AK138"/>
  <c r="AL138"/>
  <c r="AN138"/>
  <c r="AP138"/>
  <c r="AB139"/>
  <c r="AC139"/>
  <c r="AD139"/>
  <c r="AE139"/>
  <c r="AF139"/>
  <c r="AG139"/>
  <c r="AH139"/>
  <c r="AI139"/>
  <c r="AK139"/>
  <c r="AL139"/>
  <c r="AN139"/>
  <c r="AP139"/>
  <c r="AB140"/>
  <c r="AC140"/>
  <c r="AD140"/>
  <c r="AE140"/>
  <c r="AF140"/>
  <c r="AG140"/>
  <c r="AH140"/>
  <c r="AI140"/>
  <c r="AK140"/>
  <c r="AL140"/>
  <c r="AN140"/>
  <c r="AP140"/>
  <c r="AB141"/>
  <c r="AC141"/>
  <c r="AD141"/>
  <c r="AE141"/>
  <c r="AF141"/>
  <c r="AG141"/>
  <c r="AH141"/>
  <c r="AI141"/>
  <c r="AK141"/>
  <c r="AL141"/>
  <c r="AN141"/>
  <c r="AP141"/>
  <c r="AB142"/>
  <c r="AC142"/>
  <c r="AD142"/>
  <c r="AE142"/>
  <c r="AF142"/>
  <c r="AG142"/>
  <c r="AH142"/>
  <c r="AI142"/>
  <c r="AK142"/>
  <c r="AL142"/>
  <c r="AN142"/>
  <c r="AP142"/>
  <c r="AB143"/>
  <c r="AC143"/>
  <c r="AD143"/>
  <c r="AE143"/>
  <c r="AF143"/>
  <c r="AG143"/>
  <c r="AH143"/>
  <c r="AI143"/>
  <c r="AK143"/>
  <c r="AL143"/>
  <c r="AN143"/>
  <c r="AP143"/>
  <c r="AB144"/>
  <c r="AC144"/>
  <c r="AD144"/>
  <c r="AE144"/>
  <c r="AF144"/>
  <c r="AG144"/>
  <c r="AH144"/>
  <c r="AI144"/>
  <c r="AK144"/>
  <c r="AL144"/>
  <c r="AN144"/>
  <c r="AP144"/>
  <c r="AB145"/>
  <c r="AC145"/>
  <c r="AD145"/>
  <c r="AE145"/>
  <c r="AF145"/>
  <c r="AG145"/>
  <c r="AH145"/>
  <c r="AI145"/>
  <c r="AK145"/>
  <c r="AL145"/>
  <c r="AN145"/>
  <c r="AP145"/>
  <c r="AB146"/>
  <c r="AC146"/>
  <c r="AD146"/>
  <c r="AE146"/>
  <c r="AF146"/>
  <c r="AG146"/>
  <c r="AH146"/>
  <c r="AI146"/>
  <c r="AK146"/>
  <c r="AL146"/>
  <c r="AN146"/>
  <c r="AP146"/>
  <c r="AB147"/>
  <c r="AC147"/>
  <c r="AD147"/>
  <c r="AE147"/>
  <c r="AF147"/>
  <c r="AG147"/>
  <c r="AH147"/>
  <c r="AI147"/>
  <c r="AK147"/>
  <c r="AL147"/>
  <c r="AN147"/>
  <c r="AP147"/>
  <c r="AB148"/>
  <c r="AC148"/>
  <c r="AD148"/>
  <c r="AE148"/>
  <c r="AF148"/>
  <c r="AG148"/>
  <c r="AH148"/>
  <c r="AI148"/>
  <c r="AK148"/>
  <c r="AL148"/>
  <c r="AN148"/>
  <c r="AP148"/>
  <c r="AB149"/>
  <c r="AC149"/>
  <c r="AD149"/>
  <c r="AE149"/>
  <c r="AF149"/>
  <c r="AG149"/>
  <c r="AH149"/>
  <c r="AI149"/>
  <c r="AK149"/>
  <c r="AL149"/>
  <c r="AN149"/>
  <c r="AP149"/>
  <c r="AB150"/>
  <c r="AC150"/>
  <c r="AD150"/>
  <c r="AE150"/>
  <c r="AF150"/>
  <c r="AG150"/>
  <c r="AH150"/>
  <c r="AI150"/>
  <c r="AK150"/>
  <c r="AL150"/>
  <c r="AN150"/>
  <c r="AP150"/>
  <c r="AB151"/>
  <c r="AC151"/>
  <c r="AD151"/>
  <c r="AE151"/>
  <c r="AF151"/>
  <c r="AG151"/>
  <c r="AH151"/>
  <c r="AI151"/>
  <c r="AK151"/>
  <c r="AL151"/>
  <c r="AN151"/>
  <c r="AP151"/>
  <c r="AB152"/>
  <c r="AC152"/>
  <c r="AD152"/>
  <c r="AE152"/>
  <c r="AF152"/>
  <c r="AG152"/>
  <c r="AH152"/>
  <c r="AI152"/>
  <c r="AK152"/>
  <c r="AL152"/>
  <c r="AN152"/>
  <c r="AP152"/>
  <c r="AB153"/>
  <c r="AC153"/>
  <c r="AD153"/>
  <c r="AE153"/>
  <c r="AF153"/>
  <c r="AG153"/>
  <c r="AH153"/>
  <c r="AI153"/>
  <c r="AK153"/>
  <c r="AL153"/>
  <c r="AN153"/>
  <c r="AP153"/>
  <c r="AB154"/>
  <c r="AC154"/>
  <c r="AD154"/>
  <c r="AE154"/>
  <c r="AF154"/>
  <c r="AG154"/>
  <c r="AH154"/>
  <c r="AI154"/>
  <c r="AK154"/>
  <c r="AL154"/>
  <c r="AN154"/>
  <c r="AP154"/>
  <c r="AB155"/>
  <c r="AC155"/>
  <c r="AD155"/>
  <c r="AE155"/>
  <c r="AF155"/>
  <c r="AG155"/>
  <c r="AH155"/>
  <c r="AI155"/>
  <c r="AK155"/>
  <c r="AL155"/>
  <c r="AN155"/>
  <c r="AP155"/>
  <c r="AB156"/>
  <c r="AC156"/>
  <c r="AD156"/>
  <c r="AE156"/>
  <c r="AF156"/>
  <c r="AG156"/>
  <c r="AH156"/>
  <c r="AI156"/>
  <c r="AK156"/>
  <c r="AL156"/>
  <c r="AN156"/>
  <c r="AP156"/>
  <c r="AB157"/>
  <c r="AC157"/>
  <c r="AD157"/>
  <c r="AE157"/>
  <c r="AF157"/>
  <c r="AG157"/>
  <c r="AH157"/>
  <c r="AI157"/>
  <c r="AK157"/>
  <c r="AL157"/>
  <c r="AN157"/>
  <c r="AP157"/>
  <c r="AB158"/>
  <c r="AC158"/>
  <c r="AD158"/>
  <c r="AE158"/>
  <c r="AF158"/>
  <c r="AG158"/>
  <c r="AH158"/>
  <c r="AI158"/>
  <c r="AK158"/>
  <c r="AL158"/>
  <c r="AN158"/>
  <c r="AP158"/>
  <c r="AB159"/>
  <c r="AC159"/>
  <c r="AD159"/>
  <c r="AE159"/>
  <c r="AF159"/>
  <c r="AG159"/>
  <c r="AH159"/>
  <c r="AI159"/>
  <c r="AK159"/>
  <c r="AL159"/>
  <c r="AN159"/>
  <c r="AP159"/>
  <c r="AB160"/>
  <c r="AC160"/>
  <c r="AD160"/>
  <c r="AE160"/>
  <c r="AF160"/>
  <c r="AG160"/>
  <c r="AH160"/>
  <c r="AI160"/>
  <c r="AK160"/>
  <c r="AL160"/>
  <c r="AN160"/>
  <c r="AP160"/>
  <c r="AB161"/>
  <c r="AC161"/>
  <c r="AD161"/>
  <c r="AE161"/>
  <c r="AF161"/>
  <c r="AG161"/>
  <c r="AH161"/>
  <c r="AI161"/>
  <c r="AK161"/>
  <c r="AL161"/>
  <c r="AN161"/>
  <c r="AP161"/>
  <c r="AB162"/>
  <c r="AC162"/>
  <c r="AD162"/>
  <c r="AE162"/>
  <c r="AF162"/>
  <c r="AG162"/>
  <c r="AH162"/>
  <c r="AI162"/>
  <c r="AK162"/>
  <c r="AL162"/>
  <c r="AN162"/>
  <c r="AP162"/>
  <c r="AB163"/>
  <c r="AC163"/>
  <c r="AD163"/>
  <c r="AE163"/>
  <c r="AF163"/>
  <c r="AG163"/>
  <c r="AH163"/>
  <c r="AI163"/>
  <c r="AK163"/>
  <c r="AL163"/>
  <c r="AN163"/>
  <c r="AP163"/>
  <c r="AB164"/>
  <c r="AC164"/>
  <c r="AD164"/>
  <c r="AE164"/>
  <c r="AF164"/>
  <c r="AG164"/>
  <c r="AH164"/>
  <c r="AI164"/>
  <c r="AK164"/>
  <c r="AL164"/>
  <c r="AN164"/>
  <c r="AP164"/>
  <c r="AB165"/>
  <c r="AC165"/>
  <c r="AD165"/>
  <c r="AE165"/>
  <c r="AF165"/>
  <c r="AG165"/>
  <c r="AH165"/>
  <c r="AI165"/>
  <c r="AK165"/>
  <c r="AL165"/>
  <c r="AN165"/>
  <c r="AP165"/>
  <c r="AB166"/>
  <c r="AC166"/>
  <c r="AD166"/>
  <c r="AE166"/>
  <c r="AF166"/>
  <c r="AG166"/>
  <c r="AH166"/>
  <c r="AI166"/>
  <c r="AK166"/>
  <c r="AL166"/>
  <c r="AN166"/>
  <c r="AP166"/>
  <c r="AB167"/>
  <c r="AC167"/>
  <c r="AD167"/>
  <c r="AE167"/>
  <c r="AF167"/>
  <c r="AG167"/>
  <c r="AH167"/>
  <c r="AI167"/>
  <c r="AK167"/>
  <c r="AL167"/>
  <c r="AN167"/>
  <c r="AP167"/>
  <c r="AB168"/>
  <c r="AC168"/>
  <c r="AD168"/>
  <c r="AE168"/>
  <c r="AF168"/>
  <c r="AG168"/>
  <c r="AH168"/>
  <c r="AI168"/>
  <c r="AK168"/>
  <c r="AL168"/>
  <c r="AN168"/>
  <c r="AP168"/>
  <c r="AB169"/>
  <c r="AC169"/>
  <c r="AD169"/>
  <c r="AE169"/>
  <c r="AF169"/>
  <c r="AG169"/>
  <c r="AH169"/>
  <c r="AI169"/>
  <c r="AK169"/>
  <c r="AL169"/>
  <c r="AN169"/>
  <c r="AP169"/>
  <c r="AB170"/>
  <c r="AC170"/>
  <c r="AD170"/>
  <c r="AE170"/>
  <c r="AF170"/>
  <c r="AG170"/>
  <c r="AH170"/>
  <c r="AI170"/>
  <c r="AK170"/>
  <c r="AL170"/>
  <c r="AN170"/>
  <c r="AP170"/>
  <c r="AB171"/>
  <c r="AC171"/>
  <c r="AD171"/>
  <c r="AE171"/>
  <c r="AF171"/>
  <c r="AG171"/>
  <c r="AH171"/>
  <c r="AI171"/>
  <c r="AK171"/>
  <c r="AL171"/>
  <c r="AN171"/>
  <c r="AP171"/>
  <c r="AB172"/>
  <c r="AC172"/>
  <c r="AD172"/>
  <c r="AE172"/>
  <c r="AF172"/>
  <c r="AG172"/>
  <c r="AH172"/>
  <c r="AI172"/>
  <c r="AK172"/>
  <c r="AL172"/>
  <c r="AN172"/>
  <c r="AP172"/>
  <c r="AB173"/>
  <c r="AC173"/>
  <c r="AD173"/>
  <c r="AE173"/>
  <c r="AF173"/>
  <c r="AG173"/>
  <c r="AH173"/>
  <c r="AI173"/>
  <c r="AK173"/>
  <c r="AL173"/>
  <c r="AN173"/>
  <c r="AP173"/>
  <c r="AB174"/>
  <c r="AC174"/>
  <c r="AD174"/>
  <c r="AE174"/>
  <c r="AF174"/>
  <c r="AG174"/>
  <c r="AH174"/>
  <c r="AI174"/>
  <c r="AK174"/>
  <c r="AL174"/>
  <c r="AN174"/>
  <c r="AP174"/>
  <c r="AB175"/>
  <c r="AC175"/>
  <c r="AD175"/>
  <c r="AE175"/>
  <c r="AF175"/>
  <c r="AG175"/>
  <c r="AH175"/>
  <c r="AI175"/>
  <c r="AK175"/>
  <c r="AL175"/>
  <c r="AN175"/>
  <c r="AP175"/>
  <c r="AB176"/>
  <c r="AC176"/>
  <c r="AD176"/>
  <c r="AE176"/>
  <c r="AF176"/>
  <c r="AG176"/>
  <c r="AH176"/>
  <c r="AI176"/>
  <c r="AK176"/>
  <c r="AL176"/>
  <c r="AN176"/>
  <c r="AP176"/>
  <c r="AB177"/>
  <c r="AC177"/>
  <c r="AD177"/>
  <c r="AE177"/>
  <c r="AF177"/>
  <c r="AG177"/>
  <c r="AH177"/>
  <c r="AI177"/>
  <c r="AK177"/>
  <c r="AL177"/>
  <c r="AN177"/>
  <c r="AP177"/>
  <c r="AB178"/>
  <c r="AC178"/>
  <c r="AD178"/>
  <c r="AE178"/>
  <c r="AF178"/>
  <c r="AG178"/>
  <c r="AH178"/>
  <c r="AI178"/>
  <c r="AK178"/>
  <c r="AL178"/>
  <c r="AN178"/>
  <c r="AP178"/>
  <c r="AB179"/>
  <c r="AC179"/>
  <c r="AD179"/>
  <c r="AE179"/>
  <c r="AF179"/>
  <c r="AG179"/>
  <c r="AH179"/>
  <c r="AI179"/>
  <c r="AK179"/>
  <c r="AL179"/>
  <c r="AN179"/>
  <c r="AP179"/>
  <c r="AB180"/>
  <c r="AC180"/>
  <c r="AD180"/>
  <c r="AE180"/>
  <c r="AF180"/>
  <c r="AG180"/>
  <c r="AH180"/>
  <c r="AI180"/>
  <c r="AK180"/>
  <c r="AL180"/>
  <c r="AN180"/>
  <c r="AP180"/>
  <c r="AB181"/>
  <c r="AC181"/>
  <c r="AD181"/>
  <c r="AE181"/>
  <c r="AF181"/>
  <c r="AG181"/>
  <c r="AH181"/>
  <c r="AI181"/>
  <c r="AK181"/>
  <c r="AL181"/>
  <c r="AN181"/>
  <c r="AP181"/>
  <c r="AB182"/>
  <c r="AC182"/>
  <c r="AD182"/>
  <c r="AE182"/>
  <c r="AF182"/>
  <c r="AG182"/>
  <c r="AH182"/>
  <c r="AI182"/>
  <c r="AK182"/>
  <c r="AL182"/>
  <c r="AN182"/>
  <c r="AP182"/>
  <c r="AB183"/>
  <c r="AC183"/>
  <c r="AD183"/>
  <c r="AE183"/>
  <c r="AF183"/>
  <c r="AG183"/>
  <c r="AH183"/>
  <c r="AI183"/>
  <c r="AK183"/>
  <c r="AL183"/>
  <c r="AN183"/>
  <c r="AP183"/>
  <c r="AB184"/>
  <c r="AC184"/>
  <c r="AD184"/>
  <c r="AE184"/>
  <c r="AF184"/>
  <c r="AG184"/>
  <c r="AH184"/>
  <c r="AI184"/>
  <c r="AK184"/>
  <c r="AL184"/>
  <c r="AN184"/>
  <c r="AP184"/>
  <c r="AB185"/>
  <c r="AC185"/>
  <c r="AD185"/>
  <c r="AE185"/>
  <c r="AF185"/>
  <c r="AG185"/>
  <c r="AH185"/>
  <c r="AI185"/>
  <c r="AK185"/>
  <c r="AL185"/>
  <c r="AN185"/>
  <c r="AP185"/>
  <c r="AB186"/>
  <c r="AC186"/>
  <c r="AD186"/>
  <c r="AE186"/>
  <c r="AF186"/>
  <c r="AG186"/>
  <c r="AH186"/>
  <c r="AI186"/>
  <c r="AK186"/>
  <c r="AL186"/>
  <c r="AN186"/>
  <c r="AP186"/>
  <c r="AB187"/>
  <c r="AC187"/>
  <c r="AD187"/>
  <c r="AE187"/>
  <c r="AF187"/>
  <c r="AG187"/>
  <c r="AH187"/>
  <c r="AI187"/>
  <c r="AK187"/>
  <c r="AL187"/>
  <c r="AN187"/>
  <c r="AP187"/>
  <c r="AB188"/>
  <c r="AC188"/>
  <c r="AD188"/>
  <c r="AE188"/>
  <c r="AF188"/>
  <c r="AG188"/>
  <c r="AH188"/>
  <c r="AI188"/>
  <c r="AK188"/>
  <c r="AL188"/>
  <c r="AN188"/>
  <c r="AP188"/>
  <c r="AB189"/>
  <c r="AC189"/>
  <c r="AD189"/>
  <c r="AE189"/>
  <c r="AF189"/>
  <c r="AG189"/>
  <c r="AH189"/>
  <c r="AI189"/>
  <c r="AK189"/>
  <c r="AL189"/>
  <c r="AN189"/>
  <c r="AP189"/>
  <c r="AB190"/>
  <c r="AC190"/>
  <c r="AD190"/>
  <c r="AE190"/>
  <c r="AF190"/>
  <c r="AG190"/>
  <c r="AH190"/>
  <c r="AI190"/>
  <c r="AK190"/>
  <c r="AL190"/>
  <c r="AN190"/>
  <c r="AP190"/>
  <c r="AB191"/>
  <c r="AC191"/>
  <c r="AD191"/>
  <c r="AE191"/>
  <c r="AF191"/>
  <c r="AG191"/>
  <c r="AH191"/>
  <c r="AI191"/>
  <c r="AK191"/>
  <c r="AL191"/>
  <c r="AN191"/>
  <c r="AP191"/>
  <c r="AB192"/>
  <c r="AC192"/>
  <c r="AD192"/>
  <c r="AE192"/>
  <c r="AF192"/>
  <c r="AG192"/>
  <c r="AH192"/>
  <c r="AI192"/>
  <c r="AK192"/>
  <c r="AL192"/>
  <c r="AN192"/>
  <c r="AP192"/>
  <c r="AB193"/>
  <c r="AC193"/>
  <c r="AD193"/>
  <c r="AE193"/>
  <c r="AF193"/>
  <c r="AG193"/>
  <c r="AH193"/>
  <c r="AI193"/>
  <c r="AK193"/>
  <c r="AL193"/>
  <c r="AN193"/>
  <c r="AP193"/>
  <c r="AB194"/>
  <c r="AC194"/>
  <c r="AD194"/>
  <c r="AE194"/>
  <c r="AF194"/>
  <c r="AG194"/>
  <c r="AH194"/>
  <c r="AI194"/>
  <c r="AK194"/>
  <c r="AL194"/>
  <c r="AN194"/>
  <c r="AP194"/>
  <c r="AB195"/>
  <c r="AC195"/>
  <c r="AD195"/>
  <c r="AE195"/>
  <c r="AF195"/>
  <c r="AG195"/>
  <c r="AH195"/>
  <c r="AI195"/>
  <c r="AK195"/>
  <c r="AL195"/>
  <c r="AN195"/>
  <c r="AP195"/>
  <c r="AB196"/>
  <c r="AC196"/>
  <c r="AD196"/>
  <c r="AE196"/>
  <c r="AF196"/>
  <c r="AG196"/>
  <c r="AH196"/>
  <c r="AI196"/>
  <c r="AK196"/>
  <c r="AL196"/>
  <c r="AN196"/>
  <c r="AP196"/>
  <c r="AB197"/>
  <c r="AC197"/>
  <c r="AD197"/>
  <c r="AE197"/>
  <c r="AF197"/>
  <c r="AG197"/>
  <c r="AH197"/>
  <c r="AI197"/>
  <c r="AK197"/>
  <c r="AL197"/>
  <c r="AN197"/>
  <c r="AP197"/>
  <c r="AB198"/>
  <c r="AC198"/>
  <c r="AD198"/>
  <c r="AE198"/>
  <c r="AF198"/>
  <c r="AG198"/>
  <c r="AH198"/>
  <c r="AI198"/>
  <c r="AK198"/>
  <c r="AL198"/>
  <c r="AN198"/>
  <c r="AP198"/>
  <c r="AB199"/>
  <c r="AC199"/>
  <c r="AD199"/>
  <c r="AE199"/>
  <c r="AF199"/>
  <c r="AG199"/>
  <c r="AH199"/>
  <c r="AI199"/>
  <c r="AK199"/>
  <c r="AL199"/>
  <c r="AN199"/>
  <c r="AP199"/>
  <c r="AB200"/>
  <c r="AC200"/>
  <c r="AD200"/>
  <c r="AE200"/>
  <c r="AF200"/>
  <c r="AG200"/>
  <c r="AH200"/>
  <c r="AI200"/>
  <c r="AK200"/>
  <c r="AL200"/>
  <c r="AN200"/>
  <c r="AP200"/>
  <c r="AB201"/>
  <c r="AC201"/>
  <c r="AD201"/>
  <c r="AE201"/>
  <c r="AF201"/>
  <c r="AG201"/>
  <c r="AH201"/>
  <c r="AI201"/>
  <c r="AK201"/>
  <c r="AL201"/>
  <c r="AN201"/>
  <c r="AP201"/>
  <c r="AB202"/>
  <c r="AC202"/>
  <c r="AD202"/>
  <c r="AE202"/>
  <c r="AF202"/>
  <c r="AG202"/>
  <c r="AH202"/>
  <c r="AI202"/>
  <c r="AK202"/>
  <c r="AL202"/>
  <c r="AN202"/>
  <c r="AP202"/>
  <c r="AB203"/>
  <c r="AC203"/>
  <c r="AD203"/>
  <c r="AE203"/>
  <c r="AF203"/>
  <c r="AG203"/>
  <c r="AH203"/>
  <c r="AI203"/>
  <c r="AK203"/>
  <c r="AL203"/>
  <c r="AN203"/>
  <c r="AP203"/>
  <c r="AB204"/>
  <c r="AC204"/>
  <c r="AD204"/>
  <c r="AE204"/>
  <c r="AF204"/>
  <c r="AG204"/>
  <c r="AH204"/>
  <c r="AI204"/>
  <c r="AK204"/>
  <c r="AL204"/>
  <c r="AN204"/>
  <c r="AP204"/>
  <c r="AB205"/>
  <c r="AC205"/>
  <c r="AD205"/>
  <c r="AE205"/>
  <c r="AF205"/>
  <c r="AG205"/>
  <c r="AH205"/>
  <c r="AI205"/>
  <c r="AK205"/>
  <c r="AL205"/>
  <c r="AN205"/>
  <c r="AP205"/>
  <c r="AB206"/>
  <c r="AC206"/>
  <c r="AD206"/>
  <c r="AE206"/>
  <c r="AF206"/>
  <c r="AG206"/>
  <c r="AH206"/>
  <c r="AI206"/>
  <c r="AK206"/>
  <c r="AL206"/>
  <c r="AN206"/>
  <c r="AP206"/>
  <c r="AB207"/>
  <c r="AC207"/>
  <c r="AD207"/>
  <c r="AE207"/>
  <c r="AF207"/>
  <c r="AG207"/>
  <c r="AH207"/>
  <c r="AI207"/>
  <c r="AK207"/>
  <c r="AL207"/>
  <c r="AN207"/>
  <c r="AP207"/>
  <c r="AB208"/>
  <c r="AC208"/>
  <c r="AD208"/>
  <c r="AE208"/>
  <c r="AF208"/>
  <c r="AG208"/>
  <c r="AH208"/>
  <c r="AI208"/>
  <c r="AK208"/>
  <c r="AL208"/>
  <c r="AN208"/>
  <c r="AP208"/>
  <c r="AB209"/>
  <c r="AC209"/>
  <c r="AD209"/>
  <c r="AE209"/>
  <c r="AF209"/>
  <c r="AG209"/>
  <c r="AH209"/>
  <c r="AI209"/>
  <c r="AK209"/>
  <c r="AL209"/>
  <c r="AN209"/>
  <c r="AP209"/>
  <c r="AB210"/>
  <c r="AC210"/>
  <c r="AD210"/>
  <c r="AE210"/>
  <c r="AF210"/>
  <c r="AG210"/>
  <c r="AH210"/>
  <c r="AI210"/>
  <c r="AK210"/>
  <c r="AL210"/>
  <c r="AN210"/>
  <c r="AP210"/>
  <c r="AB211"/>
  <c r="AC211"/>
  <c r="AD211"/>
  <c r="AE211"/>
  <c r="AF211"/>
  <c r="AG211"/>
  <c r="AH211"/>
  <c r="AI211"/>
  <c r="AK211"/>
  <c r="AL211"/>
  <c r="AN211"/>
  <c r="AP211"/>
  <c r="AB212"/>
  <c r="AC212"/>
  <c r="AD212"/>
  <c r="AE212"/>
  <c r="AF212"/>
  <c r="AG212"/>
  <c r="AH212"/>
  <c r="AI212"/>
  <c r="AK212"/>
  <c r="AL212"/>
  <c r="AN212"/>
  <c r="AP212"/>
  <c r="AB213"/>
  <c r="AC213"/>
  <c r="AD213"/>
  <c r="AE213"/>
  <c r="AF213"/>
  <c r="AG213"/>
  <c r="AH213"/>
  <c r="AI213"/>
  <c r="AK213"/>
  <c r="AL213"/>
  <c r="AN213"/>
  <c r="AP213"/>
  <c r="AB214"/>
  <c r="AC214"/>
  <c r="AD214"/>
  <c r="AE214"/>
  <c r="AF214"/>
  <c r="AG214"/>
  <c r="AH214"/>
  <c r="AI214"/>
  <c r="AK214"/>
  <c r="AL214"/>
  <c r="AN214"/>
  <c r="AP214"/>
  <c r="AB215"/>
  <c r="AC215"/>
  <c r="AD215"/>
  <c r="AE215"/>
  <c r="AF215"/>
  <c r="AG215"/>
  <c r="AH215"/>
  <c r="AI215"/>
  <c r="AK215"/>
  <c r="AL215"/>
  <c r="AN215"/>
  <c r="AP215"/>
  <c r="AB216"/>
  <c r="AC216"/>
  <c r="AD216"/>
  <c r="AE216"/>
  <c r="AF216"/>
  <c r="AG216"/>
  <c r="AH216"/>
  <c r="AI216"/>
  <c r="AK216"/>
  <c r="AL216"/>
  <c r="AN216"/>
  <c r="AP216"/>
  <c r="AB217"/>
  <c r="AC217"/>
  <c r="AD217"/>
  <c r="AE217"/>
  <c r="AF217"/>
  <c r="AG217"/>
  <c r="AH217"/>
  <c r="AI217"/>
  <c r="AK217"/>
  <c r="AL217"/>
  <c r="AN217"/>
  <c r="AP217"/>
  <c r="AB218"/>
  <c r="AC218"/>
  <c r="AD218"/>
  <c r="AE218"/>
  <c r="AF218"/>
  <c r="AG218"/>
  <c r="AH218"/>
  <c r="AI218"/>
  <c r="AK218"/>
  <c r="AL218"/>
  <c r="AN218"/>
  <c r="AP218"/>
  <c r="AB219"/>
  <c r="AC219"/>
  <c r="AD219"/>
  <c r="AE219"/>
  <c r="AF219"/>
  <c r="AG219"/>
  <c r="AH219"/>
  <c r="AI219"/>
  <c r="AK219"/>
  <c r="AL219"/>
  <c r="AN219"/>
  <c r="AP219"/>
  <c r="AB220"/>
  <c r="AC220"/>
  <c r="AD220"/>
  <c r="AE220"/>
  <c r="AF220"/>
  <c r="AG220"/>
  <c r="AH220"/>
  <c r="AI220"/>
  <c r="AK220"/>
  <c r="AL220"/>
  <c r="AN220"/>
  <c r="AP220"/>
  <c r="AB221"/>
  <c r="AC221"/>
  <c r="AD221"/>
  <c r="AE221"/>
  <c r="AF221"/>
  <c r="AG221"/>
  <c r="AH221"/>
  <c r="AI221"/>
  <c r="AK221"/>
  <c r="AL221"/>
  <c r="AN221"/>
  <c r="AP221"/>
  <c r="AB222"/>
  <c r="AC222"/>
  <c r="AD222"/>
  <c r="AE222"/>
  <c r="AF222"/>
  <c r="AG222"/>
  <c r="AH222"/>
  <c r="AI222"/>
  <c r="AK222"/>
  <c r="AL222"/>
  <c r="AN222"/>
  <c r="AP222"/>
  <c r="AB223"/>
  <c r="AC223"/>
  <c r="AD223"/>
  <c r="AE223"/>
  <c r="AF223"/>
  <c r="AG223"/>
  <c r="AH223"/>
  <c r="AI223"/>
  <c r="AK223"/>
  <c r="AL223"/>
  <c r="AN223"/>
  <c r="AP223"/>
  <c r="AB224"/>
  <c r="AC224"/>
  <c r="AD224"/>
  <c r="AE224"/>
  <c r="AF224"/>
  <c r="AG224"/>
  <c r="AH224"/>
  <c r="AI224"/>
  <c r="AK224"/>
  <c r="AL224"/>
  <c r="AN224"/>
  <c r="AP224"/>
  <c r="AB225"/>
  <c r="AC225"/>
  <c r="AD225"/>
  <c r="AE225"/>
  <c r="AF225"/>
  <c r="AG225"/>
  <c r="AH225"/>
  <c r="AI225"/>
  <c r="AK225"/>
  <c r="AL225"/>
  <c r="AN225"/>
  <c r="AP225"/>
  <c r="AB226"/>
  <c r="AC226"/>
  <c r="AD226"/>
  <c r="AE226"/>
  <c r="AF226"/>
  <c r="AG226"/>
  <c r="AH226"/>
  <c r="AI226"/>
  <c r="AK226"/>
  <c r="AL226"/>
  <c r="AN226"/>
  <c r="AP226"/>
  <c r="AB227"/>
  <c r="AC227"/>
  <c r="AD227"/>
  <c r="AE227"/>
  <c r="AF227"/>
  <c r="AG227"/>
  <c r="AH227"/>
  <c r="AI227"/>
  <c r="AK227"/>
  <c r="AL227"/>
  <c r="AN227"/>
  <c r="AP227"/>
  <c r="AB228"/>
  <c r="AC228"/>
  <c r="AD228"/>
  <c r="AE228"/>
  <c r="AF228"/>
  <c r="AG228"/>
  <c r="AH228"/>
  <c r="AI228"/>
  <c r="AK228"/>
  <c r="AL228"/>
  <c r="AN228"/>
  <c r="AP228"/>
  <c r="AB229"/>
  <c r="AC229"/>
  <c r="AD229"/>
  <c r="AE229"/>
  <c r="AF229"/>
  <c r="AG229"/>
  <c r="AH229"/>
  <c r="AI229"/>
  <c r="AK229"/>
  <c r="AL229"/>
  <c r="AN229"/>
  <c r="AP229"/>
  <c r="AB230"/>
  <c r="AC230"/>
  <c r="AD230"/>
  <c r="AE230"/>
  <c r="AF230"/>
  <c r="AG230"/>
  <c r="AH230"/>
  <c r="AI230"/>
  <c r="AK230"/>
  <c r="AL230"/>
  <c r="AN230"/>
  <c r="AP230"/>
  <c r="AB231"/>
  <c r="AC231"/>
  <c r="AD231"/>
  <c r="AE231"/>
  <c r="AF231"/>
  <c r="AG231"/>
  <c r="AH231"/>
  <c r="AI231"/>
  <c r="AK231"/>
  <c r="AL231"/>
  <c r="AN231"/>
  <c r="AP231"/>
  <c r="AB232"/>
  <c r="AC232"/>
  <c r="AD232"/>
  <c r="AE232"/>
  <c r="AF232"/>
  <c r="AG232"/>
  <c r="AH232"/>
  <c r="AI232"/>
  <c r="AK232"/>
  <c r="AL232"/>
  <c r="AN232"/>
  <c r="AP232"/>
  <c r="AB233"/>
  <c r="AC233"/>
  <c r="AD233"/>
  <c r="AE233"/>
  <c r="AF233"/>
  <c r="AG233"/>
  <c r="AH233"/>
  <c r="AI233"/>
  <c r="AK233"/>
  <c r="AL233"/>
  <c r="AN233"/>
  <c r="AP233"/>
  <c r="AB234"/>
  <c r="AC234"/>
  <c r="AD234"/>
  <c r="AE234"/>
  <c r="AF234"/>
  <c r="AG234"/>
  <c r="AH234"/>
  <c r="AI234"/>
  <c r="AK234"/>
  <c r="AL234"/>
  <c r="AN234"/>
  <c r="AP234"/>
  <c r="AB235"/>
  <c r="AC235"/>
  <c r="AD235"/>
  <c r="AE235"/>
  <c r="AF235"/>
  <c r="AG235"/>
  <c r="AH235"/>
  <c r="AI235"/>
  <c r="AK235"/>
  <c r="AL235"/>
  <c r="AN235"/>
  <c r="AP235"/>
  <c r="AB236"/>
  <c r="AC236"/>
  <c r="AD236"/>
  <c r="AE236"/>
  <c r="AF236"/>
  <c r="AG236"/>
  <c r="AH236"/>
  <c r="AI236"/>
  <c r="AK236"/>
  <c r="AL236"/>
  <c r="AN236"/>
  <c r="AP236"/>
  <c r="AB237"/>
  <c r="AC237"/>
  <c r="AD237"/>
  <c r="AE237"/>
  <c r="AF237"/>
  <c r="AG237"/>
  <c r="AH237"/>
  <c r="AI237"/>
  <c r="AK237"/>
  <c r="AL237"/>
  <c r="AN237"/>
  <c r="AP237"/>
  <c r="AB238"/>
  <c r="AC238"/>
  <c r="AD238"/>
  <c r="AE238"/>
  <c r="AF238"/>
  <c r="AG238"/>
  <c r="AH238"/>
  <c r="AI238"/>
  <c r="AK238"/>
  <c r="AL238"/>
  <c r="AN238"/>
  <c r="AP238"/>
  <c r="AB239"/>
  <c r="AC239"/>
  <c r="AD239"/>
  <c r="AE239"/>
  <c r="AF239"/>
  <c r="AG239"/>
  <c r="AH239"/>
  <c r="AI239"/>
  <c r="AK239"/>
  <c r="AL239"/>
  <c r="AN239"/>
  <c r="AP239"/>
  <c r="AB240"/>
  <c r="AC240"/>
  <c r="AD240"/>
  <c r="AE240"/>
  <c r="AF240"/>
  <c r="AG240"/>
  <c r="AH240"/>
  <c r="AI240"/>
  <c r="AK240"/>
  <c r="AL240"/>
  <c r="AN240"/>
  <c r="AP240"/>
  <c r="AB241"/>
  <c r="AC241"/>
  <c r="AD241"/>
  <c r="AE241"/>
  <c r="AF241"/>
  <c r="AG241"/>
  <c r="AH241"/>
  <c r="AI241"/>
  <c r="AK241"/>
  <c r="AL241"/>
  <c r="AN241"/>
  <c r="AP241"/>
  <c r="AB242"/>
  <c r="AC242"/>
  <c r="AD242"/>
  <c r="AE242"/>
  <c r="AF242"/>
  <c r="AG242"/>
  <c r="AH242"/>
  <c r="AI242"/>
  <c r="AK242"/>
  <c r="AL242"/>
  <c r="AN242"/>
  <c r="AP242"/>
  <c r="AB243"/>
  <c r="AC243"/>
  <c r="AD243"/>
  <c r="AE243"/>
  <c r="AF243"/>
  <c r="AG243"/>
  <c r="AH243"/>
  <c r="AI243"/>
  <c r="AK243"/>
  <c r="AL243"/>
  <c r="AN243"/>
  <c r="AP243"/>
  <c r="AB244"/>
  <c r="AC244"/>
  <c r="AD244"/>
  <c r="AE244"/>
  <c r="AF244"/>
  <c r="AG244"/>
  <c r="AH244"/>
  <c r="AI244"/>
  <c r="AK244"/>
  <c r="AL244"/>
  <c r="AN244"/>
  <c r="AP244"/>
  <c r="AB245"/>
  <c r="AC245"/>
  <c r="AD245"/>
  <c r="AE245"/>
  <c r="AF245"/>
  <c r="AG245"/>
  <c r="AH245"/>
  <c r="AI245"/>
  <c r="AK245"/>
  <c r="AL245"/>
  <c r="AN245"/>
  <c r="AP245"/>
  <c r="AB246"/>
  <c r="AC246"/>
  <c r="AD246"/>
  <c r="AE246"/>
  <c r="AF246"/>
  <c r="AG246"/>
  <c r="AH246"/>
  <c r="AI246"/>
  <c r="AK246"/>
  <c r="AL246"/>
  <c r="AN246"/>
  <c r="AP246"/>
  <c r="AB247"/>
  <c r="AC247"/>
  <c r="AD247"/>
  <c r="AE247"/>
  <c r="AF247"/>
  <c r="AG247"/>
  <c r="AH247"/>
  <c r="AI247"/>
  <c r="AK247"/>
  <c r="AL247"/>
  <c r="AN247"/>
  <c r="AP247"/>
  <c r="AB248"/>
  <c r="AC248"/>
  <c r="AD248"/>
  <c r="AE248"/>
  <c r="AF248"/>
  <c r="AG248"/>
  <c r="AH248"/>
  <c r="AI248"/>
  <c r="AK248"/>
  <c r="AL248"/>
  <c r="AN248"/>
  <c r="AP248"/>
  <c r="AB249"/>
  <c r="AC249"/>
  <c r="AD249"/>
  <c r="AE249"/>
  <c r="AF249"/>
  <c r="AG249"/>
  <c r="AH249"/>
  <c r="AI249"/>
  <c r="AK249"/>
  <c r="AL249"/>
  <c r="AN249"/>
  <c r="AP249"/>
  <c r="AB250"/>
  <c r="AC250"/>
  <c r="AD250"/>
  <c r="AE250"/>
  <c r="AF250"/>
  <c r="AG250"/>
  <c r="AH250"/>
  <c r="AI250"/>
  <c r="AK250"/>
  <c r="AL250"/>
  <c r="AN250"/>
  <c r="AP250"/>
  <c r="AP2"/>
  <c r="AN2"/>
  <c r="AL2"/>
  <c r="AK2"/>
  <c r="AI2"/>
  <c r="AH2"/>
  <c r="AG2"/>
  <c r="AF2"/>
  <c r="AE2"/>
  <c r="AJ250" l="1"/>
  <c r="AJ249"/>
  <c r="AJ248"/>
  <c r="AJ247"/>
  <c r="AJ246"/>
  <c r="AJ245"/>
  <c r="AJ244"/>
  <c r="AJ243"/>
  <c r="AJ242"/>
  <c r="AJ241"/>
  <c r="AJ240"/>
  <c r="AJ239"/>
  <c r="AJ238"/>
  <c r="AJ237"/>
  <c r="AJ236"/>
  <c r="AJ235"/>
  <c r="AJ234"/>
  <c r="AJ233"/>
  <c r="AJ232"/>
  <c r="AJ231"/>
  <c r="AJ230"/>
  <c r="AJ229"/>
  <c r="AJ228"/>
  <c r="AJ227"/>
  <c r="AJ226"/>
  <c r="AJ225"/>
  <c r="AJ224"/>
  <c r="AJ223"/>
  <c r="AJ222"/>
  <c r="AJ221"/>
  <c r="AJ220"/>
  <c r="AJ219"/>
  <c r="AJ218"/>
  <c r="AJ217"/>
  <c r="AJ216"/>
  <c r="AJ215"/>
  <c r="AJ214"/>
  <c r="AJ213"/>
  <c r="AJ212"/>
  <c r="AJ211"/>
  <c r="AJ210"/>
  <c r="AJ209"/>
  <c r="AJ208"/>
  <c r="AJ207"/>
  <c r="AJ206"/>
  <c r="AJ205"/>
  <c r="AJ204"/>
  <c r="AJ203"/>
  <c r="AJ202"/>
  <c r="AJ201"/>
  <c r="AJ200"/>
  <c r="AJ199"/>
  <c r="AJ198"/>
  <c r="AJ197"/>
  <c r="AJ196"/>
  <c r="AJ195"/>
  <c r="AJ194"/>
  <c r="AJ193"/>
  <c r="AJ192"/>
  <c r="AJ191"/>
  <c r="AJ190"/>
  <c r="AJ189"/>
  <c r="AJ188"/>
  <c r="AJ187"/>
  <c r="AJ186"/>
  <c r="AJ185"/>
  <c r="AJ184"/>
  <c r="AJ183"/>
  <c r="AJ182"/>
  <c r="AJ181"/>
  <c r="AJ180"/>
  <c r="AJ179"/>
  <c r="AJ178"/>
  <c r="AJ177"/>
  <c r="AJ176"/>
  <c r="AJ175"/>
  <c r="AJ174"/>
  <c r="AJ173"/>
  <c r="AJ172"/>
  <c r="AJ171"/>
  <c r="AJ170"/>
  <c r="AJ169"/>
  <c r="AJ168"/>
  <c r="AJ167"/>
  <c r="AJ166"/>
  <c r="AJ165"/>
  <c r="AJ164"/>
  <c r="AJ163"/>
  <c r="AJ162"/>
  <c r="AJ161"/>
  <c r="AJ160"/>
  <c r="AJ159"/>
  <c r="AJ158"/>
  <c r="AJ157"/>
  <c r="AJ156"/>
  <c r="AJ155"/>
  <c r="AJ154"/>
  <c r="AJ153"/>
  <c r="AJ152"/>
  <c r="AJ151"/>
  <c r="AJ150"/>
  <c r="AJ149"/>
  <c r="AJ148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2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4"/>
  <c r="AJ3"/>
  <c r="AQ161"/>
  <c r="AQ29"/>
  <c r="AQ157"/>
  <c r="AQ145"/>
  <c r="AQ225"/>
  <c r="AQ93"/>
  <c r="AQ221"/>
  <c r="AQ209"/>
  <c r="AQ129"/>
  <c r="AQ125"/>
  <c r="AQ193"/>
  <c r="AQ189"/>
  <c r="AQ237"/>
  <c r="AQ233"/>
  <c r="AQ241"/>
  <c r="AQ177"/>
  <c r="AQ77"/>
  <c r="AQ61"/>
  <c r="AQ45"/>
  <c r="AQ173"/>
  <c r="AQ113"/>
  <c r="AQ109"/>
  <c r="AQ97"/>
  <c r="AQ205"/>
  <c r="AQ141"/>
  <c r="AQ13"/>
  <c r="AQ249"/>
  <c r="AQ245"/>
  <c r="AQ243"/>
  <c r="AQ217"/>
  <c r="AQ213"/>
  <c r="AQ185"/>
  <c r="AQ181"/>
  <c r="AQ153"/>
  <c r="AQ149"/>
  <c r="AQ121"/>
  <c r="AQ117"/>
  <c r="AQ89"/>
  <c r="AQ85"/>
  <c r="AQ81"/>
  <c r="AQ25"/>
  <c r="AQ21"/>
  <c r="AQ17"/>
  <c r="AQ41"/>
  <c r="AQ37"/>
  <c r="AQ33"/>
  <c r="AQ229"/>
  <c r="AQ201"/>
  <c r="AQ197"/>
  <c r="AQ169"/>
  <c r="AQ165"/>
  <c r="AQ137"/>
  <c r="AQ133"/>
  <c r="AQ105"/>
  <c r="AQ101"/>
  <c r="AQ57"/>
  <c r="AQ53"/>
  <c r="AQ49"/>
  <c r="AQ73"/>
  <c r="AQ69"/>
  <c r="AQ65"/>
  <c r="AQ7"/>
  <c r="AQ250"/>
  <c r="AQ235"/>
  <c r="AQ219"/>
  <c r="AQ203"/>
  <c r="AQ187"/>
  <c r="AQ171"/>
  <c r="AQ155"/>
  <c r="AQ139"/>
  <c r="AQ123"/>
  <c r="AQ107"/>
  <c r="AQ91"/>
  <c r="AQ75"/>
  <c r="AQ59"/>
  <c r="AQ43"/>
  <c r="AQ27"/>
  <c r="AQ11"/>
  <c r="AQ9"/>
  <c r="AQ239"/>
  <c r="AQ223"/>
  <c r="AQ207"/>
  <c r="AQ191"/>
  <c r="AQ175"/>
  <c r="AQ159"/>
  <c r="AQ143"/>
  <c r="AQ127"/>
  <c r="AQ111"/>
  <c r="AQ95"/>
  <c r="AQ79"/>
  <c r="AQ63"/>
  <c r="AQ47"/>
  <c r="AQ31"/>
  <c r="AQ15"/>
  <c r="AQ227"/>
  <c r="AQ211"/>
  <c r="AQ195"/>
  <c r="AQ179"/>
  <c r="AQ163"/>
  <c r="AQ147"/>
  <c r="AQ131"/>
  <c r="AQ115"/>
  <c r="AQ99"/>
  <c r="AQ83"/>
  <c r="AQ67"/>
  <c r="AQ51"/>
  <c r="AQ35"/>
  <c r="AQ19"/>
  <c r="AQ247"/>
  <c r="AQ246"/>
  <c r="AQ231"/>
  <c r="AQ215"/>
  <c r="AQ200"/>
  <c r="AQ199"/>
  <c r="AQ183"/>
  <c r="AQ167"/>
  <c r="AQ151"/>
  <c r="AQ135"/>
  <c r="AQ119"/>
  <c r="AQ103"/>
  <c r="AQ87"/>
  <c r="AQ71"/>
  <c r="AQ55"/>
  <c r="AQ39"/>
  <c r="AQ23"/>
  <c r="AQ3"/>
  <c r="AQ232"/>
  <c r="AQ224"/>
  <c r="AQ216"/>
  <c r="AQ6"/>
  <c r="AQ4"/>
  <c r="AQ242"/>
  <c r="AQ238"/>
  <c r="AQ230"/>
  <c r="AQ226"/>
  <c r="AQ222"/>
  <c r="AQ218"/>
  <c r="AQ210"/>
  <c r="AQ206"/>
  <c r="AQ202"/>
  <c r="AQ198"/>
  <c r="AQ194"/>
  <c r="AQ190"/>
  <c r="AQ186"/>
  <c r="AQ182"/>
  <c r="AQ178"/>
  <c r="AQ174"/>
  <c r="AQ170"/>
  <c r="AQ166"/>
  <c r="AQ162"/>
  <c r="AQ158"/>
  <c r="AQ154"/>
  <c r="AQ150"/>
  <c r="AQ146"/>
  <c r="AQ142"/>
  <c r="AQ138"/>
  <c r="AQ134"/>
  <c r="AQ130"/>
  <c r="AQ126"/>
  <c r="AQ122"/>
  <c r="AQ118"/>
  <c r="AQ114"/>
  <c r="AQ110"/>
  <c r="AQ106"/>
  <c r="AQ102"/>
  <c r="AQ98"/>
  <c r="AQ94"/>
  <c r="AQ90"/>
  <c r="AQ86"/>
  <c r="AQ82"/>
  <c r="AQ78"/>
  <c r="AQ74"/>
  <c r="AQ70"/>
  <c r="AQ66"/>
  <c r="AQ62"/>
  <c r="AQ58"/>
  <c r="AQ54"/>
  <c r="AQ50"/>
  <c r="AQ46"/>
  <c r="AQ42"/>
  <c r="AQ38"/>
  <c r="AQ34"/>
  <c r="AQ30"/>
  <c r="AQ26"/>
  <c r="AQ22"/>
  <c r="AQ18"/>
  <c r="AQ14"/>
  <c r="AQ8"/>
  <c r="AQ234"/>
  <c r="AQ214"/>
  <c r="AQ2"/>
  <c r="AQ10"/>
  <c r="AQ248"/>
  <c r="AQ244"/>
  <c r="AQ240"/>
  <c r="AQ236"/>
  <c r="AQ228"/>
  <c r="AQ220"/>
  <c r="AQ212"/>
  <c r="AQ208"/>
  <c r="AQ204"/>
  <c r="AQ196"/>
  <c r="AQ192"/>
  <c r="AQ188"/>
  <c r="AQ184"/>
  <c r="AQ180"/>
  <c r="AQ176"/>
  <c r="AQ172"/>
  <c r="AQ168"/>
  <c r="AQ164"/>
  <c r="AQ160"/>
  <c r="AQ156"/>
  <c r="AQ152"/>
  <c r="AQ148"/>
  <c r="AQ144"/>
  <c r="AQ140"/>
  <c r="AQ136"/>
  <c r="AQ132"/>
  <c r="AQ128"/>
  <c r="AQ124"/>
  <c r="AQ120"/>
  <c r="AQ116"/>
  <c r="AQ112"/>
  <c r="AQ108"/>
  <c r="AQ104"/>
  <c r="AQ100"/>
  <c r="AQ96"/>
  <c r="AQ92"/>
  <c r="AQ88"/>
  <c r="AQ84"/>
  <c r="AQ80"/>
  <c r="AQ76"/>
  <c r="AQ72"/>
  <c r="AQ68"/>
  <c r="AQ64"/>
  <c r="AQ60"/>
  <c r="AQ56"/>
  <c r="AQ52"/>
  <c r="AQ48"/>
  <c r="AQ44"/>
  <c r="AQ40"/>
  <c r="AQ36"/>
  <c r="AQ32"/>
  <c r="AQ28"/>
  <c r="AQ24"/>
  <c r="AQ20"/>
  <c r="AQ16"/>
  <c r="AQ12"/>
  <c r="AQ5"/>
  <c r="AA1" l="1"/>
  <c r="H6" i="14"/>
  <c r="G6"/>
  <c r="G4"/>
  <c r="AF3" i="13"/>
  <c r="D2" i="14"/>
  <c r="AD2" i="15"/>
  <c r="H4" i="14" l="1"/>
  <c r="AC2" i="15"/>
  <c r="AB2"/>
  <c r="D20" i="14"/>
  <c r="E20" s="1"/>
  <c r="C20"/>
  <c r="C2"/>
  <c r="E2" s="1"/>
  <c r="G2" l="1"/>
  <c r="H2" s="1"/>
  <c r="J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I2" i="14" l="1"/>
  <c r="L2" s="1"/>
  <c r="AE6" i="13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AF13"/>
  <c r="AG13"/>
  <c r="BF13"/>
  <c r="AH13" s="1"/>
  <c r="BG13"/>
  <c r="AJ13" s="1"/>
  <c r="BN13"/>
  <c r="AQ13" s="1"/>
  <c r="BS13"/>
  <c r="AM13" s="1"/>
  <c r="BT13"/>
  <c r="CT13"/>
  <c r="CU13"/>
  <c r="CY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CY21"/>
  <c r="CZ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T24"/>
  <c r="CU24"/>
  <c r="CY24"/>
  <c r="CZ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CY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CZ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T68"/>
  <c r="CU68"/>
  <c r="CY68"/>
  <c r="CZ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T76"/>
  <c r="CU76"/>
  <c r="CY76"/>
  <c r="CZ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T82"/>
  <c r="CU82"/>
  <c r="CY82"/>
  <c r="CZ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CY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CZ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CZ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CY129"/>
  <c r="AF130"/>
  <c r="AG130"/>
  <c r="BF130"/>
  <c r="AH130" s="1"/>
  <c r="BG130"/>
  <c r="AJ130" s="1"/>
  <c r="BN130"/>
  <c r="BS130"/>
  <c r="AM130" s="1"/>
  <c r="BT130"/>
  <c r="AO130" s="1"/>
  <c r="CT130"/>
  <c r="CU130"/>
  <c r="CY130"/>
  <c r="AF131"/>
  <c r="AG131"/>
  <c r="BF131"/>
  <c r="BI131" s="1"/>
  <c r="BG131"/>
  <c r="AJ131" s="1"/>
  <c r="BN131"/>
  <c r="AQ131" s="1"/>
  <c r="BS131"/>
  <c r="BT131"/>
  <c r="AO131" s="1"/>
  <c r="CT131"/>
  <c r="CU131"/>
  <c r="CY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Y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CY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CY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CY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T187"/>
  <c r="CU187"/>
  <c r="CY187"/>
  <c r="CZ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AM11" i="13" l="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DU190" s="1"/>
  <c r="AK190" s="1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X91" s="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AS149" s="1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AS32" s="1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S166"/>
  <c r="AS163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AQ159"/>
  <c r="BU155"/>
  <c r="DA155" s="1"/>
  <c r="AM155"/>
  <c r="AR155" s="1"/>
  <c r="AN139"/>
  <c r="CX128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B45" i="13" l="1"/>
  <c r="DC45" s="1"/>
  <c r="CX135"/>
  <c r="AN123"/>
  <c r="CX27"/>
  <c r="AI162"/>
  <c r="CX21"/>
  <c r="AN44"/>
  <c r="AN100"/>
  <c r="DB161"/>
  <c r="DC161" s="1"/>
  <c r="AN151"/>
  <c r="AI168"/>
  <c r="DU32"/>
  <c r="DB90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AH17" s="1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AM17" l="1"/>
  <c r="AQ17"/>
  <c r="DV32" i="13"/>
  <c r="AL32" s="1"/>
  <c r="AK32"/>
  <c r="DV110"/>
  <c r="AL110" s="1"/>
  <c r="AK114"/>
  <c r="DO145"/>
  <c r="DO117"/>
  <c r="AK175"/>
  <c r="DO90"/>
  <c r="DN5" i="12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DE32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O17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<sst xmlns="http://schemas.openxmlformats.org/spreadsheetml/2006/main" count="1082" uniqueCount="502">
  <si>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</si>
  <si>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</si>
  <si>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</si>
  <si>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</si>
  <si>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</si>
  <si>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</si>
  <si>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</si>
  <si>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</si>
  <si>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</si>
  <si>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</si>
  <si>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</si>
  <si>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</si>
  <si>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</si>
  <si>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</si>
  <si>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</si>
  <si>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</si>
  <si>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</si>
  <si>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</si>
  <si>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</si>
  <si>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</si>
  <si>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</si>
  <si>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</si>
  <si>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</si>
  <si>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</si>
  <si>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</si>
  <si>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</si>
  <si>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</si>
  <si>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</si>
  <si>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</si>
  <si>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</si>
  <si>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</si>
  <si>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</si>
  <si>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</si>
  <si>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</si>
  <si>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</si>
  <si>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</si>
  <si>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</si>
  <si>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</si>
  <si>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</si>
  <si>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</si>
  <si>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</si>
  <si>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</si>
  <si>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</si>
  <si>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</si>
  <si>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</si>
  <si>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</si>
  <si>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</si>
  <si>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</si>
  <si>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</si>
  <si>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</si>
  <si>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</si>
  <si>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</si>
  <si>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</si>
  <si>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</si>
  <si>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</si>
  <si>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</si>
  <si>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</si>
  <si>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</si>
  <si>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</si>
  <si>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</si>
  <si>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</si>
  <si>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</si>
  <si>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</si>
  <si>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</si>
  <si>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</si>
  <si>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</si>
  <si>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</si>
  <si>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</si>
  <si>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</si>
  <si>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</si>
  <si>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</si>
  <si>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</si>
  <si>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</si>
  <si>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</si>
  <si>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</si>
  <si>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</si>
  <si>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</si>
  <si>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</si>
  <si>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</si>
  <si>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</si>
  <si>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</si>
  <si>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</si>
  <si>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</si>
  <si>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</si>
  <si>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</si>
  <si>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</si>
  <si>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</si>
  <si>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</si>
  <si>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</si>
  <si>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</si>
  <si>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</si>
  <si>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</si>
  <si>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</si>
  <si>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</si>
  <si>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</si>
  <si>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</si>
  <si>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</si>
  <si>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</si>
  <si>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</si>
  <si>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</si>
  <si>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</si>
  <si>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</si>
  <si>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</si>
  <si>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</si>
  <si>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</si>
  <si>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</si>
  <si>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</si>
  <si>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</si>
  <si>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</si>
  <si>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</si>
  <si>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</si>
  <si>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</si>
  <si>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</si>
  <si>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</si>
  <si>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</si>
  <si>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</si>
  <si>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</si>
  <si>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</si>
  <si>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</si>
  <si>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</si>
  <si>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</si>
  <si>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</si>
  <si>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</si>
  <si>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</si>
  <si>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</si>
  <si>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</si>
  <si>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</si>
  <si>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</si>
  <si>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</si>
  <si>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</si>
  <si>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</si>
  <si>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</si>
  <si>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</si>
  <si>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</si>
  <si>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</si>
  <si>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</si>
  <si>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</si>
  <si>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</si>
  <si>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</si>
  <si>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</si>
  <si>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</si>
  <si>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</si>
  <si>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</si>
  <si>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</si>
  <si>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</si>
  <si>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</si>
  <si>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</si>
  <si>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</si>
  <si>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</si>
  <si>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</si>
  <si>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</si>
  <si>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</si>
  <si>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</si>
  <si>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</si>
  <si>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</si>
  <si>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</si>
  <si>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</si>
  <si>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</si>
  <si>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</si>
  <si>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</si>
  <si>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</si>
  <si>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</si>
  <si>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</si>
  <si>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</si>
  <si>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</si>
  <si>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</si>
  <si>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</si>
  <si>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</si>
  <si>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</si>
  <si>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</si>
  <si>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</si>
  <si>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</si>
  <si>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</si>
  <si>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</si>
  <si>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</si>
  <si>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</si>
  <si>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</si>
  <si>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</si>
  <si>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</si>
  <si>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</si>
  <si>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</si>
  <si>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</si>
  <si>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</si>
  <si>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</si>
  <si>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</si>
  <si>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</si>
  <si>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</si>
  <si>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</si>
  <si>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</si>
  <si>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</si>
  <si>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</si>
  <si>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</si>
  <si>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</si>
  <si>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</si>
  <si>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</si>
  <si>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</si>
  <si>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</si>
  <si>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</si>
  <si>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</si>
  <si>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</si>
  <si>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</si>
  <si>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</si>
  <si>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</si>
  <si>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</si>
  <si>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</si>
  <si>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</si>
  <si>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</si>
  <si>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</si>
  <si>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</si>
  <si>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</si>
  <si>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</si>
  <si>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</si>
  <si>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</si>
  <si>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</si>
  <si>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</si>
  <si>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</si>
  <si>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</si>
  <si>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</si>
  <si>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</si>
  <si>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</si>
  <si>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</si>
  <si>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</si>
  <si>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</si>
  <si>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</si>
  <si>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</si>
  <si>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</si>
  <si>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</si>
  <si>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</si>
  <si>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</si>
  <si>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</si>
  <si>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</si>
  <si>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</si>
  <si>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</si>
  <si>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</si>
  <si>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</si>
  <si>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</si>
  <si>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</si>
  <si>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</si>
  <si>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</si>
  <si>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</si>
  <si>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</si>
  <si>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</si>
  <si>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</si>
  <si>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</si>
  <si>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</si>
  <si>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</si>
  <si>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</si>
  <si>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</si>
  <si>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</si>
  <si>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</si>
  <si>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</si>
  <si>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</si>
  <si>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</si>
  <si>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</si>
  <si>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</si>
  <si>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</si>
  <si>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</si>
  <si>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</si>
  <si>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</si>
  <si>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</si>
  <si>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</si>
  <si>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</si>
  <si>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</si>
  <si>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</si>
  <si>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</si>
  <si>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</si>
  <si>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</si>
  <si>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</si>
  <si>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</si>
  <si>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</si>
  <si>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</si>
  <si>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</si>
  <si>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</si>
  <si>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</si>
  <si>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</si>
  <si>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</si>
  <si>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</si>
  <si>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</si>
  <si>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</si>
  <si>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</si>
  <si>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</si>
  <si>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</si>
  <si>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</si>
  <si>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</si>
  <si>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</si>
  <si>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</si>
  <si>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</si>
  <si>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</si>
  <si>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</si>
  <si>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</si>
  <si>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</si>
  <si>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</si>
  <si>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</si>
  <si>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</si>
  <si>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</si>
  <si>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</si>
  <si>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</si>
  <si>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</si>
  <si>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</si>
  <si>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</si>
  <si>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</si>
  <si>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</si>
  <si>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</si>
  <si>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</si>
  <si>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</si>
  <si>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</si>
  <si>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</si>
  <si>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</si>
  <si>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</si>
  <si>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ma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</si>
  <si>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</si>
  <si>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</si>
  <si>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</si>
  <si>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</si>
  <si>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</si>
  <si>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</si>
  <si>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</si>
  <si>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</si>
  <si>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</si>
  <si>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</si>
  <si>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</si>
  <si>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</si>
  <si>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</si>
  <si>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</si>
  <si>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</si>
  <si>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</si>
  <si>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</si>
  <si>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</si>
  <si>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</si>
  <si>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</si>
  <si>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</si>
  <si>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</si>
  <si>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</si>
  <si>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9-11</t>
  </si>
  <si>
    <t>9-12</t>
  </si>
  <si>
    <t>Tổng</t>
  </si>
  <si>
    <t>LV06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</si>
  <si>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</si>
  <si>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</si>
  <si>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</si>
  <si>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</si>
  <si>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</si>
  <si>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</si>
  <si>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</si>
  <si>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</si>
  <si>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</si>
  <si>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</si>
  <si>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</si>
  <si>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</si>
  <si>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</si>
  <si>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</si>
  <si>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SUM(data_thit.cam_0)</t>
  </si>
  <si>
    <t>SUM(data_thit.chet_loai)</t>
  </si>
  <si>
    <t>SUM(data_thit.ban)</t>
  </si>
  <si>
    <t>SUM(data_thit.kg_ban)</t>
  </si>
  <si>
    <t>SUM(data_thit.chuyen_den)</t>
  </si>
  <si>
    <t>SUM(data_thit.chuyen_di)</t>
  </si>
  <si>
    <t>Tồn đầu</t>
  </si>
  <si>
    <t>Nhập</t>
  </si>
  <si>
    <t>Chuyển đến</t>
  </si>
  <si>
    <t>Bán thịt</t>
  </si>
  <si>
    <t>Bán giống</t>
  </si>
  <si>
    <t>Cám</t>
  </si>
  <si>
    <t>Thuốc</t>
  </si>
  <si>
    <t>Chuyển đi</t>
  </si>
  <si>
    <t>Tồn cuối</t>
  </si>
  <si>
    <t>Trọng lượng</t>
  </si>
  <si>
    <t>Trọng  lượng</t>
  </si>
  <si>
    <t>Tuổi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</si>
  <si>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</si>
  <si>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</si>
  <si>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</si>
  <si>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</si>
  <si>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</si>
  <si>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</si>
  <si>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</si>
  <si>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</si>
  <si>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</si>
  <si>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</si>
  <si>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1.Gia bình</t>
  </si>
  <si>
    <t>11.Thịt 11</t>
  </si>
  <si>
    <t>103-1.Gia bình-11.Thịt 11</t>
  </si>
  <si>
    <t>13.Thịt 13</t>
  </si>
  <si>
    <t>103-1.Gia bình-13.Thịt 13</t>
  </si>
  <si>
    <t>10_lô 10</t>
  </si>
  <si>
    <t>14.Thịt 14</t>
  </si>
  <si>
    <t>103-1.Gia bình-14.Thịt 14</t>
  </si>
  <si>
    <t>12_lô 12</t>
  </si>
  <si>
    <t>15.Thịt 15</t>
  </si>
  <si>
    <t>103-1.Gia bình-15.Thịt 15</t>
  </si>
  <si>
    <t>14_lô14</t>
  </si>
  <si>
    <t>5.Thịt 5</t>
  </si>
  <si>
    <t>7_lô 7</t>
  </si>
  <si>
    <t>2.Lương Tài</t>
  </si>
  <si>
    <t>12.Thịt 12</t>
  </si>
  <si>
    <t>103-2.Lương Tài-12.Thịt 12</t>
  </si>
  <si>
    <t>103-2.Lương Tài-13.Thịt 13</t>
  </si>
  <si>
    <t>11_lô 11</t>
  </si>
  <si>
    <t>103-2.Lương Tài-14.Thịt 14</t>
  </si>
  <si>
    <t>13_lô 13</t>
  </si>
  <si>
    <t>103-2.Lương Tài-15.Thịt 15</t>
  </si>
  <si>
    <t>15_lô 15</t>
  </si>
  <si>
    <t>KH</t>
  </si>
  <si>
    <t>103-KH-KH</t>
  </si>
  <si>
    <t>Chết + loại</t>
  </si>
  <si>
    <t>Tỷ lệ chết + loại</t>
  </si>
  <si>
    <t>SELECT * FROM (SELECT *, CONCAT(bang_ton_dau.cong_ty,"-", bang_ton_dau.trai,"-", bang_ton_dau.chuong) AS ma FROM (SELECT data_thit.cong_ty, data_thit.trai, data_thit.chuong, data_thit.ngay_dong, SUM(data_thit.so_luong_nhap)-SUM(data_thit.chet) -SUM(data_thit.loai)-SUM(data_thit.ban) AS ton_dau FROM data_thit WHERE data_thit.ngay&lt;para_ngay_bat_dau AND data_thit.cong_ty=para_cong_ty AND (data_thit.ngay_dong =0 OR  data_thit.ngay_dong &lt;para_ngay_bat_dau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SUM(data_thit.so_luong_xuat_kho)    , SUM(data_thit.chet) + SUM(data_thit.loai) , SUM(data_thit.ban)    , SUM(data_thit.kg_ban)  , SUM(data_thit.chuyen_den)  , SUM(data_thit.chuyen_di)  FROM data_thit WHERE cong_ty  = para_cong_ty AND data_thit.ngay &gt;= para_ngay_bat_dau AND data_thit.ngay &lt;= para_ngay_ket_thuc GROUP BY data_thit.cong_ty , data_thit.trai , data_thit.chuong ) AS bang_dien_bien_tuan ) AS bang_dien_bien_tuan_vba ON bang_ton_dau_vba.ma = bang_dien_bien_tuan_vba.ma</t>
  </si>
  <si>
    <t>00-08</t>
  </si>
  <si>
    <t>8_lô 8</t>
  </si>
  <si>
    <t>9_lô 9</t>
  </si>
  <si>
    <t>Y1145-8</t>
  </si>
  <si>
    <t>Y1145-8103</t>
  </si>
  <si>
    <t>Y1043-4</t>
  </si>
  <si>
    <t>Y1043-4103</t>
  </si>
  <si>
    <t>Y0983-6</t>
  </si>
  <si>
    <t>Y0983-6103</t>
  </si>
  <si>
    <t>Y0957-6</t>
  </si>
  <si>
    <t>Y0957-6103</t>
  </si>
  <si>
    <t>Y0953-12</t>
  </si>
  <si>
    <t>Y0953-12103</t>
  </si>
  <si>
    <t>L1884-7</t>
  </si>
  <si>
    <t>L1884-7103</t>
  </si>
  <si>
    <t>L1754-8</t>
  </si>
  <si>
    <t>L1754-8103</t>
  </si>
  <si>
    <t>L1161-12</t>
  </si>
  <si>
    <t>L1161-12103</t>
  </si>
  <si>
    <t>D1267-7</t>
  </si>
  <si>
    <t>D1267-7103</t>
  </si>
  <si>
    <t>D1261-8</t>
  </si>
  <si>
    <t>D1261-8103</t>
  </si>
  <si>
    <t>D1261-7</t>
  </si>
  <si>
    <t>D1261-7103</t>
  </si>
  <si>
    <t>D1254-9</t>
  </si>
  <si>
    <t>D1254-9103</t>
  </si>
  <si>
    <t>D1253-5</t>
  </si>
  <si>
    <t>D1253-5103</t>
  </si>
  <si>
    <t>D1248-7</t>
  </si>
  <si>
    <t>D1248-7103</t>
  </si>
  <si>
    <t>D1232-7</t>
  </si>
  <si>
    <t>D1232-7103</t>
  </si>
  <si>
    <t>D1216-4</t>
  </si>
  <si>
    <t>D1216-4103</t>
  </si>
  <si>
    <t>D1213-6</t>
  </si>
  <si>
    <t>D1213-6103</t>
  </si>
  <si>
    <t>D1205-6</t>
  </si>
  <si>
    <t>D1205-6103</t>
  </si>
  <si>
    <t>D1205-4</t>
  </si>
  <si>
    <t>D1205-4103</t>
  </si>
  <si>
    <t>D0664-6</t>
  </si>
  <si>
    <t>D0664-6103</t>
  </si>
  <si>
    <t>D0661-6</t>
  </si>
  <si>
    <t>D0661-6103</t>
  </si>
  <si>
    <t>D0659-10</t>
  </si>
  <si>
    <t>D0659-10103</t>
  </si>
  <si>
    <t>D0653-6</t>
  </si>
  <si>
    <t>D0653-6103</t>
  </si>
  <si>
    <t>D0646-8</t>
  </si>
  <si>
    <t>D0646-8103</t>
  </si>
  <si>
    <t>D0641-9</t>
  </si>
  <si>
    <t>D0641-9103</t>
  </si>
  <si>
    <t>D0641-7</t>
  </si>
  <si>
    <t>D0641-7103</t>
  </si>
  <si>
    <t>D0639-11</t>
  </si>
  <si>
    <t>D0639-11103</t>
  </si>
  <si>
    <t>D0627-4</t>
  </si>
  <si>
    <t>D0627-4103</t>
  </si>
  <si>
    <t>D0626-5</t>
  </si>
  <si>
    <t>D0626-5103</t>
  </si>
  <si>
    <t>D0626-10</t>
  </si>
  <si>
    <t>D0626-10103</t>
  </si>
  <si>
    <t>D0605-8</t>
  </si>
  <si>
    <t>D0605-8103</t>
  </si>
  <si>
    <t>D0605-12</t>
  </si>
  <si>
    <t>D0605-12103</t>
  </si>
  <si>
    <t>D0603-4</t>
  </si>
  <si>
    <t>D0603-4103</t>
  </si>
  <si>
    <t>D0597-5</t>
  </si>
  <si>
    <t>D0597-5103</t>
  </si>
  <si>
    <t>D0594-4</t>
  </si>
  <si>
    <t>D0594-4103</t>
  </si>
  <si>
    <t>D0589-8</t>
  </si>
  <si>
    <t>D0589-8103</t>
  </si>
  <si>
    <t>D0589-7</t>
  </si>
  <si>
    <t>D0589-7103</t>
  </si>
  <si>
    <t>D0102-08</t>
  </si>
  <si>
    <t>D0102-08103</t>
  </si>
  <si>
    <t>D0088-09</t>
  </si>
  <si>
    <t>D0088-09103</t>
  </si>
  <si>
    <t>D0082-08</t>
  </si>
  <si>
    <t>D0082-08103</t>
  </si>
  <si>
    <t>D0597-6</t>
  </si>
  <si>
    <t>D0597-6103</t>
  </si>
  <si>
    <t>LY2220-4</t>
  </si>
  <si>
    <t>LY2220-4103</t>
  </si>
  <si>
    <t>LY2294-2</t>
  </si>
  <si>
    <t>LY2294-2103</t>
  </si>
  <si>
    <t>LY2292-1</t>
  </si>
  <si>
    <t>LY2292-1103</t>
  </si>
  <si>
    <t>Y2323-1</t>
  </si>
  <si>
    <t>Y2323-1103</t>
  </si>
  <si>
    <t>LY2364-3</t>
  </si>
  <si>
    <t>LY2364-3103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</si>
</sst>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7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65" fontId="0" fillId="0" borderId="0" xfId="311" applyNumberFormat="1" applyFont="1" applyAlignment="1">
      <alignment wrapText="1"/>
    </xf>
    <xf numFmtId="165" fontId="0" fillId="0" borderId="0" xfId="311" applyNumberFormat="1" applyFont="1"/>
    <xf numFmtId="49" fontId="79" fillId="0" borderId="0" xfId="0" applyNumberFormat="1" applyFont="1" applyAlignment="1">
      <alignment wrapText="1"/>
    </xf>
    <xf numFmtId="49" fontId="10" fillId="0" borderId="0" xfId="2" applyNumberFormat="1" applyFont="1" applyFill="1" applyBorder="1" applyAlignment="1">
      <alignment horizontal="center" vertical="center" wrapText="1"/>
    </xf>
    <xf numFmtId="165" fontId="10" fillId="0" borderId="0" xfId="2" applyNumberFormat="1" applyFont="1" applyFill="1" applyBorder="1" applyAlignment="1">
      <alignment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D24" sqref="D24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2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3" t="s">
        <v>21</v>
      </c>
      <c r="BF1" s="143"/>
      <c r="BG1" s="143"/>
      <c r="BH1" s="143"/>
      <c r="BI1" s="143"/>
      <c r="BJ1" s="143" t="s">
        <v>22</v>
      </c>
      <c r="BK1" s="143"/>
      <c r="BL1" s="143"/>
      <c r="BM1" s="143"/>
      <c r="BN1" s="143"/>
      <c r="BO1" s="143"/>
      <c r="BP1" s="146" t="s">
        <v>23</v>
      </c>
      <c r="BQ1" s="143" t="s">
        <v>24</v>
      </c>
      <c r="BR1" s="143" t="s">
        <v>25</v>
      </c>
      <c r="BS1" s="147" t="s">
        <v>26</v>
      </c>
      <c r="BT1" s="148" t="s">
        <v>27</v>
      </c>
      <c r="BU1" s="143" t="s">
        <v>28</v>
      </c>
      <c r="BV1" s="143" t="s">
        <v>29</v>
      </c>
      <c r="BW1" s="143" t="s">
        <v>30</v>
      </c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5" t="s">
        <v>39</v>
      </c>
      <c r="DD1" s="145"/>
      <c r="DE1" s="145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2"/>
      <c r="E2" s="119" t="s">
        <v>56</v>
      </c>
      <c r="F2" s="117" t="s">
        <v>319</v>
      </c>
      <c r="G2" s="119" t="s">
        <v>316</v>
      </c>
      <c r="H2" s="119" t="s">
        <v>317</v>
      </c>
      <c r="I2" s="119" t="s">
        <v>318</v>
      </c>
      <c r="J2" s="119" t="s">
        <v>320</v>
      </c>
      <c r="K2" s="144" t="s">
        <v>18</v>
      </c>
      <c r="L2" s="144" t="s">
        <v>19</v>
      </c>
      <c r="M2" s="146" t="s">
        <v>17</v>
      </c>
      <c r="N2" s="143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6"/>
      <c r="BQ2" s="143"/>
      <c r="BR2" s="143"/>
      <c r="BS2" s="147"/>
      <c r="BT2" s="148"/>
      <c r="BU2" s="143"/>
      <c r="BV2" s="143"/>
      <c r="BW2" s="146" t="s">
        <v>86</v>
      </c>
      <c r="BX2" s="146"/>
      <c r="BY2" s="146" t="s">
        <v>87</v>
      </c>
      <c r="BZ2" s="146"/>
      <c r="CA2" s="146" t="s">
        <v>88</v>
      </c>
      <c r="CB2" s="146"/>
      <c r="CC2" s="146" t="s">
        <v>89</v>
      </c>
      <c r="CD2" s="146"/>
      <c r="CE2" s="146" t="s">
        <v>90</v>
      </c>
      <c r="CF2" s="146"/>
      <c r="CG2" s="149" t="s">
        <v>91</v>
      </c>
      <c r="CH2" s="146"/>
      <c r="CI2" s="149" t="s">
        <v>92</v>
      </c>
      <c r="CJ2" s="146"/>
      <c r="CK2" s="149">
        <v>962</v>
      </c>
      <c r="CL2" s="146"/>
      <c r="CM2" s="146">
        <v>972</v>
      </c>
      <c r="CN2" s="146"/>
      <c r="CO2" s="146">
        <v>972</v>
      </c>
      <c r="CP2" s="146"/>
      <c r="CQ2" s="146">
        <v>982</v>
      </c>
      <c r="CR2" s="146"/>
      <c r="CS2" s="150" t="s">
        <v>93</v>
      </c>
      <c r="CT2" s="150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4"/>
      <c r="L3" s="144"/>
      <c r="M3" s="146"/>
      <c r="N3" s="143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341</v>
      </c>
      <c r="AD4" s="38" t="s">
        <v>338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326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>
        <v>1</v>
      </c>
      <c r="B5" t="s">
        <v>314</v>
      </c>
      <c r="C5"/>
      <c r="D5"/>
      <c r="E5"/>
      <c r="F5"/>
      <c r="G5"/>
      <c r="H5"/>
      <c r="I5"/>
      <c r="J5"/>
      <c r="K5" s="105"/>
      <c r="L5" s="105"/>
      <c r="M5"/>
      <c r="N5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 ca="1">+IF(E5&gt;0,"Xem chi tiết","")</f>
        <v/>
      </c>
      <c r="AD5" s="104" t="str">
        <f ca="1">+RIGHT(B5,2)</f>
        <v>1</v>
      </c>
      <c r="AE5" s="49" t="s">
        <v>337</v>
      </c>
      <c r="AF5" s="28" t="s">
        <v>337</v>
      </c>
      <c r="AG5" s="104">
        <f ca="1">+BE5</f>
        <v>0</v>
      </c>
      <c r="AH5" s="104">
        <f ca="1">+ROUND(IFERROR(BG5,0),1)</f>
        <v>0</v>
      </c>
      <c r="AI5" s="104">
        <f ca="1">+BF5</f>
        <v>0</v>
      </c>
      <c r="AJ5" s="104">
        <f ca="1">+DT5</f>
        <v>0</v>
      </c>
      <c r="AK5" s="104">
        <f ca="1">+ROUND(IFERROR(DU5,0),1)</f>
        <v>0</v>
      </c>
      <c r="AL5" s="104">
        <f ca="1">+BR5</f>
        <v>0</v>
      </c>
      <c r="AM5" s="104">
        <f ca="1">+ROUND(IFERROR(CZ5,0),1)</f>
        <v>0</v>
      </c>
      <c r="AN5" s="104">
        <f ca="1">+BS5</f>
        <v>0</v>
      </c>
      <c r="AO5" s="104">
        <f ca="1">+AN5-AI5</f>
        <v>0</v>
      </c>
      <c r="AP5" s="49">
        <f ca="1">+ROUND(BM5,0)</f>
        <v>0</v>
      </c>
      <c r="AQ5" s="104">
        <f ca="1">+ROUND(IFERROR(AP5/AL5,0),1)</f>
        <v>0</v>
      </c>
      <c r="AR5" s="104">
        <f ca="1">+ROUND(IFERROR(BJ5,0),3)</f>
        <v>0</v>
      </c>
      <c r="AS5" s="104">
        <f ca="1">+ROUND(IFERROR(BK5,0),3)</f>
        <v>0</v>
      </c>
      <c r="AT5" s="104">
        <f ca="1"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ca="1" si="0">+E5</f>
        <v>0</v>
      </c>
      <c r="BF5" s="49">
        <f t="shared" ref="BF5:BF16" ca="1" si="1">+F5</f>
        <v>0</v>
      </c>
      <c r="BG5" s="54" t="e">
        <f t="shared" ref="BG5:BG16" ca="1" si="2">BF5/BE5</f>
        <v>#DIV/0!</v>
      </c>
      <c r="BH5" s="112" t="e">
        <f ca="1">BI5/BE5</f>
        <v>#DIV/0!</v>
      </c>
      <c r="BI5" s="113"/>
      <c r="BJ5" s="55" t="e">
        <f ca="1">BM5/(BS5-BF5)</f>
        <v>#DIV/0!</v>
      </c>
      <c r="BK5" s="55" t="e">
        <f t="shared" ref="BK5:BK17" ca="1" si="3">DR5</f>
        <v>#DIV/0!</v>
      </c>
      <c r="BL5" s="55" t="e">
        <f ca="1">BJ5-BK5</f>
        <v>#DIV/0!</v>
      </c>
      <c r="BM5" s="53">
        <f t="shared" ref="BM5:BM16" ca="1" si="4">+G5</f>
        <v>0</v>
      </c>
      <c r="BN5" s="112" t="e">
        <f t="shared" ref="BN5:BN17" ca="1" si="5">BO5/BM5</f>
        <v>#DIV/0!</v>
      </c>
      <c r="BO5" s="112"/>
      <c r="BP5" s="49"/>
      <c r="BQ5" s="53" t="e">
        <f ca="1">BP5/BS5</f>
        <v>#DIV/0!</v>
      </c>
      <c r="BR5" s="53">
        <f t="shared" ref="BR5:BR16" ca="1" si="6">+I5</f>
        <v>0</v>
      </c>
      <c r="BS5" s="53">
        <f t="shared" ref="BS5:BS16" ca="1" si="7">+J5</f>
        <v>0</v>
      </c>
      <c r="BT5" s="56" t="e">
        <f ca="1"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ca="1" si="9">BE5</f>
        <v>0</v>
      </c>
      <c r="CV5" s="53">
        <f t="shared" ca="1" si="9"/>
        <v>0</v>
      </c>
      <c r="CW5" s="58" t="e">
        <f t="shared" ref="CW5:CW17" ca="1" si="10">ROUND(BG5,2)</f>
        <v>#DIV/0!</v>
      </c>
      <c r="CX5" s="53">
        <f ca="1">BR5</f>
        <v>0</v>
      </c>
      <c r="CY5" s="53">
        <f ca="1">BS5</f>
        <v>0</v>
      </c>
      <c r="CZ5" s="58" t="e">
        <f ca="1">ROUND(BT5,2)</f>
        <v>#DIV/0!</v>
      </c>
      <c r="DA5" s="48" t="e">
        <f t="shared" ref="DA5:DA17" ca="1" si="11">IF(CZ5&lt;100,(LEFT(CZ5,2)),IF(CZ5&gt;100,(LEFT(CZ5,3))))</f>
        <v>#DIV/0!</v>
      </c>
      <c r="DB5" s="48" t="e">
        <f t="shared" ref="DB5:DB17" ca="1" si="12">+DA5+1</f>
        <v>#DIV/0!</v>
      </c>
      <c r="DC5" s="48" t="e">
        <f t="shared" ref="DC5:DC17" ca="1" si="13">LEFT(CW5,2)</f>
        <v>#DIV/0!</v>
      </c>
      <c r="DD5" s="48" t="e">
        <f t="shared" ref="DD5:DD17" ca="1" si="14">ROUND(DC5,0)</f>
        <v>#DIV/0!</v>
      </c>
      <c r="DE5" s="48" t="e">
        <f t="shared" ref="DE5:DE17" ca="1" si="15">+DC5+1</f>
        <v>#DIV/0!</v>
      </c>
      <c r="DF5" s="48" t="e">
        <f t="shared" ref="DF5:DF17" ca="1" si="16">DD5&amp;DA5</f>
        <v>#DIV/0!</v>
      </c>
      <c r="DG5" s="48">
        <f ca="1">SUMIF(FCR!$BZ$4:$DB$500,DF5,FCR!$DE$4:$EG$500)</f>
        <v>0</v>
      </c>
      <c r="DH5" s="48" t="e">
        <f t="shared" ref="DH5:DH17" ca="1" si="17">DE5&amp;DA5</f>
        <v>#DIV/0!</v>
      </c>
      <c r="DI5" s="48">
        <f ca="1">SUMIF(FCR!$BZ$4:$DB$142,DH5,FCR!$DE$4:$EG$142)</f>
        <v>0</v>
      </c>
      <c r="DJ5" s="48" t="e">
        <f t="shared" ref="DJ5:DJ17" ca="1" si="18">(CW5-DD5)*100</f>
        <v>#DIV/0!</v>
      </c>
      <c r="DK5" s="55" t="e">
        <f t="shared" ref="DK5:DK17" ca="1" si="19">ROUND(DG5+(DI5-DG5)/100*DJ5,3)</f>
        <v>#DIV/0!</v>
      </c>
      <c r="DL5" s="48" t="e">
        <f t="shared" ref="DL5:DL17" ca="1" si="20">DD5&amp;DB5</f>
        <v>#DIV/0!</v>
      </c>
      <c r="DM5" s="48">
        <f ca="1">SUMIF(FCR!$BZ$4:$DB$142,DL5,FCR!$DE$4:$EG$142)</f>
        <v>0</v>
      </c>
      <c r="DN5" s="53" t="e">
        <f t="shared" ref="DN5:DN17" ca="1" si="21">(CZ5-DA5)*100</f>
        <v>#DIV/0!</v>
      </c>
      <c r="DO5" s="55" t="e">
        <f t="shared" ref="DO5:DO17" ca="1" si="22">ROUND(DG5+(DM5-DG5)/100*DN5,3)</f>
        <v>#DIV/0!</v>
      </c>
      <c r="DP5" s="55" t="e">
        <f t="shared" ref="DP5:DP17" ca="1" si="23">ROUND((DO5+DK5)/2,3)</f>
        <v>#DIV/0!</v>
      </c>
      <c r="DQ5" s="55"/>
      <c r="DR5" s="55" t="e">
        <f t="shared" ref="DR5:DR17" ca="1" si="24">DQ5+DP5</f>
        <v>#DIV/0!</v>
      </c>
      <c r="DS5" s="55" t="e">
        <f ca="1">+DP5-BK5</f>
        <v>#DIV/0!</v>
      </c>
      <c r="DT5" s="53">
        <f ca="1">CU5-CX5</f>
        <v>0</v>
      </c>
      <c r="DU5" s="59" t="e">
        <f t="shared" ref="DU5:DU17" ca="1" si="25">ROUND(DT5/CU5*100,2)</f>
        <v>#DIV/0!</v>
      </c>
    </row>
    <row r="6" spans="1:125" ht="15">
      <c r="A6">
        <v>2</v>
      </c>
      <c r="B6" t="s">
        <v>315</v>
      </c>
      <c r="C6"/>
      <c r="D6"/>
      <c r="E6"/>
      <c r="F6"/>
      <c r="G6"/>
      <c r="H6"/>
      <c r="I6"/>
      <c r="J6"/>
      <c r="K6" s="105"/>
      <c r="L6" s="105"/>
      <c r="M6"/>
      <c r="N6"/>
      <c r="AC6" s="129" t="str">
        <f t="shared" ref="AC6:AC16" ca="1" si="26">+IF(E6&gt;0,"Xem chi tiết","")</f>
        <v/>
      </c>
      <c r="AD6" s="104" t="str">
        <f t="shared" ref="AD6:AD16" ca="1" si="27">+RIGHT(B6,2)</f>
        <v>2</v>
      </c>
      <c r="AE6" s="49" t="s">
        <v>337</v>
      </c>
      <c r="AF6" s="28" t="s">
        <v>337</v>
      </c>
      <c r="AG6" s="104">
        <f t="shared" ref="AG6:AG16" ca="1" si="28">+BE6</f>
        <v>0</v>
      </c>
      <c r="AH6" s="104">
        <f t="shared" ref="AH6:AH16" ca="1" si="29">+ROUND(IFERROR(BG6,0),1)</f>
        <v>0</v>
      </c>
      <c r="AI6" s="104">
        <f t="shared" ref="AI6:AI16" ca="1" si="30">+BF6</f>
        <v>0</v>
      </c>
      <c r="AJ6" s="104">
        <f t="shared" ref="AJ6:AJ16" ca="1" si="31">+DT6</f>
        <v>0</v>
      </c>
      <c r="AK6" s="104">
        <f t="shared" ref="AK6:AK16" ca="1" si="32">+ROUND(IFERROR(DU6,0),1)</f>
        <v>0</v>
      </c>
      <c r="AL6" s="104">
        <f t="shared" ref="AL6:AL16" ca="1" si="33">+BR6</f>
        <v>0</v>
      </c>
      <c r="AM6" s="104">
        <f t="shared" ref="AM6:AM16" ca="1" si="34">+ROUND(IFERROR(CZ6,0),1)</f>
        <v>0</v>
      </c>
      <c r="AN6" s="104">
        <f t="shared" ref="AN6:AN16" ca="1" si="35">+BS6</f>
        <v>0</v>
      </c>
      <c r="AO6" s="104">
        <f t="shared" ref="AO6:AO16" ca="1" si="36">+AN6-AI6</f>
        <v>0</v>
      </c>
      <c r="AP6" s="49">
        <f t="shared" ref="AP6:AP16" ca="1" si="37">+ROUND(BM6,0)</f>
        <v>0</v>
      </c>
      <c r="AQ6" s="104">
        <f t="shared" ref="AQ6:AQ16" ca="1" si="38">+ROUND(IFERROR(AP6/AL6,0),1)</f>
        <v>0</v>
      </c>
      <c r="AR6" s="104">
        <f t="shared" ref="AR6:AR16" ca="1" si="39">+ROUND(IFERROR(BJ6,0),3)</f>
        <v>0</v>
      </c>
      <c r="AS6" s="104">
        <f t="shared" ref="AS6:AS16" ca="1" si="40">+ROUND(IFERROR(BK6,0),3)</f>
        <v>0</v>
      </c>
      <c r="AT6" s="104">
        <f t="shared" ref="AT6:AT16" ca="1" si="41">+ROUND(IFERROR(BL6,0),3)</f>
        <v>0</v>
      </c>
      <c r="BE6" s="49">
        <f t="shared" ca="1" si="0"/>
        <v>0</v>
      </c>
      <c r="BF6" s="49">
        <f t="shared" ca="1" si="1"/>
        <v>0</v>
      </c>
      <c r="BG6" s="54" t="e">
        <f t="shared" ca="1" si="2"/>
        <v>#DIV/0!</v>
      </c>
      <c r="BH6" s="112" t="e">
        <f t="shared" ref="BH6:BH17" ca="1" si="42">BI6/BE6</f>
        <v>#DIV/0!</v>
      </c>
      <c r="BJ6" s="55" t="e">
        <f t="shared" ref="BJ6:BJ16" ca="1" si="43">BM6/(BS6-BF6)</f>
        <v>#DIV/0!</v>
      </c>
      <c r="BK6" s="55" t="e">
        <f t="shared" ca="1" si="3"/>
        <v>#DIV/0!</v>
      </c>
      <c r="BL6" s="55" t="e">
        <f t="shared" ref="BL6:BL17" ca="1" si="44">BJ6-BK6</f>
        <v>#DIV/0!</v>
      </c>
      <c r="BM6" s="53">
        <f t="shared" ca="1" si="4"/>
        <v>0</v>
      </c>
      <c r="BN6" s="112" t="e">
        <f t="shared" ca="1" si="5"/>
        <v>#DIV/0!</v>
      </c>
      <c r="BQ6" s="53" t="e">
        <f t="shared" ref="BQ6:BQ17" ca="1" si="45">BP6/BS6</f>
        <v>#DIV/0!</v>
      </c>
      <c r="BR6" s="53">
        <f t="shared" ca="1" si="6"/>
        <v>0</v>
      </c>
      <c r="BS6" s="53">
        <f t="shared" ca="1" si="7"/>
        <v>0</v>
      </c>
      <c r="BT6" s="56" t="e">
        <f t="shared" ref="BT6:BT16" ca="1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ca="1" si="9"/>
        <v>0</v>
      </c>
      <c r="CV6" s="53">
        <f t="shared" ca="1" si="9"/>
        <v>0</v>
      </c>
      <c r="CW6" s="58" t="e">
        <f t="shared" ca="1" si="10"/>
        <v>#DIV/0!</v>
      </c>
      <c r="CX6" s="53">
        <f t="shared" ref="CX6:CY17" ca="1" si="47">BR6</f>
        <v>0</v>
      </c>
      <c r="CY6" s="53">
        <f t="shared" ca="1" si="47"/>
        <v>0</v>
      </c>
      <c r="CZ6" s="58" t="e">
        <f t="shared" ref="CZ6:CZ17" ca="1" si="48">ROUND(BT6,2)</f>
        <v>#DIV/0!</v>
      </c>
      <c r="DA6" s="48" t="e">
        <f t="shared" ca="1" si="11"/>
        <v>#DIV/0!</v>
      </c>
      <c r="DB6" s="48" t="e">
        <f t="shared" ca="1" si="12"/>
        <v>#DIV/0!</v>
      </c>
      <c r="DC6" s="48" t="e">
        <f t="shared" ca="1" si="13"/>
        <v>#DIV/0!</v>
      </c>
      <c r="DD6" s="48" t="e">
        <f t="shared" ca="1" si="14"/>
        <v>#DIV/0!</v>
      </c>
      <c r="DE6" s="48" t="e">
        <f t="shared" ca="1" si="15"/>
        <v>#DIV/0!</v>
      </c>
      <c r="DF6" s="48" t="e">
        <f t="shared" ca="1" si="16"/>
        <v>#DIV/0!</v>
      </c>
      <c r="DG6" s="48">
        <f ca="1">SUMIF(FCR!$BZ$4:$DB$500,DF6,FCR!$DE$4:$EG$500)</f>
        <v>0</v>
      </c>
      <c r="DH6" s="48" t="e">
        <f t="shared" ca="1" si="17"/>
        <v>#DIV/0!</v>
      </c>
      <c r="DI6" s="48">
        <f ca="1">SUMIF(FCR!$BZ$4:$DB$142,DH6,FCR!$DE$4:$EG$142)</f>
        <v>0</v>
      </c>
      <c r="DJ6" s="48" t="e">
        <f t="shared" ca="1" si="18"/>
        <v>#DIV/0!</v>
      </c>
      <c r="DK6" s="55" t="e">
        <f t="shared" ca="1" si="19"/>
        <v>#DIV/0!</v>
      </c>
      <c r="DL6" s="48" t="e">
        <f t="shared" ca="1" si="20"/>
        <v>#DIV/0!</v>
      </c>
      <c r="DM6" s="48">
        <f ca="1">SUMIF(FCR!$BZ$4:$DB$142,DL6,FCR!$DE$4:$EG$142)</f>
        <v>0</v>
      </c>
      <c r="DN6" s="53" t="e">
        <f t="shared" ca="1" si="21"/>
        <v>#DIV/0!</v>
      </c>
      <c r="DO6" s="55" t="e">
        <f t="shared" ca="1" si="22"/>
        <v>#DIV/0!</v>
      </c>
      <c r="DP6" s="55" t="e">
        <f t="shared" ca="1" si="23"/>
        <v>#DIV/0!</v>
      </c>
      <c r="DQ6" s="55"/>
      <c r="DR6" s="55" t="e">
        <f t="shared" ca="1" si="24"/>
        <v>#DIV/0!</v>
      </c>
      <c r="DS6" s="55" t="e">
        <f t="shared" ref="DS6:DS17" ca="1" si="49">+DP6-BK6</f>
        <v>#DIV/0!</v>
      </c>
      <c r="DT6" s="53">
        <f t="shared" ref="DT6:DT17" ca="1" si="50">CU6-CX6</f>
        <v>0</v>
      </c>
      <c r="DU6" s="59" t="e">
        <f t="shared" ca="1" si="25"/>
        <v>#DIV/0!</v>
      </c>
    </row>
    <row r="7" spans="1:125" ht="15">
      <c r="A7">
        <v>3</v>
      </c>
      <c r="B7" t="s">
        <v>325</v>
      </c>
      <c r="C7"/>
      <c r="D7"/>
      <c r="E7"/>
      <c r="F7"/>
      <c r="G7"/>
      <c r="H7"/>
      <c r="I7"/>
      <c r="J7"/>
      <c r="K7" s="105"/>
      <c r="L7" s="105"/>
      <c r="M7"/>
      <c r="N7"/>
      <c r="AC7" s="129" t="str">
        <f t="shared" ca="1" si="26"/>
        <v/>
      </c>
      <c r="AD7" s="104" t="str">
        <f t="shared" ca="1" si="27"/>
        <v>3</v>
      </c>
      <c r="AE7" s="49" t="s">
        <v>337</v>
      </c>
      <c r="AF7" s="28" t="s">
        <v>337</v>
      </c>
      <c r="AG7" s="104">
        <f t="shared" ca="1" si="28"/>
        <v>0</v>
      </c>
      <c r="AH7" s="104">
        <f t="shared" ca="1" si="29"/>
        <v>0</v>
      </c>
      <c r="AI7" s="104">
        <f t="shared" ca="1" si="30"/>
        <v>0</v>
      </c>
      <c r="AJ7" s="104">
        <f t="shared" ca="1" si="31"/>
        <v>0</v>
      </c>
      <c r="AK7" s="104">
        <f t="shared" ca="1" si="32"/>
        <v>0</v>
      </c>
      <c r="AL7" s="104">
        <f t="shared" ca="1" si="33"/>
        <v>0</v>
      </c>
      <c r="AM7" s="104">
        <f t="shared" ca="1" si="34"/>
        <v>0</v>
      </c>
      <c r="AN7" s="104">
        <f t="shared" ca="1" si="35"/>
        <v>0</v>
      </c>
      <c r="AO7" s="104">
        <f t="shared" ca="1" si="36"/>
        <v>0</v>
      </c>
      <c r="AP7" s="49">
        <f t="shared" ca="1" si="37"/>
        <v>0</v>
      </c>
      <c r="AQ7" s="104">
        <f t="shared" ca="1" si="38"/>
        <v>0</v>
      </c>
      <c r="AR7" s="104">
        <f t="shared" ca="1" si="39"/>
        <v>0</v>
      </c>
      <c r="AS7" s="104">
        <f t="shared" ca="1" si="40"/>
        <v>0</v>
      </c>
      <c r="AT7" s="104">
        <f t="shared" ca="1" si="41"/>
        <v>0</v>
      </c>
      <c r="BE7" s="49">
        <f t="shared" ca="1" si="0"/>
        <v>0</v>
      </c>
      <c r="BF7" s="49">
        <f t="shared" ca="1" si="1"/>
        <v>0</v>
      </c>
      <c r="BG7" s="54" t="e">
        <f t="shared" ca="1" si="2"/>
        <v>#DIV/0!</v>
      </c>
      <c r="BH7" s="112" t="e">
        <f t="shared" ca="1" si="42"/>
        <v>#DIV/0!</v>
      </c>
      <c r="BJ7" s="55" t="e">
        <f t="shared" ca="1" si="43"/>
        <v>#DIV/0!</v>
      </c>
      <c r="BK7" s="55" t="e">
        <f t="shared" ca="1" si="3"/>
        <v>#DIV/0!</v>
      </c>
      <c r="BL7" s="55" t="e">
        <f t="shared" ca="1" si="44"/>
        <v>#DIV/0!</v>
      </c>
      <c r="BM7" s="53">
        <f t="shared" ca="1" si="4"/>
        <v>0</v>
      </c>
      <c r="BN7" s="112" t="e">
        <f t="shared" ca="1" si="5"/>
        <v>#DIV/0!</v>
      </c>
      <c r="BQ7" s="53" t="e">
        <f t="shared" ca="1" si="45"/>
        <v>#DIV/0!</v>
      </c>
      <c r="BR7" s="53">
        <f t="shared" ca="1" si="6"/>
        <v>0</v>
      </c>
      <c r="BS7" s="53">
        <f t="shared" ca="1" si="7"/>
        <v>0</v>
      </c>
      <c r="BT7" s="56" t="e">
        <f t="shared" ca="1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ca="1" si="9"/>
        <v>0</v>
      </c>
      <c r="CV7" s="53">
        <f t="shared" ca="1" si="9"/>
        <v>0</v>
      </c>
      <c r="CW7" s="58" t="e">
        <f t="shared" ca="1" si="10"/>
        <v>#DIV/0!</v>
      </c>
      <c r="CX7" s="53">
        <f t="shared" ca="1" si="47"/>
        <v>0</v>
      </c>
      <c r="CY7" s="53">
        <f t="shared" ca="1" si="47"/>
        <v>0</v>
      </c>
      <c r="CZ7" s="58" t="e">
        <f t="shared" ca="1" si="48"/>
        <v>#DIV/0!</v>
      </c>
      <c r="DA7" s="48" t="e">
        <f t="shared" ca="1" si="11"/>
        <v>#DIV/0!</v>
      </c>
      <c r="DB7" s="48" t="e">
        <f t="shared" ca="1" si="12"/>
        <v>#DIV/0!</v>
      </c>
      <c r="DC7" s="48" t="e">
        <f t="shared" ca="1" si="13"/>
        <v>#DIV/0!</v>
      </c>
      <c r="DD7" s="48" t="e">
        <f t="shared" ca="1" si="14"/>
        <v>#DIV/0!</v>
      </c>
      <c r="DE7" s="48" t="e">
        <f t="shared" ca="1" si="15"/>
        <v>#DIV/0!</v>
      </c>
      <c r="DF7" s="48" t="e">
        <f t="shared" ca="1" si="16"/>
        <v>#DIV/0!</v>
      </c>
      <c r="DG7" s="48">
        <f ca="1">SUMIF(FCR!$BZ$4:$DB$500,DF7,FCR!$DE$4:$EG$500)</f>
        <v>0</v>
      </c>
      <c r="DH7" s="48" t="e">
        <f t="shared" ca="1" si="17"/>
        <v>#DIV/0!</v>
      </c>
      <c r="DI7" s="48">
        <f ca="1">SUMIF(FCR!$BZ$4:$DB$142,DH7,FCR!$DE$4:$EG$142)</f>
        <v>0</v>
      </c>
      <c r="DJ7" s="48" t="e">
        <f t="shared" ca="1" si="18"/>
        <v>#DIV/0!</v>
      </c>
      <c r="DK7" s="55" t="e">
        <f t="shared" ca="1" si="19"/>
        <v>#DIV/0!</v>
      </c>
      <c r="DL7" s="48" t="e">
        <f t="shared" ca="1" si="20"/>
        <v>#DIV/0!</v>
      </c>
      <c r="DM7" s="48">
        <f ca="1">SUMIF(FCR!$BZ$4:$DB$142,DL7,FCR!$DE$4:$EG$142)</f>
        <v>0</v>
      </c>
      <c r="DN7" s="53" t="e">
        <f t="shared" ca="1" si="21"/>
        <v>#DIV/0!</v>
      </c>
      <c r="DO7" s="55" t="e">
        <f t="shared" ca="1" si="22"/>
        <v>#DIV/0!</v>
      </c>
      <c r="DP7" s="55" t="e">
        <f t="shared" ca="1" si="23"/>
        <v>#DIV/0!</v>
      </c>
      <c r="DQ7" s="55"/>
      <c r="DR7" s="55" t="e">
        <f t="shared" ca="1" si="24"/>
        <v>#DIV/0!</v>
      </c>
      <c r="DS7" s="55" t="e">
        <f t="shared" ca="1" si="49"/>
        <v>#DIV/0!</v>
      </c>
      <c r="DT7" s="53">
        <f t="shared" ca="1" si="50"/>
        <v>0</v>
      </c>
      <c r="DU7" s="59" t="e">
        <f t="shared" ca="1" si="25"/>
        <v>#DIV/0!</v>
      </c>
    </row>
    <row r="8" spans="1:125" ht="15">
      <c r="A8">
        <v>4</v>
      </c>
      <c r="B8" t="s">
        <v>323</v>
      </c>
      <c r="C8"/>
      <c r="D8"/>
      <c r="E8"/>
      <c r="F8"/>
      <c r="G8"/>
      <c r="H8"/>
      <c r="I8"/>
      <c r="J8"/>
      <c r="K8" s="105"/>
      <c r="L8" s="105"/>
      <c r="M8"/>
      <c r="N8"/>
      <c r="AC8" s="129" t="str">
        <f t="shared" ca="1" si="26"/>
        <v/>
      </c>
      <c r="AD8" s="104" t="str">
        <f t="shared" ca="1" si="27"/>
        <v>4</v>
      </c>
      <c r="AE8" s="49" t="s">
        <v>337</v>
      </c>
      <c r="AF8" s="28" t="s">
        <v>337</v>
      </c>
      <c r="AG8" s="104">
        <f t="shared" ca="1" si="28"/>
        <v>0</v>
      </c>
      <c r="AH8" s="104">
        <f t="shared" ca="1" si="29"/>
        <v>0</v>
      </c>
      <c r="AI8" s="104">
        <f t="shared" ca="1" si="30"/>
        <v>0</v>
      </c>
      <c r="AJ8" s="104">
        <f t="shared" ca="1" si="31"/>
        <v>0</v>
      </c>
      <c r="AK8" s="104">
        <f t="shared" ca="1" si="32"/>
        <v>0</v>
      </c>
      <c r="AL8" s="104">
        <f t="shared" ca="1" si="33"/>
        <v>0</v>
      </c>
      <c r="AM8" s="104">
        <f t="shared" ca="1" si="34"/>
        <v>0</v>
      </c>
      <c r="AN8" s="104">
        <f t="shared" ca="1" si="35"/>
        <v>0</v>
      </c>
      <c r="AO8" s="104">
        <f t="shared" ca="1" si="36"/>
        <v>0</v>
      </c>
      <c r="AP8" s="49">
        <f t="shared" ca="1" si="37"/>
        <v>0</v>
      </c>
      <c r="AQ8" s="104">
        <f t="shared" ca="1" si="38"/>
        <v>0</v>
      </c>
      <c r="AR8" s="104">
        <f t="shared" ca="1" si="39"/>
        <v>0</v>
      </c>
      <c r="AS8" s="104">
        <f t="shared" ca="1" si="40"/>
        <v>0</v>
      </c>
      <c r="AT8" s="104">
        <f t="shared" ca="1" si="41"/>
        <v>0</v>
      </c>
      <c r="BE8" s="49">
        <f t="shared" ca="1" si="0"/>
        <v>0</v>
      </c>
      <c r="BF8" s="49">
        <f t="shared" ca="1" si="1"/>
        <v>0</v>
      </c>
      <c r="BG8" s="54" t="e">
        <f t="shared" ca="1" si="2"/>
        <v>#DIV/0!</v>
      </c>
      <c r="BH8" s="112" t="e">
        <f t="shared" ca="1" si="42"/>
        <v>#DIV/0!</v>
      </c>
      <c r="BJ8" s="55" t="e">
        <f t="shared" ca="1" si="43"/>
        <v>#DIV/0!</v>
      </c>
      <c r="BK8" s="55" t="e">
        <f t="shared" ca="1" si="3"/>
        <v>#DIV/0!</v>
      </c>
      <c r="BL8" s="55" t="e">
        <f t="shared" ca="1" si="44"/>
        <v>#DIV/0!</v>
      </c>
      <c r="BM8" s="53">
        <f t="shared" ca="1" si="4"/>
        <v>0</v>
      </c>
      <c r="BN8" s="112" t="e">
        <f t="shared" ca="1" si="5"/>
        <v>#DIV/0!</v>
      </c>
      <c r="BQ8" s="53" t="e">
        <f t="shared" ca="1" si="45"/>
        <v>#DIV/0!</v>
      </c>
      <c r="BR8" s="53">
        <f t="shared" ca="1" si="6"/>
        <v>0</v>
      </c>
      <c r="BS8" s="53">
        <f t="shared" ca="1" si="7"/>
        <v>0</v>
      </c>
      <c r="BT8" s="56" t="e">
        <f t="shared" ca="1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ca="1" si="9"/>
        <v>0</v>
      </c>
      <c r="CV8" s="53">
        <f t="shared" ca="1" si="9"/>
        <v>0</v>
      </c>
      <c r="CW8" s="58" t="e">
        <f t="shared" ca="1" si="10"/>
        <v>#DIV/0!</v>
      </c>
      <c r="CX8" s="53">
        <f t="shared" ca="1" si="47"/>
        <v>0</v>
      </c>
      <c r="CY8" s="53">
        <f t="shared" ca="1" si="47"/>
        <v>0</v>
      </c>
      <c r="CZ8" s="58" t="e">
        <f t="shared" ca="1" si="48"/>
        <v>#DIV/0!</v>
      </c>
      <c r="DA8" s="48" t="e">
        <f t="shared" ca="1" si="11"/>
        <v>#DIV/0!</v>
      </c>
      <c r="DB8" s="48" t="e">
        <f t="shared" ca="1" si="12"/>
        <v>#DIV/0!</v>
      </c>
      <c r="DC8" s="48" t="e">
        <f t="shared" ca="1" si="13"/>
        <v>#DIV/0!</v>
      </c>
      <c r="DD8" s="48" t="e">
        <f t="shared" ca="1" si="14"/>
        <v>#DIV/0!</v>
      </c>
      <c r="DE8" s="48" t="e">
        <f t="shared" ca="1" si="15"/>
        <v>#DIV/0!</v>
      </c>
      <c r="DF8" s="48" t="e">
        <f t="shared" ca="1" si="16"/>
        <v>#DIV/0!</v>
      </c>
      <c r="DG8" s="48">
        <f ca="1">SUMIF(FCR!$BZ$4:$DB$500,DF8,FCR!$DE$4:$EG$500)</f>
        <v>0</v>
      </c>
      <c r="DH8" s="48" t="e">
        <f t="shared" ca="1" si="17"/>
        <v>#DIV/0!</v>
      </c>
      <c r="DI8" s="48">
        <f ca="1">SUMIF(FCR!$BZ$4:$DB$142,DH8,FCR!$DE$4:$EG$142)</f>
        <v>0</v>
      </c>
      <c r="DJ8" s="48" t="e">
        <f t="shared" ca="1" si="18"/>
        <v>#DIV/0!</v>
      </c>
      <c r="DK8" s="55" t="e">
        <f t="shared" ca="1" si="19"/>
        <v>#DIV/0!</v>
      </c>
      <c r="DL8" s="48" t="e">
        <f t="shared" ca="1" si="20"/>
        <v>#DIV/0!</v>
      </c>
      <c r="DM8" s="48">
        <f ca="1">SUMIF(FCR!$BZ$4:$DB$142,DL8,FCR!$DE$4:$EG$142)</f>
        <v>0</v>
      </c>
      <c r="DN8" s="53" t="e">
        <f t="shared" ca="1" si="21"/>
        <v>#DIV/0!</v>
      </c>
      <c r="DO8" s="55" t="e">
        <f t="shared" ca="1" si="22"/>
        <v>#DIV/0!</v>
      </c>
      <c r="DP8" s="55" t="e">
        <f t="shared" ca="1" si="23"/>
        <v>#DIV/0!</v>
      </c>
      <c r="DQ8" s="55"/>
      <c r="DR8" s="55" t="e">
        <f t="shared" ca="1" si="24"/>
        <v>#DIV/0!</v>
      </c>
      <c r="DS8" s="55" t="e">
        <f t="shared" ca="1" si="49"/>
        <v>#DIV/0!</v>
      </c>
      <c r="DT8" s="53">
        <f t="shared" ca="1" si="50"/>
        <v>0</v>
      </c>
      <c r="DU8" s="59" t="e">
        <f t="shared" ca="1" si="25"/>
        <v>#DIV/0!</v>
      </c>
    </row>
    <row r="9" spans="1:125" ht="15">
      <c r="A9">
        <v>5</v>
      </c>
      <c r="B9" t="s">
        <v>324</v>
      </c>
      <c r="C9"/>
      <c r="D9"/>
      <c r="E9"/>
      <c r="F9"/>
      <c r="G9"/>
      <c r="H9"/>
      <c r="I9"/>
      <c r="J9"/>
      <c r="K9" s="105"/>
      <c r="L9" s="105"/>
      <c r="M9"/>
      <c r="N9"/>
      <c r="AC9" s="129" t="str">
        <f t="shared" ca="1" si="26"/>
        <v/>
      </c>
      <c r="AD9" s="104" t="str">
        <f t="shared" ca="1" si="27"/>
        <v>5</v>
      </c>
      <c r="AE9" s="49" t="s">
        <v>337</v>
      </c>
      <c r="AF9" s="28" t="s">
        <v>337</v>
      </c>
      <c r="AG9" s="104">
        <f t="shared" ca="1" si="28"/>
        <v>0</v>
      </c>
      <c r="AH9" s="104">
        <f t="shared" ca="1" si="29"/>
        <v>0</v>
      </c>
      <c r="AI9" s="104">
        <f t="shared" ca="1" si="30"/>
        <v>0</v>
      </c>
      <c r="AJ9" s="104">
        <f t="shared" ca="1" si="31"/>
        <v>0</v>
      </c>
      <c r="AK9" s="104">
        <f t="shared" ca="1" si="32"/>
        <v>0</v>
      </c>
      <c r="AL9" s="104">
        <f t="shared" ca="1" si="33"/>
        <v>0</v>
      </c>
      <c r="AM9" s="104">
        <f t="shared" ca="1" si="34"/>
        <v>0</v>
      </c>
      <c r="AN9" s="104">
        <f t="shared" ca="1" si="35"/>
        <v>0</v>
      </c>
      <c r="AO9" s="104">
        <f t="shared" ca="1" si="36"/>
        <v>0</v>
      </c>
      <c r="AP9" s="49">
        <f t="shared" ca="1" si="37"/>
        <v>0</v>
      </c>
      <c r="AQ9" s="104">
        <f t="shared" ca="1" si="38"/>
        <v>0</v>
      </c>
      <c r="AR9" s="104">
        <f t="shared" ca="1" si="39"/>
        <v>0</v>
      </c>
      <c r="AS9" s="104">
        <f t="shared" ca="1" si="40"/>
        <v>0</v>
      </c>
      <c r="AT9" s="104">
        <f t="shared" ca="1" si="41"/>
        <v>0</v>
      </c>
      <c r="BE9" s="49">
        <f t="shared" ca="1" si="0"/>
        <v>0</v>
      </c>
      <c r="BF9" s="49">
        <f t="shared" ca="1" si="1"/>
        <v>0</v>
      </c>
      <c r="BG9" s="54" t="e">
        <f t="shared" ca="1" si="2"/>
        <v>#DIV/0!</v>
      </c>
      <c r="BH9" s="112" t="e">
        <f t="shared" ca="1" si="42"/>
        <v>#DIV/0!</v>
      </c>
      <c r="BJ9" s="55" t="e">
        <f t="shared" ca="1" si="43"/>
        <v>#DIV/0!</v>
      </c>
      <c r="BK9" s="55" t="e">
        <f t="shared" ca="1" si="3"/>
        <v>#DIV/0!</v>
      </c>
      <c r="BL9" s="55" t="e">
        <f t="shared" ca="1" si="44"/>
        <v>#DIV/0!</v>
      </c>
      <c r="BM9" s="53">
        <f t="shared" ca="1" si="4"/>
        <v>0</v>
      </c>
      <c r="BN9" s="112" t="e">
        <f t="shared" ca="1" si="5"/>
        <v>#DIV/0!</v>
      </c>
      <c r="BQ9" s="53" t="e">
        <f t="shared" ca="1" si="45"/>
        <v>#DIV/0!</v>
      </c>
      <c r="BR9" s="53">
        <f t="shared" ca="1" si="6"/>
        <v>0</v>
      </c>
      <c r="BS9" s="53">
        <f t="shared" ca="1" si="7"/>
        <v>0</v>
      </c>
      <c r="BT9" s="56" t="e">
        <f t="shared" ca="1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ca="1" si="9"/>
        <v>0</v>
      </c>
      <c r="CV9" s="53">
        <f t="shared" ca="1" si="9"/>
        <v>0</v>
      </c>
      <c r="CW9" s="58" t="e">
        <f t="shared" ca="1" si="10"/>
        <v>#DIV/0!</v>
      </c>
      <c r="CX9" s="53">
        <f t="shared" ca="1" si="47"/>
        <v>0</v>
      </c>
      <c r="CY9" s="53">
        <f t="shared" ca="1" si="47"/>
        <v>0</v>
      </c>
      <c r="CZ9" s="58" t="e">
        <f t="shared" ca="1" si="48"/>
        <v>#DIV/0!</v>
      </c>
      <c r="DA9" s="48" t="e">
        <f t="shared" ca="1" si="11"/>
        <v>#DIV/0!</v>
      </c>
      <c r="DB9" s="48" t="e">
        <f t="shared" ca="1" si="12"/>
        <v>#DIV/0!</v>
      </c>
      <c r="DC9" s="48" t="e">
        <f t="shared" ca="1" si="13"/>
        <v>#DIV/0!</v>
      </c>
      <c r="DD9" s="48" t="e">
        <f t="shared" ca="1" si="14"/>
        <v>#DIV/0!</v>
      </c>
      <c r="DE9" s="48" t="e">
        <f t="shared" ca="1" si="15"/>
        <v>#DIV/0!</v>
      </c>
      <c r="DF9" s="48" t="e">
        <f t="shared" ca="1" si="16"/>
        <v>#DIV/0!</v>
      </c>
      <c r="DG9" s="48">
        <f ca="1">SUMIF(FCR!$BZ$4:$DB$500,DF9,FCR!$DE$4:$EG$500)</f>
        <v>0</v>
      </c>
      <c r="DH9" s="48" t="e">
        <f t="shared" ca="1" si="17"/>
        <v>#DIV/0!</v>
      </c>
      <c r="DI9" s="48">
        <f ca="1">SUMIF(FCR!$BZ$4:$DB$142,DH9,FCR!$DE$4:$EG$142)</f>
        <v>0</v>
      </c>
      <c r="DJ9" s="48" t="e">
        <f t="shared" ca="1" si="18"/>
        <v>#DIV/0!</v>
      </c>
      <c r="DK9" s="55" t="e">
        <f t="shared" ca="1" si="19"/>
        <v>#DIV/0!</v>
      </c>
      <c r="DL9" s="48" t="e">
        <f t="shared" ca="1" si="20"/>
        <v>#DIV/0!</v>
      </c>
      <c r="DM9" s="48">
        <f ca="1">SUMIF(FCR!$BZ$4:$DB$142,DL9,FCR!$DE$4:$EG$142)</f>
        <v>0</v>
      </c>
      <c r="DN9" s="53" t="e">
        <f t="shared" ca="1" si="21"/>
        <v>#DIV/0!</v>
      </c>
      <c r="DO9" s="55" t="e">
        <f t="shared" ca="1" si="22"/>
        <v>#DIV/0!</v>
      </c>
      <c r="DP9" s="55" t="e">
        <f t="shared" ca="1" si="23"/>
        <v>#DIV/0!</v>
      </c>
      <c r="DQ9" s="55"/>
      <c r="DR9" s="55" t="e">
        <f t="shared" ca="1" si="24"/>
        <v>#DIV/0!</v>
      </c>
      <c r="DS9" s="55" t="e">
        <f t="shared" ca="1" si="49"/>
        <v>#DIV/0!</v>
      </c>
      <c r="DT9" s="53">
        <f t="shared" ca="1" si="50"/>
        <v>0</v>
      </c>
      <c r="DU9" s="59" t="e">
        <f t="shared" ca="1" si="25"/>
        <v>#DIV/0!</v>
      </c>
    </row>
    <row r="10" spans="1:125" ht="15">
      <c r="A10">
        <v>6</v>
      </c>
      <c r="B10" t="s">
        <v>328</v>
      </c>
      <c r="C10"/>
      <c r="D10"/>
      <c r="E10"/>
      <c r="F10"/>
      <c r="G10"/>
      <c r="H10"/>
      <c r="I10"/>
      <c r="J10"/>
      <c r="K10" s="105"/>
      <c r="L10" s="105"/>
      <c r="M10"/>
      <c r="N10"/>
      <c r="AC10" s="129" t="str">
        <f t="shared" ca="1" si="26"/>
        <v/>
      </c>
      <c r="AD10" s="104" t="str">
        <f t="shared" ca="1" si="27"/>
        <v>6</v>
      </c>
      <c r="AE10" s="49" t="s">
        <v>337</v>
      </c>
      <c r="AF10" s="28" t="s">
        <v>337</v>
      </c>
      <c r="AG10" s="104">
        <f t="shared" ca="1" si="28"/>
        <v>0</v>
      </c>
      <c r="AH10" s="104">
        <f t="shared" ca="1" si="29"/>
        <v>0</v>
      </c>
      <c r="AI10" s="104">
        <f t="shared" ca="1" si="30"/>
        <v>0</v>
      </c>
      <c r="AJ10" s="104">
        <f t="shared" ca="1" si="31"/>
        <v>0</v>
      </c>
      <c r="AK10" s="104">
        <f t="shared" ca="1" si="32"/>
        <v>0</v>
      </c>
      <c r="AL10" s="104">
        <f t="shared" ca="1" si="33"/>
        <v>0</v>
      </c>
      <c r="AM10" s="104">
        <f t="shared" ca="1" si="34"/>
        <v>0</v>
      </c>
      <c r="AN10" s="104">
        <f t="shared" ca="1" si="35"/>
        <v>0</v>
      </c>
      <c r="AO10" s="104">
        <f t="shared" ca="1" si="36"/>
        <v>0</v>
      </c>
      <c r="AP10" s="49">
        <f t="shared" ca="1" si="37"/>
        <v>0</v>
      </c>
      <c r="AQ10" s="104">
        <f t="shared" ca="1" si="38"/>
        <v>0</v>
      </c>
      <c r="AR10" s="104">
        <f t="shared" ca="1" si="39"/>
        <v>0</v>
      </c>
      <c r="AS10" s="104">
        <f t="shared" ca="1" si="40"/>
        <v>0</v>
      </c>
      <c r="AT10" s="104">
        <f t="shared" ca="1" si="41"/>
        <v>0</v>
      </c>
      <c r="BE10" s="49">
        <f t="shared" ca="1" si="0"/>
        <v>0</v>
      </c>
      <c r="BF10" s="49">
        <f t="shared" ca="1" si="1"/>
        <v>0</v>
      </c>
      <c r="BG10" s="54" t="e">
        <f t="shared" ca="1" si="2"/>
        <v>#DIV/0!</v>
      </c>
      <c r="BH10" s="112" t="e">
        <f t="shared" ca="1" si="42"/>
        <v>#DIV/0!</v>
      </c>
      <c r="BJ10" s="55" t="e">
        <f t="shared" ca="1" si="43"/>
        <v>#DIV/0!</v>
      </c>
      <c r="BK10" s="55" t="e">
        <f t="shared" ca="1" si="3"/>
        <v>#DIV/0!</v>
      </c>
      <c r="BL10" s="55" t="e">
        <f t="shared" ca="1" si="44"/>
        <v>#DIV/0!</v>
      </c>
      <c r="BM10" s="53">
        <f t="shared" ca="1" si="4"/>
        <v>0</v>
      </c>
      <c r="BN10" s="112" t="e">
        <f t="shared" ca="1" si="5"/>
        <v>#DIV/0!</v>
      </c>
      <c r="BQ10" s="53" t="e">
        <f t="shared" ca="1" si="45"/>
        <v>#DIV/0!</v>
      </c>
      <c r="BR10" s="53">
        <f t="shared" ca="1" si="6"/>
        <v>0</v>
      </c>
      <c r="BS10" s="53">
        <f t="shared" ca="1" si="7"/>
        <v>0</v>
      </c>
      <c r="BT10" s="56" t="e">
        <f t="shared" ca="1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ca="1" si="9"/>
        <v>0</v>
      </c>
      <c r="CV10" s="53">
        <f t="shared" ca="1" si="9"/>
        <v>0</v>
      </c>
      <c r="CW10" s="58" t="e">
        <f t="shared" ca="1" si="10"/>
        <v>#DIV/0!</v>
      </c>
      <c r="CX10" s="53">
        <f t="shared" ca="1" si="47"/>
        <v>0</v>
      </c>
      <c r="CY10" s="53">
        <f t="shared" ca="1" si="47"/>
        <v>0</v>
      </c>
      <c r="CZ10" s="58" t="e">
        <f t="shared" ca="1" si="48"/>
        <v>#DIV/0!</v>
      </c>
      <c r="DA10" s="48" t="e">
        <f t="shared" ca="1" si="11"/>
        <v>#DIV/0!</v>
      </c>
      <c r="DB10" s="48" t="e">
        <f t="shared" ca="1" si="12"/>
        <v>#DIV/0!</v>
      </c>
      <c r="DC10" s="48" t="e">
        <f t="shared" ca="1" si="13"/>
        <v>#DIV/0!</v>
      </c>
      <c r="DD10" s="48" t="e">
        <f t="shared" ca="1" si="14"/>
        <v>#DIV/0!</v>
      </c>
      <c r="DE10" s="48" t="e">
        <f t="shared" ca="1" si="15"/>
        <v>#DIV/0!</v>
      </c>
      <c r="DF10" s="48" t="e">
        <f t="shared" ca="1" si="16"/>
        <v>#DIV/0!</v>
      </c>
      <c r="DG10" s="48">
        <f ca="1">SUMIF(FCR!$BZ$4:$DB$500,DF10,FCR!$DE$4:$EG$500)</f>
        <v>0</v>
      </c>
      <c r="DH10" s="48" t="e">
        <f t="shared" ca="1" si="17"/>
        <v>#DIV/0!</v>
      </c>
      <c r="DI10" s="48">
        <f ca="1">SUMIF(FCR!$BZ$4:$DB$142,DH10,FCR!$DE$4:$EG$142)</f>
        <v>0</v>
      </c>
      <c r="DJ10" s="48" t="e">
        <f t="shared" ca="1" si="18"/>
        <v>#DIV/0!</v>
      </c>
      <c r="DK10" s="55" t="e">
        <f t="shared" ca="1" si="19"/>
        <v>#DIV/0!</v>
      </c>
      <c r="DL10" s="48" t="e">
        <f t="shared" ca="1" si="20"/>
        <v>#DIV/0!</v>
      </c>
      <c r="DM10" s="48">
        <f ca="1">SUMIF(FCR!$BZ$4:$DB$142,DL10,FCR!$DE$4:$EG$142)</f>
        <v>0</v>
      </c>
      <c r="DN10" s="53" t="e">
        <f t="shared" ca="1" si="21"/>
        <v>#DIV/0!</v>
      </c>
      <c r="DO10" s="55" t="e">
        <f t="shared" ca="1" si="22"/>
        <v>#DIV/0!</v>
      </c>
      <c r="DP10" s="55" t="e">
        <f t="shared" ca="1" si="23"/>
        <v>#DIV/0!</v>
      </c>
      <c r="DQ10" s="55"/>
      <c r="DR10" s="55" t="e">
        <f t="shared" ca="1" si="24"/>
        <v>#DIV/0!</v>
      </c>
      <c r="DS10" s="55" t="e">
        <f t="shared" ca="1" si="49"/>
        <v>#DIV/0!</v>
      </c>
      <c r="DT10" s="53">
        <f t="shared" ca="1" si="50"/>
        <v>0</v>
      </c>
      <c r="DU10" s="59" t="e">
        <f t="shared" ca="1" si="25"/>
        <v>#DIV/0!</v>
      </c>
    </row>
    <row r="11" spans="1:125" ht="15">
      <c r="A11">
        <v>7</v>
      </c>
      <c r="B11" t="s">
        <v>329</v>
      </c>
      <c r="C11"/>
      <c r="D11"/>
      <c r="E11"/>
      <c r="F11"/>
      <c r="G11"/>
      <c r="H11"/>
      <c r="I11"/>
      <c r="J11"/>
      <c r="K11" s="105"/>
      <c r="L11" s="105"/>
      <c r="M11"/>
      <c r="N11"/>
      <c r="AC11" s="129" t="str">
        <f t="shared" ca="1" si="26"/>
        <v/>
      </c>
      <c r="AD11" s="104" t="str">
        <f t="shared" ca="1" si="27"/>
        <v>7</v>
      </c>
      <c r="AE11" s="49" t="s">
        <v>337</v>
      </c>
      <c r="AF11" s="28" t="s">
        <v>337</v>
      </c>
      <c r="AG11" s="104">
        <f t="shared" ca="1" si="28"/>
        <v>0</v>
      </c>
      <c r="AH11" s="104">
        <f t="shared" ca="1" si="29"/>
        <v>0</v>
      </c>
      <c r="AI11" s="104">
        <f t="shared" ca="1" si="30"/>
        <v>0</v>
      </c>
      <c r="AJ11" s="104">
        <f t="shared" ca="1" si="31"/>
        <v>0</v>
      </c>
      <c r="AK11" s="104">
        <f t="shared" ca="1" si="32"/>
        <v>0</v>
      </c>
      <c r="AL11" s="104">
        <f t="shared" ca="1" si="33"/>
        <v>0</v>
      </c>
      <c r="AM11" s="104">
        <f t="shared" ca="1" si="34"/>
        <v>0</v>
      </c>
      <c r="AN11" s="104">
        <f t="shared" ca="1" si="35"/>
        <v>0</v>
      </c>
      <c r="AO11" s="104">
        <f t="shared" ca="1" si="36"/>
        <v>0</v>
      </c>
      <c r="AP11" s="49">
        <f t="shared" ca="1" si="37"/>
        <v>0</v>
      </c>
      <c r="AQ11" s="104">
        <f t="shared" ca="1" si="38"/>
        <v>0</v>
      </c>
      <c r="AR11" s="104">
        <f t="shared" ca="1" si="39"/>
        <v>0</v>
      </c>
      <c r="AS11" s="104">
        <f t="shared" ca="1" si="40"/>
        <v>0</v>
      </c>
      <c r="AT11" s="104">
        <f t="shared" ca="1" si="41"/>
        <v>0</v>
      </c>
      <c r="BE11" s="49">
        <f t="shared" ca="1" si="0"/>
        <v>0</v>
      </c>
      <c r="BF11" s="49">
        <f t="shared" ca="1" si="1"/>
        <v>0</v>
      </c>
      <c r="BG11" s="54" t="e">
        <f t="shared" ca="1" si="2"/>
        <v>#DIV/0!</v>
      </c>
      <c r="BH11" s="112" t="e">
        <f t="shared" ca="1" si="42"/>
        <v>#DIV/0!</v>
      </c>
      <c r="BJ11" s="55" t="e">
        <f t="shared" ca="1" si="43"/>
        <v>#DIV/0!</v>
      </c>
      <c r="BK11" s="55" t="e">
        <f t="shared" ca="1" si="3"/>
        <v>#DIV/0!</v>
      </c>
      <c r="BL11" s="55" t="e">
        <f t="shared" ca="1" si="44"/>
        <v>#DIV/0!</v>
      </c>
      <c r="BM11" s="53">
        <f t="shared" ca="1" si="4"/>
        <v>0</v>
      </c>
      <c r="BN11" s="112" t="e">
        <f t="shared" ca="1" si="5"/>
        <v>#DIV/0!</v>
      </c>
      <c r="BQ11" s="53" t="e">
        <f t="shared" ca="1" si="45"/>
        <v>#DIV/0!</v>
      </c>
      <c r="BR11" s="53">
        <f t="shared" ca="1" si="6"/>
        <v>0</v>
      </c>
      <c r="BS11" s="53">
        <f t="shared" ca="1" si="7"/>
        <v>0</v>
      </c>
      <c r="BT11" s="56" t="e">
        <f t="shared" ca="1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ca="1" si="9"/>
        <v>0</v>
      </c>
      <c r="CV11" s="53">
        <f t="shared" ca="1" si="9"/>
        <v>0</v>
      </c>
      <c r="CW11" s="58" t="e">
        <f t="shared" ca="1" si="10"/>
        <v>#DIV/0!</v>
      </c>
      <c r="CX11" s="53">
        <f t="shared" ca="1" si="47"/>
        <v>0</v>
      </c>
      <c r="CY11" s="53">
        <f t="shared" ca="1" si="47"/>
        <v>0</v>
      </c>
      <c r="CZ11" s="58" t="e">
        <f t="shared" ca="1" si="48"/>
        <v>#DIV/0!</v>
      </c>
      <c r="DA11" s="48" t="e">
        <f t="shared" ca="1" si="11"/>
        <v>#DIV/0!</v>
      </c>
      <c r="DB11" s="48" t="e">
        <f t="shared" ca="1" si="12"/>
        <v>#DIV/0!</v>
      </c>
      <c r="DC11" s="48" t="e">
        <f t="shared" ca="1" si="13"/>
        <v>#DIV/0!</v>
      </c>
      <c r="DD11" s="48" t="e">
        <f t="shared" ca="1" si="14"/>
        <v>#DIV/0!</v>
      </c>
      <c r="DE11" s="48" t="e">
        <f t="shared" ca="1" si="15"/>
        <v>#DIV/0!</v>
      </c>
      <c r="DF11" s="48" t="e">
        <f t="shared" ca="1" si="16"/>
        <v>#DIV/0!</v>
      </c>
      <c r="DG11" s="48">
        <f ca="1">SUMIF(FCR!$BZ$4:$DB$500,DF11,FCR!$DE$4:$EG$500)</f>
        <v>0</v>
      </c>
      <c r="DH11" s="48" t="e">
        <f t="shared" ca="1" si="17"/>
        <v>#DIV/0!</v>
      </c>
      <c r="DI11" s="48">
        <f ca="1">SUMIF(FCR!$BZ$4:$DB$142,DH11,FCR!$DE$4:$EG$142)</f>
        <v>0</v>
      </c>
      <c r="DJ11" s="48" t="e">
        <f t="shared" ca="1" si="18"/>
        <v>#DIV/0!</v>
      </c>
      <c r="DK11" s="55" t="e">
        <f t="shared" ca="1" si="19"/>
        <v>#DIV/0!</v>
      </c>
      <c r="DL11" s="48" t="e">
        <f t="shared" ca="1" si="20"/>
        <v>#DIV/0!</v>
      </c>
      <c r="DM11" s="48">
        <f ca="1">SUMIF(FCR!$BZ$4:$DB$142,DL11,FCR!$DE$4:$EG$142)</f>
        <v>0</v>
      </c>
      <c r="DN11" s="53" t="e">
        <f t="shared" ca="1" si="21"/>
        <v>#DIV/0!</v>
      </c>
      <c r="DO11" s="55" t="e">
        <f t="shared" ca="1" si="22"/>
        <v>#DIV/0!</v>
      </c>
      <c r="DP11" s="55" t="e">
        <f t="shared" ca="1" si="23"/>
        <v>#DIV/0!</v>
      </c>
      <c r="DQ11" s="55"/>
      <c r="DR11" s="55" t="e">
        <f t="shared" ca="1" si="24"/>
        <v>#DIV/0!</v>
      </c>
      <c r="DS11" s="55" t="e">
        <f t="shared" ca="1" si="49"/>
        <v>#DIV/0!</v>
      </c>
      <c r="DT11" s="53">
        <f t="shared" ca="1" si="50"/>
        <v>0</v>
      </c>
      <c r="DU11" s="59" t="e">
        <f t="shared" ca="1" si="25"/>
        <v>#DIV/0!</v>
      </c>
    </row>
    <row r="12" spans="1:125" ht="15">
      <c r="A12">
        <v>8</v>
      </c>
      <c r="B12" t="s">
        <v>330</v>
      </c>
      <c r="C12">
        <v>8</v>
      </c>
      <c r="D12" t="s">
        <v>322</v>
      </c>
      <c r="E12">
        <v>3000</v>
      </c>
      <c r="F12">
        <v>19500</v>
      </c>
      <c r="G12">
        <v>759752</v>
      </c>
      <c r="H12">
        <v>48</v>
      </c>
      <c r="I12">
        <v>2952</v>
      </c>
      <c r="J12">
        <v>339480</v>
      </c>
      <c r="K12" s="105">
        <v>43901</v>
      </c>
      <c r="L12" s="105">
        <v>43901</v>
      </c>
      <c r="M12"/>
      <c r="N12"/>
      <c r="AC12" s="129" t="str">
        <f t="shared" ca="1" si="26"/>
        <v>Xem chi tiết</v>
      </c>
      <c r="AD12" s="104" t="str">
        <f t="shared" ca="1" si="27"/>
        <v>8</v>
      </c>
      <c r="AE12" s="49" t="s">
        <v>337</v>
      </c>
      <c r="AF12" s="28" t="s">
        <v>337</v>
      </c>
      <c r="AG12" s="104">
        <f t="shared" ca="1" si="28"/>
        <v>3000</v>
      </c>
      <c r="AH12" s="104">
        <f t="shared" ca="1" si="29"/>
        <v>6.5</v>
      </c>
      <c r="AI12" s="104">
        <f t="shared" ca="1" si="30"/>
        <v>19500</v>
      </c>
      <c r="AJ12" s="104">
        <f t="shared" ca="1" si="31"/>
        <v>48</v>
      </c>
      <c r="AK12" s="104">
        <f t="shared" ca="1" si="32"/>
        <v>1.6</v>
      </c>
      <c r="AL12" s="104">
        <f t="shared" ca="1" si="33"/>
        <v>2952</v>
      </c>
      <c r="AM12" s="104">
        <f t="shared" ca="1" si="34"/>
        <v>115</v>
      </c>
      <c r="AN12" s="104">
        <f t="shared" ca="1" si="35"/>
        <v>339480</v>
      </c>
      <c r="AO12" s="104">
        <f t="shared" ca="1" si="36"/>
        <v>319980</v>
      </c>
      <c r="AP12" s="49">
        <f t="shared" ca="1" si="37"/>
        <v>759752</v>
      </c>
      <c r="AQ12" s="104">
        <f t="shared" ca="1" si="38"/>
        <v>257.39999999999998</v>
      </c>
      <c r="AR12" s="104">
        <f t="shared" ca="1" si="39"/>
        <v>2.3740000000000001</v>
      </c>
      <c r="AS12" s="104">
        <f t="shared" ca="1" si="40"/>
        <v>2.4409999999999998</v>
      </c>
      <c r="AT12" s="104">
        <f t="shared" ca="1" si="41"/>
        <v>-6.7000000000000004E-2</v>
      </c>
      <c r="BE12" s="49">
        <f t="shared" ca="1" si="0"/>
        <v>3000</v>
      </c>
      <c r="BF12" s="49">
        <f t="shared" ca="1" si="1"/>
        <v>19500</v>
      </c>
      <c r="BG12" s="54">
        <f t="shared" ca="1" si="2"/>
        <v>6.5</v>
      </c>
      <c r="BH12" s="112">
        <f t="shared" ca="1" si="42"/>
        <v>0</v>
      </c>
      <c r="BJ12" s="55">
        <f t="shared" ca="1" si="43"/>
        <v>2.3743733983373962</v>
      </c>
      <c r="BK12" s="55">
        <f t="shared" ca="1" si="3"/>
        <v>2.4409999999999998</v>
      </c>
      <c r="BL12" s="55">
        <f t="shared" ca="1" si="44"/>
        <v>-6.6626601662603591E-2</v>
      </c>
      <c r="BM12" s="53">
        <f t="shared" ca="1" si="4"/>
        <v>759752</v>
      </c>
      <c r="BN12" s="112">
        <f t="shared" ca="1" si="5"/>
        <v>0</v>
      </c>
      <c r="BQ12" s="53">
        <f t="shared" ca="1" si="45"/>
        <v>0</v>
      </c>
      <c r="BR12" s="53">
        <f t="shared" ca="1" si="6"/>
        <v>2952</v>
      </c>
      <c r="BS12" s="53">
        <f t="shared" ca="1" si="7"/>
        <v>339480</v>
      </c>
      <c r="BT12" s="56">
        <f t="shared" ca="1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ca="1" si="9"/>
        <v>3000</v>
      </c>
      <c r="CV12" s="53">
        <f t="shared" ca="1" si="9"/>
        <v>19500</v>
      </c>
      <c r="CW12" s="58">
        <f t="shared" ca="1" si="10"/>
        <v>6.5</v>
      </c>
      <c r="CX12" s="53">
        <f t="shared" ca="1" si="47"/>
        <v>2952</v>
      </c>
      <c r="CY12" s="53">
        <f t="shared" ca="1" si="47"/>
        <v>339480</v>
      </c>
      <c r="CZ12" s="58">
        <f t="shared" ca="1" si="48"/>
        <v>115</v>
      </c>
      <c r="DA12" s="48" t="str">
        <f t="shared" ca="1" si="11"/>
        <v>115</v>
      </c>
      <c r="DB12" s="48">
        <f t="shared" ca="1" si="12"/>
        <v>116</v>
      </c>
      <c r="DC12" s="48" t="str">
        <f t="shared" ca="1" si="13"/>
        <v>6.</v>
      </c>
      <c r="DD12" s="48">
        <f t="shared" ca="1" si="14"/>
        <v>6</v>
      </c>
      <c r="DE12" s="48">
        <f t="shared" ca="1" si="15"/>
        <v>7</v>
      </c>
      <c r="DF12" s="48" t="str">
        <f t="shared" ca="1" si="16"/>
        <v>6115</v>
      </c>
      <c r="DG12" s="48">
        <f ca="1">SUMIF(FCR!$BZ$4:$DB$500,DF12,FCR!$DE$4:$EG$500)</f>
        <v>2.4359999999999999</v>
      </c>
      <c r="DH12" s="48" t="str">
        <f t="shared" ca="1" si="17"/>
        <v>7115</v>
      </c>
      <c r="DI12" s="48">
        <f ca="1">SUMIF(FCR!$BZ$4:$DB$142,DH12,FCR!$DE$4:$EG$142)</f>
        <v>2.4540000000000002</v>
      </c>
      <c r="DJ12" s="48">
        <f t="shared" ca="1" si="18"/>
        <v>50</v>
      </c>
      <c r="DK12" s="55">
        <f t="shared" ca="1" si="19"/>
        <v>2.4449999999999998</v>
      </c>
      <c r="DL12" s="48" t="str">
        <f t="shared" ca="1" si="20"/>
        <v>6116</v>
      </c>
      <c r="DM12" s="48">
        <f ca="1">SUMIF(FCR!$BZ$4:$DB$142,DL12,FCR!$DE$4:$EG$142)</f>
        <v>2.4430000000000001</v>
      </c>
      <c r="DN12" s="53">
        <f t="shared" ca="1" si="21"/>
        <v>0</v>
      </c>
      <c r="DO12" s="55">
        <f t="shared" ca="1" si="22"/>
        <v>2.4359999999999999</v>
      </c>
      <c r="DP12" s="55">
        <f t="shared" ca="1" si="23"/>
        <v>2.4409999999999998</v>
      </c>
      <c r="DQ12" s="55"/>
      <c r="DR12" s="55">
        <f t="shared" ca="1" si="24"/>
        <v>2.4409999999999998</v>
      </c>
      <c r="DS12" s="55">
        <f t="shared" ca="1" si="49"/>
        <v>0</v>
      </c>
      <c r="DT12" s="53">
        <f t="shared" ca="1" si="50"/>
        <v>48</v>
      </c>
      <c r="DU12" s="59">
        <f t="shared" ca="1" si="25"/>
        <v>1.6</v>
      </c>
    </row>
    <row r="13" spans="1:125" ht="15">
      <c r="A13">
        <v>9</v>
      </c>
      <c r="B13" t="s">
        <v>331</v>
      </c>
      <c r="C13">
        <v>9</v>
      </c>
      <c r="D13" t="s">
        <v>322</v>
      </c>
      <c r="E13">
        <v>3000</v>
      </c>
      <c r="F13">
        <v>19500</v>
      </c>
      <c r="G13">
        <v>759752</v>
      </c>
      <c r="H13">
        <v>48</v>
      </c>
      <c r="I13">
        <v>2952</v>
      </c>
      <c r="J13">
        <v>339480</v>
      </c>
      <c r="K13" s="105">
        <v>43931</v>
      </c>
      <c r="L13" s="105">
        <v>43931</v>
      </c>
      <c r="M13"/>
      <c r="N13"/>
      <c r="AC13" s="129" t="str">
        <f t="shared" ca="1" si="26"/>
        <v>Xem chi tiết</v>
      </c>
      <c r="AD13" s="104" t="str">
        <f t="shared" ca="1" si="27"/>
        <v>9</v>
      </c>
      <c r="AE13" s="49" t="s">
        <v>337</v>
      </c>
      <c r="AF13" s="28" t="s">
        <v>337</v>
      </c>
      <c r="AG13" s="104">
        <f t="shared" ca="1" si="28"/>
        <v>3000</v>
      </c>
      <c r="AH13" s="104">
        <f t="shared" ca="1" si="29"/>
        <v>6.5</v>
      </c>
      <c r="AI13" s="104">
        <f t="shared" ca="1" si="30"/>
        <v>19500</v>
      </c>
      <c r="AJ13" s="104">
        <f t="shared" ca="1" si="31"/>
        <v>48</v>
      </c>
      <c r="AK13" s="104">
        <f t="shared" ca="1" si="32"/>
        <v>1.6</v>
      </c>
      <c r="AL13" s="104">
        <f t="shared" ca="1" si="33"/>
        <v>2952</v>
      </c>
      <c r="AM13" s="104">
        <f t="shared" ca="1" si="34"/>
        <v>115</v>
      </c>
      <c r="AN13" s="104">
        <f t="shared" ca="1" si="35"/>
        <v>339480</v>
      </c>
      <c r="AO13" s="104">
        <f t="shared" ca="1" si="36"/>
        <v>319980</v>
      </c>
      <c r="AP13" s="49">
        <f t="shared" ca="1" si="37"/>
        <v>759752</v>
      </c>
      <c r="AQ13" s="104">
        <f t="shared" ca="1" si="38"/>
        <v>257.39999999999998</v>
      </c>
      <c r="AR13" s="104">
        <f t="shared" ca="1" si="39"/>
        <v>2.3740000000000001</v>
      </c>
      <c r="AS13" s="104">
        <f t="shared" ca="1" si="40"/>
        <v>2.4409999999999998</v>
      </c>
      <c r="AT13" s="104">
        <f t="shared" ca="1" si="41"/>
        <v>-6.7000000000000004E-2</v>
      </c>
      <c r="BE13" s="49">
        <f t="shared" ca="1" si="0"/>
        <v>3000</v>
      </c>
      <c r="BF13" s="49">
        <f t="shared" ca="1" si="1"/>
        <v>19500</v>
      </c>
      <c r="BG13" s="54">
        <f t="shared" ca="1" si="2"/>
        <v>6.5</v>
      </c>
      <c r="BH13" s="112">
        <f t="shared" ca="1" si="42"/>
        <v>0</v>
      </c>
      <c r="BJ13" s="55">
        <f t="shared" ca="1" si="43"/>
        <v>2.3743733983373962</v>
      </c>
      <c r="BK13" s="55">
        <f t="shared" ca="1" si="3"/>
        <v>2.4409999999999998</v>
      </c>
      <c r="BL13" s="55">
        <f t="shared" ca="1" si="44"/>
        <v>-6.6626601662603591E-2</v>
      </c>
      <c r="BM13" s="53">
        <f t="shared" ca="1" si="4"/>
        <v>759752</v>
      </c>
      <c r="BN13" s="112">
        <f t="shared" ca="1" si="5"/>
        <v>0</v>
      </c>
      <c r="BQ13" s="53">
        <f t="shared" ca="1" si="45"/>
        <v>0</v>
      </c>
      <c r="BR13" s="53">
        <f t="shared" ca="1" si="6"/>
        <v>2952</v>
      </c>
      <c r="BS13" s="53">
        <f t="shared" ca="1" si="7"/>
        <v>339480</v>
      </c>
      <c r="BT13" s="56">
        <f t="shared" ca="1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ca="1" si="9"/>
        <v>3000</v>
      </c>
      <c r="CV13" s="53">
        <f t="shared" ca="1" si="9"/>
        <v>19500</v>
      </c>
      <c r="CW13" s="58">
        <f t="shared" ca="1" si="10"/>
        <v>6.5</v>
      </c>
      <c r="CX13" s="53">
        <f t="shared" ca="1" si="47"/>
        <v>2952</v>
      </c>
      <c r="CY13" s="53">
        <f t="shared" ca="1" si="47"/>
        <v>339480</v>
      </c>
      <c r="CZ13" s="58">
        <f t="shared" ca="1" si="48"/>
        <v>115</v>
      </c>
      <c r="DA13" s="48" t="str">
        <f t="shared" ca="1" si="11"/>
        <v>115</v>
      </c>
      <c r="DB13" s="48">
        <f t="shared" ca="1" si="12"/>
        <v>116</v>
      </c>
      <c r="DC13" s="48" t="str">
        <f t="shared" ca="1" si="13"/>
        <v>6.</v>
      </c>
      <c r="DD13" s="48">
        <f t="shared" ca="1" si="14"/>
        <v>6</v>
      </c>
      <c r="DE13" s="48">
        <f t="shared" ca="1" si="15"/>
        <v>7</v>
      </c>
      <c r="DF13" s="48" t="str">
        <f t="shared" ca="1" si="16"/>
        <v>6115</v>
      </c>
      <c r="DG13" s="48">
        <f ca="1">SUMIF(FCR!$BZ$4:$DB$500,DF13,FCR!$DE$4:$EG$500)</f>
        <v>2.4359999999999999</v>
      </c>
      <c r="DH13" s="48" t="str">
        <f t="shared" ca="1" si="17"/>
        <v>7115</v>
      </c>
      <c r="DI13" s="48">
        <f ca="1">SUMIF(FCR!$BZ$4:$DB$142,DH13,FCR!$DE$4:$EG$142)</f>
        <v>2.4540000000000002</v>
      </c>
      <c r="DJ13" s="48">
        <f t="shared" ca="1" si="18"/>
        <v>50</v>
      </c>
      <c r="DK13" s="55">
        <f t="shared" ca="1" si="19"/>
        <v>2.4449999999999998</v>
      </c>
      <c r="DL13" s="48" t="str">
        <f t="shared" ca="1" si="20"/>
        <v>6116</v>
      </c>
      <c r="DM13" s="48">
        <f ca="1">SUMIF(FCR!$BZ$4:$DB$142,DL13,FCR!$DE$4:$EG$142)</f>
        <v>2.4430000000000001</v>
      </c>
      <c r="DN13" s="53">
        <f t="shared" ca="1" si="21"/>
        <v>0</v>
      </c>
      <c r="DO13" s="55">
        <f t="shared" ca="1" si="22"/>
        <v>2.4359999999999999</v>
      </c>
      <c r="DP13" s="55">
        <f t="shared" ca="1" si="23"/>
        <v>2.4409999999999998</v>
      </c>
      <c r="DQ13" s="55"/>
      <c r="DR13" s="55">
        <f t="shared" ca="1" si="24"/>
        <v>2.4409999999999998</v>
      </c>
      <c r="DS13" s="55">
        <f t="shared" ca="1" si="49"/>
        <v>0</v>
      </c>
      <c r="DT13" s="53">
        <f t="shared" ca="1" si="50"/>
        <v>48</v>
      </c>
      <c r="DU13" s="59">
        <f t="shared" ca="1" si="25"/>
        <v>1.6</v>
      </c>
    </row>
    <row r="14" spans="1:125" ht="15">
      <c r="A14">
        <v>10</v>
      </c>
      <c r="B14" t="s">
        <v>332</v>
      </c>
      <c r="C14">
        <v>10</v>
      </c>
      <c r="D14" t="s">
        <v>322</v>
      </c>
      <c r="E14">
        <v>3000</v>
      </c>
      <c r="F14">
        <v>19500</v>
      </c>
      <c r="G14">
        <v>759752</v>
      </c>
      <c r="H14">
        <v>48</v>
      </c>
      <c r="I14">
        <v>2952</v>
      </c>
      <c r="J14">
        <v>339480</v>
      </c>
      <c r="K14" s="105">
        <v>43961</v>
      </c>
      <c r="L14" s="105">
        <v>43961</v>
      </c>
      <c r="M14"/>
      <c r="N14"/>
      <c r="AC14" s="129" t="str">
        <f t="shared" ca="1" si="26"/>
        <v>Xem chi tiết</v>
      </c>
      <c r="AD14" s="104" t="str">
        <f t="shared" ca="1" si="27"/>
        <v>10</v>
      </c>
      <c r="AE14" s="49" t="s">
        <v>337</v>
      </c>
      <c r="AF14" s="28" t="s">
        <v>337</v>
      </c>
      <c r="AG14" s="104">
        <f t="shared" ca="1" si="28"/>
        <v>3000</v>
      </c>
      <c r="AH14" s="104">
        <f t="shared" ca="1" si="29"/>
        <v>6.5</v>
      </c>
      <c r="AI14" s="104">
        <f t="shared" ca="1" si="30"/>
        <v>19500</v>
      </c>
      <c r="AJ14" s="104">
        <f t="shared" ca="1" si="31"/>
        <v>48</v>
      </c>
      <c r="AK14" s="104">
        <f t="shared" ca="1" si="32"/>
        <v>1.6</v>
      </c>
      <c r="AL14" s="104">
        <f t="shared" ca="1" si="33"/>
        <v>2952</v>
      </c>
      <c r="AM14" s="104">
        <f t="shared" ca="1" si="34"/>
        <v>115</v>
      </c>
      <c r="AN14" s="104">
        <f t="shared" ca="1" si="35"/>
        <v>339480</v>
      </c>
      <c r="AO14" s="104">
        <f t="shared" ca="1" si="36"/>
        <v>319980</v>
      </c>
      <c r="AP14" s="49">
        <f t="shared" ca="1" si="37"/>
        <v>759752</v>
      </c>
      <c r="AQ14" s="104">
        <f t="shared" ca="1" si="38"/>
        <v>257.39999999999998</v>
      </c>
      <c r="AR14" s="104">
        <f t="shared" ca="1" si="39"/>
        <v>2.3740000000000001</v>
      </c>
      <c r="AS14" s="104">
        <f t="shared" ca="1" si="40"/>
        <v>2.4409999999999998</v>
      </c>
      <c r="AT14" s="104">
        <f t="shared" ca="1" si="41"/>
        <v>-6.7000000000000004E-2</v>
      </c>
      <c r="BE14" s="49">
        <f t="shared" ca="1" si="0"/>
        <v>3000</v>
      </c>
      <c r="BF14" s="49">
        <f t="shared" ca="1" si="1"/>
        <v>19500</v>
      </c>
      <c r="BG14" s="54">
        <f t="shared" ca="1" si="2"/>
        <v>6.5</v>
      </c>
      <c r="BH14" s="112">
        <f t="shared" ca="1" si="42"/>
        <v>0</v>
      </c>
      <c r="BJ14" s="55">
        <f t="shared" ca="1" si="43"/>
        <v>2.3743733983373962</v>
      </c>
      <c r="BK14" s="55">
        <f t="shared" ca="1" si="3"/>
        <v>2.4409999999999998</v>
      </c>
      <c r="BL14" s="55">
        <f t="shared" ca="1" si="44"/>
        <v>-6.6626601662603591E-2</v>
      </c>
      <c r="BM14" s="53">
        <f t="shared" ca="1" si="4"/>
        <v>759752</v>
      </c>
      <c r="BN14" s="112">
        <f t="shared" ca="1" si="5"/>
        <v>0</v>
      </c>
      <c r="BQ14" s="53">
        <f t="shared" ca="1" si="45"/>
        <v>0</v>
      </c>
      <c r="BR14" s="53">
        <f t="shared" ca="1" si="6"/>
        <v>2952</v>
      </c>
      <c r="BS14" s="53">
        <f t="shared" ca="1" si="7"/>
        <v>339480</v>
      </c>
      <c r="BT14" s="56">
        <f t="shared" ca="1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ca="1" si="9"/>
        <v>3000</v>
      </c>
      <c r="CV14" s="53">
        <f t="shared" ca="1" si="9"/>
        <v>19500</v>
      </c>
      <c r="CW14" s="58">
        <f t="shared" ca="1" si="10"/>
        <v>6.5</v>
      </c>
      <c r="CX14" s="53">
        <f t="shared" ca="1" si="47"/>
        <v>2952</v>
      </c>
      <c r="CY14" s="53">
        <f t="shared" ca="1" si="47"/>
        <v>339480</v>
      </c>
      <c r="CZ14" s="58">
        <f t="shared" ca="1" si="48"/>
        <v>115</v>
      </c>
      <c r="DA14" s="48" t="str">
        <f t="shared" ca="1" si="11"/>
        <v>115</v>
      </c>
      <c r="DB14" s="48">
        <f t="shared" ca="1" si="12"/>
        <v>116</v>
      </c>
      <c r="DC14" s="48" t="str">
        <f t="shared" ca="1" si="13"/>
        <v>6.</v>
      </c>
      <c r="DD14" s="48">
        <f t="shared" ca="1" si="14"/>
        <v>6</v>
      </c>
      <c r="DE14" s="48">
        <f t="shared" ca="1" si="15"/>
        <v>7</v>
      </c>
      <c r="DF14" s="48" t="str">
        <f t="shared" ca="1" si="16"/>
        <v>6115</v>
      </c>
      <c r="DG14" s="48">
        <f ca="1">SUMIF(FCR!$BZ$4:$DB$500,DF14,FCR!$DE$4:$EG$500)</f>
        <v>2.4359999999999999</v>
      </c>
      <c r="DH14" s="48" t="str">
        <f t="shared" ca="1" si="17"/>
        <v>7115</v>
      </c>
      <c r="DI14" s="48">
        <f ca="1">SUMIF(FCR!$BZ$4:$DB$142,DH14,FCR!$DE$4:$EG$142)</f>
        <v>2.4540000000000002</v>
      </c>
      <c r="DJ14" s="48">
        <f t="shared" ca="1" si="18"/>
        <v>50</v>
      </c>
      <c r="DK14" s="55">
        <f t="shared" ca="1" si="19"/>
        <v>2.4449999999999998</v>
      </c>
      <c r="DL14" s="48" t="str">
        <f t="shared" ca="1" si="20"/>
        <v>6116</v>
      </c>
      <c r="DM14" s="48">
        <f ca="1">SUMIF(FCR!$BZ$4:$DB$142,DL14,FCR!$DE$4:$EG$142)</f>
        <v>2.4430000000000001</v>
      </c>
      <c r="DN14" s="53">
        <f t="shared" ca="1" si="21"/>
        <v>0</v>
      </c>
      <c r="DO14" s="55">
        <f t="shared" ca="1" si="22"/>
        <v>2.4359999999999999</v>
      </c>
      <c r="DP14" s="55">
        <f t="shared" ca="1" si="23"/>
        <v>2.4409999999999998</v>
      </c>
      <c r="DQ14" s="55"/>
      <c r="DR14" s="55">
        <f t="shared" ca="1" si="24"/>
        <v>2.4409999999999998</v>
      </c>
      <c r="DS14" s="55">
        <f t="shared" ca="1" si="49"/>
        <v>0</v>
      </c>
      <c r="DT14" s="53">
        <f t="shared" ca="1" si="50"/>
        <v>48</v>
      </c>
      <c r="DU14" s="59">
        <f t="shared" ca="1" si="25"/>
        <v>1.6</v>
      </c>
    </row>
    <row r="15" spans="1:125" ht="15">
      <c r="A15">
        <v>11</v>
      </c>
      <c r="B15" t="s">
        <v>333</v>
      </c>
      <c r="C15">
        <v>11</v>
      </c>
      <c r="D15" t="s">
        <v>322</v>
      </c>
      <c r="E15">
        <v>2991</v>
      </c>
      <c r="F15">
        <v>19937</v>
      </c>
      <c r="G15">
        <v>737272</v>
      </c>
      <c r="H15">
        <v>39</v>
      </c>
      <c r="I15">
        <v>2952</v>
      </c>
      <c r="J15">
        <v>339480</v>
      </c>
      <c r="K15" s="105">
        <v>43991</v>
      </c>
      <c r="L15" s="105">
        <v>43991</v>
      </c>
      <c r="M15"/>
      <c r="N15"/>
      <c r="AC15" s="129" t="str">
        <f t="shared" ca="1" si="26"/>
        <v>Xem chi tiết</v>
      </c>
      <c r="AD15" s="104" t="str">
        <f t="shared" ca="1" si="27"/>
        <v>11</v>
      </c>
      <c r="AE15" s="49" t="s">
        <v>337</v>
      </c>
      <c r="AF15" s="28" t="s">
        <v>337</v>
      </c>
      <c r="AG15" s="104">
        <f t="shared" ca="1" si="28"/>
        <v>2991</v>
      </c>
      <c r="AH15" s="104">
        <f t="shared" ca="1" si="29"/>
        <v>6.7</v>
      </c>
      <c r="AI15" s="104">
        <f t="shared" ca="1" si="30"/>
        <v>19937</v>
      </c>
      <c r="AJ15" s="104">
        <f t="shared" ca="1" si="31"/>
        <v>39</v>
      </c>
      <c r="AK15" s="104">
        <f t="shared" ca="1" si="32"/>
        <v>1.3</v>
      </c>
      <c r="AL15" s="104">
        <f t="shared" ca="1" si="33"/>
        <v>2952</v>
      </c>
      <c r="AM15" s="104">
        <f t="shared" ca="1" si="34"/>
        <v>115</v>
      </c>
      <c r="AN15" s="104">
        <f t="shared" ca="1" si="35"/>
        <v>339480</v>
      </c>
      <c r="AO15" s="104">
        <f t="shared" ca="1" si="36"/>
        <v>319543</v>
      </c>
      <c r="AP15" s="49">
        <f t="shared" ca="1" si="37"/>
        <v>737272</v>
      </c>
      <c r="AQ15" s="104">
        <f t="shared" ca="1" si="38"/>
        <v>249.8</v>
      </c>
      <c r="AR15" s="104">
        <f t="shared" ca="1" si="39"/>
        <v>2.3069999999999999</v>
      </c>
      <c r="AS15" s="104">
        <f t="shared" ca="1" si="40"/>
        <v>2.4420000000000002</v>
      </c>
      <c r="AT15" s="104">
        <f t="shared" ca="1" si="41"/>
        <v>-0.13500000000000001</v>
      </c>
      <c r="BE15" s="49">
        <f t="shared" ca="1" si="0"/>
        <v>2991</v>
      </c>
      <c r="BF15" s="49">
        <f t="shared" ca="1" si="1"/>
        <v>19937</v>
      </c>
      <c r="BG15" s="54">
        <f t="shared" ca="1" si="2"/>
        <v>6.6656636576395858</v>
      </c>
      <c r="BH15" s="112">
        <f t="shared" ca="1" si="42"/>
        <v>0</v>
      </c>
      <c r="BJ15" s="55">
        <f t="shared" ca="1" si="43"/>
        <v>2.3072700700688169</v>
      </c>
      <c r="BK15" s="55">
        <f t="shared" ca="1" si="3"/>
        <v>2.4420000000000002</v>
      </c>
      <c r="BL15" s="55">
        <f t="shared" ca="1" si="44"/>
        <v>-0.13472992993118327</v>
      </c>
      <c r="BM15" s="53">
        <f t="shared" ca="1" si="4"/>
        <v>737272</v>
      </c>
      <c r="BN15" s="112">
        <f t="shared" ca="1" si="5"/>
        <v>0</v>
      </c>
      <c r="BQ15" s="53">
        <f t="shared" ca="1" si="45"/>
        <v>0</v>
      </c>
      <c r="BR15" s="53">
        <f t="shared" ca="1" si="6"/>
        <v>2952</v>
      </c>
      <c r="BS15" s="53">
        <f t="shared" ca="1" si="7"/>
        <v>339480</v>
      </c>
      <c r="BT15" s="56">
        <f t="shared" ca="1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ca="1" si="9"/>
        <v>2991</v>
      </c>
      <c r="CV15" s="53">
        <f t="shared" ca="1" si="9"/>
        <v>19937</v>
      </c>
      <c r="CW15" s="58">
        <f t="shared" ca="1" si="10"/>
        <v>6.67</v>
      </c>
      <c r="CX15" s="53">
        <f t="shared" ca="1" si="47"/>
        <v>2952</v>
      </c>
      <c r="CY15" s="53">
        <f t="shared" ca="1" si="47"/>
        <v>339480</v>
      </c>
      <c r="CZ15" s="58">
        <f t="shared" ca="1" si="48"/>
        <v>115</v>
      </c>
      <c r="DA15" s="48" t="str">
        <f t="shared" ca="1" si="11"/>
        <v>115</v>
      </c>
      <c r="DB15" s="48">
        <f t="shared" ca="1" si="12"/>
        <v>116</v>
      </c>
      <c r="DC15" s="48" t="str">
        <f t="shared" ca="1" si="13"/>
        <v>6.</v>
      </c>
      <c r="DD15" s="48">
        <f t="shared" ca="1" si="14"/>
        <v>6</v>
      </c>
      <c r="DE15" s="48">
        <f t="shared" ca="1" si="15"/>
        <v>7</v>
      </c>
      <c r="DF15" s="48" t="str">
        <f t="shared" ca="1" si="16"/>
        <v>6115</v>
      </c>
      <c r="DG15" s="48">
        <f ca="1">SUMIF(FCR!$BZ$4:$DB$500,DF15,FCR!$DE$4:$EG$500)</f>
        <v>2.4359999999999999</v>
      </c>
      <c r="DH15" s="48" t="str">
        <f t="shared" ca="1" si="17"/>
        <v>7115</v>
      </c>
      <c r="DI15" s="48">
        <f ca="1">SUMIF(FCR!$BZ$4:$DB$142,DH15,FCR!$DE$4:$EG$142)</f>
        <v>2.4540000000000002</v>
      </c>
      <c r="DJ15" s="48">
        <f t="shared" ca="1" si="18"/>
        <v>67</v>
      </c>
      <c r="DK15" s="55">
        <f t="shared" ca="1" si="19"/>
        <v>2.448</v>
      </c>
      <c r="DL15" s="48" t="str">
        <f t="shared" ca="1" si="20"/>
        <v>6116</v>
      </c>
      <c r="DM15" s="48">
        <f ca="1">SUMIF(FCR!$BZ$4:$DB$142,DL15,FCR!$DE$4:$EG$142)</f>
        <v>2.4430000000000001</v>
      </c>
      <c r="DN15" s="53">
        <f t="shared" ca="1" si="21"/>
        <v>0</v>
      </c>
      <c r="DO15" s="55">
        <f t="shared" ca="1" si="22"/>
        <v>2.4359999999999999</v>
      </c>
      <c r="DP15" s="55">
        <f t="shared" ca="1" si="23"/>
        <v>2.4420000000000002</v>
      </c>
      <c r="DQ15" s="55"/>
      <c r="DR15" s="55">
        <f t="shared" ca="1" si="24"/>
        <v>2.4420000000000002</v>
      </c>
      <c r="DS15" s="55">
        <f t="shared" ca="1" si="49"/>
        <v>0</v>
      </c>
      <c r="DT15" s="53">
        <f t="shared" ca="1" si="50"/>
        <v>39</v>
      </c>
      <c r="DU15" s="59">
        <f t="shared" ca="1" si="25"/>
        <v>1.3</v>
      </c>
    </row>
    <row r="16" spans="1:125" ht="15">
      <c r="A16">
        <v>12</v>
      </c>
      <c r="B16" t="s">
        <v>334</v>
      </c>
      <c r="C16"/>
      <c r="D16"/>
      <c r="E16"/>
      <c r="F16"/>
      <c r="G16"/>
      <c r="H16"/>
      <c r="I16"/>
      <c r="J16"/>
      <c r="K16" s="105"/>
      <c r="L16" s="105"/>
      <c r="M16"/>
      <c r="N16"/>
      <c r="AC16" s="129" t="str">
        <f t="shared" ca="1" si="26"/>
        <v/>
      </c>
      <c r="AD16" s="104" t="str">
        <f t="shared" ca="1" si="27"/>
        <v>12</v>
      </c>
      <c r="AE16" s="49" t="s">
        <v>337</v>
      </c>
      <c r="AF16" s="28" t="s">
        <v>337</v>
      </c>
      <c r="AG16" s="104">
        <f t="shared" ca="1" si="28"/>
        <v>0</v>
      </c>
      <c r="AH16" s="104">
        <f t="shared" ca="1" si="29"/>
        <v>0</v>
      </c>
      <c r="AI16" s="104">
        <f t="shared" ca="1" si="30"/>
        <v>0</v>
      </c>
      <c r="AJ16" s="104">
        <f t="shared" ca="1" si="31"/>
        <v>0</v>
      </c>
      <c r="AK16" s="104">
        <f t="shared" ca="1" si="32"/>
        <v>0</v>
      </c>
      <c r="AL16" s="104">
        <f t="shared" ca="1" si="33"/>
        <v>0</v>
      </c>
      <c r="AM16" s="104">
        <f t="shared" ca="1" si="34"/>
        <v>0</v>
      </c>
      <c r="AN16" s="104">
        <f t="shared" ca="1" si="35"/>
        <v>0</v>
      </c>
      <c r="AO16" s="104">
        <f t="shared" ca="1" si="36"/>
        <v>0</v>
      </c>
      <c r="AP16" s="49">
        <f t="shared" ca="1" si="37"/>
        <v>0</v>
      </c>
      <c r="AQ16" s="104">
        <f t="shared" ca="1" si="38"/>
        <v>0</v>
      </c>
      <c r="AR16" s="104">
        <f t="shared" ca="1" si="39"/>
        <v>0</v>
      </c>
      <c r="AS16" s="104">
        <f t="shared" ca="1" si="40"/>
        <v>0</v>
      </c>
      <c r="AT16" s="104">
        <f t="shared" ca="1" si="41"/>
        <v>0</v>
      </c>
      <c r="BE16" s="49">
        <f t="shared" ca="1" si="0"/>
        <v>0</v>
      </c>
      <c r="BF16" s="49">
        <f t="shared" ca="1" si="1"/>
        <v>0</v>
      </c>
      <c r="BG16" s="54" t="e">
        <f t="shared" ca="1" si="2"/>
        <v>#DIV/0!</v>
      </c>
      <c r="BH16" s="112" t="e">
        <f t="shared" ca="1" si="42"/>
        <v>#DIV/0!</v>
      </c>
      <c r="BJ16" s="55" t="e">
        <f t="shared" ca="1" si="43"/>
        <v>#DIV/0!</v>
      </c>
      <c r="BK16" s="55" t="e">
        <f t="shared" ca="1" si="3"/>
        <v>#DIV/0!</v>
      </c>
      <c r="BL16" s="55" t="e">
        <f t="shared" ca="1" si="44"/>
        <v>#DIV/0!</v>
      </c>
      <c r="BM16" s="53">
        <f t="shared" ca="1" si="4"/>
        <v>0</v>
      </c>
      <c r="BN16" s="112" t="e">
        <f t="shared" ca="1" si="5"/>
        <v>#DIV/0!</v>
      </c>
      <c r="BQ16" s="53" t="e">
        <f t="shared" ca="1" si="45"/>
        <v>#DIV/0!</v>
      </c>
      <c r="BR16" s="53">
        <f t="shared" ca="1" si="6"/>
        <v>0</v>
      </c>
      <c r="BS16" s="53">
        <f t="shared" ca="1" si="7"/>
        <v>0</v>
      </c>
      <c r="BT16" s="56" t="e">
        <f t="shared" ca="1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ca="1" si="9"/>
        <v>0</v>
      </c>
      <c r="CV16" s="53">
        <f t="shared" ca="1" si="9"/>
        <v>0</v>
      </c>
      <c r="CW16" s="58" t="e">
        <f t="shared" ca="1" si="10"/>
        <v>#DIV/0!</v>
      </c>
      <c r="CX16" s="53">
        <f t="shared" ca="1" si="47"/>
        <v>0</v>
      </c>
      <c r="CY16" s="53">
        <f t="shared" ca="1" si="47"/>
        <v>0</v>
      </c>
      <c r="CZ16" s="58" t="e">
        <f t="shared" ca="1" si="48"/>
        <v>#DIV/0!</v>
      </c>
      <c r="DA16" s="48" t="e">
        <f t="shared" ca="1" si="11"/>
        <v>#DIV/0!</v>
      </c>
      <c r="DB16" s="48" t="e">
        <f t="shared" ca="1" si="12"/>
        <v>#DIV/0!</v>
      </c>
      <c r="DC16" s="48" t="e">
        <f t="shared" ca="1" si="13"/>
        <v>#DIV/0!</v>
      </c>
      <c r="DD16" s="48" t="e">
        <f t="shared" ca="1" si="14"/>
        <v>#DIV/0!</v>
      </c>
      <c r="DE16" s="48" t="e">
        <f t="shared" ca="1" si="15"/>
        <v>#DIV/0!</v>
      </c>
      <c r="DF16" s="48" t="e">
        <f t="shared" ca="1" si="16"/>
        <v>#DIV/0!</v>
      </c>
      <c r="DG16" s="48">
        <f ca="1">SUMIF(FCR!$BZ$4:$DB$500,DF16,FCR!$DE$4:$EG$500)</f>
        <v>0</v>
      </c>
      <c r="DH16" s="48" t="e">
        <f t="shared" ca="1" si="17"/>
        <v>#DIV/0!</v>
      </c>
      <c r="DI16" s="48">
        <f ca="1">SUMIF(FCR!$BZ$4:$DB$142,DH16,FCR!$DE$4:$EG$142)</f>
        <v>0</v>
      </c>
      <c r="DJ16" s="48" t="e">
        <f t="shared" ca="1" si="18"/>
        <v>#DIV/0!</v>
      </c>
      <c r="DK16" s="55" t="e">
        <f t="shared" ca="1" si="19"/>
        <v>#DIV/0!</v>
      </c>
      <c r="DL16" s="48" t="e">
        <f t="shared" ca="1" si="20"/>
        <v>#DIV/0!</v>
      </c>
      <c r="DM16" s="48">
        <f ca="1">SUMIF(FCR!$BZ$4:$DB$142,DL16,FCR!$DE$4:$EG$142)</f>
        <v>0</v>
      </c>
      <c r="DN16" s="53" t="e">
        <f t="shared" ca="1" si="21"/>
        <v>#DIV/0!</v>
      </c>
      <c r="DO16" s="55" t="e">
        <f t="shared" ca="1" si="22"/>
        <v>#DIV/0!</v>
      </c>
      <c r="DP16" s="55" t="e">
        <f t="shared" ca="1" si="23"/>
        <v>#DIV/0!</v>
      </c>
      <c r="DQ16" s="55"/>
      <c r="DR16" s="55" t="e">
        <f t="shared" ca="1" si="24"/>
        <v>#DIV/0!</v>
      </c>
      <c r="DS16" s="55" t="e">
        <f t="shared" ca="1" si="49"/>
        <v>#DIV/0!</v>
      </c>
      <c r="DT16" s="53">
        <f t="shared" ca="1" si="50"/>
        <v>0</v>
      </c>
      <c r="DU16" s="59" t="e">
        <f t="shared" ca="1" si="25"/>
        <v>#DIV/0!</v>
      </c>
    </row>
    <row r="17" spans="1:125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AC17" s="104" t="s">
        <v>337</v>
      </c>
      <c r="AD17" s="104" t="s">
        <v>335</v>
      </c>
      <c r="AE17" s="49" t="s">
        <v>337</v>
      </c>
      <c r="AF17" s="28" t="s">
        <v>337</v>
      </c>
      <c r="AG17" s="104">
        <f ca="1">+SUM(AG5:AG16)</f>
        <v>11991</v>
      </c>
      <c r="AH17" s="104">
        <f ca="1">IFERROR(ROUND(AI17/AG17,1),0)</f>
        <v>6.5</v>
      </c>
      <c r="AI17" s="104">
        <f ca="1">+SUM(AI5:AI16)</f>
        <v>78437</v>
      </c>
      <c r="AJ17" s="104">
        <f ca="1">+SUM(AJ5:AJ16)</f>
        <v>183</v>
      </c>
      <c r="AK17" s="104">
        <f ca="1">+IFERROR(ROUND(AJ17/AG17*100,1),0)</f>
        <v>1.5</v>
      </c>
      <c r="AL17" s="104">
        <f ca="1">+SUM(AL5:AL16)</f>
        <v>11808</v>
      </c>
      <c r="AM17" s="104">
        <f ca="1">+IFERROR(ROUND(AN17/AL17,1),0)</f>
        <v>115</v>
      </c>
      <c r="AN17" s="104">
        <f ca="1">+SUM(AN5:AN16)</f>
        <v>1357920</v>
      </c>
      <c r="AO17" s="104">
        <f ca="1">+SUM(AO5:AO16)</f>
        <v>1279483</v>
      </c>
      <c r="AP17" s="104">
        <f ca="1">+ROUND(SUM(AP5:AP16),0)</f>
        <v>3016528</v>
      </c>
      <c r="AQ17" s="104">
        <f ca="1">+IFERROR(ROUND(AP17/AL17,1),0)</f>
        <v>255.5</v>
      </c>
      <c r="AR17" s="104">
        <f ca="1">+ROUND(IFERROR(BJ17,0),3)</f>
        <v>2.3580000000000001</v>
      </c>
      <c r="AS17" s="104">
        <f ca="1">+ROUND(IFERROR(BK17,0),3)</f>
        <v>2.4409999999999998</v>
      </c>
      <c r="AT17" s="104">
        <f ca="1">+ROUND(IFERROR(BL17,0),3)</f>
        <v>-8.3000000000000004E-2</v>
      </c>
      <c r="BE17" s="49">
        <f ca="1">+SUM(BE5:BE16)</f>
        <v>11991</v>
      </c>
      <c r="BF17" s="49">
        <f ca="1">+SUM(BF5:BF16)</f>
        <v>78437</v>
      </c>
      <c r="BG17" s="54">
        <f ca="1">+BF17/BE17</f>
        <v>6.5413226586606621</v>
      </c>
      <c r="BH17" s="112">
        <f t="shared" ca="1" si="42"/>
        <v>0</v>
      </c>
      <c r="BJ17" s="55">
        <f ca="1">BM17/(BS17-BF17)</f>
        <v>2.3576147553347719</v>
      </c>
      <c r="BK17" s="55">
        <f t="shared" ca="1" si="3"/>
        <v>2.4409999999999998</v>
      </c>
      <c r="BL17" s="55">
        <f t="shared" ca="1" si="44"/>
        <v>-8.3385244665227898E-2</v>
      </c>
      <c r="BM17" s="53">
        <f ca="1">+SUM(BM5:BM16)</f>
        <v>3016528</v>
      </c>
      <c r="BN17" s="112">
        <f t="shared" ca="1" si="5"/>
        <v>0</v>
      </c>
      <c r="BQ17" s="53">
        <f t="shared" ca="1" si="45"/>
        <v>0</v>
      </c>
      <c r="BR17" s="53">
        <f ca="1">+SUM(BR5:BR16)</f>
        <v>11808</v>
      </c>
      <c r="BS17" s="53">
        <f ca="1">+SUM(BS5:BS16)</f>
        <v>1357920</v>
      </c>
      <c r="BT17" s="56">
        <f ca="1"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ca="1" si="9"/>
        <v>11991</v>
      </c>
      <c r="CV17" s="53">
        <f ca="1">BF17</f>
        <v>78437</v>
      </c>
      <c r="CW17" s="58">
        <f t="shared" ca="1" si="10"/>
        <v>6.54</v>
      </c>
      <c r="CX17" s="53">
        <f t="shared" ca="1" si="47"/>
        <v>11808</v>
      </c>
      <c r="CY17" s="53">
        <f t="shared" ca="1" si="47"/>
        <v>1357920</v>
      </c>
      <c r="CZ17" s="58">
        <f t="shared" ca="1" si="48"/>
        <v>115</v>
      </c>
      <c r="DA17" s="48" t="str">
        <f t="shared" ca="1" si="11"/>
        <v>115</v>
      </c>
      <c r="DB17" s="48">
        <f t="shared" ca="1" si="12"/>
        <v>116</v>
      </c>
      <c r="DC17" s="48" t="str">
        <f t="shared" ca="1" si="13"/>
        <v>6.</v>
      </c>
      <c r="DD17" s="48">
        <f t="shared" ca="1" si="14"/>
        <v>6</v>
      </c>
      <c r="DE17" s="48">
        <f t="shared" ca="1" si="15"/>
        <v>7</v>
      </c>
      <c r="DF17" s="48" t="str">
        <f t="shared" ca="1" si="16"/>
        <v>6115</v>
      </c>
      <c r="DG17" s="48">
        <f ca="1">SUMIF(FCR!$BZ$4:$DB$500,DF17,FCR!$DE$4:$EG$500)</f>
        <v>2.4359999999999999</v>
      </c>
      <c r="DH17" s="48" t="str">
        <f t="shared" ca="1" si="17"/>
        <v>7115</v>
      </c>
      <c r="DI17" s="48">
        <f ca="1">SUMIF(FCR!$BZ$4:$DB$142,DH17,FCR!$DE$4:$EG$142)</f>
        <v>2.4540000000000002</v>
      </c>
      <c r="DJ17" s="48">
        <f t="shared" ca="1" si="18"/>
        <v>54</v>
      </c>
      <c r="DK17" s="55">
        <f t="shared" ca="1" si="19"/>
        <v>2.4460000000000002</v>
      </c>
      <c r="DL17" s="48" t="str">
        <f t="shared" ca="1" si="20"/>
        <v>6116</v>
      </c>
      <c r="DM17" s="48">
        <f ca="1">SUMIF(FCR!$BZ$4:$DB$142,DL17,FCR!$DE$4:$EG$142)</f>
        <v>2.4430000000000001</v>
      </c>
      <c r="DN17" s="53">
        <f t="shared" ca="1" si="21"/>
        <v>0</v>
      </c>
      <c r="DO17" s="55">
        <f t="shared" ca="1" si="22"/>
        <v>2.4359999999999999</v>
      </c>
      <c r="DP17" s="55">
        <f t="shared" ca="1" si="23"/>
        <v>2.4409999999999998</v>
      </c>
      <c r="DQ17" s="55"/>
      <c r="DR17" s="55">
        <f t="shared" ca="1" si="24"/>
        <v>2.4409999999999998</v>
      </c>
      <c r="DS17" s="55">
        <f t="shared" ca="1" si="49"/>
        <v>0</v>
      </c>
      <c r="DT17" s="53">
        <f t="shared" ca="1" si="50"/>
        <v>183</v>
      </c>
      <c r="DU17" s="59">
        <f t="shared" ca="1" si="25"/>
        <v>1.53</v>
      </c>
    </row>
    <row r="18" spans="1:125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1:125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1:125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1:125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zoomScaleNormal="100" zoomScaleSheetLayoutView="100" workbookViewId="0">
      <selection activeCell="J18" sqref="J18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1" t="s">
        <v>339</v>
      </c>
      <c r="B1" s="142" t="s">
        <v>14</v>
      </c>
      <c r="C1" s="153" t="s">
        <v>15</v>
      </c>
      <c r="D1" s="154" t="s">
        <v>16</v>
      </c>
      <c r="E1" s="152" t="s">
        <v>321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3" t="s">
        <v>21</v>
      </c>
      <c r="BG1" s="143"/>
      <c r="BH1" s="143"/>
      <c r="BI1" s="143"/>
      <c r="BJ1" s="143"/>
      <c r="BK1" s="143" t="s">
        <v>22</v>
      </c>
      <c r="BL1" s="143"/>
      <c r="BM1" s="143"/>
      <c r="BN1" s="143"/>
      <c r="BO1" s="143"/>
      <c r="BP1" s="143"/>
      <c r="BQ1" s="146" t="s">
        <v>23</v>
      </c>
      <c r="BR1" s="143" t="s">
        <v>24</v>
      </c>
      <c r="BS1" s="143" t="s">
        <v>25</v>
      </c>
      <c r="BT1" s="147" t="s">
        <v>26</v>
      </c>
      <c r="BU1" s="148" t="s">
        <v>27</v>
      </c>
      <c r="BV1" s="143" t="s">
        <v>28</v>
      </c>
      <c r="BW1" s="143" t="s">
        <v>29</v>
      </c>
      <c r="BX1" s="143" t="s">
        <v>30</v>
      </c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5" t="s">
        <v>39</v>
      </c>
      <c r="DE1" s="145"/>
      <c r="DF1" s="145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1"/>
      <c r="B2" s="142"/>
      <c r="C2" s="153"/>
      <c r="D2" s="154"/>
      <c r="E2" s="152"/>
      <c r="F2" s="119" t="s">
        <v>56</v>
      </c>
      <c r="G2" s="117" t="s">
        <v>319</v>
      </c>
      <c r="H2" s="119" t="s">
        <v>316</v>
      </c>
      <c r="I2" s="119" t="s">
        <v>317</v>
      </c>
      <c r="J2" s="119" t="s">
        <v>318</v>
      </c>
      <c r="K2" s="119" t="s">
        <v>320</v>
      </c>
      <c r="L2" s="144" t="s">
        <v>18</v>
      </c>
      <c r="M2" s="144" t="s">
        <v>19</v>
      </c>
      <c r="N2" s="146" t="s">
        <v>17</v>
      </c>
      <c r="O2" s="143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6"/>
      <c r="BR2" s="143"/>
      <c r="BS2" s="143"/>
      <c r="BT2" s="147"/>
      <c r="BU2" s="148"/>
      <c r="BV2" s="143"/>
      <c r="BW2" s="143"/>
      <c r="BX2" s="146" t="s">
        <v>86</v>
      </c>
      <c r="BY2" s="146"/>
      <c r="BZ2" s="146" t="s">
        <v>87</v>
      </c>
      <c r="CA2" s="146"/>
      <c r="CB2" s="146" t="s">
        <v>88</v>
      </c>
      <c r="CC2" s="146"/>
      <c r="CD2" s="146" t="s">
        <v>89</v>
      </c>
      <c r="CE2" s="146"/>
      <c r="CF2" s="146" t="s">
        <v>90</v>
      </c>
      <c r="CG2" s="146"/>
      <c r="CH2" s="149" t="s">
        <v>91</v>
      </c>
      <c r="CI2" s="146"/>
      <c r="CJ2" s="149" t="s">
        <v>92</v>
      </c>
      <c r="CK2" s="146"/>
      <c r="CL2" s="149">
        <v>962</v>
      </c>
      <c r="CM2" s="146"/>
      <c r="CN2" s="146">
        <v>972</v>
      </c>
      <c r="CO2" s="146"/>
      <c r="CP2" s="146">
        <v>972</v>
      </c>
      <c r="CQ2" s="146"/>
      <c r="CR2" s="146">
        <v>982</v>
      </c>
      <c r="CS2" s="146"/>
      <c r="CT2" s="150" t="s">
        <v>93</v>
      </c>
      <c r="CU2" s="150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4"/>
      <c r="M3" s="144"/>
      <c r="N3" s="146"/>
      <c r="O3" s="143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 ca="1"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340</v>
      </c>
      <c r="AE4" s="38" t="s">
        <v>339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326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>
        <v>10</v>
      </c>
      <c r="B5" t="s">
        <v>322</v>
      </c>
      <c r="C5" t="s">
        <v>379</v>
      </c>
      <c r="D5" t="s">
        <v>391</v>
      </c>
      <c r="E5" t="s">
        <v>392</v>
      </c>
      <c r="F5">
        <v>1000</v>
      </c>
      <c r="G5">
        <v>6500</v>
      </c>
      <c r="H5">
        <v>247951</v>
      </c>
      <c r="I5">
        <v>18</v>
      </c>
      <c r="J5">
        <v>982</v>
      </c>
      <c r="K5">
        <v>112930</v>
      </c>
      <c r="L5" s="105">
        <v>43961</v>
      </c>
      <c r="M5" s="105">
        <v>43961</v>
      </c>
      <c r="N5"/>
      <c r="O5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337</v>
      </c>
      <c r="AE5" s="49">
        <f ca="1">+A5</f>
        <v>10</v>
      </c>
      <c r="AF5" s="49" t="str">
        <f ca="1">+C5</f>
        <v>1.Gia bình</v>
      </c>
      <c r="AG5" s="114" t="str">
        <f ca="1">+D5</f>
        <v>5.Thịt 5</v>
      </c>
      <c r="AH5" s="104">
        <f ca="1">+BF5</f>
        <v>1000</v>
      </c>
      <c r="AI5" s="104">
        <f ca="1">+ROUND(IFERROR(BH5,0),1)</f>
        <v>6.5</v>
      </c>
      <c r="AJ5" s="104">
        <f ca="1">+BG5</f>
        <v>6500</v>
      </c>
      <c r="AK5" s="104">
        <f ca="1">+DU5</f>
        <v>18</v>
      </c>
      <c r="AL5" s="104">
        <f ca="1">+ROUND(IFERROR(DV5,0),1)</f>
        <v>1.8</v>
      </c>
      <c r="AM5" s="104">
        <f ca="1">+BS5</f>
        <v>982</v>
      </c>
      <c r="AN5" s="104">
        <f ca="1">+ROUND(IFERROR(DA5,0),1)</f>
        <v>115</v>
      </c>
      <c r="AO5" s="104">
        <f ca="1">+BT5</f>
        <v>112930</v>
      </c>
      <c r="AP5" s="104">
        <f ca="1">+AO5-AJ5</f>
        <v>106430</v>
      </c>
      <c r="AQ5" s="49">
        <f ca="1">+ROUND(BN5,0)</f>
        <v>247951</v>
      </c>
      <c r="AR5" s="104">
        <f ca="1">+ROUND(IFERROR(AQ5/AM5,0),1)</f>
        <v>252.5</v>
      </c>
      <c r="AS5" s="104">
        <f ca="1">+ROUND(IFERROR(BK5,0),3)</f>
        <v>2.33</v>
      </c>
      <c r="AT5" s="104">
        <f ca="1">+ROUND(IFERROR(BL5,0),3)</f>
        <v>2.4409999999999998</v>
      </c>
      <c r="AU5" s="104">
        <f ca="1">+ROUND(IFERROR(BM5,0),3)</f>
        <v>-0.111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ca="1" si="0">+F5</f>
        <v>1000</v>
      </c>
      <c r="BG5" s="49">
        <f t="shared" ca="1" si="0"/>
        <v>6500</v>
      </c>
      <c r="BH5" s="54">
        <f t="shared" ref="BH5:BH12" ca="1" si="1">BG5/BF5</f>
        <v>6.5</v>
      </c>
      <c r="BI5" s="112">
        <f ca="1">BJ5/BF5</f>
        <v>0</v>
      </c>
      <c r="BJ5" s="113"/>
      <c r="BK5" s="55">
        <f ca="1">BN5/(BT5-BG5)</f>
        <v>2.3297096683265996</v>
      </c>
      <c r="BL5" s="55">
        <f t="shared" ref="BL5:BL12" ca="1" si="2">DS5</f>
        <v>2.4409999999999998</v>
      </c>
      <c r="BM5" s="55">
        <f ca="1">BK5-BL5</f>
        <v>-0.11129033167340019</v>
      </c>
      <c r="BN5" s="53">
        <f t="shared" ref="BN5:BN12" ca="1" si="3">+H5</f>
        <v>247951</v>
      </c>
      <c r="BO5" s="112">
        <f t="shared" ref="BO5:BO12" ca="1" si="4">BP5/BN5</f>
        <v>0</v>
      </c>
      <c r="BP5" s="112"/>
      <c r="BQ5" s="49"/>
      <c r="BR5" s="53">
        <f ca="1">BQ5/BT5</f>
        <v>0</v>
      </c>
      <c r="BS5" s="53">
        <f t="shared" ref="BS5:BT12" ca="1" si="5">+J5</f>
        <v>982</v>
      </c>
      <c r="BT5" s="53">
        <f t="shared" ca="1" si="5"/>
        <v>112930</v>
      </c>
      <c r="BU5" s="56">
        <f ca="1"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ca="1" si="7">BF5</f>
        <v>1000</v>
      </c>
      <c r="CW5" s="53">
        <f t="shared" ca="1" si="7"/>
        <v>6500</v>
      </c>
      <c r="CX5" s="58">
        <f t="shared" ref="CX5:CX12" ca="1" si="8">ROUND(BH5,2)</f>
        <v>6.5</v>
      </c>
      <c r="CY5" s="53">
        <f ca="1">BS5</f>
        <v>982</v>
      </c>
      <c r="CZ5" s="53">
        <f ca="1">BT5</f>
        <v>112930</v>
      </c>
      <c r="DA5" s="58">
        <f ca="1">ROUND(BU5,2)</f>
        <v>115</v>
      </c>
      <c r="DB5" s="48" t="str">
        <f t="shared" ref="DB5:DB12" ca="1" si="9">IF(DA5&lt;100,(LEFT(DA5,2)),IF(DA5&gt;100,(LEFT(DA5,3))))</f>
        <v>115</v>
      </c>
      <c r="DC5" s="48">
        <f t="shared" ref="DC5:DC12" ca="1" si="10">+DB5+1</f>
        <v>116</v>
      </c>
      <c r="DD5" s="48" t="str">
        <f t="shared" ref="DD5:DD12" ca="1" si="11">LEFT(CX5,2)</f>
        <v>6.</v>
      </c>
      <c r="DE5" s="48">
        <f t="shared" ref="DE5:DE12" ca="1" si="12">ROUND(DD5,0)</f>
        <v>6</v>
      </c>
      <c r="DF5" s="48">
        <f t="shared" ref="DF5:DF12" ca="1" si="13">+DD5+1</f>
        <v>7</v>
      </c>
      <c r="DG5" s="48" t="str">
        <f t="shared" ref="DG5:DG12" ca="1" si="14">DE5&amp;DB5</f>
        <v>6115</v>
      </c>
      <c r="DH5" s="48">
        <f ca="1">SUMIF(FCR!$BZ$4:$DB$500,DG5,FCR!$DE$4:$EG$500)</f>
        <v>2.4359999999999999</v>
      </c>
      <c r="DI5" s="48" t="str">
        <f t="shared" ref="DI5:DI12" ca="1" si="15">DF5&amp;DB5</f>
        <v>7115</v>
      </c>
      <c r="DJ5" s="48">
        <f ca="1">SUMIF(FCR!$BZ$4:$DB$142,DI5,FCR!$DE$4:$EG$142)</f>
        <v>2.4540000000000002</v>
      </c>
      <c r="DK5" s="48">
        <f t="shared" ref="DK5:DK12" ca="1" si="16">(CX5-DE5)*100</f>
        <v>50</v>
      </c>
      <c r="DL5" s="55">
        <f t="shared" ref="DL5:DL12" ca="1" si="17">ROUND(DH5+(DJ5-DH5)/100*DK5,3)</f>
        <v>2.4449999999999998</v>
      </c>
      <c r="DM5" s="48" t="str">
        <f t="shared" ref="DM5:DM12" ca="1" si="18">DE5&amp;DC5</f>
        <v>6116</v>
      </c>
      <c r="DN5" s="48">
        <f ca="1">SUMIF(FCR!$BZ$4:$DB$142,DM5,FCR!$DE$4:$EG$142)</f>
        <v>2.4430000000000001</v>
      </c>
      <c r="DO5" s="53">
        <f t="shared" ref="DO5:DO12" ca="1" si="19">(DA5-DB5)*100</f>
        <v>0</v>
      </c>
      <c r="DP5" s="55">
        <f t="shared" ref="DP5:DP12" ca="1" si="20">ROUND(DH5+(DN5-DH5)/100*DO5,3)</f>
        <v>2.4359999999999999</v>
      </c>
      <c r="DQ5" s="55">
        <f t="shared" ref="DQ5:DQ12" ca="1" si="21">ROUND((DP5+DL5)/2,3)</f>
        <v>2.4409999999999998</v>
      </c>
      <c r="DR5" s="55"/>
      <c r="DS5" s="55">
        <f t="shared" ref="DS5:DS12" ca="1" si="22">DR5+DQ5</f>
        <v>2.4409999999999998</v>
      </c>
      <c r="DT5" s="55">
        <f ca="1">+DQ5-BL5</f>
        <v>0</v>
      </c>
      <c r="DU5" s="53">
        <f ca="1">CV5-CY5</f>
        <v>18</v>
      </c>
      <c r="DV5" s="59">
        <f t="shared" ref="DV5:DV12" ca="1" si="23">ROUND(DU5/CV5*100,2)</f>
        <v>1.8</v>
      </c>
    </row>
    <row r="6" spans="1:126" ht="15">
      <c r="A6">
        <v>10</v>
      </c>
      <c r="B6" t="s">
        <v>322</v>
      </c>
      <c r="C6" t="s">
        <v>393</v>
      </c>
      <c r="D6" t="s">
        <v>391</v>
      </c>
      <c r="E6" t="s">
        <v>392</v>
      </c>
      <c r="F6">
        <v>2000</v>
      </c>
      <c r="G6">
        <v>13000</v>
      </c>
      <c r="H6">
        <v>511801</v>
      </c>
      <c r="I6">
        <v>30</v>
      </c>
      <c r="J6">
        <v>1970</v>
      </c>
      <c r="K6">
        <v>226550</v>
      </c>
      <c r="L6" s="105">
        <v>43961</v>
      </c>
      <c r="M6" s="105">
        <v>43961</v>
      </c>
      <c r="N6"/>
      <c r="O6"/>
      <c r="AD6" s="49" t="s">
        <v>337</v>
      </c>
      <c r="AE6" s="49">
        <f t="shared" ref="AE6:AE69" ca="1" si="24">+A6</f>
        <v>10</v>
      </c>
      <c r="AF6" s="49" t="str">
        <f t="shared" ref="AF6:AF12" ca="1" si="25">+C6</f>
        <v>2.Lương Tài</v>
      </c>
      <c r="AG6" s="114" t="str">
        <f t="shared" ref="AG6:AG12" ca="1" si="26">+D6</f>
        <v>5.Thịt 5</v>
      </c>
      <c r="AH6" s="104">
        <f t="shared" ref="AH6:AH12" ca="1" si="27">+BF6</f>
        <v>2000</v>
      </c>
      <c r="AI6" s="104">
        <f t="shared" ref="AI6:AI12" ca="1" si="28">+ROUND(IFERROR(BH6,0),1)</f>
        <v>6.5</v>
      </c>
      <c r="AJ6" s="104">
        <f t="shared" ref="AJ6:AJ12" ca="1" si="29">+BG6</f>
        <v>13000</v>
      </c>
      <c r="AK6" s="104">
        <f t="shared" ref="AK6:AK12" ca="1" si="30">+DU6</f>
        <v>30</v>
      </c>
      <c r="AL6" s="104">
        <f t="shared" ref="AL6:AL12" ca="1" si="31">+ROUND(IFERROR(DV6,0),1)</f>
        <v>1.5</v>
      </c>
      <c r="AM6" s="104">
        <f t="shared" ref="AM6:AM12" ca="1" si="32">+BS6</f>
        <v>1970</v>
      </c>
      <c r="AN6" s="104">
        <f t="shared" ref="AN6:AN12" ca="1" si="33">+ROUND(IFERROR(DA6,0),1)</f>
        <v>115</v>
      </c>
      <c r="AO6" s="104">
        <f t="shared" ref="AO6:AO12" ca="1" si="34">+BT6</f>
        <v>226550</v>
      </c>
      <c r="AP6" s="104">
        <f t="shared" ref="AP6:AP12" ca="1" si="35">+AO6-AJ6</f>
        <v>213550</v>
      </c>
      <c r="AQ6" s="49">
        <f t="shared" ref="AQ6:AQ12" ca="1" si="36">+ROUND(BN6,0)</f>
        <v>511801</v>
      </c>
      <c r="AR6" s="104">
        <f t="shared" ref="AR6:AR12" ca="1" si="37">+ROUND(IFERROR(AQ6/AM6,0),1)</f>
        <v>259.8</v>
      </c>
      <c r="AS6" s="104">
        <f t="shared" ref="AS6:AU12" ca="1" si="38">+ROUND(IFERROR(BK6,0),3)</f>
        <v>2.3969999999999998</v>
      </c>
      <c r="AT6" s="104">
        <f t="shared" ca="1" si="38"/>
        <v>2.4409999999999998</v>
      </c>
      <c r="AU6" s="104">
        <f t="shared" ca="1" si="38"/>
        <v>-4.3999999999999997E-2</v>
      </c>
      <c r="BF6" s="49">
        <f t="shared" ca="1" si="0"/>
        <v>2000</v>
      </c>
      <c r="BG6" s="49">
        <f t="shared" ca="1" si="0"/>
        <v>13000</v>
      </c>
      <c r="BH6" s="54">
        <f t="shared" ca="1" si="1"/>
        <v>6.5</v>
      </c>
      <c r="BI6" s="112">
        <f t="shared" ref="BI6:BI12" ca="1" si="39">BJ6/BF6</f>
        <v>0</v>
      </c>
      <c r="BK6" s="55">
        <f t="shared" ref="BK6:BK12" ca="1" si="40">BN6/(BT6-BG6)</f>
        <v>2.3966331070007025</v>
      </c>
      <c r="BL6" s="55">
        <f t="shared" ca="1" si="2"/>
        <v>2.4409999999999998</v>
      </c>
      <c r="BM6" s="55">
        <f t="shared" ref="BM6:BM12" ca="1" si="41">BK6-BL6</f>
        <v>-4.4366892999297303E-2</v>
      </c>
      <c r="BN6" s="53">
        <f t="shared" ca="1" si="3"/>
        <v>511801</v>
      </c>
      <c r="BO6" s="112">
        <f t="shared" ca="1" si="4"/>
        <v>0</v>
      </c>
      <c r="BR6" s="53">
        <f t="shared" ref="BR6:BR12" ca="1" si="42">BQ6/BT6</f>
        <v>0</v>
      </c>
      <c r="BS6" s="53">
        <f t="shared" ca="1" si="5"/>
        <v>1970</v>
      </c>
      <c r="BT6" s="53">
        <f t="shared" ca="1" si="5"/>
        <v>226550</v>
      </c>
      <c r="BU6" s="56">
        <f t="shared" ref="BU6:BU12" ca="1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ca="1" si="7"/>
        <v>2000</v>
      </c>
      <c r="CW6" s="53">
        <f t="shared" ca="1" si="7"/>
        <v>13000</v>
      </c>
      <c r="CX6" s="58">
        <f t="shared" ca="1" si="8"/>
        <v>6.5</v>
      </c>
      <c r="CY6" s="53">
        <f t="shared" ref="CY6:CZ12" ca="1" si="44">BS6</f>
        <v>1970</v>
      </c>
      <c r="CZ6" s="53">
        <f t="shared" ca="1" si="44"/>
        <v>226550</v>
      </c>
      <c r="DA6" s="58">
        <f t="shared" ref="DA6:DA12" ca="1" si="45">ROUND(BU6,2)</f>
        <v>115</v>
      </c>
      <c r="DB6" s="48" t="str">
        <f t="shared" ca="1" si="9"/>
        <v>115</v>
      </c>
      <c r="DC6" s="48">
        <f t="shared" ca="1" si="10"/>
        <v>116</v>
      </c>
      <c r="DD6" s="48" t="str">
        <f t="shared" ca="1" si="11"/>
        <v>6.</v>
      </c>
      <c r="DE6" s="48">
        <f t="shared" ca="1" si="12"/>
        <v>6</v>
      </c>
      <c r="DF6" s="48">
        <f t="shared" ca="1" si="13"/>
        <v>7</v>
      </c>
      <c r="DG6" s="48" t="str">
        <f t="shared" ca="1" si="14"/>
        <v>6115</v>
      </c>
      <c r="DH6" s="48">
        <f ca="1">SUMIF(FCR!$BZ$4:$DB$500,DG6,FCR!$DE$4:$EG$500)</f>
        <v>2.4359999999999999</v>
      </c>
      <c r="DI6" s="48" t="str">
        <f t="shared" ca="1" si="15"/>
        <v>7115</v>
      </c>
      <c r="DJ6" s="48">
        <f ca="1">SUMIF(FCR!$BZ$4:$DB$142,DI6,FCR!$DE$4:$EG$142)</f>
        <v>2.4540000000000002</v>
      </c>
      <c r="DK6" s="48">
        <f t="shared" ca="1" si="16"/>
        <v>50</v>
      </c>
      <c r="DL6" s="55">
        <f t="shared" ca="1" si="17"/>
        <v>2.4449999999999998</v>
      </c>
      <c r="DM6" s="48" t="str">
        <f t="shared" ca="1" si="18"/>
        <v>6116</v>
      </c>
      <c r="DN6" s="48">
        <f ca="1">SUMIF(FCR!$BZ$4:$DB$142,DM6,FCR!$DE$4:$EG$142)</f>
        <v>2.4430000000000001</v>
      </c>
      <c r="DO6" s="53">
        <f t="shared" ca="1" si="19"/>
        <v>0</v>
      </c>
      <c r="DP6" s="55">
        <f t="shared" ca="1" si="20"/>
        <v>2.4359999999999999</v>
      </c>
      <c r="DQ6" s="55">
        <f t="shared" ca="1" si="21"/>
        <v>2.4409999999999998</v>
      </c>
      <c r="DR6" s="55"/>
      <c r="DS6" s="55">
        <f t="shared" ca="1" si="22"/>
        <v>2.4409999999999998</v>
      </c>
      <c r="DT6" s="55">
        <f t="shared" ref="DT6:DT12" ca="1" si="46">+DQ6-BL6</f>
        <v>0</v>
      </c>
      <c r="DU6" s="53">
        <f t="shared" ref="DU6:DU12" ca="1" si="47">CV6-CY6</f>
        <v>30</v>
      </c>
      <c r="DV6" s="59">
        <f t="shared" ca="1" si="23"/>
        <v>1.5</v>
      </c>
    </row>
    <row r="7" spans="1:12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AD7" s="49" t="s">
        <v>337</v>
      </c>
      <c r="AE7" s="49">
        <f t="shared" ca="1" si="24"/>
        <v>0</v>
      </c>
      <c r="AF7" s="49">
        <f t="shared" ca="1" si="25"/>
        <v>0</v>
      </c>
      <c r="AG7" s="114">
        <f t="shared" ca="1" si="26"/>
        <v>0</v>
      </c>
      <c r="AH7" s="104">
        <f t="shared" ca="1" si="27"/>
        <v>0</v>
      </c>
      <c r="AI7" s="104">
        <f t="shared" ca="1" si="28"/>
        <v>0</v>
      </c>
      <c r="AJ7" s="104">
        <f t="shared" ca="1" si="29"/>
        <v>0</v>
      </c>
      <c r="AK7" s="104">
        <f t="shared" ca="1" si="30"/>
        <v>0</v>
      </c>
      <c r="AL7" s="104">
        <f t="shared" ca="1" si="31"/>
        <v>0</v>
      </c>
      <c r="AM7" s="104">
        <f t="shared" ca="1" si="32"/>
        <v>0</v>
      </c>
      <c r="AN7" s="104">
        <f t="shared" ca="1" si="33"/>
        <v>0</v>
      </c>
      <c r="AO7" s="104">
        <f t="shared" ca="1" si="34"/>
        <v>0</v>
      </c>
      <c r="AP7" s="104">
        <f t="shared" ca="1" si="35"/>
        <v>0</v>
      </c>
      <c r="AQ7" s="49">
        <f t="shared" ca="1" si="36"/>
        <v>0</v>
      </c>
      <c r="AR7" s="104">
        <f t="shared" ca="1" si="37"/>
        <v>0</v>
      </c>
      <c r="AS7" s="104">
        <f t="shared" ca="1" si="38"/>
        <v>0</v>
      </c>
      <c r="AT7" s="104">
        <f t="shared" ca="1" si="38"/>
        <v>0</v>
      </c>
      <c r="AU7" s="104">
        <f t="shared" ca="1" si="38"/>
        <v>0</v>
      </c>
      <c r="BF7" s="49">
        <f t="shared" ca="1" si="0"/>
        <v>0</v>
      </c>
      <c r="BG7" s="49">
        <f t="shared" ca="1" si="0"/>
        <v>0</v>
      </c>
      <c r="BH7" s="54" t="e">
        <f t="shared" ca="1" si="1"/>
        <v>#DIV/0!</v>
      </c>
      <c r="BI7" s="112" t="e">
        <f t="shared" ca="1" si="39"/>
        <v>#DIV/0!</v>
      </c>
      <c r="BK7" s="55" t="e">
        <f t="shared" ca="1" si="40"/>
        <v>#DIV/0!</v>
      </c>
      <c r="BL7" s="55" t="e">
        <f t="shared" ca="1" si="2"/>
        <v>#DIV/0!</v>
      </c>
      <c r="BM7" s="55" t="e">
        <f t="shared" ca="1" si="41"/>
        <v>#DIV/0!</v>
      </c>
      <c r="BN7" s="53">
        <f t="shared" ca="1" si="3"/>
        <v>0</v>
      </c>
      <c r="BO7" s="112" t="e">
        <f t="shared" ca="1" si="4"/>
        <v>#DIV/0!</v>
      </c>
      <c r="BR7" s="53" t="e">
        <f t="shared" ca="1" si="42"/>
        <v>#DIV/0!</v>
      </c>
      <c r="BS7" s="53">
        <f t="shared" ca="1" si="5"/>
        <v>0</v>
      </c>
      <c r="BT7" s="53">
        <f t="shared" ca="1" si="5"/>
        <v>0</v>
      </c>
      <c r="BU7" s="56" t="e">
        <f t="shared" ca="1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ca="1" si="7"/>
        <v>0</v>
      </c>
      <c r="CW7" s="53">
        <f t="shared" ca="1" si="7"/>
        <v>0</v>
      </c>
      <c r="CX7" s="58" t="e">
        <f t="shared" ca="1" si="8"/>
        <v>#DIV/0!</v>
      </c>
      <c r="CY7" s="53">
        <f t="shared" ca="1" si="44"/>
        <v>0</v>
      </c>
      <c r="CZ7" s="53">
        <f t="shared" ca="1" si="44"/>
        <v>0</v>
      </c>
      <c r="DA7" s="58" t="e">
        <f t="shared" ca="1" si="45"/>
        <v>#DIV/0!</v>
      </c>
      <c r="DB7" s="48" t="e">
        <f t="shared" ca="1" si="9"/>
        <v>#DIV/0!</v>
      </c>
      <c r="DC7" s="48" t="e">
        <f t="shared" ca="1" si="10"/>
        <v>#DIV/0!</v>
      </c>
      <c r="DD7" s="48" t="e">
        <f t="shared" ca="1" si="11"/>
        <v>#DIV/0!</v>
      </c>
      <c r="DE7" s="48" t="e">
        <f t="shared" ca="1" si="12"/>
        <v>#DIV/0!</v>
      </c>
      <c r="DF7" s="48" t="e">
        <f t="shared" ca="1" si="13"/>
        <v>#DIV/0!</v>
      </c>
      <c r="DG7" s="48" t="e">
        <f t="shared" ca="1" si="14"/>
        <v>#DIV/0!</v>
      </c>
      <c r="DH7" s="48">
        <f ca="1">SUMIF(FCR!$BZ$4:$DB$500,DG7,FCR!$DE$4:$EG$500)</f>
        <v>0</v>
      </c>
      <c r="DI7" s="48" t="e">
        <f t="shared" ca="1" si="15"/>
        <v>#DIV/0!</v>
      </c>
      <c r="DJ7" s="48">
        <f ca="1">SUMIF(FCR!$BZ$4:$DB$142,DI7,FCR!$DE$4:$EG$142)</f>
        <v>0</v>
      </c>
      <c r="DK7" s="48" t="e">
        <f t="shared" ca="1" si="16"/>
        <v>#DIV/0!</v>
      </c>
      <c r="DL7" s="55" t="e">
        <f t="shared" ca="1" si="17"/>
        <v>#DIV/0!</v>
      </c>
      <c r="DM7" s="48" t="e">
        <f t="shared" ca="1" si="18"/>
        <v>#DIV/0!</v>
      </c>
      <c r="DN7" s="48">
        <f ca="1">SUMIF(FCR!$BZ$4:$DB$142,DM7,FCR!$DE$4:$EG$142)</f>
        <v>0</v>
      </c>
      <c r="DO7" s="53" t="e">
        <f t="shared" ca="1" si="19"/>
        <v>#DIV/0!</v>
      </c>
      <c r="DP7" s="55" t="e">
        <f t="shared" ca="1" si="20"/>
        <v>#DIV/0!</v>
      </c>
      <c r="DQ7" s="55" t="e">
        <f t="shared" ca="1" si="21"/>
        <v>#DIV/0!</v>
      </c>
      <c r="DR7" s="55"/>
      <c r="DS7" s="55" t="e">
        <f t="shared" ca="1" si="22"/>
        <v>#DIV/0!</v>
      </c>
      <c r="DT7" s="55" t="e">
        <f t="shared" ca="1" si="46"/>
        <v>#DIV/0!</v>
      </c>
      <c r="DU7" s="53">
        <f t="shared" ca="1" si="47"/>
        <v>0</v>
      </c>
      <c r="DV7" s="59" t="e">
        <f t="shared" ca="1" si="23"/>
        <v>#DIV/0!</v>
      </c>
    </row>
    <row r="8" spans="1:12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AD8" s="49" t="s">
        <v>337</v>
      </c>
      <c r="AE8" s="49">
        <f t="shared" ca="1" si="24"/>
        <v>0</v>
      </c>
      <c r="AF8" s="49">
        <f t="shared" ca="1" si="25"/>
        <v>0</v>
      </c>
      <c r="AG8" s="114">
        <f t="shared" ca="1" si="26"/>
        <v>0</v>
      </c>
      <c r="AH8" s="104">
        <f t="shared" ca="1" si="27"/>
        <v>0</v>
      </c>
      <c r="AI8" s="104">
        <f t="shared" ca="1" si="28"/>
        <v>0</v>
      </c>
      <c r="AJ8" s="104">
        <f t="shared" ca="1" si="29"/>
        <v>0</v>
      </c>
      <c r="AK8" s="104">
        <f t="shared" ca="1" si="30"/>
        <v>0</v>
      </c>
      <c r="AL8" s="104">
        <f t="shared" ca="1" si="31"/>
        <v>0</v>
      </c>
      <c r="AM8" s="104">
        <f t="shared" ca="1" si="32"/>
        <v>0</v>
      </c>
      <c r="AN8" s="104">
        <f t="shared" ca="1" si="33"/>
        <v>0</v>
      </c>
      <c r="AO8" s="104">
        <f t="shared" ca="1" si="34"/>
        <v>0</v>
      </c>
      <c r="AP8" s="104">
        <f t="shared" ca="1" si="35"/>
        <v>0</v>
      </c>
      <c r="AQ8" s="49">
        <f t="shared" ca="1" si="36"/>
        <v>0</v>
      </c>
      <c r="AR8" s="104">
        <f t="shared" ca="1" si="37"/>
        <v>0</v>
      </c>
      <c r="AS8" s="104">
        <f t="shared" ca="1" si="38"/>
        <v>0</v>
      </c>
      <c r="AT8" s="104">
        <f t="shared" ca="1" si="38"/>
        <v>0</v>
      </c>
      <c r="AU8" s="104">
        <f t="shared" ca="1" si="38"/>
        <v>0</v>
      </c>
      <c r="BF8" s="49">
        <f t="shared" ca="1" si="0"/>
        <v>0</v>
      </c>
      <c r="BG8" s="49">
        <f t="shared" ca="1" si="0"/>
        <v>0</v>
      </c>
      <c r="BH8" s="54" t="e">
        <f t="shared" ca="1" si="1"/>
        <v>#DIV/0!</v>
      </c>
      <c r="BI8" s="112" t="e">
        <f t="shared" ca="1" si="39"/>
        <v>#DIV/0!</v>
      </c>
      <c r="BK8" s="55" t="e">
        <f t="shared" ca="1" si="40"/>
        <v>#DIV/0!</v>
      </c>
      <c r="BL8" s="55" t="e">
        <f t="shared" ca="1" si="2"/>
        <v>#DIV/0!</v>
      </c>
      <c r="BM8" s="55" t="e">
        <f t="shared" ca="1" si="41"/>
        <v>#DIV/0!</v>
      </c>
      <c r="BN8" s="53">
        <f t="shared" ca="1" si="3"/>
        <v>0</v>
      </c>
      <c r="BO8" s="112" t="e">
        <f t="shared" ca="1" si="4"/>
        <v>#DIV/0!</v>
      </c>
      <c r="BR8" s="53" t="e">
        <f t="shared" ca="1" si="42"/>
        <v>#DIV/0!</v>
      </c>
      <c r="BS8" s="53">
        <f t="shared" ca="1" si="5"/>
        <v>0</v>
      </c>
      <c r="BT8" s="53">
        <f t="shared" ca="1" si="5"/>
        <v>0</v>
      </c>
      <c r="BU8" s="56" t="e">
        <f t="shared" ca="1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ca="1" si="7"/>
        <v>0</v>
      </c>
      <c r="CW8" s="53">
        <f t="shared" ca="1" si="7"/>
        <v>0</v>
      </c>
      <c r="CX8" s="58" t="e">
        <f t="shared" ca="1" si="8"/>
        <v>#DIV/0!</v>
      </c>
      <c r="CY8" s="53">
        <f t="shared" ca="1" si="44"/>
        <v>0</v>
      </c>
      <c r="CZ8" s="53">
        <f t="shared" ca="1" si="44"/>
        <v>0</v>
      </c>
      <c r="DA8" s="58" t="e">
        <f t="shared" ca="1" si="45"/>
        <v>#DIV/0!</v>
      </c>
      <c r="DB8" s="48" t="e">
        <f t="shared" ca="1" si="9"/>
        <v>#DIV/0!</v>
      </c>
      <c r="DC8" s="48" t="e">
        <f t="shared" ca="1" si="10"/>
        <v>#DIV/0!</v>
      </c>
      <c r="DD8" s="48" t="e">
        <f t="shared" ca="1" si="11"/>
        <v>#DIV/0!</v>
      </c>
      <c r="DE8" s="48" t="e">
        <f t="shared" ca="1" si="12"/>
        <v>#DIV/0!</v>
      </c>
      <c r="DF8" s="48" t="e">
        <f t="shared" ca="1" si="13"/>
        <v>#DIV/0!</v>
      </c>
      <c r="DG8" s="48" t="e">
        <f t="shared" ca="1" si="14"/>
        <v>#DIV/0!</v>
      </c>
      <c r="DH8" s="48">
        <f ca="1">SUMIF(FCR!$BZ$4:$DB$500,DG8,FCR!$DE$4:$EG$500)</f>
        <v>0</v>
      </c>
      <c r="DI8" s="48" t="e">
        <f t="shared" ca="1" si="15"/>
        <v>#DIV/0!</v>
      </c>
      <c r="DJ8" s="48">
        <f ca="1">SUMIF(FCR!$BZ$4:$DB$142,DI8,FCR!$DE$4:$EG$142)</f>
        <v>0</v>
      </c>
      <c r="DK8" s="48" t="e">
        <f t="shared" ca="1" si="16"/>
        <v>#DIV/0!</v>
      </c>
      <c r="DL8" s="55" t="e">
        <f t="shared" ca="1" si="17"/>
        <v>#DIV/0!</v>
      </c>
      <c r="DM8" s="48" t="e">
        <f t="shared" ca="1" si="18"/>
        <v>#DIV/0!</v>
      </c>
      <c r="DN8" s="48">
        <f ca="1">SUMIF(FCR!$BZ$4:$DB$142,DM8,FCR!$DE$4:$EG$142)</f>
        <v>0</v>
      </c>
      <c r="DO8" s="53" t="e">
        <f t="shared" ca="1" si="19"/>
        <v>#DIV/0!</v>
      </c>
      <c r="DP8" s="55" t="e">
        <f t="shared" ca="1" si="20"/>
        <v>#DIV/0!</v>
      </c>
      <c r="DQ8" s="55" t="e">
        <f t="shared" ca="1" si="21"/>
        <v>#DIV/0!</v>
      </c>
      <c r="DR8" s="55"/>
      <c r="DS8" s="55" t="e">
        <f t="shared" ca="1" si="22"/>
        <v>#DIV/0!</v>
      </c>
      <c r="DT8" s="55" t="e">
        <f t="shared" ca="1" si="46"/>
        <v>#DIV/0!</v>
      </c>
      <c r="DU8" s="53">
        <f t="shared" ca="1" si="47"/>
        <v>0</v>
      </c>
      <c r="DV8" s="59" t="e">
        <f t="shared" ca="1" si="23"/>
        <v>#DIV/0!</v>
      </c>
    </row>
    <row r="9" spans="1:12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AD9" s="49" t="s">
        <v>337</v>
      </c>
      <c r="AE9" s="49">
        <f t="shared" ca="1" si="24"/>
        <v>0</v>
      </c>
      <c r="AF9" s="49">
        <f t="shared" ca="1" si="25"/>
        <v>0</v>
      </c>
      <c r="AG9" s="114">
        <f t="shared" ca="1" si="26"/>
        <v>0</v>
      </c>
      <c r="AH9" s="104">
        <f t="shared" ca="1" si="27"/>
        <v>0</v>
      </c>
      <c r="AI9" s="104">
        <f t="shared" ca="1" si="28"/>
        <v>0</v>
      </c>
      <c r="AJ9" s="104">
        <f t="shared" ca="1" si="29"/>
        <v>0</v>
      </c>
      <c r="AK9" s="104">
        <f t="shared" ca="1" si="30"/>
        <v>0</v>
      </c>
      <c r="AL9" s="104">
        <f t="shared" ca="1" si="31"/>
        <v>0</v>
      </c>
      <c r="AM9" s="104">
        <f t="shared" ca="1" si="32"/>
        <v>0</v>
      </c>
      <c r="AN9" s="104">
        <f t="shared" ca="1" si="33"/>
        <v>0</v>
      </c>
      <c r="AO9" s="104">
        <f t="shared" ca="1" si="34"/>
        <v>0</v>
      </c>
      <c r="AP9" s="104">
        <f t="shared" ca="1" si="35"/>
        <v>0</v>
      </c>
      <c r="AQ9" s="49">
        <f t="shared" ca="1" si="36"/>
        <v>0</v>
      </c>
      <c r="AR9" s="104">
        <f t="shared" ca="1" si="37"/>
        <v>0</v>
      </c>
      <c r="AS9" s="104">
        <f t="shared" ca="1" si="38"/>
        <v>0</v>
      </c>
      <c r="AT9" s="104">
        <f t="shared" ca="1" si="38"/>
        <v>0</v>
      </c>
      <c r="AU9" s="104">
        <f t="shared" ca="1" si="38"/>
        <v>0</v>
      </c>
      <c r="BF9" s="49">
        <f t="shared" ca="1" si="0"/>
        <v>0</v>
      </c>
      <c r="BG9" s="49">
        <f t="shared" ca="1" si="0"/>
        <v>0</v>
      </c>
      <c r="BH9" s="54" t="e">
        <f t="shared" ca="1" si="1"/>
        <v>#DIV/0!</v>
      </c>
      <c r="BI9" s="112" t="e">
        <f t="shared" ca="1" si="39"/>
        <v>#DIV/0!</v>
      </c>
      <c r="BK9" s="55" t="e">
        <f t="shared" ca="1" si="40"/>
        <v>#DIV/0!</v>
      </c>
      <c r="BL9" s="55" t="e">
        <f t="shared" ca="1" si="2"/>
        <v>#DIV/0!</v>
      </c>
      <c r="BM9" s="55" t="e">
        <f t="shared" ca="1" si="41"/>
        <v>#DIV/0!</v>
      </c>
      <c r="BN9" s="53">
        <f t="shared" ca="1" si="3"/>
        <v>0</v>
      </c>
      <c r="BO9" s="112" t="e">
        <f t="shared" ca="1" si="4"/>
        <v>#DIV/0!</v>
      </c>
      <c r="BR9" s="53" t="e">
        <f t="shared" ca="1" si="42"/>
        <v>#DIV/0!</v>
      </c>
      <c r="BS9" s="53">
        <f t="shared" ca="1" si="5"/>
        <v>0</v>
      </c>
      <c r="BT9" s="53">
        <f t="shared" ca="1" si="5"/>
        <v>0</v>
      </c>
      <c r="BU9" s="56" t="e">
        <f t="shared" ca="1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ca="1" si="7"/>
        <v>0</v>
      </c>
      <c r="CW9" s="53">
        <f t="shared" ca="1" si="7"/>
        <v>0</v>
      </c>
      <c r="CX9" s="58" t="e">
        <f t="shared" ca="1" si="8"/>
        <v>#DIV/0!</v>
      </c>
      <c r="CY9" s="53">
        <f t="shared" ca="1" si="44"/>
        <v>0</v>
      </c>
      <c r="CZ9" s="53">
        <f t="shared" ca="1" si="44"/>
        <v>0</v>
      </c>
      <c r="DA9" s="58" t="e">
        <f t="shared" ca="1" si="45"/>
        <v>#DIV/0!</v>
      </c>
      <c r="DB9" s="48" t="e">
        <f t="shared" ca="1" si="9"/>
        <v>#DIV/0!</v>
      </c>
      <c r="DC9" s="48" t="e">
        <f t="shared" ca="1" si="10"/>
        <v>#DIV/0!</v>
      </c>
      <c r="DD9" s="48" t="e">
        <f t="shared" ca="1" si="11"/>
        <v>#DIV/0!</v>
      </c>
      <c r="DE9" s="48" t="e">
        <f t="shared" ca="1" si="12"/>
        <v>#DIV/0!</v>
      </c>
      <c r="DF9" s="48" t="e">
        <f t="shared" ca="1" si="13"/>
        <v>#DIV/0!</v>
      </c>
      <c r="DG9" s="48" t="e">
        <f t="shared" ca="1" si="14"/>
        <v>#DIV/0!</v>
      </c>
      <c r="DH9" s="48">
        <f ca="1">SUMIF(FCR!$BZ$4:$DB$500,DG9,FCR!$DE$4:$EG$500)</f>
        <v>0</v>
      </c>
      <c r="DI9" s="48" t="e">
        <f t="shared" ca="1" si="15"/>
        <v>#DIV/0!</v>
      </c>
      <c r="DJ9" s="48">
        <f ca="1">SUMIF(FCR!$BZ$4:$DB$142,DI9,FCR!$DE$4:$EG$142)</f>
        <v>0</v>
      </c>
      <c r="DK9" s="48" t="e">
        <f t="shared" ca="1" si="16"/>
        <v>#DIV/0!</v>
      </c>
      <c r="DL9" s="55" t="e">
        <f t="shared" ca="1" si="17"/>
        <v>#DIV/0!</v>
      </c>
      <c r="DM9" s="48" t="e">
        <f t="shared" ca="1" si="18"/>
        <v>#DIV/0!</v>
      </c>
      <c r="DN9" s="48">
        <f ca="1">SUMIF(FCR!$BZ$4:$DB$142,DM9,FCR!$DE$4:$EG$142)</f>
        <v>0</v>
      </c>
      <c r="DO9" s="53" t="e">
        <f t="shared" ca="1" si="19"/>
        <v>#DIV/0!</v>
      </c>
      <c r="DP9" s="55" t="e">
        <f t="shared" ca="1" si="20"/>
        <v>#DIV/0!</v>
      </c>
      <c r="DQ9" s="55" t="e">
        <f t="shared" ca="1" si="21"/>
        <v>#DIV/0!</v>
      </c>
      <c r="DR9" s="55"/>
      <c r="DS9" s="55" t="e">
        <f t="shared" ca="1" si="22"/>
        <v>#DIV/0!</v>
      </c>
      <c r="DT9" s="55" t="e">
        <f t="shared" ca="1" si="46"/>
        <v>#DIV/0!</v>
      </c>
      <c r="DU9" s="53">
        <f t="shared" ca="1" si="47"/>
        <v>0</v>
      </c>
      <c r="DV9" s="59" t="e">
        <f t="shared" ca="1" si="23"/>
        <v>#DIV/0!</v>
      </c>
    </row>
    <row r="10" spans="1:12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AD10" s="49" t="s">
        <v>337</v>
      </c>
      <c r="AE10" s="49">
        <f t="shared" ca="1" si="24"/>
        <v>0</v>
      </c>
      <c r="AF10" s="49">
        <f t="shared" ca="1" si="25"/>
        <v>0</v>
      </c>
      <c r="AG10" s="114">
        <f t="shared" ca="1" si="26"/>
        <v>0</v>
      </c>
      <c r="AH10" s="104">
        <f t="shared" ca="1" si="27"/>
        <v>0</v>
      </c>
      <c r="AI10" s="104">
        <f t="shared" ca="1" si="28"/>
        <v>0</v>
      </c>
      <c r="AJ10" s="104">
        <f t="shared" ca="1" si="29"/>
        <v>0</v>
      </c>
      <c r="AK10" s="104">
        <f t="shared" ca="1" si="30"/>
        <v>0</v>
      </c>
      <c r="AL10" s="104">
        <f t="shared" ca="1" si="31"/>
        <v>0</v>
      </c>
      <c r="AM10" s="104">
        <f t="shared" ca="1" si="32"/>
        <v>0</v>
      </c>
      <c r="AN10" s="104">
        <f t="shared" ca="1" si="33"/>
        <v>0</v>
      </c>
      <c r="AO10" s="104">
        <f t="shared" ca="1" si="34"/>
        <v>0</v>
      </c>
      <c r="AP10" s="104">
        <f t="shared" ca="1" si="35"/>
        <v>0</v>
      </c>
      <c r="AQ10" s="49">
        <f t="shared" ca="1" si="36"/>
        <v>0</v>
      </c>
      <c r="AR10" s="104">
        <f t="shared" ca="1" si="37"/>
        <v>0</v>
      </c>
      <c r="AS10" s="104">
        <f t="shared" ca="1" si="38"/>
        <v>0</v>
      </c>
      <c r="AT10" s="104">
        <f t="shared" ca="1" si="38"/>
        <v>0</v>
      </c>
      <c r="AU10" s="104">
        <f t="shared" ca="1" si="38"/>
        <v>0</v>
      </c>
      <c r="BF10" s="49">
        <f t="shared" ca="1" si="0"/>
        <v>0</v>
      </c>
      <c r="BG10" s="49">
        <f t="shared" ca="1" si="0"/>
        <v>0</v>
      </c>
      <c r="BH10" s="54" t="e">
        <f t="shared" ca="1" si="1"/>
        <v>#DIV/0!</v>
      </c>
      <c r="BI10" s="112" t="e">
        <f t="shared" ca="1" si="39"/>
        <v>#DIV/0!</v>
      </c>
      <c r="BK10" s="55" t="e">
        <f t="shared" ca="1" si="40"/>
        <v>#DIV/0!</v>
      </c>
      <c r="BL10" s="55" t="e">
        <f t="shared" ca="1" si="2"/>
        <v>#DIV/0!</v>
      </c>
      <c r="BM10" s="55" t="e">
        <f t="shared" ca="1" si="41"/>
        <v>#DIV/0!</v>
      </c>
      <c r="BN10" s="53">
        <f t="shared" ca="1" si="3"/>
        <v>0</v>
      </c>
      <c r="BO10" s="112" t="e">
        <f t="shared" ca="1" si="4"/>
        <v>#DIV/0!</v>
      </c>
      <c r="BR10" s="53" t="e">
        <f t="shared" ca="1" si="42"/>
        <v>#DIV/0!</v>
      </c>
      <c r="BS10" s="53">
        <f t="shared" ca="1" si="5"/>
        <v>0</v>
      </c>
      <c r="BT10" s="53">
        <f t="shared" ca="1" si="5"/>
        <v>0</v>
      </c>
      <c r="BU10" s="56" t="e">
        <f t="shared" ca="1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ca="1" si="7"/>
        <v>0</v>
      </c>
      <c r="CW10" s="53">
        <f t="shared" ca="1" si="7"/>
        <v>0</v>
      </c>
      <c r="CX10" s="58" t="e">
        <f t="shared" ca="1" si="8"/>
        <v>#DIV/0!</v>
      </c>
      <c r="CY10" s="53">
        <f t="shared" ca="1" si="44"/>
        <v>0</v>
      </c>
      <c r="CZ10" s="53">
        <f t="shared" ca="1" si="44"/>
        <v>0</v>
      </c>
      <c r="DA10" s="58" t="e">
        <f t="shared" ca="1" si="45"/>
        <v>#DIV/0!</v>
      </c>
      <c r="DB10" s="48" t="e">
        <f t="shared" ca="1" si="9"/>
        <v>#DIV/0!</v>
      </c>
      <c r="DC10" s="48" t="e">
        <f t="shared" ca="1" si="10"/>
        <v>#DIV/0!</v>
      </c>
      <c r="DD10" s="48" t="e">
        <f t="shared" ca="1" si="11"/>
        <v>#DIV/0!</v>
      </c>
      <c r="DE10" s="48" t="e">
        <f t="shared" ca="1" si="12"/>
        <v>#DIV/0!</v>
      </c>
      <c r="DF10" s="48" t="e">
        <f t="shared" ca="1" si="13"/>
        <v>#DIV/0!</v>
      </c>
      <c r="DG10" s="48" t="e">
        <f t="shared" ca="1" si="14"/>
        <v>#DIV/0!</v>
      </c>
      <c r="DH10" s="48">
        <f ca="1">SUMIF(FCR!$BZ$4:$DB$500,DG10,FCR!$DE$4:$EG$500)</f>
        <v>0</v>
      </c>
      <c r="DI10" s="48" t="e">
        <f t="shared" ca="1" si="15"/>
        <v>#DIV/0!</v>
      </c>
      <c r="DJ10" s="48">
        <f ca="1">SUMIF(FCR!$BZ$4:$DB$142,DI10,FCR!$DE$4:$EG$142)</f>
        <v>0</v>
      </c>
      <c r="DK10" s="48" t="e">
        <f t="shared" ca="1" si="16"/>
        <v>#DIV/0!</v>
      </c>
      <c r="DL10" s="55" t="e">
        <f t="shared" ca="1" si="17"/>
        <v>#DIV/0!</v>
      </c>
      <c r="DM10" s="48" t="e">
        <f t="shared" ca="1" si="18"/>
        <v>#DIV/0!</v>
      </c>
      <c r="DN10" s="48">
        <f ca="1">SUMIF(FCR!$BZ$4:$DB$142,DM10,FCR!$DE$4:$EG$142)</f>
        <v>0</v>
      </c>
      <c r="DO10" s="53" t="e">
        <f t="shared" ca="1" si="19"/>
        <v>#DIV/0!</v>
      </c>
      <c r="DP10" s="55" t="e">
        <f t="shared" ca="1" si="20"/>
        <v>#DIV/0!</v>
      </c>
      <c r="DQ10" s="55" t="e">
        <f t="shared" ca="1" si="21"/>
        <v>#DIV/0!</v>
      </c>
      <c r="DR10" s="55"/>
      <c r="DS10" s="55" t="e">
        <f t="shared" ca="1" si="22"/>
        <v>#DIV/0!</v>
      </c>
      <c r="DT10" s="55" t="e">
        <f t="shared" ca="1" si="46"/>
        <v>#DIV/0!</v>
      </c>
      <c r="DU10" s="53">
        <f t="shared" ca="1" si="47"/>
        <v>0</v>
      </c>
      <c r="DV10" s="59" t="e">
        <f t="shared" ca="1" si="23"/>
        <v>#DIV/0!</v>
      </c>
    </row>
    <row r="11" spans="1:12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337</v>
      </c>
      <c r="AE11" s="49">
        <f t="shared" ca="1" si="24"/>
        <v>0</v>
      </c>
      <c r="AF11" s="49">
        <f t="shared" ca="1" si="25"/>
        <v>0</v>
      </c>
      <c r="AG11" s="114">
        <f t="shared" ca="1" si="26"/>
        <v>0</v>
      </c>
      <c r="AH11" s="104">
        <f t="shared" ca="1" si="27"/>
        <v>0</v>
      </c>
      <c r="AI11" s="104">
        <f t="shared" ca="1" si="28"/>
        <v>0</v>
      </c>
      <c r="AJ11" s="104">
        <f t="shared" ca="1" si="29"/>
        <v>0</v>
      </c>
      <c r="AK11" s="104">
        <f t="shared" ca="1" si="30"/>
        <v>0</v>
      </c>
      <c r="AL11" s="104">
        <f t="shared" ca="1" si="31"/>
        <v>0</v>
      </c>
      <c r="AM11" s="104">
        <f t="shared" ca="1" si="32"/>
        <v>0</v>
      </c>
      <c r="AN11" s="104">
        <f t="shared" ca="1" si="33"/>
        <v>0</v>
      </c>
      <c r="AO11" s="104">
        <f t="shared" ca="1" si="34"/>
        <v>0</v>
      </c>
      <c r="AP11" s="104">
        <f t="shared" ca="1" si="35"/>
        <v>0</v>
      </c>
      <c r="AQ11" s="49">
        <f t="shared" ca="1" si="36"/>
        <v>0</v>
      </c>
      <c r="AR11" s="104">
        <f t="shared" ca="1" si="37"/>
        <v>0</v>
      </c>
      <c r="AS11" s="104">
        <f t="shared" ca="1" si="38"/>
        <v>0</v>
      </c>
      <c r="AT11" s="104">
        <f t="shared" ca="1" si="38"/>
        <v>0</v>
      </c>
      <c r="AU11" s="104">
        <f t="shared" ca="1" si="38"/>
        <v>0</v>
      </c>
      <c r="BF11" s="49">
        <f t="shared" ca="1" si="0"/>
        <v>0</v>
      </c>
      <c r="BG11" s="49">
        <f t="shared" ca="1" si="0"/>
        <v>0</v>
      </c>
      <c r="BH11" s="54" t="e">
        <f t="shared" ca="1" si="1"/>
        <v>#DIV/0!</v>
      </c>
      <c r="BI11" s="112" t="e">
        <f t="shared" ca="1" si="39"/>
        <v>#DIV/0!</v>
      </c>
      <c r="BK11" s="55" t="e">
        <f t="shared" ca="1" si="40"/>
        <v>#DIV/0!</v>
      </c>
      <c r="BL11" s="55" t="e">
        <f t="shared" ca="1" si="2"/>
        <v>#DIV/0!</v>
      </c>
      <c r="BM11" s="55" t="e">
        <f t="shared" ca="1" si="41"/>
        <v>#DIV/0!</v>
      </c>
      <c r="BN11" s="53">
        <f t="shared" ca="1" si="3"/>
        <v>0</v>
      </c>
      <c r="BO11" s="112" t="e">
        <f t="shared" ca="1" si="4"/>
        <v>#DIV/0!</v>
      </c>
      <c r="BR11" s="53" t="e">
        <f t="shared" ca="1" si="42"/>
        <v>#DIV/0!</v>
      </c>
      <c r="BS11" s="53">
        <f t="shared" ca="1" si="5"/>
        <v>0</v>
      </c>
      <c r="BT11" s="53">
        <f t="shared" ca="1" si="5"/>
        <v>0</v>
      </c>
      <c r="BU11" s="56" t="e">
        <f t="shared" ca="1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ca="1" si="7"/>
        <v>0</v>
      </c>
      <c r="CW11" s="53">
        <f t="shared" ca="1" si="7"/>
        <v>0</v>
      </c>
      <c r="CX11" s="58" t="e">
        <f t="shared" ca="1" si="8"/>
        <v>#DIV/0!</v>
      </c>
      <c r="CY11" s="53">
        <f t="shared" ca="1" si="44"/>
        <v>0</v>
      </c>
      <c r="CZ11" s="53">
        <f t="shared" ca="1" si="44"/>
        <v>0</v>
      </c>
      <c r="DA11" s="58" t="e">
        <f t="shared" ca="1" si="45"/>
        <v>#DIV/0!</v>
      </c>
      <c r="DB11" s="48" t="e">
        <f t="shared" ca="1" si="9"/>
        <v>#DIV/0!</v>
      </c>
      <c r="DC11" s="48" t="e">
        <f t="shared" ca="1" si="10"/>
        <v>#DIV/0!</v>
      </c>
      <c r="DD11" s="48" t="e">
        <f t="shared" ca="1" si="11"/>
        <v>#DIV/0!</v>
      </c>
      <c r="DE11" s="48" t="e">
        <f t="shared" ca="1" si="12"/>
        <v>#DIV/0!</v>
      </c>
      <c r="DF11" s="48" t="e">
        <f t="shared" ca="1" si="13"/>
        <v>#DIV/0!</v>
      </c>
      <c r="DG11" s="48" t="e">
        <f t="shared" ca="1" si="14"/>
        <v>#DIV/0!</v>
      </c>
      <c r="DH11" s="48">
        <f ca="1">SUMIF(FCR!$BZ$4:$DB$500,DG11,FCR!$DE$4:$EG$500)</f>
        <v>0</v>
      </c>
      <c r="DI11" s="48" t="e">
        <f t="shared" ca="1" si="15"/>
        <v>#DIV/0!</v>
      </c>
      <c r="DJ11" s="48">
        <f ca="1">SUMIF(FCR!$BZ$4:$DB$142,DI11,FCR!$DE$4:$EG$142)</f>
        <v>0</v>
      </c>
      <c r="DK11" s="48" t="e">
        <f t="shared" ca="1" si="16"/>
        <v>#DIV/0!</v>
      </c>
      <c r="DL11" s="55" t="e">
        <f t="shared" ca="1" si="17"/>
        <v>#DIV/0!</v>
      </c>
      <c r="DM11" s="48" t="e">
        <f t="shared" ca="1" si="18"/>
        <v>#DIV/0!</v>
      </c>
      <c r="DN11" s="48">
        <f ca="1">SUMIF(FCR!$BZ$4:$DB$142,DM11,FCR!$DE$4:$EG$142)</f>
        <v>0</v>
      </c>
      <c r="DO11" s="53" t="e">
        <f t="shared" ca="1" si="19"/>
        <v>#DIV/0!</v>
      </c>
      <c r="DP11" s="55" t="e">
        <f t="shared" ca="1" si="20"/>
        <v>#DIV/0!</v>
      </c>
      <c r="DQ11" s="55" t="e">
        <f t="shared" ca="1" si="21"/>
        <v>#DIV/0!</v>
      </c>
      <c r="DR11" s="55"/>
      <c r="DS11" s="55" t="e">
        <f t="shared" ca="1" si="22"/>
        <v>#DIV/0!</v>
      </c>
      <c r="DT11" s="55" t="e">
        <f t="shared" ca="1" si="46"/>
        <v>#DIV/0!</v>
      </c>
      <c r="DU11" s="53">
        <f t="shared" ca="1" si="47"/>
        <v>0</v>
      </c>
      <c r="DV11" s="59" t="e">
        <f t="shared" ca="1" si="23"/>
        <v>#DIV/0!</v>
      </c>
    </row>
    <row r="12" spans="1:12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AD12" s="49" t="s">
        <v>337</v>
      </c>
      <c r="AE12" s="49">
        <f t="shared" ca="1" si="24"/>
        <v>0</v>
      </c>
      <c r="AF12" s="49">
        <f t="shared" ca="1" si="25"/>
        <v>0</v>
      </c>
      <c r="AG12" s="114">
        <f t="shared" ca="1" si="26"/>
        <v>0</v>
      </c>
      <c r="AH12" s="104">
        <f t="shared" ca="1" si="27"/>
        <v>0</v>
      </c>
      <c r="AI12" s="104">
        <f t="shared" ca="1" si="28"/>
        <v>0</v>
      </c>
      <c r="AJ12" s="104">
        <f t="shared" ca="1" si="29"/>
        <v>0</v>
      </c>
      <c r="AK12" s="104">
        <f t="shared" ca="1" si="30"/>
        <v>0</v>
      </c>
      <c r="AL12" s="104">
        <f t="shared" ca="1" si="31"/>
        <v>0</v>
      </c>
      <c r="AM12" s="104">
        <f t="shared" ca="1" si="32"/>
        <v>0</v>
      </c>
      <c r="AN12" s="104">
        <f t="shared" ca="1" si="33"/>
        <v>0</v>
      </c>
      <c r="AO12" s="104">
        <f t="shared" ca="1" si="34"/>
        <v>0</v>
      </c>
      <c r="AP12" s="104">
        <f t="shared" ca="1" si="35"/>
        <v>0</v>
      </c>
      <c r="AQ12" s="49">
        <f t="shared" ca="1" si="36"/>
        <v>0</v>
      </c>
      <c r="AR12" s="104">
        <f t="shared" ca="1" si="37"/>
        <v>0</v>
      </c>
      <c r="AS12" s="104">
        <f t="shared" ca="1" si="38"/>
        <v>0</v>
      </c>
      <c r="AT12" s="104">
        <f t="shared" ca="1" si="38"/>
        <v>0</v>
      </c>
      <c r="AU12" s="104">
        <f t="shared" ca="1" si="38"/>
        <v>0</v>
      </c>
      <c r="BF12" s="49">
        <f t="shared" ca="1" si="0"/>
        <v>0</v>
      </c>
      <c r="BG12" s="49">
        <f t="shared" ca="1" si="0"/>
        <v>0</v>
      </c>
      <c r="BH12" s="54" t="e">
        <f t="shared" ca="1" si="1"/>
        <v>#DIV/0!</v>
      </c>
      <c r="BI12" s="112" t="e">
        <f t="shared" ca="1" si="39"/>
        <v>#DIV/0!</v>
      </c>
      <c r="BK12" s="55" t="e">
        <f t="shared" ca="1" si="40"/>
        <v>#DIV/0!</v>
      </c>
      <c r="BL12" s="55" t="e">
        <f t="shared" ca="1" si="2"/>
        <v>#DIV/0!</v>
      </c>
      <c r="BM12" s="55" t="e">
        <f t="shared" ca="1" si="41"/>
        <v>#DIV/0!</v>
      </c>
      <c r="BN12" s="53">
        <f t="shared" ca="1" si="3"/>
        <v>0</v>
      </c>
      <c r="BO12" s="112" t="e">
        <f t="shared" ca="1" si="4"/>
        <v>#DIV/0!</v>
      </c>
      <c r="BR12" s="53" t="e">
        <f t="shared" ca="1" si="42"/>
        <v>#DIV/0!</v>
      </c>
      <c r="BS12" s="53">
        <f t="shared" ca="1" si="5"/>
        <v>0</v>
      </c>
      <c r="BT12" s="53">
        <f t="shared" ca="1" si="5"/>
        <v>0</v>
      </c>
      <c r="BU12" s="56" t="e">
        <f t="shared" ca="1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ca="1" si="7"/>
        <v>0</v>
      </c>
      <c r="CW12" s="53">
        <f t="shared" ca="1" si="7"/>
        <v>0</v>
      </c>
      <c r="CX12" s="58" t="e">
        <f t="shared" ca="1" si="8"/>
        <v>#DIV/0!</v>
      </c>
      <c r="CY12" s="53">
        <f t="shared" ca="1" si="44"/>
        <v>0</v>
      </c>
      <c r="CZ12" s="53">
        <f t="shared" ca="1" si="44"/>
        <v>0</v>
      </c>
      <c r="DA12" s="58" t="e">
        <f t="shared" ca="1" si="45"/>
        <v>#DIV/0!</v>
      </c>
      <c r="DB12" s="48" t="e">
        <f t="shared" ca="1" si="9"/>
        <v>#DIV/0!</v>
      </c>
      <c r="DC12" s="48" t="e">
        <f t="shared" ca="1" si="10"/>
        <v>#DIV/0!</v>
      </c>
      <c r="DD12" s="48" t="e">
        <f t="shared" ca="1" si="11"/>
        <v>#DIV/0!</v>
      </c>
      <c r="DE12" s="48" t="e">
        <f t="shared" ca="1" si="12"/>
        <v>#DIV/0!</v>
      </c>
      <c r="DF12" s="48" t="e">
        <f t="shared" ca="1" si="13"/>
        <v>#DIV/0!</v>
      </c>
      <c r="DG12" s="48" t="e">
        <f t="shared" ca="1" si="14"/>
        <v>#DIV/0!</v>
      </c>
      <c r="DH12" s="48">
        <f ca="1">SUMIF(FCR!$BZ$4:$DB$500,DG12,FCR!$DE$4:$EG$500)</f>
        <v>0</v>
      </c>
      <c r="DI12" s="48" t="e">
        <f t="shared" ca="1" si="15"/>
        <v>#DIV/0!</v>
      </c>
      <c r="DJ12" s="48">
        <f ca="1">SUMIF(FCR!$BZ$4:$DB$142,DI12,FCR!$DE$4:$EG$142)</f>
        <v>0</v>
      </c>
      <c r="DK12" s="48" t="e">
        <f t="shared" ca="1" si="16"/>
        <v>#DIV/0!</v>
      </c>
      <c r="DL12" s="55" t="e">
        <f t="shared" ca="1" si="17"/>
        <v>#DIV/0!</v>
      </c>
      <c r="DM12" s="48" t="e">
        <f t="shared" ca="1" si="18"/>
        <v>#DIV/0!</v>
      </c>
      <c r="DN12" s="48">
        <f ca="1">SUMIF(FCR!$BZ$4:$DB$142,DM12,FCR!$DE$4:$EG$142)</f>
        <v>0</v>
      </c>
      <c r="DO12" s="53" t="e">
        <f t="shared" ca="1" si="19"/>
        <v>#DIV/0!</v>
      </c>
      <c r="DP12" s="55" t="e">
        <f t="shared" ca="1" si="20"/>
        <v>#DIV/0!</v>
      </c>
      <c r="DQ12" s="55" t="e">
        <f t="shared" ca="1" si="21"/>
        <v>#DIV/0!</v>
      </c>
      <c r="DR12" s="55"/>
      <c r="DS12" s="55" t="e">
        <f t="shared" ca="1" si="22"/>
        <v>#DIV/0!</v>
      </c>
      <c r="DT12" s="55" t="e">
        <f t="shared" ca="1" si="46"/>
        <v>#DIV/0!</v>
      </c>
      <c r="DU12" s="53">
        <f t="shared" ca="1" si="47"/>
        <v>0</v>
      </c>
      <c r="DV12" s="59" t="e">
        <f t="shared" ca="1" si="23"/>
        <v>#DIV/0!</v>
      </c>
    </row>
    <row r="13" spans="1:12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AD13" s="49" t="s">
        <v>337</v>
      </c>
      <c r="AE13" s="49">
        <f t="shared" ca="1" si="24"/>
        <v>0</v>
      </c>
      <c r="AF13" s="49">
        <f t="shared" ref="AF13:AF76" ca="1" si="48">+C13</f>
        <v>0</v>
      </c>
      <c r="AG13" s="114">
        <f t="shared" ref="AG13:AG76" ca="1" si="49">+D13</f>
        <v>0</v>
      </c>
      <c r="AH13" s="104">
        <f t="shared" ref="AH13:AH76" ca="1" si="50">+BF13</f>
        <v>0</v>
      </c>
      <c r="AI13" s="104">
        <f t="shared" ref="AI13:AI76" ca="1" si="51">+ROUND(IFERROR(BH13,0),1)</f>
        <v>0</v>
      </c>
      <c r="AJ13" s="104">
        <f t="shared" ref="AJ13:AJ76" ca="1" si="52">+BG13</f>
        <v>0</v>
      </c>
      <c r="AK13" s="104">
        <f t="shared" ref="AK13:AK76" ca="1" si="53">+DU13</f>
        <v>0</v>
      </c>
      <c r="AL13" s="104">
        <f t="shared" ref="AL13:AL76" ca="1" si="54">+ROUND(IFERROR(DV13,0),1)</f>
        <v>0</v>
      </c>
      <c r="AM13" s="104">
        <f t="shared" ref="AM13:AM76" ca="1" si="55">+BS13</f>
        <v>0</v>
      </c>
      <c r="AN13" s="104">
        <f t="shared" ref="AN13:AN76" ca="1" si="56">+ROUND(IFERROR(DA13,0),1)</f>
        <v>0</v>
      </c>
      <c r="AO13" s="104">
        <f t="shared" ref="AO13:AO76" ca="1" si="57">+BT13</f>
        <v>0</v>
      </c>
      <c r="AP13" s="104">
        <f t="shared" ref="AP13:AP76" ca="1" si="58">+AO13-AJ13</f>
        <v>0</v>
      </c>
      <c r="AQ13" s="49">
        <f t="shared" ref="AQ13:AQ76" ca="1" si="59">+ROUND(BN13,0)</f>
        <v>0</v>
      </c>
      <c r="AR13" s="104">
        <f t="shared" ref="AR13:AR76" ca="1" si="60">+ROUND(IFERROR(AQ13/AM13,0),1)</f>
        <v>0</v>
      </c>
      <c r="AS13" s="104">
        <f t="shared" ref="AS13:AS76" ca="1" si="61">+ROUND(IFERROR(BK13,0),3)</f>
        <v>0</v>
      </c>
      <c r="AT13" s="104">
        <f t="shared" ref="AT13:AT76" ca="1" si="62">+ROUND(IFERROR(BL13,0),3)</f>
        <v>0</v>
      </c>
      <c r="AU13" s="104">
        <f t="shared" ref="AU13:AU76" ca="1" si="63">+ROUND(IFERROR(BM13,0),3)</f>
        <v>0</v>
      </c>
      <c r="BF13" s="49">
        <f t="shared" ref="BF13:BF76" ca="1" si="64">+F13</f>
        <v>0</v>
      </c>
      <c r="BG13" s="49">
        <f t="shared" ref="BG13:BG76" ca="1" si="65">+G13</f>
        <v>0</v>
      </c>
      <c r="BH13" s="54" t="e">
        <f t="shared" ref="BH13:BH76" ca="1" si="66">BG13/BF13</f>
        <v>#DIV/0!</v>
      </c>
      <c r="BI13" s="112" t="e">
        <f t="shared" ref="BI13:BI76" ca="1" si="67">BJ13/BF13</f>
        <v>#DIV/0!</v>
      </c>
      <c r="BK13" s="55" t="e">
        <f t="shared" ref="BK13:BK76" ca="1" si="68">BN13/(BT13-BG13)</f>
        <v>#DIV/0!</v>
      </c>
      <c r="BL13" s="55" t="e">
        <f t="shared" ref="BL13:BL76" ca="1" si="69">DS13</f>
        <v>#DIV/0!</v>
      </c>
      <c r="BM13" s="55" t="e">
        <f t="shared" ref="BM13:BM76" ca="1" si="70">BK13-BL13</f>
        <v>#DIV/0!</v>
      </c>
      <c r="BN13" s="53">
        <f t="shared" ref="BN13:BN76" ca="1" si="71">+H13</f>
        <v>0</v>
      </c>
      <c r="BO13" s="112" t="e">
        <f t="shared" ref="BO13:BO76" ca="1" si="72">BP13/BN13</f>
        <v>#DIV/0!</v>
      </c>
      <c r="BR13" s="53" t="e">
        <f t="shared" ref="BR13:BR76" ca="1" si="73">BQ13/BT13</f>
        <v>#DIV/0!</v>
      </c>
      <c r="BS13" s="53">
        <f t="shared" ref="BS13:BS76" ca="1" si="74">+J13</f>
        <v>0</v>
      </c>
      <c r="BT13" s="53">
        <f t="shared" ref="BT13:BT76" ca="1" si="75">+K13</f>
        <v>0</v>
      </c>
      <c r="BU13" s="56" t="e">
        <f t="shared" ref="BU13:BU76" ca="1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ca="1" si="79">BF13</f>
        <v>0</v>
      </c>
      <c r="CW13" s="53">
        <f t="shared" ref="CW13:CW76" ca="1" si="80">BG13</f>
        <v>0</v>
      </c>
      <c r="CX13" s="58" t="e">
        <f t="shared" ref="CX13:CX76" ca="1" si="81">ROUND(BH13,2)</f>
        <v>#DIV/0!</v>
      </c>
      <c r="CY13" s="53">
        <f t="shared" ref="CY13:CY76" ca="1" si="82">BS13</f>
        <v>0</v>
      </c>
      <c r="CZ13" s="53">
        <f t="shared" ref="CZ13:CZ76" ca="1" si="83">BT13</f>
        <v>0</v>
      </c>
      <c r="DA13" s="58" t="e">
        <f t="shared" ref="DA13:DA76" ca="1" si="84">ROUND(BU13,2)</f>
        <v>#DIV/0!</v>
      </c>
      <c r="DB13" s="48" t="e">
        <f t="shared" ref="DB13:DB76" ca="1" si="85">IF(DA13&lt;100,(LEFT(DA13,2)),IF(DA13&gt;100,(LEFT(DA13,3))))</f>
        <v>#DIV/0!</v>
      </c>
      <c r="DC13" s="48" t="e">
        <f t="shared" ref="DC13:DC76" ca="1" si="86">+DB13+1</f>
        <v>#DIV/0!</v>
      </c>
      <c r="DD13" s="48" t="e">
        <f t="shared" ref="DD13:DD76" ca="1" si="87">LEFT(CX13,2)</f>
        <v>#DIV/0!</v>
      </c>
      <c r="DE13" s="48" t="e">
        <f t="shared" ref="DE13:DE76" ca="1" si="88">ROUND(DD13,0)</f>
        <v>#DIV/0!</v>
      </c>
      <c r="DF13" s="48" t="e">
        <f t="shared" ref="DF13:DF76" ca="1" si="89">+DD13+1</f>
        <v>#DIV/0!</v>
      </c>
      <c r="DG13" s="48" t="e">
        <f t="shared" ref="DG13:DG76" ca="1" si="90">DE13&amp;DB13</f>
        <v>#DIV/0!</v>
      </c>
      <c r="DH13" s="48">
        <f ca="1">SUMIF(FCR!$BZ$4:$DB$500,DG13,FCR!$DE$4:$EG$500)</f>
        <v>0</v>
      </c>
      <c r="DI13" s="48" t="e">
        <f t="shared" ref="DI13:DI76" ca="1" si="91">DF13&amp;DB13</f>
        <v>#DIV/0!</v>
      </c>
      <c r="DJ13" s="48">
        <f ca="1">SUMIF(FCR!$BZ$4:$DB$142,DI13,FCR!$DE$4:$EG$142)</f>
        <v>0</v>
      </c>
      <c r="DK13" s="48" t="e">
        <f t="shared" ref="DK13:DK76" ca="1" si="92">(CX13-DE13)*100</f>
        <v>#DIV/0!</v>
      </c>
      <c r="DL13" s="55" t="e">
        <f t="shared" ref="DL13:DL76" ca="1" si="93">ROUND(DH13+(DJ13-DH13)/100*DK13,3)</f>
        <v>#DIV/0!</v>
      </c>
      <c r="DM13" s="48" t="e">
        <f t="shared" ref="DM13:DM76" ca="1" si="94">DE13&amp;DC13</f>
        <v>#DIV/0!</v>
      </c>
      <c r="DN13" s="48">
        <f ca="1">SUMIF(FCR!$BZ$4:$DB$142,DM13,FCR!$DE$4:$EG$142)</f>
        <v>0</v>
      </c>
      <c r="DO13" s="53" t="e">
        <f t="shared" ref="DO13:DO76" ca="1" si="95">(DA13-DB13)*100</f>
        <v>#DIV/0!</v>
      </c>
      <c r="DP13" s="55" t="e">
        <f t="shared" ref="DP13:DP76" ca="1" si="96">ROUND(DH13+(DN13-DH13)/100*DO13,3)</f>
        <v>#DIV/0!</v>
      </c>
      <c r="DQ13" s="55" t="e">
        <f t="shared" ref="DQ13:DQ76" ca="1" si="97">ROUND((DP13+DL13)/2,3)</f>
        <v>#DIV/0!</v>
      </c>
      <c r="DR13" s="55"/>
      <c r="DS13" s="55" t="e">
        <f t="shared" ref="DS13:DS76" ca="1" si="98">DR13+DQ13</f>
        <v>#DIV/0!</v>
      </c>
      <c r="DT13" s="55" t="e">
        <f t="shared" ref="DT13:DT76" ca="1" si="99">+DQ13-BL13</f>
        <v>#DIV/0!</v>
      </c>
      <c r="DU13" s="53">
        <f t="shared" ref="DU13:DU76" ca="1" si="100">CV13-CY13</f>
        <v>0</v>
      </c>
      <c r="DV13" s="59" t="e">
        <f t="shared" ref="DV13:DV76" ca="1" si="101">ROUND(DU13/CV13*100,2)</f>
        <v>#DIV/0!</v>
      </c>
    </row>
    <row r="14" spans="1:12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AD14" s="49" t="s">
        <v>337</v>
      </c>
      <c r="AE14" s="49">
        <f t="shared" ca="1" si="24"/>
        <v>0</v>
      </c>
      <c r="AF14" s="49">
        <f t="shared" ca="1" si="48"/>
        <v>0</v>
      </c>
      <c r="AG14" s="114">
        <f t="shared" ca="1" si="49"/>
        <v>0</v>
      </c>
      <c r="AH14" s="104">
        <f t="shared" ca="1" si="50"/>
        <v>0</v>
      </c>
      <c r="AI14" s="104">
        <f t="shared" ca="1" si="51"/>
        <v>0</v>
      </c>
      <c r="AJ14" s="104">
        <f t="shared" ca="1" si="52"/>
        <v>0</v>
      </c>
      <c r="AK14" s="104">
        <f t="shared" ca="1" si="53"/>
        <v>0</v>
      </c>
      <c r="AL14" s="104">
        <f t="shared" ca="1" si="54"/>
        <v>0</v>
      </c>
      <c r="AM14" s="104">
        <f t="shared" ca="1" si="55"/>
        <v>0</v>
      </c>
      <c r="AN14" s="104">
        <f t="shared" ca="1" si="56"/>
        <v>0</v>
      </c>
      <c r="AO14" s="104">
        <f t="shared" ca="1" si="57"/>
        <v>0</v>
      </c>
      <c r="AP14" s="104">
        <f t="shared" ca="1" si="58"/>
        <v>0</v>
      </c>
      <c r="AQ14" s="49">
        <f t="shared" ca="1" si="59"/>
        <v>0</v>
      </c>
      <c r="AR14" s="104">
        <f t="shared" ca="1" si="60"/>
        <v>0</v>
      </c>
      <c r="AS14" s="104">
        <f t="shared" ca="1" si="61"/>
        <v>0</v>
      </c>
      <c r="AT14" s="104">
        <f t="shared" ca="1" si="62"/>
        <v>0</v>
      </c>
      <c r="AU14" s="104">
        <f t="shared" ca="1" si="63"/>
        <v>0</v>
      </c>
      <c r="BF14" s="49">
        <f t="shared" ca="1" si="64"/>
        <v>0</v>
      </c>
      <c r="BG14" s="49">
        <f t="shared" ca="1" si="65"/>
        <v>0</v>
      </c>
      <c r="BH14" s="54" t="e">
        <f t="shared" ca="1" si="66"/>
        <v>#DIV/0!</v>
      </c>
      <c r="BI14" s="112" t="e">
        <f t="shared" ca="1" si="67"/>
        <v>#DIV/0!</v>
      </c>
      <c r="BK14" s="55" t="e">
        <f t="shared" ca="1" si="68"/>
        <v>#DIV/0!</v>
      </c>
      <c r="BL14" s="55" t="e">
        <f t="shared" ca="1" si="69"/>
        <v>#DIV/0!</v>
      </c>
      <c r="BM14" s="55" t="e">
        <f t="shared" ca="1" si="70"/>
        <v>#DIV/0!</v>
      </c>
      <c r="BN14" s="53">
        <f t="shared" ca="1" si="71"/>
        <v>0</v>
      </c>
      <c r="BO14" s="112" t="e">
        <f t="shared" ca="1" si="72"/>
        <v>#DIV/0!</v>
      </c>
      <c r="BR14" s="53" t="e">
        <f t="shared" ca="1" si="73"/>
        <v>#DIV/0!</v>
      </c>
      <c r="BS14" s="53">
        <f t="shared" ca="1" si="74"/>
        <v>0</v>
      </c>
      <c r="BT14" s="53">
        <f t="shared" ca="1" si="75"/>
        <v>0</v>
      </c>
      <c r="BU14" s="56" t="e">
        <f t="shared" ca="1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ca="1" si="79"/>
        <v>0</v>
      </c>
      <c r="CW14" s="53">
        <f t="shared" ca="1" si="80"/>
        <v>0</v>
      </c>
      <c r="CX14" s="58" t="e">
        <f t="shared" ca="1" si="81"/>
        <v>#DIV/0!</v>
      </c>
      <c r="CY14" s="53">
        <f t="shared" ca="1" si="82"/>
        <v>0</v>
      </c>
      <c r="CZ14" s="53">
        <f t="shared" ca="1" si="83"/>
        <v>0</v>
      </c>
      <c r="DA14" s="58" t="e">
        <f t="shared" ca="1" si="84"/>
        <v>#DIV/0!</v>
      </c>
      <c r="DB14" s="48" t="e">
        <f t="shared" ca="1" si="85"/>
        <v>#DIV/0!</v>
      </c>
      <c r="DC14" s="48" t="e">
        <f t="shared" ca="1" si="86"/>
        <v>#DIV/0!</v>
      </c>
      <c r="DD14" s="48" t="e">
        <f t="shared" ca="1" si="87"/>
        <v>#DIV/0!</v>
      </c>
      <c r="DE14" s="48" t="e">
        <f t="shared" ca="1" si="88"/>
        <v>#DIV/0!</v>
      </c>
      <c r="DF14" s="48" t="e">
        <f t="shared" ca="1" si="89"/>
        <v>#DIV/0!</v>
      </c>
      <c r="DG14" s="48" t="e">
        <f t="shared" ca="1" si="90"/>
        <v>#DIV/0!</v>
      </c>
      <c r="DH14" s="48">
        <f ca="1">SUMIF(FCR!$BZ$4:$DB$500,DG14,FCR!$DE$4:$EG$500)</f>
        <v>0</v>
      </c>
      <c r="DI14" s="48" t="e">
        <f t="shared" ca="1" si="91"/>
        <v>#DIV/0!</v>
      </c>
      <c r="DJ14" s="48">
        <f ca="1">SUMIF(FCR!$BZ$4:$DB$142,DI14,FCR!$DE$4:$EG$142)</f>
        <v>0</v>
      </c>
      <c r="DK14" s="48" t="e">
        <f t="shared" ca="1" si="92"/>
        <v>#DIV/0!</v>
      </c>
      <c r="DL14" s="55" t="e">
        <f t="shared" ca="1" si="93"/>
        <v>#DIV/0!</v>
      </c>
      <c r="DM14" s="48" t="e">
        <f t="shared" ca="1" si="94"/>
        <v>#DIV/0!</v>
      </c>
      <c r="DN14" s="48">
        <f ca="1">SUMIF(FCR!$BZ$4:$DB$142,DM14,FCR!$DE$4:$EG$142)</f>
        <v>0</v>
      </c>
      <c r="DO14" s="53" t="e">
        <f t="shared" ca="1" si="95"/>
        <v>#DIV/0!</v>
      </c>
      <c r="DP14" s="55" t="e">
        <f t="shared" ca="1" si="96"/>
        <v>#DIV/0!</v>
      </c>
      <c r="DQ14" s="55" t="e">
        <f t="shared" ca="1" si="97"/>
        <v>#DIV/0!</v>
      </c>
      <c r="DR14" s="55"/>
      <c r="DS14" s="55" t="e">
        <f t="shared" ca="1" si="98"/>
        <v>#DIV/0!</v>
      </c>
      <c r="DT14" s="55" t="e">
        <f t="shared" ca="1" si="99"/>
        <v>#DIV/0!</v>
      </c>
      <c r="DU14" s="53">
        <f t="shared" ca="1" si="100"/>
        <v>0</v>
      </c>
      <c r="DV14" s="59" t="e">
        <f t="shared" ca="1" si="101"/>
        <v>#DIV/0!</v>
      </c>
    </row>
    <row r="15" spans="1:12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AD15" s="49" t="s">
        <v>337</v>
      </c>
      <c r="AE15" s="49">
        <f t="shared" ca="1" si="24"/>
        <v>0</v>
      </c>
      <c r="AF15" s="49">
        <f t="shared" ca="1" si="48"/>
        <v>0</v>
      </c>
      <c r="AG15" s="114">
        <f t="shared" ca="1" si="49"/>
        <v>0</v>
      </c>
      <c r="AH15" s="104">
        <f t="shared" ca="1" si="50"/>
        <v>0</v>
      </c>
      <c r="AI15" s="104">
        <f t="shared" ca="1" si="51"/>
        <v>0</v>
      </c>
      <c r="AJ15" s="104">
        <f t="shared" ca="1" si="52"/>
        <v>0</v>
      </c>
      <c r="AK15" s="104">
        <f t="shared" ca="1" si="53"/>
        <v>0</v>
      </c>
      <c r="AL15" s="104">
        <f t="shared" ca="1" si="54"/>
        <v>0</v>
      </c>
      <c r="AM15" s="104">
        <f t="shared" ca="1" si="55"/>
        <v>0</v>
      </c>
      <c r="AN15" s="104">
        <f t="shared" ca="1" si="56"/>
        <v>0</v>
      </c>
      <c r="AO15" s="104">
        <f t="shared" ca="1" si="57"/>
        <v>0</v>
      </c>
      <c r="AP15" s="104">
        <f t="shared" ca="1" si="58"/>
        <v>0</v>
      </c>
      <c r="AQ15" s="49">
        <f t="shared" ca="1" si="59"/>
        <v>0</v>
      </c>
      <c r="AR15" s="104">
        <f t="shared" ca="1" si="60"/>
        <v>0</v>
      </c>
      <c r="AS15" s="104">
        <f t="shared" ca="1" si="61"/>
        <v>0</v>
      </c>
      <c r="AT15" s="104">
        <f t="shared" ca="1" si="62"/>
        <v>0</v>
      </c>
      <c r="AU15" s="104">
        <f t="shared" ca="1" si="63"/>
        <v>0</v>
      </c>
      <c r="BF15" s="49">
        <f t="shared" ca="1" si="64"/>
        <v>0</v>
      </c>
      <c r="BG15" s="49">
        <f t="shared" ca="1" si="65"/>
        <v>0</v>
      </c>
      <c r="BH15" s="54" t="e">
        <f t="shared" ca="1" si="66"/>
        <v>#DIV/0!</v>
      </c>
      <c r="BI15" s="112" t="e">
        <f t="shared" ca="1" si="67"/>
        <v>#DIV/0!</v>
      </c>
      <c r="BK15" s="55" t="e">
        <f t="shared" ca="1" si="68"/>
        <v>#DIV/0!</v>
      </c>
      <c r="BL15" s="55" t="e">
        <f t="shared" ca="1" si="69"/>
        <v>#DIV/0!</v>
      </c>
      <c r="BM15" s="55" t="e">
        <f t="shared" ca="1" si="70"/>
        <v>#DIV/0!</v>
      </c>
      <c r="BN15" s="53">
        <f t="shared" ca="1" si="71"/>
        <v>0</v>
      </c>
      <c r="BO15" s="112" t="e">
        <f t="shared" ca="1" si="72"/>
        <v>#DIV/0!</v>
      </c>
      <c r="BR15" s="53" t="e">
        <f t="shared" ca="1" si="73"/>
        <v>#DIV/0!</v>
      </c>
      <c r="BS15" s="53">
        <f t="shared" ca="1" si="74"/>
        <v>0</v>
      </c>
      <c r="BT15" s="53">
        <f t="shared" ca="1" si="75"/>
        <v>0</v>
      </c>
      <c r="BU15" s="56" t="e">
        <f t="shared" ca="1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ca="1" si="79"/>
        <v>0</v>
      </c>
      <c r="CW15" s="53">
        <f t="shared" ca="1" si="80"/>
        <v>0</v>
      </c>
      <c r="CX15" s="58" t="e">
        <f t="shared" ca="1" si="81"/>
        <v>#DIV/0!</v>
      </c>
      <c r="CY15" s="53">
        <f t="shared" ca="1" si="82"/>
        <v>0</v>
      </c>
      <c r="CZ15" s="53">
        <f t="shared" ca="1" si="83"/>
        <v>0</v>
      </c>
      <c r="DA15" s="58" t="e">
        <f t="shared" ca="1" si="84"/>
        <v>#DIV/0!</v>
      </c>
      <c r="DB15" s="48" t="e">
        <f t="shared" ca="1" si="85"/>
        <v>#DIV/0!</v>
      </c>
      <c r="DC15" s="48" t="e">
        <f t="shared" ca="1" si="86"/>
        <v>#DIV/0!</v>
      </c>
      <c r="DD15" s="48" t="e">
        <f t="shared" ca="1" si="87"/>
        <v>#DIV/0!</v>
      </c>
      <c r="DE15" s="48" t="e">
        <f t="shared" ca="1" si="88"/>
        <v>#DIV/0!</v>
      </c>
      <c r="DF15" s="48" t="e">
        <f t="shared" ca="1" si="89"/>
        <v>#DIV/0!</v>
      </c>
      <c r="DG15" s="48" t="e">
        <f t="shared" ca="1" si="90"/>
        <v>#DIV/0!</v>
      </c>
      <c r="DH15" s="48">
        <f ca="1">SUMIF(FCR!$BZ$4:$DB$500,DG15,FCR!$DE$4:$EG$500)</f>
        <v>0</v>
      </c>
      <c r="DI15" s="48" t="e">
        <f t="shared" ca="1" si="91"/>
        <v>#DIV/0!</v>
      </c>
      <c r="DJ15" s="48">
        <f ca="1">SUMIF(FCR!$BZ$4:$DB$142,DI15,FCR!$DE$4:$EG$142)</f>
        <v>0</v>
      </c>
      <c r="DK15" s="48" t="e">
        <f t="shared" ca="1" si="92"/>
        <v>#DIV/0!</v>
      </c>
      <c r="DL15" s="55" t="e">
        <f t="shared" ca="1" si="93"/>
        <v>#DIV/0!</v>
      </c>
      <c r="DM15" s="48" t="e">
        <f t="shared" ca="1" si="94"/>
        <v>#DIV/0!</v>
      </c>
      <c r="DN15" s="48">
        <f ca="1">SUMIF(FCR!$BZ$4:$DB$142,DM15,FCR!$DE$4:$EG$142)</f>
        <v>0</v>
      </c>
      <c r="DO15" s="53" t="e">
        <f t="shared" ca="1" si="95"/>
        <v>#DIV/0!</v>
      </c>
      <c r="DP15" s="55" t="e">
        <f t="shared" ca="1" si="96"/>
        <v>#DIV/0!</v>
      </c>
      <c r="DQ15" s="55" t="e">
        <f t="shared" ca="1" si="97"/>
        <v>#DIV/0!</v>
      </c>
      <c r="DR15" s="55"/>
      <c r="DS15" s="55" t="e">
        <f t="shared" ca="1" si="98"/>
        <v>#DIV/0!</v>
      </c>
      <c r="DT15" s="55" t="e">
        <f t="shared" ca="1" si="99"/>
        <v>#DIV/0!</v>
      </c>
      <c r="DU15" s="53">
        <f t="shared" ca="1" si="100"/>
        <v>0</v>
      </c>
      <c r="DV15" s="59" t="e">
        <f t="shared" ca="1" si="101"/>
        <v>#DIV/0!</v>
      </c>
    </row>
    <row r="16" spans="1:12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AD16" s="49" t="s">
        <v>337</v>
      </c>
      <c r="AE16" s="49">
        <f t="shared" ca="1" si="24"/>
        <v>0</v>
      </c>
      <c r="AF16" s="49">
        <f t="shared" ca="1" si="48"/>
        <v>0</v>
      </c>
      <c r="AG16" s="114">
        <f t="shared" ca="1" si="49"/>
        <v>0</v>
      </c>
      <c r="AH16" s="104">
        <f t="shared" ca="1" si="50"/>
        <v>0</v>
      </c>
      <c r="AI16" s="104">
        <f t="shared" ca="1" si="51"/>
        <v>0</v>
      </c>
      <c r="AJ16" s="104">
        <f t="shared" ca="1" si="52"/>
        <v>0</v>
      </c>
      <c r="AK16" s="104">
        <f t="shared" ca="1" si="53"/>
        <v>0</v>
      </c>
      <c r="AL16" s="104">
        <f t="shared" ca="1" si="54"/>
        <v>0</v>
      </c>
      <c r="AM16" s="104">
        <f t="shared" ca="1" si="55"/>
        <v>0</v>
      </c>
      <c r="AN16" s="104">
        <f t="shared" ca="1" si="56"/>
        <v>0</v>
      </c>
      <c r="AO16" s="104">
        <f t="shared" ca="1" si="57"/>
        <v>0</v>
      </c>
      <c r="AP16" s="104">
        <f t="shared" ca="1" si="58"/>
        <v>0</v>
      </c>
      <c r="AQ16" s="49">
        <f t="shared" ca="1" si="59"/>
        <v>0</v>
      </c>
      <c r="AR16" s="104">
        <f t="shared" ca="1" si="60"/>
        <v>0</v>
      </c>
      <c r="AS16" s="104">
        <f t="shared" ca="1" si="61"/>
        <v>0</v>
      </c>
      <c r="AT16" s="104">
        <f t="shared" ca="1" si="62"/>
        <v>0</v>
      </c>
      <c r="AU16" s="104">
        <f t="shared" ca="1" si="63"/>
        <v>0</v>
      </c>
      <c r="BF16" s="49">
        <f t="shared" ca="1" si="64"/>
        <v>0</v>
      </c>
      <c r="BG16" s="49">
        <f t="shared" ca="1" si="65"/>
        <v>0</v>
      </c>
      <c r="BH16" s="54" t="e">
        <f t="shared" ca="1" si="66"/>
        <v>#DIV/0!</v>
      </c>
      <c r="BI16" s="112" t="e">
        <f t="shared" ca="1" si="67"/>
        <v>#DIV/0!</v>
      </c>
      <c r="BK16" s="55" t="e">
        <f t="shared" ca="1" si="68"/>
        <v>#DIV/0!</v>
      </c>
      <c r="BL16" s="55" t="e">
        <f t="shared" ca="1" si="69"/>
        <v>#DIV/0!</v>
      </c>
      <c r="BM16" s="55" t="e">
        <f t="shared" ca="1" si="70"/>
        <v>#DIV/0!</v>
      </c>
      <c r="BN16" s="53">
        <f t="shared" ca="1" si="71"/>
        <v>0</v>
      </c>
      <c r="BO16" s="112" t="e">
        <f t="shared" ca="1" si="72"/>
        <v>#DIV/0!</v>
      </c>
      <c r="BR16" s="53" t="e">
        <f t="shared" ca="1" si="73"/>
        <v>#DIV/0!</v>
      </c>
      <c r="BS16" s="53">
        <f t="shared" ca="1" si="74"/>
        <v>0</v>
      </c>
      <c r="BT16" s="53">
        <f t="shared" ca="1" si="75"/>
        <v>0</v>
      </c>
      <c r="BU16" s="56" t="e">
        <f t="shared" ca="1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ca="1" si="79"/>
        <v>0</v>
      </c>
      <c r="CW16" s="53">
        <f t="shared" ca="1" si="80"/>
        <v>0</v>
      </c>
      <c r="CX16" s="58" t="e">
        <f t="shared" ca="1" si="81"/>
        <v>#DIV/0!</v>
      </c>
      <c r="CY16" s="53">
        <f t="shared" ca="1" si="82"/>
        <v>0</v>
      </c>
      <c r="CZ16" s="53">
        <f t="shared" ca="1" si="83"/>
        <v>0</v>
      </c>
      <c r="DA16" s="58" t="e">
        <f t="shared" ca="1" si="84"/>
        <v>#DIV/0!</v>
      </c>
      <c r="DB16" s="48" t="e">
        <f t="shared" ca="1" si="85"/>
        <v>#DIV/0!</v>
      </c>
      <c r="DC16" s="48" t="e">
        <f t="shared" ca="1" si="86"/>
        <v>#DIV/0!</v>
      </c>
      <c r="DD16" s="48" t="e">
        <f t="shared" ca="1" si="87"/>
        <v>#DIV/0!</v>
      </c>
      <c r="DE16" s="48" t="e">
        <f t="shared" ca="1" si="88"/>
        <v>#DIV/0!</v>
      </c>
      <c r="DF16" s="48" t="e">
        <f t="shared" ca="1" si="89"/>
        <v>#DIV/0!</v>
      </c>
      <c r="DG16" s="48" t="e">
        <f t="shared" ca="1" si="90"/>
        <v>#DIV/0!</v>
      </c>
      <c r="DH16" s="48">
        <f ca="1">SUMIF(FCR!$BZ$4:$DB$500,DG16,FCR!$DE$4:$EG$500)</f>
        <v>0</v>
      </c>
      <c r="DI16" s="48" t="e">
        <f t="shared" ca="1" si="91"/>
        <v>#DIV/0!</v>
      </c>
      <c r="DJ16" s="48">
        <f ca="1">SUMIF(FCR!$BZ$4:$DB$142,DI16,FCR!$DE$4:$EG$142)</f>
        <v>0</v>
      </c>
      <c r="DK16" s="48" t="e">
        <f t="shared" ca="1" si="92"/>
        <v>#DIV/0!</v>
      </c>
      <c r="DL16" s="55" t="e">
        <f t="shared" ca="1" si="93"/>
        <v>#DIV/0!</v>
      </c>
      <c r="DM16" s="48" t="e">
        <f t="shared" ca="1" si="94"/>
        <v>#DIV/0!</v>
      </c>
      <c r="DN16" s="48">
        <f ca="1">SUMIF(FCR!$BZ$4:$DB$142,DM16,FCR!$DE$4:$EG$142)</f>
        <v>0</v>
      </c>
      <c r="DO16" s="53" t="e">
        <f t="shared" ca="1" si="95"/>
        <v>#DIV/0!</v>
      </c>
      <c r="DP16" s="55" t="e">
        <f t="shared" ca="1" si="96"/>
        <v>#DIV/0!</v>
      </c>
      <c r="DQ16" s="55" t="e">
        <f t="shared" ca="1" si="97"/>
        <v>#DIV/0!</v>
      </c>
      <c r="DR16" s="55"/>
      <c r="DS16" s="55" t="e">
        <f t="shared" ca="1" si="98"/>
        <v>#DIV/0!</v>
      </c>
      <c r="DT16" s="55" t="e">
        <f t="shared" ca="1" si="99"/>
        <v>#DIV/0!</v>
      </c>
      <c r="DU16" s="53">
        <f t="shared" ca="1" si="100"/>
        <v>0</v>
      </c>
      <c r="DV16" s="59" t="e">
        <f t="shared" ca="1" si="101"/>
        <v>#DIV/0!</v>
      </c>
    </row>
    <row r="17" spans="1:12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AD17" s="49" t="s">
        <v>337</v>
      </c>
      <c r="AE17" s="49">
        <f t="shared" ca="1" si="24"/>
        <v>0</v>
      </c>
      <c r="AF17" s="49">
        <f t="shared" ca="1" si="48"/>
        <v>0</v>
      </c>
      <c r="AG17" s="114">
        <f t="shared" ca="1" si="49"/>
        <v>0</v>
      </c>
      <c r="AH17" s="104">
        <f t="shared" ca="1" si="50"/>
        <v>0</v>
      </c>
      <c r="AI17" s="104">
        <f t="shared" ca="1" si="51"/>
        <v>0</v>
      </c>
      <c r="AJ17" s="104">
        <f t="shared" ca="1" si="52"/>
        <v>0</v>
      </c>
      <c r="AK17" s="104">
        <f t="shared" ca="1" si="53"/>
        <v>0</v>
      </c>
      <c r="AL17" s="104">
        <f t="shared" ca="1" si="54"/>
        <v>0</v>
      </c>
      <c r="AM17" s="104">
        <f t="shared" ca="1" si="55"/>
        <v>0</v>
      </c>
      <c r="AN17" s="104">
        <f t="shared" ca="1" si="56"/>
        <v>0</v>
      </c>
      <c r="AO17" s="104">
        <f t="shared" ca="1" si="57"/>
        <v>0</v>
      </c>
      <c r="AP17" s="104">
        <f t="shared" ca="1" si="58"/>
        <v>0</v>
      </c>
      <c r="AQ17" s="49">
        <f t="shared" ca="1" si="59"/>
        <v>0</v>
      </c>
      <c r="AR17" s="104">
        <f t="shared" ca="1" si="60"/>
        <v>0</v>
      </c>
      <c r="AS17" s="104">
        <f t="shared" ca="1" si="61"/>
        <v>0</v>
      </c>
      <c r="AT17" s="104">
        <f t="shared" ca="1" si="62"/>
        <v>0</v>
      </c>
      <c r="AU17" s="104">
        <f t="shared" ca="1" si="63"/>
        <v>0</v>
      </c>
      <c r="BF17" s="49">
        <f t="shared" ca="1" si="64"/>
        <v>0</v>
      </c>
      <c r="BG17" s="49">
        <f t="shared" ca="1" si="65"/>
        <v>0</v>
      </c>
      <c r="BH17" s="54" t="e">
        <f t="shared" ca="1" si="66"/>
        <v>#DIV/0!</v>
      </c>
      <c r="BI17" s="112" t="e">
        <f t="shared" ca="1" si="67"/>
        <v>#DIV/0!</v>
      </c>
      <c r="BK17" s="55" t="e">
        <f t="shared" ca="1" si="68"/>
        <v>#DIV/0!</v>
      </c>
      <c r="BL17" s="55" t="e">
        <f t="shared" ca="1" si="69"/>
        <v>#DIV/0!</v>
      </c>
      <c r="BM17" s="55" t="e">
        <f t="shared" ca="1" si="70"/>
        <v>#DIV/0!</v>
      </c>
      <c r="BN17" s="53">
        <f t="shared" ca="1" si="71"/>
        <v>0</v>
      </c>
      <c r="BO17" s="112" t="e">
        <f t="shared" ca="1" si="72"/>
        <v>#DIV/0!</v>
      </c>
      <c r="BR17" s="53" t="e">
        <f t="shared" ca="1" si="73"/>
        <v>#DIV/0!</v>
      </c>
      <c r="BS17" s="53">
        <f t="shared" ca="1" si="74"/>
        <v>0</v>
      </c>
      <c r="BT17" s="53">
        <f t="shared" ca="1" si="75"/>
        <v>0</v>
      </c>
      <c r="BU17" s="56" t="e">
        <f t="shared" ca="1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ca="1" si="79"/>
        <v>0</v>
      </c>
      <c r="CW17" s="53">
        <f t="shared" ca="1" si="80"/>
        <v>0</v>
      </c>
      <c r="CX17" s="58" t="e">
        <f t="shared" ca="1" si="81"/>
        <v>#DIV/0!</v>
      </c>
      <c r="CY17" s="53">
        <f t="shared" ca="1" si="82"/>
        <v>0</v>
      </c>
      <c r="CZ17" s="53">
        <f t="shared" ca="1" si="83"/>
        <v>0</v>
      </c>
      <c r="DA17" s="58" t="e">
        <f t="shared" ca="1" si="84"/>
        <v>#DIV/0!</v>
      </c>
      <c r="DB17" s="48" t="e">
        <f t="shared" ca="1" si="85"/>
        <v>#DIV/0!</v>
      </c>
      <c r="DC17" s="48" t="e">
        <f t="shared" ca="1" si="86"/>
        <v>#DIV/0!</v>
      </c>
      <c r="DD17" s="48" t="e">
        <f t="shared" ca="1" si="87"/>
        <v>#DIV/0!</v>
      </c>
      <c r="DE17" s="48" t="e">
        <f t="shared" ca="1" si="88"/>
        <v>#DIV/0!</v>
      </c>
      <c r="DF17" s="48" t="e">
        <f t="shared" ca="1" si="89"/>
        <v>#DIV/0!</v>
      </c>
      <c r="DG17" s="48" t="e">
        <f t="shared" ca="1" si="90"/>
        <v>#DIV/0!</v>
      </c>
      <c r="DH17" s="48">
        <f ca="1">SUMIF(FCR!$BZ$4:$DB$500,DG17,FCR!$DE$4:$EG$500)</f>
        <v>0</v>
      </c>
      <c r="DI17" s="48" t="e">
        <f t="shared" ca="1" si="91"/>
        <v>#DIV/0!</v>
      </c>
      <c r="DJ17" s="48">
        <f ca="1">SUMIF(FCR!$BZ$4:$DB$142,DI17,FCR!$DE$4:$EG$142)</f>
        <v>0</v>
      </c>
      <c r="DK17" s="48" t="e">
        <f t="shared" ca="1" si="92"/>
        <v>#DIV/0!</v>
      </c>
      <c r="DL17" s="55" t="e">
        <f t="shared" ca="1" si="93"/>
        <v>#DIV/0!</v>
      </c>
      <c r="DM17" s="48" t="e">
        <f t="shared" ca="1" si="94"/>
        <v>#DIV/0!</v>
      </c>
      <c r="DN17" s="48">
        <f ca="1">SUMIF(FCR!$BZ$4:$DB$142,DM17,FCR!$DE$4:$EG$142)</f>
        <v>0</v>
      </c>
      <c r="DO17" s="53" t="e">
        <f t="shared" ca="1" si="95"/>
        <v>#DIV/0!</v>
      </c>
      <c r="DP17" s="55" t="e">
        <f t="shared" ca="1" si="96"/>
        <v>#DIV/0!</v>
      </c>
      <c r="DQ17" s="55" t="e">
        <f t="shared" ca="1" si="97"/>
        <v>#DIV/0!</v>
      </c>
      <c r="DR17" s="55"/>
      <c r="DS17" s="55" t="e">
        <f t="shared" ca="1" si="98"/>
        <v>#DIV/0!</v>
      </c>
      <c r="DT17" s="55" t="e">
        <f t="shared" ca="1" si="99"/>
        <v>#DIV/0!</v>
      </c>
      <c r="DU17" s="53">
        <f t="shared" ca="1" si="100"/>
        <v>0</v>
      </c>
      <c r="DV17" s="59" t="e">
        <f t="shared" ca="1" si="101"/>
        <v>#DIV/0!</v>
      </c>
    </row>
    <row r="18" spans="1:12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AD18" s="49" t="s">
        <v>337</v>
      </c>
      <c r="AE18" s="49">
        <f t="shared" ca="1" si="24"/>
        <v>0</v>
      </c>
      <c r="AF18" s="49">
        <f t="shared" ca="1" si="48"/>
        <v>0</v>
      </c>
      <c r="AG18" s="114">
        <f t="shared" ca="1" si="49"/>
        <v>0</v>
      </c>
      <c r="AH18" s="104">
        <f t="shared" ca="1" si="50"/>
        <v>0</v>
      </c>
      <c r="AI18" s="104">
        <f t="shared" ca="1" si="51"/>
        <v>0</v>
      </c>
      <c r="AJ18" s="104">
        <f t="shared" ca="1" si="52"/>
        <v>0</v>
      </c>
      <c r="AK18" s="104">
        <f t="shared" ca="1" si="53"/>
        <v>0</v>
      </c>
      <c r="AL18" s="104">
        <f t="shared" ca="1" si="54"/>
        <v>0</v>
      </c>
      <c r="AM18" s="104">
        <f t="shared" ca="1" si="55"/>
        <v>0</v>
      </c>
      <c r="AN18" s="104">
        <f t="shared" ca="1" si="56"/>
        <v>0</v>
      </c>
      <c r="AO18" s="104">
        <f t="shared" ca="1" si="57"/>
        <v>0</v>
      </c>
      <c r="AP18" s="104">
        <f t="shared" ca="1" si="58"/>
        <v>0</v>
      </c>
      <c r="AQ18" s="49">
        <f t="shared" ca="1" si="59"/>
        <v>0</v>
      </c>
      <c r="AR18" s="104">
        <f t="shared" ca="1" si="60"/>
        <v>0</v>
      </c>
      <c r="AS18" s="104">
        <f t="shared" ca="1" si="61"/>
        <v>0</v>
      </c>
      <c r="AT18" s="104">
        <f t="shared" ca="1" si="62"/>
        <v>0</v>
      </c>
      <c r="AU18" s="104">
        <f t="shared" ca="1" si="63"/>
        <v>0</v>
      </c>
      <c r="BF18" s="49">
        <f t="shared" ca="1" si="64"/>
        <v>0</v>
      </c>
      <c r="BG18" s="49">
        <f t="shared" ca="1" si="65"/>
        <v>0</v>
      </c>
      <c r="BH18" s="54" t="e">
        <f t="shared" ca="1" si="66"/>
        <v>#DIV/0!</v>
      </c>
      <c r="BI18" s="112" t="e">
        <f t="shared" ca="1" si="67"/>
        <v>#DIV/0!</v>
      </c>
      <c r="BK18" s="55" t="e">
        <f t="shared" ca="1" si="68"/>
        <v>#DIV/0!</v>
      </c>
      <c r="BL18" s="55" t="e">
        <f t="shared" ca="1" si="69"/>
        <v>#DIV/0!</v>
      </c>
      <c r="BM18" s="55" t="e">
        <f t="shared" ca="1" si="70"/>
        <v>#DIV/0!</v>
      </c>
      <c r="BN18" s="53">
        <f t="shared" ca="1" si="71"/>
        <v>0</v>
      </c>
      <c r="BO18" s="112" t="e">
        <f t="shared" ca="1" si="72"/>
        <v>#DIV/0!</v>
      </c>
      <c r="BR18" s="53" t="e">
        <f t="shared" ca="1" si="73"/>
        <v>#DIV/0!</v>
      </c>
      <c r="BS18" s="53">
        <f t="shared" ca="1" si="74"/>
        <v>0</v>
      </c>
      <c r="BT18" s="53">
        <f t="shared" ca="1" si="75"/>
        <v>0</v>
      </c>
      <c r="BU18" s="56" t="e">
        <f t="shared" ca="1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ca="1" si="79"/>
        <v>0</v>
      </c>
      <c r="CW18" s="53">
        <f t="shared" ca="1" si="80"/>
        <v>0</v>
      </c>
      <c r="CX18" s="58" t="e">
        <f t="shared" ca="1" si="81"/>
        <v>#DIV/0!</v>
      </c>
      <c r="CY18" s="53">
        <f t="shared" ca="1" si="82"/>
        <v>0</v>
      </c>
      <c r="CZ18" s="53">
        <f t="shared" ca="1" si="83"/>
        <v>0</v>
      </c>
      <c r="DA18" s="58" t="e">
        <f t="shared" ca="1" si="84"/>
        <v>#DIV/0!</v>
      </c>
      <c r="DB18" s="48" t="e">
        <f t="shared" ca="1" si="85"/>
        <v>#DIV/0!</v>
      </c>
      <c r="DC18" s="48" t="e">
        <f t="shared" ca="1" si="86"/>
        <v>#DIV/0!</v>
      </c>
      <c r="DD18" s="48" t="e">
        <f t="shared" ca="1" si="87"/>
        <v>#DIV/0!</v>
      </c>
      <c r="DE18" s="48" t="e">
        <f t="shared" ca="1" si="88"/>
        <v>#DIV/0!</v>
      </c>
      <c r="DF18" s="48" t="e">
        <f t="shared" ca="1" si="89"/>
        <v>#DIV/0!</v>
      </c>
      <c r="DG18" s="48" t="e">
        <f t="shared" ca="1" si="90"/>
        <v>#DIV/0!</v>
      </c>
      <c r="DH18" s="48">
        <f ca="1">SUMIF(FCR!$BZ$4:$DB$500,DG18,FCR!$DE$4:$EG$500)</f>
        <v>0</v>
      </c>
      <c r="DI18" s="48" t="e">
        <f t="shared" ca="1" si="91"/>
        <v>#DIV/0!</v>
      </c>
      <c r="DJ18" s="48">
        <f ca="1">SUMIF(FCR!$BZ$4:$DB$142,DI18,FCR!$DE$4:$EG$142)</f>
        <v>0</v>
      </c>
      <c r="DK18" s="48" t="e">
        <f t="shared" ca="1" si="92"/>
        <v>#DIV/0!</v>
      </c>
      <c r="DL18" s="55" t="e">
        <f t="shared" ca="1" si="93"/>
        <v>#DIV/0!</v>
      </c>
      <c r="DM18" s="48" t="e">
        <f t="shared" ca="1" si="94"/>
        <v>#DIV/0!</v>
      </c>
      <c r="DN18" s="48">
        <f ca="1">SUMIF(FCR!$BZ$4:$DB$142,DM18,FCR!$DE$4:$EG$142)</f>
        <v>0</v>
      </c>
      <c r="DO18" s="53" t="e">
        <f t="shared" ca="1" si="95"/>
        <v>#DIV/0!</v>
      </c>
      <c r="DP18" s="55" t="e">
        <f t="shared" ca="1" si="96"/>
        <v>#DIV/0!</v>
      </c>
      <c r="DQ18" s="55" t="e">
        <f t="shared" ca="1" si="97"/>
        <v>#DIV/0!</v>
      </c>
      <c r="DR18" s="55"/>
      <c r="DS18" s="55" t="e">
        <f t="shared" ca="1" si="98"/>
        <v>#DIV/0!</v>
      </c>
      <c r="DT18" s="55" t="e">
        <f t="shared" ca="1" si="99"/>
        <v>#DIV/0!</v>
      </c>
      <c r="DU18" s="53">
        <f t="shared" ca="1" si="100"/>
        <v>0</v>
      </c>
      <c r="DV18" s="59" t="e">
        <f t="shared" ca="1" si="101"/>
        <v>#DIV/0!</v>
      </c>
    </row>
    <row r="19" spans="1:12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AD19" s="49" t="s">
        <v>337</v>
      </c>
      <c r="AE19" s="49">
        <f t="shared" ca="1" si="24"/>
        <v>0</v>
      </c>
      <c r="AF19" s="49">
        <f t="shared" ca="1" si="48"/>
        <v>0</v>
      </c>
      <c r="AG19" s="114">
        <f t="shared" ca="1" si="49"/>
        <v>0</v>
      </c>
      <c r="AH19" s="104">
        <f t="shared" ca="1" si="50"/>
        <v>0</v>
      </c>
      <c r="AI19" s="104">
        <f t="shared" ca="1" si="51"/>
        <v>0</v>
      </c>
      <c r="AJ19" s="104">
        <f t="shared" ca="1" si="52"/>
        <v>0</v>
      </c>
      <c r="AK19" s="104">
        <f t="shared" ca="1" si="53"/>
        <v>0</v>
      </c>
      <c r="AL19" s="104">
        <f t="shared" ca="1" si="54"/>
        <v>0</v>
      </c>
      <c r="AM19" s="104">
        <f t="shared" ca="1" si="55"/>
        <v>0</v>
      </c>
      <c r="AN19" s="104">
        <f t="shared" ca="1" si="56"/>
        <v>0</v>
      </c>
      <c r="AO19" s="104">
        <f t="shared" ca="1" si="57"/>
        <v>0</v>
      </c>
      <c r="AP19" s="104">
        <f t="shared" ca="1" si="58"/>
        <v>0</v>
      </c>
      <c r="AQ19" s="49">
        <f t="shared" ca="1" si="59"/>
        <v>0</v>
      </c>
      <c r="AR19" s="104">
        <f t="shared" ca="1" si="60"/>
        <v>0</v>
      </c>
      <c r="AS19" s="104">
        <f t="shared" ca="1" si="61"/>
        <v>0</v>
      </c>
      <c r="AT19" s="104">
        <f t="shared" ca="1" si="62"/>
        <v>0</v>
      </c>
      <c r="AU19" s="104">
        <f t="shared" ca="1" si="63"/>
        <v>0</v>
      </c>
      <c r="BF19" s="49">
        <f t="shared" ca="1" si="64"/>
        <v>0</v>
      </c>
      <c r="BG19" s="49">
        <f t="shared" ca="1" si="65"/>
        <v>0</v>
      </c>
      <c r="BH19" s="54" t="e">
        <f t="shared" ca="1" si="66"/>
        <v>#DIV/0!</v>
      </c>
      <c r="BI19" s="112" t="e">
        <f t="shared" ca="1" si="67"/>
        <v>#DIV/0!</v>
      </c>
      <c r="BK19" s="55" t="e">
        <f t="shared" ca="1" si="68"/>
        <v>#DIV/0!</v>
      </c>
      <c r="BL19" s="55" t="e">
        <f t="shared" ca="1" si="69"/>
        <v>#DIV/0!</v>
      </c>
      <c r="BM19" s="55" t="e">
        <f t="shared" ca="1" si="70"/>
        <v>#DIV/0!</v>
      </c>
      <c r="BN19" s="53">
        <f t="shared" ca="1" si="71"/>
        <v>0</v>
      </c>
      <c r="BO19" s="112" t="e">
        <f t="shared" ca="1" si="72"/>
        <v>#DIV/0!</v>
      </c>
      <c r="BR19" s="53" t="e">
        <f t="shared" ca="1" si="73"/>
        <v>#DIV/0!</v>
      </c>
      <c r="BS19" s="53">
        <f t="shared" ca="1" si="74"/>
        <v>0</v>
      </c>
      <c r="BT19" s="53">
        <f t="shared" ca="1" si="75"/>
        <v>0</v>
      </c>
      <c r="BU19" s="56" t="e">
        <f t="shared" ca="1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ca="1" si="79"/>
        <v>0</v>
      </c>
      <c r="CW19" s="53">
        <f t="shared" ca="1" si="80"/>
        <v>0</v>
      </c>
      <c r="CX19" s="58" t="e">
        <f t="shared" ca="1" si="81"/>
        <v>#DIV/0!</v>
      </c>
      <c r="CY19" s="53">
        <f t="shared" ca="1" si="82"/>
        <v>0</v>
      </c>
      <c r="CZ19" s="53">
        <f t="shared" ca="1" si="83"/>
        <v>0</v>
      </c>
      <c r="DA19" s="58" t="e">
        <f t="shared" ca="1" si="84"/>
        <v>#DIV/0!</v>
      </c>
      <c r="DB19" s="48" t="e">
        <f t="shared" ca="1" si="85"/>
        <v>#DIV/0!</v>
      </c>
      <c r="DC19" s="48" t="e">
        <f t="shared" ca="1" si="86"/>
        <v>#DIV/0!</v>
      </c>
      <c r="DD19" s="48" t="e">
        <f t="shared" ca="1" si="87"/>
        <v>#DIV/0!</v>
      </c>
      <c r="DE19" s="48" t="e">
        <f t="shared" ca="1" si="88"/>
        <v>#DIV/0!</v>
      </c>
      <c r="DF19" s="48" t="e">
        <f t="shared" ca="1" si="89"/>
        <v>#DIV/0!</v>
      </c>
      <c r="DG19" s="48" t="e">
        <f t="shared" ca="1" si="90"/>
        <v>#DIV/0!</v>
      </c>
      <c r="DH19" s="48">
        <f ca="1">SUMIF(FCR!$BZ$4:$DB$500,DG19,FCR!$DE$4:$EG$500)</f>
        <v>0</v>
      </c>
      <c r="DI19" s="48" t="e">
        <f t="shared" ca="1" si="91"/>
        <v>#DIV/0!</v>
      </c>
      <c r="DJ19" s="48">
        <f ca="1">SUMIF(FCR!$BZ$4:$DB$142,DI19,FCR!$DE$4:$EG$142)</f>
        <v>0</v>
      </c>
      <c r="DK19" s="48" t="e">
        <f t="shared" ca="1" si="92"/>
        <v>#DIV/0!</v>
      </c>
      <c r="DL19" s="55" t="e">
        <f t="shared" ca="1" si="93"/>
        <v>#DIV/0!</v>
      </c>
      <c r="DM19" s="48" t="e">
        <f t="shared" ca="1" si="94"/>
        <v>#DIV/0!</v>
      </c>
      <c r="DN19" s="48">
        <f ca="1">SUMIF(FCR!$BZ$4:$DB$142,DM19,FCR!$DE$4:$EG$142)</f>
        <v>0</v>
      </c>
      <c r="DO19" s="53" t="e">
        <f t="shared" ca="1" si="95"/>
        <v>#DIV/0!</v>
      </c>
      <c r="DP19" s="55" t="e">
        <f t="shared" ca="1" si="96"/>
        <v>#DIV/0!</v>
      </c>
      <c r="DQ19" s="55" t="e">
        <f t="shared" ca="1" si="97"/>
        <v>#DIV/0!</v>
      </c>
      <c r="DR19" s="55"/>
      <c r="DS19" s="55" t="e">
        <f t="shared" ca="1" si="98"/>
        <v>#DIV/0!</v>
      </c>
      <c r="DT19" s="55" t="e">
        <f t="shared" ca="1" si="99"/>
        <v>#DIV/0!</v>
      </c>
      <c r="DU19" s="53">
        <f t="shared" ca="1" si="100"/>
        <v>0</v>
      </c>
      <c r="DV19" s="59" t="e">
        <f t="shared" ca="1" si="101"/>
        <v>#DIV/0!</v>
      </c>
    </row>
    <row r="20" spans="1:12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AD20" s="49" t="s">
        <v>337</v>
      </c>
      <c r="AE20" s="49">
        <f t="shared" ca="1" si="24"/>
        <v>0</v>
      </c>
      <c r="AF20" s="49">
        <f t="shared" ca="1" si="48"/>
        <v>0</v>
      </c>
      <c r="AG20" s="114">
        <f t="shared" ca="1" si="49"/>
        <v>0</v>
      </c>
      <c r="AH20" s="104">
        <f t="shared" ca="1" si="50"/>
        <v>0</v>
      </c>
      <c r="AI20" s="104">
        <f t="shared" ca="1" si="51"/>
        <v>0</v>
      </c>
      <c r="AJ20" s="104">
        <f t="shared" ca="1" si="52"/>
        <v>0</v>
      </c>
      <c r="AK20" s="104">
        <f t="shared" ca="1" si="53"/>
        <v>0</v>
      </c>
      <c r="AL20" s="104">
        <f t="shared" ca="1" si="54"/>
        <v>0</v>
      </c>
      <c r="AM20" s="104">
        <f t="shared" ca="1" si="55"/>
        <v>0</v>
      </c>
      <c r="AN20" s="104">
        <f t="shared" ca="1" si="56"/>
        <v>0</v>
      </c>
      <c r="AO20" s="104">
        <f t="shared" ca="1" si="57"/>
        <v>0</v>
      </c>
      <c r="AP20" s="104">
        <f t="shared" ca="1" si="58"/>
        <v>0</v>
      </c>
      <c r="AQ20" s="49">
        <f t="shared" ca="1" si="59"/>
        <v>0</v>
      </c>
      <c r="AR20" s="104">
        <f t="shared" ca="1" si="60"/>
        <v>0</v>
      </c>
      <c r="AS20" s="104">
        <f t="shared" ca="1" si="61"/>
        <v>0</v>
      </c>
      <c r="AT20" s="104">
        <f t="shared" ca="1" si="62"/>
        <v>0</v>
      </c>
      <c r="AU20" s="104">
        <f t="shared" ca="1" si="63"/>
        <v>0</v>
      </c>
      <c r="BF20" s="49">
        <f t="shared" ca="1" si="64"/>
        <v>0</v>
      </c>
      <c r="BG20" s="49">
        <f t="shared" ca="1" si="65"/>
        <v>0</v>
      </c>
      <c r="BH20" s="54" t="e">
        <f t="shared" ca="1" si="66"/>
        <v>#DIV/0!</v>
      </c>
      <c r="BI20" s="112" t="e">
        <f t="shared" ca="1" si="67"/>
        <v>#DIV/0!</v>
      </c>
      <c r="BK20" s="55" t="e">
        <f t="shared" ca="1" si="68"/>
        <v>#DIV/0!</v>
      </c>
      <c r="BL20" s="55" t="e">
        <f t="shared" ca="1" si="69"/>
        <v>#DIV/0!</v>
      </c>
      <c r="BM20" s="55" t="e">
        <f t="shared" ca="1" si="70"/>
        <v>#DIV/0!</v>
      </c>
      <c r="BN20" s="53">
        <f t="shared" ca="1" si="71"/>
        <v>0</v>
      </c>
      <c r="BO20" s="112" t="e">
        <f t="shared" ca="1" si="72"/>
        <v>#DIV/0!</v>
      </c>
      <c r="BR20" s="53" t="e">
        <f t="shared" ca="1" si="73"/>
        <v>#DIV/0!</v>
      </c>
      <c r="BS20" s="53">
        <f t="shared" ca="1" si="74"/>
        <v>0</v>
      </c>
      <c r="BT20" s="53">
        <f t="shared" ca="1" si="75"/>
        <v>0</v>
      </c>
      <c r="BU20" s="56" t="e">
        <f t="shared" ca="1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ca="1" si="79"/>
        <v>0</v>
      </c>
      <c r="CW20" s="53">
        <f t="shared" ca="1" si="80"/>
        <v>0</v>
      </c>
      <c r="CX20" s="58" t="e">
        <f t="shared" ca="1" si="81"/>
        <v>#DIV/0!</v>
      </c>
      <c r="CY20" s="53">
        <f t="shared" ca="1" si="82"/>
        <v>0</v>
      </c>
      <c r="CZ20" s="53">
        <f t="shared" ca="1" si="83"/>
        <v>0</v>
      </c>
      <c r="DA20" s="58" t="e">
        <f t="shared" ca="1" si="84"/>
        <v>#DIV/0!</v>
      </c>
      <c r="DB20" s="48" t="e">
        <f t="shared" ca="1" si="85"/>
        <v>#DIV/0!</v>
      </c>
      <c r="DC20" s="48" t="e">
        <f t="shared" ca="1" si="86"/>
        <v>#DIV/0!</v>
      </c>
      <c r="DD20" s="48" t="e">
        <f t="shared" ca="1" si="87"/>
        <v>#DIV/0!</v>
      </c>
      <c r="DE20" s="48" t="e">
        <f t="shared" ca="1" si="88"/>
        <v>#DIV/0!</v>
      </c>
      <c r="DF20" s="48" t="e">
        <f t="shared" ca="1" si="89"/>
        <v>#DIV/0!</v>
      </c>
      <c r="DG20" s="48" t="e">
        <f t="shared" ca="1" si="90"/>
        <v>#DIV/0!</v>
      </c>
      <c r="DH20" s="48">
        <f ca="1">SUMIF(FCR!$BZ$4:$DB$500,DG20,FCR!$DE$4:$EG$500)</f>
        <v>0</v>
      </c>
      <c r="DI20" s="48" t="e">
        <f t="shared" ca="1" si="91"/>
        <v>#DIV/0!</v>
      </c>
      <c r="DJ20" s="48">
        <f ca="1">SUMIF(FCR!$BZ$4:$DB$142,DI20,FCR!$DE$4:$EG$142)</f>
        <v>0</v>
      </c>
      <c r="DK20" s="48" t="e">
        <f t="shared" ca="1" si="92"/>
        <v>#DIV/0!</v>
      </c>
      <c r="DL20" s="55" t="e">
        <f t="shared" ca="1" si="93"/>
        <v>#DIV/0!</v>
      </c>
      <c r="DM20" s="48" t="e">
        <f t="shared" ca="1" si="94"/>
        <v>#DIV/0!</v>
      </c>
      <c r="DN20" s="48">
        <f ca="1">SUMIF(FCR!$BZ$4:$DB$142,DM20,FCR!$DE$4:$EG$142)</f>
        <v>0</v>
      </c>
      <c r="DO20" s="53" t="e">
        <f t="shared" ca="1" si="95"/>
        <v>#DIV/0!</v>
      </c>
      <c r="DP20" s="55" t="e">
        <f t="shared" ca="1" si="96"/>
        <v>#DIV/0!</v>
      </c>
      <c r="DQ20" s="55" t="e">
        <f t="shared" ca="1" si="97"/>
        <v>#DIV/0!</v>
      </c>
      <c r="DR20" s="55"/>
      <c r="DS20" s="55" t="e">
        <f t="shared" ca="1" si="98"/>
        <v>#DIV/0!</v>
      </c>
      <c r="DT20" s="55" t="e">
        <f t="shared" ca="1" si="99"/>
        <v>#DIV/0!</v>
      </c>
      <c r="DU20" s="53">
        <f t="shared" ca="1" si="100"/>
        <v>0</v>
      </c>
      <c r="DV20" s="59" t="e">
        <f t="shared" ca="1" si="101"/>
        <v>#DIV/0!</v>
      </c>
    </row>
    <row r="21" spans="1:12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AD21" s="49" t="s">
        <v>337</v>
      </c>
      <c r="AE21" s="49">
        <f t="shared" ca="1" si="24"/>
        <v>0</v>
      </c>
      <c r="AF21" s="49">
        <f t="shared" ca="1" si="48"/>
        <v>0</v>
      </c>
      <c r="AG21" s="114">
        <f t="shared" ca="1" si="49"/>
        <v>0</v>
      </c>
      <c r="AH21" s="104">
        <f t="shared" ca="1" si="50"/>
        <v>0</v>
      </c>
      <c r="AI21" s="104">
        <f t="shared" ca="1" si="51"/>
        <v>0</v>
      </c>
      <c r="AJ21" s="104">
        <f t="shared" ca="1" si="52"/>
        <v>0</v>
      </c>
      <c r="AK21" s="104">
        <f t="shared" ca="1" si="53"/>
        <v>0</v>
      </c>
      <c r="AL21" s="104">
        <f t="shared" ca="1" si="54"/>
        <v>0</v>
      </c>
      <c r="AM21" s="104">
        <f t="shared" ca="1" si="55"/>
        <v>0</v>
      </c>
      <c r="AN21" s="104">
        <f t="shared" ca="1" si="56"/>
        <v>0</v>
      </c>
      <c r="AO21" s="104">
        <f t="shared" ca="1" si="57"/>
        <v>0</v>
      </c>
      <c r="AP21" s="104">
        <f t="shared" ca="1" si="58"/>
        <v>0</v>
      </c>
      <c r="AQ21" s="49">
        <f t="shared" ca="1" si="59"/>
        <v>0</v>
      </c>
      <c r="AR21" s="104">
        <f t="shared" ca="1" si="60"/>
        <v>0</v>
      </c>
      <c r="AS21" s="104">
        <f t="shared" ca="1" si="61"/>
        <v>0</v>
      </c>
      <c r="AT21" s="104">
        <f t="shared" ca="1" si="62"/>
        <v>0</v>
      </c>
      <c r="AU21" s="104">
        <f t="shared" ca="1" si="63"/>
        <v>0</v>
      </c>
      <c r="BF21" s="49">
        <f t="shared" ca="1" si="64"/>
        <v>0</v>
      </c>
      <c r="BG21" s="49">
        <f t="shared" ca="1" si="65"/>
        <v>0</v>
      </c>
      <c r="BH21" s="54" t="e">
        <f t="shared" ca="1" si="66"/>
        <v>#DIV/0!</v>
      </c>
      <c r="BI21" s="112" t="e">
        <f t="shared" ca="1" si="67"/>
        <v>#DIV/0!</v>
      </c>
      <c r="BK21" s="55" t="e">
        <f t="shared" ca="1" si="68"/>
        <v>#DIV/0!</v>
      </c>
      <c r="BL21" s="55" t="e">
        <f t="shared" ca="1" si="69"/>
        <v>#DIV/0!</v>
      </c>
      <c r="BM21" s="55" t="e">
        <f t="shared" ca="1" si="70"/>
        <v>#DIV/0!</v>
      </c>
      <c r="BN21" s="53">
        <f t="shared" ca="1" si="71"/>
        <v>0</v>
      </c>
      <c r="BO21" s="112" t="e">
        <f t="shared" ca="1" si="72"/>
        <v>#DIV/0!</v>
      </c>
      <c r="BR21" s="53" t="e">
        <f t="shared" ca="1" si="73"/>
        <v>#DIV/0!</v>
      </c>
      <c r="BS21" s="53">
        <f t="shared" ca="1" si="74"/>
        <v>0</v>
      </c>
      <c r="BT21" s="53">
        <f t="shared" ca="1" si="75"/>
        <v>0</v>
      </c>
      <c r="BU21" s="56" t="e">
        <f t="shared" ca="1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ca="1" si="79"/>
        <v>0</v>
      </c>
      <c r="CW21" s="53">
        <f t="shared" ca="1" si="80"/>
        <v>0</v>
      </c>
      <c r="CX21" s="58" t="e">
        <f t="shared" ca="1" si="81"/>
        <v>#DIV/0!</v>
      </c>
      <c r="CY21" s="53">
        <f t="shared" ca="1" si="82"/>
        <v>0</v>
      </c>
      <c r="CZ21" s="53">
        <f t="shared" ca="1" si="83"/>
        <v>0</v>
      </c>
      <c r="DA21" s="58" t="e">
        <f t="shared" ca="1" si="84"/>
        <v>#DIV/0!</v>
      </c>
      <c r="DB21" s="48" t="e">
        <f t="shared" ca="1" si="85"/>
        <v>#DIV/0!</v>
      </c>
      <c r="DC21" s="48" t="e">
        <f t="shared" ca="1" si="86"/>
        <v>#DIV/0!</v>
      </c>
      <c r="DD21" s="48" t="e">
        <f t="shared" ca="1" si="87"/>
        <v>#DIV/0!</v>
      </c>
      <c r="DE21" s="48" t="e">
        <f t="shared" ca="1" si="88"/>
        <v>#DIV/0!</v>
      </c>
      <c r="DF21" s="48" t="e">
        <f t="shared" ca="1" si="89"/>
        <v>#DIV/0!</v>
      </c>
      <c r="DG21" s="48" t="e">
        <f t="shared" ca="1" si="90"/>
        <v>#DIV/0!</v>
      </c>
      <c r="DH21" s="48">
        <f ca="1">SUMIF(FCR!$BZ$4:$DB$500,DG21,FCR!$DE$4:$EG$500)</f>
        <v>0</v>
      </c>
      <c r="DI21" s="48" t="e">
        <f t="shared" ca="1" si="91"/>
        <v>#DIV/0!</v>
      </c>
      <c r="DJ21" s="48">
        <f ca="1">SUMIF(FCR!$BZ$4:$DB$142,DI21,FCR!$DE$4:$EG$142)</f>
        <v>0</v>
      </c>
      <c r="DK21" s="48" t="e">
        <f t="shared" ca="1" si="92"/>
        <v>#DIV/0!</v>
      </c>
      <c r="DL21" s="55" t="e">
        <f t="shared" ca="1" si="93"/>
        <v>#DIV/0!</v>
      </c>
      <c r="DM21" s="48" t="e">
        <f t="shared" ca="1" si="94"/>
        <v>#DIV/0!</v>
      </c>
      <c r="DN21" s="48">
        <f ca="1">SUMIF(FCR!$BZ$4:$DB$142,DM21,FCR!$DE$4:$EG$142)</f>
        <v>0</v>
      </c>
      <c r="DO21" s="53" t="e">
        <f t="shared" ca="1" si="95"/>
        <v>#DIV/0!</v>
      </c>
      <c r="DP21" s="55" t="e">
        <f t="shared" ca="1" si="96"/>
        <v>#DIV/0!</v>
      </c>
      <c r="DQ21" s="55" t="e">
        <f t="shared" ca="1" si="97"/>
        <v>#DIV/0!</v>
      </c>
      <c r="DR21" s="55"/>
      <c r="DS21" s="55" t="e">
        <f t="shared" ca="1" si="98"/>
        <v>#DIV/0!</v>
      </c>
      <c r="DT21" s="55" t="e">
        <f t="shared" ca="1" si="99"/>
        <v>#DIV/0!</v>
      </c>
      <c r="DU21" s="53">
        <f t="shared" ca="1" si="100"/>
        <v>0</v>
      </c>
      <c r="DV21" s="59" t="e">
        <f t="shared" ca="1" si="101"/>
        <v>#DIV/0!</v>
      </c>
    </row>
    <row r="22" spans="1:12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AD22" s="49" t="s">
        <v>337</v>
      </c>
      <c r="AE22" s="49">
        <f t="shared" ca="1" si="24"/>
        <v>0</v>
      </c>
      <c r="AF22" s="49">
        <f t="shared" ca="1" si="48"/>
        <v>0</v>
      </c>
      <c r="AG22" s="114">
        <f t="shared" ca="1" si="49"/>
        <v>0</v>
      </c>
      <c r="AH22" s="104">
        <f t="shared" ca="1" si="50"/>
        <v>0</v>
      </c>
      <c r="AI22" s="104">
        <f t="shared" ca="1" si="51"/>
        <v>0</v>
      </c>
      <c r="AJ22" s="104">
        <f t="shared" ca="1" si="52"/>
        <v>0</v>
      </c>
      <c r="AK22" s="104">
        <f t="shared" ca="1" si="53"/>
        <v>0</v>
      </c>
      <c r="AL22" s="104">
        <f t="shared" ca="1" si="54"/>
        <v>0</v>
      </c>
      <c r="AM22" s="104">
        <f t="shared" ca="1" si="55"/>
        <v>0</v>
      </c>
      <c r="AN22" s="104">
        <f t="shared" ca="1" si="56"/>
        <v>0</v>
      </c>
      <c r="AO22" s="104">
        <f t="shared" ca="1" si="57"/>
        <v>0</v>
      </c>
      <c r="AP22" s="104">
        <f t="shared" ca="1" si="58"/>
        <v>0</v>
      </c>
      <c r="AQ22" s="49">
        <f t="shared" ca="1" si="59"/>
        <v>0</v>
      </c>
      <c r="AR22" s="104">
        <f t="shared" ca="1" si="60"/>
        <v>0</v>
      </c>
      <c r="AS22" s="104">
        <f t="shared" ca="1" si="61"/>
        <v>0</v>
      </c>
      <c r="AT22" s="104">
        <f t="shared" ca="1" si="62"/>
        <v>0</v>
      </c>
      <c r="AU22" s="104">
        <f t="shared" ca="1" si="63"/>
        <v>0</v>
      </c>
      <c r="BF22" s="49">
        <f t="shared" ca="1" si="64"/>
        <v>0</v>
      </c>
      <c r="BG22" s="49">
        <f t="shared" ca="1" si="65"/>
        <v>0</v>
      </c>
      <c r="BH22" s="54" t="e">
        <f t="shared" ca="1" si="66"/>
        <v>#DIV/0!</v>
      </c>
      <c r="BI22" s="112" t="e">
        <f t="shared" ca="1" si="67"/>
        <v>#DIV/0!</v>
      </c>
      <c r="BK22" s="55" t="e">
        <f t="shared" ca="1" si="68"/>
        <v>#DIV/0!</v>
      </c>
      <c r="BL22" s="55" t="e">
        <f t="shared" ca="1" si="69"/>
        <v>#DIV/0!</v>
      </c>
      <c r="BM22" s="55" t="e">
        <f t="shared" ca="1" si="70"/>
        <v>#DIV/0!</v>
      </c>
      <c r="BN22" s="53">
        <f t="shared" ca="1" si="71"/>
        <v>0</v>
      </c>
      <c r="BO22" s="112" t="e">
        <f t="shared" ca="1" si="72"/>
        <v>#DIV/0!</v>
      </c>
      <c r="BR22" s="53" t="e">
        <f t="shared" ca="1" si="73"/>
        <v>#DIV/0!</v>
      </c>
      <c r="BS22" s="53">
        <f t="shared" ca="1" si="74"/>
        <v>0</v>
      </c>
      <c r="BT22" s="53">
        <f t="shared" ca="1" si="75"/>
        <v>0</v>
      </c>
      <c r="BU22" s="56" t="e">
        <f t="shared" ca="1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ca="1" si="79"/>
        <v>0</v>
      </c>
      <c r="CW22" s="53">
        <f t="shared" ca="1" si="80"/>
        <v>0</v>
      </c>
      <c r="CX22" s="58" t="e">
        <f t="shared" ca="1" si="81"/>
        <v>#DIV/0!</v>
      </c>
      <c r="CY22" s="53">
        <f t="shared" ca="1" si="82"/>
        <v>0</v>
      </c>
      <c r="CZ22" s="53">
        <f t="shared" ca="1" si="83"/>
        <v>0</v>
      </c>
      <c r="DA22" s="58" t="e">
        <f t="shared" ca="1" si="84"/>
        <v>#DIV/0!</v>
      </c>
      <c r="DB22" s="48" t="e">
        <f t="shared" ca="1" si="85"/>
        <v>#DIV/0!</v>
      </c>
      <c r="DC22" s="48" t="e">
        <f t="shared" ca="1" si="86"/>
        <v>#DIV/0!</v>
      </c>
      <c r="DD22" s="48" t="e">
        <f t="shared" ca="1" si="87"/>
        <v>#DIV/0!</v>
      </c>
      <c r="DE22" s="48" t="e">
        <f t="shared" ca="1" si="88"/>
        <v>#DIV/0!</v>
      </c>
      <c r="DF22" s="48" t="e">
        <f t="shared" ca="1" si="89"/>
        <v>#DIV/0!</v>
      </c>
      <c r="DG22" s="48" t="e">
        <f t="shared" ca="1" si="90"/>
        <v>#DIV/0!</v>
      </c>
      <c r="DH22" s="48">
        <f ca="1">SUMIF(FCR!$BZ$4:$DB$500,DG22,FCR!$DE$4:$EG$500)</f>
        <v>0</v>
      </c>
      <c r="DI22" s="48" t="e">
        <f t="shared" ca="1" si="91"/>
        <v>#DIV/0!</v>
      </c>
      <c r="DJ22" s="48">
        <f ca="1">SUMIF(FCR!$BZ$4:$DB$142,DI22,FCR!$DE$4:$EG$142)</f>
        <v>0</v>
      </c>
      <c r="DK22" s="48" t="e">
        <f t="shared" ca="1" si="92"/>
        <v>#DIV/0!</v>
      </c>
      <c r="DL22" s="55" t="e">
        <f t="shared" ca="1" si="93"/>
        <v>#DIV/0!</v>
      </c>
      <c r="DM22" s="48" t="e">
        <f t="shared" ca="1" si="94"/>
        <v>#DIV/0!</v>
      </c>
      <c r="DN22" s="48">
        <f ca="1">SUMIF(FCR!$BZ$4:$DB$142,DM22,FCR!$DE$4:$EG$142)</f>
        <v>0</v>
      </c>
      <c r="DO22" s="53" t="e">
        <f t="shared" ca="1" si="95"/>
        <v>#DIV/0!</v>
      </c>
      <c r="DP22" s="55" t="e">
        <f t="shared" ca="1" si="96"/>
        <v>#DIV/0!</v>
      </c>
      <c r="DQ22" s="55" t="e">
        <f t="shared" ca="1" si="97"/>
        <v>#DIV/0!</v>
      </c>
      <c r="DR22" s="55"/>
      <c r="DS22" s="55" t="e">
        <f t="shared" ca="1" si="98"/>
        <v>#DIV/0!</v>
      </c>
      <c r="DT22" s="55" t="e">
        <f t="shared" ca="1" si="99"/>
        <v>#DIV/0!</v>
      </c>
      <c r="DU22" s="53">
        <f t="shared" ca="1" si="100"/>
        <v>0</v>
      </c>
      <c r="DV22" s="59" t="e">
        <f t="shared" ca="1" si="101"/>
        <v>#DIV/0!</v>
      </c>
    </row>
    <row r="23" spans="1:12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AD23" s="49" t="s">
        <v>337</v>
      </c>
      <c r="AE23" s="49">
        <f t="shared" ca="1" si="24"/>
        <v>0</v>
      </c>
      <c r="AF23" s="49">
        <f t="shared" ca="1" si="48"/>
        <v>0</v>
      </c>
      <c r="AG23" s="114">
        <f t="shared" ca="1" si="49"/>
        <v>0</v>
      </c>
      <c r="AH23" s="104">
        <f t="shared" ca="1" si="50"/>
        <v>0</v>
      </c>
      <c r="AI23" s="104">
        <f t="shared" ca="1" si="51"/>
        <v>0</v>
      </c>
      <c r="AJ23" s="104">
        <f t="shared" ca="1" si="52"/>
        <v>0</v>
      </c>
      <c r="AK23" s="104">
        <f t="shared" ca="1" si="53"/>
        <v>0</v>
      </c>
      <c r="AL23" s="104">
        <f t="shared" ca="1" si="54"/>
        <v>0</v>
      </c>
      <c r="AM23" s="104">
        <f t="shared" ca="1" si="55"/>
        <v>0</v>
      </c>
      <c r="AN23" s="104">
        <f t="shared" ca="1" si="56"/>
        <v>0</v>
      </c>
      <c r="AO23" s="104">
        <f t="shared" ca="1" si="57"/>
        <v>0</v>
      </c>
      <c r="AP23" s="104">
        <f t="shared" ca="1" si="58"/>
        <v>0</v>
      </c>
      <c r="AQ23" s="49">
        <f t="shared" ca="1" si="59"/>
        <v>0</v>
      </c>
      <c r="AR23" s="104">
        <f t="shared" ca="1" si="60"/>
        <v>0</v>
      </c>
      <c r="AS23" s="104">
        <f t="shared" ca="1" si="61"/>
        <v>0</v>
      </c>
      <c r="AT23" s="104">
        <f t="shared" ca="1" si="62"/>
        <v>0</v>
      </c>
      <c r="AU23" s="104">
        <f t="shared" ca="1" si="63"/>
        <v>0</v>
      </c>
      <c r="BF23" s="49">
        <f t="shared" ca="1" si="64"/>
        <v>0</v>
      </c>
      <c r="BG23" s="49">
        <f t="shared" ca="1" si="65"/>
        <v>0</v>
      </c>
      <c r="BH23" s="54" t="e">
        <f t="shared" ca="1" si="66"/>
        <v>#DIV/0!</v>
      </c>
      <c r="BI23" s="112" t="e">
        <f t="shared" ca="1" si="67"/>
        <v>#DIV/0!</v>
      </c>
      <c r="BK23" s="55" t="e">
        <f t="shared" ca="1" si="68"/>
        <v>#DIV/0!</v>
      </c>
      <c r="BL23" s="55" t="e">
        <f t="shared" ca="1" si="69"/>
        <v>#DIV/0!</v>
      </c>
      <c r="BM23" s="55" t="e">
        <f t="shared" ca="1" si="70"/>
        <v>#DIV/0!</v>
      </c>
      <c r="BN23" s="53">
        <f t="shared" ca="1" si="71"/>
        <v>0</v>
      </c>
      <c r="BO23" s="112" t="e">
        <f t="shared" ca="1" si="72"/>
        <v>#DIV/0!</v>
      </c>
      <c r="BR23" s="53" t="e">
        <f t="shared" ca="1" si="73"/>
        <v>#DIV/0!</v>
      </c>
      <c r="BS23" s="53">
        <f t="shared" ca="1" si="74"/>
        <v>0</v>
      </c>
      <c r="BT23" s="53">
        <f t="shared" ca="1" si="75"/>
        <v>0</v>
      </c>
      <c r="BU23" s="56" t="e">
        <f t="shared" ca="1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ca="1" si="79"/>
        <v>0</v>
      </c>
      <c r="CW23" s="53">
        <f t="shared" ca="1" si="80"/>
        <v>0</v>
      </c>
      <c r="CX23" s="58" t="e">
        <f t="shared" ca="1" si="81"/>
        <v>#DIV/0!</v>
      </c>
      <c r="CY23" s="53">
        <f t="shared" ca="1" si="82"/>
        <v>0</v>
      </c>
      <c r="CZ23" s="53">
        <f t="shared" ca="1" si="83"/>
        <v>0</v>
      </c>
      <c r="DA23" s="58" t="e">
        <f t="shared" ca="1" si="84"/>
        <v>#DIV/0!</v>
      </c>
      <c r="DB23" s="48" t="e">
        <f t="shared" ca="1" si="85"/>
        <v>#DIV/0!</v>
      </c>
      <c r="DC23" s="48" t="e">
        <f t="shared" ca="1" si="86"/>
        <v>#DIV/0!</v>
      </c>
      <c r="DD23" s="48" t="e">
        <f t="shared" ca="1" si="87"/>
        <v>#DIV/0!</v>
      </c>
      <c r="DE23" s="48" t="e">
        <f t="shared" ca="1" si="88"/>
        <v>#DIV/0!</v>
      </c>
      <c r="DF23" s="48" t="e">
        <f t="shared" ca="1" si="89"/>
        <v>#DIV/0!</v>
      </c>
      <c r="DG23" s="48" t="e">
        <f t="shared" ca="1" si="90"/>
        <v>#DIV/0!</v>
      </c>
      <c r="DH23" s="48">
        <f ca="1">SUMIF(FCR!$BZ$4:$DB$500,DG23,FCR!$DE$4:$EG$500)</f>
        <v>0</v>
      </c>
      <c r="DI23" s="48" t="e">
        <f t="shared" ca="1" si="91"/>
        <v>#DIV/0!</v>
      </c>
      <c r="DJ23" s="48">
        <f ca="1">SUMIF(FCR!$BZ$4:$DB$142,DI23,FCR!$DE$4:$EG$142)</f>
        <v>0</v>
      </c>
      <c r="DK23" s="48" t="e">
        <f t="shared" ca="1" si="92"/>
        <v>#DIV/0!</v>
      </c>
      <c r="DL23" s="55" t="e">
        <f t="shared" ca="1" si="93"/>
        <v>#DIV/0!</v>
      </c>
      <c r="DM23" s="48" t="e">
        <f t="shared" ca="1" si="94"/>
        <v>#DIV/0!</v>
      </c>
      <c r="DN23" s="48">
        <f ca="1">SUMIF(FCR!$BZ$4:$DB$142,DM23,FCR!$DE$4:$EG$142)</f>
        <v>0</v>
      </c>
      <c r="DO23" s="53" t="e">
        <f t="shared" ca="1" si="95"/>
        <v>#DIV/0!</v>
      </c>
      <c r="DP23" s="55" t="e">
        <f t="shared" ca="1" si="96"/>
        <v>#DIV/0!</v>
      </c>
      <c r="DQ23" s="55" t="e">
        <f t="shared" ca="1" si="97"/>
        <v>#DIV/0!</v>
      </c>
      <c r="DR23" s="55"/>
      <c r="DS23" s="55" t="e">
        <f t="shared" ca="1" si="98"/>
        <v>#DIV/0!</v>
      </c>
      <c r="DT23" s="55" t="e">
        <f t="shared" ca="1" si="99"/>
        <v>#DIV/0!</v>
      </c>
      <c r="DU23" s="53">
        <f t="shared" ca="1" si="100"/>
        <v>0</v>
      </c>
      <c r="DV23" s="59" t="e">
        <f t="shared" ca="1" si="101"/>
        <v>#DIV/0!</v>
      </c>
    </row>
    <row r="24" spans="1:12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AD24" s="49" t="s">
        <v>337</v>
      </c>
      <c r="AE24" s="49">
        <f t="shared" ca="1" si="24"/>
        <v>0</v>
      </c>
      <c r="AF24" s="49">
        <f t="shared" ca="1" si="48"/>
        <v>0</v>
      </c>
      <c r="AG24" s="114">
        <f t="shared" ca="1" si="49"/>
        <v>0</v>
      </c>
      <c r="AH24" s="104">
        <f t="shared" ca="1" si="50"/>
        <v>0</v>
      </c>
      <c r="AI24" s="104">
        <f t="shared" ca="1" si="51"/>
        <v>0</v>
      </c>
      <c r="AJ24" s="104">
        <f t="shared" ca="1" si="52"/>
        <v>0</v>
      </c>
      <c r="AK24" s="104">
        <f t="shared" ca="1" si="53"/>
        <v>0</v>
      </c>
      <c r="AL24" s="104">
        <f t="shared" ca="1" si="54"/>
        <v>0</v>
      </c>
      <c r="AM24" s="104">
        <f t="shared" ca="1" si="55"/>
        <v>0</v>
      </c>
      <c r="AN24" s="104">
        <f t="shared" ca="1" si="56"/>
        <v>0</v>
      </c>
      <c r="AO24" s="104">
        <f t="shared" ca="1" si="57"/>
        <v>0</v>
      </c>
      <c r="AP24" s="104">
        <f t="shared" ca="1" si="58"/>
        <v>0</v>
      </c>
      <c r="AQ24" s="49">
        <f t="shared" ca="1" si="59"/>
        <v>0</v>
      </c>
      <c r="AR24" s="104">
        <f t="shared" ca="1" si="60"/>
        <v>0</v>
      </c>
      <c r="AS24" s="104">
        <f t="shared" ca="1" si="61"/>
        <v>0</v>
      </c>
      <c r="AT24" s="104">
        <f t="shared" ca="1" si="62"/>
        <v>0</v>
      </c>
      <c r="AU24" s="104">
        <f t="shared" ca="1" si="63"/>
        <v>0</v>
      </c>
      <c r="BF24" s="49">
        <f t="shared" ca="1" si="64"/>
        <v>0</v>
      </c>
      <c r="BG24" s="49">
        <f t="shared" ca="1" si="65"/>
        <v>0</v>
      </c>
      <c r="BH24" s="54" t="e">
        <f t="shared" ca="1" si="66"/>
        <v>#DIV/0!</v>
      </c>
      <c r="BI24" s="112" t="e">
        <f t="shared" ca="1" si="67"/>
        <v>#DIV/0!</v>
      </c>
      <c r="BK24" s="55" t="e">
        <f t="shared" ca="1" si="68"/>
        <v>#DIV/0!</v>
      </c>
      <c r="BL24" s="55" t="e">
        <f t="shared" ca="1" si="69"/>
        <v>#DIV/0!</v>
      </c>
      <c r="BM24" s="55" t="e">
        <f t="shared" ca="1" si="70"/>
        <v>#DIV/0!</v>
      </c>
      <c r="BN24" s="53">
        <f t="shared" ca="1" si="71"/>
        <v>0</v>
      </c>
      <c r="BO24" s="112" t="e">
        <f t="shared" ca="1" si="72"/>
        <v>#DIV/0!</v>
      </c>
      <c r="BR24" s="53" t="e">
        <f t="shared" ca="1" si="73"/>
        <v>#DIV/0!</v>
      </c>
      <c r="BS24" s="53">
        <f t="shared" ca="1" si="74"/>
        <v>0</v>
      </c>
      <c r="BT24" s="53">
        <f t="shared" ca="1" si="75"/>
        <v>0</v>
      </c>
      <c r="BU24" s="56" t="e">
        <f t="shared" ca="1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ca="1" si="79"/>
        <v>0</v>
      </c>
      <c r="CW24" s="53">
        <f t="shared" ca="1" si="80"/>
        <v>0</v>
      </c>
      <c r="CX24" s="58" t="e">
        <f t="shared" ca="1" si="81"/>
        <v>#DIV/0!</v>
      </c>
      <c r="CY24" s="53">
        <f t="shared" ca="1" si="82"/>
        <v>0</v>
      </c>
      <c r="CZ24" s="53">
        <f t="shared" ca="1" si="83"/>
        <v>0</v>
      </c>
      <c r="DA24" s="58" t="e">
        <f t="shared" ca="1" si="84"/>
        <v>#DIV/0!</v>
      </c>
      <c r="DB24" s="48" t="e">
        <f t="shared" ca="1" si="85"/>
        <v>#DIV/0!</v>
      </c>
      <c r="DC24" s="48" t="e">
        <f t="shared" ca="1" si="86"/>
        <v>#DIV/0!</v>
      </c>
      <c r="DD24" s="48" t="e">
        <f t="shared" ca="1" si="87"/>
        <v>#DIV/0!</v>
      </c>
      <c r="DE24" s="48" t="e">
        <f t="shared" ca="1" si="88"/>
        <v>#DIV/0!</v>
      </c>
      <c r="DF24" s="48" t="e">
        <f t="shared" ca="1" si="89"/>
        <v>#DIV/0!</v>
      </c>
      <c r="DG24" s="48" t="e">
        <f t="shared" ca="1" si="90"/>
        <v>#DIV/0!</v>
      </c>
      <c r="DH24" s="48">
        <f ca="1">SUMIF(FCR!$BZ$4:$DB$500,DG24,FCR!$DE$4:$EG$500)</f>
        <v>0</v>
      </c>
      <c r="DI24" s="48" t="e">
        <f t="shared" ca="1" si="91"/>
        <v>#DIV/0!</v>
      </c>
      <c r="DJ24" s="48">
        <f ca="1">SUMIF(FCR!$BZ$4:$DB$142,DI24,FCR!$DE$4:$EG$142)</f>
        <v>0</v>
      </c>
      <c r="DK24" s="48" t="e">
        <f t="shared" ca="1" si="92"/>
        <v>#DIV/0!</v>
      </c>
      <c r="DL24" s="55" t="e">
        <f t="shared" ca="1" si="93"/>
        <v>#DIV/0!</v>
      </c>
      <c r="DM24" s="48" t="e">
        <f t="shared" ca="1" si="94"/>
        <v>#DIV/0!</v>
      </c>
      <c r="DN24" s="48">
        <f ca="1">SUMIF(FCR!$BZ$4:$DB$142,DM24,FCR!$DE$4:$EG$142)</f>
        <v>0</v>
      </c>
      <c r="DO24" s="53" t="e">
        <f t="shared" ca="1" si="95"/>
        <v>#DIV/0!</v>
      </c>
      <c r="DP24" s="55" t="e">
        <f t="shared" ca="1" si="96"/>
        <v>#DIV/0!</v>
      </c>
      <c r="DQ24" s="55" t="e">
        <f t="shared" ca="1" si="97"/>
        <v>#DIV/0!</v>
      </c>
      <c r="DR24" s="55"/>
      <c r="DS24" s="55" t="e">
        <f t="shared" ca="1" si="98"/>
        <v>#DIV/0!</v>
      </c>
      <c r="DT24" s="55" t="e">
        <f t="shared" ca="1" si="99"/>
        <v>#DIV/0!</v>
      </c>
      <c r="DU24" s="53">
        <f t="shared" ca="1" si="100"/>
        <v>0</v>
      </c>
      <c r="DV24" s="59" t="e">
        <f t="shared" ca="1" si="101"/>
        <v>#DIV/0!</v>
      </c>
    </row>
    <row r="25" spans="1:12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AD25" s="49" t="s">
        <v>337</v>
      </c>
      <c r="AE25" s="49">
        <f t="shared" ca="1" si="24"/>
        <v>0</v>
      </c>
      <c r="AF25" s="49">
        <f t="shared" ca="1" si="48"/>
        <v>0</v>
      </c>
      <c r="AG25" s="114">
        <f t="shared" ca="1" si="49"/>
        <v>0</v>
      </c>
      <c r="AH25" s="104">
        <f t="shared" ca="1" si="50"/>
        <v>0</v>
      </c>
      <c r="AI25" s="104">
        <f t="shared" ca="1" si="51"/>
        <v>0</v>
      </c>
      <c r="AJ25" s="104">
        <f t="shared" ca="1" si="52"/>
        <v>0</v>
      </c>
      <c r="AK25" s="104">
        <f t="shared" ca="1" si="53"/>
        <v>0</v>
      </c>
      <c r="AL25" s="104">
        <f t="shared" ca="1" si="54"/>
        <v>0</v>
      </c>
      <c r="AM25" s="104">
        <f t="shared" ca="1" si="55"/>
        <v>0</v>
      </c>
      <c r="AN25" s="104">
        <f t="shared" ca="1" si="56"/>
        <v>0</v>
      </c>
      <c r="AO25" s="104">
        <f t="shared" ca="1" si="57"/>
        <v>0</v>
      </c>
      <c r="AP25" s="104">
        <f t="shared" ca="1" si="58"/>
        <v>0</v>
      </c>
      <c r="AQ25" s="49">
        <f t="shared" ca="1" si="59"/>
        <v>0</v>
      </c>
      <c r="AR25" s="104">
        <f t="shared" ca="1" si="60"/>
        <v>0</v>
      </c>
      <c r="AS25" s="104">
        <f t="shared" ca="1" si="61"/>
        <v>0</v>
      </c>
      <c r="AT25" s="104">
        <f t="shared" ca="1" si="62"/>
        <v>0</v>
      </c>
      <c r="AU25" s="104">
        <f t="shared" ca="1" si="63"/>
        <v>0</v>
      </c>
      <c r="BF25" s="49">
        <f t="shared" ca="1" si="64"/>
        <v>0</v>
      </c>
      <c r="BG25" s="49">
        <f t="shared" ca="1" si="65"/>
        <v>0</v>
      </c>
      <c r="BH25" s="54" t="e">
        <f t="shared" ca="1" si="66"/>
        <v>#DIV/0!</v>
      </c>
      <c r="BI25" s="112" t="e">
        <f t="shared" ca="1" si="67"/>
        <v>#DIV/0!</v>
      </c>
      <c r="BK25" s="55" t="e">
        <f t="shared" ca="1" si="68"/>
        <v>#DIV/0!</v>
      </c>
      <c r="BL25" s="55" t="e">
        <f t="shared" ca="1" si="69"/>
        <v>#DIV/0!</v>
      </c>
      <c r="BM25" s="55" t="e">
        <f t="shared" ca="1" si="70"/>
        <v>#DIV/0!</v>
      </c>
      <c r="BN25" s="53">
        <f t="shared" ca="1" si="71"/>
        <v>0</v>
      </c>
      <c r="BO25" s="112" t="e">
        <f t="shared" ca="1" si="72"/>
        <v>#DIV/0!</v>
      </c>
      <c r="BR25" s="53" t="e">
        <f t="shared" ca="1" si="73"/>
        <v>#DIV/0!</v>
      </c>
      <c r="BS25" s="53">
        <f t="shared" ca="1" si="74"/>
        <v>0</v>
      </c>
      <c r="BT25" s="53">
        <f t="shared" ca="1" si="75"/>
        <v>0</v>
      </c>
      <c r="BU25" s="56" t="e">
        <f t="shared" ca="1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ca="1" si="79"/>
        <v>0</v>
      </c>
      <c r="CW25" s="53">
        <f t="shared" ca="1" si="80"/>
        <v>0</v>
      </c>
      <c r="CX25" s="58" t="e">
        <f t="shared" ca="1" si="81"/>
        <v>#DIV/0!</v>
      </c>
      <c r="CY25" s="53">
        <f t="shared" ca="1" si="82"/>
        <v>0</v>
      </c>
      <c r="CZ25" s="53">
        <f t="shared" ca="1" si="83"/>
        <v>0</v>
      </c>
      <c r="DA25" s="58" t="e">
        <f t="shared" ca="1" si="84"/>
        <v>#DIV/0!</v>
      </c>
      <c r="DB25" s="48" t="e">
        <f t="shared" ca="1" si="85"/>
        <v>#DIV/0!</v>
      </c>
      <c r="DC25" s="48" t="e">
        <f t="shared" ca="1" si="86"/>
        <v>#DIV/0!</v>
      </c>
      <c r="DD25" s="48" t="e">
        <f t="shared" ca="1" si="87"/>
        <v>#DIV/0!</v>
      </c>
      <c r="DE25" s="48" t="e">
        <f t="shared" ca="1" si="88"/>
        <v>#DIV/0!</v>
      </c>
      <c r="DF25" s="48" t="e">
        <f t="shared" ca="1" si="89"/>
        <v>#DIV/0!</v>
      </c>
      <c r="DG25" s="48" t="e">
        <f t="shared" ca="1" si="90"/>
        <v>#DIV/0!</v>
      </c>
      <c r="DH25" s="48">
        <f ca="1">SUMIF(FCR!$BZ$4:$DB$500,DG25,FCR!$DE$4:$EG$500)</f>
        <v>0</v>
      </c>
      <c r="DI25" s="48" t="e">
        <f t="shared" ca="1" si="91"/>
        <v>#DIV/0!</v>
      </c>
      <c r="DJ25" s="48">
        <f ca="1">SUMIF(FCR!$BZ$4:$DB$142,DI25,FCR!$DE$4:$EG$142)</f>
        <v>0</v>
      </c>
      <c r="DK25" s="48" t="e">
        <f t="shared" ca="1" si="92"/>
        <v>#DIV/0!</v>
      </c>
      <c r="DL25" s="55" t="e">
        <f t="shared" ca="1" si="93"/>
        <v>#DIV/0!</v>
      </c>
      <c r="DM25" s="48" t="e">
        <f t="shared" ca="1" si="94"/>
        <v>#DIV/0!</v>
      </c>
      <c r="DN25" s="48">
        <f ca="1">SUMIF(FCR!$BZ$4:$DB$142,DM25,FCR!$DE$4:$EG$142)</f>
        <v>0</v>
      </c>
      <c r="DO25" s="53" t="e">
        <f t="shared" ca="1" si="95"/>
        <v>#DIV/0!</v>
      </c>
      <c r="DP25" s="55" t="e">
        <f t="shared" ca="1" si="96"/>
        <v>#DIV/0!</v>
      </c>
      <c r="DQ25" s="55" t="e">
        <f t="shared" ca="1" si="97"/>
        <v>#DIV/0!</v>
      </c>
      <c r="DR25" s="55"/>
      <c r="DS25" s="55" t="e">
        <f t="shared" ca="1" si="98"/>
        <v>#DIV/0!</v>
      </c>
      <c r="DT25" s="55" t="e">
        <f t="shared" ca="1" si="99"/>
        <v>#DIV/0!</v>
      </c>
      <c r="DU25" s="53">
        <f t="shared" ca="1" si="100"/>
        <v>0</v>
      </c>
      <c r="DV25" s="59" t="e">
        <f t="shared" ca="1" si="101"/>
        <v>#DIV/0!</v>
      </c>
    </row>
    <row r="26" spans="1:12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AD26" s="49" t="s">
        <v>337</v>
      </c>
      <c r="AE26" s="49">
        <f t="shared" ca="1" si="24"/>
        <v>0</v>
      </c>
      <c r="AF26" s="49">
        <f t="shared" ca="1" si="48"/>
        <v>0</v>
      </c>
      <c r="AG26" s="114">
        <f t="shared" ca="1" si="49"/>
        <v>0</v>
      </c>
      <c r="AH26" s="104">
        <f t="shared" ca="1" si="50"/>
        <v>0</v>
      </c>
      <c r="AI26" s="104">
        <f t="shared" ca="1" si="51"/>
        <v>0</v>
      </c>
      <c r="AJ26" s="104">
        <f t="shared" ca="1" si="52"/>
        <v>0</v>
      </c>
      <c r="AK26" s="104">
        <f t="shared" ca="1" si="53"/>
        <v>0</v>
      </c>
      <c r="AL26" s="104">
        <f t="shared" ca="1" si="54"/>
        <v>0</v>
      </c>
      <c r="AM26" s="104">
        <f t="shared" ca="1" si="55"/>
        <v>0</v>
      </c>
      <c r="AN26" s="104">
        <f t="shared" ca="1" si="56"/>
        <v>0</v>
      </c>
      <c r="AO26" s="104">
        <f t="shared" ca="1" si="57"/>
        <v>0</v>
      </c>
      <c r="AP26" s="104">
        <f t="shared" ca="1" si="58"/>
        <v>0</v>
      </c>
      <c r="AQ26" s="49">
        <f t="shared" ca="1" si="59"/>
        <v>0</v>
      </c>
      <c r="AR26" s="104">
        <f t="shared" ca="1" si="60"/>
        <v>0</v>
      </c>
      <c r="AS26" s="104">
        <f t="shared" ca="1" si="61"/>
        <v>0</v>
      </c>
      <c r="AT26" s="104">
        <f t="shared" ca="1" si="62"/>
        <v>0</v>
      </c>
      <c r="AU26" s="104">
        <f t="shared" ca="1" si="63"/>
        <v>0</v>
      </c>
      <c r="BF26" s="49">
        <f t="shared" ca="1" si="64"/>
        <v>0</v>
      </c>
      <c r="BG26" s="49">
        <f t="shared" ca="1" si="65"/>
        <v>0</v>
      </c>
      <c r="BH26" s="54" t="e">
        <f t="shared" ca="1" si="66"/>
        <v>#DIV/0!</v>
      </c>
      <c r="BI26" s="112" t="e">
        <f t="shared" ca="1" si="67"/>
        <v>#DIV/0!</v>
      </c>
      <c r="BK26" s="55" t="e">
        <f t="shared" ca="1" si="68"/>
        <v>#DIV/0!</v>
      </c>
      <c r="BL26" s="55" t="e">
        <f t="shared" ca="1" si="69"/>
        <v>#DIV/0!</v>
      </c>
      <c r="BM26" s="55" t="e">
        <f t="shared" ca="1" si="70"/>
        <v>#DIV/0!</v>
      </c>
      <c r="BN26" s="53">
        <f t="shared" ca="1" si="71"/>
        <v>0</v>
      </c>
      <c r="BO26" s="112" t="e">
        <f t="shared" ca="1" si="72"/>
        <v>#DIV/0!</v>
      </c>
      <c r="BR26" s="53" t="e">
        <f t="shared" ca="1" si="73"/>
        <v>#DIV/0!</v>
      </c>
      <c r="BS26" s="53">
        <f t="shared" ca="1" si="74"/>
        <v>0</v>
      </c>
      <c r="BT26" s="53">
        <f t="shared" ca="1" si="75"/>
        <v>0</v>
      </c>
      <c r="BU26" s="56" t="e">
        <f t="shared" ca="1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ca="1" si="79"/>
        <v>0</v>
      </c>
      <c r="CW26" s="53">
        <f t="shared" ca="1" si="80"/>
        <v>0</v>
      </c>
      <c r="CX26" s="58" t="e">
        <f t="shared" ca="1" si="81"/>
        <v>#DIV/0!</v>
      </c>
      <c r="CY26" s="53">
        <f t="shared" ca="1" si="82"/>
        <v>0</v>
      </c>
      <c r="CZ26" s="53">
        <f t="shared" ca="1" si="83"/>
        <v>0</v>
      </c>
      <c r="DA26" s="58" t="e">
        <f t="shared" ca="1" si="84"/>
        <v>#DIV/0!</v>
      </c>
      <c r="DB26" s="48" t="e">
        <f t="shared" ca="1" si="85"/>
        <v>#DIV/0!</v>
      </c>
      <c r="DC26" s="48" t="e">
        <f t="shared" ca="1" si="86"/>
        <v>#DIV/0!</v>
      </c>
      <c r="DD26" s="48" t="e">
        <f t="shared" ca="1" si="87"/>
        <v>#DIV/0!</v>
      </c>
      <c r="DE26" s="48" t="e">
        <f t="shared" ca="1" si="88"/>
        <v>#DIV/0!</v>
      </c>
      <c r="DF26" s="48" t="e">
        <f t="shared" ca="1" si="89"/>
        <v>#DIV/0!</v>
      </c>
      <c r="DG26" s="48" t="e">
        <f t="shared" ca="1" si="90"/>
        <v>#DIV/0!</v>
      </c>
      <c r="DH26" s="48">
        <f ca="1">SUMIF(FCR!$BZ$4:$DB$500,DG26,FCR!$DE$4:$EG$500)</f>
        <v>0</v>
      </c>
      <c r="DI26" s="48" t="e">
        <f t="shared" ca="1" si="91"/>
        <v>#DIV/0!</v>
      </c>
      <c r="DJ26" s="48">
        <f ca="1">SUMIF(FCR!$BZ$4:$DB$142,DI26,FCR!$DE$4:$EG$142)</f>
        <v>0</v>
      </c>
      <c r="DK26" s="48" t="e">
        <f t="shared" ca="1" si="92"/>
        <v>#DIV/0!</v>
      </c>
      <c r="DL26" s="55" t="e">
        <f t="shared" ca="1" si="93"/>
        <v>#DIV/0!</v>
      </c>
      <c r="DM26" s="48" t="e">
        <f t="shared" ca="1" si="94"/>
        <v>#DIV/0!</v>
      </c>
      <c r="DN26" s="48">
        <f ca="1">SUMIF(FCR!$BZ$4:$DB$142,DM26,FCR!$DE$4:$EG$142)</f>
        <v>0</v>
      </c>
      <c r="DO26" s="53" t="e">
        <f t="shared" ca="1" si="95"/>
        <v>#DIV/0!</v>
      </c>
      <c r="DP26" s="55" t="e">
        <f t="shared" ca="1" si="96"/>
        <v>#DIV/0!</v>
      </c>
      <c r="DQ26" s="55" t="e">
        <f t="shared" ca="1" si="97"/>
        <v>#DIV/0!</v>
      </c>
      <c r="DR26" s="55"/>
      <c r="DS26" s="55" t="e">
        <f t="shared" ca="1" si="98"/>
        <v>#DIV/0!</v>
      </c>
      <c r="DT26" s="55" t="e">
        <f t="shared" ca="1" si="99"/>
        <v>#DIV/0!</v>
      </c>
      <c r="DU26" s="53">
        <f t="shared" ca="1" si="100"/>
        <v>0</v>
      </c>
      <c r="DV26" s="59" t="e">
        <f t="shared" ca="1" si="101"/>
        <v>#DIV/0!</v>
      </c>
    </row>
    <row r="27" spans="1:12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AD27" s="49" t="s">
        <v>337</v>
      </c>
      <c r="AE27" s="49">
        <f t="shared" ca="1" si="24"/>
        <v>0</v>
      </c>
      <c r="AF27" s="49">
        <f t="shared" ca="1" si="48"/>
        <v>0</v>
      </c>
      <c r="AG27" s="114">
        <f t="shared" ca="1" si="49"/>
        <v>0</v>
      </c>
      <c r="AH27" s="104">
        <f t="shared" ca="1" si="50"/>
        <v>0</v>
      </c>
      <c r="AI27" s="104">
        <f t="shared" ca="1" si="51"/>
        <v>0</v>
      </c>
      <c r="AJ27" s="104">
        <f t="shared" ca="1" si="52"/>
        <v>0</v>
      </c>
      <c r="AK27" s="104">
        <f t="shared" ca="1" si="53"/>
        <v>0</v>
      </c>
      <c r="AL27" s="104">
        <f t="shared" ca="1" si="54"/>
        <v>0</v>
      </c>
      <c r="AM27" s="104">
        <f t="shared" ca="1" si="55"/>
        <v>0</v>
      </c>
      <c r="AN27" s="104">
        <f t="shared" ca="1" si="56"/>
        <v>0</v>
      </c>
      <c r="AO27" s="104">
        <f t="shared" ca="1" si="57"/>
        <v>0</v>
      </c>
      <c r="AP27" s="104">
        <f t="shared" ca="1" si="58"/>
        <v>0</v>
      </c>
      <c r="AQ27" s="49">
        <f t="shared" ca="1" si="59"/>
        <v>0</v>
      </c>
      <c r="AR27" s="104">
        <f t="shared" ca="1" si="60"/>
        <v>0</v>
      </c>
      <c r="AS27" s="104">
        <f t="shared" ca="1" si="61"/>
        <v>0</v>
      </c>
      <c r="AT27" s="104">
        <f t="shared" ca="1" si="62"/>
        <v>0</v>
      </c>
      <c r="AU27" s="104">
        <f t="shared" ca="1" si="63"/>
        <v>0</v>
      </c>
      <c r="BF27" s="49">
        <f t="shared" ca="1" si="64"/>
        <v>0</v>
      </c>
      <c r="BG27" s="49">
        <f t="shared" ca="1" si="65"/>
        <v>0</v>
      </c>
      <c r="BH27" s="54" t="e">
        <f t="shared" ca="1" si="66"/>
        <v>#DIV/0!</v>
      </c>
      <c r="BI27" s="112" t="e">
        <f t="shared" ca="1" si="67"/>
        <v>#DIV/0!</v>
      </c>
      <c r="BK27" s="55" t="e">
        <f t="shared" ca="1" si="68"/>
        <v>#DIV/0!</v>
      </c>
      <c r="BL27" s="55" t="e">
        <f t="shared" ca="1" si="69"/>
        <v>#DIV/0!</v>
      </c>
      <c r="BM27" s="55" t="e">
        <f t="shared" ca="1" si="70"/>
        <v>#DIV/0!</v>
      </c>
      <c r="BN27" s="53">
        <f t="shared" ca="1" si="71"/>
        <v>0</v>
      </c>
      <c r="BO27" s="112" t="e">
        <f t="shared" ca="1" si="72"/>
        <v>#DIV/0!</v>
      </c>
      <c r="BR27" s="53" t="e">
        <f t="shared" ca="1" si="73"/>
        <v>#DIV/0!</v>
      </c>
      <c r="BS27" s="53">
        <f t="shared" ca="1" si="74"/>
        <v>0</v>
      </c>
      <c r="BT27" s="53">
        <f t="shared" ca="1" si="75"/>
        <v>0</v>
      </c>
      <c r="BU27" s="56" t="e">
        <f t="shared" ca="1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ca="1" si="79"/>
        <v>0</v>
      </c>
      <c r="CW27" s="53">
        <f t="shared" ca="1" si="80"/>
        <v>0</v>
      </c>
      <c r="CX27" s="58" t="e">
        <f t="shared" ca="1" si="81"/>
        <v>#DIV/0!</v>
      </c>
      <c r="CY27" s="53">
        <f t="shared" ca="1" si="82"/>
        <v>0</v>
      </c>
      <c r="CZ27" s="53">
        <f t="shared" ca="1" si="83"/>
        <v>0</v>
      </c>
      <c r="DA27" s="58" t="e">
        <f t="shared" ca="1" si="84"/>
        <v>#DIV/0!</v>
      </c>
      <c r="DB27" s="48" t="e">
        <f t="shared" ca="1" si="85"/>
        <v>#DIV/0!</v>
      </c>
      <c r="DC27" s="48" t="e">
        <f t="shared" ca="1" si="86"/>
        <v>#DIV/0!</v>
      </c>
      <c r="DD27" s="48" t="e">
        <f t="shared" ca="1" si="87"/>
        <v>#DIV/0!</v>
      </c>
      <c r="DE27" s="48" t="e">
        <f t="shared" ca="1" si="88"/>
        <v>#DIV/0!</v>
      </c>
      <c r="DF27" s="48" t="e">
        <f t="shared" ca="1" si="89"/>
        <v>#DIV/0!</v>
      </c>
      <c r="DG27" s="48" t="e">
        <f t="shared" ca="1" si="90"/>
        <v>#DIV/0!</v>
      </c>
      <c r="DH27" s="48">
        <f ca="1">SUMIF(FCR!$BZ$4:$DB$500,DG27,FCR!$DE$4:$EG$500)</f>
        <v>0</v>
      </c>
      <c r="DI27" s="48" t="e">
        <f t="shared" ca="1" si="91"/>
        <v>#DIV/0!</v>
      </c>
      <c r="DJ27" s="48">
        <f ca="1">SUMIF(FCR!$BZ$4:$DB$142,DI27,FCR!$DE$4:$EG$142)</f>
        <v>0</v>
      </c>
      <c r="DK27" s="48" t="e">
        <f t="shared" ca="1" si="92"/>
        <v>#DIV/0!</v>
      </c>
      <c r="DL27" s="55" t="e">
        <f t="shared" ca="1" si="93"/>
        <v>#DIV/0!</v>
      </c>
      <c r="DM27" s="48" t="e">
        <f t="shared" ca="1" si="94"/>
        <v>#DIV/0!</v>
      </c>
      <c r="DN27" s="48">
        <f ca="1">SUMIF(FCR!$BZ$4:$DB$142,DM27,FCR!$DE$4:$EG$142)</f>
        <v>0</v>
      </c>
      <c r="DO27" s="53" t="e">
        <f t="shared" ca="1" si="95"/>
        <v>#DIV/0!</v>
      </c>
      <c r="DP27" s="55" t="e">
        <f t="shared" ca="1" si="96"/>
        <v>#DIV/0!</v>
      </c>
      <c r="DQ27" s="55" t="e">
        <f t="shared" ca="1" si="97"/>
        <v>#DIV/0!</v>
      </c>
      <c r="DR27" s="55"/>
      <c r="DS27" s="55" t="e">
        <f t="shared" ca="1" si="98"/>
        <v>#DIV/0!</v>
      </c>
      <c r="DT27" s="55" t="e">
        <f t="shared" ca="1" si="99"/>
        <v>#DIV/0!</v>
      </c>
      <c r="DU27" s="53">
        <f t="shared" ca="1" si="100"/>
        <v>0</v>
      </c>
      <c r="DV27" s="59" t="e">
        <f t="shared" ca="1" si="101"/>
        <v>#DIV/0!</v>
      </c>
    </row>
    <row r="28" spans="1:12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AD28" s="49" t="s">
        <v>337</v>
      </c>
      <c r="AE28" s="49">
        <f t="shared" ca="1" si="24"/>
        <v>0</v>
      </c>
      <c r="AF28" s="49">
        <f t="shared" ca="1" si="48"/>
        <v>0</v>
      </c>
      <c r="AG28" s="114">
        <f t="shared" ca="1" si="49"/>
        <v>0</v>
      </c>
      <c r="AH28" s="104">
        <f t="shared" ca="1" si="50"/>
        <v>0</v>
      </c>
      <c r="AI28" s="104">
        <f t="shared" ca="1" si="51"/>
        <v>0</v>
      </c>
      <c r="AJ28" s="104">
        <f t="shared" ca="1" si="52"/>
        <v>0</v>
      </c>
      <c r="AK28" s="104">
        <f t="shared" ca="1" si="53"/>
        <v>0</v>
      </c>
      <c r="AL28" s="104">
        <f t="shared" ca="1" si="54"/>
        <v>0</v>
      </c>
      <c r="AM28" s="104">
        <f t="shared" ca="1" si="55"/>
        <v>0</v>
      </c>
      <c r="AN28" s="104">
        <f t="shared" ca="1" si="56"/>
        <v>0</v>
      </c>
      <c r="AO28" s="104">
        <f t="shared" ca="1" si="57"/>
        <v>0</v>
      </c>
      <c r="AP28" s="104">
        <f t="shared" ca="1" si="58"/>
        <v>0</v>
      </c>
      <c r="AQ28" s="49">
        <f t="shared" ca="1" si="59"/>
        <v>0</v>
      </c>
      <c r="AR28" s="104">
        <f t="shared" ca="1" si="60"/>
        <v>0</v>
      </c>
      <c r="AS28" s="104">
        <f t="shared" ca="1" si="61"/>
        <v>0</v>
      </c>
      <c r="AT28" s="104">
        <f t="shared" ca="1" si="62"/>
        <v>0</v>
      </c>
      <c r="AU28" s="104">
        <f t="shared" ca="1" si="63"/>
        <v>0</v>
      </c>
      <c r="BF28" s="49">
        <f t="shared" ca="1" si="64"/>
        <v>0</v>
      </c>
      <c r="BG28" s="49">
        <f t="shared" ca="1" si="65"/>
        <v>0</v>
      </c>
      <c r="BH28" s="54" t="e">
        <f t="shared" ca="1" si="66"/>
        <v>#DIV/0!</v>
      </c>
      <c r="BI28" s="112" t="e">
        <f t="shared" ca="1" si="67"/>
        <v>#DIV/0!</v>
      </c>
      <c r="BK28" s="55" t="e">
        <f t="shared" ca="1" si="68"/>
        <v>#DIV/0!</v>
      </c>
      <c r="BL28" s="55" t="e">
        <f t="shared" ca="1" si="69"/>
        <v>#DIV/0!</v>
      </c>
      <c r="BM28" s="55" t="e">
        <f t="shared" ca="1" si="70"/>
        <v>#DIV/0!</v>
      </c>
      <c r="BN28" s="53">
        <f t="shared" ca="1" si="71"/>
        <v>0</v>
      </c>
      <c r="BO28" s="112" t="e">
        <f t="shared" ca="1" si="72"/>
        <v>#DIV/0!</v>
      </c>
      <c r="BR28" s="53" t="e">
        <f t="shared" ca="1" si="73"/>
        <v>#DIV/0!</v>
      </c>
      <c r="BS28" s="53">
        <f t="shared" ca="1" si="74"/>
        <v>0</v>
      </c>
      <c r="BT28" s="53">
        <f t="shared" ca="1" si="75"/>
        <v>0</v>
      </c>
      <c r="BU28" s="56" t="e">
        <f t="shared" ca="1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ca="1" si="79"/>
        <v>0</v>
      </c>
      <c r="CW28" s="53">
        <f t="shared" ca="1" si="80"/>
        <v>0</v>
      </c>
      <c r="CX28" s="58" t="e">
        <f t="shared" ca="1" si="81"/>
        <v>#DIV/0!</v>
      </c>
      <c r="CY28" s="53">
        <f t="shared" ca="1" si="82"/>
        <v>0</v>
      </c>
      <c r="CZ28" s="53">
        <f t="shared" ca="1" si="83"/>
        <v>0</v>
      </c>
      <c r="DA28" s="58" t="e">
        <f t="shared" ca="1" si="84"/>
        <v>#DIV/0!</v>
      </c>
      <c r="DB28" s="48" t="e">
        <f t="shared" ca="1" si="85"/>
        <v>#DIV/0!</v>
      </c>
      <c r="DC28" s="48" t="e">
        <f t="shared" ca="1" si="86"/>
        <v>#DIV/0!</v>
      </c>
      <c r="DD28" s="48" t="e">
        <f t="shared" ca="1" si="87"/>
        <v>#DIV/0!</v>
      </c>
      <c r="DE28" s="48" t="e">
        <f t="shared" ca="1" si="88"/>
        <v>#DIV/0!</v>
      </c>
      <c r="DF28" s="48" t="e">
        <f t="shared" ca="1" si="89"/>
        <v>#DIV/0!</v>
      </c>
      <c r="DG28" s="48" t="e">
        <f t="shared" ca="1" si="90"/>
        <v>#DIV/0!</v>
      </c>
      <c r="DH28" s="48">
        <f ca="1">SUMIF(FCR!$BZ$4:$DB$500,DG28,FCR!$DE$4:$EG$500)</f>
        <v>0</v>
      </c>
      <c r="DI28" s="48" t="e">
        <f t="shared" ca="1" si="91"/>
        <v>#DIV/0!</v>
      </c>
      <c r="DJ28" s="48">
        <f ca="1">SUMIF(FCR!$BZ$4:$DB$142,DI28,FCR!$DE$4:$EG$142)</f>
        <v>0</v>
      </c>
      <c r="DK28" s="48" t="e">
        <f t="shared" ca="1" si="92"/>
        <v>#DIV/0!</v>
      </c>
      <c r="DL28" s="55" t="e">
        <f t="shared" ca="1" si="93"/>
        <v>#DIV/0!</v>
      </c>
      <c r="DM28" s="48" t="e">
        <f t="shared" ca="1" si="94"/>
        <v>#DIV/0!</v>
      </c>
      <c r="DN28" s="48">
        <f ca="1">SUMIF(FCR!$BZ$4:$DB$142,DM28,FCR!$DE$4:$EG$142)</f>
        <v>0</v>
      </c>
      <c r="DO28" s="53" t="e">
        <f t="shared" ca="1" si="95"/>
        <v>#DIV/0!</v>
      </c>
      <c r="DP28" s="55" t="e">
        <f t="shared" ca="1" si="96"/>
        <v>#DIV/0!</v>
      </c>
      <c r="DQ28" s="55" t="e">
        <f t="shared" ca="1" si="97"/>
        <v>#DIV/0!</v>
      </c>
      <c r="DR28" s="55"/>
      <c r="DS28" s="55" t="e">
        <f t="shared" ca="1" si="98"/>
        <v>#DIV/0!</v>
      </c>
      <c r="DT28" s="55" t="e">
        <f t="shared" ca="1" si="99"/>
        <v>#DIV/0!</v>
      </c>
      <c r="DU28" s="53">
        <f t="shared" ca="1" si="100"/>
        <v>0</v>
      </c>
      <c r="DV28" s="59" t="e">
        <f t="shared" ca="1" si="101"/>
        <v>#DIV/0!</v>
      </c>
    </row>
    <row r="29" spans="1:12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AD29" s="49" t="s">
        <v>337</v>
      </c>
      <c r="AE29" s="49">
        <f t="shared" ca="1" si="24"/>
        <v>0</v>
      </c>
      <c r="AF29" s="49">
        <f t="shared" ca="1" si="48"/>
        <v>0</v>
      </c>
      <c r="AG29" s="114">
        <f t="shared" ca="1" si="49"/>
        <v>0</v>
      </c>
      <c r="AH29" s="104">
        <f t="shared" ca="1" si="50"/>
        <v>0</v>
      </c>
      <c r="AI29" s="104">
        <f t="shared" ca="1" si="51"/>
        <v>0</v>
      </c>
      <c r="AJ29" s="104">
        <f t="shared" ca="1" si="52"/>
        <v>0</v>
      </c>
      <c r="AK29" s="104">
        <f t="shared" ca="1" si="53"/>
        <v>0</v>
      </c>
      <c r="AL29" s="104">
        <f t="shared" ca="1" si="54"/>
        <v>0</v>
      </c>
      <c r="AM29" s="104">
        <f t="shared" ca="1" si="55"/>
        <v>0</v>
      </c>
      <c r="AN29" s="104">
        <f t="shared" ca="1" si="56"/>
        <v>0</v>
      </c>
      <c r="AO29" s="104">
        <f t="shared" ca="1" si="57"/>
        <v>0</v>
      </c>
      <c r="AP29" s="104">
        <f t="shared" ca="1" si="58"/>
        <v>0</v>
      </c>
      <c r="AQ29" s="49">
        <f t="shared" ca="1" si="59"/>
        <v>0</v>
      </c>
      <c r="AR29" s="104">
        <f t="shared" ca="1" si="60"/>
        <v>0</v>
      </c>
      <c r="AS29" s="104">
        <f t="shared" ca="1" si="61"/>
        <v>0</v>
      </c>
      <c r="AT29" s="104">
        <f t="shared" ca="1" si="62"/>
        <v>0</v>
      </c>
      <c r="AU29" s="104">
        <f t="shared" ca="1" si="63"/>
        <v>0</v>
      </c>
      <c r="BF29" s="49">
        <f t="shared" ca="1" si="64"/>
        <v>0</v>
      </c>
      <c r="BG29" s="49">
        <f t="shared" ca="1" si="65"/>
        <v>0</v>
      </c>
      <c r="BH29" s="54" t="e">
        <f t="shared" ca="1" si="66"/>
        <v>#DIV/0!</v>
      </c>
      <c r="BI29" s="112" t="e">
        <f t="shared" ca="1" si="67"/>
        <v>#DIV/0!</v>
      </c>
      <c r="BK29" s="55" t="e">
        <f t="shared" ca="1" si="68"/>
        <v>#DIV/0!</v>
      </c>
      <c r="BL29" s="55" t="e">
        <f t="shared" ca="1" si="69"/>
        <v>#DIV/0!</v>
      </c>
      <c r="BM29" s="55" t="e">
        <f t="shared" ca="1" si="70"/>
        <v>#DIV/0!</v>
      </c>
      <c r="BN29" s="53">
        <f t="shared" ca="1" si="71"/>
        <v>0</v>
      </c>
      <c r="BO29" s="112" t="e">
        <f t="shared" ca="1" si="72"/>
        <v>#DIV/0!</v>
      </c>
      <c r="BR29" s="53" t="e">
        <f t="shared" ca="1" si="73"/>
        <v>#DIV/0!</v>
      </c>
      <c r="BS29" s="53">
        <f t="shared" ca="1" si="74"/>
        <v>0</v>
      </c>
      <c r="BT29" s="53">
        <f t="shared" ca="1" si="75"/>
        <v>0</v>
      </c>
      <c r="BU29" s="56" t="e">
        <f t="shared" ca="1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ca="1" si="79"/>
        <v>0</v>
      </c>
      <c r="CW29" s="53">
        <f t="shared" ca="1" si="80"/>
        <v>0</v>
      </c>
      <c r="CX29" s="58" t="e">
        <f t="shared" ca="1" si="81"/>
        <v>#DIV/0!</v>
      </c>
      <c r="CY29" s="53">
        <f t="shared" ca="1" si="82"/>
        <v>0</v>
      </c>
      <c r="CZ29" s="53">
        <f t="shared" ca="1" si="83"/>
        <v>0</v>
      </c>
      <c r="DA29" s="58" t="e">
        <f t="shared" ca="1" si="84"/>
        <v>#DIV/0!</v>
      </c>
      <c r="DB29" s="48" t="e">
        <f t="shared" ca="1" si="85"/>
        <v>#DIV/0!</v>
      </c>
      <c r="DC29" s="48" t="e">
        <f t="shared" ca="1" si="86"/>
        <v>#DIV/0!</v>
      </c>
      <c r="DD29" s="48" t="e">
        <f t="shared" ca="1" si="87"/>
        <v>#DIV/0!</v>
      </c>
      <c r="DE29" s="48" t="e">
        <f t="shared" ca="1" si="88"/>
        <v>#DIV/0!</v>
      </c>
      <c r="DF29" s="48" t="e">
        <f t="shared" ca="1" si="89"/>
        <v>#DIV/0!</v>
      </c>
      <c r="DG29" s="48" t="e">
        <f t="shared" ca="1" si="90"/>
        <v>#DIV/0!</v>
      </c>
      <c r="DH29" s="48">
        <f ca="1">SUMIF(FCR!$BZ$4:$DB$500,DG29,FCR!$DE$4:$EG$500)</f>
        <v>0</v>
      </c>
      <c r="DI29" s="48" t="e">
        <f t="shared" ca="1" si="91"/>
        <v>#DIV/0!</v>
      </c>
      <c r="DJ29" s="48">
        <f ca="1">SUMIF(FCR!$BZ$4:$DB$142,DI29,FCR!$DE$4:$EG$142)</f>
        <v>0</v>
      </c>
      <c r="DK29" s="48" t="e">
        <f t="shared" ca="1" si="92"/>
        <v>#DIV/0!</v>
      </c>
      <c r="DL29" s="55" t="e">
        <f t="shared" ca="1" si="93"/>
        <v>#DIV/0!</v>
      </c>
      <c r="DM29" s="48" t="e">
        <f t="shared" ca="1" si="94"/>
        <v>#DIV/0!</v>
      </c>
      <c r="DN29" s="48">
        <f ca="1">SUMIF(FCR!$BZ$4:$DB$142,DM29,FCR!$DE$4:$EG$142)</f>
        <v>0</v>
      </c>
      <c r="DO29" s="53" t="e">
        <f t="shared" ca="1" si="95"/>
        <v>#DIV/0!</v>
      </c>
      <c r="DP29" s="55" t="e">
        <f t="shared" ca="1" si="96"/>
        <v>#DIV/0!</v>
      </c>
      <c r="DQ29" s="55" t="e">
        <f t="shared" ca="1" si="97"/>
        <v>#DIV/0!</v>
      </c>
      <c r="DR29" s="55"/>
      <c r="DS29" s="55" t="e">
        <f t="shared" ca="1" si="98"/>
        <v>#DIV/0!</v>
      </c>
      <c r="DT29" s="55" t="e">
        <f t="shared" ca="1" si="99"/>
        <v>#DIV/0!</v>
      </c>
      <c r="DU29" s="53">
        <f t="shared" ca="1" si="100"/>
        <v>0</v>
      </c>
      <c r="DV29" s="59" t="e">
        <f t="shared" ca="1" si="101"/>
        <v>#DIV/0!</v>
      </c>
    </row>
    <row r="30" spans="1:12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AD30" s="49" t="s">
        <v>337</v>
      </c>
      <c r="AE30" s="49">
        <f t="shared" ca="1" si="24"/>
        <v>0</v>
      </c>
      <c r="AF30" s="49">
        <f t="shared" ca="1" si="48"/>
        <v>0</v>
      </c>
      <c r="AG30" s="114">
        <f t="shared" ca="1" si="49"/>
        <v>0</v>
      </c>
      <c r="AH30" s="104">
        <f t="shared" ca="1" si="50"/>
        <v>0</v>
      </c>
      <c r="AI30" s="104">
        <f t="shared" ca="1" si="51"/>
        <v>0</v>
      </c>
      <c r="AJ30" s="104">
        <f t="shared" ca="1" si="52"/>
        <v>0</v>
      </c>
      <c r="AK30" s="104">
        <f t="shared" ca="1" si="53"/>
        <v>0</v>
      </c>
      <c r="AL30" s="104">
        <f t="shared" ca="1" si="54"/>
        <v>0</v>
      </c>
      <c r="AM30" s="104">
        <f t="shared" ca="1" si="55"/>
        <v>0</v>
      </c>
      <c r="AN30" s="104">
        <f t="shared" ca="1" si="56"/>
        <v>0</v>
      </c>
      <c r="AO30" s="104">
        <f t="shared" ca="1" si="57"/>
        <v>0</v>
      </c>
      <c r="AP30" s="104">
        <f t="shared" ca="1" si="58"/>
        <v>0</v>
      </c>
      <c r="AQ30" s="49">
        <f t="shared" ca="1" si="59"/>
        <v>0</v>
      </c>
      <c r="AR30" s="104">
        <f t="shared" ca="1" si="60"/>
        <v>0</v>
      </c>
      <c r="AS30" s="104">
        <f t="shared" ca="1" si="61"/>
        <v>0</v>
      </c>
      <c r="AT30" s="104">
        <f t="shared" ca="1" si="62"/>
        <v>0</v>
      </c>
      <c r="AU30" s="104">
        <f t="shared" ca="1" si="63"/>
        <v>0</v>
      </c>
      <c r="BF30" s="49">
        <f t="shared" ca="1" si="64"/>
        <v>0</v>
      </c>
      <c r="BG30" s="49">
        <f t="shared" ca="1" si="65"/>
        <v>0</v>
      </c>
      <c r="BH30" s="54" t="e">
        <f t="shared" ca="1" si="66"/>
        <v>#DIV/0!</v>
      </c>
      <c r="BI30" s="112" t="e">
        <f t="shared" ca="1" si="67"/>
        <v>#DIV/0!</v>
      </c>
      <c r="BK30" s="55" t="e">
        <f t="shared" ca="1" si="68"/>
        <v>#DIV/0!</v>
      </c>
      <c r="BL30" s="55" t="e">
        <f t="shared" ca="1" si="69"/>
        <v>#DIV/0!</v>
      </c>
      <c r="BM30" s="55" t="e">
        <f t="shared" ca="1" si="70"/>
        <v>#DIV/0!</v>
      </c>
      <c r="BN30" s="53">
        <f t="shared" ca="1" si="71"/>
        <v>0</v>
      </c>
      <c r="BO30" s="112" t="e">
        <f t="shared" ca="1" si="72"/>
        <v>#DIV/0!</v>
      </c>
      <c r="BR30" s="53" t="e">
        <f t="shared" ca="1" si="73"/>
        <v>#DIV/0!</v>
      </c>
      <c r="BS30" s="53">
        <f t="shared" ca="1" si="74"/>
        <v>0</v>
      </c>
      <c r="BT30" s="53">
        <f t="shared" ca="1" si="75"/>
        <v>0</v>
      </c>
      <c r="BU30" s="56" t="e">
        <f t="shared" ca="1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ca="1" si="79"/>
        <v>0</v>
      </c>
      <c r="CW30" s="53">
        <f t="shared" ca="1" si="80"/>
        <v>0</v>
      </c>
      <c r="CX30" s="58" t="e">
        <f t="shared" ca="1" si="81"/>
        <v>#DIV/0!</v>
      </c>
      <c r="CY30" s="53">
        <f t="shared" ca="1" si="82"/>
        <v>0</v>
      </c>
      <c r="CZ30" s="53">
        <f t="shared" ca="1" si="83"/>
        <v>0</v>
      </c>
      <c r="DA30" s="58" t="e">
        <f t="shared" ca="1" si="84"/>
        <v>#DIV/0!</v>
      </c>
      <c r="DB30" s="48" t="e">
        <f t="shared" ca="1" si="85"/>
        <v>#DIV/0!</v>
      </c>
      <c r="DC30" s="48" t="e">
        <f t="shared" ca="1" si="86"/>
        <v>#DIV/0!</v>
      </c>
      <c r="DD30" s="48" t="e">
        <f t="shared" ca="1" si="87"/>
        <v>#DIV/0!</v>
      </c>
      <c r="DE30" s="48" t="e">
        <f t="shared" ca="1" si="88"/>
        <v>#DIV/0!</v>
      </c>
      <c r="DF30" s="48" t="e">
        <f t="shared" ca="1" si="89"/>
        <v>#DIV/0!</v>
      </c>
      <c r="DG30" s="48" t="e">
        <f t="shared" ca="1" si="90"/>
        <v>#DIV/0!</v>
      </c>
      <c r="DH30" s="48">
        <f ca="1">SUMIF(FCR!$BZ$4:$DB$500,DG30,FCR!$DE$4:$EG$500)</f>
        <v>0</v>
      </c>
      <c r="DI30" s="48" t="e">
        <f t="shared" ca="1" si="91"/>
        <v>#DIV/0!</v>
      </c>
      <c r="DJ30" s="48">
        <f ca="1">SUMIF(FCR!$BZ$4:$DB$142,DI30,FCR!$DE$4:$EG$142)</f>
        <v>0</v>
      </c>
      <c r="DK30" s="48" t="e">
        <f t="shared" ca="1" si="92"/>
        <v>#DIV/0!</v>
      </c>
      <c r="DL30" s="55" t="e">
        <f t="shared" ca="1" si="93"/>
        <v>#DIV/0!</v>
      </c>
      <c r="DM30" s="48" t="e">
        <f t="shared" ca="1" si="94"/>
        <v>#DIV/0!</v>
      </c>
      <c r="DN30" s="48">
        <f ca="1">SUMIF(FCR!$BZ$4:$DB$142,DM30,FCR!$DE$4:$EG$142)</f>
        <v>0</v>
      </c>
      <c r="DO30" s="53" t="e">
        <f t="shared" ca="1" si="95"/>
        <v>#DIV/0!</v>
      </c>
      <c r="DP30" s="55" t="e">
        <f t="shared" ca="1" si="96"/>
        <v>#DIV/0!</v>
      </c>
      <c r="DQ30" s="55" t="e">
        <f t="shared" ca="1" si="97"/>
        <v>#DIV/0!</v>
      </c>
      <c r="DR30" s="55"/>
      <c r="DS30" s="55" t="e">
        <f t="shared" ca="1" si="98"/>
        <v>#DIV/0!</v>
      </c>
      <c r="DT30" s="55" t="e">
        <f t="shared" ca="1" si="99"/>
        <v>#DIV/0!</v>
      </c>
      <c r="DU30" s="53">
        <f t="shared" ca="1" si="100"/>
        <v>0</v>
      </c>
      <c r="DV30" s="59" t="e">
        <f t="shared" ca="1" si="101"/>
        <v>#DIV/0!</v>
      </c>
    </row>
    <row r="31" spans="1:12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AD31" s="49" t="s">
        <v>337</v>
      </c>
      <c r="AE31" s="49">
        <f t="shared" ca="1" si="24"/>
        <v>0</v>
      </c>
      <c r="AF31" s="49">
        <f t="shared" ca="1" si="48"/>
        <v>0</v>
      </c>
      <c r="AG31" s="114">
        <f t="shared" ca="1" si="49"/>
        <v>0</v>
      </c>
      <c r="AH31" s="104">
        <f t="shared" ca="1" si="50"/>
        <v>0</v>
      </c>
      <c r="AI31" s="104">
        <f t="shared" ca="1" si="51"/>
        <v>0</v>
      </c>
      <c r="AJ31" s="104">
        <f t="shared" ca="1" si="52"/>
        <v>0</v>
      </c>
      <c r="AK31" s="104">
        <f t="shared" ca="1" si="53"/>
        <v>0</v>
      </c>
      <c r="AL31" s="104">
        <f t="shared" ca="1" si="54"/>
        <v>0</v>
      </c>
      <c r="AM31" s="104">
        <f t="shared" ca="1" si="55"/>
        <v>0</v>
      </c>
      <c r="AN31" s="104">
        <f t="shared" ca="1" si="56"/>
        <v>0</v>
      </c>
      <c r="AO31" s="104">
        <f t="shared" ca="1" si="57"/>
        <v>0</v>
      </c>
      <c r="AP31" s="104">
        <f t="shared" ca="1" si="58"/>
        <v>0</v>
      </c>
      <c r="AQ31" s="49">
        <f t="shared" ca="1" si="59"/>
        <v>0</v>
      </c>
      <c r="AR31" s="104">
        <f t="shared" ca="1" si="60"/>
        <v>0</v>
      </c>
      <c r="AS31" s="104">
        <f t="shared" ca="1" si="61"/>
        <v>0</v>
      </c>
      <c r="AT31" s="104">
        <f t="shared" ca="1" si="62"/>
        <v>0</v>
      </c>
      <c r="AU31" s="104">
        <f t="shared" ca="1" si="63"/>
        <v>0</v>
      </c>
      <c r="BF31" s="49">
        <f t="shared" ca="1" si="64"/>
        <v>0</v>
      </c>
      <c r="BG31" s="49">
        <f t="shared" ca="1" si="65"/>
        <v>0</v>
      </c>
      <c r="BH31" s="54" t="e">
        <f t="shared" ca="1" si="66"/>
        <v>#DIV/0!</v>
      </c>
      <c r="BI31" s="112" t="e">
        <f t="shared" ca="1" si="67"/>
        <v>#DIV/0!</v>
      </c>
      <c r="BK31" s="55" t="e">
        <f t="shared" ca="1" si="68"/>
        <v>#DIV/0!</v>
      </c>
      <c r="BL31" s="55" t="e">
        <f t="shared" ca="1" si="69"/>
        <v>#DIV/0!</v>
      </c>
      <c r="BM31" s="55" t="e">
        <f t="shared" ca="1" si="70"/>
        <v>#DIV/0!</v>
      </c>
      <c r="BN31" s="53">
        <f t="shared" ca="1" si="71"/>
        <v>0</v>
      </c>
      <c r="BO31" s="112" t="e">
        <f t="shared" ca="1" si="72"/>
        <v>#DIV/0!</v>
      </c>
      <c r="BR31" s="53" t="e">
        <f t="shared" ca="1" si="73"/>
        <v>#DIV/0!</v>
      </c>
      <c r="BS31" s="53">
        <f t="shared" ca="1" si="74"/>
        <v>0</v>
      </c>
      <c r="BT31" s="53">
        <f t="shared" ca="1" si="75"/>
        <v>0</v>
      </c>
      <c r="BU31" s="56" t="e">
        <f t="shared" ca="1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ca="1" si="79"/>
        <v>0</v>
      </c>
      <c r="CW31" s="53">
        <f t="shared" ca="1" si="80"/>
        <v>0</v>
      </c>
      <c r="CX31" s="58" t="e">
        <f t="shared" ca="1" si="81"/>
        <v>#DIV/0!</v>
      </c>
      <c r="CY31" s="53">
        <f t="shared" ca="1" si="82"/>
        <v>0</v>
      </c>
      <c r="CZ31" s="53">
        <f t="shared" ca="1" si="83"/>
        <v>0</v>
      </c>
      <c r="DA31" s="58" t="e">
        <f t="shared" ca="1" si="84"/>
        <v>#DIV/0!</v>
      </c>
      <c r="DB31" s="48" t="e">
        <f t="shared" ca="1" si="85"/>
        <v>#DIV/0!</v>
      </c>
      <c r="DC31" s="48" t="e">
        <f t="shared" ca="1" si="86"/>
        <v>#DIV/0!</v>
      </c>
      <c r="DD31" s="48" t="e">
        <f t="shared" ca="1" si="87"/>
        <v>#DIV/0!</v>
      </c>
      <c r="DE31" s="48" t="e">
        <f t="shared" ca="1" si="88"/>
        <v>#DIV/0!</v>
      </c>
      <c r="DF31" s="48" t="e">
        <f t="shared" ca="1" si="89"/>
        <v>#DIV/0!</v>
      </c>
      <c r="DG31" s="48" t="e">
        <f t="shared" ca="1" si="90"/>
        <v>#DIV/0!</v>
      </c>
      <c r="DH31" s="48">
        <f ca="1">SUMIF(FCR!$BZ$4:$DB$500,DG31,FCR!$DE$4:$EG$500)</f>
        <v>0</v>
      </c>
      <c r="DI31" s="48" t="e">
        <f t="shared" ca="1" si="91"/>
        <v>#DIV/0!</v>
      </c>
      <c r="DJ31" s="48">
        <f ca="1">SUMIF(FCR!$BZ$4:$DB$142,DI31,FCR!$DE$4:$EG$142)</f>
        <v>0</v>
      </c>
      <c r="DK31" s="48" t="e">
        <f t="shared" ca="1" si="92"/>
        <v>#DIV/0!</v>
      </c>
      <c r="DL31" s="55" t="e">
        <f t="shared" ca="1" si="93"/>
        <v>#DIV/0!</v>
      </c>
      <c r="DM31" s="48" t="e">
        <f t="shared" ca="1" si="94"/>
        <v>#DIV/0!</v>
      </c>
      <c r="DN31" s="48">
        <f ca="1">SUMIF(FCR!$BZ$4:$DB$142,DM31,FCR!$DE$4:$EG$142)</f>
        <v>0</v>
      </c>
      <c r="DO31" s="53" t="e">
        <f t="shared" ca="1" si="95"/>
        <v>#DIV/0!</v>
      </c>
      <c r="DP31" s="55" t="e">
        <f t="shared" ca="1" si="96"/>
        <v>#DIV/0!</v>
      </c>
      <c r="DQ31" s="55" t="e">
        <f t="shared" ca="1" si="97"/>
        <v>#DIV/0!</v>
      </c>
      <c r="DR31" s="55"/>
      <c r="DS31" s="55" t="e">
        <f t="shared" ca="1" si="98"/>
        <v>#DIV/0!</v>
      </c>
      <c r="DT31" s="55" t="e">
        <f t="shared" ca="1" si="99"/>
        <v>#DIV/0!</v>
      </c>
      <c r="DU31" s="53">
        <f t="shared" ca="1" si="100"/>
        <v>0</v>
      </c>
      <c r="DV31" s="59" t="e">
        <f t="shared" ca="1" si="101"/>
        <v>#DIV/0!</v>
      </c>
    </row>
    <row r="32" spans="1:12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AD32" s="49" t="s">
        <v>337</v>
      </c>
      <c r="AE32" s="49">
        <f t="shared" ca="1" si="24"/>
        <v>0</v>
      </c>
      <c r="AF32" s="49">
        <f t="shared" ca="1" si="48"/>
        <v>0</v>
      </c>
      <c r="AG32" s="114">
        <f t="shared" ca="1" si="49"/>
        <v>0</v>
      </c>
      <c r="AH32" s="104">
        <f t="shared" ca="1" si="50"/>
        <v>0</v>
      </c>
      <c r="AI32" s="104">
        <f t="shared" ca="1" si="51"/>
        <v>0</v>
      </c>
      <c r="AJ32" s="104">
        <f t="shared" ca="1" si="52"/>
        <v>0</v>
      </c>
      <c r="AK32" s="104">
        <f t="shared" ca="1" si="53"/>
        <v>0</v>
      </c>
      <c r="AL32" s="104">
        <f t="shared" ca="1" si="54"/>
        <v>0</v>
      </c>
      <c r="AM32" s="104">
        <f t="shared" ca="1" si="55"/>
        <v>0</v>
      </c>
      <c r="AN32" s="104">
        <f t="shared" ca="1" si="56"/>
        <v>0</v>
      </c>
      <c r="AO32" s="104">
        <f t="shared" ca="1" si="57"/>
        <v>0</v>
      </c>
      <c r="AP32" s="104">
        <f t="shared" ca="1" si="58"/>
        <v>0</v>
      </c>
      <c r="AQ32" s="49">
        <f t="shared" ca="1" si="59"/>
        <v>0</v>
      </c>
      <c r="AR32" s="104">
        <f t="shared" ca="1" si="60"/>
        <v>0</v>
      </c>
      <c r="AS32" s="104">
        <f t="shared" ca="1" si="61"/>
        <v>0</v>
      </c>
      <c r="AT32" s="104">
        <f t="shared" ca="1" si="62"/>
        <v>0</v>
      </c>
      <c r="AU32" s="104">
        <f t="shared" ca="1" si="63"/>
        <v>0</v>
      </c>
      <c r="BF32" s="49">
        <f t="shared" ca="1" si="64"/>
        <v>0</v>
      </c>
      <c r="BG32" s="49">
        <f t="shared" ca="1" si="65"/>
        <v>0</v>
      </c>
      <c r="BH32" s="54" t="e">
        <f t="shared" ca="1" si="66"/>
        <v>#DIV/0!</v>
      </c>
      <c r="BI32" s="112" t="e">
        <f t="shared" ca="1" si="67"/>
        <v>#DIV/0!</v>
      </c>
      <c r="BK32" s="55" t="e">
        <f t="shared" ca="1" si="68"/>
        <v>#DIV/0!</v>
      </c>
      <c r="BL32" s="55" t="e">
        <f t="shared" ca="1" si="69"/>
        <v>#DIV/0!</v>
      </c>
      <c r="BM32" s="55" t="e">
        <f t="shared" ca="1" si="70"/>
        <v>#DIV/0!</v>
      </c>
      <c r="BN32" s="53">
        <f t="shared" ca="1" si="71"/>
        <v>0</v>
      </c>
      <c r="BO32" s="112" t="e">
        <f t="shared" ca="1" si="72"/>
        <v>#DIV/0!</v>
      </c>
      <c r="BR32" s="53" t="e">
        <f t="shared" ca="1" si="73"/>
        <v>#DIV/0!</v>
      </c>
      <c r="BS32" s="53">
        <f t="shared" ca="1" si="74"/>
        <v>0</v>
      </c>
      <c r="BT32" s="53">
        <f t="shared" ca="1" si="75"/>
        <v>0</v>
      </c>
      <c r="BU32" s="56" t="e">
        <f t="shared" ca="1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ca="1" si="79"/>
        <v>0</v>
      </c>
      <c r="CW32" s="53">
        <f t="shared" ca="1" si="80"/>
        <v>0</v>
      </c>
      <c r="CX32" s="58" t="e">
        <f t="shared" ca="1" si="81"/>
        <v>#DIV/0!</v>
      </c>
      <c r="CY32" s="53">
        <f t="shared" ca="1" si="82"/>
        <v>0</v>
      </c>
      <c r="CZ32" s="53">
        <f t="shared" ca="1" si="83"/>
        <v>0</v>
      </c>
      <c r="DA32" s="58" t="e">
        <f t="shared" ca="1" si="84"/>
        <v>#DIV/0!</v>
      </c>
      <c r="DB32" s="48" t="e">
        <f t="shared" ca="1" si="85"/>
        <v>#DIV/0!</v>
      </c>
      <c r="DC32" s="48" t="e">
        <f t="shared" ca="1" si="86"/>
        <v>#DIV/0!</v>
      </c>
      <c r="DD32" s="48" t="e">
        <f t="shared" ca="1" si="87"/>
        <v>#DIV/0!</v>
      </c>
      <c r="DE32" s="48" t="e">
        <f t="shared" ca="1" si="88"/>
        <v>#DIV/0!</v>
      </c>
      <c r="DF32" s="48" t="e">
        <f t="shared" ca="1" si="89"/>
        <v>#DIV/0!</v>
      </c>
      <c r="DG32" s="48" t="e">
        <f t="shared" ca="1" si="90"/>
        <v>#DIV/0!</v>
      </c>
      <c r="DH32" s="48">
        <f ca="1">SUMIF(FCR!$BZ$4:$DB$500,DG32,FCR!$DE$4:$EG$500)</f>
        <v>0</v>
      </c>
      <c r="DI32" s="48" t="e">
        <f t="shared" ca="1" si="91"/>
        <v>#DIV/0!</v>
      </c>
      <c r="DJ32" s="48">
        <f ca="1">SUMIF(FCR!$BZ$4:$DB$142,DI32,FCR!$DE$4:$EG$142)</f>
        <v>0</v>
      </c>
      <c r="DK32" s="48" t="e">
        <f t="shared" ca="1" si="92"/>
        <v>#DIV/0!</v>
      </c>
      <c r="DL32" s="55" t="e">
        <f t="shared" ca="1" si="93"/>
        <v>#DIV/0!</v>
      </c>
      <c r="DM32" s="48" t="e">
        <f t="shared" ca="1" si="94"/>
        <v>#DIV/0!</v>
      </c>
      <c r="DN32" s="48">
        <f ca="1">SUMIF(FCR!$BZ$4:$DB$142,DM32,FCR!$DE$4:$EG$142)</f>
        <v>0</v>
      </c>
      <c r="DO32" s="53" t="e">
        <f t="shared" ca="1" si="95"/>
        <v>#DIV/0!</v>
      </c>
      <c r="DP32" s="55" t="e">
        <f t="shared" ca="1" si="96"/>
        <v>#DIV/0!</v>
      </c>
      <c r="DQ32" s="55" t="e">
        <f t="shared" ca="1" si="97"/>
        <v>#DIV/0!</v>
      </c>
      <c r="DR32" s="55"/>
      <c r="DS32" s="55" t="e">
        <f t="shared" ca="1" si="98"/>
        <v>#DIV/0!</v>
      </c>
      <c r="DT32" s="55" t="e">
        <f t="shared" ca="1" si="99"/>
        <v>#DIV/0!</v>
      </c>
      <c r="DU32" s="53">
        <f t="shared" ca="1" si="100"/>
        <v>0</v>
      </c>
      <c r="DV32" s="59" t="e">
        <f t="shared" ca="1" si="101"/>
        <v>#DIV/0!</v>
      </c>
    </row>
    <row r="33" spans="1:12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AD33" s="49" t="s">
        <v>337</v>
      </c>
      <c r="AE33" s="49">
        <f t="shared" ca="1" si="24"/>
        <v>0</v>
      </c>
      <c r="AF33" s="49">
        <f t="shared" ca="1" si="48"/>
        <v>0</v>
      </c>
      <c r="AG33" s="114">
        <f t="shared" ca="1" si="49"/>
        <v>0</v>
      </c>
      <c r="AH33" s="104">
        <f t="shared" ca="1" si="50"/>
        <v>0</v>
      </c>
      <c r="AI33" s="104">
        <f t="shared" ca="1" si="51"/>
        <v>0</v>
      </c>
      <c r="AJ33" s="104">
        <f t="shared" ca="1" si="52"/>
        <v>0</v>
      </c>
      <c r="AK33" s="104">
        <f t="shared" ca="1" si="53"/>
        <v>0</v>
      </c>
      <c r="AL33" s="104">
        <f t="shared" ca="1" si="54"/>
        <v>0</v>
      </c>
      <c r="AM33" s="104">
        <f t="shared" ca="1" si="55"/>
        <v>0</v>
      </c>
      <c r="AN33" s="104">
        <f t="shared" ca="1" si="56"/>
        <v>0</v>
      </c>
      <c r="AO33" s="104">
        <f t="shared" ca="1" si="57"/>
        <v>0</v>
      </c>
      <c r="AP33" s="104">
        <f t="shared" ca="1" si="58"/>
        <v>0</v>
      </c>
      <c r="AQ33" s="49">
        <f t="shared" ca="1" si="59"/>
        <v>0</v>
      </c>
      <c r="AR33" s="104">
        <f t="shared" ca="1" si="60"/>
        <v>0</v>
      </c>
      <c r="AS33" s="104">
        <f t="shared" ca="1" si="61"/>
        <v>0</v>
      </c>
      <c r="AT33" s="104">
        <f t="shared" ca="1" si="62"/>
        <v>0</v>
      </c>
      <c r="AU33" s="104">
        <f t="shared" ca="1" si="63"/>
        <v>0</v>
      </c>
      <c r="BF33" s="49">
        <f t="shared" ca="1" si="64"/>
        <v>0</v>
      </c>
      <c r="BG33" s="49">
        <f t="shared" ca="1" si="65"/>
        <v>0</v>
      </c>
      <c r="BH33" s="54" t="e">
        <f t="shared" ca="1" si="66"/>
        <v>#DIV/0!</v>
      </c>
      <c r="BI33" s="112" t="e">
        <f t="shared" ca="1" si="67"/>
        <v>#DIV/0!</v>
      </c>
      <c r="BK33" s="55" t="e">
        <f t="shared" ca="1" si="68"/>
        <v>#DIV/0!</v>
      </c>
      <c r="BL33" s="55" t="e">
        <f t="shared" ca="1" si="69"/>
        <v>#DIV/0!</v>
      </c>
      <c r="BM33" s="55" t="e">
        <f t="shared" ca="1" si="70"/>
        <v>#DIV/0!</v>
      </c>
      <c r="BN33" s="53">
        <f t="shared" ca="1" si="71"/>
        <v>0</v>
      </c>
      <c r="BO33" s="112" t="e">
        <f t="shared" ca="1" si="72"/>
        <v>#DIV/0!</v>
      </c>
      <c r="BR33" s="53" t="e">
        <f t="shared" ca="1" si="73"/>
        <v>#DIV/0!</v>
      </c>
      <c r="BS33" s="53">
        <f t="shared" ca="1" si="74"/>
        <v>0</v>
      </c>
      <c r="BT33" s="53">
        <f t="shared" ca="1" si="75"/>
        <v>0</v>
      </c>
      <c r="BU33" s="56" t="e">
        <f t="shared" ca="1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ca="1" si="79"/>
        <v>0</v>
      </c>
      <c r="CW33" s="53">
        <f t="shared" ca="1" si="80"/>
        <v>0</v>
      </c>
      <c r="CX33" s="58" t="e">
        <f t="shared" ca="1" si="81"/>
        <v>#DIV/0!</v>
      </c>
      <c r="CY33" s="53">
        <f t="shared" ca="1" si="82"/>
        <v>0</v>
      </c>
      <c r="CZ33" s="53">
        <f t="shared" ca="1" si="83"/>
        <v>0</v>
      </c>
      <c r="DA33" s="58" t="e">
        <f t="shared" ca="1" si="84"/>
        <v>#DIV/0!</v>
      </c>
      <c r="DB33" s="48" t="e">
        <f t="shared" ca="1" si="85"/>
        <v>#DIV/0!</v>
      </c>
      <c r="DC33" s="48" t="e">
        <f t="shared" ca="1" si="86"/>
        <v>#DIV/0!</v>
      </c>
      <c r="DD33" s="48" t="e">
        <f t="shared" ca="1" si="87"/>
        <v>#DIV/0!</v>
      </c>
      <c r="DE33" s="48" t="e">
        <f t="shared" ca="1" si="88"/>
        <v>#DIV/0!</v>
      </c>
      <c r="DF33" s="48" t="e">
        <f t="shared" ca="1" si="89"/>
        <v>#DIV/0!</v>
      </c>
      <c r="DG33" s="48" t="e">
        <f t="shared" ca="1" si="90"/>
        <v>#DIV/0!</v>
      </c>
      <c r="DH33" s="48">
        <f ca="1">SUMIF(FCR!$BZ$4:$DB$500,DG33,FCR!$DE$4:$EG$500)</f>
        <v>0</v>
      </c>
      <c r="DI33" s="48" t="e">
        <f t="shared" ca="1" si="91"/>
        <v>#DIV/0!</v>
      </c>
      <c r="DJ33" s="48">
        <f ca="1">SUMIF(FCR!$BZ$4:$DB$142,DI33,FCR!$DE$4:$EG$142)</f>
        <v>0</v>
      </c>
      <c r="DK33" s="48" t="e">
        <f t="shared" ca="1" si="92"/>
        <v>#DIV/0!</v>
      </c>
      <c r="DL33" s="55" t="e">
        <f t="shared" ca="1" si="93"/>
        <v>#DIV/0!</v>
      </c>
      <c r="DM33" s="48" t="e">
        <f t="shared" ca="1" si="94"/>
        <v>#DIV/0!</v>
      </c>
      <c r="DN33" s="48">
        <f ca="1">SUMIF(FCR!$BZ$4:$DB$142,DM33,FCR!$DE$4:$EG$142)</f>
        <v>0</v>
      </c>
      <c r="DO33" s="53" t="e">
        <f t="shared" ca="1" si="95"/>
        <v>#DIV/0!</v>
      </c>
      <c r="DP33" s="55" t="e">
        <f t="shared" ca="1" si="96"/>
        <v>#DIV/0!</v>
      </c>
      <c r="DQ33" s="55" t="e">
        <f t="shared" ca="1" si="97"/>
        <v>#DIV/0!</v>
      </c>
      <c r="DR33" s="55"/>
      <c r="DS33" s="55" t="e">
        <f t="shared" ca="1" si="98"/>
        <v>#DIV/0!</v>
      </c>
      <c r="DT33" s="55" t="e">
        <f t="shared" ca="1" si="99"/>
        <v>#DIV/0!</v>
      </c>
      <c r="DU33" s="53">
        <f t="shared" ca="1" si="100"/>
        <v>0</v>
      </c>
      <c r="DV33" s="59" t="e">
        <f t="shared" ca="1" si="101"/>
        <v>#DIV/0!</v>
      </c>
    </row>
    <row r="34" spans="1:12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AD34" s="49" t="s">
        <v>337</v>
      </c>
      <c r="AE34" s="49">
        <f t="shared" ca="1" si="24"/>
        <v>0</v>
      </c>
      <c r="AF34" s="49">
        <f t="shared" ca="1" si="48"/>
        <v>0</v>
      </c>
      <c r="AG34" s="114">
        <f t="shared" ca="1" si="49"/>
        <v>0</v>
      </c>
      <c r="AH34" s="104">
        <f t="shared" ca="1" si="50"/>
        <v>0</v>
      </c>
      <c r="AI34" s="104">
        <f t="shared" ca="1" si="51"/>
        <v>0</v>
      </c>
      <c r="AJ34" s="104">
        <f t="shared" ca="1" si="52"/>
        <v>0</v>
      </c>
      <c r="AK34" s="104">
        <f t="shared" ca="1" si="53"/>
        <v>0</v>
      </c>
      <c r="AL34" s="104">
        <f t="shared" ca="1" si="54"/>
        <v>0</v>
      </c>
      <c r="AM34" s="104">
        <f t="shared" ca="1" si="55"/>
        <v>0</v>
      </c>
      <c r="AN34" s="104">
        <f t="shared" ca="1" si="56"/>
        <v>0</v>
      </c>
      <c r="AO34" s="104">
        <f t="shared" ca="1" si="57"/>
        <v>0</v>
      </c>
      <c r="AP34" s="104">
        <f t="shared" ca="1" si="58"/>
        <v>0</v>
      </c>
      <c r="AQ34" s="49">
        <f t="shared" ca="1" si="59"/>
        <v>0</v>
      </c>
      <c r="AR34" s="104">
        <f t="shared" ca="1" si="60"/>
        <v>0</v>
      </c>
      <c r="AS34" s="104">
        <f t="shared" ca="1" si="61"/>
        <v>0</v>
      </c>
      <c r="AT34" s="104">
        <f t="shared" ca="1" si="62"/>
        <v>0</v>
      </c>
      <c r="AU34" s="104">
        <f t="shared" ca="1" si="63"/>
        <v>0</v>
      </c>
      <c r="BF34" s="49">
        <f t="shared" ca="1" si="64"/>
        <v>0</v>
      </c>
      <c r="BG34" s="49">
        <f t="shared" ca="1" si="65"/>
        <v>0</v>
      </c>
      <c r="BH34" s="54" t="e">
        <f t="shared" ca="1" si="66"/>
        <v>#DIV/0!</v>
      </c>
      <c r="BI34" s="112" t="e">
        <f t="shared" ca="1" si="67"/>
        <v>#DIV/0!</v>
      </c>
      <c r="BK34" s="55" t="e">
        <f t="shared" ca="1" si="68"/>
        <v>#DIV/0!</v>
      </c>
      <c r="BL34" s="55" t="e">
        <f t="shared" ca="1" si="69"/>
        <v>#DIV/0!</v>
      </c>
      <c r="BM34" s="55" t="e">
        <f t="shared" ca="1" si="70"/>
        <v>#DIV/0!</v>
      </c>
      <c r="BN34" s="53">
        <f t="shared" ca="1" si="71"/>
        <v>0</v>
      </c>
      <c r="BO34" s="112" t="e">
        <f t="shared" ca="1" si="72"/>
        <v>#DIV/0!</v>
      </c>
      <c r="BR34" s="53" t="e">
        <f t="shared" ca="1" si="73"/>
        <v>#DIV/0!</v>
      </c>
      <c r="BS34" s="53">
        <f t="shared" ca="1" si="74"/>
        <v>0</v>
      </c>
      <c r="BT34" s="53">
        <f t="shared" ca="1" si="75"/>
        <v>0</v>
      </c>
      <c r="BU34" s="56" t="e">
        <f t="shared" ca="1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ca="1" si="79"/>
        <v>0</v>
      </c>
      <c r="CW34" s="53">
        <f t="shared" ca="1" si="80"/>
        <v>0</v>
      </c>
      <c r="CX34" s="58" t="e">
        <f t="shared" ca="1" si="81"/>
        <v>#DIV/0!</v>
      </c>
      <c r="CY34" s="53">
        <f t="shared" ca="1" si="82"/>
        <v>0</v>
      </c>
      <c r="CZ34" s="53">
        <f t="shared" ca="1" si="83"/>
        <v>0</v>
      </c>
      <c r="DA34" s="58" t="e">
        <f t="shared" ca="1" si="84"/>
        <v>#DIV/0!</v>
      </c>
      <c r="DB34" s="48" t="e">
        <f t="shared" ca="1" si="85"/>
        <v>#DIV/0!</v>
      </c>
      <c r="DC34" s="48" t="e">
        <f t="shared" ca="1" si="86"/>
        <v>#DIV/0!</v>
      </c>
      <c r="DD34" s="48" t="e">
        <f t="shared" ca="1" si="87"/>
        <v>#DIV/0!</v>
      </c>
      <c r="DE34" s="48" t="e">
        <f t="shared" ca="1" si="88"/>
        <v>#DIV/0!</v>
      </c>
      <c r="DF34" s="48" t="e">
        <f t="shared" ca="1" si="89"/>
        <v>#DIV/0!</v>
      </c>
      <c r="DG34" s="48" t="e">
        <f t="shared" ca="1" si="90"/>
        <v>#DIV/0!</v>
      </c>
      <c r="DH34" s="48">
        <f ca="1">SUMIF(FCR!$BZ$4:$DB$500,DG34,FCR!$DE$4:$EG$500)</f>
        <v>0</v>
      </c>
      <c r="DI34" s="48" t="e">
        <f t="shared" ca="1" si="91"/>
        <v>#DIV/0!</v>
      </c>
      <c r="DJ34" s="48">
        <f ca="1">SUMIF(FCR!$BZ$4:$DB$142,DI34,FCR!$DE$4:$EG$142)</f>
        <v>0</v>
      </c>
      <c r="DK34" s="48" t="e">
        <f t="shared" ca="1" si="92"/>
        <v>#DIV/0!</v>
      </c>
      <c r="DL34" s="55" t="e">
        <f t="shared" ca="1" si="93"/>
        <v>#DIV/0!</v>
      </c>
      <c r="DM34" s="48" t="e">
        <f t="shared" ca="1" si="94"/>
        <v>#DIV/0!</v>
      </c>
      <c r="DN34" s="48">
        <f ca="1">SUMIF(FCR!$BZ$4:$DB$142,DM34,FCR!$DE$4:$EG$142)</f>
        <v>0</v>
      </c>
      <c r="DO34" s="53" t="e">
        <f t="shared" ca="1" si="95"/>
        <v>#DIV/0!</v>
      </c>
      <c r="DP34" s="55" t="e">
        <f t="shared" ca="1" si="96"/>
        <v>#DIV/0!</v>
      </c>
      <c r="DQ34" s="55" t="e">
        <f t="shared" ca="1" si="97"/>
        <v>#DIV/0!</v>
      </c>
      <c r="DR34" s="55"/>
      <c r="DS34" s="55" t="e">
        <f t="shared" ca="1" si="98"/>
        <v>#DIV/0!</v>
      </c>
      <c r="DT34" s="55" t="e">
        <f t="shared" ca="1" si="99"/>
        <v>#DIV/0!</v>
      </c>
      <c r="DU34" s="53">
        <f t="shared" ca="1" si="100"/>
        <v>0</v>
      </c>
      <c r="DV34" s="59" t="e">
        <f t="shared" ca="1" si="101"/>
        <v>#DIV/0!</v>
      </c>
    </row>
    <row r="35" spans="1:12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AD35" s="49" t="s">
        <v>337</v>
      </c>
      <c r="AE35" s="49">
        <f t="shared" ca="1" si="24"/>
        <v>0</v>
      </c>
      <c r="AF35" s="49">
        <f t="shared" ca="1" si="48"/>
        <v>0</v>
      </c>
      <c r="AG35" s="114">
        <f t="shared" ca="1" si="49"/>
        <v>0</v>
      </c>
      <c r="AH35" s="104">
        <f t="shared" ca="1" si="50"/>
        <v>0</v>
      </c>
      <c r="AI35" s="104">
        <f t="shared" ca="1" si="51"/>
        <v>0</v>
      </c>
      <c r="AJ35" s="104">
        <f t="shared" ca="1" si="52"/>
        <v>0</v>
      </c>
      <c r="AK35" s="104">
        <f t="shared" ca="1" si="53"/>
        <v>0</v>
      </c>
      <c r="AL35" s="104">
        <f t="shared" ca="1" si="54"/>
        <v>0</v>
      </c>
      <c r="AM35" s="104">
        <f t="shared" ca="1" si="55"/>
        <v>0</v>
      </c>
      <c r="AN35" s="104">
        <f t="shared" ca="1" si="56"/>
        <v>0</v>
      </c>
      <c r="AO35" s="104">
        <f t="shared" ca="1" si="57"/>
        <v>0</v>
      </c>
      <c r="AP35" s="104">
        <f t="shared" ca="1" si="58"/>
        <v>0</v>
      </c>
      <c r="AQ35" s="49">
        <f t="shared" ca="1" si="59"/>
        <v>0</v>
      </c>
      <c r="AR35" s="104">
        <f t="shared" ca="1" si="60"/>
        <v>0</v>
      </c>
      <c r="AS35" s="104">
        <f t="shared" ca="1" si="61"/>
        <v>0</v>
      </c>
      <c r="AT35" s="104">
        <f t="shared" ca="1" si="62"/>
        <v>0</v>
      </c>
      <c r="AU35" s="104">
        <f t="shared" ca="1" si="63"/>
        <v>0</v>
      </c>
      <c r="BF35" s="49">
        <f t="shared" ca="1" si="64"/>
        <v>0</v>
      </c>
      <c r="BG35" s="49">
        <f t="shared" ca="1" si="65"/>
        <v>0</v>
      </c>
      <c r="BH35" s="54" t="e">
        <f t="shared" ca="1" si="66"/>
        <v>#DIV/0!</v>
      </c>
      <c r="BI35" s="112" t="e">
        <f t="shared" ca="1" si="67"/>
        <v>#DIV/0!</v>
      </c>
      <c r="BK35" s="55" t="e">
        <f t="shared" ca="1" si="68"/>
        <v>#DIV/0!</v>
      </c>
      <c r="BL35" s="55" t="e">
        <f t="shared" ca="1" si="69"/>
        <v>#DIV/0!</v>
      </c>
      <c r="BM35" s="55" t="e">
        <f t="shared" ca="1" si="70"/>
        <v>#DIV/0!</v>
      </c>
      <c r="BN35" s="53">
        <f t="shared" ca="1" si="71"/>
        <v>0</v>
      </c>
      <c r="BO35" s="112" t="e">
        <f t="shared" ca="1" si="72"/>
        <v>#DIV/0!</v>
      </c>
      <c r="BR35" s="53" t="e">
        <f t="shared" ca="1" si="73"/>
        <v>#DIV/0!</v>
      </c>
      <c r="BS35" s="53">
        <f t="shared" ca="1" si="74"/>
        <v>0</v>
      </c>
      <c r="BT35" s="53">
        <f t="shared" ca="1" si="75"/>
        <v>0</v>
      </c>
      <c r="BU35" s="56" t="e">
        <f t="shared" ca="1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ca="1" si="79"/>
        <v>0</v>
      </c>
      <c r="CW35" s="53">
        <f t="shared" ca="1" si="80"/>
        <v>0</v>
      </c>
      <c r="CX35" s="58" t="e">
        <f t="shared" ca="1" si="81"/>
        <v>#DIV/0!</v>
      </c>
      <c r="CY35" s="53">
        <f t="shared" ca="1" si="82"/>
        <v>0</v>
      </c>
      <c r="CZ35" s="53">
        <f t="shared" ca="1" si="83"/>
        <v>0</v>
      </c>
      <c r="DA35" s="58" t="e">
        <f t="shared" ca="1" si="84"/>
        <v>#DIV/0!</v>
      </c>
      <c r="DB35" s="48" t="e">
        <f t="shared" ca="1" si="85"/>
        <v>#DIV/0!</v>
      </c>
      <c r="DC35" s="48" t="e">
        <f t="shared" ca="1" si="86"/>
        <v>#DIV/0!</v>
      </c>
      <c r="DD35" s="48" t="e">
        <f t="shared" ca="1" si="87"/>
        <v>#DIV/0!</v>
      </c>
      <c r="DE35" s="48" t="e">
        <f t="shared" ca="1" si="88"/>
        <v>#DIV/0!</v>
      </c>
      <c r="DF35" s="48" t="e">
        <f t="shared" ca="1" si="89"/>
        <v>#DIV/0!</v>
      </c>
      <c r="DG35" s="48" t="e">
        <f t="shared" ca="1" si="90"/>
        <v>#DIV/0!</v>
      </c>
      <c r="DH35" s="48">
        <f ca="1">SUMIF(FCR!$BZ$4:$DB$500,DG35,FCR!$DE$4:$EG$500)</f>
        <v>0</v>
      </c>
      <c r="DI35" s="48" t="e">
        <f t="shared" ca="1" si="91"/>
        <v>#DIV/0!</v>
      </c>
      <c r="DJ35" s="48">
        <f ca="1">SUMIF(FCR!$BZ$4:$DB$142,DI35,FCR!$DE$4:$EG$142)</f>
        <v>0</v>
      </c>
      <c r="DK35" s="48" t="e">
        <f t="shared" ca="1" si="92"/>
        <v>#DIV/0!</v>
      </c>
      <c r="DL35" s="55" t="e">
        <f t="shared" ca="1" si="93"/>
        <v>#DIV/0!</v>
      </c>
      <c r="DM35" s="48" t="e">
        <f t="shared" ca="1" si="94"/>
        <v>#DIV/0!</v>
      </c>
      <c r="DN35" s="48">
        <f ca="1">SUMIF(FCR!$BZ$4:$DB$142,DM35,FCR!$DE$4:$EG$142)</f>
        <v>0</v>
      </c>
      <c r="DO35" s="53" t="e">
        <f t="shared" ca="1" si="95"/>
        <v>#DIV/0!</v>
      </c>
      <c r="DP35" s="55" t="e">
        <f t="shared" ca="1" si="96"/>
        <v>#DIV/0!</v>
      </c>
      <c r="DQ35" s="55" t="e">
        <f t="shared" ca="1" si="97"/>
        <v>#DIV/0!</v>
      </c>
      <c r="DR35" s="55"/>
      <c r="DS35" s="55" t="e">
        <f t="shared" ca="1" si="98"/>
        <v>#DIV/0!</v>
      </c>
      <c r="DT35" s="55" t="e">
        <f t="shared" ca="1" si="99"/>
        <v>#DIV/0!</v>
      </c>
      <c r="DU35" s="53">
        <f t="shared" ca="1" si="100"/>
        <v>0</v>
      </c>
      <c r="DV35" s="59" t="e">
        <f t="shared" ca="1" si="101"/>
        <v>#DIV/0!</v>
      </c>
    </row>
    <row r="36" spans="1:12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AD36" s="49" t="s">
        <v>337</v>
      </c>
      <c r="AE36" s="49">
        <f t="shared" ca="1" si="24"/>
        <v>0</v>
      </c>
      <c r="AF36" s="49">
        <f t="shared" ca="1" si="48"/>
        <v>0</v>
      </c>
      <c r="AG36" s="114">
        <f t="shared" ca="1" si="49"/>
        <v>0</v>
      </c>
      <c r="AH36" s="104">
        <f t="shared" ca="1" si="50"/>
        <v>0</v>
      </c>
      <c r="AI36" s="104">
        <f t="shared" ca="1" si="51"/>
        <v>0</v>
      </c>
      <c r="AJ36" s="104">
        <f t="shared" ca="1" si="52"/>
        <v>0</v>
      </c>
      <c r="AK36" s="104">
        <f t="shared" ca="1" si="53"/>
        <v>0</v>
      </c>
      <c r="AL36" s="104">
        <f t="shared" ca="1" si="54"/>
        <v>0</v>
      </c>
      <c r="AM36" s="104">
        <f t="shared" ca="1" si="55"/>
        <v>0</v>
      </c>
      <c r="AN36" s="104">
        <f t="shared" ca="1" si="56"/>
        <v>0</v>
      </c>
      <c r="AO36" s="104">
        <f t="shared" ca="1" si="57"/>
        <v>0</v>
      </c>
      <c r="AP36" s="104">
        <f t="shared" ca="1" si="58"/>
        <v>0</v>
      </c>
      <c r="AQ36" s="49">
        <f t="shared" ca="1" si="59"/>
        <v>0</v>
      </c>
      <c r="AR36" s="104">
        <f t="shared" ca="1" si="60"/>
        <v>0</v>
      </c>
      <c r="AS36" s="104">
        <f t="shared" ca="1" si="61"/>
        <v>0</v>
      </c>
      <c r="AT36" s="104">
        <f t="shared" ca="1" si="62"/>
        <v>0</v>
      </c>
      <c r="AU36" s="104">
        <f t="shared" ca="1" si="63"/>
        <v>0</v>
      </c>
      <c r="BF36" s="49">
        <f t="shared" ca="1" si="64"/>
        <v>0</v>
      </c>
      <c r="BG36" s="49">
        <f t="shared" ca="1" si="65"/>
        <v>0</v>
      </c>
      <c r="BH36" s="54" t="e">
        <f t="shared" ca="1" si="66"/>
        <v>#DIV/0!</v>
      </c>
      <c r="BI36" s="112" t="e">
        <f t="shared" ca="1" si="67"/>
        <v>#DIV/0!</v>
      </c>
      <c r="BK36" s="55" t="e">
        <f t="shared" ca="1" si="68"/>
        <v>#DIV/0!</v>
      </c>
      <c r="BL36" s="55" t="e">
        <f t="shared" ca="1" si="69"/>
        <v>#DIV/0!</v>
      </c>
      <c r="BM36" s="55" t="e">
        <f t="shared" ca="1" si="70"/>
        <v>#DIV/0!</v>
      </c>
      <c r="BN36" s="53">
        <f t="shared" ca="1" si="71"/>
        <v>0</v>
      </c>
      <c r="BO36" s="112" t="e">
        <f t="shared" ca="1" si="72"/>
        <v>#DIV/0!</v>
      </c>
      <c r="BR36" s="53" t="e">
        <f t="shared" ca="1" si="73"/>
        <v>#DIV/0!</v>
      </c>
      <c r="BS36" s="53">
        <f t="shared" ca="1" si="74"/>
        <v>0</v>
      </c>
      <c r="BT36" s="53">
        <f t="shared" ca="1" si="75"/>
        <v>0</v>
      </c>
      <c r="BU36" s="56" t="e">
        <f t="shared" ca="1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ca="1" si="79"/>
        <v>0</v>
      </c>
      <c r="CW36" s="53">
        <f t="shared" ca="1" si="80"/>
        <v>0</v>
      </c>
      <c r="CX36" s="58" t="e">
        <f t="shared" ca="1" si="81"/>
        <v>#DIV/0!</v>
      </c>
      <c r="CY36" s="53">
        <f t="shared" ca="1" si="82"/>
        <v>0</v>
      </c>
      <c r="CZ36" s="53">
        <f t="shared" ca="1" si="83"/>
        <v>0</v>
      </c>
      <c r="DA36" s="58" t="e">
        <f t="shared" ca="1" si="84"/>
        <v>#DIV/0!</v>
      </c>
      <c r="DB36" s="48" t="e">
        <f t="shared" ca="1" si="85"/>
        <v>#DIV/0!</v>
      </c>
      <c r="DC36" s="48" t="e">
        <f t="shared" ca="1" si="86"/>
        <v>#DIV/0!</v>
      </c>
      <c r="DD36" s="48" t="e">
        <f t="shared" ca="1" si="87"/>
        <v>#DIV/0!</v>
      </c>
      <c r="DE36" s="48" t="e">
        <f t="shared" ca="1" si="88"/>
        <v>#DIV/0!</v>
      </c>
      <c r="DF36" s="48" t="e">
        <f t="shared" ca="1" si="89"/>
        <v>#DIV/0!</v>
      </c>
      <c r="DG36" s="48" t="e">
        <f t="shared" ca="1" si="90"/>
        <v>#DIV/0!</v>
      </c>
      <c r="DH36" s="48">
        <f ca="1">SUMIF(FCR!$BZ$4:$DB$500,DG36,FCR!$DE$4:$EG$500)</f>
        <v>0</v>
      </c>
      <c r="DI36" s="48" t="e">
        <f t="shared" ca="1" si="91"/>
        <v>#DIV/0!</v>
      </c>
      <c r="DJ36" s="48">
        <f ca="1">SUMIF(FCR!$BZ$4:$DB$142,DI36,FCR!$DE$4:$EG$142)</f>
        <v>0</v>
      </c>
      <c r="DK36" s="48" t="e">
        <f t="shared" ca="1" si="92"/>
        <v>#DIV/0!</v>
      </c>
      <c r="DL36" s="55" t="e">
        <f t="shared" ca="1" si="93"/>
        <v>#DIV/0!</v>
      </c>
      <c r="DM36" s="48" t="e">
        <f t="shared" ca="1" si="94"/>
        <v>#DIV/0!</v>
      </c>
      <c r="DN36" s="48">
        <f ca="1">SUMIF(FCR!$BZ$4:$DB$142,DM36,FCR!$DE$4:$EG$142)</f>
        <v>0</v>
      </c>
      <c r="DO36" s="53" t="e">
        <f t="shared" ca="1" si="95"/>
        <v>#DIV/0!</v>
      </c>
      <c r="DP36" s="55" t="e">
        <f t="shared" ca="1" si="96"/>
        <v>#DIV/0!</v>
      </c>
      <c r="DQ36" s="55" t="e">
        <f t="shared" ca="1" si="97"/>
        <v>#DIV/0!</v>
      </c>
      <c r="DR36" s="55"/>
      <c r="DS36" s="55" t="e">
        <f t="shared" ca="1" si="98"/>
        <v>#DIV/0!</v>
      </c>
      <c r="DT36" s="55" t="e">
        <f t="shared" ca="1" si="99"/>
        <v>#DIV/0!</v>
      </c>
      <c r="DU36" s="53">
        <f t="shared" ca="1" si="100"/>
        <v>0</v>
      </c>
      <c r="DV36" s="59" t="e">
        <f t="shared" ca="1" si="101"/>
        <v>#DIV/0!</v>
      </c>
    </row>
    <row r="37" spans="1:12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AD37" s="49" t="s">
        <v>337</v>
      </c>
      <c r="AE37" s="49">
        <f t="shared" ca="1" si="24"/>
        <v>0</v>
      </c>
      <c r="AF37" s="49">
        <f t="shared" ca="1" si="48"/>
        <v>0</v>
      </c>
      <c r="AG37" s="114">
        <f t="shared" ca="1" si="49"/>
        <v>0</v>
      </c>
      <c r="AH37" s="104">
        <f t="shared" ca="1" si="50"/>
        <v>0</v>
      </c>
      <c r="AI37" s="104">
        <f t="shared" ca="1" si="51"/>
        <v>0</v>
      </c>
      <c r="AJ37" s="104">
        <f t="shared" ca="1" si="52"/>
        <v>0</v>
      </c>
      <c r="AK37" s="104">
        <f t="shared" ca="1" si="53"/>
        <v>0</v>
      </c>
      <c r="AL37" s="104">
        <f t="shared" ca="1" si="54"/>
        <v>0</v>
      </c>
      <c r="AM37" s="104">
        <f t="shared" ca="1" si="55"/>
        <v>0</v>
      </c>
      <c r="AN37" s="104">
        <f t="shared" ca="1" si="56"/>
        <v>0</v>
      </c>
      <c r="AO37" s="104">
        <f t="shared" ca="1" si="57"/>
        <v>0</v>
      </c>
      <c r="AP37" s="104">
        <f t="shared" ca="1" si="58"/>
        <v>0</v>
      </c>
      <c r="AQ37" s="49">
        <f t="shared" ca="1" si="59"/>
        <v>0</v>
      </c>
      <c r="AR37" s="104">
        <f t="shared" ca="1" si="60"/>
        <v>0</v>
      </c>
      <c r="AS37" s="104">
        <f t="shared" ca="1" si="61"/>
        <v>0</v>
      </c>
      <c r="AT37" s="104">
        <f t="shared" ca="1" si="62"/>
        <v>0</v>
      </c>
      <c r="AU37" s="104">
        <f t="shared" ca="1" si="63"/>
        <v>0</v>
      </c>
      <c r="BF37" s="49">
        <f t="shared" ca="1" si="64"/>
        <v>0</v>
      </c>
      <c r="BG37" s="49">
        <f t="shared" ca="1" si="65"/>
        <v>0</v>
      </c>
      <c r="BH37" s="54" t="e">
        <f t="shared" ca="1" si="66"/>
        <v>#DIV/0!</v>
      </c>
      <c r="BI37" s="112" t="e">
        <f t="shared" ca="1" si="67"/>
        <v>#DIV/0!</v>
      </c>
      <c r="BK37" s="55" t="e">
        <f t="shared" ca="1" si="68"/>
        <v>#DIV/0!</v>
      </c>
      <c r="BL37" s="55" t="e">
        <f t="shared" ca="1" si="69"/>
        <v>#DIV/0!</v>
      </c>
      <c r="BM37" s="55" t="e">
        <f t="shared" ca="1" si="70"/>
        <v>#DIV/0!</v>
      </c>
      <c r="BN37" s="53">
        <f t="shared" ca="1" si="71"/>
        <v>0</v>
      </c>
      <c r="BO37" s="112" t="e">
        <f t="shared" ca="1" si="72"/>
        <v>#DIV/0!</v>
      </c>
      <c r="BR37" s="53" t="e">
        <f t="shared" ca="1" si="73"/>
        <v>#DIV/0!</v>
      </c>
      <c r="BS37" s="53">
        <f t="shared" ca="1" si="74"/>
        <v>0</v>
      </c>
      <c r="BT37" s="53">
        <f t="shared" ca="1" si="75"/>
        <v>0</v>
      </c>
      <c r="BU37" s="56" t="e">
        <f t="shared" ca="1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ca="1" si="79"/>
        <v>0</v>
      </c>
      <c r="CW37" s="53">
        <f t="shared" ca="1" si="80"/>
        <v>0</v>
      </c>
      <c r="CX37" s="58" t="e">
        <f t="shared" ca="1" si="81"/>
        <v>#DIV/0!</v>
      </c>
      <c r="CY37" s="53">
        <f t="shared" ca="1" si="82"/>
        <v>0</v>
      </c>
      <c r="CZ37" s="53">
        <f t="shared" ca="1" si="83"/>
        <v>0</v>
      </c>
      <c r="DA37" s="58" t="e">
        <f t="shared" ca="1" si="84"/>
        <v>#DIV/0!</v>
      </c>
      <c r="DB37" s="48" t="e">
        <f t="shared" ca="1" si="85"/>
        <v>#DIV/0!</v>
      </c>
      <c r="DC37" s="48" t="e">
        <f t="shared" ca="1" si="86"/>
        <v>#DIV/0!</v>
      </c>
      <c r="DD37" s="48" t="e">
        <f t="shared" ca="1" si="87"/>
        <v>#DIV/0!</v>
      </c>
      <c r="DE37" s="48" t="e">
        <f t="shared" ca="1" si="88"/>
        <v>#DIV/0!</v>
      </c>
      <c r="DF37" s="48" t="e">
        <f t="shared" ca="1" si="89"/>
        <v>#DIV/0!</v>
      </c>
      <c r="DG37" s="48" t="e">
        <f t="shared" ca="1" si="90"/>
        <v>#DIV/0!</v>
      </c>
      <c r="DH37" s="48">
        <f ca="1">SUMIF(FCR!$BZ$4:$DB$500,DG37,FCR!$DE$4:$EG$500)</f>
        <v>0</v>
      </c>
      <c r="DI37" s="48" t="e">
        <f t="shared" ca="1" si="91"/>
        <v>#DIV/0!</v>
      </c>
      <c r="DJ37" s="48">
        <f ca="1">SUMIF(FCR!$BZ$4:$DB$142,DI37,FCR!$DE$4:$EG$142)</f>
        <v>0</v>
      </c>
      <c r="DK37" s="48" t="e">
        <f t="shared" ca="1" si="92"/>
        <v>#DIV/0!</v>
      </c>
      <c r="DL37" s="55" t="e">
        <f t="shared" ca="1" si="93"/>
        <v>#DIV/0!</v>
      </c>
      <c r="DM37" s="48" t="e">
        <f t="shared" ca="1" si="94"/>
        <v>#DIV/0!</v>
      </c>
      <c r="DN37" s="48">
        <f ca="1">SUMIF(FCR!$BZ$4:$DB$142,DM37,FCR!$DE$4:$EG$142)</f>
        <v>0</v>
      </c>
      <c r="DO37" s="53" t="e">
        <f t="shared" ca="1" si="95"/>
        <v>#DIV/0!</v>
      </c>
      <c r="DP37" s="55" t="e">
        <f t="shared" ca="1" si="96"/>
        <v>#DIV/0!</v>
      </c>
      <c r="DQ37" s="55" t="e">
        <f t="shared" ca="1" si="97"/>
        <v>#DIV/0!</v>
      </c>
      <c r="DR37" s="55"/>
      <c r="DS37" s="55" t="e">
        <f t="shared" ca="1" si="98"/>
        <v>#DIV/0!</v>
      </c>
      <c r="DT37" s="55" t="e">
        <f t="shared" ca="1" si="99"/>
        <v>#DIV/0!</v>
      </c>
      <c r="DU37" s="53">
        <f t="shared" ca="1" si="100"/>
        <v>0</v>
      </c>
      <c r="DV37" s="59" t="e">
        <f t="shared" ca="1" si="101"/>
        <v>#DIV/0!</v>
      </c>
    </row>
    <row r="38" spans="1:12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AD38" s="49" t="s">
        <v>337</v>
      </c>
      <c r="AE38" s="49">
        <f t="shared" ca="1" si="24"/>
        <v>0</v>
      </c>
      <c r="AF38" s="49">
        <f t="shared" ca="1" si="48"/>
        <v>0</v>
      </c>
      <c r="AG38" s="114">
        <f t="shared" ca="1" si="49"/>
        <v>0</v>
      </c>
      <c r="AH38" s="104">
        <f t="shared" ca="1" si="50"/>
        <v>0</v>
      </c>
      <c r="AI38" s="104">
        <f t="shared" ca="1" si="51"/>
        <v>0</v>
      </c>
      <c r="AJ38" s="104">
        <f t="shared" ca="1" si="52"/>
        <v>0</v>
      </c>
      <c r="AK38" s="104">
        <f t="shared" ca="1" si="53"/>
        <v>0</v>
      </c>
      <c r="AL38" s="104">
        <f t="shared" ca="1" si="54"/>
        <v>0</v>
      </c>
      <c r="AM38" s="104">
        <f t="shared" ca="1" si="55"/>
        <v>0</v>
      </c>
      <c r="AN38" s="104">
        <f t="shared" ca="1" si="56"/>
        <v>0</v>
      </c>
      <c r="AO38" s="104">
        <f t="shared" ca="1" si="57"/>
        <v>0</v>
      </c>
      <c r="AP38" s="104">
        <f t="shared" ca="1" si="58"/>
        <v>0</v>
      </c>
      <c r="AQ38" s="49">
        <f t="shared" ca="1" si="59"/>
        <v>0</v>
      </c>
      <c r="AR38" s="104">
        <f t="shared" ca="1" si="60"/>
        <v>0</v>
      </c>
      <c r="AS38" s="104">
        <f t="shared" ca="1" si="61"/>
        <v>0</v>
      </c>
      <c r="AT38" s="104">
        <f t="shared" ca="1" si="62"/>
        <v>0</v>
      </c>
      <c r="AU38" s="104">
        <f t="shared" ca="1" si="63"/>
        <v>0</v>
      </c>
      <c r="BF38" s="49">
        <f t="shared" ca="1" si="64"/>
        <v>0</v>
      </c>
      <c r="BG38" s="49">
        <f t="shared" ca="1" si="65"/>
        <v>0</v>
      </c>
      <c r="BH38" s="54" t="e">
        <f t="shared" ca="1" si="66"/>
        <v>#DIV/0!</v>
      </c>
      <c r="BI38" s="112" t="e">
        <f t="shared" ca="1" si="67"/>
        <v>#DIV/0!</v>
      </c>
      <c r="BK38" s="55" t="e">
        <f t="shared" ca="1" si="68"/>
        <v>#DIV/0!</v>
      </c>
      <c r="BL38" s="55" t="e">
        <f t="shared" ca="1" si="69"/>
        <v>#DIV/0!</v>
      </c>
      <c r="BM38" s="55" t="e">
        <f t="shared" ca="1" si="70"/>
        <v>#DIV/0!</v>
      </c>
      <c r="BN38" s="53">
        <f t="shared" ca="1" si="71"/>
        <v>0</v>
      </c>
      <c r="BO38" s="112" t="e">
        <f t="shared" ca="1" si="72"/>
        <v>#DIV/0!</v>
      </c>
      <c r="BR38" s="53" t="e">
        <f t="shared" ca="1" si="73"/>
        <v>#DIV/0!</v>
      </c>
      <c r="BS38" s="53">
        <f t="shared" ca="1" si="74"/>
        <v>0</v>
      </c>
      <c r="BT38" s="53">
        <f t="shared" ca="1" si="75"/>
        <v>0</v>
      </c>
      <c r="BU38" s="56" t="e">
        <f t="shared" ca="1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ca="1" si="79"/>
        <v>0</v>
      </c>
      <c r="CW38" s="53">
        <f t="shared" ca="1" si="80"/>
        <v>0</v>
      </c>
      <c r="CX38" s="58" t="e">
        <f t="shared" ca="1" si="81"/>
        <v>#DIV/0!</v>
      </c>
      <c r="CY38" s="53">
        <f t="shared" ca="1" si="82"/>
        <v>0</v>
      </c>
      <c r="CZ38" s="53">
        <f t="shared" ca="1" si="83"/>
        <v>0</v>
      </c>
      <c r="DA38" s="58" t="e">
        <f t="shared" ca="1" si="84"/>
        <v>#DIV/0!</v>
      </c>
      <c r="DB38" s="48" t="e">
        <f t="shared" ca="1" si="85"/>
        <v>#DIV/0!</v>
      </c>
      <c r="DC38" s="48" t="e">
        <f t="shared" ca="1" si="86"/>
        <v>#DIV/0!</v>
      </c>
      <c r="DD38" s="48" t="e">
        <f t="shared" ca="1" si="87"/>
        <v>#DIV/0!</v>
      </c>
      <c r="DE38" s="48" t="e">
        <f t="shared" ca="1" si="88"/>
        <v>#DIV/0!</v>
      </c>
      <c r="DF38" s="48" t="e">
        <f t="shared" ca="1" si="89"/>
        <v>#DIV/0!</v>
      </c>
      <c r="DG38" s="48" t="e">
        <f t="shared" ca="1" si="90"/>
        <v>#DIV/0!</v>
      </c>
      <c r="DH38" s="48">
        <f ca="1">SUMIF(FCR!$BZ$4:$DB$500,DG38,FCR!$DE$4:$EG$500)</f>
        <v>0</v>
      </c>
      <c r="DI38" s="48" t="e">
        <f t="shared" ca="1" si="91"/>
        <v>#DIV/0!</v>
      </c>
      <c r="DJ38" s="48">
        <f ca="1">SUMIF(FCR!$BZ$4:$DB$142,DI38,FCR!$DE$4:$EG$142)</f>
        <v>0</v>
      </c>
      <c r="DK38" s="48" t="e">
        <f t="shared" ca="1" si="92"/>
        <v>#DIV/0!</v>
      </c>
      <c r="DL38" s="55" t="e">
        <f t="shared" ca="1" si="93"/>
        <v>#DIV/0!</v>
      </c>
      <c r="DM38" s="48" t="e">
        <f t="shared" ca="1" si="94"/>
        <v>#DIV/0!</v>
      </c>
      <c r="DN38" s="48">
        <f ca="1">SUMIF(FCR!$BZ$4:$DB$142,DM38,FCR!$DE$4:$EG$142)</f>
        <v>0</v>
      </c>
      <c r="DO38" s="53" t="e">
        <f t="shared" ca="1" si="95"/>
        <v>#DIV/0!</v>
      </c>
      <c r="DP38" s="55" t="e">
        <f t="shared" ca="1" si="96"/>
        <v>#DIV/0!</v>
      </c>
      <c r="DQ38" s="55" t="e">
        <f t="shared" ca="1" si="97"/>
        <v>#DIV/0!</v>
      </c>
      <c r="DR38" s="55"/>
      <c r="DS38" s="55" t="e">
        <f t="shared" ca="1" si="98"/>
        <v>#DIV/0!</v>
      </c>
      <c r="DT38" s="55" t="e">
        <f t="shared" ca="1" si="99"/>
        <v>#DIV/0!</v>
      </c>
      <c r="DU38" s="53">
        <f t="shared" ca="1" si="100"/>
        <v>0</v>
      </c>
      <c r="DV38" s="59" t="e">
        <f t="shared" ca="1" si="101"/>
        <v>#DIV/0!</v>
      </c>
    </row>
    <row r="39" spans="1:12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AD39" s="49" t="s">
        <v>337</v>
      </c>
      <c r="AE39" s="49">
        <f t="shared" ca="1" si="24"/>
        <v>0</v>
      </c>
      <c r="AF39" s="49">
        <f t="shared" ca="1" si="48"/>
        <v>0</v>
      </c>
      <c r="AG39" s="114">
        <f t="shared" ca="1" si="49"/>
        <v>0</v>
      </c>
      <c r="AH39" s="104">
        <f t="shared" ca="1" si="50"/>
        <v>0</v>
      </c>
      <c r="AI39" s="104">
        <f t="shared" ca="1" si="51"/>
        <v>0</v>
      </c>
      <c r="AJ39" s="104">
        <f t="shared" ca="1" si="52"/>
        <v>0</v>
      </c>
      <c r="AK39" s="104">
        <f t="shared" ca="1" si="53"/>
        <v>0</v>
      </c>
      <c r="AL39" s="104">
        <f t="shared" ca="1" si="54"/>
        <v>0</v>
      </c>
      <c r="AM39" s="104">
        <f t="shared" ca="1" si="55"/>
        <v>0</v>
      </c>
      <c r="AN39" s="104">
        <f t="shared" ca="1" si="56"/>
        <v>0</v>
      </c>
      <c r="AO39" s="104">
        <f t="shared" ca="1" si="57"/>
        <v>0</v>
      </c>
      <c r="AP39" s="104">
        <f t="shared" ca="1" si="58"/>
        <v>0</v>
      </c>
      <c r="AQ39" s="49">
        <f t="shared" ca="1" si="59"/>
        <v>0</v>
      </c>
      <c r="AR39" s="104">
        <f t="shared" ca="1" si="60"/>
        <v>0</v>
      </c>
      <c r="AS39" s="104">
        <f t="shared" ca="1" si="61"/>
        <v>0</v>
      </c>
      <c r="AT39" s="104">
        <f t="shared" ca="1" si="62"/>
        <v>0</v>
      </c>
      <c r="AU39" s="104">
        <f t="shared" ca="1" si="63"/>
        <v>0</v>
      </c>
      <c r="BF39" s="49">
        <f t="shared" ca="1" si="64"/>
        <v>0</v>
      </c>
      <c r="BG39" s="49">
        <f t="shared" ca="1" si="65"/>
        <v>0</v>
      </c>
      <c r="BH39" s="54" t="e">
        <f t="shared" ca="1" si="66"/>
        <v>#DIV/0!</v>
      </c>
      <c r="BI39" s="112" t="e">
        <f t="shared" ca="1" si="67"/>
        <v>#DIV/0!</v>
      </c>
      <c r="BK39" s="55" t="e">
        <f t="shared" ca="1" si="68"/>
        <v>#DIV/0!</v>
      </c>
      <c r="BL39" s="55" t="e">
        <f t="shared" ca="1" si="69"/>
        <v>#DIV/0!</v>
      </c>
      <c r="BM39" s="55" t="e">
        <f t="shared" ca="1" si="70"/>
        <v>#DIV/0!</v>
      </c>
      <c r="BN39" s="53">
        <f t="shared" ca="1" si="71"/>
        <v>0</v>
      </c>
      <c r="BO39" s="112" t="e">
        <f t="shared" ca="1" si="72"/>
        <v>#DIV/0!</v>
      </c>
      <c r="BR39" s="53" t="e">
        <f t="shared" ca="1" si="73"/>
        <v>#DIV/0!</v>
      </c>
      <c r="BS39" s="53">
        <f t="shared" ca="1" si="74"/>
        <v>0</v>
      </c>
      <c r="BT39" s="53">
        <f t="shared" ca="1" si="75"/>
        <v>0</v>
      </c>
      <c r="BU39" s="56" t="e">
        <f t="shared" ca="1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ca="1" si="79"/>
        <v>0</v>
      </c>
      <c r="CW39" s="53">
        <f t="shared" ca="1" si="80"/>
        <v>0</v>
      </c>
      <c r="CX39" s="58" t="e">
        <f t="shared" ca="1" si="81"/>
        <v>#DIV/0!</v>
      </c>
      <c r="CY39" s="53">
        <f t="shared" ca="1" si="82"/>
        <v>0</v>
      </c>
      <c r="CZ39" s="53">
        <f t="shared" ca="1" si="83"/>
        <v>0</v>
      </c>
      <c r="DA39" s="58" t="e">
        <f t="shared" ca="1" si="84"/>
        <v>#DIV/0!</v>
      </c>
      <c r="DB39" s="48" t="e">
        <f t="shared" ca="1" si="85"/>
        <v>#DIV/0!</v>
      </c>
      <c r="DC39" s="48" t="e">
        <f t="shared" ca="1" si="86"/>
        <v>#DIV/0!</v>
      </c>
      <c r="DD39" s="48" t="e">
        <f t="shared" ca="1" si="87"/>
        <v>#DIV/0!</v>
      </c>
      <c r="DE39" s="48" t="e">
        <f t="shared" ca="1" si="88"/>
        <v>#DIV/0!</v>
      </c>
      <c r="DF39" s="48" t="e">
        <f t="shared" ca="1" si="89"/>
        <v>#DIV/0!</v>
      </c>
      <c r="DG39" s="48" t="e">
        <f t="shared" ca="1" si="90"/>
        <v>#DIV/0!</v>
      </c>
      <c r="DH39" s="48">
        <f ca="1">SUMIF(FCR!$BZ$4:$DB$500,DG39,FCR!$DE$4:$EG$500)</f>
        <v>0</v>
      </c>
      <c r="DI39" s="48" t="e">
        <f t="shared" ca="1" si="91"/>
        <v>#DIV/0!</v>
      </c>
      <c r="DJ39" s="48">
        <f ca="1">SUMIF(FCR!$BZ$4:$DB$142,DI39,FCR!$DE$4:$EG$142)</f>
        <v>0</v>
      </c>
      <c r="DK39" s="48" t="e">
        <f t="shared" ca="1" si="92"/>
        <v>#DIV/0!</v>
      </c>
      <c r="DL39" s="55" t="e">
        <f t="shared" ca="1" si="93"/>
        <v>#DIV/0!</v>
      </c>
      <c r="DM39" s="48" t="e">
        <f t="shared" ca="1" si="94"/>
        <v>#DIV/0!</v>
      </c>
      <c r="DN39" s="48">
        <f ca="1">SUMIF(FCR!$BZ$4:$DB$142,DM39,FCR!$DE$4:$EG$142)</f>
        <v>0</v>
      </c>
      <c r="DO39" s="53" t="e">
        <f t="shared" ca="1" si="95"/>
        <v>#DIV/0!</v>
      </c>
      <c r="DP39" s="55" t="e">
        <f t="shared" ca="1" si="96"/>
        <v>#DIV/0!</v>
      </c>
      <c r="DQ39" s="55" t="e">
        <f t="shared" ca="1" si="97"/>
        <v>#DIV/0!</v>
      </c>
      <c r="DR39" s="55"/>
      <c r="DS39" s="55" t="e">
        <f t="shared" ca="1" si="98"/>
        <v>#DIV/0!</v>
      </c>
      <c r="DT39" s="55" t="e">
        <f t="shared" ca="1" si="99"/>
        <v>#DIV/0!</v>
      </c>
      <c r="DU39" s="53">
        <f t="shared" ca="1" si="100"/>
        <v>0</v>
      </c>
      <c r="DV39" s="59" t="e">
        <f t="shared" ca="1" si="101"/>
        <v>#DIV/0!</v>
      </c>
    </row>
    <row r="40" spans="1:12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AD40" s="49" t="s">
        <v>337</v>
      </c>
      <c r="AE40" s="49">
        <f t="shared" ca="1" si="24"/>
        <v>0</v>
      </c>
      <c r="AF40" s="49">
        <f t="shared" ca="1" si="48"/>
        <v>0</v>
      </c>
      <c r="AG40" s="114">
        <f t="shared" ca="1" si="49"/>
        <v>0</v>
      </c>
      <c r="AH40" s="104">
        <f t="shared" ca="1" si="50"/>
        <v>0</v>
      </c>
      <c r="AI40" s="104">
        <f t="shared" ca="1" si="51"/>
        <v>0</v>
      </c>
      <c r="AJ40" s="104">
        <f t="shared" ca="1" si="52"/>
        <v>0</v>
      </c>
      <c r="AK40" s="104">
        <f t="shared" ca="1" si="53"/>
        <v>0</v>
      </c>
      <c r="AL40" s="104">
        <f t="shared" ca="1" si="54"/>
        <v>0</v>
      </c>
      <c r="AM40" s="104">
        <f t="shared" ca="1" si="55"/>
        <v>0</v>
      </c>
      <c r="AN40" s="104">
        <f t="shared" ca="1" si="56"/>
        <v>0</v>
      </c>
      <c r="AO40" s="104">
        <f t="shared" ca="1" si="57"/>
        <v>0</v>
      </c>
      <c r="AP40" s="104">
        <f t="shared" ca="1" si="58"/>
        <v>0</v>
      </c>
      <c r="AQ40" s="49">
        <f t="shared" ca="1" si="59"/>
        <v>0</v>
      </c>
      <c r="AR40" s="104">
        <f t="shared" ca="1" si="60"/>
        <v>0</v>
      </c>
      <c r="AS40" s="104">
        <f t="shared" ca="1" si="61"/>
        <v>0</v>
      </c>
      <c r="AT40" s="104">
        <f t="shared" ca="1" si="62"/>
        <v>0</v>
      </c>
      <c r="AU40" s="104">
        <f t="shared" ca="1" si="63"/>
        <v>0</v>
      </c>
      <c r="BF40" s="49">
        <f t="shared" ca="1" si="64"/>
        <v>0</v>
      </c>
      <c r="BG40" s="49">
        <f t="shared" ca="1" si="65"/>
        <v>0</v>
      </c>
      <c r="BH40" s="54" t="e">
        <f t="shared" ca="1" si="66"/>
        <v>#DIV/0!</v>
      </c>
      <c r="BI40" s="112" t="e">
        <f t="shared" ca="1" si="67"/>
        <v>#DIV/0!</v>
      </c>
      <c r="BK40" s="55" t="e">
        <f t="shared" ca="1" si="68"/>
        <v>#DIV/0!</v>
      </c>
      <c r="BL40" s="55" t="e">
        <f t="shared" ca="1" si="69"/>
        <v>#DIV/0!</v>
      </c>
      <c r="BM40" s="55" t="e">
        <f t="shared" ca="1" si="70"/>
        <v>#DIV/0!</v>
      </c>
      <c r="BN40" s="53">
        <f t="shared" ca="1" si="71"/>
        <v>0</v>
      </c>
      <c r="BO40" s="112" t="e">
        <f t="shared" ca="1" si="72"/>
        <v>#DIV/0!</v>
      </c>
      <c r="BR40" s="53" t="e">
        <f t="shared" ca="1" si="73"/>
        <v>#DIV/0!</v>
      </c>
      <c r="BS40" s="53">
        <f t="shared" ca="1" si="74"/>
        <v>0</v>
      </c>
      <c r="BT40" s="53">
        <f t="shared" ca="1" si="75"/>
        <v>0</v>
      </c>
      <c r="BU40" s="56" t="e">
        <f t="shared" ca="1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ca="1" si="79"/>
        <v>0</v>
      </c>
      <c r="CW40" s="53">
        <f t="shared" ca="1" si="80"/>
        <v>0</v>
      </c>
      <c r="CX40" s="58" t="e">
        <f t="shared" ca="1" si="81"/>
        <v>#DIV/0!</v>
      </c>
      <c r="CY40" s="53">
        <f t="shared" ca="1" si="82"/>
        <v>0</v>
      </c>
      <c r="CZ40" s="53">
        <f t="shared" ca="1" si="83"/>
        <v>0</v>
      </c>
      <c r="DA40" s="58" t="e">
        <f t="shared" ca="1" si="84"/>
        <v>#DIV/0!</v>
      </c>
      <c r="DB40" s="48" t="e">
        <f t="shared" ca="1" si="85"/>
        <v>#DIV/0!</v>
      </c>
      <c r="DC40" s="48" t="e">
        <f t="shared" ca="1" si="86"/>
        <v>#DIV/0!</v>
      </c>
      <c r="DD40" s="48" t="e">
        <f t="shared" ca="1" si="87"/>
        <v>#DIV/0!</v>
      </c>
      <c r="DE40" s="48" t="e">
        <f t="shared" ca="1" si="88"/>
        <v>#DIV/0!</v>
      </c>
      <c r="DF40" s="48" t="e">
        <f t="shared" ca="1" si="89"/>
        <v>#DIV/0!</v>
      </c>
      <c r="DG40" s="48" t="e">
        <f t="shared" ca="1" si="90"/>
        <v>#DIV/0!</v>
      </c>
      <c r="DH40" s="48">
        <f ca="1">SUMIF(FCR!$BZ$4:$DB$500,DG40,FCR!$DE$4:$EG$500)</f>
        <v>0</v>
      </c>
      <c r="DI40" s="48" t="e">
        <f t="shared" ca="1" si="91"/>
        <v>#DIV/0!</v>
      </c>
      <c r="DJ40" s="48">
        <f ca="1">SUMIF(FCR!$BZ$4:$DB$142,DI40,FCR!$DE$4:$EG$142)</f>
        <v>0</v>
      </c>
      <c r="DK40" s="48" t="e">
        <f t="shared" ca="1" si="92"/>
        <v>#DIV/0!</v>
      </c>
      <c r="DL40" s="55" t="e">
        <f t="shared" ca="1" si="93"/>
        <v>#DIV/0!</v>
      </c>
      <c r="DM40" s="48" t="e">
        <f t="shared" ca="1" si="94"/>
        <v>#DIV/0!</v>
      </c>
      <c r="DN40" s="48">
        <f ca="1">SUMIF(FCR!$BZ$4:$DB$142,DM40,FCR!$DE$4:$EG$142)</f>
        <v>0</v>
      </c>
      <c r="DO40" s="53" t="e">
        <f t="shared" ca="1" si="95"/>
        <v>#DIV/0!</v>
      </c>
      <c r="DP40" s="55" t="e">
        <f t="shared" ca="1" si="96"/>
        <v>#DIV/0!</v>
      </c>
      <c r="DQ40" s="55" t="e">
        <f t="shared" ca="1" si="97"/>
        <v>#DIV/0!</v>
      </c>
      <c r="DR40" s="55"/>
      <c r="DS40" s="55" t="e">
        <f t="shared" ca="1" si="98"/>
        <v>#DIV/0!</v>
      </c>
      <c r="DT40" s="55" t="e">
        <f t="shared" ca="1" si="99"/>
        <v>#DIV/0!</v>
      </c>
      <c r="DU40" s="53">
        <f t="shared" ca="1" si="100"/>
        <v>0</v>
      </c>
      <c r="DV40" s="59" t="e">
        <f t="shared" ca="1" si="101"/>
        <v>#DIV/0!</v>
      </c>
    </row>
    <row r="41" spans="1:12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AD41" s="49" t="s">
        <v>337</v>
      </c>
      <c r="AE41" s="49">
        <f t="shared" ca="1" si="24"/>
        <v>0</v>
      </c>
      <c r="AF41" s="49">
        <f t="shared" ca="1" si="48"/>
        <v>0</v>
      </c>
      <c r="AG41" s="114">
        <f t="shared" ca="1" si="49"/>
        <v>0</v>
      </c>
      <c r="AH41" s="104">
        <f t="shared" ca="1" si="50"/>
        <v>0</v>
      </c>
      <c r="AI41" s="104">
        <f t="shared" ca="1" si="51"/>
        <v>0</v>
      </c>
      <c r="AJ41" s="104">
        <f t="shared" ca="1" si="52"/>
        <v>0</v>
      </c>
      <c r="AK41" s="104">
        <f t="shared" ca="1" si="53"/>
        <v>0</v>
      </c>
      <c r="AL41" s="104">
        <f t="shared" ca="1" si="54"/>
        <v>0</v>
      </c>
      <c r="AM41" s="104">
        <f t="shared" ca="1" si="55"/>
        <v>0</v>
      </c>
      <c r="AN41" s="104">
        <f t="shared" ca="1" si="56"/>
        <v>0</v>
      </c>
      <c r="AO41" s="104">
        <f t="shared" ca="1" si="57"/>
        <v>0</v>
      </c>
      <c r="AP41" s="104">
        <f t="shared" ca="1" si="58"/>
        <v>0</v>
      </c>
      <c r="AQ41" s="49">
        <f t="shared" ca="1" si="59"/>
        <v>0</v>
      </c>
      <c r="AR41" s="104">
        <f t="shared" ca="1" si="60"/>
        <v>0</v>
      </c>
      <c r="AS41" s="104">
        <f t="shared" ca="1" si="61"/>
        <v>0</v>
      </c>
      <c r="AT41" s="104">
        <f t="shared" ca="1" si="62"/>
        <v>0</v>
      </c>
      <c r="AU41" s="104">
        <f t="shared" ca="1" si="63"/>
        <v>0</v>
      </c>
      <c r="BF41" s="49">
        <f t="shared" ca="1" si="64"/>
        <v>0</v>
      </c>
      <c r="BG41" s="49">
        <f t="shared" ca="1" si="65"/>
        <v>0</v>
      </c>
      <c r="BH41" s="54" t="e">
        <f t="shared" ca="1" si="66"/>
        <v>#DIV/0!</v>
      </c>
      <c r="BI41" s="112" t="e">
        <f t="shared" ca="1" si="67"/>
        <v>#DIV/0!</v>
      </c>
      <c r="BK41" s="55" t="e">
        <f t="shared" ca="1" si="68"/>
        <v>#DIV/0!</v>
      </c>
      <c r="BL41" s="55" t="e">
        <f t="shared" ca="1" si="69"/>
        <v>#DIV/0!</v>
      </c>
      <c r="BM41" s="55" t="e">
        <f t="shared" ca="1" si="70"/>
        <v>#DIV/0!</v>
      </c>
      <c r="BN41" s="53">
        <f t="shared" ca="1" si="71"/>
        <v>0</v>
      </c>
      <c r="BO41" s="112" t="e">
        <f t="shared" ca="1" si="72"/>
        <v>#DIV/0!</v>
      </c>
      <c r="BR41" s="53" t="e">
        <f t="shared" ca="1" si="73"/>
        <v>#DIV/0!</v>
      </c>
      <c r="BS41" s="53">
        <f t="shared" ca="1" si="74"/>
        <v>0</v>
      </c>
      <c r="BT41" s="53">
        <f t="shared" ca="1" si="75"/>
        <v>0</v>
      </c>
      <c r="BU41" s="56" t="e">
        <f t="shared" ca="1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ca="1" si="79"/>
        <v>0</v>
      </c>
      <c r="CW41" s="53">
        <f t="shared" ca="1" si="80"/>
        <v>0</v>
      </c>
      <c r="CX41" s="58" t="e">
        <f t="shared" ca="1" si="81"/>
        <v>#DIV/0!</v>
      </c>
      <c r="CY41" s="53">
        <f t="shared" ca="1" si="82"/>
        <v>0</v>
      </c>
      <c r="CZ41" s="53">
        <f t="shared" ca="1" si="83"/>
        <v>0</v>
      </c>
      <c r="DA41" s="58" t="e">
        <f t="shared" ca="1" si="84"/>
        <v>#DIV/0!</v>
      </c>
      <c r="DB41" s="48" t="e">
        <f t="shared" ca="1" si="85"/>
        <v>#DIV/0!</v>
      </c>
      <c r="DC41" s="48" t="e">
        <f t="shared" ca="1" si="86"/>
        <v>#DIV/0!</v>
      </c>
      <c r="DD41" s="48" t="e">
        <f t="shared" ca="1" si="87"/>
        <v>#DIV/0!</v>
      </c>
      <c r="DE41" s="48" t="e">
        <f t="shared" ca="1" si="88"/>
        <v>#DIV/0!</v>
      </c>
      <c r="DF41" s="48" t="e">
        <f t="shared" ca="1" si="89"/>
        <v>#DIV/0!</v>
      </c>
      <c r="DG41" s="48" t="e">
        <f t="shared" ca="1" si="90"/>
        <v>#DIV/0!</v>
      </c>
      <c r="DH41" s="48">
        <f ca="1">SUMIF(FCR!$BZ$4:$DB$500,DG41,FCR!$DE$4:$EG$500)</f>
        <v>0</v>
      </c>
      <c r="DI41" s="48" t="e">
        <f t="shared" ca="1" si="91"/>
        <v>#DIV/0!</v>
      </c>
      <c r="DJ41" s="48">
        <f ca="1">SUMIF(FCR!$BZ$4:$DB$142,DI41,FCR!$DE$4:$EG$142)</f>
        <v>0</v>
      </c>
      <c r="DK41" s="48" t="e">
        <f t="shared" ca="1" si="92"/>
        <v>#DIV/0!</v>
      </c>
      <c r="DL41" s="55" t="e">
        <f t="shared" ca="1" si="93"/>
        <v>#DIV/0!</v>
      </c>
      <c r="DM41" s="48" t="e">
        <f t="shared" ca="1" si="94"/>
        <v>#DIV/0!</v>
      </c>
      <c r="DN41" s="48">
        <f ca="1">SUMIF(FCR!$BZ$4:$DB$142,DM41,FCR!$DE$4:$EG$142)</f>
        <v>0</v>
      </c>
      <c r="DO41" s="53" t="e">
        <f t="shared" ca="1" si="95"/>
        <v>#DIV/0!</v>
      </c>
      <c r="DP41" s="55" t="e">
        <f t="shared" ca="1" si="96"/>
        <v>#DIV/0!</v>
      </c>
      <c r="DQ41" s="55" t="e">
        <f t="shared" ca="1" si="97"/>
        <v>#DIV/0!</v>
      </c>
      <c r="DR41" s="55"/>
      <c r="DS41" s="55" t="e">
        <f t="shared" ca="1" si="98"/>
        <v>#DIV/0!</v>
      </c>
      <c r="DT41" s="55" t="e">
        <f t="shared" ca="1" si="99"/>
        <v>#DIV/0!</v>
      </c>
      <c r="DU41" s="53">
        <f t="shared" ca="1" si="100"/>
        <v>0</v>
      </c>
      <c r="DV41" s="59" t="e">
        <f t="shared" ca="1" si="101"/>
        <v>#DIV/0!</v>
      </c>
    </row>
    <row r="42" spans="1:12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AD42" s="49" t="s">
        <v>337</v>
      </c>
      <c r="AE42" s="49">
        <f t="shared" ca="1" si="24"/>
        <v>0</v>
      </c>
      <c r="AF42" s="49">
        <f t="shared" ca="1" si="48"/>
        <v>0</v>
      </c>
      <c r="AG42" s="114">
        <f t="shared" ca="1" si="49"/>
        <v>0</v>
      </c>
      <c r="AH42" s="104">
        <f t="shared" ca="1" si="50"/>
        <v>0</v>
      </c>
      <c r="AI42" s="104">
        <f t="shared" ca="1" si="51"/>
        <v>0</v>
      </c>
      <c r="AJ42" s="104">
        <f t="shared" ca="1" si="52"/>
        <v>0</v>
      </c>
      <c r="AK42" s="104">
        <f t="shared" ca="1" si="53"/>
        <v>0</v>
      </c>
      <c r="AL42" s="104">
        <f t="shared" ca="1" si="54"/>
        <v>0</v>
      </c>
      <c r="AM42" s="104">
        <f t="shared" ca="1" si="55"/>
        <v>0</v>
      </c>
      <c r="AN42" s="104">
        <f t="shared" ca="1" si="56"/>
        <v>0</v>
      </c>
      <c r="AO42" s="104">
        <f t="shared" ca="1" si="57"/>
        <v>0</v>
      </c>
      <c r="AP42" s="104">
        <f t="shared" ca="1" si="58"/>
        <v>0</v>
      </c>
      <c r="AQ42" s="49">
        <f t="shared" ca="1" si="59"/>
        <v>0</v>
      </c>
      <c r="AR42" s="104">
        <f t="shared" ca="1" si="60"/>
        <v>0</v>
      </c>
      <c r="AS42" s="104">
        <f t="shared" ca="1" si="61"/>
        <v>0</v>
      </c>
      <c r="AT42" s="104">
        <f t="shared" ca="1" si="62"/>
        <v>0</v>
      </c>
      <c r="AU42" s="104">
        <f t="shared" ca="1" si="63"/>
        <v>0</v>
      </c>
      <c r="BF42" s="49">
        <f t="shared" ca="1" si="64"/>
        <v>0</v>
      </c>
      <c r="BG42" s="49">
        <f t="shared" ca="1" si="65"/>
        <v>0</v>
      </c>
      <c r="BH42" s="54" t="e">
        <f t="shared" ca="1" si="66"/>
        <v>#DIV/0!</v>
      </c>
      <c r="BI42" s="112" t="e">
        <f t="shared" ca="1" si="67"/>
        <v>#DIV/0!</v>
      </c>
      <c r="BK42" s="55" t="e">
        <f t="shared" ca="1" si="68"/>
        <v>#DIV/0!</v>
      </c>
      <c r="BL42" s="55" t="e">
        <f t="shared" ca="1" si="69"/>
        <v>#DIV/0!</v>
      </c>
      <c r="BM42" s="55" t="e">
        <f t="shared" ca="1" si="70"/>
        <v>#DIV/0!</v>
      </c>
      <c r="BN42" s="53">
        <f t="shared" ca="1" si="71"/>
        <v>0</v>
      </c>
      <c r="BO42" s="112" t="e">
        <f t="shared" ca="1" si="72"/>
        <v>#DIV/0!</v>
      </c>
      <c r="BR42" s="53" t="e">
        <f t="shared" ca="1" si="73"/>
        <v>#DIV/0!</v>
      </c>
      <c r="BS42" s="53">
        <f t="shared" ca="1" si="74"/>
        <v>0</v>
      </c>
      <c r="BT42" s="53">
        <f t="shared" ca="1" si="75"/>
        <v>0</v>
      </c>
      <c r="BU42" s="56" t="e">
        <f t="shared" ca="1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ca="1" si="79"/>
        <v>0</v>
      </c>
      <c r="CW42" s="53">
        <f t="shared" ca="1" si="80"/>
        <v>0</v>
      </c>
      <c r="CX42" s="58" t="e">
        <f t="shared" ca="1" si="81"/>
        <v>#DIV/0!</v>
      </c>
      <c r="CY42" s="53">
        <f t="shared" ca="1" si="82"/>
        <v>0</v>
      </c>
      <c r="CZ42" s="53">
        <f t="shared" ca="1" si="83"/>
        <v>0</v>
      </c>
      <c r="DA42" s="58" t="e">
        <f t="shared" ca="1" si="84"/>
        <v>#DIV/0!</v>
      </c>
      <c r="DB42" s="48" t="e">
        <f t="shared" ca="1" si="85"/>
        <v>#DIV/0!</v>
      </c>
      <c r="DC42" s="48" t="e">
        <f t="shared" ca="1" si="86"/>
        <v>#DIV/0!</v>
      </c>
      <c r="DD42" s="48" t="e">
        <f t="shared" ca="1" si="87"/>
        <v>#DIV/0!</v>
      </c>
      <c r="DE42" s="48" t="e">
        <f t="shared" ca="1" si="88"/>
        <v>#DIV/0!</v>
      </c>
      <c r="DF42" s="48" t="e">
        <f t="shared" ca="1" si="89"/>
        <v>#DIV/0!</v>
      </c>
      <c r="DG42" s="48" t="e">
        <f t="shared" ca="1" si="90"/>
        <v>#DIV/0!</v>
      </c>
      <c r="DH42" s="48">
        <f ca="1">SUMIF(FCR!$BZ$4:$DB$500,DG42,FCR!$DE$4:$EG$500)</f>
        <v>0</v>
      </c>
      <c r="DI42" s="48" t="e">
        <f t="shared" ca="1" si="91"/>
        <v>#DIV/0!</v>
      </c>
      <c r="DJ42" s="48">
        <f ca="1">SUMIF(FCR!$BZ$4:$DB$142,DI42,FCR!$DE$4:$EG$142)</f>
        <v>0</v>
      </c>
      <c r="DK42" s="48" t="e">
        <f t="shared" ca="1" si="92"/>
        <v>#DIV/0!</v>
      </c>
      <c r="DL42" s="55" t="e">
        <f t="shared" ca="1" si="93"/>
        <v>#DIV/0!</v>
      </c>
      <c r="DM42" s="48" t="e">
        <f t="shared" ca="1" si="94"/>
        <v>#DIV/0!</v>
      </c>
      <c r="DN42" s="48">
        <f ca="1">SUMIF(FCR!$BZ$4:$DB$142,DM42,FCR!$DE$4:$EG$142)</f>
        <v>0</v>
      </c>
      <c r="DO42" s="53" t="e">
        <f t="shared" ca="1" si="95"/>
        <v>#DIV/0!</v>
      </c>
      <c r="DP42" s="55" t="e">
        <f t="shared" ca="1" si="96"/>
        <v>#DIV/0!</v>
      </c>
      <c r="DQ42" s="55" t="e">
        <f t="shared" ca="1" si="97"/>
        <v>#DIV/0!</v>
      </c>
      <c r="DR42" s="55"/>
      <c r="DS42" s="55" t="e">
        <f t="shared" ca="1" si="98"/>
        <v>#DIV/0!</v>
      </c>
      <c r="DT42" s="55" t="e">
        <f t="shared" ca="1" si="99"/>
        <v>#DIV/0!</v>
      </c>
      <c r="DU42" s="53">
        <f t="shared" ca="1" si="100"/>
        <v>0</v>
      </c>
      <c r="DV42" s="59" t="e">
        <f t="shared" ca="1" si="101"/>
        <v>#DIV/0!</v>
      </c>
    </row>
    <row r="43" spans="1:12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AD43" s="49" t="s">
        <v>337</v>
      </c>
      <c r="AE43" s="49">
        <f t="shared" ca="1" si="24"/>
        <v>0</v>
      </c>
      <c r="AF43" s="49">
        <f t="shared" ca="1" si="48"/>
        <v>0</v>
      </c>
      <c r="AG43" s="114">
        <f t="shared" ca="1" si="49"/>
        <v>0</v>
      </c>
      <c r="AH43" s="104">
        <f t="shared" ca="1" si="50"/>
        <v>0</v>
      </c>
      <c r="AI43" s="104">
        <f t="shared" ca="1" si="51"/>
        <v>0</v>
      </c>
      <c r="AJ43" s="104">
        <f t="shared" ca="1" si="52"/>
        <v>0</v>
      </c>
      <c r="AK43" s="104">
        <f t="shared" ca="1" si="53"/>
        <v>0</v>
      </c>
      <c r="AL43" s="104">
        <f t="shared" ca="1" si="54"/>
        <v>0</v>
      </c>
      <c r="AM43" s="104">
        <f t="shared" ca="1" si="55"/>
        <v>0</v>
      </c>
      <c r="AN43" s="104">
        <f t="shared" ca="1" si="56"/>
        <v>0</v>
      </c>
      <c r="AO43" s="104">
        <f t="shared" ca="1" si="57"/>
        <v>0</v>
      </c>
      <c r="AP43" s="104">
        <f t="shared" ca="1" si="58"/>
        <v>0</v>
      </c>
      <c r="AQ43" s="49">
        <f t="shared" ca="1" si="59"/>
        <v>0</v>
      </c>
      <c r="AR43" s="104">
        <f t="shared" ca="1" si="60"/>
        <v>0</v>
      </c>
      <c r="AS43" s="104">
        <f t="shared" ca="1" si="61"/>
        <v>0</v>
      </c>
      <c r="AT43" s="104">
        <f t="shared" ca="1" si="62"/>
        <v>0</v>
      </c>
      <c r="AU43" s="104">
        <f t="shared" ca="1" si="63"/>
        <v>0</v>
      </c>
      <c r="BF43" s="49">
        <f t="shared" ca="1" si="64"/>
        <v>0</v>
      </c>
      <c r="BG43" s="49">
        <f t="shared" ca="1" si="65"/>
        <v>0</v>
      </c>
      <c r="BH43" s="54" t="e">
        <f t="shared" ca="1" si="66"/>
        <v>#DIV/0!</v>
      </c>
      <c r="BI43" s="112" t="e">
        <f t="shared" ca="1" si="67"/>
        <v>#DIV/0!</v>
      </c>
      <c r="BK43" s="55" t="e">
        <f t="shared" ca="1" si="68"/>
        <v>#DIV/0!</v>
      </c>
      <c r="BL43" s="55" t="e">
        <f t="shared" ca="1" si="69"/>
        <v>#DIV/0!</v>
      </c>
      <c r="BM43" s="55" t="e">
        <f t="shared" ca="1" si="70"/>
        <v>#DIV/0!</v>
      </c>
      <c r="BN43" s="53">
        <f t="shared" ca="1" si="71"/>
        <v>0</v>
      </c>
      <c r="BO43" s="112" t="e">
        <f t="shared" ca="1" si="72"/>
        <v>#DIV/0!</v>
      </c>
      <c r="BR43" s="53" t="e">
        <f t="shared" ca="1" si="73"/>
        <v>#DIV/0!</v>
      </c>
      <c r="BS43" s="53">
        <f t="shared" ca="1" si="74"/>
        <v>0</v>
      </c>
      <c r="BT43" s="53">
        <f t="shared" ca="1" si="75"/>
        <v>0</v>
      </c>
      <c r="BU43" s="56" t="e">
        <f t="shared" ca="1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ca="1" si="79"/>
        <v>0</v>
      </c>
      <c r="CW43" s="53">
        <f t="shared" ca="1" si="80"/>
        <v>0</v>
      </c>
      <c r="CX43" s="58" t="e">
        <f t="shared" ca="1" si="81"/>
        <v>#DIV/0!</v>
      </c>
      <c r="CY43" s="53">
        <f t="shared" ca="1" si="82"/>
        <v>0</v>
      </c>
      <c r="CZ43" s="53">
        <f t="shared" ca="1" si="83"/>
        <v>0</v>
      </c>
      <c r="DA43" s="58" t="e">
        <f t="shared" ca="1" si="84"/>
        <v>#DIV/0!</v>
      </c>
      <c r="DB43" s="48" t="e">
        <f t="shared" ca="1" si="85"/>
        <v>#DIV/0!</v>
      </c>
      <c r="DC43" s="48" t="e">
        <f t="shared" ca="1" si="86"/>
        <v>#DIV/0!</v>
      </c>
      <c r="DD43" s="48" t="e">
        <f t="shared" ca="1" si="87"/>
        <v>#DIV/0!</v>
      </c>
      <c r="DE43" s="48" t="e">
        <f t="shared" ca="1" si="88"/>
        <v>#DIV/0!</v>
      </c>
      <c r="DF43" s="48" t="e">
        <f t="shared" ca="1" si="89"/>
        <v>#DIV/0!</v>
      </c>
      <c r="DG43" s="48" t="e">
        <f t="shared" ca="1" si="90"/>
        <v>#DIV/0!</v>
      </c>
      <c r="DH43" s="48">
        <f ca="1">SUMIF(FCR!$BZ$4:$DB$500,DG43,FCR!$DE$4:$EG$500)</f>
        <v>0</v>
      </c>
      <c r="DI43" s="48" t="e">
        <f t="shared" ca="1" si="91"/>
        <v>#DIV/0!</v>
      </c>
      <c r="DJ43" s="48">
        <f ca="1">SUMIF(FCR!$BZ$4:$DB$142,DI43,FCR!$DE$4:$EG$142)</f>
        <v>0</v>
      </c>
      <c r="DK43" s="48" t="e">
        <f t="shared" ca="1" si="92"/>
        <v>#DIV/0!</v>
      </c>
      <c r="DL43" s="55" t="e">
        <f t="shared" ca="1" si="93"/>
        <v>#DIV/0!</v>
      </c>
      <c r="DM43" s="48" t="e">
        <f t="shared" ca="1" si="94"/>
        <v>#DIV/0!</v>
      </c>
      <c r="DN43" s="48">
        <f ca="1">SUMIF(FCR!$BZ$4:$DB$142,DM43,FCR!$DE$4:$EG$142)</f>
        <v>0</v>
      </c>
      <c r="DO43" s="53" t="e">
        <f t="shared" ca="1" si="95"/>
        <v>#DIV/0!</v>
      </c>
      <c r="DP43" s="55" t="e">
        <f t="shared" ca="1" si="96"/>
        <v>#DIV/0!</v>
      </c>
      <c r="DQ43" s="55" t="e">
        <f t="shared" ca="1" si="97"/>
        <v>#DIV/0!</v>
      </c>
      <c r="DR43" s="55"/>
      <c r="DS43" s="55" t="e">
        <f t="shared" ca="1" si="98"/>
        <v>#DIV/0!</v>
      </c>
      <c r="DT43" s="55" t="e">
        <f t="shared" ca="1" si="99"/>
        <v>#DIV/0!</v>
      </c>
      <c r="DU43" s="53">
        <f t="shared" ca="1" si="100"/>
        <v>0</v>
      </c>
      <c r="DV43" s="59" t="e">
        <f t="shared" ca="1" si="101"/>
        <v>#DIV/0!</v>
      </c>
    </row>
    <row r="44" spans="1:12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AD44" s="49" t="s">
        <v>337</v>
      </c>
      <c r="AE44" s="49">
        <f t="shared" ca="1" si="24"/>
        <v>0</v>
      </c>
      <c r="AF44" s="49">
        <f t="shared" ca="1" si="48"/>
        <v>0</v>
      </c>
      <c r="AG44" s="114">
        <f t="shared" ca="1" si="49"/>
        <v>0</v>
      </c>
      <c r="AH44" s="104">
        <f t="shared" ca="1" si="50"/>
        <v>0</v>
      </c>
      <c r="AI44" s="104">
        <f t="shared" ca="1" si="51"/>
        <v>0</v>
      </c>
      <c r="AJ44" s="104">
        <f t="shared" ca="1" si="52"/>
        <v>0</v>
      </c>
      <c r="AK44" s="104">
        <f t="shared" ca="1" si="53"/>
        <v>0</v>
      </c>
      <c r="AL44" s="104">
        <f t="shared" ca="1" si="54"/>
        <v>0</v>
      </c>
      <c r="AM44" s="104">
        <f t="shared" ca="1" si="55"/>
        <v>0</v>
      </c>
      <c r="AN44" s="104">
        <f t="shared" ca="1" si="56"/>
        <v>0</v>
      </c>
      <c r="AO44" s="104">
        <f t="shared" ca="1" si="57"/>
        <v>0</v>
      </c>
      <c r="AP44" s="104">
        <f t="shared" ca="1" si="58"/>
        <v>0</v>
      </c>
      <c r="AQ44" s="49">
        <f t="shared" ca="1" si="59"/>
        <v>0</v>
      </c>
      <c r="AR44" s="104">
        <f t="shared" ca="1" si="60"/>
        <v>0</v>
      </c>
      <c r="AS44" s="104">
        <f t="shared" ca="1" si="61"/>
        <v>0</v>
      </c>
      <c r="AT44" s="104">
        <f t="shared" ca="1" si="62"/>
        <v>0</v>
      </c>
      <c r="AU44" s="104">
        <f t="shared" ca="1" si="63"/>
        <v>0</v>
      </c>
      <c r="BF44" s="49">
        <f t="shared" ca="1" si="64"/>
        <v>0</v>
      </c>
      <c r="BG44" s="49">
        <f t="shared" ca="1" si="65"/>
        <v>0</v>
      </c>
      <c r="BH44" s="54" t="e">
        <f t="shared" ca="1" si="66"/>
        <v>#DIV/0!</v>
      </c>
      <c r="BI44" s="112" t="e">
        <f t="shared" ca="1" si="67"/>
        <v>#DIV/0!</v>
      </c>
      <c r="BK44" s="55" t="e">
        <f t="shared" ca="1" si="68"/>
        <v>#DIV/0!</v>
      </c>
      <c r="BL44" s="55" t="e">
        <f t="shared" ca="1" si="69"/>
        <v>#DIV/0!</v>
      </c>
      <c r="BM44" s="55" t="e">
        <f t="shared" ca="1" si="70"/>
        <v>#DIV/0!</v>
      </c>
      <c r="BN44" s="53">
        <f t="shared" ca="1" si="71"/>
        <v>0</v>
      </c>
      <c r="BO44" s="112" t="e">
        <f t="shared" ca="1" si="72"/>
        <v>#DIV/0!</v>
      </c>
      <c r="BR44" s="53" t="e">
        <f t="shared" ca="1" si="73"/>
        <v>#DIV/0!</v>
      </c>
      <c r="BS44" s="53">
        <f t="shared" ca="1" si="74"/>
        <v>0</v>
      </c>
      <c r="BT44" s="53">
        <f t="shared" ca="1" si="75"/>
        <v>0</v>
      </c>
      <c r="BU44" s="56" t="e">
        <f t="shared" ca="1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ca="1" si="79"/>
        <v>0</v>
      </c>
      <c r="CW44" s="53">
        <f t="shared" ca="1" si="80"/>
        <v>0</v>
      </c>
      <c r="CX44" s="58" t="e">
        <f t="shared" ca="1" si="81"/>
        <v>#DIV/0!</v>
      </c>
      <c r="CY44" s="53">
        <f t="shared" ca="1" si="82"/>
        <v>0</v>
      </c>
      <c r="CZ44" s="53">
        <f t="shared" ca="1" si="83"/>
        <v>0</v>
      </c>
      <c r="DA44" s="58" t="e">
        <f t="shared" ca="1" si="84"/>
        <v>#DIV/0!</v>
      </c>
      <c r="DB44" s="48" t="e">
        <f t="shared" ca="1" si="85"/>
        <v>#DIV/0!</v>
      </c>
      <c r="DC44" s="48" t="e">
        <f t="shared" ca="1" si="86"/>
        <v>#DIV/0!</v>
      </c>
      <c r="DD44" s="48" t="e">
        <f t="shared" ca="1" si="87"/>
        <v>#DIV/0!</v>
      </c>
      <c r="DE44" s="48" t="e">
        <f t="shared" ca="1" si="88"/>
        <v>#DIV/0!</v>
      </c>
      <c r="DF44" s="48" t="e">
        <f t="shared" ca="1" si="89"/>
        <v>#DIV/0!</v>
      </c>
      <c r="DG44" s="48" t="e">
        <f t="shared" ca="1" si="90"/>
        <v>#DIV/0!</v>
      </c>
      <c r="DH44" s="48">
        <f ca="1">SUMIF(FCR!$BZ$4:$DB$500,DG44,FCR!$DE$4:$EG$500)</f>
        <v>0</v>
      </c>
      <c r="DI44" s="48" t="e">
        <f t="shared" ca="1" si="91"/>
        <v>#DIV/0!</v>
      </c>
      <c r="DJ44" s="48">
        <f ca="1">SUMIF(FCR!$BZ$4:$DB$142,DI44,FCR!$DE$4:$EG$142)</f>
        <v>0</v>
      </c>
      <c r="DK44" s="48" t="e">
        <f t="shared" ca="1" si="92"/>
        <v>#DIV/0!</v>
      </c>
      <c r="DL44" s="55" t="e">
        <f t="shared" ca="1" si="93"/>
        <v>#DIV/0!</v>
      </c>
      <c r="DM44" s="48" t="e">
        <f t="shared" ca="1" si="94"/>
        <v>#DIV/0!</v>
      </c>
      <c r="DN44" s="48">
        <f ca="1">SUMIF(FCR!$BZ$4:$DB$142,DM44,FCR!$DE$4:$EG$142)</f>
        <v>0</v>
      </c>
      <c r="DO44" s="53" t="e">
        <f t="shared" ca="1" si="95"/>
        <v>#DIV/0!</v>
      </c>
      <c r="DP44" s="55" t="e">
        <f t="shared" ca="1" si="96"/>
        <v>#DIV/0!</v>
      </c>
      <c r="DQ44" s="55" t="e">
        <f t="shared" ca="1" si="97"/>
        <v>#DIV/0!</v>
      </c>
      <c r="DR44" s="55"/>
      <c r="DS44" s="55" t="e">
        <f t="shared" ca="1" si="98"/>
        <v>#DIV/0!</v>
      </c>
      <c r="DT44" s="55" t="e">
        <f t="shared" ca="1" si="99"/>
        <v>#DIV/0!</v>
      </c>
      <c r="DU44" s="53">
        <f t="shared" ca="1" si="100"/>
        <v>0</v>
      </c>
      <c r="DV44" s="59" t="e">
        <f t="shared" ca="1" si="101"/>
        <v>#DIV/0!</v>
      </c>
    </row>
    <row r="45" spans="1:12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AD45" s="49" t="s">
        <v>337</v>
      </c>
      <c r="AE45" s="49">
        <f t="shared" ca="1" si="24"/>
        <v>0</v>
      </c>
      <c r="AF45" s="49">
        <f t="shared" ca="1" si="48"/>
        <v>0</v>
      </c>
      <c r="AG45" s="114">
        <f t="shared" ca="1" si="49"/>
        <v>0</v>
      </c>
      <c r="AH45" s="104">
        <f t="shared" ca="1" si="50"/>
        <v>0</v>
      </c>
      <c r="AI45" s="104">
        <f t="shared" ca="1" si="51"/>
        <v>0</v>
      </c>
      <c r="AJ45" s="104">
        <f t="shared" ca="1" si="52"/>
        <v>0</v>
      </c>
      <c r="AK45" s="104">
        <f t="shared" ca="1" si="53"/>
        <v>0</v>
      </c>
      <c r="AL45" s="104">
        <f t="shared" ca="1" si="54"/>
        <v>0</v>
      </c>
      <c r="AM45" s="104">
        <f t="shared" ca="1" si="55"/>
        <v>0</v>
      </c>
      <c r="AN45" s="104">
        <f t="shared" ca="1" si="56"/>
        <v>0</v>
      </c>
      <c r="AO45" s="104">
        <f t="shared" ca="1" si="57"/>
        <v>0</v>
      </c>
      <c r="AP45" s="104">
        <f t="shared" ca="1" si="58"/>
        <v>0</v>
      </c>
      <c r="AQ45" s="49">
        <f t="shared" ca="1" si="59"/>
        <v>0</v>
      </c>
      <c r="AR45" s="104">
        <f t="shared" ca="1" si="60"/>
        <v>0</v>
      </c>
      <c r="AS45" s="104">
        <f t="shared" ca="1" si="61"/>
        <v>0</v>
      </c>
      <c r="AT45" s="104">
        <f t="shared" ca="1" si="62"/>
        <v>0</v>
      </c>
      <c r="AU45" s="104">
        <f t="shared" ca="1" si="63"/>
        <v>0</v>
      </c>
      <c r="BF45" s="49">
        <f t="shared" ca="1" si="64"/>
        <v>0</v>
      </c>
      <c r="BG45" s="49">
        <f t="shared" ca="1" si="65"/>
        <v>0</v>
      </c>
      <c r="BH45" s="54" t="e">
        <f t="shared" ca="1" si="66"/>
        <v>#DIV/0!</v>
      </c>
      <c r="BI45" s="112" t="e">
        <f t="shared" ca="1" si="67"/>
        <v>#DIV/0!</v>
      </c>
      <c r="BK45" s="55" t="e">
        <f t="shared" ca="1" si="68"/>
        <v>#DIV/0!</v>
      </c>
      <c r="BL45" s="55" t="e">
        <f t="shared" ca="1" si="69"/>
        <v>#DIV/0!</v>
      </c>
      <c r="BM45" s="55" t="e">
        <f t="shared" ca="1" si="70"/>
        <v>#DIV/0!</v>
      </c>
      <c r="BN45" s="53">
        <f t="shared" ca="1" si="71"/>
        <v>0</v>
      </c>
      <c r="BO45" s="112" t="e">
        <f t="shared" ca="1" si="72"/>
        <v>#DIV/0!</v>
      </c>
      <c r="BR45" s="53" t="e">
        <f t="shared" ca="1" si="73"/>
        <v>#DIV/0!</v>
      </c>
      <c r="BS45" s="53">
        <f t="shared" ca="1" si="74"/>
        <v>0</v>
      </c>
      <c r="BT45" s="53">
        <f t="shared" ca="1" si="75"/>
        <v>0</v>
      </c>
      <c r="BU45" s="56" t="e">
        <f t="shared" ca="1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ca="1" si="79"/>
        <v>0</v>
      </c>
      <c r="CW45" s="53">
        <f t="shared" ca="1" si="80"/>
        <v>0</v>
      </c>
      <c r="CX45" s="58" t="e">
        <f t="shared" ca="1" si="81"/>
        <v>#DIV/0!</v>
      </c>
      <c r="CY45" s="53">
        <f t="shared" ca="1" si="82"/>
        <v>0</v>
      </c>
      <c r="CZ45" s="53">
        <f t="shared" ca="1" si="83"/>
        <v>0</v>
      </c>
      <c r="DA45" s="58" t="e">
        <f t="shared" ca="1" si="84"/>
        <v>#DIV/0!</v>
      </c>
      <c r="DB45" s="48" t="e">
        <f t="shared" ca="1" si="85"/>
        <v>#DIV/0!</v>
      </c>
      <c r="DC45" s="48" t="e">
        <f t="shared" ca="1" si="86"/>
        <v>#DIV/0!</v>
      </c>
      <c r="DD45" s="48" t="e">
        <f t="shared" ca="1" si="87"/>
        <v>#DIV/0!</v>
      </c>
      <c r="DE45" s="48" t="e">
        <f t="shared" ca="1" si="88"/>
        <v>#DIV/0!</v>
      </c>
      <c r="DF45" s="48" t="e">
        <f t="shared" ca="1" si="89"/>
        <v>#DIV/0!</v>
      </c>
      <c r="DG45" s="48" t="e">
        <f t="shared" ca="1" si="90"/>
        <v>#DIV/0!</v>
      </c>
      <c r="DH45" s="48">
        <f ca="1">SUMIF(FCR!$BZ$4:$DB$500,DG45,FCR!$DE$4:$EG$500)</f>
        <v>0</v>
      </c>
      <c r="DI45" s="48" t="e">
        <f t="shared" ca="1" si="91"/>
        <v>#DIV/0!</v>
      </c>
      <c r="DJ45" s="48">
        <f ca="1">SUMIF(FCR!$BZ$4:$DB$142,DI45,FCR!$DE$4:$EG$142)</f>
        <v>0</v>
      </c>
      <c r="DK45" s="48" t="e">
        <f t="shared" ca="1" si="92"/>
        <v>#DIV/0!</v>
      </c>
      <c r="DL45" s="55" t="e">
        <f t="shared" ca="1" si="93"/>
        <v>#DIV/0!</v>
      </c>
      <c r="DM45" s="48" t="e">
        <f t="shared" ca="1" si="94"/>
        <v>#DIV/0!</v>
      </c>
      <c r="DN45" s="48">
        <f ca="1">SUMIF(FCR!$BZ$4:$DB$142,DM45,FCR!$DE$4:$EG$142)</f>
        <v>0</v>
      </c>
      <c r="DO45" s="53" t="e">
        <f t="shared" ca="1" si="95"/>
        <v>#DIV/0!</v>
      </c>
      <c r="DP45" s="55" t="e">
        <f t="shared" ca="1" si="96"/>
        <v>#DIV/0!</v>
      </c>
      <c r="DQ45" s="55" t="e">
        <f t="shared" ca="1" si="97"/>
        <v>#DIV/0!</v>
      </c>
      <c r="DR45" s="55"/>
      <c r="DS45" s="55" t="e">
        <f t="shared" ca="1" si="98"/>
        <v>#DIV/0!</v>
      </c>
      <c r="DT45" s="55" t="e">
        <f t="shared" ca="1" si="99"/>
        <v>#DIV/0!</v>
      </c>
      <c r="DU45" s="53">
        <f t="shared" ca="1" si="100"/>
        <v>0</v>
      </c>
      <c r="DV45" s="59" t="e">
        <f t="shared" ca="1" si="101"/>
        <v>#DIV/0!</v>
      </c>
    </row>
    <row r="46" spans="1:12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AD46" s="49" t="s">
        <v>337</v>
      </c>
      <c r="AE46" s="49">
        <f t="shared" ca="1" si="24"/>
        <v>0</v>
      </c>
      <c r="AF46" s="49">
        <f t="shared" ca="1" si="48"/>
        <v>0</v>
      </c>
      <c r="AG46" s="114">
        <f t="shared" ca="1" si="49"/>
        <v>0</v>
      </c>
      <c r="AH46" s="104">
        <f t="shared" ca="1" si="50"/>
        <v>0</v>
      </c>
      <c r="AI46" s="104">
        <f t="shared" ca="1" si="51"/>
        <v>0</v>
      </c>
      <c r="AJ46" s="104">
        <f t="shared" ca="1" si="52"/>
        <v>0</v>
      </c>
      <c r="AK46" s="104">
        <f t="shared" ca="1" si="53"/>
        <v>0</v>
      </c>
      <c r="AL46" s="104">
        <f t="shared" ca="1" si="54"/>
        <v>0</v>
      </c>
      <c r="AM46" s="104">
        <f t="shared" ca="1" si="55"/>
        <v>0</v>
      </c>
      <c r="AN46" s="104">
        <f t="shared" ca="1" si="56"/>
        <v>0</v>
      </c>
      <c r="AO46" s="104">
        <f t="shared" ca="1" si="57"/>
        <v>0</v>
      </c>
      <c r="AP46" s="104">
        <f t="shared" ca="1" si="58"/>
        <v>0</v>
      </c>
      <c r="AQ46" s="49">
        <f t="shared" ca="1" si="59"/>
        <v>0</v>
      </c>
      <c r="AR46" s="104">
        <f t="shared" ca="1" si="60"/>
        <v>0</v>
      </c>
      <c r="AS46" s="104">
        <f t="shared" ca="1" si="61"/>
        <v>0</v>
      </c>
      <c r="AT46" s="104">
        <f t="shared" ca="1" si="62"/>
        <v>0</v>
      </c>
      <c r="AU46" s="104">
        <f t="shared" ca="1" si="63"/>
        <v>0</v>
      </c>
      <c r="BF46" s="49">
        <f t="shared" ca="1" si="64"/>
        <v>0</v>
      </c>
      <c r="BG46" s="49">
        <f t="shared" ca="1" si="65"/>
        <v>0</v>
      </c>
      <c r="BH46" s="54" t="e">
        <f t="shared" ca="1" si="66"/>
        <v>#DIV/0!</v>
      </c>
      <c r="BI46" s="112" t="e">
        <f t="shared" ca="1" si="67"/>
        <v>#DIV/0!</v>
      </c>
      <c r="BK46" s="55" t="e">
        <f t="shared" ca="1" si="68"/>
        <v>#DIV/0!</v>
      </c>
      <c r="BL46" s="55" t="e">
        <f t="shared" ca="1" si="69"/>
        <v>#DIV/0!</v>
      </c>
      <c r="BM46" s="55" t="e">
        <f t="shared" ca="1" si="70"/>
        <v>#DIV/0!</v>
      </c>
      <c r="BN46" s="53">
        <f t="shared" ca="1" si="71"/>
        <v>0</v>
      </c>
      <c r="BO46" s="112" t="e">
        <f t="shared" ca="1" si="72"/>
        <v>#DIV/0!</v>
      </c>
      <c r="BR46" s="53" t="e">
        <f t="shared" ca="1" si="73"/>
        <v>#DIV/0!</v>
      </c>
      <c r="BS46" s="53">
        <f t="shared" ca="1" si="74"/>
        <v>0</v>
      </c>
      <c r="BT46" s="53">
        <f t="shared" ca="1" si="75"/>
        <v>0</v>
      </c>
      <c r="BU46" s="56" t="e">
        <f t="shared" ca="1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ca="1" si="79"/>
        <v>0</v>
      </c>
      <c r="CW46" s="53">
        <f t="shared" ca="1" si="80"/>
        <v>0</v>
      </c>
      <c r="CX46" s="58" t="e">
        <f t="shared" ca="1" si="81"/>
        <v>#DIV/0!</v>
      </c>
      <c r="CY46" s="53">
        <f t="shared" ca="1" si="82"/>
        <v>0</v>
      </c>
      <c r="CZ46" s="53">
        <f t="shared" ca="1" si="83"/>
        <v>0</v>
      </c>
      <c r="DA46" s="58" t="e">
        <f t="shared" ca="1" si="84"/>
        <v>#DIV/0!</v>
      </c>
      <c r="DB46" s="48" t="e">
        <f t="shared" ca="1" si="85"/>
        <v>#DIV/0!</v>
      </c>
      <c r="DC46" s="48" t="e">
        <f t="shared" ca="1" si="86"/>
        <v>#DIV/0!</v>
      </c>
      <c r="DD46" s="48" t="e">
        <f t="shared" ca="1" si="87"/>
        <v>#DIV/0!</v>
      </c>
      <c r="DE46" s="48" t="e">
        <f t="shared" ca="1" si="88"/>
        <v>#DIV/0!</v>
      </c>
      <c r="DF46" s="48" t="e">
        <f t="shared" ca="1" si="89"/>
        <v>#DIV/0!</v>
      </c>
      <c r="DG46" s="48" t="e">
        <f t="shared" ca="1" si="90"/>
        <v>#DIV/0!</v>
      </c>
      <c r="DH46" s="48">
        <f ca="1">SUMIF(FCR!$BZ$4:$DB$500,DG46,FCR!$DE$4:$EG$500)</f>
        <v>0</v>
      </c>
      <c r="DI46" s="48" t="e">
        <f t="shared" ca="1" si="91"/>
        <v>#DIV/0!</v>
      </c>
      <c r="DJ46" s="48">
        <f ca="1">SUMIF(FCR!$BZ$4:$DB$142,DI46,FCR!$DE$4:$EG$142)</f>
        <v>0</v>
      </c>
      <c r="DK46" s="48" t="e">
        <f t="shared" ca="1" si="92"/>
        <v>#DIV/0!</v>
      </c>
      <c r="DL46" s="55" t="e">
        <f t="shared" ca="1" si="93"/>
        <v>#DIV/0!</v>
      </c>
      <c r="DM46" s="48" t="e">
        <f t="shared" ca="1" si="94"/>
        <v>#DIV/0!</v>
      </c>
      <c r="DN46" s="48">
        <f ca="1">SUMIF(FCR!$BZ$4:$DB$142,DM46,FCR!$DE$4:$EG$142)</f>
        <v>0</v>
      </c>
      <c r="DO46" s="53" t="e">
        <f t="shared" ca="1" si="95"/>
        <v>#DIV/0!</v>
      </c>
      <c r="DP46" s="55" t="e">
        <f t="shared" ca="1" si="96"/>
        <v>#DIV/0!</v>
      </c>
      <c r="DQ46" s="55" t="e">
        <f t="shared" ca="1" si="97"/>
        <v>#DIV/0!</v>
      </c>
      <c r="DR46" s="55"/>
      <c r="DS46" s="55" t="e">
        <f t="shared" ca="1" si="98"/>
        <v>#DIV/0!</v>
      </c>
      <c r="DT46" s="55" t="e">
        <f t="shared" ca="1" si="99"/>
        <v>#DIV/0!</v>
      </c>
      <c r="DU46" s="53">
        <f t="shared" ca="1" si="100"/>
        <v>0</v>
      </c>
      <c r="DV46" s="59" t="e">
        <f t="shared" ca="1" si="101"/>
        <v>#DIV/0!</v>
      </c>
    </row>
    <row r="47" spans="1:12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AD47" s="49" t="s">
        <v>337</v>
      </c>
      <c r="AE47" s="49">
        <f t="shared" ca="1" si="24"/>
        <v>0</v>
      </c>
      <c r="AF47" s="49">
        <f t="shared" ca="1" si="48"/>
        <v>0</v>
      </c>
      <c r="AG47" s="114">
        <f t="shared" ca="1" si="49"/>
        <v>0</v>
      </c>
      <c r="AH47" s="104">
        <f t="shared" ca="1" si="50"/>
        <v>0</v>
      </c>
      <c r="AI47" s="104">
        <f t="shared" ca="1" si="51"/>
        <v>0</v>
      </c>
      <c r="AJ47" s="104">
        <f t="shared" ca="1" si="52"/>
        <v>0</v>
      </c>
      <c r="AK47" s="104">
        <f t="shared" ca="1" si="53"/>
        <v>0</v>
      </c>
      <c r="AL47" s="104">
        <f t="shared" ca="1" si="54"/>
        <v>0</v>
      </c>
      <c r="AM47" s="104">
        <f t="shared" ca="1" si="55"/>
        <v>0</v>
      </c>
      <c r="AN47" s="104">
        <f t="shared" ca="1" si="56"/>
        <v>0</v>
      </c>
      <c r="AO47" s="104">
        <f t="shared" ca="1" si="57"/>
        <v>0</v>
      </c>
      <c r="AP47" s="104">
        <f t="shared" ca="1" si="58"/>
        <v>0</v>
      </c>
      <c r="AQ47" s="49">
        <f t="shared" ca="1" si="59"/>
        <v>0</v>
      </c>
      <c r="AR47" s="104">
        <f t="shared" ca="1" si="60"/>
        <v>0</v>
      </c>
      <c r="AS47" s="104">
        <f t="shared" ca="1" si="61"/>
        <v>0</v>
      </c>
      <c r="AT47" s="104">
        <f t="shared" ca="1" si="62"/>
        <v>0</v>
      </c>
      <c r="AU47" s="104">
        <f t="shared" ca="1" si="63"/>
        <v>0</v>
      </c>
      <c r="BF47" s="49">
        <f t="shared" ca="1" si="64"/>
        <v>0</v>
      </c>
      <c r="BG47" s="49">
        <f t="shared" ca="1" si="65"/>
        <v>0</v>
      </c>
      <c r="BH47" s="54" t="e">
        <f t="shared" ca="1" si="66"/>
        <v>#DIV/0!</v>
      </c>
      <c r="BI47" s="112" t="e">
        <f t="shared" ca="1" si="67"/>
        <v>#DIV/0!</v>
      </c>
      <c r="BK47" s="55" t="e">
        <f t="shared" ca="1" si="68"/>
        <v>#DIV/0!</v>
      </c>
      <c r="BL47" s="55" t="e">
        <f t="shared" ca="1" si="69"/>
        <v>#DIV/0!</v>
      </c>
      <c r="BM47" s="55" t="e">
        <f t="shared" ca="1" si="70"/>
        <v>#DIV/0!</v>
      </c>
      <c r="BN47" s="53">
        <f t="shared" ca="1" si="71"/>
        <v>0</v>
      </c>
      <c r="BO47" s="112" t="e">
        <f t="shared" ca="1" si="72"/>
        <v>#DIV/0!</v>
      </c>
      <c r="BR47" s="53" t="e">
        <f t="shared" ca="1" si="73"/>
        <v>#DIV/0!</v>
      </c>
      <c r="BS47" s="53">
        <f t="shared" ca="1" si="74"/>
        <v>0</v>
      </c>
      <c r="BT47" s="53">
        <f t="shared" ca="1" si="75"/>
        <v>0</v>
      </c>
      <c r="BU47" s="56" t="e">
        <f t="shared" ca="1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ca="1" si="79"/>
        <v>0</v>
      </c>
      <c r="CW47" s="53">
        <f t="shared" ca="1" si="80"/>
        <v>0</v>
      </c>
      <c r="CX47" s="58" t="e">
        <f t="shared" ca="1" si="81"/>
        <v>#DIV/0!</v>
      </c>
      <c r="CY47" s="53">
        <f t="shared" ca="1" si="82"/>
        <v>0</v>
      </c>
      <c r="CZ47" s="53">
        <f t="shared" ca="1" si="83"/>
        <v>0</v>
      </c>
      <c r="DA47" s="58" t="e">
        <f t="shared" ca="1" si="84"/>
        <v>#DIV/0!</v>
      </c>
      <c r="DB47" s="48" t="e">
        <f t="shared" ca="1" si="85"/>
        <v>#DIV/0!</v>
      </c>
      <c r="DC47" s="48" t="e">
        <f t="shared" ca="1" si="86"/>
        <v>#DIV/0!</v>
      </c>
      <c r="DD47" s="48" t="e">
        <f t="shared" ca="1" si="87"/>
        <v>#DIV/0!</v>
      </c>
      <c r="DE47" s="48" t="e">
        <f t="shared" ca="1" si="88"/>
        <v>#DIV/0!</v>
      </c>
      <c r="DF47" s="48" t="e">
        <f t="shared" ca="1" si="89"/>
        <v>#DIV/0!</v>
      </c>
      <c r="DG47" s="48" t="e">
        <f t="shared" ca="1" si="90"/>
        <v>#DIV/0!</v>
      </c>
      <c r="DH47" s="48">
        <f ca="1">SUMIF(FCR!$BZ$4:$DB$500,DG47,FCR!$DE$4:$EG$500)</f>
        <v>0</v>
      </c>
      <c r="DI47" s="48" t="e">
        <f t="shared" ca="1" si="91"/>
        <v>#DIV/0!</v>
      </c>
      <c r="DJ47" s="48">
        <f ca="1">SUMIF(FCR!$BZ$4:$DB$142,DI47,FCR!$DE$4:$EG$142)</f>
        <v>0</v>
      </c>
      <c r="DK47" s="48" t="e">
        <f t="shared" ca="1" si="92"/>
        <v>#DIV/0!</v>
      </c>
      <c r="DL47" s="55" t="e">
        <f t="shared" ca="1" si="93"/>
        <v>#DIV/0!</v>
      </c>
      <c r="DM47" s="48" t="e">
        <f t="shared" ca="1" si="94"/>
        <v>#DIV/0!</v>
      </c>
      <c r="DN47" s="48">
        <f ca="1">SUMIF(FCR!$BZ$4:$DB$142,DM47,FCR!$DE$4:$EG$142)</f>
        <v>0</v>
      </c>
      <c r="DO47" s="53" t="e">
        <f t="shared" ca="1" si="95"/>
        <v>#DIV/0!</v>
      </c>
      <c r="DP47" s="55" t="e">
        <f t="shared" ca="1" si="96"/>
        <v>#DIV/0!</v>
      </c>
      <c r="DQ47" s="55" t="e">
        <f t="shared" ca="1" si="97"/>
        <v>#DIV/0!</v>
      </c>
      <c r="DR47" s="55"/>
      <c r="DS47" s="55" t="e">
        <f t="shared" ca="1" si="98"/>
        <v>#DIV/0!</v>
      </c>
      <c r="DT47" s="55" t="e">
        <f t="shared" ca="1" si="99"/>
        <v>#DIV/0!</v>
      </c>
      <c r="DU47" s="53">
        <f t="shared" ca="1" si="100"/>
        <v>0</v>
      </c>
      <c r="DV47" s="59" t="e">
        <f t="shared" ca="1" si="101"/>
        <v>#DIV/0!</v>
      </c>
    </row>
    <row r="48" spans="1:12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AD48" s="49" t="s">
        <v>337</v>
      </c>
      <c r="AE48" s="49">
        <f t="shared" ca="1" si="24"/>
        <v>0</v>
      </c>
      <c r="AF48" s="49">
        <f t="shared" ca="1" si="48"/>
        <v>0</v>
      </c>
      <c r="AG48" s="114">
        <f t="shared" ca="1" si="49"/>
        <v>0</v>
      </c>
      <c r="AH48" s="104">
        <f t="shared" ca="1" si="50"/>
        <v>0</v>
      </c>
      <c r="AI48" s="104">
        <f t="shared" ca="1" si="51"/>
        <v>0</v>
      </c>
      <c r="AJ48" s="104">
        <f t="shared" ca="1" si="52"/>
        <v>0</v>
      </c>
      <c r="AK48" s="104">
        <f t="shared" ca="1" si="53"/>
        <v>0</v>
      </c>
      <c r="AL48" s="104">
        <f t="shared" ca="1" si="54"/>
        <v>0</v>
      </c>
      <c r="AM48" s="104">
        <f t="shared" ca="1" si="55"/>
        <v>0</v>
      </c>
      <c r="AN48" s="104">
        <f t="shared" ca="1" si="56"/>
        <v>0</v>
      </c>
      <c r="AO48" s="104">
        <f t="shared" ca="1" si="57"/>
        <v>0</v>
      </c>
      <c r="AP48" s="104">
        <f t="shared" ca="1" si="58"/>
        <v>0</v>
      </c>
      <c r="AQ48" s="49">
        <f t="shared" ca="1" si="59"/>
        <v>0</v>
      </c>
      <c r="AR48" s="104">
        <f t="shared" ca="1" si="60"/>
        <v>0</v>
      </c>
      <c r="AS48" s="104">
        <f t="shared" ca="1" si="61"/>
        <v>0</v>
      </c>
      <c r="AT48" s="104">
        <f t="shared" ca="1" si="62"/>
        <v>0</v>
      </c>
      <c r="AU48" s="104">
        <f t="shared" ca="1" si="63"/>
        <v>0</v>
      </c>
      <c r="BF48" s="49">
        <f t="shared" ca="1" si="64"/>
        <v>0</v>
      </c>
      <c r="BG48" s="49">
        <f t="shared" ca="1" si="65"/>
        <v>0</v>
      </c>
      <c r="BH48" s="54" t="e">
        <f t="shared" ca="1" si="66"/>
        <v>#DIV/0!</v>
      </c>
      <c r="BI48" s="112" t="e">
        <f t="shared" ca="1" si="67"/>
        <v>#DIV/0!</v>
      </c>
      <c r="BK48" s="55" t="e">
        <f t="shared" ca="1" si="68"/>
        <v>#DIV/0!</v>
      </c>
      <c r="BL48" s="55" t="e">
        <f t="shared" ca="1" si="69"/>
        <v>#DIV/0!</v>
      </c>
      <c r="BM48" s="55" t="e">
        <f t="shared" ca="1" si="70"/>
        <v>#DIV/0!</v>
      </c>
      <c r="BN48" s="53">
        <f t="shared" ca="1" si="71"/>
        <v>0</v>
      </c>
      <c r="BO48" s="112" t="e">
        <f t="shared" ca="1" si="72"/>
        <v>#DIV/0!</v>
      </c>
      <c r="BR48" s="53" t="e">
        <f t="shared" ca="1" si="73"/>
        <v>#DIV/0!</v>
      </c>
      <c r="BS48" s="53">
        <f t="shared" ca="1" si="74"/>
        <v>0</v>
      </c>
      <c r="BT48" s="53">
        <f t="shared" ca="1" si="75"/>
        <v>0</v>
      </c>
      <c r="BU48" s="56" t="e">
        <f t="shared" ca="1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ca="1" si="79"/>
        <v>0</v>
      </c>
      <c r="CW48" s="53">
        <f t="shared" ca="1" si="80"/>
        <v>0</v>
      </c>
      <c r="CX48" s="58" t="e">
        <f t="shared" ca="1" si="81"/>
        <v>#DIV/0!</v>
      </c>
      <c r="CY48" s="53">
        <f t="shared" ca="1" si="82"/>
        <v>0</v>
      </c>
      <c r="CZ48" s="53">
        <f t="shared" ca="1" si="83"/>
        <v>0</v>
      </c>
      <c r="DA48" s="58" t="e">
        <f t="shared" ca="1" si="84"/>
        <v>#DIV/0!</v>
      </c>
      <c r="DB48" s="48" t="e">
        <f t="shared" ca="1" si="85"/>
        <v>#DIV/0!</v>
      </c>
      <c r="DC48" s="48" t="e">
        <f t="shared" ca="1" si="86"/>
        <v>#DIV/0!</v>
      </c>
      <c r="DD48" s="48" t="e">
        <f t="shared" ca="1" si="87"/>
        <v>#DIV/0!</v>
      </c>
      <c r="DE48" s="48" t="e">
        <f t="shared" ca="1" si="88"/>
        <v>#DIV/0!</v>
      </c>
      <c r="DF48" s="48" t="e">
        <f t="shared" ca="1" si="89"/>
        <v>#DIV/0!</v>
      </c>
      <c r="DG48" s="48" t="e">
        <f t="shared" ca="1" si="90"/>
        <v>#DIV/0!</v>
      </c>
      <c r="DH48" s="48">
        <f ca="1">SUMIF(FCR!$BZ$4:$DB$500,DG48,FCR!$DE$4:$EG$500)</f>
        <v>0</v>
      </c>
      <c r="DI48" s="48" t="e">
        <f t="shared" ca="1" si="91"/>
        <v>#DIV/0!</v>
      </c>
      <c r="DJ48" s="48">
        <f ca="1">SUMIF(FCR!$BZ$4:$DB$142,DI48,FCR!$DE$4:$EG$142)</f>
        <v>0</v>
      </c>
      <c r="DK48" s="48" t="e">
        <f t="shared" ca="1" si="92"/>
        <v>#DIV/0!</v>
      </c>
      <c r="DL48" s="55" t="e">
        <f t="shared" ca="1" si="93"/>
        <v>#DIV/0!</v>
      </c>
      <c r="DM48" s="48" t="e">
        <f t="shared" ca="1" si="94"/>
        <v>#DIV/0!</v>
      </c>
      <c r="DN48" s="48">
        <f ca="1">SUMIF(FCR!$BZ$4:$DB$142,DM48,FCR!$DE$4:$EG$142)</f>
        <v>0</v>
      </c>
      <c r="DO48" s="53" t="e">
        <f t="shared" ca="1" si="95"/>
        <v>#DIV/0!</v>
      </c>
      <c r="DP48" s="55" t="e">
        <f t="shared" ca="1" si="96"/>
        <v>#DIV/0!</v>
      </c>
      <c r="DQ48" s="55" t="e">
        <f t="shared" ca="1" si="97"/>
        <v>#DIV/0!</v>
      </c>
      <c r="DR48" s="55"/>
      <c r="DS48" s="55" t="e">
        <f t="shared" ca="1" si="98"/>
        <v>#DIV/0!</v>
      </c>
      <c r="DT48" s="55" t="e">
        <f t="shared" ca="1" si="99"/>
        <v>#DIV/0!</v>
      </c>
      <c r="DU48" s="53">
        <f t="shared" ca="1" si="100"/>
        <v>0</v>
      </c>
      <c r="DV48" s="59" t="e">
        <f t="shared" ca="1" si="101"/>
        <v>#DIV/0!</v>
      </c>
    </row>
    <row r="49" spans="1:12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AD49" s="49" t="s">
        <v>337</v>
      </c>
      <c r="AE49" s="49">
        <f t="shared" ca="1" si="24"/>
        <v>0</v>
      </c>
      <c r="AF49" s="49">
        <f t="shared" ca="1" si="48"/>
        <v>0</v>
      </c>
      <c r="AG49" s="114">
        <f t="shared" ca="1" si="49"/>
        <v>0</v>
      </c>
      <c r="AH49" s="104">
        <f t="shared" ca="1" si="50"/>
        <v>0</v>
      </c>
      <c r="AI49" s="104">
        <f t="shared" ca="1" si="51"/>
        <v>0</v>
      </c>
      <c r="AJ49" s="104">
        <f t="shared" ca="1" si="52"/>
        <v>0</v>
      </c>
      <c r="AK49" s="104">
        <f t="shared" ca="1" si="53"/>
        <v>0</v>
      </c>
      <c r="AL49" s="104">
        <f t="shared" ca="1" si="54"/>
        <v>0</v>
      </c>
      <c r="AM49" s="104">
        <f t="shared" ca="1" si="55"/>
        <v>0</v>
      </c>
      <c r="AN49" s="104">
        <f t="shared" ca="1" si="56"/>
        <v>0</v>
      </c>
      <c r="AO49" s="104">
        <f t="shared" ca="1" si="57"/>
        <v>0</v>
      </c>
      <c r="AP49" s="104">
        <f t="shared" ca="1" si="58"/>
        <v>0</v>
      </c>
      <c r="AQ49" s="49">
        <f t="shared" ca="1" si="59"/>
        <v>0</v>
      </c>
      <c r="AR49" s="104">
        <f t="shared" ca="1" si="60"/>
        <v>0</v>
      </c>
      <c r="AS49" s="104">
        <f t="shared" ca="1" si="61"/>
        <v>0</v>
      </c>
      <c r="AT49" s="104">
        <f t="shared" ca="1" si="62"/>
        <v>0</v>
      </c>
      <c r="AU49" s="104">
        <f t="shared" ca="1" si="63"/>
        <v>0</v>
      </c>
      <c r="BF49" s="49">
        <f t="shared" ca="1" si="64"/>
        <v>0</v>
      </c>
      <c r="BG49" s="49">
        <f t="shared" ca="1" si="65"/>
        <v>0</v>
      </c>
      <c r="BH49" s="54" t="e">
        <f t="shared" ca="1" si="66"/>
        <v>#DIV/0!</v>
      </c>
      <c r="BI49" s="112" t="e">
        <f t="shared" ca="1" si="67"/>
        <v>#DIV/0!</v>
      </c>
      <c r="BK49" s="55" t="e">
        <f t="shared" ca="1" si="68"/>
        <v>#DIV/0!</v>
      </c>
      <c r="BL49" s="55" t="e">
        <f t="shared" ca="1" si="69"/>
        <v>#DIV/0!</v>
      </c>
      <c r="BM49" s="55" t="e">
        <f t="shared" ca="1" si="70"/>
        <v>#DIV/0!</v>
      </c>
      <c r="BN49" s="53">
        <f t="shared" ca="1" si="71"/>
        <v>0</v>
      </c>
      <c r="BO49" s="112" t="e">
        <f t="shared" ca="1" si="72"/>
        <v>#DIV/0!</v>
      </c>
      <c r="BR49" s="53" t="e">
        <f t="shared" ca="1" si="73"/>
        <v>#DIV/0!</v>
      </c>
      <c r="BS49" s="53">
        <f t="shared" ca="1" si="74"/>
        <v>0</v>
      </c>
      <c r="BT49" s="53">
        <f t="shared" ca="1" si="75"/>
        <v>0</v>
      </c>
      <c r="BU49" s="56" t="e">
        <f t="shared" ca="1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ca="1" si="79"/>
        <v>0</v>
      </c>
      <c r="CW49" s="53">
        <f t="shared" ca="1" si="80"/>
        <v>0</v>
      </c>
      <c r="CX49" s="58" t="e">
        <f t="shared" ca="1" si="81"/>
        <v>#DIV/0!</v>
      </c>
      <c r="CY49" s="53">
        <f t="shared" ca="1" si="82"/>
        <v>0</v>
      </c>
      <c r="CZ49" s="53">
        <f t="shared" ca="1" si="83"/>
        <v>0</v>
      </c>
      <c r="DA49" s="58" t="e">
        <f t="shared" ca="1" si="84"/>
        <v>#DIV/0!</v>
      </c>
      <c r="DB49" s="48" t="e">
        <f t="shared" ca="1" si="85"/>
        <v>#DIV/0!</v>
      </c>
      <c r="DC49" s="48" t="e">
        <f t="shared" ca="1" si="86"/>
        <v>#DIV/0!</v>
      </c>
      <c r="DD49" s="48" t="e">
        <f t="shared" ca="1" si="87"/>
        <v>#DIV/0!</v>
      </c>
      <c r="DE49" s="48" t="e">
        <f t="shared" ca="1" si="88"/>
        <v>#DIV/0!</v>
      </c>
      <c r="DF49" s="48" t="e">
        <f t="shared" ca="1" si="89"/>
        <v>#DIV/0!</v>
      </c>
      <c r="DG49" s="48" t="e">
        <f t="shared" ca="1" si="90"/>
        <v>#DIV/0!</v>
      </c>
      <c r="DH49" s="48">
        <f ca="1">SUMIF(FCR!$BZ$4:$DB$500,DG49,FCR!$DE$4:$EG$500)</f>
        <v>0</v>
      </c>
      <c r="DI49" s="48" t="e">
        <f t="shared" ca="1" si="91"/>
        <v>#DIV/0!</v>
      </c>
      <c r="DJ49" s="48">
        <f ca="1">SUMIF(FCR!$BZ$4:$DB$142,DI49,FCR!$DE$4:$EG$142)</f>
        <v>0</v>
      </c>
      <c r="DK49" s="48" t="e">
        <f t="shared" ca="1" si="92"/>
        <v>#DIV/0!</v>
      </c>
      <c r="DL49" s="55" t="e">
        <f t="shared" ca="1" si="93"/>
        <v>#DIV/0!</v>
      </c>
      <c r="DM49" s="48" t="e">
        <f t="shared" ca="1" si="94"/>
        <v>#DIV/0!</v>
      </c>
      <c r="DN49" s="48">
        <f ca="1">SUMIF(FCR!$BZ$4:$DB$142,DM49,FCR!$DE$4:$EG$142)</f>
        <v>0</v>
      </c>
      <c r="DO49" s="53" t="e">
        <f t="shared" ca="1" si="95"/>
        <v>#DIV/0!</v>
      </c>
      <c r="DP49" s="55" t="e">
        <f t="shared" ca="1" si="96"/>
        <v>#DIV/0!</v>
      </c>
      <c r="DQ49" s="55" t="e">
        <f t="shared" ca="1" si="97"/>
        <v>#DIV/0!</v>
      </c>
      <c r="DR49" s="55"/>
      <c r="DS49" s="55" t="e">
        <f t="shared" ca="1" si="98"/>
        <v>#DIV/0!</v>
      </c>
      <c r="DT49" s="55" t="e">
        <f t="shared" ca="1" si="99"/>
        <v>#DIV/0!</v>
      </c>
      <c r="DU49" s="53">
        <f t="shared" ca="1" si="100"/>
        <v>0</v>
      </c>
      <c r="DV49" s="59" t="e">
        <f t="shared" ca="1" si="101"/>
        <v>#DIV/0!</v>
      </c>
    </row>
    <row r="50" spans="1:12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AD50" s="49" t="s">
        <v>337</v>
      </c>
      <c r="AE50" s="49">
        <f t="shared" ca="1" si="24"/>
        <v>0</v>
      </c>
      <c r="AF50" s="49">
        <f t="shared" ca="1" si="48"/>
        <v>0</v>
      </c>
      <c r="AG50" s="114">
        <f t="shared" ca="1" si="49"/>
        <v>0</v>
      </c>
      <c r="AH50" s="104">
        <f t="shared" ca="1" si="50"/>
        <v>0</v>
      </c>
      <c r="AI50" s="104">
        <f t="shared" ca="1" si="51"/>
        <v>0</v>
      </c>
      <c r="AJ50" s="104">
        <f t="shared" ca="1" si="52"/>
        <v>0</v>
      </c>
      <c r="AK50" s="104">
        <f t="shared" ca="1" si="53"/>
        <v>0</v>
      </c>
      <c r="AL50" s="104">
        <f t="shared" ca="1" si="54"/>
        <v>0</v>
      </c>
      <c r="AM50" s="104">
        <f t="shared" ca="1" si="55"/>
        <v>0</v>
      </c>
      <c r="AN50" s="104">
        <f t="shared" ca="1" si="56"/>
        <v>0</v>
      </c>
      <c r="AO50" s="104">
        <f t="shared" ca="1" si="57"/>
        <v>0</v>
      </c>
      <c r="AP50" s="104">
        <f t="shared" ca="1" si="58"/>
        <v>0</v>
      </c>
      <c r="AQ50" s="49">
        <f t="shared" ca="1" si="59"/>
        <v>0</v>
      </c>
      <c r="AR50" s="104">
        <f t="shared" ca="1" si="60"/>
        <v>0</v>
      </c>
      <c r="AS50" s="104">
        <f t="shared" ca="1" si="61"/>
        <v>0</v>
      </c>
      <c r="AT50" s="104">
        <f t="shared" ca="1" si="62"/>
        <v>0</v>
      </c>
      <c r="AU50" s="104">
        <f t="shared" ca="1" si="63"/>
        <v>0</v>
      </c>
      <c r="BF50" s="49">
        <f t="shared" ca="1" si="64"/>
        <v>0</v>
      </c>
      <c r="BG50" s="49">
        <f t="shared" ca="1" si="65"/>
        <v>0</v>
      </c>
      <c r="BH50" s="54" t="e">
        <f t="shared" ca="1" si="66"/>
        <v>#DIV/0!</v>
      </c>
      <c r="BI50" s="112" t="e">
        <f t="shared" ca="1" si="67"/>
        <v>#DIV/0!</v>
      </c>
      <c r="BK50" s="55" t="e">
        <f t="shared" ca="1" si="68"/>
        <v>#DIV/0!</v>
      </c>
      <c r="BL50" s="55" t="e">
        <f t="shared" ca="1" si="69"/>
        <v>#DIV/0!</v>
      </c>
      <c r="BM50" s="55" t="e">
        <f t="shared" ca="1" si="70"/>
        <v>#DIV/0!</v>
      </c>
      <c r="BN50" s="53">
        <f t="shared" ca="1" si="71"/>
        <v>0</v>
      </c>
      <c r="BO50" s="112" t="e">
        <f t="shared" ca="1" si="72"/>
        <v>#DIV/0!</v>
      </c>
      <c r="BR50" s="53" t="e">
        <f t="shared" ca="1" si="73"/>
        <v>#DIV/0!</v>
      </c>
      <c r="BS50" s="53">
        <f t="shared" ca="1" si="74"/>
        <v>0</v>
      </c>
      <c r="BT50" s="53">
        <f t="shared" ca="1" si="75"/>
        <v>0</v>
      </c>
      <c r="BU50" s="56" t="e">
        <f t="shared" ca="1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ca="1" si="79"/>
        <v>0</v>
      </c>
      <c r="CW50" s="53">
        <f t="shared" ca="1" si="80"/>
        <v>0</v>
      </c>
      <c r="CX50" s="58" t="e">
        <f t="shared" ca="1" si="81"/>
        <v>#DIV/0!</v>
      </c>
      <c r="CY50" s="53">
        <f t="shared" ca="1" si="82"/>
        <v>0</v>
      </c>
      <c r="CZ50" s="53">
        <f t="shared" ca="1" si="83"/>
        <v>0</v>
      </c>
      <c r="DA50" s="58" t="e">
        <f t="shared" ca="1" si="84"/>
        <v>#DIV/0!</v>
      </c>
      <c r="DB50" s="48" t="e">
        <f t="shared" ca="1" si="85"/>
        <v>#DIV/0!</v>
      </c>
      <c r="DC50" s="48" t="e">
        <f t="shared" ca="1" si="86"/>
        <v>#DIV/0!</v>
      </c>
      <c r="DD50" s="48" t="e">
        <f t="shared" ca="1" si="87"/>
        <v>#DIV/0!</v>
      </c>
      <c r="DE50" s="48" t="e">
        <f t="shared" ca="1" si="88"/>
        <v>#DIV/0!</v>
      </c>
      <c r="DF50" s="48" t="e">
        <f t="shared" ca="1" si="89"/>
        <v>#DIV/0!</v>
      </c>
      <c r="DG50" s="48" t="e">
        <f t="shared" ca="1" si="90"/>
        <v>#DIV/0!</v>
      </c>
      <c r="DH50" s="48">
        <f ca="1">SUMIF(FCR!$BZ$4:$DB$500,DG50,FCR!$DE$4:$EG$500)</f>
        <v>0</v>
      </c>
      <c r="DI50" s="48" t="e">
        <f t="shared" ca="1" si="91"/>
        <v>#DIV/0!</v>
      </c>
      <c r="DJ50" s="48">
        <f ca="1">SUMIF(FCR!$BZ$4:$DB$142,DI50,FCR!$DE$4:$EG$142)</f>
        <v>0</v>
      </c>
      <c r="DK50" s="48" t="e">
        <f t="shared" ca="1" si="92"/>
        <v>#DIV/0!</v>
      </c>
      <c r="DL50" s="55" t="e">
        <f t="shared" ca="1" si="93"/>
        <v>#DIV/0!</v>
      </c>
      <c r="DM50" s="48" t="e">
        <f t="shared" ca="1" si="94"/>
        <v>#DIV/0!</v>
      </c>
      <c r="DN50" s="48">
        <f ca="1">SUMIF(FCR!$BZ$4:$DB$142,DM50,FCR!$DE$4:$EG$142)</f>
        <v>0</v>
      </c>
      <c r="DO50" s="53" t="e">
        <f t="shared" ca="1" si="95"/>
        <v>#DIV/0!</v>
      </c>
      <c r="DP50" s="55" t="e">
        <f t="shared" ca="1" si="96"/>
        <v>#DIV/0!</v>
      </c>
      <c r="DQ50" s="55" t="e">
        <f t="shared" ca="1" si="97"/>
        <v>#DIV/0!</v>
      </c>
      <c r="DR50" s="55"/>
      <c r="DS50" s="55" t="e">
        <f t="shared" ca="1" si="98"/>
        <v>#DIV/0!</v>
      </c>
      <c r="DT50" s="55" t="e">
        <f t="shared" ca="1" si="99"/>
        <v>#DIV/0!</v>
      </c>
      <c r="DU50" s="53">
        <f t="shared" ca="1" si="100"/>
        <v>0</v>
      </c>
      <c r="DV50" s="59" t="e">
        <f t="shared" ca="1" si="101"/>
        <v>#DIV/0!</v>
      </c>
    </row>
    <row r="51" spans="1:12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D51" s="49" t="s">
        <v>337</v>
      </c>
      <c r="AE51" s="49">
        <f t="shared" ca="1" si="24"/>
        <v>0</v>
      </c>
      <c r="AF51" s="49">
        <f t="shared" ca="1" si="48"/>
        <v>0</v>
      </c>
      <c r="AG51" s="114">
        <f t="shared" ca="1" si="49"/>
        <v>0</v>
      </c>
      <c r="AH51" s="104">
        <f t="shared" ca="1" si="50"/>
        <v>0</v>
      </c>
      <c r="AI51" s="104">
        <f t="shared" ca="1" si="51"/>
        <v>0</v>
      </c>
      <c r="AJ51" s="104">
        <f t="shared" ca="1" si="52"/>
        <v>0</v>
      </c>
      <c r="AK51" s="104">
        <f t="shared" ca="1" si="53"/>
        <v>0</v>
      </c>
      <c r="AL51" s="104">
        <f t="shared" ca="1" si="54"/>
        <v>0</v>
      </c>
      <c r="AM51" s="104">
        <f t="shared" ca="1" si="55"/>
        <v>0</v>
      </c>
      <c r="AN51" s="104">
        <f t="shared" ca="1" si="56"/>
        <v>0</v>
      </c>
      <c r="AO51" s="104">
        <f t="shared" ca="1" si="57"/>
        <v>0</v>
      </c>
      <c r="AP51" s="104">
        <f t="shared" ca="1" si="58"/>
        <v>0</v>
      </c>
      <c r="AQ51" s="49">
        <f t="shared" ca="1" si="59"/>
        <v>0</v>
      </c>
      <c r="AR51" s="104">
        <f t="shared" ca="1" si="60"/>
        <v>0</v>
      </c>
      <c r="AS51" s="104">
        <f t="shared" ca="1" si="61"/>
        <v>0</v>
      </c>
      <c r="AT51" s="104">
        <f t="shared" ca="1" si="62"/>
        <v>0</v>
      </c>
      <c r="AU51" s="104">
        <f t="shared" ca="1" si="63"/>
        <v>0</v>
      </c>
      <c r="BF51" s="49">
        <f t="shared" ca="1" si="64"/>
        <v>0</v>
      </c>
      <c r="BG51" s="49">
        <f t="shared" ca="1" si="65"/>
        <v>0</v>
      </c>
      <c r="BH51" s="54" t="e">
        <f t="shared" ca="1" si="66"/>
        <v>#DIV/0!</v>
      </c>
      <c r="BI51" s="112" t="e">
        <f t="shared" ca="1" si="67"/>
        <v>#DIV/0!</v>
      </c>
      <c r="BK51" s="55" t="e">
        <f t="shared" ca="1" si="68"/>
        <v>#DIV/0!</v>
      </c>
      <c r="BL51" s="55" t="e">
        <f t="shared" ca="1" si="69"/>
        <v>#DIV/0!</v>
      </c>
      <c r="BM51" s="55" t="e">
        <f t="shared" ca="1" si="70"/>
        <v>#DIV/0!</v>
      </c>
      <c r="BN51" s="53">
        <f t="shared" ca="1" si="71"/>
        <v>0</v>
      </c>
      <c r="BO51" s="112" t="e">
        <f t="shared" ca="1" si="72"/>
        <v>#DIV/0!</v>
      </c>
      <c r="BR51" s="53" t="e">
        <f t="shared" ca="1" si="73"/>
        <v>#DIV/0!</v>
      </c>
      <c r="BS51" s="53">
        <f t="shared" ca="1" si="74"/>
        <v>0</v>
      </c>
      <c r="BT51" s="53">
        <f t="shared" ca="1" si="75"/>
        <v>0</v>
      </c>
      <c r="BU51" s="56" t="e">
        <f t="shared" ca="1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ca="1" si="79"/>
        <v>0</v>
      </c>
      <c r="CW51" s="53">
        <f t="shared" ca="1" si="80"/>
        <v>0</v>
      </c>
      <c r="CX51" s="58" t="e">
        <f t="shared" ca="1" si="81"/>
        <v>#DIV/0!</v>
      </c>
      <c r="CY51" s="53">
        <f t="shared" ca="1" si="82"/>
        <v>0</v>
      </c>
      <c r="CZ51" s="53">
        <f t="shared" ca="1" si="83"/>
        <v>0</v>
      </c>
      <c r="DA51" s="58" t="e">
        <f t="shared" ca="1" si="84"/>
        <v>#DIV/0!</v>
      </c>
      <c r="DB51" s="48" t="e">
        <f t="shared" ca="1" si="85"/>
        <v>#DIV/0!</v>
      </c>
      <c r="DC51" s="48" t="e">
        <f t="shared" ca="1" si="86"/>
        <v>#DIV/0!</v>
      </c>
      <c r="DD51" s="48" t="e">
        <f t="shared" ca="1" si="87"/>
        <v>#DIV/0!</v>
      </c>
      <c r="DE51" s="48" t="e">
        <f t="shared" ca="1" si="88"/>
        <v>#DIV/0!</v>
      </c>
      <c r="DF51" s="48" t="e">
        <f t="shared" ca="1" si="89"/>
        <v>#DIV/0!</v>
      </c>
      <c r="DG51" s="48" t="e">
        <f t="shared" ca="1" si="90"/>
        <v>#DIV/0!</v>
      </c>
      <c r="DH51" s="48">
        <f ca="1">SUMIF(FCR!$BZ$4:$DB$500,DG51,FCR!$DE$4:$EG$500)</f>
        <v>0</v>
      </c>
      <c r="DI51" s="48" t="e">
        <f t="shared" ca="1" si="91"/>
        <v>#DIV/0!</v>
      </c>
      <c r="DJ51" s="48">
        <f ca="1">SUMIF(FCR!$BZ$4:$DB$142,DI51,FCR!$DE$4:$EG$142)</f>
        <v>0</v>
      </c>
      <c r="DK51" s="48" t="e">
        <f t="shared" ca="1" si="92"/>
        <v>#DIV/0!</v>
      </c>
      <c r="DL51" s="55" t="e">
        <f t="shared" ca="1" si="93"/>
        <v>#DIV/0!</v>
      </c>
      <c r="DM51" s="48" t="e">
        <f t="shared" ca="1" si="94"/>
        <v>#DIV/0!</v>
      </c>
      <c r="DN51" s="48">
        <f ca="1">SUMIF(FCR!$BZ$4:$DB$142,DM51,FCR!$DE$4:$EG$142)</f>
        <v>0</v>
      </c>
      <c r="DO51" s="53" t="e">
        <f t="shared" ca="1" si="95"/>
        <v>#DIV/0!</v>
      </c>
      <c r="DP51" s="55" t="e">
        <f t="shared" ca="1" si="96"/>
        <v>#DIV/0!</v>
      </c>
      <c r="DQ51" s="55" t="e">
        <f t="shared" ca="1" si="97"/>
        <v>#DIV/0!</v>
      </c>
      <c r="DR51" s="55"/>
      <c r="DS51" s="55" t="e">
        <f t="shared" ca="1" si="98"/>
        <v>#DIV/0!</v>
      </c>
      <c r="DT51" s="55" t="e">
        <f t="shared" ca="1" si="99"/>
        <v>#DIV/0!</v>
      </c>
      <c r="DU51" s="53">
        <f t="shared" ca="1" si="100"/>
        <v>0</v>
      </c>
      <c r="DV51" s="59" t="e">
        <f t="shared" ca="1" si="101"/>
        <v>#DIV/0!</v>
      </c>
    </row>
    <row r="52" spans="1:12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AD52" s="49" t="s">
        <v>337</v>
      </c>
      <c r="AE52" s="49">
        <f t="shared" ca="1" si="24"/>
        <v>0</v>
      </c>
      <c r="AF52" s="49">
        <f t="shared" ca="1" si="48"/>
        <v>0</v>
      </c>
      <c r="AG52" s="114">
        <f t="shared" ca="1" si="49"/>
        <v>0</v>
      </c>
      <c r="AH52" s="104">
        <f t="shared" ca="1" si="50"/>
        <v>0</v>
      </c>
      <c r="AI52" s="104">
        <f t="shared" ca="1" si="51"/>
        <v>0</v>
      </c>
      <c r="AJ52" s="104">
        <f t="shared" ca="1" si="52"/>
        <v>0</v>
      </c>
      <c r="AK52" s="104">
        <f t="shared" ca="1" si="53"/>
        <v>0</v>
      </c>
      <c r="AL52" s="104">
        <f t="shared" ca="1" si="54"/>
        <v>0</v>
      </c>
      <c r="AM52" s="104">
        <f t="shared" ca="1" si="55"/>
        <v>0</v>
      </c>
      <c r="AN52" s="104">
        <f t="shared" ca="1" si="56"/>
        <v>0</v>
      </c>
      <c r="AO52" s="104">
        <f t="shared" ca="1" si="57"/>
        <v>0</v>
      </c>
      <c r="AP52" s="104">
        <f t="shared" ca="1" si="58"/>
        <v>0</v>
      </c>
      <c r="AQ52" s="49">
        <f t="shared" ca="1" si="59"/>
        <v>0</v>
      </c>
      <c r="AR52" s="104">
        <f t="shared" ca="1" si="60"/>
        <v>0</v>
      </c>
      <c r="AS52" s="104">
        <f t="shared" ca="1" si="61"/>
        <v>0</v>
      </c>
      <c r="AT52" s="104">
        <f t="shared" ca="1" si="62"/>
        <v>0</v>
      </c>
      <c r="AU52" s="104">
        <f t="shared" ca="1" si="63"/>
        <v>0</v>
      </c>
      <c r="BF52" s="49">
        <f t="shared" ca="1" si="64"/>
        <v>0</v>
      </c>
      <c r="BG52" s="49">
        <f t="shared" ca="1" si="65"/>
        <v>0</v>
      </c>
      <c r="BH52" s="54" t="e">
        <f t="shared" ca="1" si="66"/>
        <v>#DIV/0!</v>
      </c>
      <c r="BI52" s="112" t="e">
        <f t="shared" ca="1" si="67"/>
        <v>#DIV/0!</v>
      </c>
      <c r="BK52" s="55" t="e">
        <f t="shared" ca="1" si="68"/>
        <v>#DIV/0!</v>
      </c>
      <c r="BL52" s="55" t="e">
        <f t="shared" ca="1" si="69"/>
        <v>#DIV/0!</v>
      </c>
      <c r="BM52" s="55" t="e">
        <f t="shared" ca="1" si="70"/>
        <v>#DIV/0!</v>
      </c>
      <c r="BN52" s="53">
        <f t="shared" ca="1" si="71"/>
        <v>0</v>
      </c>
      <c r="BO52" s="112" t="e">
        <f t="shared" ca="1" si="72"/>
        <v>#DIV/0!</v>
      </c>
      <c r="BR52" s="53" t="e">
        <f t="shared" ca="1" si="73"/>
        <v>#DIV/0!</v>
      </c>
      <c r="BS52" s="53">
        <f t="shared" ca="1" si="74"/>
        <v>0</v>
      </c>
      <c r="BT52" s="53">
        <f t="shared" ca="1" si="75"/>
        <v>0</v>
      </c>
      <c r="BU52" s="56" t="e">
        <f t="shared" ca="1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ca="1" si="79"/>
        <v>0</v>
      </c>
      <c r="CW52" s="53">
        <f t="shared" ca="1" si="80"/>
        <v>0</v>
      </c>
      <c r="CX52" s="58" t="e">
        <f t="shared" ca="1" si="81"/>
        <v>#DIV/0!</v>
      </c>
      <c r="CY52" s="53">
        <f t="shared" ca="1" si="82"/>
        <v>0</v>
      </c>
      <c r="CZ52" s="53">
        <f t="shared" ca="1" si="83"/>
        <v>0</v>
      </c>
      <c r="DA52" s="58" t="e">
        <f t="shared" ca="1" si="84"/>
        <v>#DIV/0!</v>
      </c>
      <c r="DB52" s="48" t="e">
        <f t="shared" ca="1" si="85"/>
        <v>#DIV/0!</v>
      </c>
      <c r="DC52" s="48" t="e">
        <f t="shared" ca="1" si="86"/>
        <v>#DIV/0!</v>
      </c>
      <c r="DD52" s="48" t="e">
        <f t="shared" ca="1" si="87"/>
        <v>#DIV/0!</v>
      </c>
      <c r="DE52" s="48" t="e">
        <f t="shared" ca="1" si="88"/>
        <v>#DIV/0!</v>
      </c>
      <c r="DF52" s="48" t="e">
        <f t="shared" ca="1" si="89"/>
        <v>#DIV/0!</v>
      </c>
      <c r="DG52" s="48" t="e">
        <f t="shared" ca="1" si="90"/>
        <v>#DIV/0!</v>
      </c>
      <c r="DH52" s="48">
        <f ca="1">SUMIF(FCR!$BZ$4:$DB$500,DG52,FCR!$DE$4:$EG$500)</f>
        <v>0</v>
      </c>
      <c r="DI52" s="48" t="e">
        <f t="shared" ca="1" si="91"/>
        <v>#DIV/0!</v>
      </c>
      <c r="DJ52" s="48">
        <f ca="1">SUMIF(FCR!$BZ$4:$DB$142,DI52,FCR!$DE$4:$EG$142)</f>
        <v>0</v>
      </c>
      <c r="DK52" s="48" t="e">
        <f t="shared" ca="1" si="92"/>
        <v>#DIV/0!</v>
      </c>
      <c r="DL52" s="55" t="e">
        <f t="shared" ca="1" si="93"/>
        <v>#DIV/0!</v>
      </c>
      <c r="DM52" s="48" t="e">
        <f t="shared" ca="1" si="94"/>
        <v>#DIV/0!</v>
      </c>
      <c r="DN52" s="48">
        <f ca="1">SUMIF(FCR!$BZ$4:$DB$142,DM52,FCR!$DE$4:$EG$142)</f>
        <v>0</v>
      </c>
      <c r="DO52" s="53" t="e">
        <f t="shared" ca="1" si="95"/>
        <v>#DIV/0!</v>
      </c>
      <c r="DP52" s="55" t="e">
        <f t="shared" ca="1" si="96"/>
        <v>#DIV/0!</v>
      </c>
      <c r="DQ52" s="55" t="e">
        <f t="shared" ca="1" si="97"/>
        <v>#DIV/0!</v>
      </c>
      <c r="DR52" s="55"/>
      <c r="DS52" s="55" t="e">
        <f t="shared" ca="1" si="98"/>
        <v>#DIV/0!</v>
      </c>
      <c r="DT52" s="55" t="e">
        <f t="shared" ca="1" si="99"/>
        <v>#DIV/0!</v>
      </c>
      <c r="DU52" s="53">
        <f t="shared" ca="1" si="100"/>
        <v>0</v>
      </c>
      <c r="DV52" s="59" t="e">
        <f t="shared" ca="1" si="101"/>
        <v>#DIV/0!</v>
      </c>
    </row>
    <row r="53" spans="1:12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AD53" s="49" t="s">
        <v>337</v>
      </c>
      <c r="AE53" s="49">
        <f t="shared" ca="1" si="24"/>
        <v>0</v>
      </c>
      <c r="AF53" s="49">
        <f t="shared" ca="1" si="48"/>
        <v>0</v>
      </c>
      <c r="AG53" s="114">
        <f t="shared" ca="1" si="49"/>
        <v>0</v>
      </c>
      <c r="AH53" s="104">
        <f t="shared" ca="1" si="50"/>
        <v>0</v>
      </c>
      <c r="AI53" s="104">
        <f t="shared" ca="1" si="51"/>
        <v>0</v>
      </c>
      <c r="AJ53" s="104">
        <f t="shared" ca="1" si="52"/>
        <v>0</v>
      </c>
      <c r="AK53" s="104">
        <f t="shared" ca="1" si="53"/>
        <v>0</v>
      </c>
      <c r="AL53" s="104">
        <f t="shared" ca="1" si="54"/>
        <v>0</v>
      </c>
      <c r="AM53" s="104">
        <f t="shared" ca="1" si="55"/>
        <v>0</v>
      </c>
      <c r="AN53" s="104">
        <f t="shared" ca="1" si="56"/>
        <v>0</v>
      </c>
      <c r="AO53" s="104">
        <f t="shared" ca="1" si="57"/>
        <v>0</v>
      </c>
      <c r="AP53" s="104">
        <f t="shared" ca="1" si="58"/>
        <v>0</v>
      </c>
      <c r="AQ53" s="49">
        <f t="shared" ca="1" si="59"/>
        <v>0</v>
      </c>
      <c r="AR53" s="104">
        <f t="shared" ca="1" si="60"/>
        <v>0</v>
      </c>
      <c r="AS53" s="104">
        <f t="shared" ca="1" si="61"/>
        <v>0</v>
      </c>
      <c r="AT53" s="104">
        <f t="shared" ca="1" si="62"/>
        <v>0</v>
      </c>
      <c r="AU53" s="104">
        <f t="shared" ca="1" si="63"/>
        <v>0</v>
      </c>
      <c r="BF53" s="49">
        <f t="shared" ca="1" si="64"/>
        <v>0</v>
      </c>
      <c r="BG53" s="49">
        <f t="shared" ca="1" si="65"/>
        <v>0</v>
      </c>
      <c r="BH53" s="54" t="e">
        <f t="shared" ca="1" si="66"/>
        <v>#DIV/0!</v>
      </c>
      <c r="BI53" s="112" t="e">
        <f t="shared" ca="1" si="67"/>
        <v>#DIV/0!</v>
      </c>
      <c r="BK53" s="55" t="e">
        <f t="shared" ca="1" si="68"/>
        <v>#DIV/0!</v>
      </c>
      <c r="BL53" s="55" t="e">
        <f t="shared" ca="1" si="69"/>
        <v>#DIV/0!</v>
      </c>
      <c r="BM53" s="55" t="e">
        <f t="shared" ca="1" si="70"/>
        <v>#DIV/0!</v>
      </c>
      <c r="BN53" s="53">
        <f t="shared" ca="1" si="71"/>
        <v>0</v>
      </c>
      <c r="BO53" s="112" t="e">
        <f t="shared" ca="1" si="72"/>
        <v>#DIV/0!</v>
      </c>
      <c r="BR53" s="53" t="e">
        <f t="shared" ca="1" si="73"/>
        <v>#DIV/0!</v>
      </c>
      <c r="BS53" s="53">
        <f t="shared" ca="1" si="74"/>
        <v>0</v>
      </c>
      <c r="BT53" s="53">
        <f t="shared" ca="1" si="75"/>
        <v>0</v>
      </c>
      <c r="BU53" s="56" t="e">
        <f t="shared" ca="1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ca="1" si="79"/>
        <v>0</v>
      </c>
      <c r="CW53" s="53">
        <f t="shared" ca="1" si="80"/>
        <v>0</v>
      </c>
      <c r="CX53" s="58" t="e">
        <f t="shared" ca="1" si="81"/>
        <v>#DIV/0!</v>
      </c>
      <c r="CY53" s="53">
        <f t="shared" ca="1" si="82"/>
        <v>0</v>
      </c>
      <c r="CZ53" s="53">
        <f t="shared" ca="1" si="83"/>
        <v>0</v>
      </c>
      <c r="DA53" s="58" t="e">
        <f t="shared" ca="1" si="84"/>
        <v>#DIV/0!</v>
      </c>
      <c r="DB53" s="48" t="e">
        <f t="shared" ca="1" si="85"/>
        <v>#DIV/0!</v>
      </c>
      <c r="DC53" s="48" t="e">
        <f t="shared" ca="1" si="86"/>
        <v>#DIV/0!</v>
      </c>
      <c r="DD53" s="48" t="e">
        <f t="shared" ca="1" si="87"/>
        <v>#DIV/0!</v>
      </c>
      <c r="DE53" s="48" t="e">
        <f t="shared" ca="1" si="88"/>
        <v>#DIV/0!</v>
      </c>
      <c r="DF53" s="48" t="e">
        <f t="shared" ca="1" si="89"/>
        <v>#DIV/0!</v>
      </c>
      <c r="DG53" s="48" t="e">
        <f t="shared" ca="1" si="90"/>
        <v>#DIV/0!</v>
      </c>
      <c r="DH53" s="48">
        <f ca="1">SUMIF(FCR!$BZ$4:$DB$500,DG53,FCR!$DE$4:$EG$500)</f>
        <v>0</v>
      </c>
      <c r="DI53" s="48" t="e">
        <f t="shared" ca="1" si="91"/>
        <v>#DIV/0!</v>
      </c>
      <c r="DJ53" s="48">
        <f ca="1">SUMIF(FCR!$BZ$4:$DB$142,DI53,FCR!$DE$4:$EG$142)</f>
        <v>0</v>
      </c>
      <c r="DK53" s="48" t="e">
        <f t="shared" ca="1" si="92"/>
        <v>#DIV/0!</v>
      </c>
      <c r="DL53" s="55" t="e">
        <f t="shared" ca="1" si="93"/>
        <v>#DIV/0!</v>
      </c>
      <c r="DM53" s="48" t="e">
        <f t="shared" ca="1" si="94"/>
        <v>#DIV/0!</v>
      </c>
      <c r="DN53" s="48">
        <f ca="1">SUMIF(FCR!$BZ$4:$DB$142,DM53,FCR!$DE$4:$EG$142)</f>
        <v>0</v>
      </c>
      <c r="DO53" s="53" t="e">
        <f t="shared" ca="1" si="95"/>
        <v>#DIV/0!</v>
      </c>
      <c r="DP53" s="55" t="e">
        <f t="shared" ca="1" si="96"/>
        <v>#DIV/0!</v>
      </c>
      <c r="DQ53" s="55" t="e">
        <f t="shared" ca="1" si="97"/>
        <v>#DIV/0!</v>
      </c>
      <c r="DR53" s="55"/>
      <c r="DS53" s="55" t="e">
        <f t="shared" ca="1" si="98"/>
        <v>#DIV/0!</v>
      </c>
      <c r="DT53" s="55" t="e">
        <f t="shared" ca="1" si="99"/>
        <v>#DIV/0!</v>
      </c>
      <c r="DU53" s="53">
        <f t="shared" ca="1" si="100"/>
        <v>0</v>
      </c>
      <c r="DV53" s="59" t="e">
        <f t="shared" ca="1" si="101"/>
        <v>#DIV/0!</v>
      </c>
    </row>
    <row r="54" spans="1:12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AD54" s="49" t="s">
        <v>337</v>
      </c>
      <c r="AE54" s="49">
        <f t="shared" ca="1" si="24"/>
        <v>0</v>
      </c>
      <c r="AF54" s="49">
        <f t="shared" ca="1" si="48"/>
        <v>0</v>
      </c>
      <c r="AG54" s="114">
        <f t="shared" ca="1" si="49"/>
        <v>0</v>
      </c>
      <c r="AH54" s="104">
        <f t="shared" ca="1" si="50"/>
        <v>0</v>
      </c>
      <c r="AI54" s="104">
        <f t="shared" ca="1" si="51"/>
        <v>0</v>
      </c>
      <c r="AJ54" s="104">
        <f t="shared" ca="1" si="52"/>
        <v>0</v>
      </c>
      <c r="AK54" s="104">
        <f t="shared" ca="1" si="53"/>
        <v>0</v>
      </c>
      <c r="AL54" s="104">
        <f t="shared" ca="1" si="54"/>
        <v>0</v>
      </c>
      <c r="AM54" s="104">
        <f t="shared" ca="1" si="55"/>
        <v>0</v>
      </c>
      <c r="AN54" s="104">
        <f t="shared" ca="1" si="56"/>
        <v>0</v>
      </c>
      <c r="AO54" s="104">
        <f t="shared" ca="1" si="57"/>
        <v>0</v>
      </c>
      <c r="AP54" s="104">
        <f t="shared" ca="1" si="58"/>
        <v>0</v>
      </c>
      <c r="AQ54" s="49">
        <f t="shared" ca="1" si="59"/>
        <v>0</v>
      </c>
      <c r="AR54" s="104">
        <f t="shared" ca="1" si="60"/>
        <v>0</v>
      </c>
      <c r="AS54" s="104">
        <f t="shared" ca="1" si="61"/>
        <v>0</v>
      </c>
      <c r="AT54" s="104">
        <f t="shared" ca="1" si="62"/>
        <v>0</v>
      </c>
      <c r="AU54" s="104">
        <f t="shared" ca="1" si="63"/>
        <v>0</v>
      </c>
      <c r="BF54" s="49">
        <f t="shared" ca="1" si="64"/>
        <v>0</v>
      </c>
      <c r="BG54" s="49">
        <f t="shared" ca="1" si="65"/>
        <v>0</v>
      </c>
      <c r="BH54" s="54" t="e">
        <f t="shared" ca="1" si="66"/>
        <v>#DIV/0!</v>
      </c>
      <c r="BI54" s="112" t="e">
        <f t="shared" ca="1" si="67"/>
        <v>#DIV/0!</v>
      </c>
      <c r="BK54" s="55" t="e">
        <f t="shared" ca="1" si="68"/>
        <v>#DIV/0!</v>
      </c>
      <c r="BL54" s="55" t="e">
        <f t="shared" ca="1" si="69"/>
        <v>#DIV/0!</v>
      </c>
      <c r="BM54" s="55" t="e">
        <f t="shared" ca="1" si="70"/>
        <v>#DIV/0!</v>
      </c>
      <c r="BN54" s="53">
        <f t="shared" ca="1" si="71"/>
        <v>0</v>
      </c>
      <c r="BO54" s="112" t="e">
        <f t="shared" ca="1" si="72"/>
        <v>#DIV/0!</v>
      </c>
      <c r="BR54" s="53" t="e">
        <f t="shared" ca="1" si="73"/>
        <v>#DIV/0!</v>
      </c>
      <c r="BS54" s="53">
        <f t="shared" ca="1" si="74"/>
        <v>0</v>
      </c>
      <c r="BT54" s="53">
        <f t="shared" ca="1" si="75"/>
        <v>0</v>
      </c>
      <c r="BU54" s="56" t="e">
        <f t="shared" ca="1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ca="1" si="79"/>
        <v>0</v>
      </c>
      <c r="CW54" s="53">
        <f t="shared" ca="1" si="80"/>
        <v>0</v>
      </c>
      <c r="CX54" s="58" t="e">
        <f t="shared" ca="1" si="81"/>
        <v>#DIV/0!</v>
      </c>
      <c r="CY54" s="53">
        <f t="shared" ca="1" si="82"/>
        <v>0</v>
      </c>
      <c r="CZ54" s="53">
        <f t="shared" ca="1" si="83"/>
        <v>0</v>
      </c>
      <c r="DA54" s="58" t="e">
        <f t="shared" ca="1" si="84"/>
        <v>#DIV/0!</v>
      </c>
      <c r="DB54" s="48" t="e">
        <f t="shared" ca="1" si="85"/>
        <v>#DIV/0!</v>
      </c>
      <c r="DC54" s="48" t="e">
        <f t="shared" ca="1" si="86"/>
        <v>#DIV/0!</v>
      </c>
      <c r="DD54" s="48" t="e">
        <f t="shared" ca="1" si="87"/>
        <v>#DIV/0!</v>
      </c>
      <c r="DE54" s="48" t="e">
        <f t="shared" ca="1" si="88"/>
        <v>#DIV/0!</v>
      </c>
      <c r="DF54" s="48" t="e">
        <f t="shared" ca="1" si="89"/>
        <v>#DIV/0!</v>
      </c>
      <c r="DG54" s="48" t="e">
        <f t="shared" ca="1" si="90"/>
        <v>#DIV/0!</v>
      </c>
      <c r="DH54" s="48">
        <f ca="1">SUMIF(FCR!$BZ$4:$DB$500,DG54,FCR!$DE$4:$EG$500)</f>
        <v>0</v>
      </c>
      <c r="DI54" s="48" t="e">
        <f t="shared" ca="1" si="91"/>
        <v>#DIV/0!</v>
      </c>
      <c r="DJ54" s="48">
        <f ca="1">SUMIF(FCR!$BZ$4:$DB$142,DI54,FCR!$DE$4:$EG$142)</f>
        <v>0</v>
      </c>
      <c r="DK54" s="48" t="e">
        <f t="shared" ca="1" si="92"/>
        <v>#DIV/0!</v>
      </c>
      <c r="DL54" s="55" t="e">
        <f t="shared" ca="1" si="93"/>
        <v>#DIV/0!</v>
      </c>
      <c r="DM54" s="48" t="e">
        <f t="shared" ca="1" si="94"/>
        <v>#DIV/0!</v>
      </c>
      <c r="DN54" s="48">
        <f ca="1">SUMIF(FCR!$BZ$4:$DB$142,DM54,FCR!$DE$4:$EG$142)</f>
        <v>0</v>
      </c>
      <c r="DO54" s="53" t="e">
        <f t="shared" ca="1" si="95"/>
        <v>#DIV/0!</v>
      </c>
      <c r="DP54" s="55" t="e">
        <f t="shared" ca="1" si="96"/>
        <v>#DIV/0!</v>
      </c>
      <c r="DQ54" s="55" t="e">
        <f t="shared" ca="1" si="97"/>
        <v>#DIV/0!</v>
      </c>
      <c r="DR54" s="55"/>
      <c r="DS54" s="55" t="e">
        <f t="shared" ca="1" si="98"/>
        <v>#DIV/0!</v>
      </c>
      <c r="DT54" s="55" t="e">
        <f t="shared" ca="1" si="99"/>
        <v>#DIV/0!</v>
      </c>
      <c r="DU54" s="53">
        <f t="shared" ca="1" si="100"/>
        <v>0</v>
      </c>
      <c r="DV54" s="59" t="e">
        <f t="shared" ca="1" si="101"/>
        <v>#DIV/0!</v>
      </c>
    </row>
    <row r="55" spans="1:12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AD55" s="49" t="s">
        <v>337</v>
      </c>
      <c r="AE55" s="49">
        <f t="shared" ca="1" si="24"/>
        <v>0</v>
      </c>
      <c r="AF55" s="49">
        <f t="shared" ca="1" si="48"/>
        <v>0</v>
      </c>
      <c r="AG55" s="114">
        <f t="shared" ca="1" si="49"/>
        <v>0</v>
      </c>
      <c r="AH55" s="104">
        <f t="shared" ca="1" si="50"/>
        <v>0</v>
      </c>
      <c r="AI55" s="104">
        <f t="shared" ca="1" si="51"/>
        <v>0</v>
      </c>
      <c r="AJ55" s="104">
        <f t="shared" ca="1" si="52"/>
        <v>0</v>
      </c>
      <c r="AK55" s="104">
        <f t="shared" ca="1" si="53"/>
        <v>0</v>
      </c>
      <c r="AL55" s="104">
        <f t="shared" ca="1" si="54"/>
        <v>0</v>
      </c>
      <c r="AM55" s="104">
        <f t="shared" ca="1" si="55"/>
        <v>0</v>
      </c>
      <c r="AN55" s="104">
        <f t="shared" ca="1" si="56"/>
        <v>0</v>
      </c>
      <c r="AO55" s="104">
        <f t="shared" ca="1" si="57"/>
        <v>0</v>
      </c>
      <c r="AP55" s="104">
        <f t="shared" ca="1" si="58"/>
        <v>0</v>
      </c>
      <c r="AQ55" s="49">
        <f t="shared" ca="1" si="59"/>
        <v>0</v>
      </c>
      <c r="AR55" s="104">
        <f t="shared" ca="1" si="60"/>
        <v>0</v>
      </c>
      <c r="AS55" s="104">
        <f t="shared" ca="1" si="61"/>
        <v>0</v>
      </c>
      <c r="AT55" s="104">
        <f t="shared" ca="1" si="62"/>
        <v>0</v>
      </c>
      <c r="AU55" s="104">
        <f t="shared" ca="1" si="63"/>
        <v>0</v>
      </c>
      <c r="BF55" s="49">
        <f t="shared" ca="1" si="64"/>
        <v>0</v>
      </c>
      <c r="BG55" s="49">
        <f t="shared" ca="1" si="65"/>
        <v>0</v>
      </c>
      <c r="BH55" s="54" t="e">
        <f t="shared" ca="1" si="66"/>
        <v>#DIV/0!</v>
      </c>
      <c r="BI55" s="112" t="e">
        <f t="shared" ca="1" si="67"/>
        <v>#DIV/0!</v>
      </c>
      <c r="BK55" s="55" t="e">
        <f t="shared" ca="1" si="68"/>
        <v>#DIV/0!</v>
      </c>
      <c r="BL55" s="55" t="e">
        <f t="shared" ca="1" si="69"/>
        <v>#DIV/0!</v>
      </c>
      <c r="BM55" s="55" t="e">
        <f t="shared" ca="1" si="70"/>
        <v>#DIV/0!</v>
      </c>
      <c r="BN55" s="53">
        <f t="shared" ca="1" si="71"/>
        <v>0</v>
      </c>
      <c r="BO55" s="112" t="e">
        <f t="shared" ca="1" si="72"/>
        <v>#DIV/0!</v>
      </c>
      <c r="BR55" s="53" t="e">
        <f t="shared" ca="1" si="73"/>
        <v>#DIV/0!</v>
      </c>
      <c r="BS55" s="53">
        <f t="shared" ca="1" si="74"/>
        <v>0</v>
      </c>
      <c r="BT55" s="53">
        <f t="shared" ca="1" si="75"/>
        <v>0</v>
      </c>
      <c r="BU55" s="56" t="e">
        <f t="shared" ca="1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ca="1" si="79"/>
        <v>0</v>
      </c>
      <c r="CW55" s="53">
        <f t="shared" ca="1" si="80"/>
        <v>0</v>
      </c>
      <c r="CX55" s="58" t="e">
        <f t="shared" ca="1" si="81"/>
        <v>#DIV/0!</v>
      </c>
      <c r="CY55" s="53">
        <f t="shared" ca="1" si="82"/>
        <v>0</v>
      </c>
      <c r="CZ55" s="53">
        <f t="shared" ca="1" si="83"/>
        <v>0</v>
      </c>
      <c r="DA55" s="58" t="e">
        <f t="shared" ca="1" si="84"/>
        <v>#DIV/0!</v>
      </c>
      <c r="DB55" s="48" t="e">
        <f t="shared" ca="1" si="85"/>
        <v>#DIV/0!</v>
      </c>
      <c r="DC55" s="48" t="e">
        <f t="shared" ca="1" si="86"/>
        <v>#DIV/0!</v>
      </c>
      <c r="DD55" s="48" t="e">
        <f t="shared" ca="1" si="87"/>
        <v>#DIV/0!</v>
      </c>
      <c r="DE55" s="48" t="e">
        <f t="shared" ca="1" si="88"/>
        <v>#DIV/0!</v>
      </c>
      <c r="DF55" s="48" t="e">
        <f t="shared" ca="1" si="89"/>
        <v>#DIV/0!</v>
      </c>
      <c r="DG55" s="48" t="e">
        <f t="shared" ca="1" si="90"/>
        <v>#DIV/0!</v>
      </c>
      <c r="DH55" s="48">
        <f ca="1">SUMIF(FCR!$BZ$4:$DB$500,DG55,FCR!$DE$4:$EG$500)</f>
        <v>0</v>
      </c>
      <c r="DI55" s="48" t="e">
        <f t="shared" ca="1" si="91"/>
        <v>#DIV/0!</v>
      </c>
      <c r="DJ55" s="48">
        <f ca="1">SUMIF(FCR!$BZ$4:$DB$142,DI55,FCR!$DE$4:$EG$142)</f>
        <v>0</v>
      </c>
      <c r="DK55" s="48" t="e">
        <f t="shared" ca="1" si="92"/>
        <v>#DIV/0!</v>
      </c>
      <c r="DL55" s="55" t="e">
        <f t="shared" ca="1" si="93"/>
        <v>#DIV/0!</v>
      </c>
      <c r="DM55" s="48" t="e">
        <f t="shared" ca="1" si="94"/>
        <v>#DIV/0!</v>
      </c>
      <c r="DN55" s="48">
        <f ca="1">SUMIF(FCR!$BZ$4:$DB$142,DM55,FCR!$DE$4:$EG$142)</f>
        <v>0</v>
      </c>
      <c r="DO55" s="53" t="e">
        <f t="shared" ca="1" si="95"/>
        <v>#DIV/0!</v>
      </c>
      <c r="DP55" s="55" t="e">
        <f t="shared" ca="1" si="96"/>
        <v>#DIV/0!</v>
      </c>
      <c r="DQ55" s="55" t="e">
        <f t="shared" ca="1" si="97"/>
        <v>#DIV/0!</v>
      </c>
      <c r="DR55" s="55"/>
      <c r="DS55" s="55" t="e">
        <f t="shared" ca="1" si="98"/>
        <v>#DIV/0!</v>
      </c>
      <c r="DT55" s="55" t="e">
        <f t="shared" ca="1" si="99"/>
        <v>#DIV/0!</v>
      </c>
      <c r="DU55" s="53">
        <f t="shared" ca="1" si="100"/>
        <v>0</v>
      </c>
      <c r="DV55" s="59" t="e">
        <f t="shared" ca="1" si="101"/>
        <v>#DIV/0!</v>
      </c>
    </row>
    <row r="56" spans="1:12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AD56" s="49" t="s">
        <v>337</v>
      </c>
      <c r="AE56" s="49">
        <f t="shared" ca="1" si="24"/>
        <v>0</v>
      </c>
      <c r="AF56" s="49">
        <f t="shared" ca="1" si="48"/>
        <v>0</v>
      </c>
      <c r="AG56" s="114">
        <f t="shared" ca="1" si="49"/>
        <v>0</v>
      </c>
      <c r="AH56" s="104">
        <f t="shared" ca="1" si="50"/>
        <v>0</v>
      </c>
      <c r="AI56" s="104">
        <f t="shared" ca="1" si="51"/>
        <v>0</v>
      </c>
      <c r="AJ56" s="104">
        <f t="shared" ca="1" si="52"/>
        <v>0</v>
      </c>
      <c r="AK56" s="104">
        <f t="shared" ca="1" si="53"/>
        <v>0</v>
      </c>
      <c r="AL56" s="104">
        <f t="shared" ca="1" si="54"/>
        <v>0</v>
      </c>
      <c r="AM56" s="104">
        <f t="shared" ca="1" si="55"/>
        <v>0</v>
      </c>
      <c r="AN56" s="104">
        <f t="shared" ca="1" si="56"/>
        <v>0</v>
      </c>
      <c r="AO56" s="104">
        <f t="shared" ca="1" si="57"/>
        <v>0</v>
      </c>
      <c r="AP56" s="104">
        <f t="shared" ca="1" si="58"/>
        <v>0</v>
      </c>
      <c r="AQ56" s="49">
        <f t="shared" ca="1" si="59"/>
        <v>0</v>
      </c>
      <c r="AR56" s="104">
        <f t="shared" ca="1" si="60"/>
        <v>0</v>
      </c>
      <c r="AS56" s="104">
        <f t="shared" ca="1" si="61"/>
        <v>0</v>
      </c>
      <c r="AT56" s="104">
        <f t="shared" ca="1" si="62"/>
        <v>0</v>
      </c>
      <c r="AU56" s="104">
        <f t="shared" ca="1" si="63"/>
        <v>0</v>
      </c>
      <c r="BF56" s="49">
        <f t="shared" ca="1" si="64"/>
        <v>0</v>
      </c>
      <c r="BG56" s="49">
        <f t="shared" ca="1" si="65"/>
        <v>0</v>
      </c>
      <c r="BH56" s="54" t="e">
        <f t="shared" ca="1" si="66"/>
        <v>#DIV/0!</v>
      </c>
      <c r="BI56" s="112" t="e">
        <f t="shared" ca="1" si="67"/>
        <v>#DIV/0!</v>
      </c>
      <c r="BK56" s="55" t="e">
        <f t="shared" ca="1" si="68"/>
        <v>#DIV/0!</v>
      </c>
      <c r="BL56" s="55" t="e">
        <f t="shared" ca="1" si="69"/>
        <v>#DIV/0!</v>
      </c>
      <c r="BM56" s="55" t="e">
        <f t="shared" ca="1" si="70"/>
        <v>#DIV/0!</v>
      </c>
      <c r="BN56" s="53">
        <f t="shared" ca="1" si="71"/>
        <v>0</v>
      </c>
      <c r="BO56" s="112" t="e">
        <f t="shared" ca="1" si="72"/>
        <v>#DIV/0!</v>
      </c>
      <c r="BR56" s="53" t="e">
        <f t="shared" ca="1" si="73"/>
        <v>#DIV/0!</v>
      </c>
      <c r="BS56" s="53">
        <f t="shared" ca="1" si="74"/>
        <v>0</v>
      </c>
      <c r="BT56" s="53">
        <f t="shared" ca="1" si="75"/>
        <v>0</v>
      </c>
      <c r="BU56" s="56" t="e">
        <f t="shared" ca="1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ca="1" si="79"/>
        <v>0</v>
      </c>
      <c r="CW56" s="53">
        <f t="shared" ca="1" si="80"/>
        <v>0</v>
      </c>
      <c r="CX56" s="58" t="e">
        <f t="shared" ca="1" si="81"/>
        <v>#DIV/0!</v>
      </c>
      <c r="CY56" s="53">
        <f t="shared" ca="1" si="82"/>
        <v>0</v>
      </c>
      <c r="CZ56" s="53">
        <f t="shared" ca="1" si="83"/>
        <v>0</v>
      </c>
      <c r="DA56" s="58" t="e">
        <f t="shared" ca="1" si="84"/>
        <v>#DIV/0!</v>
      </c>
      <c r="DB56" s="48" t="e">
        <f t="shared" ca="1" si="85"/>
        <v>#DIV/0!</v>
      </c>
      <c r="DC56" s="48" t="e">
        <f t="shared" ca="1" si="86"/>
        <v>#DIV/0!</v>
      </c>
      <c r="DD56" s="48" t="e">
        <f t="shared" ca="1" si="87"/>
        <v>#DIV/0!</v>
      </c>
      <c r="DE56" s="48" t="e">
        <f t="shared" ca="1" si="88"/>
        <v>#DIV/0!</v>
      </c>
      <c r="DF56" s="48" t="e">
        <f t="shared" ca="1" si="89"/>
        <v>#DIV/0!</v>
      </c>
      <c r="DG56" s="48" t="e">
        <f t="shared" ca="1" si="90"/>
        <v>#DIV/0!</v>
      </c>
      <c r="DH56" s="48">
        <f ca="1">SUMIF(FCR!$BZ$4:$DB$500,DG56,FCR!$DE$4:$EG$500)</f>
        <v>0</v>
      </c>
      <c r="DI56" s="48" t="e">
        <f t="shared" ca="1" si="91"/>
        <v>#DIV/0!</v>
      </c>
      <c r="DJ56" s="48">
        <f ca="1">SUMIF(FCR!$BZ$4:$DB$142,DI56,FCR!$DE$4:$EG$142)</f>
        <v>0</v>
      </c>
      <c r="DK56" s="48" t="e">
        <f t="shared" ca="1" si="92"/>
        <v>#DIV/0!</v>
      </c>
      <c r="DL56" s="55" t="e">
        <f t="shared" ca="1" si="93"/>
        <v>#DIV/0!</v>
      </c>
      <c r="DM56" s="48" t="e">
        <f t="shared" ca="1" si="94"/>
        <v>#DIV/0!</v>
      </c>
      <c r="DN56" s="48">
        <f ca="1">SUMIF(FCR!$BZ$4:$DB$142,DM56,FCR!$DE$4:$EG$142)</f>
        <v>0</v>
      </c>
      <c r="DO56" s="53" t="e">
        <f t="shared" ca="1" si="95"/>
        <v>#DIV/0!</v>
      </c>
      <c r="DP56" s="55" t="e">
        <f t="shared" ca="1" si="96"/>
        <v>#DIV/0!</v>
      </c>
      <c r="DQ56" s="55" t="e">
        <f t="shared" ca="1" si="97"/>
        <v>#DIV/0!</v>
      </c>
      <c r="DR56" s="55"/>
      <c r="DS56" s="55" t="e">
        <f t="shared" ca="1" si="98"/>
        <v>#DIV/0!</v>
      </c>
      <c r="DT56" s="55" t="e">
        <f t="shared" ca="1" si="99"/>
        <v>#DIV/0!</v>
      </c>
      <c r="DU56" s="53">
        <f t="shared" ca="1" si="100"/>
        <v>0</v>
      </c>
      <c r="DV56" s="59" t="e">
        <f t="shared" ca="1" si="101"/>
        <v>#DIV/0!</v>
      </c>
    </row>
    <row r="57" spans="1:12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AD57" s="49" t="s">
        <v>337</v>
      </c>
      <c r="AE57" s="49">
        <f t="shared" ca="1" si="24"/>
        <v>0</v>
      </c>
      <c r="AF57" s="49">
        <f t="shared" ca="1" si="48"/>
        <v>0</v>
      </c>
      <c r="AG57" s="114">
        <f t="shared" ca="1" si="49"/>
        <v>0</v>
      </c>
      <c r="AH57" s="104">
        <f t="shared" ca="1" si="50"/>
        <v>0</v>
      </c>
      <c r="AI57" s="104">
        <f t="shared" ca="1" si="51"/>
        <v>0</v>
      </c>
      <c r="AJ57" s="104">
        <f t="shared" ca="1" si="52"/>
        <v>0</v>
      </c>
      <c r="AK57" s="104">
        <f t="shared" ca="1" si="53"/>
        <v>0</v>
      </c>
      <c r="AL57" s="104">
        <f t="shared" ca="1" si="54"/>
        <v>0</v>
      </c>
      <c r="AM57" s="104">
        <f t="shared" ca="1" si="55"/>
        <v>0</v>
      </c>
      <c r="AN57" s="104">
        <f t="shared" ca="1" si="56"/>
        <v>0</v>
      </c>
      <c r="AO57" s="104">
        <f t="shared" ca="1" si="57"/>
        <v>0</v>
      </c>
      <c r="AP57" s="104">
        <f t="shared" ca="1" si="58"/>
        <v>0</v>
      </c>
      <c r="AQ57" s="49">
        <f t="shared" ca="1" si="59"/>
        <v>0</v>
      </c>
      <c r="AR57" s="104">
        <f t="shared" ca="1" si="60"/>
        <v>0</v>
      </c>
      <c r="AS57" s="104">
        <f t="shared" ca="1" si="61"/>
        <v>0</v>
      </c>
      <c r="AT57" s="104">
        <f t="shared" ca="1" si="62"/>
        <v>0</v>
      </c>
      <c r="AU57" s="104">
        <f t="shared" ca="1" si="63"/>
        <v>0</v>
      </c>
      <c r="BF57" s="49">
        <f t="shared" ca="1" si="64"/>
        <v>0</v>
      </c>
      <c r="BG57" s="49">
        <f t="shared" ca="1" si="65"/>
        <v>0</v>
      </c>
      <c r="BH57" s="54" t="e">
        <f t="shared" ca="1" si="66"/>
        <v>#DIV/0!</v>
      </c>
      <c r="BI57" s="112" t="e">
        <f t="shared" ca="1" si="67"/>
        <v>#DIV/0!</v>
      </c>
      <c r="BK57" s="55" t="e">
        <f t="shared" ca="1" si="68"/>
        <v>#DIV/0!</v>
      </c>
      <c r="BL57" s="55" t="e">
        <f t="shared" ca="1" si="69"/>
        <v>#DIV/0!</v>
      </c>
      <c r="BM57" s="55" t="e">
        <f t="shared" ca="1" si="70"/>
        <v>#DIV/0!</v>
      </c>
      <c r="BN57" s="53">
        <f t="shared" ca="1" si="71"/>
        <v>0</v>
      </c>
      <c r="BO57" s="112" t="e">
        <f t="shared" ca="1" si="72"/>
        <v>#DIV/0!</v>
      </c>
      <c r="BR57" s="53" t="e">
        <f t="shared" ca="1" si="73"/>
        <v>#DIV/0!</v>
      </c>
      <c r="BS57" s="53">
        <f t="shared" ca="1" si="74"/>
        <v>0</v>
      </c>
      <c r="BT57" s="53">
        <f t="shared" ca="1" si="75"/>
        <v>0</v>
      </c>
      <c r="BU57" s="56" t="e">
        <f t="shared" ca="1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ca="1" si="79"/>
        <v>0</v>
      </c>
      <c r="CW57" s="53">
        <f t="shared" ca="1" si="80"/>
        <v>0</v>
      </c>
      <c r="CX57" s="58" t="e">
        <f t="shared" ca="1" si="81"/>
        <v>#DIV/0!</v>
      </c>
      <c r="CY57" s="53">
        <f t="shared" ca="1" si="82"/>
        <v>0</v>
      </c>
      <c r="CZ57" s="53">
        <f t="shared" ca="1" si="83"/>
        <v>0</v>
      </c>
      <c r="DA57" s="58" t="e">
        <f t="shared" ca="1" si="84"/>
        <v>#DIV/0!</v>
      </c>
      <c r="DB57" s="48" t="e">
        <f t="shared" ca="1" si="85"/>
        <v>#DIV/0!</v>
      </c>
      <c r="DC57" s="48" t="e">
        <f t="shared" ca="1" si="86"/>
        <v>#DIV/0!</v>
      </c>
      <c r="DD57" s="48" t="e">
        <f t="shared" ca="1" si="87"/>
        <v>#DIV/0!</v>
      </c>
      <c r="DE57" s="48" t="e">
        <f t="shared" ca="1" si="88"/>
        <v>#DIV/0!</v>
      </c>
      <c r="DF57" s="48" t="e">
        <f t="shared" ca="1" si="89"/>
        <v>#DIV/0!</v>
      </c>
      <c r="DG57" s="48" t="e">
        <f t="shared" ca="1" si="90"/>
        <v>#DIV/0!</v>
      </c>
      <c r="DH57" s="48">
        <f ca="1">SUMIF(FCR!$BZ$4:$DB$500,DG57,FCR!$DE$4:$EG$500)</f>
        <v>0</v>
      </c>
      <c r="DI57" s="48" t="e">
        <f t="shared" ca="1" si="91"/>
        <v>#DIV/0!</v>
      </c>
      <c r="DJ57" s="48">
        <f ca="1">SUMIF(FCR!$BZ$4:$DB$142,DI57,FCR!$DE$4:$EG$142)</f>
        <v>0</v>
      </c>
      <c r="DK57" s="48" t="e">
        <f t="shared" ca="1" si="92"/>
        <v>#DIV/0!</v>
      </c>
      <c r="DL57" s="55" t="e">
        <f t="shared" ca="1" si="93"/>
        <v>#DIV/0!</v>
      </c>
      <c r="DM57" s="48" t="e">
        <f t="shared" ca="1" si="94"/>
        <v>#DIV/0!</v>
      </c>
      <c r="DN57" s="48">
        <f ca="1">SUMIF(FCR!$BZ$4:$DB$142,DM57,FCR!$DE$4:$EG$142)</f>
        <v>0</v>
      </c>
      <c r="DO57" s="53" t="e">
        <f t="shared" ca="1" si="95"/>
        <v>#DIV/0!</v>
      </c>
      <c r="DP57" s="55" t="e">
        <f t="shared" ca="1" si="96"/>
        <v>#DIV/0!</v>
      </c>
      <c r="DQ57" s="55" t="e">
        <f t="shared" ca="1" si="97"/>
        <v>#DIV/0!</v>
      </c>
      <c r="DR57" s="55"/>
      <c r="DS57" s="55" t="e">
        <f t="shared" ca="1" si="98"/>
        <v>#DIV/0!</v>
      </c>
      <c r="DT57" s="55" t="e">
        <f t="shared" ca="1" si="99"/>
        <v>#DIV/0!</v>
      </c>
      <c r="DU57" s="53">
        <f t="shared" ca="1" si="100"/>
        <v>0</v>
      </c>
      <c r="DV57" s="59" t="e">
        <f t="shared" ca="1" si="101"/>
        <v>#DIV/0!</v>
      </c>
    </row>
    <row r="58" spans="1:12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AD58" s="49" t="s">
        <v>337</v>
      </c>
      <c r="AE58" s="49">
        <f t="shared" ca="1" si="24"/>
        <v>0</v>
      </c>
      <c r="AF58" s="49">
        <f t="shared" ca="1" si="48"/>
        <v>0</v>
      </c>
      <c r="AG58" s="114">
        <f t="shared" ca="1" si="49"/>
        <v>0</v>
      </c>
      <c r="AH58" s="104">
        <f t="shared" ca="1" si="50"/>
        <v>0</v>
      </c>
      <c r="AI58" s="104">
        <f t="shared" ca="1" si="51"/>
        <v>0</v>
      </c>
      <c r="AJ58" s="104">
        <f t="shared" ca="1" si="52"/>
        <v>0</v>
      </c>
      <c r="AK58" s="104">
        <f t="shared" ca="1" si="53"/>
        <v>0</v>
      </c>
      <c r="AL58" s="104">
        <f t="shared" ca="1" si="54"/>
        <v>0</v>
      </c>
      <c r="AM58" s="104">
        <f t="shared" ca="1" si="55"/>
        <v>0</v>
      </c>
      <c r="AN58" s="104">
        <f t="shared" ca="1" si="56"/>
        <v>0</v>
      </c>
      <c r="AO58" s="104">
        <f t="shared" ca="1" si="57"/>
        <v>0</v>
      </c>
      <c r="AP58" s="104">
        <f t="shared" ca="1" si="58"/>
        <v>0</v>
      </c>
      <c r="AQ58" s="49">
        <f t="shared" ca="1" si="59"/>
        <v>0</v>
      </c>
      <c r="AR58" s="104">
        <f t="shared" ca="1" si="60"/>
        <v>0</v>
      </c>
      <c r="AS58" s="104">
        <f t="shared" ca="1" si="61"/>
        <v>0</v>
      </c>
      <c r="AT58" s="104">
        <f t="shared" ca="1" si="62"/>
        <v>0</v>
      </c>
      <c r="AU58" s="104">
        <f t="shared" ca="1" si="63"/>
        <v>0</v>
      </c>
      <c r="BF58" s="49">
        <f t="shared" ca="1" si="64"/>
        <v>0</v>
      </c>
      <c r="BG58" s="49">
        <f t="shared" ca="1" si="65"/>
        <v>0</v>
      </c>
      <c r="BH58" s="54" t="e">
        <f t="shared" ca="1" si="66"/>
        <v>#DIV/0!</v>
      </c>
      <c r="BI58" s="112" t="e">
        <f t="shared" ca="1" si="67"/>
        <v>#DIV/0!</v>
      </c>
      <c r="BK58" s="55" t="e">
        <f t="shared" ca="1" si="68"/>
        <v>#DIV/0!</v>
      </c>
      <c r="BL58" s="55" t="e">
        <f t="shared" ca="1" si="69"/>
        <v>#DIV/0!</v>
      </c>
      <c r="BM58" s="55" t="e">
        <f t="shared" ca="1" si="70"/>
        <v>#DIV/0!</v>
      </c>
      <c r="BN58" s="53">
        <f t="shared" ca="1" si="71"/>
        <v>0</v>
      </c>
      <c r="BO58" s="112" t="e">
        <f t="shared" ca="1" si="72"/>
        <v>#DIV/0!</v>
      </c>
      <c r="BR58" s="53" t="e">
        <f t="shared" ca="1" si="73"/>
        <v>#DIV/0!</v>
      </c>
      <c r="BS58" s="53">
        <f t="shared" ca="1" si="74"/>
        <v>0</v>
      </c>
      <c r="BT58" s="53">
        <f t="shared" ca="1" si="75"/>
        <v>0</v>
      </c>
      <c r="BU58" s="56" t="e">
        <f t="shared" ca="1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ca="1" si="79"/>
        <v>0</v>
      </c>
      <c r="CW58" s="53">
        <f t="shared" ca="1" si="80"/>
        <v>0</v>
      </c>
      <c r="CX58" s="58" t="e">
        <f t="shared" ca="1" si="81"/>
        <v>#DIV/0!</v>
      </c>
      <c r="CY58" s="53">
        <f t="shared" ca="1" si="82"/>
        <v>0</v>
      </c>
      <c r="CZ58" s="53">
        <f t="shared" ca="1" si="83"/>
        <v>0</v>
      </c>
      <c r="DA58" s="58" t="e">
        <f t="shared" ca="1" si="84"/>
        <v>#DIV/0!</v>
      </c>
      <c r="DB58" s="48" t="e">
        <f t="shared" ca="1" si="85"/>
        <v>#DIV/0!</v>
      </c>
      <c r="DC58" s="48" t="e">
        <f t="shared" ca="1" si="86"/>
        <v>#DIV/0!</v>
      </c>
      <c r="DD58" s="48" t="e">
        <f t="shared" ca="1" si="87"/>
        <v>#DIV/0!</v>
      </c>
      <c r="DE58" s="48" t="e">
        <f t="shared" ca="1" si="88"/>
        <v>#DIV/0!</v>
      </c>
      <c r="DF58" s="48" t="e">
        <f t="shared" ca="1" si="89"/>
        <v>#DIV/0!</v>
      </c>
      <c r="DG58" s="48" t="e">
        <f t="shared" ca="1" si="90"/>
        <v>#DIV/0!</v>
      </c>
      <c r="DH58" s="48">
        <f ca="1">SUMIF(FCR!$BZ$4:$DB$500,DG58,FCR!$DE$4:$EG$500)</f>
        <v>0</v>
      </c>
      <c r="DI58" s="48" t="e">
        <f t="shared" ca="1" si="91"/>
        <v>#DIV/0!</v>
      </c>
      <c r="DJ58" s="48">
        <f ca="1">SUMIF(FCR!$BZ$4:$DB$142,DI58,FCR!$DE$4:$EG$142)</f>
        <v>0</v>
      </c>
      <c r="DK58" s="48" t="e">
        <f t="shared" ca="1" si="92"/>
        <v>#DIV/0!</v>
      </c>
      <c r="DL58" s="55" t="e">
        <f t="shared" ca="1" si="93"/>
        <v>#DIV/0!</v>
      </c>
      <c r="DM58" s="48" t="e">
        <f t="shared" ca="1" si="94"/>
        <v>#DIV/0!</v>
      </c>
      <c r="DN58" s="48">
        <f ca="1">SUMIF(FCR!$BZ$4:$DB$142,DM58,FCR!$DE$4:$EG$142)</f>
        <v>0</v>
      </c>
      <c r="DO58" s="53" t="e">
        <f t="shared" ca="1" si="95"/>
        <v>#DIV/0!</v>
      </c>
      <c r="DP58" s="55" t="e">
        <f t="shared" ca="1" si="96"/>
        <v>#DIV/0!</v>
      </c>
      <c r="DQ58" s="55" t="e">
        <f t="shared" ca="1" si="97"/>
        <v>#DIV/0!</v>
      </c>
      <c r="DR58" s="55"/>
      <c r="DS58" s="55" t="e">
        <f t="shared" ca="1" si="98"/>
        <v>#DIV/0!</v>
      </c>
      <c r="DT58" s="55" t="e">
        <f t="shared" ca="1" si="99"/>
        <v>#DIV/0!</v>
      </c>
      <c r="DU58" s="53">
        <f t="shared" ca="1" si="100"/>
        <v>0</v>
      </c>
      <c r="DV58" s="59" t="e">
        <f t="shared" ca="1" si="101"/>
        <v>#DIV/0!</v>
      </c>
    </row>
    <row r="59" spans="1:12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AD59" s="49" t="s">
        <v>337</v>
      </c>
      <c r="AE59" s="49">
        <f t="shared" ca="1" si="24"/>
        <v>0</v>
      </c>
      <c r="AF59" s="49">
        <f t="shared" ca="1" si="48"/>
        <v>0</v>
      </c>
      <c r="AG59" s="114">
        <f t="shared" ca="1" si="49"/>
        <v>0</v>
      </c>
      <c r="AH59" s="104">
        <f t="shared" ca="1" si="50"/>
        <v>0</v>
      </c>
      <c r="AI59" s="104">
        <f t="shared" ca="1" si="51"/>
        <v>0</v>
      </c>
      <c r="AJ59" s="104">
        <f t="shared" ca="1" si="52"/>
        <v>0</v>
      </c>
      <c r="AK59" s="104">
        <f t="shared" ca="1" si="53"/>
        <v>0</v>
      </c>
      <c r="AL59" s="104">
        <f t="shared" ca="1" si="54"/>
        <v>0</v>
      </c>
      <c r="AM59" s="104">
        <f t="shared" ca="1" si="55"/>
        <v>0</v>
      </c>
      <c r="AN59" s="104">
        <f t="shared" ca="1" si="56"/>
        <v>0</v>
      </c>
      <c r="AO59" s="104">
        <f t="shared" ca="1" si="57"/>
        <v>0</v>
      </c>
      <c r="AP59" s="104">
        <f t="shared" ca="1" si="58"/>
        <v>0</v>
      </c>
      <c r="AQ59" s="49">
        <f t="shared" ca="1" si="59"/>
        <v>0</v>
      </c>
      <c r="AR59" s="104">
        <f t="shared" ca="1" si="60"/>
        <v>0</v>
      </c>
      <c r="AS59" s="104">
        <f t="shared" ca="1" si="61"/>
        <v>0</v>
      </c>
      <c r="AT59" s="104">
        <f t="shared" ca="1" si="62"/>
        <v>0</v>
      </c>
      <c r="AU59" s="104">
        <f t="shared" ca="1" si="63"/>
        <v>0</v>
      </c>
      <c r="BF59" s="49">
        <f t="shared" ca="1" si="64"/>
        <v>0</v>
      </c>
      <c r="BG59" s="49">
        <f t="shared" ca="1" si="65"/>
        <v>0</v>
      </c>
      <c r="BH59" s="54" t="e">
        <f t="shared" ca="1" si="66"/>
        <v>#DIV/0!</v>
      </c>
      <c r="BI59" s="112" t="e">
        <f t="shared" ca="1" si="67"/>
        <v>#DIV/0!</v>
      </c>
      <c r="BK59" s="55" t="e">
        <f t="shared" ca="1" si="68"/>
        <v>#DIV/0!</v>
      </c>
      <c r="BL59" s="55" t="e">
        <f t="shared" ca="1" si="69"/>
        <v>#DIV/0!</v>
      </c>
      <c r="BM59" s="55" t="e">
        <f t="shared" ca="1" si="70"/>
        <v>#DIV/0!</v>
      </c>
      <c r="BN59" s="53">
        <f t="shared" ca="1" si="71"/>
        <v>0</v>
      </c>
      <c r="BO59" s="112" t="e">
        <f t="shared" ca="1" si="72"/>
        <v>#DIV/0!</v>
      </c>
      <c r="BR59" s="53" t="e">
        <f t="shared" ca="1" si="73"/>
        <v>#DIV/0!</v>
      </c>
      <c r="BS59" s="53">
        <f t="shared" ca="1" si="74"/>
        <v>0</v>
      </c>
      <c r="BT59" s="53">
        <f t="shared" ca="1" si="75"/>
        <v>0</v>
      </c>
      <c r="BU59" s="56" t="e">
        <f t="shared" ca="1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ca="1" si="79"/>
        <v>0</v>
      </c>
      <c r="CW59" s="53">
        <f t="shared" ca="1" si="80"/>
        <v>0</v>
      </c>
      <c r="CX59" s="58" t="e">
        <f t="shared" ca="1" si="81"/>
        <v>#DIV/0!</v>
      </c>
      <c r="CY59" s="53">
        <f t="shared" ca="1" si="82"/>
        <v>0</v>
      </c>
      <c r="CZ59" s="53">
        <f t="shared" ca="1" si="83"/>
        <v>0</v>
      </c>
      <c r="DA59" s="58" t="e">
        <f t="shared" ca="1" si="84"/>
        <v>#DIV/0!</v>
      </c>
      <c r="DB59" s="48" t="e">
        <f t="shared" ca="1" si="85"/>
        <v>#DIV/0!</v>
      </c>
      <c r="DC59" s="48" t="e">
        <f t="shared" ca="1" si="86"/>
        <v>#DIV/0!</v>
      </c>
      <c r="DD59" s="48" t="e">
        <f t="shared" ca="1" si="87"/>
        <v>#DIV/0!</v>
      </c>
      <c r="DE59" s="48" t="e">
        <f t="shared" ca="1" si="88"/>
        <v>#DIV/0!</v>
      </c>
      <c r="DF59" s="48" t="e">
        <f t="shared" ca="1" si="89"/>
        <v>#DIV/0!</v>
      </c>
      <c r="DG59" s="48" t="e">
        <f t="shared" ca="1" si="90"/>
        <v>#DIV/0!</v>
      </c>
      <c r="DH59" s="48">
        <f ca="1">SUMIF(FCR!$BZ$4:$DB$500,DG59,FCR!$DE$4:$EG$500)</f>
        <v>0</v>
      </c>
      <c r="DI59" s="48" t="e">
        <f t="shared" ca="1" si="91"/>
        <v>#DIV/0!</v>
      </c>
      <c r="DJ59" s="48">
        <f ca="1">SUMIF(FCR!$BZ$4:$DB$142,DI59,FCR!$DE$4:$EG$142)</f>
        <v>0</v>
      </c>
      <c r="DK59" s="48" t="e">
        <f t="shared" ca="1" si="92"/>
        <v>#DIV/0!</v>
      </c>
      <c r="DL59" s="55" t="e">
        <f t="shared" ca="1" si="93"/>
        <v>#DIV/0!</v>
      </c>
      <c r="DM59" s="48" t="e">
        <f t="shared" ca="1" si="94"/>
        <v>#DIV/0!</v>
      </c>
      <c r="DN59" s="48">
        <f ca="1">SUMIF(FCR!$BZ$4:$DB$142,DM59,FCR!$DE$4:$EG$142)</f>
        <v>0</v>
      </c>
      <c r="DO59" s="53" t="e">
        <f t="shared" ca="1" si="95"/>
        <v>#DIV/0!</v>
      </c>
      <c r="DP59" s="55" t="e">
        <f t="shared" ca="1" si="96"/>
        <v>#DIV/0!</v>
      </c>
      <c r="DQ59" s="55" t="e">
        <f t="shared" ca="1" si="97"/>
        <v>#DIV/0!</v>
      </c>
      <c r="DR59" s="55"/>
      <c r="DS59" s="55" t="e">
        <f t="shared" ca="1" si="98"/>
        <v>#DIV/0!</v>
      </c>
      <c r="DT59" s="55" t="e">
        <f t="shared" ca="1" si="99"/>
        <v>#DIV/0!</v>
      </c>
      <c r="DU59" s="53">
        <f t="shared" ca="1" si="100"/>
        <v>0</v>
      </c>
      <c r="DV59" s="59" t="e">
        <f t="shared" ca="1" si="101"/>
        <v>#DIV/0!</v>
      </c>
    </row>
    <row r="60" spans="1:12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AD60" s="49" t="s">
        <v>337</v>
      </c>
      <c r="AE60" s="49">
        <f t="shared" ca="1" si="24"/>
        <v>0</v>
      </c>
      <c r="AF60" s="49">
        <f t="shared" ca="1" si="48"/>
        <v>0</v>
      </c>
      <c r="AG60" s="114">
        <f t="shared" ca="1" si="49"/>
        <v>0</v>
      </c>
      <c r="AH60" s="104">
        <f t="shared" ca="1" si="50"/>
        <v>0</v>
      </c>
      <c r="AI60" s="104">
        <f t="shared" ca="1" si="51"/>
        <v>0</v>
      </c>
      <c r="AJ60" s="104">
        <f t="shared" ca="1" si="52"/>
        <v>0</v>
      </c>
      <c r="AK60" s="104">
        <f t="shared" ca="1" si="53"/>
        <v>0</v>
      </c>
      <c r="AL60" s="104">
        <f t="shared" ca="1" si="54"/>
        <v>0</v>
      </c>
      <c r="AM60" s="104">
        <f t="shared" ca="1" si="55"/>
        <v>0</v>
      </c>
      <c r="AN60" s="104">
        <f t="shared" ca="1" si="56"/>
        <v>0</v>
      </c>
      <c r="AO60" s="104">
        <f t="shared" ca="1" si="57"/>
        <v>0</v>
      </c>
      <c r="AP60" s="104">
        <f t="shared" ca="1" si="58"/>
        <v>0</v>
      </c>
      <c r="AQ60" s="49">
        <f t="shared" ca="1" si="59"/>
        <v>0</v>
      </c>
      <c r="AR60" s="104">
        <f t="shared" ca="1" si="60"/>
        <v>0</v>
      </c>
      <c r="AS60" s="104">
        <f t="shared" ca="1" si="61"/>
        <v>0</v>
      </c>
      <c r="AT60" s="104">
        <f t="shared" ca="1" si="62"/>
        <v>0</v>
      </c>
      <c r="AU60" s="104">
        <f t="shared" ca="1" si="63"/>
        <v>0</v>
      </c>
      <c r="BF60" s="49">
        <f t="shared" ca="1" si="64"/>
        <v>0</v>
      </c>
      <c r="BG60" s="49">
        <f t="shared" ca="1" si="65"/>
        <v>0</v>
      </c>
      <c r="BH60" s="54" t="e">
        <f t="shared" ca="1" si="66"/>
        <v>#DIV/0!</v>
      </c>
      <c r="BI60" s="112" t="e">
        <f t="shared" ca="1" si="67"/>
        <v>#DIV/0!</v>
      </c>
      <c r="BK60" s="55" t="e">
        <f t="shared" ca="1" si="68"/>
        <v>#DIV/0!</v>
      </c>
      <c r="BL60" s="55" t="e">
        <f t="shared" ca="1" si="69"/>
        <v>#DIV/0!</v>
      </c>
      <c r="BM60" s="55" t="e">
        <f t="shared" ca="1" si="70"/>
        <v>#DIV/0!</v>
      </c>
      <c r="BN60" s="53">
        <f t="shared" ca="1" si="71"/>
        <v>0</v>
      </c>
      <c r="BO60" s="112" t="e">
        <f t="shared" ca="1" si="72"/>
        <v>#DIV/0!</v>
      </c>
      <c r="BR60" s="53" t="e">
        <f t="shared" ca="1" si="73"/>
        <v>#DIV/0!</v>
      </c>
      <c r="BS60" s="53">
        <f t="shared" ca="1" si="74"/>
        <v>0</v>
      </c>
      <c r="BT60" s="53">
        <f t="shared" ca="1" si="75"/>
        <v>0</v>
      </c>
      <c r="BU60" s="56" t="e">
        <f t="shared" ca="1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ca="1" si="79"/>
        <v>0</v>
      </c>
      <c r="CW60" s="53">
        <f t="shared" ca="1" si="80"/>
        <v>0</v>
      </c>
      <c r="CX60" s="58" t="e">
        <f t="shared" ca="1" si="81"/>
        <v>#DIV/0!</v>
      </c>
      <c r="CY60" s="53">
        <f t="shared" ca="1" si="82"/>
        <v>0</v>
      </c>
      <c r="CZ60" s="53">
        <f t="shared" ca="1" si="83"/>
        <v>0</v>
      </c>
      <c r="DA60" s="58" t="e">
        <f t="shared" ca="1" si="84"/>
        <v>#DIV/0!</v>
      </c>
      <c r="DB60" s="48" t="e">
        <f t="shared" ca="1" si="85"/>
        <v>#DIV/0!</v>
      </c>
      <c r="DC60" s="48" t="e">
        <f t="shared" ca="1" si="86"/>
        <v>#DIV/0!</v>
      </c>
      <c r="DD60" s="48" t="e">
        <f t="shared" ca="1" si="87"/>
        <v>#DIV/0!</v>
      </c>
      <c r="DE60" s="48" t="e">
        <f t="shared" ca="1" si="88"/>
        <v>#DIV/0!</v>
      </c>
      <c r="DF60" s="48" t="e">
        <f t="shared" ca="1" si="89"/>
        <v>#DIV/0!</v>
      </c>
      <c r="DG60" s="48" t="e">
        <f t="shared" ca="1" si="90"/>
        <v>#DIV/0!</v>
      </c>
      <c r="DH60" s="48">
        <f ca="1">SUMIF(FCR!$BZ$4:$DB$500,DG60,FCR!$DE$4:$EG$500)</f>
        <v>0</v>
      </c>
      <c r="DI60" s="48" t="e">
        <f t="shared" ca="1" si="91"/>
        <v>#DIV/0!</v>
      </c>
      <c r="DJ60" s="48">
        <f ca="1">SUMIF(FCR!$BZ$4:$DB$142,DI60,FCR!$DE$4:$EG$142)</f>
        <v>0</v>
      </c>
      <c r="DK60" s="48" t="e">
        <f t="shared" ca="1" si="92"/>
        <v>#DIV/0!</v>
      </c>
      <c r="DL60" s="55" t="e">
        <f t="shared" ca="1" si="93"/>
        <v>#DIV/0!</v>
      </c>
      <c r="DM60" s="48" t="e">
        <f t="shared" ca="1" si="94"/>
        <v>#DIV/0!</v>
      </c>
      <c r="DN60" s="48">
        <f ca="1">SUMIF(FCR!$BZ$4:$DB$142,DM60,FCR!$DE$4:$EG$142)</f>
        <v>0</v>
      </c>
      <c r="DO60" s="53" t="e">
        <f t="shared" ca="1" si="95"/>
        <v>#DIV/0!</v>
      </c>
      <c r="DP60" s="55" t="e">
        <f t="shared" ca="1" si="96"/>
        <v>#DIV/0!</v>
      </c>
      <c r="DQ60" s="55" t="e">
        <f t="shared" ca="1" si="97"/>
        <v>#DIV/0!</v>
      </c>
      <c r="DR60" s="55"/>
      <c r="DS60" s="55" t="e">
        <f t="shared" ca="1" si="98"/>
        <v>#DIV/0!</v>
      </c>
      <c r="DT60" s="55" t="e">
        <f t="shared" ca="1" si="99"/>
        <v>#DIV/0!</v>
      </c>
      <c r="DU60" s="53">
        <f t="shared" ca="1" si="100"/>
        <v>0</v>
      </c>
      <c r="DV60" s="59" t="e">
        <f t="shared" ca="1" si="101"/>
        <v>#DIV/0!</v>
      </c>
    </row>
    <row r="61" spans="1:12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AD61" s="49" t="s">
        <v>337</v>
      </c>
      <c r="AE61" s="49">
        <f t="shared" ca="1" si="24"/>
        <v>0</v>
      </c>
      <c r="AF61" s="49">
        <f t="shared" ca="1" si="48"/>
        <v>0</v>
      </c>
      <c r="AG61" s="114">
        <f t="shared" ca="1" si="49"/>
        <v>0</v>
      </c>
      <c r="AH61" s="104">
        <f t="shared" ca="1" si="50"/>
        <v>0</v>
      </c>
      <c r="AI61" s="104">
        <f t="shared" ca="1" si="51"/>
        <v>0</v>
      </c>
      <c r="AJ61" s="104">
        <f t="shared" ca="1" si="52"/>
        <v>0</v>
      </c>
      <c r="AK61" s="104">
        <f t="shared" ca="1" si="53"/>
        <v>0</v>
      </c>
      <c r="AL61" s="104">
        <f t="shared" ca="1" si="54"/>
        <v>0</v>
      </c>
      <c r="AM61" s="104">
        <f t="shared" ca="1" si="55"/>
        <v>0</v>
      </c>
      <c r="AN61" s="104">
        <f t="shared" ca="1" si="56"/>
        <v>0</v>
      </c>
      <c r="AO61" s="104">
        <f t="shared" ca="1" si="57"/>
        <v>0</v>
      </c>
      <c r="AP61" s="104">
        <f t="shared" ca="1" si="58"/>
        <v>0</v>
      </c>
      <c r="AQ61" s="49">
        <f t="shared" ca="1" si="59"/>
        <v>0</v>
      </c>
      <c r="AR61" s="104">
        <f t="shared" ca="1" si="60"/>
        <v>0</v>
      </c>
      <c r="AS61" s="104">
        <f t="shared" ca="1" si="61"/>
        <v>0</v>
      </c>
      <c r="AT61" s="104">
        <f t="shared" ca="1" si="62"/>
        <v>0</v>
      </c>
      <c r="AU61" s="104">
        <f t="shared" ca="1" si="63"/>
        <v>0</v>
      </c>
      <c r="BF61" s="49">
        <f t="shared" ca="1" si="64"/>
        <v>0</v>
      </c>
      <c r="BG61" s="49">
        <f t="shared" ca="1" si="65"/>
        <v>0</v>
      </c>
      <c r="BH61" s="54" t="e">
        <f t="shared" ca="1" si="66"/>
        <v>#DIV/0!</v>
      </c>
      <c r="BI61" s="112" t="e">
        <f t="shared" ca="1" si="67"/>
        <v>#DIV/0!</v>
      </c>
      <c r="BK61" s="55" t="e">
        <f t="shared" ca="1" si="68"/>
        <v>#DIV/0!</v>
      </c>
      <c r="BL61" s="55" t="e">
        <f t="shared" ca="1" si="69"/>
        <v>#DIV/0!</v>
      </c>
      <c r="BM61" s="55" t="e">
        <f t="shared" ca="1" si="70"/>
        <v>#DIV/0!</v>
      </c>
      <c r="BN61" s="53">
        <f t="shared" ca="1" si="71"/>
        <v>0</v>
      </c>
      <c r="BO61" s="112" t="e">
        <f t="shared" ca="1" si="72"/>
        <v>#DIV/0!</v>
      </c>
      <c r="BR61" s="53" t="e">
        <f t="shared" ca="1" si="73"/>
        <v>#DIV/0!</v>
      </c>
      <c r="BS61" s="53">
        <f t="shared" ca="1" si="74"/>
        <v>0</v>
      </c>
      <c r="BT61" s="53">
        <f t="shared" ca="1" si="75"/>
        <v>0</v>
      </c>
      <c r="BU61" s="56" t="e">
        <f t="shared" ca="1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ca="1" si="79"/>
        <v>0</v>
      </c>
      <c r="CW61" s="53">
        <f t="shared" ca="1" si="80"/>
        <v>0</v>
      </c>
      <c r="CX61" s="58" t="e">
        <f t="shared" ca="1" si="81"/>
        <v>#DIV/0!</v>
      </c>
      <c r="CY61" s="53">
        <f t="shared" ca="1" si="82"/>
        <v>0</v>
      </c>
      <c r="CZ61" s="53">
        <f t="shared" ca="1" si="83"/>
        <v>0</v>
      </c>
      <c r="DA61" s="58" t="e">
        <f t="shared" ca="1" si="84"/>
        <v>#DIV/0!</v>
      </c>
      <c r="DB61" s="48" t="e">
        <f t="shared" ca="1" si="85"/>
        <v>#DIV/0!</v>
      </c>
      <c r="DC61" s="48" t="e">
        <f t="shared" ca="1" si="86"/>
        <v>#DIV/0!</v>
      </c>
      <c r="DD61" s="48" t="e">
        <f t="shared" ca="1" si="87"/>
        <v>#DIV/0!</v>
      </c>
      <c r="DE61" s="48" t="e">
        <f t="shared" ca="1" si="88"/>
        <v>#DIV/0!</v>
      </c>
      <c r="DF61" s="48" t="e">
        <f t="shared" ca="1" si="89"/>
        <v>#DIV/0!</v>
      </c>
      <c r="DG61" s="48" t="e">
        <f t="shared" ca="1" si="90"/>
        <v>#DIV/0!</v>
      </c>
      <c r="DH61" s="48">
        <f ca="1">SUMIF(FCR!$BZ$4:$DB$500,DG61,FCR!$DE$4:$EG$500)</f>
        <v>0</v>
      </c>
      <c r="DI61" s="48" t="e">
        <f t="shared" ca="1" si="91"/>
        <v>#DIV/0!</v>
      </c>
      <c r="DJ61" s="48">
        <f ca="1">SUMIF(FCR!$BZ$4:$DB$142,DI61,FCR!$DE$4:$EG$142)</f>
        <v>0</v>
      </c>
      <c r="DK61" s="48" t="e">
        <f t="shared" ca="1" si="92"/>
        <v>#DIV/0!</v>
      </c>
      <c r="DL61" s="55" t="e">
        <f t="shared" ca="1" si="93"/>
        <v>#DIV/0!</v>
      </c>
      <c r="DM61" s="48" t="e">
        <f t="shared" ca="1" si="94"/>
        <v>#DIV/0!</v>
      </c>
      <c r="DN61" s="48">
        <f ca="1">SUMIF(FCR!$BZ$4:$DB$142,DM61,FCR!$DE$4:$EG$142)</f>
        <v>0</v>
      </c>
      <c r="DO61" s="53" t="e">
        <f t="shared" ca="1" si="95"/>
        <v>#DIV/0!</v>
      </c>
      <c r="DP61" s="55" t="e">
        <f t="shared" ca="1" si="96"/>
        <v>#DIV/0!</v>
      </c>
      <c r="DQ61" s="55" t="e">
        <f t="shared" ca="1" si="97"/>
        <v>#DIV/0!</v>
      </c>
      <c r="DR61" s="55"/>
      <c r="DS61" s="55" t="e">
        <f t="shared" ca="1" si="98"/>
        <v>#DIV/0!</v>
      </c>
      <c r="DT61" s="55" t="e">
        <f t="shared" ca="1" si="99"/>
        <v>#DIV/0!</v>
      </c>
      <c r="DU61" s="53">
        <f t="shared" ca="1" si="100"/>
        <v>0</v>
      </c>
      <c r="DV61" s="59" t="e">
        <f t="shared" ca="1" si="101"/>
        <v>#DIV/0!</v>
      </c>
    </row>
    <row r="62" spans="1:12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AD62" s="49" t="s">
        <v>337</v>
      </c>
      <c r="AE62" s="49">
        <f t="shared" ca="1" si="24"/>
        <v>0</v>
      </c>
      <c r="AF62" s="49">
        <f t="shared" ca="1" si="48"/>
        <v>0</v>
      </c>
      <c r="AG62" s="114">
        <f t="shared" ca="1" si="49"/>
        <v>0</v>
      </c>
      <c r="AH62" s="104">
        <f t="shared" ca="1" si="50"/>
        <v>0</v>
      </c>
      <c r="AI62" s="104">
        <f t="shared" ca="1" si="51"/>
        <v>0</v>
      </c>
      <c r="AJ62" s="104">
        <f t="shared" ca="1" si="52"/>
        <v>0</v>
      </c>
      <c r="AK62" s="104">
        <f t="shared" ca="1" si="53"/>
        <v>0</v>
      </c>
      <c r="AL62" s="104">
        <f t="shared" ca="1" si="54"/>
        <v>0</v>
      </c>
      <c r="AM62" s="104">
        <f t="shared" ca="1" si="55"/>
        <v>0</v>
      </c>
      <c r="AN62" s="104">
        <f t="shared" ca="1" si="56"/>
        <v>0</v>
      </c>
      <c r="AO62" s="104">
        <f t="shared" ca="1" si="57"/>
        <v>0</v>
      </c>
      <c r="AP62" s="104">
        <f t="shared" ca="1" si="58"/>
        <v>0</v>
      </c>
      <c r="AQ62" s="49">
        <f t="shared" ca="1" si="59"/>
        <v>0</v>
      </c>
      <c r="AR62" s="104">
        <f t="shared" ca="1" si="60"/>
        <v>0</v>
      </c>
      <c r="AS62" s="104">
        <f t="shared" ca="1" si="61"/>
        <v>0</v>
      </c>
      <c r="AT62" s="104">
        <f t="shared" ca="1" si="62"/>
        <v>0</v>
      </c>
      <c r="AU62" s="104">
        <f t="shared" ca="1" si="63"/>
        <v>0</v>
      </c>
      <c r="BF62" s="49">
        <f t="shared" ca="1" si="64"/>
        <v>0</v>
      </c>
      <c r="BG62" s="49">
        <f t="shared" ca="1" si="65"/>
        <v>0</v>
      </c>
      <c r="BH62" s="54" t="e">
        <f t="shared" ca="1" si="66"/>
        <v>#DIV/0!</v>
      </c>
      <c r="BI62" s="112" t="e">
        <f t="shared" ca="1" si="67"/>
        <v>#DIV/0!</v>
      </c>
      <c r="BK62" s="55" t="e">
        <f t="shared" ca="1" si="68"/>
        <v>#DIV/0!</v>
      </c>
      <c r="BL62" s="55" t="e">
        <f t="shared" ca="1" si="69"/>
        <v>#DIV/0!</v>
      </c>
      <c r="BM62" s="55" t="e">
        <f t="shared" ca="1" si="70"/>
        <v>#DIV/0!</v>
      </c>
      <c r="BN62" s="53">
        <f t="shared" ca="1" si="71"/>
        <v>0</v>
      </c>
      <c r="BO62" s="112" t="e">
        <f t="shared" ca="1" si="72"/>
        <v>#DIV/0!</v>
      </c>
      <c r="BR62" s="53" t="e">
        <f t="shared" ca="1" si="73"/>
        <v>#DIV/0!</v>
      </c>
      <c r="BS62" s="53">
        <f t="shared" ca="1" si="74"/>
        <v>0</v>
      </c>
      <c r="BT62" s="53">
        <f t="shared" ca="1" si="75"/>
        <v>0</v>
      </c>
      <c r="BU62" s="56" t="e">
        <f t="shared" ca="1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ca="1" si="79"/>
        <v>0</v>
      </c>
      <c r="CW62" s="53">
        <f t="shared" ca="1" si="80"/>
        <v>0</v>
      </c>
      <c r="CX62" s="58" t="e">
        <f t="shared" ca="1" si="81"/>
        <v>#DIV/0!</v>
      </c>
      <c r="CY62" s="53">
        <f t="shared" ca="1" si="82"/>
        <v>0</v>
      </c>
      <c r="CZ62" s="53">
        <f t="shared" ca="1" si="83"/>
        <v>0</v>
      </c>
      <c r="DA62" s="58" t="e">
        <f t="shared" ca="1" si="84"/>
        <v>#DIV/0!</v>
      </c>
      <c r="DB62" s="48" t="e">
        <f t="shared" ca="1" si="85"/>
        <v>#DIV/0!</v>
      </c>
      <c r="DC62" s="48" t="e">
        <f t="shared" ca="1" si="86"/>
        <v>#DIV/0!</v>
      </c>
      <c r="DD62" s="48" t="e">
        <f t="shared" ca="1" si="87"/>
        <v>#DIV/0!</v>
      </c>
      <c r="DE62" s="48" t="e">
        <f t="shared" ca="1" si="88"/>
        <v>#DIV/0!</v>
      </c>
      <c r="DF62" s="48" t="e">
        <f t="shared" ca="1" si="89"/>
        <v>#DIV/0!</v>
      </c>
      <c r="DG62" s="48" t="e">
        <f t="shared" ca="1" si="90"/>
        <v>#DIV/0!</v>
      </c>
      <c r="DH62" s="48">
        <f ca="1">SUMIF(FCR!$BZ$4:$DB$500,DG62,FCR!$DE$4:$EG$500)</f>
        <v>0</v>
      </c>
      <c r="DI62" s="48" t="e">
        <f t="shared" ca="1" si="91"/>
        <v>#DIV/0!</v>
      </c>
      <c r="DJ62" s="48">
        <f ca="1">SUMIF(FCR!$BZ$4:$DB$142,DI62,FCR!$DE$4:$EG$142)</f>
        <v>0</v>
      </c>
      <c r="DK62" s="48" t="e">
        <f t="shared" ca="1" si="92"/>
        <v>#DIV/0!</v>
      </c>
      <c r="DL62" s="55" t="e">
        <f t="shared" ca="1" si="93"/>
        <v>#DIV/0!</v>
      </c>
      <c r="DM62" s="48" t="e">
        <f t="shared" ca="1" si="94"/>
        <v>#DIV/0!</v>
      </c>
      <c r="DN62" s="48">
        <f ca="1">SUMIF(FCR!$BZ$4:$DB$142,DM62,FCR!$DE$4:$EG$142)</f>
        <v>0</v>
      </c>
      <c r="DO62" s="53" t="e">
        <f t="shared" ca="1" si="95"/>
        <v>#DIV/0!</v>
      </c>
      <c r="DP62" s="55" t="e">
        <f t="shared" ca="1" si="96"/>
        <v>#DIV/0!</v>
      </c>
      <c r="DQ62" s="55" t="e">
        <f t="shared" ca="1" si="97"/>
        <v>#DIV/0!</v>
      </c>
      <c r="DR62" s="55"/>
      <c r="DS62" s="55" t="e">
        <f t="shared" ca="1" si="98"/>
        <v>#DIV/0!</v>
      </c>
      <c r="DT62" s="55" t="e">
        <f t="shared" ca="1" si="99"/>
        <v>#DIV/0!</v>
      </c>
      <c r="DU62" s="53">
        <f t="shared" ca="1" si="100"/>
        <v>0</v>
      </c>
      <c r="DV62" s="59" t="e">
        <f t="shared" ca="1" si="101"/>
        <v>#DIV/0!</v>
      </c>
    </row>
    <row r="63" spans="1:12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AD63" s="49" t="s">
        <v>337</v>
      </c>
      <c r="AE63" s="49">
        <f t="shared" ca="1" si="24"/>
        <v>0</v>
      </c>
      <c r="AF63" s="49">
        <f t="shared" ca="1" si="48"/>
        <v>0</v>
      </c>
      <c r="AG63" s="114">
        <f t="shared" ca="1" si="49"/>
        <v>0</v>
      </c>
      <c r="AH63" s="104">
        <f t="shared" ca="1" si="50"/>
        <v>0</v>
      </c>
      <c r="AI63" s="104">
        <f t="shared" ca="1" si="51"/>
        <v>0</v>
      </c>
      <c r="AJ63" s="104">
        <f t="shared" ca="1" si="52"/>
        <v>0</v>
      </c>
      <c r="AK63" s="104">
        <f t="shared" ca="1" si="53"/>
        <v>0</v>
      </c>
      <c r="AL63" s="104">
        <f t="shared" ca="1" si="54"/>
        <v>0</v>
      </c>
      <c r="AM63" s="104">
        <f t="shared" ca="1" si="55"/>
        <v>0</v>
      </c>
      <c r="AN63" s="104">
        <f t="shared" ca="1" si="56"/>
        <v>0</v>
      </c>
      <c r="AO63" s="104">
        <f t="shared" ca="1" si="57"/>
        <v>0</v>
      </c>
      <c r="AP63" s="104">
        <f t="shared" ca="1" si="58"/>
        <v>0</v>
      </c>
      <c r="AQ63" s="49">
        <f t="shared" ca="1" si="59"/>
        <v>0</v>
      </c>
      <c r="AR63" s="104">
        <f t="shared" ca="1" si="60"/>
        <v>0</v>
      </c>
      <c r="AS63" s="104">
        <f t="shared" ca="1" si="61"/>
        <v>0</v>
      </c>
      <c r="AT63" s="104">
        <f t="shared" ca="1" si="62"/>
        <v>0</v>
      </c>
      <c r="AU63" s="104">
        <f t="shared" ca="1" si="63"/>
        <v>0</v>
      </c>
      <c r="BF63" s="49">
        <f t="shared" ca="1" si="64"/>
        <v>0</v>
      </c>
      <c r="BG63" s="49">
        <f t="shared" ca="1" si="65"/>
        <v>0</v>
      </c>
      <c r="BH63" s="54" t="e">
        <f t="shared" ca="1" si="66"/>
        <v>#DIV/0!</v>
      </c>
      <c r="BI63" s="112" t="e">
        <f t="shared" ca="1" si="67"/>
        <v>#DIV/0!</v>
      </c>
      <c r="BK63" s="55" t="e">
        <f t="shared" ca="1" si="68"/>
        <v>#DIV/0!</v>
      </c>
      <c r="BL63" s="55" t="e">
        <f t="shared" ca="1" si="69"/>
        <v>#DIV/0!</v>
      </c>
      <c r="BM63" s="55" t="e">
        <f t="shared" ca="1" si="70"/>
        <v>#DIV/0!</v>
      </c>
      <c r="BN63" s="53">
        <f t="shared" ca="1" si="71"/>
        <v>0</v>
      </c>
      <c r="BO63" s="112" t="e">
        <f t="shared" ca="1" si="72"/>
        <v>#DIV/0!</v>
      </c>
      <c r="BR63" s="53" t="e">
        <f t="shared" ca="1" si="73"/>
        <v>#DIV/0!</v>
      </c>
      <c r="BS63" s="53">
        <f t="shared" ca="1" si="74"/>
        <v>0</v>
      </c>
      <c r="BT63" s="53">
        <f t="shared" ca="1" si="75"/>
        <v>0</v>
      </c>
      <c r="BU63" s="56" t="e">
        <f t="shared" ca="1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ca="1" si="79"/>
        <v>0</v>
      </c>
      <c r="CW63" s="53">
        <f t="shared" ca="1" si="80"/>
        <v>0</v>
      </c>
      <c r="CX63" s="58" t="e">
        <f t="shared" ca="1" si="81"/>
        <v>#DIV/0!</v>
      </c>
      <c r="CY63" s="53">
        <f t="shared" ca="1" si="82"/>
        <v>0</v>
      </c>
      <c r="CZ63" s="53">
        <f t="shared" ca="1" si="83"/>
        <v>0</v>
      </c>
      <c r="DA63" s="58" t="e">
        <f t="shared" ca="1" si="84"/>
        <v>#DIV/0!</v>
      </c>
      <c r="DB63" s="48" t="e">
        <f t="shared" ca="1" si="85"/>
        <v>#DIV/0!</v>
      </c>
      <c r="DC63" s="48" t="e">
        <f t="shared" ca="1" si="86"/>
        <v>#DIV/0!</v>
      </c>
      <c r="DD63" s="48" t="e">
        <f t="shared" ca="1" si="87"/>
        <v>#DIV/0!</v>
      </c>
      <c r="DE63" s="48" t="e">
        <f t="shared" ca="1" si="88"/>
        <v>#DIV/0!</v>
      </c>
      <c r="DF63" s="48" t="e">
        <f t="shared" ca="1" si="89"/>
        <v>#DIV/0!</v>
      </c>
      <c r="DG63" s="48" t="e">
        <f t="shared" ca="1" si="90"/>
        <v>#DIV/0!</v>
      </c>
      <c r="DH63" s="48">
        <f ca="1">SUMIF(FCR!$BZ$4:$DB$500,DG63,FCR!$DE$4:$EG$500)</f>
        <v>0</v>
      </c>
      <c r="DI63" s="48" t="e">
        <f t="shared" ca="1" si="91"/>
        <v>#DIV/0!</v>
      </c>
      <c r="DJ63" s="48">
        <f ca="1">SUMIF(FCR!$BZ$4:$DB$142,DI63,FCR!$DE$4:$EG$142)</f>
        <v>0</v>
      </c>
      <c r="DK63" s="48" t="e">
        <f t="shared" ca="1" si="92"/>
        <v>#DIV/0!</v>
      </c>
      <c r="DL63" s="55" t="e">
        <f t="shared" ca="1" si="93"/>
        <v>#DIV/0!</v>
      </c>
      <c r="DM63" s="48" t="e">
        <f t="shared" ca="1" si="94"/>
        <v>#DIV/0!</v>
      </c>
      <c r="DN63" s="48">
        <f ca="1">SUMIF(FCR!$BZ$4:$DB$142,DM63,FCR!$DE$4:$EG$142)</f>
        <v>0</v>
      </c>
      <c r="DO63" s="53" t="e">
        <f t="shared" ca="1" si="95"/>
        <v>#DIV/0!</v>
      </c>
      <c r="DP63" s="55" t="e">
        <f t="shared" ca="1" si="96"/>
        <v>#DIV/0!</v>
      </c>
      <c r="DQ63" s="55" t="e">
        <f t="shared" ca="1" si="97"/>
        <v>#DIV/0!</v>
      </c>
      <c r="DR63" s="55"/>
      <c r="DS63" s="55" t="e">
        <f t="shared" ca="1" si="98"/>
        <v>#DIV/0!</v>
      </c>
      <c r="DT63" s="55" t="e">
        <f t="shared" ca="1" si="99"/>
        <v>#DIV/0!</v>
      </c>
      <c r="DU63" s="53">
        <f t="shared" ca="1" si="100"/>
        <v>0</v>
      </c>
      <c r="DV63" s="59" t="e">
        <f t="shared" ca="1" si="101"/>
        <v>#DIV/0!</v>
      </c>
    </row>
    <row r="64" spans="1:12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AD64" s="49" t="s">
        <v>337</v>
      </c>
      <c r="AE64" s="49">
        <f t="shared" ca="1" si="24"/>
        <v>0</v>
      </c>
      <c r="AF64" s="49">
        <f t="shared" ca="1" si="48"/>
        <v>0</v>
      </c>
      <c r="AG64" s="114">
        <f t="shared" ca="1" si="49"/>
        <v>0</v>
      </c>
      <c r="AH64" s="104">
        <f t="shared" ca="1" si="50"/>
        <v>0</v>
      </c>
      <c r="AI64" s="104">
        <f t="shared" ca="1" si="51"/>
        <v>0</v>
      </c>
      <c r="AJ64" s="104">
        <f t="shared" ca="1" si="52"/>
        <v>0</v>
      </c>
      <c r="AK64" s="104">
        <f t="shared" ca="1" si="53"/>
        <v>0</v>
      </c>
      <c r="AL64" s="104">
        <f t="shared" ca="1" si="54"/>
        <v>0</v>
      </c>
      <c r="AM64" s="104">
        <f t="shared" ca="1" si="55"/>
        <v>0</v>
      </c>
      <c r="AN64" s="104">
        <f t="shared" ca="1" si="56"/>
        <v>0</v>
      </c>
      <c r="AO64" s="104">
        <f t="shared" ca="1" si="57"/>
        <v>0</v>
      </c>
      <c r="AP64" s="104">
        <f t="shared" ca="1" si="58"/>
        <v>0</v>
      </c>
      <c r="AQ64" s="49">
        <f t="shared" ca="1" si="59"/>
        <v>0</v>
      </c>
      <c r="AR64" s="104">
        <f t="shared" ca="1" si="60"/>
        <v>0</v>
      </c>
      <c r="AS64" s="104">
        <f t="shared" ca="1" si="61"/>
        <v>0</v>
      </c>
      <c r="AT64" s="104">
        <f t="shared" ca="1" si="62"/>
        <v>0</v>
      </c>
      <c r="AU64" s="104">
        <f t="shared" ca="1" si="63"/>
        <v>0</v>
      </c>
      <c r="BF64" s="49">
        <f t="shared" ca="1" si="64"/>
        <v>0</v>
      </c>
      <c r="BG64" s="49">
        <f t="shared" ca="1" si="65"/>
        <v>0</v>
      </c>
      <c r="BH64" s="54" t="e">
        <f t="shared" ca="1" si="66"/>
        <v>#DIV/0!</v>
      </c>
      <c r="BI64" s="112" t="e">
        <f t="shared" ca="1" si="67"/>
        <v>#DIV/0!</v>
      </c>
      <c r="BK64" s="55" t="e">
        <f t="shared" ca="1" si="68"/>
        <v>#DIV/0!</v>
      </c>
      <c r="BL64" s="55" t="e">
        <f t="shared" ca="1" si="69"/>
        <v>#DIV/0!</v>
      </c>
      <c r="BM64" s="55" t="e">
        <f t="shared" ca="1" si="70"/>
        <v>#DIV/0!</v>
      </c>
      <c r="BN64" s="53">
        <f t="shared" ca="1" si="71"/>
        <v>0</v>
      </c>
      <c r="BO64" s="112" t="e">
        <f t="shared" ca="1" si="72"/>
        <v>#DIV/0!</v>
      </c>
      <c r="BR64" s="53" t="e">
        <f t="shared" ca="1" si="73"/>
        <v>#DIV/0!</v>
      </c>
      <c r="BS64" s="53">
        <f t="shared" ca="1" si="74"/>
        <v>0</v>
      </c>
      <c r="BT64" s="53">
        <f t="shared" ca="1" si="75"/>
        <v>0</v>
      </c>
      <c r="BU64" s="56" t="e">
        <f t="shared" ca="1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ca="1" si="79"/>
        <v>0</v>
      </c>
      <c r="CW64" s="53">
        <f t="shared" ca="1" si="80"/>
        <v>0</v>
      </c>
      <c r="CX64" s="58" t="e">
        <f t="shared" ca="1" si="81"/>
        <v>#DIV/0!</v>
      </c>
      <c r="CY64" s="53">
        <f t="shared" ca="1" si="82"/>
        <v>0</v>
      </c>
      <c r="CZ64" s="53">
        <f t="shared" ca="1" si="83"/>
        <v>0</v>
      </c>
      <c r="DA64" s="58" t="e">
        <f t="shared" ca="1" si="84"/>
        <v>#DIV/0!</v>
      </c>
      <c r="DB64" s="48" t="e">
        <f t="shared" ca="1" si="85"/>
        <v>#DIV/0!</v>
      </c>
      <c r="DC64" s="48" t="e">
        <f t="shared" ca="1" si="86"/>
        <v>#DIV/0!</v>
      </c>
      <c r="DD64" s="48" t="e">
        <f t="shared" ca="1" si="87"/>
        <v>#DIV/0!</v>
      </c>
      <c r="DE64" s="48" t="e">
        <f t="shared" ca="1" si="88"/>
        <v>#DIV/0!</v>
      </c>
      <c r="DF64" s="48" t="e">
        <f t="shared" ca="1" si="89"/>
        <v>#DIV/0!</v>
      </c>
      <c r="DG64" s="48" t="e">
        <f t="shared" ca="1" si="90"/>
        <v>#DIV/0!</v>
      </c>
      <c r="DH64" s="48">
        <f ca="1">SUMIF(FCR!$BZ$4:$DB$500,DG64,FCR!$DE$4:$EG$500)</f>
        <v>0</v>
      </c>
      <c r="DI64" s="48" t="e">
        <f t="shared" ca="1" si="91"/>
        <v>#DIV/0!</v>
      </c>
      <c r="DJ64" s="48">
        <f ca="1">SUMIF(FCR!$BZ$4:$DB$142,DI64,FCR!$DE$4:$EG$142)</f>
        <v>0</v>
      </c>
      <c r="DK64" s="48" t="e">
        <f t="shared" ca="1" si="92"/>
        <v>#DIV/0!</v>
      </c>
      <c r="DL64" s="55" t="e">
        <f t="shared" ca="1" si="93"/>
        <v>#DIV/0!</v>
      </c>
      <c r="DM64" s="48" t="e">
        <f t="shared" ca="1" si="94"/>
        <v>#DIV/0!</v>
      </c>
      <c r="DN64" s="48">
        <f ca="1">SUMIF(FCR!$BZ$4:$DB$142,DM64,FCR!$DE$4:$EG$142)</f>
        <v>0</v>
      </c>
      <c r="DO64" s="53" t="e">
        <f t="shared" ca="1" si="95"/>
        <v>#DIV/0!</v>
      </c>
      <c r="DP64" s="55" t="e">
        <f t="shared" ca="1" si="96"/>
        <v>#DIV/0!</v>
      </c>
      <c r="DQ64" s="55" t="e">
        <f t="shared" ca="1" si="97"/>
        <v>#DIV/0!</v>
      </c>
      <c r="DR64" s="55"/>
      <c r="DS64" s="55" t="e">
        <f t="shared" ca="1" si="98"/>
        <v>#DIV/0!</v>
      </c>
      <c r="DT64" s="55" t="e">
        <f t="shared" ca="1" si="99"/>
        <v>#DIV/0!</v>
      </c>
      <c r="DU64" s="53">
        <f t="shared" ca="1" si="100"/>
        <v>0</v>
      </c>
      <c r="DV64" s="59" t="e">
        <f t="shared" ca="1" si="101"/>
        <v>#DIV/0!</v>
      </c>
    </row>
    <row r="65" spans="1:12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AD65" s="49" t="s">
        <v>337</v>
      </c>
      <c r="AE65" s="49">
        <f t="shared" ca="1" si="24"/>
        <v>0</v>
      </c>
      <c r="AF65" s="49">
        <f t="shared" ca="1" si="48"/>
        <v>0</v>
      </c>
      <c r="AG65" s="114">
        <f t="shared" ca="1" si="49"/>
        <v>0</v>
      </c>
      <c r="AH65" s="104">
        <f t="shared" ca="1" si="50"/>
        <v>0</v>
      </c>
      <c r="AI65" s="104">
        <f t="shared" ca="1" si="51"/>
        <v>0</v>
      </c>
      <c r="AJ65" s="104">
        <f t="shared" ca="1" si="52"/>
        <v>0</v>
      </c>
      <c r="AK65" s="104">
        <f t="shared" ca="1" si="53"/>
        <v>0</v>
      </c>
      <c r="AL65" s="104">
        <f t="shared" ca="1" si="54"/>
        <v>0</v>
      </c>
      <c r="AM65" s="104">
        <f t="shared" ca="1" si="55"/>
        <v>0</v>
      </c>
      <c r="AN65" s="104">
        <f t="shared" ca="1" si="56"/>
        <v>0</v>
      </c>
      <c r="AO65" s="104">
        <f t="shared" ca="1" si="57"/>
        <v>0</v>
      </c>
      <c r="AP65" s="104">
        <f t="shared" ca="1" si="58"/>
        <v>0</v>
      </c>
      <c r="AQ65" s="49">
        <f t="shared" ca="1" si="59"/>
        <v>0</v>
      </c>
      <c r="AR65" s="104">
        <f t="shared" ca="1" si="60"/>
        <v>0</v>
      </c>
      <c r="AS65" s="104">
        <f t="shared" ca="1" si="61"/>
        <v>0</v>
      </c>
      <c r="AT65" s="104">
        <f t="shared" ca="1" si="62"/>
        <v>0</v>
      </c>
      <c r="AU65" s="104">
        <f t="shared" ca="1" si="63"/>
        <v>0</v>
      </c>
      <c r="BF65" s="49">
        <f t="shared" ca="1" si="64"/>
        <v>0</v>
      </c>
      <c r="BG65" s="49">
        <f t="shared" ca="1" si="65"/>
        <v>0</v>
      </c>
      <c r="BH65" s="54" t="e">
        <f t="shared" ca="1" si="66"/>
        <v>#DIV/0!</v>
      </c>
      <c r="BI65" s="112" t="e">
        <f t="shared" ca="1" si="67"/>
        <v>#DIV/0!</v>
      </c>
      <c r="BK65" s="55" t="e">
        <f t="shared" ca="1" si="68"/>
        <v>#DIV/0!</v>
      </c>
      <c r="BL65" s="55" t="e">
        <f t="shared" ca="1" si="69"/>
        <v>#DIV/0!</v>
      </c>
      <c r="BM65" s="55" t="e">
        <f t="shared" ca="1" si="70"/>
        <v>#DIV/0!</v>
      </c>
      <c r="BN65" s="53">
        <f t="shared" ca="1" si="71"/>
        <v>0</v>
      </c>
      <c r="BO65" s="112" t="e">
        <f t="shared" ca="1" si="72"/>
        <v>#DIV/0!</v>
      </c>
      <c r="BR65" s="53" t="e">
        <f t="shared" ca="1" si="73"/>
        <v>#DIV/0!</v>
      </c>
      <c r="BS65" s="53">
        <f t="shared" ca="1" si="74"/>
        <v>0</v>
      </c>
      <c r="BT65" s="53">
        <f t="shared" ca="1" si="75"/>
        <v>0</v>
      </c>
      <c r="BU65" s="56" t="e">
        <f t="shared" ca="1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ca="1" si="79"/>
        <v>0</v>
      </c>
      <c r="CW65" s="53">
        <f t="shared" ca="1" si="80"/>
        <v>0</v>
      </c>
      <c r="CX65" s="58" t="e">
        <f t="shared" ca="1" si="81"/>
        <v>#DIV/0!</v>
      </c>
      <c r="CY65" s="53">
        <f t="shared" ca="1" si="82"/>
        <v>0</v>
      </c>
      <c r="CZ65" s="53">
        <f t="shared" ca="1" si="83"/>
        <v>0</v>
      </c>
      <c r="DA65" s="58" t="e">
        <f t="shared" ca="1" si="84"/>
        <v>#DIV/0!</v>
      </c>
      <c r="DB65" s="48" t="e">
        <f t="shared" ca="1" si="85"/>
        <v>#DIV/0!</v>
      </c>
      <c r="DC65" s="48" t="e">
        <f t="shared" ca="1" si="86"/>
        <v>#DIV/0!</v>
      </c>
      <c r="DD65" s="48" t="e">
        <f t="shared" ca="1" si="87"/>
        <v>#DIV/0!</v>
      </c>
      <c r="DE65" s="48" t="e">
        <f t="shared" ca="1" si="88"/>
        <v>#DIV/0!</v>
      </c>
      <c r="DF65" s="48" t="e">
        <f t="shared" ca="1" si="89"/>
        <v>#DIV/0!</v>
      </c>
      <c r="DG65" s="48" t="e">
        <f t="shared" ca="1" si="90"/>
        <v>#DIV/0!</v>
      </c>
      <c r="DH65" s="48">
        <f ca="1">SUMIF(FCR!$BZ$4:$DB$500,DG65,FCR!$DE$4:$EG$500)</f>
        <v>0</v>
      </c>
      <c r="DI65" s="48" t="e">
        <f t="shared" ca="1" si="91"/>
        <v>#DIV/0!</v>
      </c>
      <c r="DJ65" s="48">
        <f ca="1">SUMIF(FCR!$BZ$4:$DB$142,DI65,FCR!$DE$4:$EG$142)</f>
        <v>0</v>
      </c>
      <c r="DK65" s="48" t="e">
        <f t="shared" ca="1" si="92"/>
        <v>#DIV/0!</v>
      </c>
      <c r="DL65" s="55" t="e">
        <f t="shared" ca="1" si="93"/>
        <v>#DIV/0!</v>
      </c>
      <c r="DM65" s="48" t="e">
        <f t="shared" ca="1" si="94"/>
        <v>#DIV/0!</v>
      </c>
      <c r="DN65" s="48">
        <f ca="1">SUMIF(FCR!$BZ$4:$DB$142,DM65,FCR!$DE$4:$EG$142)</f>
        <v>0</v>
      </c>
      <c r="DO65" s="53" t="e">
        <f t="shared" ca="1" si="95"/>
        <v>#DIV/0!</v>
      </c>
      <c r="DP65" s="55" t="e">
        <f t="shared" ca="1" si="96"/>
        <v>#DIV/0!</v>
      </c>
      <c r="DQ65" s="55" t="e">
        <f t="shared" ca="1" si="97"/>
        <v>#DIV/0!</v>
      </c>
      <c r="DR65" s="55"/>
      <c r="DS65" s="55" t="e">
        <f t="shared" ca="1" si="98"/>
        <v>#DIV/0!</v>
      </c>
      <c r="DT65" s="55" t="e">
        <f t="shared" ca="1" si="99"/>
        <v>#DIV/0!</v>
      </c>
      <c r="DU65" s="53">
        <f t="shared" ca="1" si="100"/>
        <v>0</v>
      </c>
      <c r="DV65" s="59" t="e">
        <f t="shared" ca="1" si="101"/>
        <v>#DIV/0!</v>
      </c>
    </row>
    <row r="66" spans="1:12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AD66" s="49" t="s">
        <v>337</v>
      </c>
      <c r="AE66" s="49">
        <f t="shared" ca="1" si="24"/>
        <v>0</v>
      </c>
      <c r="AF66" s="49">
        <f t="shared" ca="1" si="48"/>
        <v>0</v>
      </c>
      <c r="AG66" s="114">
        <f t="shared" ca="1" si="49"/>
        <v>0</v>
      </c>
      <c r="AH66" s="104">
        <f t="shared" ca="1" si="50"/>
        <v>0</v>
      </c>
      <c r="AI66" s="104">
        <f t="shared" ca="1" si="51"/>
        <v>0</v>
      </c>
      <c r="AJ66" s="104">
        <f t="shared" ca="1" si="52"/>
        <v>0</v>
      </c>
      <c r="AK66" s="104">
        <f t="shared" ca="1" si="53"/>
        <v>0</v>
      </c>
      <c r="AL66" s="104">
        <f t="shared" ca="1" si="54"/>
        <v>0</v>
      </c>
      <c r="AM66" s="104">
        <f t="shared" ca="1" si="55"/>
        <v>0</v>
      </c>
      <c r="AN66" s="104">
        <f t="shared" ca="1" si="56"/>
        <v>0</v>
      </c>
      <c r="AO66" s="104">
        <f t="shared" ca="1" si="57"/>
        <v>0</v>
      </c>
      <c r="AP66" s="104">
        <f t="shared" ca="1" si="58"/>
        <v>0</v>
      </c>
      <c r="AQ66" s="49">
        <f t="shared" ca="1" si="59"/>
        <v>0</v>
      </c>
      <c r="AR66" s="104">
        <f t="shared" ca="1" si="60"/>
        <v>0</v>
      </c>
      <c r="AS66" s="104">
        <f t="shared" ca="1" si="61"/>
        <v>0</v>
      </c>
      <c r="AT66" s="104">
        <f t="shared" ca="1" si="62"/>
        <v>0</v>
      </c>
      <c r="AU66" s="104">
        <f t="shared" ca="1" si="63"/>
        <v>0</v>
      </c>
      <c r="BF66" s="49">
        <f t="shared" ca="1" si="64"/>
        <v>0</v>
      </c>
      <c r="BG66" s="49">
        <f t="shared" ca="1" si="65"/>
        <v>0</v>
      </c>
      <c r="BH66" s="54" t="e">
        <f t="shared" ca="1" si="66"/>
        <v>#DIV/0!</v>
      </c>
      <c r="BI66" s="112" t="e">
        <f t="shared" ca="1" si="67"/>
        <v>#DIV/0!</v>
      </c>
      <c r="BK66" s="55" t="e">
        <f t="shared" ca="1" si="68"/>
        <v>#DIV/0!</v>
      </c>
      <c r="BL66" s="55" t="e">
        <f t="shared" ca="1" si="69"/>
        <v>#DIV/0!</v>
      </c>
      <c r="BM66" s="55" t="e">
        <f t="shared" ca="1" si="70"/>
        <v>#DIV/0!</v>
      </c>
      <c r="BN66" s="53">
        <f t="shared" ca="1" si="71"/>
        <v>0</v>
      </c>
      <c r="BO66" s="112" t="e">
        <f t="shared" ca="1" si="72"/>
        <v>#DIV/0!</v>
      </c>
      <c r="BR66" s="53" t="e">
        <f t="shared" ca="1" si="73"/>
        <v>#DIV/0!</v>
      </c>
      <c r="BS66" s="53">
        <f t="shared" ca="1" si="74"/>
        <v>0</v>
      </c>
      <c r="BT66" s="53">
        <f t="shared" ca="1" si="75"/>
        <v>0</v>
      </c>
      <c r="BU66" s="56" t="e">
        <f t="shared" ca="1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ca="1" si="79"/>
        <v>0</v>
      </c>
      <c r="CW66" s="53">
        <f t="shared" ca="1" si="80"/>
        <v>0</v>
      </c>
      <c r="CX66" s="58" t="e">
        <f t="shared" ca="1" si="81"/>
        <v>#DIV/0!</v>
      </c>
      <c r="CY66" s="53">
        <f t="shared" ca="1" si="82"/>
        <v>0</v>
      </c>
      <c r="CZ66" s="53">
        <f t="shared" ca="1" si="83"/>
        <v>0</v>
      </c>
      <c r="DA66" s="58" t="e">
        <f t="shared" ca="1" si="84"/>
        <v>#DIV/0!</v>
      </c>
      <c r="DB66" s="48" t="e">
        <f t="shared" ca="1" si="85"/>
        <v>#DIV/0!</v>
      </c>
      <c r="DC66" s="48" t="e">
        <f t="shared" ca="1" si="86"/>
        <v>#DIV/0!</v>
      </c>
      <c r="DD66" s="48" t="e">
        <f t="shared" ca="1" si="87"/>
        <v>#DIV/0!</v>
      </c>
      <c r="DE66" s="48" t="e">
        <f t="shared" ca="1" si="88"/>
        <v>#DIV/0!</v>
      </c>
      <c r="DF66" s="48" t="e">
        <f t="shared" ca="1" si="89"/>
        <v>#DIV/0!</v>
      </c>
      <c r="DG66" s="48" t="e">
        <f t="shared" ca="1" si="90"/>
        <v>#DIV/0!</v>
      </c>
      <c r="DH66" s="48">
        <f ca="1">SUMIF(FCR!$BZ$4:$DB$500,DG66,FCR!$DE$4:$EG$500)</f>
        <v>0</v>
      </c>
      <c r="DI66" s="48" t="e">
        <f t="shared" ca="1" si="91"/>
        <v>#DIV/0!</v>
      </c>
      <c r="DJ66" s="48">
        <f ca="1">SUMIF(FCR!$BZ$4:$DB$142,DI66,FCR!$DE$4:$EG$142)</f>
        <v>0</v>
      </c>
      <c r="DK66" s="48" t="e">
        <f t="shared" ca="1" si="92"/>
        <v>#DIV/0!</v>
      </c>
      <c r="DL66" s="55" t="e">
        <f t="shared" ca="1" si="93"/>
        <v>#DIV/0!</v>
      </c>
      <c r="DM66" s="48" t="e">
        <f t="shared" ca="1" si="94"/>
        <v>#DIV/0!</v>
      </c>
      <c r="DN66" s="48">
        <f ca="1">SUMIF(FCR!$BZ$4:$DB$142,DM66,FCR!$DE$4:$EG$142)</f>
        <v>0</v>
      </c>
      <c r="DO66" s="53" t="e">
        <f t="shared" ca="1" si="95"/>
        <v>#DIV/0!</v>
      </c>
      <c r="DP66" s="55" t="e">
        <f t="shared" ca="1" si="96"/>
        <v>#DIV/0!</v>
      </c>
      <c r="DQ66" s="55" t="e">
        <f t="shared" ca="1" si="97"/>
        <v>#DIV/0!</v>
      </c>
      <c r="DR66" s="55"/>
      <c r="DS66" s="55" t="e">
        <f t="shared" ca="1" si="98"/>
        <v>#DIV/0!</v>
      </c>
      <c r="DT66" s="55" t="e">
        <f t="shared" ca="1" si="99"/>
        <v>#DIV/0!</v>
      </c>
      <c r="DU66" s="53">
        <f t="shared" ca="1" si="100"/>
        <v>0</v>
      </c>
      <c r="DV66" s="59" t="e">
        <f t="shared" ca="1" si="101"/>
        <v>#DIV/0!</v>
      </c>
    </row>
    <row r="67" spans="1:12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AD67" s="49" t="s">
        <v>337</v>
      </c>
      <c r="AE67" s="49">
        <f t="shared" ca="1" si="24"/>
        <v>0</v>
      </c>
      <c r="AF67" s="49">
        <f t="shared" ca="1" si="48"/>
        <v>0</v>
      </c>
      <c r="AG67" s="114">
        <f t="shared" ca="1" si="49"/>
        <v>0</v>
      </c>
      <c r="AH67" s="104">
        <f t="shared" ca="1" si="50"/>
        <v>0</v>
      </c>
      <c r="AI67" s="104">
        <f t="shared" ca="1" si="51"/>
        <v>0</v>
      </c>
      <c r="AJ67" s="104">
        <f t="shared" ca="1" si="52"/>
        <v>0</v>
      </c>
      <c r="AK67" s="104">
        <f t="shared" ca="1" si="53"/>
        <v>0</v>
      </c>
      <c r="AL67" s="104">
        <f t="shared" ca="1" si="54"/>
        <v>0</v>
      </c>
      <c r="AM67" s="104">
        <f t="shared" ca="1" si="55"/>
        <v>0</v>
      </c>
      <c r="AN67" s="104">
        <f t="shared" ca="1" si="56"/>
        <v>0</v>
      </c>
      <c r="AO67" s="104">
        <f t="shared" ca="1" si="57"/>
        <v>0</v>
      </c>
      <c r="AP67" s="104">
        <f t="shared" ca="1" si="58"/>
        <v>0</v>
      </c>
      <c r="AQ67" s="49">
        <f t="shared" ca="1" si="59"/>
        <v>0</v>
      </c>
      <c r="AR67" s="104">
        <f t="shared" ca="1" si="60"/>
        <v>0</v>
      </c>
      <c r="AS67" s="104">
        <f t="shared" ca="1" si="61"/>
        <v>0</v>
      </c>
      <c r="AT67" s="104">
        <f t="shared" ca="1" si="62"/>
        <v>0</v>
      </c>
      <c r="AU67" s="104">
        <f t="shared" ca="1" si="63"/>
        <v>0</v>
      </c>
      <c r="BF67" s="49">
        <f t="shared" ca="1" si="64"/>
        <v>0</v>
      </c>
      <c r="BG67" s="49">
        <f t="shared" ca="1" si="65"/>
        <v>0</v>
      </c>
      <c r="BH67" s="54" t="e">
        <f t="shared" ca="1" si="66"/>
        <v>#DIV/0!</v>
      </c>
      <c r="BI67" s="112" t="e">
        <f t="shared" ca="1" si="67"/>
        <v>#DIV/0!</v>
      </c>
      <c r="BK67" s="55" t="e">
        <f t="shared" ca="1" si="68"/>
        <v>#DIV/0!</v>
      </c>
      <c r="BL67" s="55" t="e">
        <f t="shared" ca="1" si="69"/>
        <v>#DIV/0!</v>
      </c>
      <c r="BM67" s="55" t="e">
        <f t="shared" ca="1" si="70"/>
        <v>#DIV/0!</v>
      </c>
      <c r="BN67" s="53">
        <f t="shared" ca="1" si="71"/>
        <v>0</v>
      </c>
      <c r="BO67" s="112" t="e">
        <f t="shared" ca="1" si="72"/>
        <v>#DIV/0!</v>
      </c>
      <c r="BR67" s="53" t="e">
        <f t="shared" ca="1" si="73"/>
        <v>#DIV/0!</v>
      </c>
      <c r="BS67" s="53">
        <f t="shared" ca="1" si="74"/>
        <v>0</v>
      </c>
      <c r="BT67" s="53">
        <f t="shared" ca="1" si="75"/>
        <v>0</v>
      </c>
      <c r="BU67" s="56" t="e">
        <f t="shared" ca="1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ca="1" si="79"/>
        <v>0</v>
      </c>
      <c r="CW67" s="53">
        <f t="shared" ca="1" si="80"/>
        <v>0</v>
      </c>
      <c r="CX67" s="58" t="e">
        <f t="shared" ca="1" si="81"/>
        <v>#DIV/0!</v>
      </c>
      <c r="CY67" s="53">
        <f t="shared" ca="1" si="82"/>
        <v>0</v>
      </c>
      <c r="CZ67" s="53">
        <f t="shared" ca="1" si="83"/>
        <v>0</v>
      </c>
      <c r="DA67" s="58" t="e">
        <f t="shared" ca="1" si="84"/>
        <v>#DIV/0!</v>
      </c>
      <c r="DB67" s="48" t="e">
        <f t="shared" ca="1" si="85"/>
        <v>#DIV/0!</v>
      </c>
      <c r="DC67" s="48" t="e">
        <f t="shared" ca="1" si="86"/>
        <v>#DIV/0!</v>
      </c>
      <c r="DD67" s="48" t="e">
        <f t="shared" ca="1" si="87"/>
        <v>#DIV/0!</v>
      </c>
      <c r="DE67" s="48" t="e">
        <f t="shared" ca="1" si="88"/>
        <v>#DIV/0!</v>
      </c>
      <c r="DF67" s="48" t="e">
        <f t="shared" ca="1" si="89"/>
        <v>#DIV/0!</v>
      </c>
      <c r="DG67" s="48" t="e">
        <f t="shared" ca="1" si="90"/>
        <v>#DIV/0!</v>
      </c>
      <c r="DH67" s="48">
        <f ca="1">SUMIF(FCR!$BZ$4:$DB$500,DG67,FCR!$DE$4:$EG$500)</f>
        <v>0</v>
      </c>
      <c r="DI67" s="48" t="e">
        <f t="shared" ca="1" si="91"/>
        <v>#DIV/0!</v>
      </c>
      <c r="DJ67" s="48">
        <f ca="1">SUMIF(FCR!$BZ$4:$DB$142,DI67,FCR!$DE$4:$EG$142)</f>
        <v>0</v>
      </c>
      <c r="DK67" s="48" t="e">
        <f t="shared" ca="1" si="92"/>
        <v>#DIV/0!</v>
      </c>
      <c r="DL67" s="55" t="e">
        <f t="shared" ca="1" si="93"/>
        <v>#DIV/0!</v>
      </c>
      <c r="DM67" s="48" t="e">
        <f t="shared" ca="1" si="94"/>
        <v>#DIV/0!</v>
      </c>
      <c r="DN67" s="48">
        <f ca="1">SUMIF(FCR!$BZ$4:$DB$142,DM67,FCR!$DE$4:$EG$142)</f>
        <v>0</v>
      </c>
      <c r="DO67" s="53" t="e">
        <f t="shared" ca="1" si="95"/>
        <v>#DIV/0!</v>
      </c>
      <c r="DP67" s="55" t="e">
        <f t="shared" ca="1" si="96"/>
        <v>#DIV/0!</v>
      </c>
      <c r="DQ67" s="55" t="e">
        <f t="shared" ca="1" si="97"/>
        <v>#DIV/0!</v>
      </c>
      <c r="DR67" s="55"/>
      <c r="DS67" s="55" t="e">
        <f t="shared" ca="1" si="98"/>
        <v>#DIV/0!</v>
      </c>
      <c r="DT67" s="55" t="e">
        <f t="shared" ca="1" si="99"/>
        <v>#DIV/0!</v>
      </c>
      <c r="DU67" s="53">
        <f t="shared" ca="1" si="100"/>
        <v>0</v>
      </c>
      <c r="DV67" s="59" t="e">
        <f t="shared" ca="1" si="101"/>
        <v>#DIV/0!</v>
      </c>
    </row>
    <row r="68" spans="1:12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AD68" s="49" t="s">
        <v>337</v>
      </c>
      <c r="AE68" s="49">
        <f t="shared" ca="1" si="24"/>
        <v>0</v>
      </c>
      <c r="AF68" s="49">
        <f t="shared" ca="1" si="48"/>
        <v>0</v>
      </c>
      <c r="AG68" s="114">
        <f t="shared" ca="1" si="49"/>
        <v>0</v>
      </c>
      <c r="AH68" s="104">
        <f t="shared" ca="1" si="50"/>
        <v>0</v>
      </c>
      <c r="AI68" s="104">
        <f t="shared" ca="1" si="51"/>
        <v>0</v>
      </c>
      <c r="AJ68" s="104">
        <f t="shared" ca="1" si="52"/>
        <v>0</v>
      </c>
      <c r="AK68" s="104">
        <f t="shared" ca="1" si="53"/>
        <v>0</v>
      </c>
      <c r="AL68" s="104">
        <f t="shared" ca="1" si="54"/>
        <v>0</v>
      </c>
      <c r="AM68" s="104">
        <f t="shared" ca="1" si="55"/>
        <v>0</v>
      </c>
      <c r="AN68" s="104">
        <f t="shared" ca="1" si="56"/>
        <v>0</v>
      </c>
      <c r="AO68" s="104">
        <f t="shared" ca="1" si="57"/>
        <v>0</v>
      </c>
      <c r="AP68" s="104">
        <f t="shared" ca="1" si="58"/>
        <v>0</v>
      </c>
      <c r="AQ68" s="49">
        <f t="shared" ca="1" si="59"/>
        <v>0</v>
      </c>
      <c r="AR68" s="104">
        <f t="shared" ca="1" si="60"/>
        <v>0</v>
      </c>
      <c r="AS68" s="104">
        <f t="shared" ca="1" si="61"/>
        <v>0</v>
      </c>
      <c r="AT68" s="104">
        <f t="shared" ca="1" si="62"/>
        <v>0</v>
      </c>
      <c r="AU68" s="104">
        <f t="shared" ca="1" si="63"/>
        <v>0</v>
      </c>
      <c r="BF68" s="49">
        <f t="shared" ca="1" si="64"/>
        <v>0</v>
      </c>
      <c r="BG68" s="49">
        <f t="shared" ca="1" si="65"/>
        <v>0</v>
      </c>
      <c r="BH68" s="54" t="e">
        <f t="shared" ca="1" si="66"/>
        <v>#DIV/0!</v>
      </c>
      <c r="BI68" s="112" t="e">
        <f t="shared" ca="1" si="67"/>
        <v>#DIV/0!</v>
      </c>
      <c r="BK68" s="55" t="e">
        <f t="shared" ca="1" si="68"/>
        <v>#DIV/0!</v>
      </c>
      <c r="BL68" s="55" t="e">
        <f t="shared" ca="1" si="69"/>
        <v>#DIV/0!</v>
      </c>
      <c r="BM68" s="55" t="e">
        <f t="shared" ca="1" si="70"/>
        <v>#DIV/0!</v>
      </c>
      <c r="BN68" s="53">
        <f t="shared" ca="1" si="71"/>
        <v>0</v>
      </c>
      <c r="BO68" s="112" t="e">
        <f t="shared" ca="1" si="72"/>
        <v>#DIV/0!</v>
      </c>
      <c r="BR68" s="53" t="e">
        <f t="shared" ca="1" si="73"/>
        <v>#DIV/0!</v>
      </c>
      <c r="BS68" s="53">
        <f t="shared" ca="1" si="74"/>
        <v>0</v>
      </c>
      <c r="BT68" s="53">
        <f t="shared" ca="1" si="75"/>
        <v>0</v>
      </c>
      <c r="BU68" s="56" t="e">
        <f t="shared" ca="1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ca="1" si="79"/>
        <v>0</v>
      </c>
      <c r="CW68" s="53">
        <f t="shared" ca="1" si="80"/>
        <v>0</v>
      </c>
      <c r="CX68" s="58" t="e">
        <f t="shared" ca="1" si="81"/>
        <v>#DIV/0!</v>
      </c>
      <c r="CY68" s="53">
        <f t="shared" ca="1" si="82"/>
        <v>0</v>
      </c>
      <c r="CZ68" s="53">
        <f t="shared" ca="1" si="83"/>
        <v>0</v>
      </c>
      <c r="DA68" s="58" t="e">
        <f t="shared" ca="1" si="84"/>
        <v>#DIV/0!</v>
      </c>
      <c r="DB68" s="48" t="e">
        <f t="shared" ca="1" si="85"/>
        <v>#DIV/0!</v>
      </c>
      <c r="DC68" s="48" t="e">
        <f t="shared" ca="1" si="86"/>
        <v>#DIV/0!</v>
      </c>
      <c r="DD68" s="48" t="e">
        <f t="shared" ca="1" si="87"/>
        <v>#DIV/0!</v>
      </c>
      <c r="DE68" s="48" t="e">
        <f t="shared" ca="1" si="88"/>
        <v>#DIV/0!</v>
      </c>
      <c r="DF68" s="48" t="e">
        <f t="shared" ca="1" si="89"/>
        <v>#DIV/0!</v>
      </c>
      <c r="DG68" s="48" t="e">
        <f t="shared" ca="1" si="90"/>
        <v>#DIV/0!</v>
      </c>
      <c r="DH68" s="48">
        <f ca="1">SUMIF(FCR!$BZ$4:$DB$500,DG68,FCR!$DE$4:$EG$500)</f>
        <v>0</v>
      </c>
      <c r="DI68" s="48" t="e">
        <f t="shared" ca="1" si="91"/>
        <v>#DIV/0!</v>
      </c>
      <c r="DJ68" s="48">
        <f ca="1">SUMIF(FCR!$BZ$4:$DB$142,DI68,FCR!$DE$4:$EG$142)</f>
        <v>0</v>
      </c>
      <c r="DK68" s="48" t="e">
        <f t="shared" ca="1" si="92"/>
        <v>#DIV/0!</v>
      </c>
      <c r="DL68" s="55" t="e">
        <f t="shared" ca="1" si="93"/>
        <v>#DIV/0!</v>
      </c>
      <c r="DM68" s="48" t="e">
        <f t="shared" ca="1" si="94"/>
        <v>#DIV/0!</v>
      </c>
      <c r="DN68" s="48">
        <f ca="1">SUMIF(FCR!$BZ$4:$DB$142,DM68,FCR!$DE$4:$EG$142)</f>
        <v>0</v>
      </c>
      <c r="DO68" s="53" t="e">
        <f t="shared" ca="1" si="95"/>
        <v>#DIV/0!</v>
      </c>
      <c r="DP68" s="55" t="e">
        <f t="shared" ca="1" si="96"/>
        <v>#DIV/0!</v>
      </c>
      <c r="DQ68" s="55" t="e">
        <f t="shared" ca="1" si="97"/>
        <v>#DIV/0!</v>
      </c>
      <c r="DR68" s="55"/>
      <c r="DS68" s="55" t="e">
        <f t="shared" ca="1" si="98"/>
        <v>#DIV/0!</v>
      </c>
      <c r="DT68" s="55" t="e">
        <f t="shared" ca="1" si="99"/>
        <v>#DIV/0!</v>
      </c>
      <c r="DU68" s="53">
        <f t="shared" ca="1" si="100"/>
        <v>0</v>
      </c>
      <c r="DV68" s="59" t="e">
        <f t="shared" ca="1" si="101"/>
        <v>#DIV/0!</v>
      </c>
    </row>
    <row r="69" spans="1:12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AD69" s="49" t="s">
        <v>337</v>
      </c>
      <c r="AE69" s="49">
        <f t="shared" ca="1" si="24"/>
        <v>0</v>
      </c>
      <c r="AF69" s="49">
        <f t="shared" ca="1" si="48"/>
        <v>0</v>
      </c>
      <c r="AG69" s="114">
        <f t="shared" ca="1" si="49"/>
        <v>0</v>
      </c>
      <c r="AH69" s="104">
        <f t="shared" ca="1" si="50"/>
        <v>0</v>
      </c>
      <c r="AI69" s="104">
        <f t="shared" ca="1" si="51"/>
        <v>0</v>
      </c>
      <c r="AJ69" s="104">
        <f t="shared" ca="1" si="52"/>
        <v>0</v>
      </c>
      <c r="AK69" s="104">
        <f t="shared" ca="1" si="53"/>
        <v>0</v>
      </c>
      <c r="AL69" s="104">
        <f t="shared" ca="1" si="54"/>
        <v>0</v>
      </c>
      <c r="AM69" s="104">
        <f t="shared" ca="1" si="55"/>
        <v>0</v>
      </c>
      <c r="AN69" s="104">
        <f t="shared" ca="1" si="56"/>
        <v>0</v>
      </c>
      <c r="AO69" s="104">
        <f t="shared" ca="1" si="57"/>
        <v>0</v>
      </c>
      <c r="AP69" s="104">
        <f t="shared" ca="1" si="58"/>
        <v>0</v>
      </c>
      <c r="AQ69" s="49">
        <f t="shared" ca="1" si="59"/>
        <v>0</v>
      </c>
      <c r="AR69" s="104">
        <f t="shared" ca="1" si="60"/>
        <v>0</v>
      </c>
      <c r="AS69" s="104">
        <f t="shared" ca="1" si="61"/>
        <v>0</v>
      </c>
      <c r="AT69" s="104">
        <f t="shared" ca="1" si="62"/>
        <v>0</v>
      </c>
      <c r="AU69" s="104">
        <f t="shared" ca="1" si="63"/>
        <v>0</v>
      </c>
      <c r="BF69" s="49">
        <f t="shared" ca="1" si="64"/>
        <v>0</v>
      </c>
      <c r="BG69" s="49">
        <f t="shared" ca="1" si="65"/>
        <v>0</v>
      </c>
      <c r="BH69" s="54" t="e">
        <f t="shared" ca="1" si="66"/>
        <v>#DIV/0!</v>
      </c>
      <c r="BI69" s="112" t="e">
        <f t="shared" ca="1" si="67"/>
        <v>#DIV/0!</v>
      </c>
      <c r="BK69" s="55" t="e">
        <f t="shared" ca="1" si="68"/>
        <v>#DIV/0!</v>
      </c>
      <c r="BL69" s="55" t="e">
        <f t="shared" ca="1" si="69"/>
        <v>#DIV/0!</v>
      </c>
      <c r="BM69" s="55" t="e">
        <f t="shared" ca="1" si="70"/>
        <v>#DIV/0!</v>
      </c>
      <c r="BN69" s="53">
        <f t="shared" ca="1" si="71"/>
        <v>0</v>
      </c>
      <c r="BO69" s="112" t="e">
        <f t="shared" ca="1" si="72"/>
        <v>#DIV/0!</v>
      </c>
      <c r="BR69" s="53" t="e">
        <f t="shared" ca="1" si="73"/>
        <v>#DIV/0!</v>
      </c>
      <c r="BS69" s="53">
        <f t="shared" ca="1" si="74"/>
        <v>0</v>
      </c>
      <c r="BT69" s="53">
        <f t="shared" ca="1" si="75"/>
        <v>0</v>
      </c>
      <c r="BU69" s="56" t="e">
        <f t="shared" ca="1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ca="1" si="79"/>
        <v>0</v>
      </c>
      <c r="CW69" s="53">
        <f t="shared" ca="1" si="80"/>
        <v>0</v>
      </c>
      <c r="CX69" s="58" t="e">
        <f t="shared" ca="1" si="81"/>
        <v>#DIV/0!</v>
      </c>
      <c r="CY69" s="53">
        <f t="shared" ca="1" si="82"/>
        <v>0</v>
      </c>
      <c r="CZ69" s="53">
        <f t="shared" ca="1" si="83"/>
        <v>0</v>
      </c>
      <c r="DA69" s="58" t="e">
        <f t="shared" ca="1" si="84"/>
        <v>#DIV/0!</v>
      </c>
      <c r="DB69" s="48" t="e">
        <f t="shared" ca="1" si="85"/>
        <v>#DIV/0!</v>
      </c>
      <c r="DC69" s="48" t="e">
        <f t="shared" ca="1" si="86"/>
        <v>#DIV/0!</v>
      </c>
      <c r="DD69" s="48" t="e">
        <f t="shared" ca="1" si="87"/>
        <v>#DIV/0!</v>
      </c>
      <c r="DE69" s="48" t="e">
        <f t="shared" ca="1" si="88"/>
        <v>#DIV/0!</v>
      </c>
      <c r="DF69" s="48" t="e">
        <f t="shared" ca="1" si="89"/>
        <v>#DIV/0!</v>
      </c>
      <c r="DG69" s="48" t="e">
        <f t="shared" ca="1" si="90"/>
        <v>#DIV/0!</v>
      </c>
      <c r="DH69" s="48">
        <f ca="1">SUMIF(FCR!$BZ$4:$DB$500,DG69,FCR!$DE$4:$EG$500)</f>
        <v>0</v>
      </c>
      <c r="DI69" s="48" t="e">
        <f t="shared" ca="1" si="91"/>
        <v>#DIV/0!</v>
      </c>
      <c r="DJ69" s="48">
        <f ca="1">SUMIF(FCR!$BZ$4:$DB$142,DI69,FCR!$DE$4:$EG$142)</f>
        <v>0</v>
      </c>
      <c r="DK69" s="48" t="e">
        <f t="shared" ca="1" si="92"/>
        <v>#DIV/0!</v>
      </c>
      <c r="DL69" s="55" t="e">
        <f t="shared" ca="1" si="93"/>
        <v>#DIV/0!</v>
      </c>
      <c r="DM69" s="48" t="e">
        <f t="shared" ca="1" si="94"/>
        <v>#DIV/0!</v>
      </c>
      <c r="DN69" s="48">
        <f ca="1">SUMIF(FCR!$BZ$4:$DB$142,DM69,FCR!$DE$4:$EG$142)</f>
        <v>0</v>
      </c>
      <c r="DO69" s="53" t="e">
        <f t="shared" ca="1" si="95"/>
        <v>#DIV/0!</v>
      </c>
      <c r="DP69" s="55" t="e">
        <f t="shared" ca="1" si="96"/>
        <v>#DIV/0!</v>
      </c>
      <c r="DQ69" s="55" t="e">
        <f t="shared" ca="1" si="97"/>
        <v>#DIV/0!</v>
      </c>
      <c r="DR69" s="55"/>
      <c r="DS69" s="55" t="e">
        <f t="shared" ca="1" si="98"/>
        <v>#DIV/0!</v>
      </c>
      <c r="DT69" s="55" t="e">
        <f t="shared" ca="1" si="99"/>
        <v>#DIV/0!</v>
      </c>
      <c r="DU69" s="53">
        <f t="shared" ca="1" si="100"/>
        <v>0</v>
      </c>
      <c r="DV69" s="59" t="e">
        <f t="shared" ca="1" si="101"/>
        <v>#DIV/0!</v>
      </c>
    </row>
    <row r="70" spans="1:12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AD70" s="49" t="s">
        <v>337</v>
      </c>
      <c r="AE70" s="49">
        <f t="shared" ref="AE70:AE133" ca="1" si="102">+A70</f>
        <v>0</v>
      </c>
      <c r="AF70" s="49">
        <f t="shared" ca="1" si="48"/>
        <v>0</v>
      </c>
      <c r="AG70" s="114">
        <f t="shared" ca="1" si="49"/>
        <v>0</v>
      </c>
      <c r="AH70" s="104">
        <f t="shared" ca="1" si="50"/>
        <v>0</v>
      </c>
      <c r="AI70" s="104">
        <f t="shared" ca="1" si="51"/>
        <v>0</v>
      </c>
      <c r="AJ70" s="104">
        <f t="shared" ca="1" si="52"/>
        <v>0</v>
      </c>
      <c r="AK70" s="104">
        <f t="shared" ca="1" si="53"/>
        <v>0</v>
      </c>
      <c r="AL70" s="104">
        <f t="shared" ca="1" si="54"/>
        <v>0</v>
      </c>
      <c r="AM70" s="104">
        <f t="shared" ca="1" si="55"/>
        <v>0</v>
      </c>
      <c r="AN70" s="104">
        <f t="shared" ca="1" si="56"/>
        <v>0</v>
      </c>
      <c r="AO70" s="104">
        <f t="shared" ca="1" si="57"/>
        <v>0</v>
      </c>
      <c r="AP70" s="104">
        <f t="shared" ca="1" si="58"/>
        <v>0</v>
      </c>
      <c r="AQ70" s="49">
        <f t="shared" ca="1" si="59"/>
        <v>0</v>
      </c>
      <c r="AR70" s="104">
        <f t="shared" ca="1" si="60"/>
        <v>0</v>
      </c>
      <c r="AS70" s="104">
        <f t="shared" ca="1" si="61"/>
        <v>0</v>
      </c>
      <c r="AT70" s="104">
        <f t="shared" ca="1" si="62"/>
        <v>0</v>
      </c>
      <c r="AU70" s="104">
        <f t="shared" ca="1" si="63"/>
        <v>0</v>
      </c>
      <c r="BF70" s="49">
        <f t="shared" ca="1" si="64"/>
        <v>0</v>
      </c>
      <c r="BG70" s="49">
        <f t="shared" ca="1" si="65"/>
        <v>0</v>
      </c>
      <c r="BH70" s="54" t="e">
        <f t="shared" ca="1" si="66"/>
        <v>#DIV/0!</v>
      </c>
      <c r="BI70" s="112" t="e">
        <f t="shared" ca="1" si="67"/>
        <v>#DIV/0!</v>
      </c>
      <c r="BK70" s="55" t="e">
        <f t="shared" ca="1" si="68"/>
        <v>#DIV/0!</v>
      </c>
      <c r="BL70" s="55" t="e">
        <f t="shared" ca="1" si="69"/>
        <v>#DIV/0!</v>
      </c>
      <c r="BM70" s="55" t="e">
        <f t="shared" ca="1" si="70"/>
        <v>#DIV/0!</v>
      </c>
      <c r="BN70" s="53">
        <f t="shared" ca="1" si="71"/>
        <v>0</v>
      </c>
      <c r="BO70" s="112" t="e">
        <f t="shared" ca="1" si="72"/>
        <v>#DIV/0!</v>
      </c>
      <c r="BR70" s="53" t="e">
        <f t="shared" ca="1" si="73"/>
        <v>#DIV/0!</v>
      </c>
      <c r="BS70" s="53">
        <f t="shared" ca="1" si="74"/>
        <v>0</v>
      </c>
      <c r="BT70" s="53">
        <f t="shared" ca="1" si="75"/>
        <v>0</v>
      </c>
      <c r="BU70" s="56" t="e">
        <f t="shared" ca="1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ca="1" si="79"/>
        <v>0</v>
      </c>
      <c r="CW70" s="53">
        <f t="shared" ca="1" si="80"/>
        <v>0</v>
      </c>
      <c r="CX70" s="58" t="e">
        <f t="shared" ca="1" si="81"/>
        <v>#DIV/0!</v>
      </c>
      <c r="CY70" s="53">
        <f t="shared" ca="1" si="82"/>
        <v>0</v>
      </c>
      <c r="CZ70" s="53">
        <f t="shared" ca="1" si="83"/>
        <v>0</v>
      </c>
      <c r="DA70" s="58" t="e">
        <f t="shared" ca="1" si="84"/>
        <v>#DIV/0!</v>
      </c>
      <c r="DB70" s="48" t="e">
        <f t="shared" ca="1" si="85"/>
        <v>#DIV/0!</v>
      </c>
      <c r="DC70" s="48" t="e">
        <f t="shared" ca="1" si="86"/>
        <v>#DIV/0!</v>
      </c>
      <c r="DD70" s="48" t="e">
        <f t="shared" ca="1" si="87"/>
        <v>#DIV/0!</v>
      </c>
      <c r="DE70" s="48" t="e">
        <f t="shared" ca="1" si="88"/>
        <v>#DIV/0!</v>
      </c>
      <c r="DF70" s="48" t="e">
        <f t="shared" ca="1" si="89"/>
        <v>#DIV/0!</v>
      </c>
      <c r="DG70" s="48" t="e">
        <f t="shared" ca="1" si="90"/>
        <v>#DIV/0!</v>
      </c>
      <c r="DH70" s="48">
        <f ca="1">SUMIF(FCR!$BZ$4:$DB$500,DG70,FCR!$DE$4:$EG$500)</f>
        <v>0</v>
      </c>
      <c r="DI70" s="48" t="e">
        <f t="shared" ca="1" si="91"/>
        <v>#DIV/0!</v>
      </c>
      <c r="DJ70" s="48">
        <f ca="1">SUMIF(FCR!$BZ$4:$DB$142,DI70,FCR!$DE$4:$EG$142)</f>
        <v>0</v>
      </c>
      <c r="DK70" s="48" t="e">
        <f t="shared" ca="1" si="92"/>
        <v>#DIV/0!</v>
      </c>
      <c r="DL70" s="55" t="e">
        <f t="shared" ca="1" si="93"/>
        <v>#DIV/0!</v>
      </c>
      <c r="DM70" s="48" t="e">
        <f t="shared" ca="1" si="94"/>
        <v>#DIV/0!</v>
      </c>
      <c r="DN70" s="48">
        <f ca="1">SUMIF(FCR!$BZ$4:$DB$142,DM70,FCR!$DE$4:$EG$142)</f>
        <v>0</v>
      </c>
      <c r="DO70" s="53" t="e">
        <f t="shared" ca="1" si="95"/>
        <v>#DIV/0!</v>
      </c>
      <c r="DP70" s="55" t="e">
        <f t="shared" ca="1" si="96"/>
        <v>#DIV/0!</v>
      </c>
      <c r="DQ70" s="55" t="e">
        <f t="shared" ca="1" si="97"/>
        <v>#DIV/0!</v>
      </c>
      <c r="DR70" s="55"/>
      <c r="DS70" s="55" t="e">
        <f t="shared" ca="1" si="98"/>
        <v>#DIV/0!</v>
      </c>
      <c r="DT70" s="55" t="e">
        <f t="shared" ca="1" si="99"/>
        <v>#DIV/0!</v>
      </c>
      <c r="DU70" s="53">
        <f t="shared" ca="1" si="100"/>
        <v>0</v>
      </c>
      <c r="DV70" s="59" t="e">
        <f t="shared" ca="1" si="101"/>
        <v>#DIV/0!</v>
      </c>
    </row>
    <row r="71" spans="1:12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AD71" s="49" t="s">
        <v>337</v>
      </c>
      <c r="AE71" s="49">
        <f t="shared" ca="1" si="102"/>
        <v>0</v>
      </c>
      <c r="AF71" s="49">
        <f t="shared" ca="1" si="48"/>
        <v>0</v>
      </c>
      <c r="AG71" s="114">
        <f t="shared" ca="1" si="49"/>
        <v>0</v>
      </c>
      <c r="AH71" s="104">
        <f t="shared" ca="1" si="50"/>
        <v>0</v>
      </c>
      <c r="AI71" s="104">
        <f t="shared" ca="1" si="51"/>
        <v>0</v>
      </c>
      <c r="AJ71" s="104">
        <f t="shared" ca="1" si="52"/>
        <v>0</v>
      </c>
      <c r="AK71" s="104">
        <f t="shared" ca="1" si="53"/>
        <v>0</v>
      </c>
      <c r="AL71" s="104">
        <f t="shared" ca="1" si="54"/>
        <v>0</v>
      </c>
      <c r="AM71" s="104">
        <f t="shared" ca="1" si="55"/>
        <v>0</v>
      </c>
      <c r="AN71" s="104">
        <f t="shared" ca="1" si="56"/>
        <v>0</v>
      </c>
      <c r="AO71" s="104">
        <f t="shared" ca="1" si="57"/>
        <v>0</v>
      </c>
      <c r="AP71" s="104">
        <f t="shared" ca="1" si="58"/>
        <v>0</v>
      </c>
      <c r="AQ71" s="49">
        <f t="shared" ca="1" si="59"/>
        <v>0</v>
      </c>
      <c r="AR71" s="104">
        <f t="shared" ca="1" si="60"/>
        <v>0</v>
      </c>
      <c r="AS71" s="104">
        <f t="shared" ca="1" si="61"/>
        <v>0</v>
      </c>
      <c r="AT71" s="104">
        <f t="shared" ca="1" si="62"/>
        <v>0</v>
      </c>
      <c r="AU71" s="104">
        <f t="shared" ca="1" si="63"/>
        <v>0</v>
      </c>
      <c r="BF71" s="49">
        <f t="shared" ca="1" si="64"/>
        <v>0</v>
      </c>
      <c r="BG71" s="49">
        <f t="shared" ca="1" si="65"/>
        <v>0</v>
      </c>
      <c r="BH71" s="54" t="e">
        <f t="shared" ca="1" si="66"/>
        <v>#DIV/0!</v>
      </c>
      <c r="BI71" s="112" t="e">
        <f t="shared" ca="1" si="67"/>
        <v>#DIV/0!</v>
      </c>
      <c r="BK71" s="55" t="e">
        <f t="shared" ca="1" si="68"/>
        <v>#DIV/0!</v>
      </c>
      <c r="BL71" s="55" t="e">
        <f t="shared" ca="1" si="69"/>
        <v>#DIV/0!</v>
      </c>
      <c r="BM71" s="55" t="e">
        <f t="shared" ca="1" si="70"/>
        <v>#DIV/0!</v>
      </c>
      <c r="BN71" s="53">
        <f t="shared" ca="1" si="71"/>
        <v>0</v>
      </c>
      <c r="BO71" s="112" t="e">
        <f t="shared" ca="1" si="72"/>
        <v>#DIV/0!</v>
      </c>
      <c r="BR71" s="53" t="e">
        <f t="shared" ca="1" si="73"/>
        <v>#DIV/0!</v>
      </c>
      <c r="BS71" s="53">
        <f t="shared" ca="1" si="74"/>
        <v>0</v>
      </c>
      <c r="BT71" s="53">
        <f t="shared" ca="1" si="75"/>
        <v>0</v>
      </c>
      <c r="BU71" s="56" t="e">
        <f t="shared" ca="1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ca="1" si="79"/>
        <v>0</v>
      </c>
      <c r="CW71" s="53">
        <f t="shared" ca="1" si="80"/>
        <v>0</v>
      </c>
      <c r="CX71" s="58" t="e">
        <f t="shared" ca="1" si="81"/>
        <v>#DIV/0!</v>
      </c>
      <c r="CY71" s="53">
        <f t="shared" ca="1" si="82"/>
        <v>0</v>
      </c>
      <c r="CZ71" s="53">
        <f t="shared" ca="1" si="83"/>
        <v>0</v>
      </c>
      <c r="DA71" s="58" t="e">
        <f t="shared" ca="1" si="84"/>
        <v>#DIV/0!</v>
      </c>
      <c r="DB71" s="48" t="e">
        <f t="shared" ca="1" si="85"/>
        <v>#DIV/0!</v>
      </c>
      <c r="DC71" s="48" t="e">
        <f t="shared" ca="1" si="86"/>
        <v>#DIV/0!</v>
      </c>
      <c r="DD71" s="48" t="e">
        <f t="shared" ca="1" si="87"/>
        <v>#DIV/0!</v>
      </c>
      <c r="DE71" s="48" t="e">
        <f t="shared" ca="1" si="88"/>
        <v>#DIV/0!</v>
      </c>
      <c r="DF71" s="48" t="e">
        <f t="shared" ca="1" si="89"/>
        <v>#DIV/0!</v>
      </c>
      <c r="DG71" s="48" t="e">
        <f t="shared" ca="1" si="90"/>
        <v>#DIV/0!</v>
      </c>
      <c r="DH71" s="48">
        <f ca="1">SUMIF(FCR!$BZ$4:$DB$500,DG71,FCR!$DE$4:$EG$500)</f>
        <v>0</v>
      </c>
      <c r="DI71" s="48" t="e">
        <f t="shared" ca="1" si="91"/>
        <v>#DIV/0!</v>
      </c>
      <c r="DJ71" s="48">
        <f ca="1">SUMIF(FCR!$BZ$4:$DB$142,DI71,FCR!$DE$4:$EG$142)</f>
        <v>0</v>
      </c>
      <c r="DK71" s="48" t="e">
        <f t="shared" ca="1" si="92"/>
        <v>#DIV/0!</v>
      </c>
      <c r="DL71" s="55" t="e">
        <f t="shared" ca="1" si="93"/>
        <v>#DIV/0!</v>
      </c>
      <c r="DM71" s="48" t="e">
        <f t="shared" ca="1" si="94"/>
        <v>#DIV/0!</v>
      </c>
      <c r="DN71" s="48">
        <f ca="1">SUMIF(FCR!$BZ$4:$DB$142,DM71,FCR!$DE$4:$EG$142)</f>
        <v>0</v>
      </c>
      <c r="DO71" s="53" t="e">
        <f t="shared" ca="1" si="95"/>
        <v>#DIV/0!</v>
      </c>
      <c r="DP71" s="55" t="e">
        <f t="shared" ca="1" si="96"/>
        <v>#DIV/0!</v>
      </c>
      <c r="DQ71" s="55" t="e">
        <f t="shared" ca="1" si="97"/>
        <v>#DIV/0!</v>
      </c>
      <c r="DR71" s="55"/>
      <c r="DS71" s="55" t="e">
        <f t="shared" ca="1" si="98"/>
        <v>#DIV/0!</v>
      </c>
      <c r="DT71" s="55" t="e">
        <f t="shared" ca="1" si="99"/>
        <v>#DIV/0!</v>
      </c>
      <c r="DU71" s="53">
        <f t="shared" ca="1" si="100"/>
        <v>0</v>
      </c>
      <c r="DV71" s="59" t="e">
        <f t="shared" ca="1" si="101"/>
        <v>#DIV/0!</v>
      </c>
    </row>
    <row r="72" spans="1:12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AD72" s="49" t="s">
        <v>337</v>
      </c>
      <c r="AE72" s="49">
        <f t="shared" ca="1" si="102"/>
        <v>0</v>
      </c>
      <c r="AF72" s="49">
        <f t="shared" ca="1" si="48"/>
        <v>0</v>
      </c>
      <c r="AG72" s="114">
        <f t="shared" ca="1" si="49"/>
        <v>0</v>
      </c>
      <c r="AH72" s="104">
        <f t="shared" ca="1" si="50"/>
        <v>0</v>
      </c>
      <c r="AI72" s="104">
        <f t="shared" ca="1" si="51"/>
        <v>0</v>
      </c>
      <c r="AJ72" s="104">
        <f t="shared" ca="1" si="52"/>
        <v>0</v>
      </c>
      <c r="AK72" s="104">
        <f t="shared" ca="1" si="53"/>
        <v>0</v>
      </c>
      <c r="AL72" s="104">
        <f t="shared" ca="1" si="54"/>
        <v>0</v>
      </c>
      <c r="AM72" s="104">
        <f t="shared" ca="1" si="55"/>
        <v>0</v>
      </c>
      <c r="AN72" s="104">
        <f t="shared" ca="1" si="56"/>
        <v>0</v>
      </c>
      <c r="AO72" s="104">
        <f t="shared" ca="1" si="57"/>
        <v>0</v>
      </c>
      <c r="AP72" s="104">
        <f t="shared" ca="1" si="58"/>
        <v>0</v>
      </c>
      <c r="AQ72" s="49">
        <f t="shared" ca="1" si="59"/>
        <v>0</v>
      </c>
      <c r="AR72" s="104">
        <f t="shared" ca="1" si="60"/>
        <v>0</v>
      </c>
      <c r="AS72" s="104">
        <f t="shared" ca="1" si="61"/>
        <v>0</v>
      </c>
      <c r="AT72" s="104">
        <f t="shared" ca="1" si="62"/>
        <v>0</v>
      </c>
      <c r="AU72" s="104">
        <f t="shared" ca="1" si="63"/>
        <v>0</v>
      </c>
      <c r="BF72" s="49">
        <f t="shared" ca="1" si="64"/>
        <v>0</v>
      </c>
      <c r="BG72" s="49">
        <f t="shared" ca="1" si="65"/>
        <v>0</v>
      </c>
      <c r="BH72" s="54" t="e">
        <f t="shared" ca="1" si="66"/>
        <v>#DIV/0!</v>
      </c>
      <c r="BI72" s="112" t="e">
        <f t="shared" ca="1" si="67"/>
        <v>#DIV/0!</v>
      </c>
      <c r="BK72" s="55" t="e">
        <f t="shared" ca="1" si="68"/>
        <v>#DIV/0!</v>
      </c>
      <c r="BL72" s="55" t="e">
        <f t="shared" ca="1" si="69"/>
        <v>#DIV/0!</v>
      </c>
      <c r="BM72" s="55" t="e">
        <f t="shared" ca="1" si="70"/>
        <v>#DIV/0!</v>
      </c>
      <c r="BN72" s="53">
        <f t="shared" ca="1" si="71"/>
        <v>0</v>
      </c>
      <c r="BO72" s="112" t="e">
        <f t="shared" ca="1" si="72"/>
        <v>#DIV/0!</v>
      </c>
      <c r="BR72" s="53" t="e">
        <f t="shared" ca="1" si="73"/>
        <v>#DIV/0!</v>
      </c>
      <c r="BS72" s="53">
        <f t="shared" ca="1" si="74"/>
        <v>0</v>
      </c>
      <c r="BT72" s="53">
        <f t="shared" ca="1" si="75"/>
        <v>0</v>
      </c>
      <c r="BU72" s="56" t="e">
        <f t="shared" ca="1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ca="1" si="79"/>
        <v>0</v>
      </c>
      <c r="CW72" s="53">
        <f t="shared" ca="1" si="80"/>
        <v>0</v>
      </c>
      <c r="CX72" s="58" t="e">
        <f t="shared" ca="1" si="81"/>
        <v>#DIV/0!</v>
      </c>
      <c r="CY72" s="53">
        <f t="shared" ca="1" si="82"/>
        <v>0</v>
      </c>
      <c r="CZ72" s="53">
        <f t="shared" ca="1" si="83"/>
        <v>0</v>
      </c>
      <c r="DA72" s="58" t="e">
        <f t="shared" ca="1" si="84"/>
        <v>#DIV/0!</v>
      </c>
      <c r="DB72" s="48" t="e">
        <f t="shared" ca="1" si="85"/>
        <v>#DIV/0!</v>
      </c>
      <c r="DC72" s="48" t="e">
        <f t="shared" ca="1" si="86"/>
        <v>#DIV/0!</v>
      </c>
      <c r="DD72" s="48" t="e">
        <f t="shared" ca="1" si="87"/>
        <v>#DIV/0!</v>
      </c>
      <c r="DE72" s="48" t="e">
        <f t="shared" ca="1" si="88"/>
        <v>#DIV/0!</v>
      </c>
      <c r="DF72" s="48" t="e">
        <f t="shared" ca="1" si="89"/>
        <v>#DIV/0!</v>
      </c>
      <c r="DG72" s="48" t="e">
        <f t="shared" ca="1" si="90"/>
        <v>#DIV/0!</v>
      </c>
      <c r="DH72" s="48">
        <f ca="1">SUMIF(FCR!$BZ$4:$DB$500,DG72,FCR!$DE$4:$EG$500)</f>
        <v>0</v>
      </c>
      <c r="DI72" s="48" t="e">
        <f t="shared" ca="1" si="91"/>
        <v>#DIV/0!</v>
      </c>
      <c r="DJ72" s="48">
        <f ca="1">SUMIF(FCR!$BZ$4:$DB$142,DI72,FCR!$DE$4:$EG$142)</f>
        <v>0</v>
      </c>
      <c r="DK72" s="48" t="e">
        <f t="shared" ca="1" si="92"/>
        <v>#DIV/0!</v>
      </c>
      <c r="DL72" s="55" t="e">
        <f t="shared" ca="1" si="93"/>
        <v>#DIV/0!</v>
      </c>
      <c r="DM72" s="48" t="e">
        <f t="shared" ca="1" si="94"/>
        <v>#DIV/0!</v>
      </c>
      <c r="DN72" s="48">
        <f ca="1">SUMIF(FCR!$BZ$4:$DB$142,DM72,FCR!$DE$4:$EG$142)</f>
        <v>0</v>
      </c>
      <c r="DO72" s="53" t="e">
        <f t="shared" ca="1" si="95"/>
        <v>#DIV/0!</v>
      </c>
      <c r="DP72" s="55" t="e">
        <f t="shared" ca="1" si="96"/>
        <v>#DIV/0!</v>
      </c>
      <c r="DQ72" s="55" t="e">
        <f t="shared" ca="1" si="97"/>
        <v>#DIV/0!</v>
      </c>
      <c r="DR72" s="55"/>
      <c r="DS72" s="55" t="e">
        <f t="shared" ca="1" si="98"/>
        <v>#DIV/0!</v>
      </c>
      <c r="DT72" s="55" t="e">
        <f t="shared" ca="1" si="99"/>
        <v>#DIV/0!</v>
      </c>
      <c r="DU72" s="53">
        <f t="shared" ca="1" si="100"/>
        <v>0</v>
      </c>
      <c r="DV72" s="59" t="e">
        <f t="shared" ca="1" si="101"/>
        <v>#DIV/0!</v>
      </c>
    </row>
    <row r="73" spans="1:12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AD73" s="49" t="s">
        <v>337</v>
      </c>
      <c r="AE73" s="49">
        <f t="shared" ca="1" si="102"/>
        <v>0</v>
      </c>
      <c r="AF73" s="49">
        <f t="shared" ca="1" si="48"/>
        <v>0</v>
      </c>
      <c r="AG73" s="114">
        <f t="shared" ca="1" si="49"/>
        <v>0</v>
      </c>
      <c r="AH73" s="104">
        <f t="shared" ca="1" si="50"/>
        <v>0</v>
      </c>
      <c r="AI73" s="104">
        <f t="shared" ca="1" si="51"/>
        <v>0</v>
      </c>
      <c r="AJ73" s="104">
        <f t="shared" ca="1" si="52"/>
        <v>0</v>
      </c>
      <c r="AK73" s="104">
        <f t="shared" ca="1" si="53"/>
        <v>0</v>
      </c>
      <c r="AL73" s="104">
        <f t="shared" ca="1" si="54"/>
        <v>0</v>
      </c>
      <c r="AM73" s="104">
        <f t="shared" ca="1" si="55"/>
        <v>0</v>
      </c>
      <c r="AN73" s="104">
        <f t="shared" ca="1" si="56"/>
        <v>0</v>
      </c>
      <c r="AO73" s="104">
        <f t="shared" ca="1" si="57"/>
        <v>0</v>
      </c>
      <c r="AP73" s="104">
        <f t="shared" ca="1" si="58"/>
        <v>0</v>
      </c>
      <c r="AQ73" s="49">
        <f t="shared" ca="1" si="59"/>
        <v>0</v>
      </c>
      <c r="AR73" s="104">
        <f t="shared" ca="1" si="60"/>
        <v>0</v>
      </c>
      <c r="AS73" s="104">
        <f t="shared" ca="1" si="61"/>
        <v>0</v>
      </c>
      <c r="AT73" s="104">
        <f t="shared" ca="1" si="62"/>
        <v>0</v>
      </c>
      <c r="AU73" s="104">
        <f t="shared" ca="1" si="63"/>
        <v>0</v>
      </c>
      <c r="BF73" s="49">
        <f t="shared" ca="1" si="64"/>
        <v>0</v>
      </c>
      <c r="BG73" s="49">
        <f t="shared" ca="1" si="65"/>
        <v>0</v>
      </c>
      <c r="BH73" s="54" t="e">
        <f t="shared" ca="1" si="66"/>
        <v>#DIV/0!</v>
      </c>
      <c r="BI73" s="112" t="e">
        <f t="shared" ca="1" si="67"/>
        <v>#DIV/0!</v>
      </c>
      <c r="BK73" s="55" t="e">
        <f t="shared" ca="1" si="68"/>
        <v>#DIV/0!</v>
      </c>
      <c r="BL73" s="55" t="e">
        <f t="shared" ca="1" si="69"/>
        <v>#DIV/0!</v>
      </c>
      <c r="BM73" s="55" t="e">
        <f t="shared" ca="1" si="70"/>
        <v>#DIV/0!</v>
      </c>
      <c r="BN73" s="53">
        <f t="shared" ca="1" si="71"/>
        <v>0</v>
      </c>
      <c r="BO73" s="112" t="e">
        <f t="shared" ca="1" si="72"/>
        <v>#DIV/0!</v>
      </c>
      <c r="BR73" s="53" t="e">
        <f t="shared" ca="1" si="73"/>
        <v>#DIV/0!</v>
      </c>
      <c r="BS73" s="53">
        <f t="shared" ca="1" si="74"/>
        <v>0</v>
      </c>
      <c r="BT73" s="53">
        <f t="shared" ca="1" si="75"/>
        <v>0</v>
      </c>
      <c r="BU73" s="56" t="e">
        <f t="shared" ca="1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ca="1" si="79"/>
        <v>0</v>
      </c>
      <c r="CW73" s="53">
        <f t="shared" ca="1" si="80"/>
        <v>0</v>
      </c>
      <c r="CX73" s="58" t="e">
        <f t="shared" ca="1" si="81"/>
        <v>#DIV/0!</v>
      </c>
      <c r="CY73" s="53">
        <f t="shared" ca="1" si="82"/>
        <v>0</v>
      </c>
      <c r="CZ73" s="53">
        <f t="shared" ca="1" si="83"/>
        <v>0</v>
      </c>
      <c r="DA73" s="58" t="e">
        <f t="shared" ca="1" si="84"/>
        <v>#DIV/0!</v>
      </c>
      <c r="DB73" s="48" t="e">
        <f t="shared" ca="1" si="85"/>
        <v>#DIV/0!</v>
      </c>
      <c r="DC73" s="48" t="e">
        <f t="shared" ca="1" si="86"/>
        <v>#DIV/0!</v>
      </c>
      <c r="DD73" s="48" t="e">
        <f t="shared" ca="1" si="87"/>
        <v>#DIV/0!</v>
      </c>
      <c r="DE73" s="48" t="e">
        <f t="shared" ca="1" si="88"/>
        <v>#DIV/0!</v>
      </c>
      <c r="DF73" s="48" t="e">
        <f t="shared" ca="1" si="89"/>
        <v>#DIV/0!</v>
      </c>
      <c r="DG73" s="48" t="e">
        <f t="shared" ca="1" si="90"/>
        <v>#DIV/0!</v>
      </c>
      <c r="DH73" s="48">
        <f ca="1">SUMIF(FCR!$BZ$4:$DB$500,DG73,FCR!$DE$4:$EG$500)</f>
        <v>0</v>
      </c>
      <c r="DI73" s="48" t="e">
        <f t="shared" ca="1" si="91"/>
        <v>#DIV/0!</v>
      </c>
      <c r="DJ73" s="48">
        <f ca="1">SUMIF(FCR!$BZ$4:$DB$142,DI73,FCR!$DE$4:$EG$142)</f>
        <v>0</v>
      </c>
      <c r="DK73" s="48" t="e">
        <f t="shared" ca="1" si="92"/>
        <v>#DIV/0!</v>
      </c>
      <c r="DL73" s="55" t="e">
        <f t="shared" ca="1" si="93"/>
        <v>#DIV/0!</v>
      </c>
      <c r="DM73" s="48" t="e">
        <f t="shared" ca="1" si="94"/>
        <v>#DIV/0!</v>
      </c>
      <c r="DN73" s="48">
        <f ca="1">SUMIF(FCR!$BZ$4:$DB$142,DM73,FCR!$DE$4:$EG$142)</f>
        <v>0</v>
      </c>
      <c r="DO73" s="53" t="e">
        <f t="shared" ca="1" si="95"/>
        <v>#DIV/0!</v>
      </c>
      <c r="DP73" s="55" t="e">
        <f t="shared" ca="1" si="96"/>
        <v>#DIV/0!</v>
      </c>
      <c r="DQ73" s="55" t="e">
        <f t="shared" ca="1" si="97"/>
        <v>#DIV/0!</v>
      </c>
      <c r="DR73" s="55"/>
      <c r="DS73" s="55" t="e">
        <f t="shared" ca="1" si="98"/>
        <v>#DIV/0!</v>
      </c>
      <c r="DT73" s="55" t="e">
        <f t="shared" ca="1" si="99"/>
        <v>#DIV/0!</v>
      </c>
      <c r="DU73" s="53">
        <f t="shared" ca="1" si="100"/>
        <v>0</v>
      </c>
      <c r="DV73" s="59" t="e">
        <f t="shared" ca="1" si="101"/>
        <v>#DIV/0!</v>
      </c>
    </row>
    <row r="74" spans="1:12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AD74" s="49" t="s">
        <v>337</v>
      </c>
      <c r="AE74" s="49">
        <f t="shared" ca="1" si="102"/>
        <v>0</v>
      </c>
      <c r="AF74" s="49">
        <f t="shared" ca="1" si="48"/>
        <v>0</v>
      </c>
      <c r="AG74" s="114">
        <f t="shared" ca="1" si="49"/>
        <v>0</v>
      </c>
      <c r="AH74" s="104">
        <f t="shared" ca="1" si="50"/>
        <v>0</v>
      </c>
      <c r="AI74" s="104">
        <f t="shared" ca="1" si="51"/>
        <v>0</v>
      </c>
      <c r="AJ74" s="104">
        <f t="shared" ca="1" si="52"/>
        <v>0</v>
      </c>
      <c r="AK74" s="104">
        <f t="shared" ca="1" si="53"/>
        <v>0</v>
      </c>
      <c r="AL74" s="104">
        <f t="shared" ca="1" si="54"/>
        <v>0</v>
      </c>
      <c r="AM74" s="104">
        <f t="shared" ca="1" si="55"/>
        <v>0</v>
      </c>
      <c r="AN74" s="104">
        <f t="shared" ca="1" si="56"/>
        <v>0</v>
      </c>
      <c r="AO74" s="104">
        <f t="shared" ca="1" si="57"/>
        <v>0</v>
      </c>
      <c r="AP74" s="104">
        <f t="shared" ca="1" si="58"/>
        <v>0</v>
      </c>
      <c r="AQ74" s="49">
        <f t="shared" ca="1" si="59"/>
        <v>0</v>
      </c>
      <c r="AR74" s="104">
        <f t="shared" ca="1" si="60"/>
        <v>0</v>
      </c>
      <c r="AS74" s="104">
        <f t="shared" ca="1" si="61"/>
        <v>0</v>
      </c>
      <c r="AT74" s="104">
        <f t="shared" ca="1" si="62"/>
        <v>0</v>
      </c>
      <c r="AU74" s="104">
        <f t="shared" ca="1" si="63"/>
        <v>0</v>
      </c>
      <c r="BF74" s="49">
        <f t="shared" ca="1" si="64"/>
        <v>0</v>
      </c>
      <c r="BG74" s="49">
        <f t="shared" ca="1" si="65"/>
        <v>0</v>
      </c>
      <c r="BH74" s="54" t="e">
        <f t="shared" ca="1" si="66"/>
        <v>#DIV/0!</v>
      </c>
      <c r="BI74" s="112" t="e">
        <f t="shared" ca="1" si="67"/>
        <v>#DIV/0!</v>
      </c>
      <c r="BK74" s="55" t="e">
        <f t="shared" ca="1" si="68"/>
        <v>#DIV/0!</v>
      </c>
      <c r="BL74" s="55" t="e">
        <f t="shared" ca="1" si="69"/>
        <v>#DIV/0!</v>
      </c>
      <c r="BM74" s="55" t="e">
        <f t="shared" ca="1" si="70"/>
        <v>#DIV/0!</v>
      </c>
      <c r="BN74" s="53">
        <f t="shared" ca="1" si="71"/>
        <v>0</v>
      </c>
      <c r="BO74" s="112" t="e">
        <f t="shared" ca="1" si="72"/>
        <v>#DIV/0!</v>
      </c>
      <c r="BR74" s="53" t="e">
        <f t="shared" ca="1" si="73"/>
        <v>#DIV/0!</v>
      </c>
      <c r="BS74" s="53">
        <f t="shared" ca="1" si="74"/>
        <v>0</v>
      </c>
      <c r="BT74" s="53">
        <f t="shared" ca="1" si="75"/>
        <v>0</v>
      </c>
      <c r="BU74" s="56" t="e">
        <f t="shared" ca="1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ca="1" si="79"/>
        <v>0</v>
      </c>
      <c r="CW74" s="53">
        <f t="shared" ca="1" si="80"/>
        <v>0</v>
      </c>
      <c r="CX74" s="58" t="e">
        <f t="shared" ca="1" si="81"/>
        <v>#DIV/0!</v>
      </c>
      <c r="CY74" s="53">
        <f t="shared" ca="1" si="82"/>
        <v>0</v>
      </c>
      <c r="CZ74" s="53">
        <f t="shared" ca="1" si="83"/>
        <v>0</v>
      </c>
      <c r="DA74" s="58" t="e">
        <f t="shared" ca="1" si="84"/>
        <v>#DIV/0!</v>
      </c>
      <c r="DB74" s="48" t="e">
        <f t="shared" ca="1" si="85"/>
        <v>#DIV/0!</v>
      </c>
      <c r="DC74" s="48" t="e">
        <f t="shared" ca="1" si="86"/>
        <v>#DIV/0!</v>
      </c>
      <c r="DD74" s="48" t="e">
        <f t="shared" ca="1" si="87"/>
        <v>#DIV/0!</v>
      </c>
      <c r="DE74" s="48" t="e">
        <f t="shared" ca="1" si="88"/>
        <v>#DIV/0!</v>
      </c>
      <c r="DF74" s="48" t="e">
        <f t="shared" ca="1" si="89"/>
        <v>#DIV/0!</v>
      </c>
      <c r="DG74" s="48" t="e">
        <f t="shared" ca="1" si="90"/>
        <v>#DIV/0!</v>
      </c>
      <c r="DH74" s="48">
        <f ca="1">SUMIF(FCR!$BZ$4:$DB$500,DG74,FCR!$DE$4:$EG$500)</f>
        <v>0</v>
      </c>
      <c r="DI74" s="48" t="e">
        <f t="shared" ca="1" si="91"/>
        <v>#DIV/0!</v>
      </c>
      <c r="DJ74" s="48">
        <f ca="1">SUMIF(FCR!$BZ$4:$DB$142,DI74,FCR!$DE$4:$EG$142)</f>
        <v>0</v>
      </c>
      <c r="DK74" s="48" t="e">
        <f t="shared" ca="1" si="92"/>
        <v>#DIV/0!</v>
      </c>
      <c r="DL74" s="55" t="e">
        <f t="shared" ca="1" si="93"/>
        <v>#DIV/0!</v>
      </c>
      <c r="DM74" s="48" t="e">
        <f t="shared" ca="1" si="94"/>
        <v>#DIV/0!</v>
      </c>
      <c r="DN74" s="48">
        <f ca="1">SUMIF(FCR!$BZ$4:$DB$142,DM74,FCR!$DE$4:$EG$142)</f>
        <v>0</v>
      </c>
      <c r="DO74" s="53" t="e">
        <f t="shared" ca="1" si="95"/>
        <v>#DIV/0!</v>
      </c>
      <c r="DP74" s="55" t="e">
        <f t="shared" ca="1" si="96"/>
        <v>#DIV/0!</v>
      </c>
      <c r="DQ74" s="55" t="e">
        <f t="shared" ca="1" si="97"/>
        <v>#DIV/0!</v>
      </c>
      <c r="DR74" s="55"/>
      <c r="DS74" s="55" t="e">
        <f t="shared" ca="1" si="98"/>
        <v>#DIV/0!</v>
      </c>
      <c r="DT74" s="55" t="e">
        <f t="shared" ca="1" si="99"/>
        <v>#DIV/0!</v>
      </c>
      <c r="DU74" s="53">
        <f t="shared" ca="1" si="100"/>
        <v>0</v>
      </c>
      <c r="DV74" s="59" t="e">
        <f t="shared" ca="1" si="101"/>
        <v>#DIV/0!</v>
      </c>
    </row>
    <row r="75" spans="1:12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AD75" s="49" t="s">
        <v>337</v>
      </c>
      <c r="AE75" s="49">
        <f t="shared" ca="1" si="102"/>
        <v>0</v>
      </c>
      <c r="AF75" s="49">
        <f t="shared" ca="1" si="48"/>
        <v>0</v>
      </c>
      <c r="AG75" s="114">
        <f t="shared" ca="1" si="49"/>
        <v>0</v>
      </c>
      <c r="AH75" s="104">
        <f t="shared" ca="1" si="50"/>
        <v>0</v>
      </c>
      <c r="AI75" s="104">
        <f t="shared" ca="1" si="51"/>
        <v>0</v>
      </c>
      <c r="AJ75" s="104">
        <f t="shared" ca="1" si="52"/>
        <v>0</v>
      </c>
      <c r="AK75" s="104">
        <f t="shared" ca="1" si="53"/>
        <v>0</v>
      </c>
      <c r="AL75" s="104">
        <f t="shared" ca="1" si="54"/>
        <v>0</v>
      </c>
      <c r="AM75" s="104">
        <f t="shared" ca="1" si="55"/>
        <v>0</v>
      </c>
      <c r="AN75" s="104">
        <f t="shared" ca="1" si="56"/>
        <v>0</v>
      </c>
      <c r="AO75" s="104">
        <f t="shared" ca="1" si="57"/>
        <v>0</v>
      </c>
      <c r="AP75" s="104">
        <f t="shared" ca="1" si="58"/>
        <v>0</v>
      </c>
      <c r="AQ75" s="49">
        <f t="shared" ca="1" si="59"/>
        <v>0</v>
      </c>
      <c r="AR75" s="104">
        <f t="shared" ca="1" si="60"/>
        <v>0</v>
      </c>
      <c r="AS75" s="104">
        <f t="shared" ca="1" si="61"/>
        <v>0</v>
      </c>
      <c r="AT75" s="104">
        <f t="shared" ca="1" si="62"/>
        <v>0</v>
      </c>
      <c r="AU75" s="104">
        <f t="shared" ca="1" si="63"/>
        <v>0</v>
      </c>
      <c r="BF75" s="49">
        <f t="shared" ca="1" si="64"/>
        <v>0</v>
      </c>
      <c r="BG75" s="49">
        <f t="shared" ca="1" si="65"/>
        <v>0</v>
      </c>
      <c r="BH75" s="54" t="e">
        <f t="shared" ca="1" si="66"/>
        <v>#DIV/0!</v>
      </c>
      <c r="BI75" s="112" t="e">
        <f t="shared" ca="1" si="67"/>
        <v>#DIV/0!</v>
      </c>
      <c r="BK75" s="55" t="e">
        <f t="shared" ca="1" si="68"/>
        <v>#DIV/0!</v>
      </c>
      <c r="BL75" s="55" t="e">
        <f t="shared" ca="1" si="69"/>
        <v>#DIV/0!</v>
      </c>
      <c r="BM75" s="55" t="e">
        <f t="shared" ca="1" si="70"/>
        <v>#DIV/0!</v>
      </c>
      <c r="BN75" s="53">
        <f t="shared" ca="1" si="71"/>
        <v>0</v>
      </c>
      <c r="BO75" s="112" t="e">
        <f t="shared" ca="1" si="72"/>
        <v>#DIV/0!</v>
      </c>
      <c r="BR75" s="53" t="e">
        <f t="shared" ca="1" si="73"/>
        <v>#DIV/0!</v>
      </c>
      <c r="BS75" s="53">
        <f t="shared" ca="1" si="74"/>
        <v>0</v>
      </c>
      <c r="BT75" s="53">
        <f t="shared" ca="1" si="75"/>
        <v>0</v>
      </c>
      <c r="BU75" s="56" t="e">
        <f t="shared" ca="1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ca="1" si="79"/>
        <v>0</v>
      </c>
      <c r="CW75" s="53">
        <f t="shared" ca="1" si="80"/>
        <v>0</v>
      </c>
      <c r="CX75" s="58" t="e">
        <f t="shared" ca="1" si="81"/>
        <v>#DIV/0!</v>
      </c>
      <c r="CY75" s="53">
        <f t="shared" ca="1" si="82"/>
        <v>0</v>
      </c>
      <c r="CZ75" s="53">
        <f t="shared" ca="1" si="83"/>
        <v>0</v>
      </c>
      <c r="DA75" s="58" t="e">
        <f t="shared" ca="1" si="84"/>
        <v>#DIV/0!</v>
      </c>
      <c r="DB75" s="48" t="e">
        <f t="shared" ca="1" si="85"/>
        <v>#DIV/0!</v>
      </c>
      <c r="DC75" s="48" t="e">
        <f t="shared" ca="1" si="86"/>
        <v>#DIV/0!</v>
      </c>
      <c r="DD75" s="48" t="e">
        <f t="shared" ca="1" si="87"/>
        <v>#DIV/0!</v>
      </c>
      <c r="DE75" s="48" t="e">
        <f t="shared" ca="1" si="88"/>
        <v>#DIV/0!</v>
      </c>
      <c r="DF75" s="48" t="e">
        <f t="shared" ca="1" si="89"/>
        <v>#DIV/0!</v>
      </c>
      <c r="DG75" s="48" t="e">
        <f t="shared" ca="1" si="90"/>
        <v>#DIV/0!</v>
      </c>
      <c r="DH75" s="48">
        <f ca="1">SUMIF(FCR!$BZ$4:$DB$500,DG75,FCR!$DE$4:$EG$500)</f>
        <v>0</v>
      </c>
      <c r="DI75" s="48" t="e">
        <f t="shared" ca="1" si="91"/>
        <v>#DIV/0!</v>
      </c>
      <c r="DJ75" s="48">
        <f ca="1">SUMIF(FCR!$BZ$4:$DB$142,DI75,FCR!$DE$4:$EG$142)</f>
        <v>0</v>
      </c>
      <c r="DK75" s="48" t="e">
        <f t="shared" ca="1" si="92"/>
        <v>#DIV/0!</v>
      </c>
      <c r="DL75" s="55" t="e">
        <f t="shared" ca="1" si="93"/>
        <v>#DIV/0!</v>
      </c>
      <c r="DM75" s="48" t="e">
        <f t="shared" ca="1" si="94"/>
        <v>#DIV/0!</v>
      </c>
      <c r="DN75" s="48">
        <f ca="1">SUMIF(FCR!$BZ$4:$DB$142,DM75,FCR!$DE$4:$EG$142)</f>
        <v>0</v>
      </c>
      <c r="DO75" s="53" t="e">
        <f t="shared" ca="1" si="95"/>
        <v>#DIV/0!</v>
      </c>
      <c r="DP75" s="55" t="e">
        <f t="shared" ca="1" si="96"/>
        <v>#DIV/0!</v>
      </c>
      <c r="DQ75" s="55" t="e">
        <f t="shared" ca="1" si="97"/>
        <v>#DIV/0!</v>
      </c>
      <c r="DR75" s="55"/>
      <c r="DS75" s="55" t="e">
        <f t="shared" ca="1" si="98"/>
        <v>#DIV/0!</v>
      </c>
      <c r="DT75" s="55" t="e">
        <f t="shared" ca="1" si="99"/>
        <v>#DIV/0!</v>
      </c>
      <c r="DU75" s="53">
        <f t="shared" ca="1" si="100"/>
        <v>0</v>
      </c>
      <c r="DV75" s="59" t="e">
        <f t="shared" ca="1" si="101"/>
        <v>#DIV/0!</v>
      </c>
    </row>
    <row r="76" spans="1:12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AD76" s="49" t="s">
        <v>337</v>
      </c>
      <c r="AE76" s="49">
        <f t="shared" ca="1" si="102"/>
        <v>0</v>
      </c>
      <c r="AF76" s="49">
        <f t="shared" ca="1" si="48"/>
        <v>0</v>
      </c>
      <c r="AG76" s="114">
        <f t="shared" ca="1" si="49"/>
        <v>0</v>
      </c>
      <c r="AH76" s="104">
        <f t="shared" ca="1" si="50"/>
        <v>0</v>
      </c>
      <c r="AI76" s="104">
        <f t="shared" ca="1" si="51"/>
        <v>0</v>
      </c>
      <c r="AJ76" s="104">
        <f t="shared" ca="1" si="52"/>
        <v>0</v>
      </c>
      <c r="AK76" s="104">
        <f t="shared" ca="1" si="53"/>
        <v>0</v>
      </c>
      <c r="AL76" s="104">
        <f t="shared" ca="1" si="54"/>
        <v>0</v>
      </c>
      <c r="AM76" s="104">
        <f t="shared" ca="1" si="55"/>
        <v>0</v>
      </c>
      <c r="AN76" s="104">
        <f t="shared" ca="1" si="56"/>
        <v>0</v>
      </c>
      <c r="AO76" s="104">
        <f t="shared" ca="1" si="57"/>
        <v>0</v>
      </c>
      <c r="AP76" s="104">
        <f t="shared" ca="1" si="58"/>
        <v>0</v>
      </c>
      <c r="AQ76" s="49">
        <f t="shared" ca="1" si="59"/>
        <v>0</v>
      </c>
      <c r="AR76" s="104">
        <f t="shared" ca="1" si="60"/>
        <v>0</v>
      </c>
      <c r="AS76" s="104">
        <f t="shared" ca="1" si="61"/>
        <v>0</v>
      </c>
      <c r="AT76" s="104">
        <f t="shared" ca="1" si="62"/>
        <v>0</v>
      </c>
      <c r="AU76" s="104">
        <f t="shared" ca="1" si="63"/>
        <v>0</v>
      </c>
      <c r="BF76" s="49">
        <f t="shared" ca="1" si="64"/>
        <v>0</v>
      </c>
      <c r="BG76" s="49">
        <f t="shared" ca="1" si="65"/>
        <v>0</v>
      </c>
      <c r="BH76" s="54" t="e">
        <f t="shared" ca="1" si="66"/>
        <v>#DIV/0!</v>
      </c>
      <c r="BI76" s="112" t="e">
        <f t="shared" ca="1" si="67"/>
        <v>#DIV/0!</v>
      </c>
      <c r="BK76" s="55" t="e">
        <f t="shared" ca="1" si="68"/>
        <v>#DIV/0!</v>
      </c>
      <c r="BL76" s="55" t="e">
        <f t="shared" ca="1" si="69"/>
        <v>#DIV/0!</v>
      </c>
      <c r="BM76" s="55" t="e">
        <f t="shared" ca="1" si="70"/>
        <v>#DIV/0!</v>
      </c>
      <c r="BN76" s="53">
        <f t="shared" ca="1" si="71"/>
        <v>0</v>
      </c>
      <c r="BO76" s="112" t="e">
        <f t="shared" ca="1" si="72"/>
        <v>#DIV/0!</v>
      </c>
      <c r="BR76" s="53" t="e">
        <f t="shared" ca="1" si="73"/>
        <v>#DIV/0!</v>
      </c>
      <c r="BS76" s="53">
        <f t="shared" ca="1" si="74"/>
        <v>0</v>
      </c>
      <c r="BT76" s="53">
        <f t="shared" ca="1" si="75"/>
        <v>0</v>
      </c>
      <c r="BU76" s="56" t="e">
        <f t="shared" ca="1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ca="1" si="79"/>
        <v>0</v>
      </c>
      <c r="CW76" s="53">
        <f t="shared" ca="1" si="80"/>
        <v>0</v>
      </c>
      <c r="CX76" s="58" t="e">
        <f t="shared" ca="1" si="81"/>
        <v>#DIV/0!</v>
      </c>
      <c r="CY76" s="53">
        <f t="shared" ca="1" si="82"/>
        <v>0</v>
      </c>
      <c r="CZ76" s="53">
        <f t="shared" ca="1" si="83"/>
        <v>0</v>
      </c>
      <c r="DA76" s="58" t="e">
        <f t="shared" ca="1" si="84"/>
        <v>#DIV/0!</v>
      </c>
      <c r="DB76" s="48" t="e">
        <f t="shared" ca="1" si="85"/>
        <v>#DIV/0!</v>
      </c>
      <c r="DC76" s="48" t="e">
        <f t="shared" ca="1" si="86"/>
        <v>#DIV/0!</v>
      </c>
      <c r="DD76" s="48" t="e">
        <f t="shared" ca="1" si="87"/>
        <v>#DIV/0!</v>
      </c>
      <c r="DE76" s="48" t="e">
        <f t="shared" ca="1" si="88"/>
        <v>#DIV/0!</v>
      </c>
      <c r="DF76" s="48" t="e">
        <f t="shared" ca="1" si="89"/>
        <v>#DIV/0!</v>
      </c>
      <c r="DG76" s="48" t="e">
        <f t="shared" ca="1" si="90"/>
        <v>#DIV/0!</v>
      </c>
      <c r="DH76" s="48">
        <f ca="1">SUMIF(FCR!$BZ$4:$DB$500,DG76,FCR!$DE$4:$EG$500)</f>
        <v>0</v>
      </c>
      <c r="DI76" s="48" t="e">
        <f t="shared" ca="1" si="91"/>
        <v>#DIV/0!</v>
      </c>
      <c r="DJ76" s="48">
        <f ca="1">SUMIF(FCR!$BZ$4:$DB$142,DI76,FCR!$DE$4:$EG$142)</f>
        <v>0</v>
      </c>
      <c r="DK76" s="48" t="e">
        <f t="shared" ca="1" si="92"/>
        <v>#DIV/0!</v>
      </c>
      <c r="DL76" s="55" t="e">
        <f t="shared" ca="1" si="93"/>
        <v>#DIV/0!</v>
      </c>
      <c r="DM76" s="48" t="e">
        <f t="shared" ca="1" si="94"/>
        <v>#DIV/0!</v>
      </c>
      <c r="DN76" s="48">
        <f ca="1">SUMIF(FCR!$BZ$4:$DB$142,DM76,FCR!$DE$4:$EG$142)</f>
        <v>0</v>
      </c>
      <c r="DO76" s="53" t="e">
        <f t="shared" ca="1" si="95"/>
        <v>#DIV/0!</v>
      </c>
      <c r="DP76" s="55" t="e">
        <f t="shared" ca="1" si="96"/>
        <v>#DIV/0!</v>
      </c>
      <c r="DQ76" s="55" t="e">
        <f t="shared" ca="1" si="97"/>
        <v>#DIV/0!</v>
      </c>
      <c r="DR76" s="55"/>
      <c r="DS76" s="55" t="e">
        <f t="shared" ca="1" si="98"/>
        <v>#DIV/0!</v>
      </c>
      <c r="DT76" s="55" t="e">
        <f t="shared" ca="1" si="99"/>
        <v>#DIV/0!</v>
      </c>
      <c r="DU76" s="53">
        <f t="shared" ca="1" si="100"/>
        <v>0</v>
      </c>
      <c r="DV76" s="59" t="e">
        <f t="shared" ca="1" si="101"/>
        <v>#DIV/0!</v>
      </c>
    </row>
    <row r="77" spans="1:12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AD77" s="49" t="s">
        <v>337</v>
      </c>
      <c r="AE77" s="49">
        <f t="shared" ca="1" si="102"/>
        <v>0</v>
      </c>
      <c r="AF77" s="49">
        <f t="shared" ref="AF77:AF140" ca="1" si="103">+C77</f>
        <v>0</v>
      </c>
      <c r="AG77" s="114">
        <f t="shared" ref="AG77:AG140" ca="1" si="104">+D77</f>
        <v>0</v>
      </c>
      <c r="AH77" s="104">
        <f t="shared" ref="AH77:AH140" ca="1" si="105">+BF77</f>
        <v>0</v>
      </c>
      <c r="AI77" s="104">
        <f t="shared" ref="AI77:AI140" ca="1" si="106">+ROUND(IFERROR(BH77,0),1)</f>
        <v>0</v>
      </c>
      <c r="AJ77" s="104">
        <f t="shared" ref="AJ77:AJ140" ca="1" si="107">+BG77</f>
        <v>0</v>
      </c>
      <c r="AK77" s="104">
        <f t="shared" ref="AK77:AK140" ca="1" si="108">+DU77</f>
        <v>0</v>
      </c>
      <c r="AL77" s="104">
        <f t="shared" ref="AL77:AL140" ca="1" si="109">+ROUND(IFERROR(DV77,0),1)</f>
        <v>0</v>
      </c>
      <c r="AM77" s="104">
        <f t="shared" ref="AM77:AM140" ca="1" si="110">+BS77</f>
        <v>0</v>
      </c>
      <c r="AN77" s="104">
        <f t="shared" ref="AN77:AN140" ca="1" si="111">+ROUND(IFERROR(DA77,0),1)</f>
        <v>0</v>
      </c>
      <c r="AO77" s="104">
        <f t="shared" ref="AO77:AO140" ca="1" si="112">+BT77</f>
        <v>0</v>
      </c>
      <c r="AP77" s="104">
        <f t="shared" ref="AP77:AP140" ca="1" si="113">+AO77-AJ77</f>
        <v>0</v>
      </c>
      <c r="AQ77" s="49">
        <f t="shared" ref="AQ77:AQ140" ca="1" si="114">+ROUND(BN77,0)</f>
        <v>0</v>
      </c>
      <c r="AR77" s="104">
        <f t="shared" ref="AR77:AR140" ca="1" si="115">+ROUND(IFERROR(AQ77/AM77,0),1)</f>
        <v>0</v>
      </c>
      <c r="AS77" s="104">
        <f t="shared" ref="AS77:AS140" ca="1" si="116">+ROUND(IFERROR(BK77,0),3)</f>
        <v>0</v>
      </c>
      <c r="AT77" s="104">
        <f t="shared" ref="AT77:AT140" ca="1" si="117">+ROUND(IFERROR(BL77,0),3)</f>
        <v>0</v>
      </c>
      <c r="AU77" s="104">
        <f t="shared" ref="AU77:AU140" ca="1" si="118">+ROUND(IFERROR(BM77,0),3)</f>
        <v>0</v>
      </c>
      <c r="BF77" s="49">
        <f t="shared" ref="BF77:BF140" ca="1" si="119">+F77</f>
        <v>0</v>
      </c>
      <c r="BG77" s="49">
        <f t="shared" ref="BG77:BG140" ca="1" si="120">+G77</f>
        <v>0</v>
      </c>
      <c r="BH77" s="54" t="e">
        <f t="shared" ref="BH77:BH140" ca="1" si="121">BG77/BF77</f>
        <v>#DIV/0!</v>
      </c>
      <c r="BI77" s="112" t="e">
        <f t="shared" ref="BI77:BI140" ca="1" si="122">BJ77/BF77</f>
        <v>#DIV/0!</v>
      </c>
      <c r="BK77" s="55" t="e">
        <f t="shared" ref="BK77:BK140" ca="1" si="123">BN77/(BT77-BG77)</f>
        <v>#DIV/0!</v>
      </c>
      <c r="BL77" s="55" t="e">
        <f t="shared" ref="BL77:BL140" ca="1" si="124">DS77</f>
        <v>#DIV/0!</v>
      </c>
      <c r="BM77" s="55" t="e">
        <f t="shared" ref="BM77:BM140" ca="1" si="125">BK77-BL77</f>
        <v>#DIV/0!</v>
      </c>
      <c r="BN77" s="53">
        <f t="shared" ref="BN77:BN140" ca="1" si="126">+H77</f>
        <v>0</v>
      </c>
      <c r="BO77" s="112" t="e">
        <f t="shared" ref="BO77:BO140" ca="1" si="127">BP77/BN77</f>
        <v>#DIV/0!</v>
      </c>
      <c r="BR77" s="53" t="e">
        <f t="shared" ref="BR77:BR140" ca="1" si="128">BQ77/BT77</f>
        <v>#DIV/0!</v>
      </c>
      <c r="BS77" s="53">
        <f t="shared" ref="BS77:BS140" ca="1" si="129">+J77</f>
        <v>0</v>
      </c>
      <c r="BT77" s="53">
        <f t="shared" ref="BT77:BT140" ca="1" si="130">+K77</f>
        <v>0</v>
      </c>
      <c r="BU77" s="56" t="e">
        <f t="shared" ref="BU77:BU140" ca="1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ca="1" si="134">BF77</f>
        <v>0</v>
      </c>
      <c r="CW77" s="53">
        <f t="shared" ref="CW77:CW140" ca="1" si="135">BG77</f>
        <v>0</v>
      </c>
      <c r="CX77" s="58" t="e">
        <f t="shared" ref="CX77:CX140" ca="1" si="136">ROUND(BH77,2)</f>
        <v>#DIV/0!</v>
      </c>
      <c r="CY77" s="53">
        <f t="shared" ref="CY77:CY140" ca="1" si="137">BS77</f>
        <v>0</v>
      </c>
      <c r="CZ77" s="53">
        <f t="shared" ref="CZ77:CZ140" ca="1" si="138">BT77</f>
        <v>0</v>
      </c>
      <c r="DA77" s="58" t="e">
        <f t="shared" ref="DA77:DA140" ca="1" si="139">ROUND(BU77,2)</f>
        <v>#DIV/0!</v>
      </c>
      <c r="DB77" s="48" t="e">
        <f t="shared" ref="DB77:DB140" ca="1" si="140">IF(DA77&lt;100,(LEFT(DA77,2)),IF(DA77&gt;100,(LEFT(DA77,3))))</f>
        <v>#DIV/0!</v>
      </c>
      <c r="DC77" s="48" t="e">
        <f t="shared" ref="DC77:DC140" ca="1" si="141">+DB77+1</f>
        <v>#DIV/0!</v>
      </c>
      <c r="DD77" s="48" t="e">
        <f t="shared" ref="DD77:DD140" ca="1" si="142">LEFT(CX77,2)</f>
        <v>#DIV/0!</v>
      </c>
      <c r="DE77" s="48" t="e">
        <f t="shared" ref="DE77:DE140" ca="1" si="143">ROUND(DD77,0)</f>
        <v>#DIV/0!</v>
      </c>
      <c r="DF77" s="48" t="e">
        <f t="shared" ref="DF77:DF140" ca="1" si="144">+DD77+1</f>
        <v>#DIV/0!</v>
      </c>
      <c r="DG77" s="48" t="e">
        <f t="shared" ref="DG77:DG140" ca="1" si="145">DE77&amp;DB77</f>
        <v>#DIV/0!</v>
      </c>
      <c r="DH77" s="48">
        <f ca="1">SUMIF(FCR!$BZ$4:$DB$500,DG77,FCR!$DE$4:$EG$500)</f>
        <v>0</v>
      </c>
      <c r="DI77" s="48" t="e">
        <f t="shared" ref="DI77:DI140" ca="1" si="146">DF77&amp;DB77</f>
        <v>#DIV/0!</v>
      </c>
      <c r="DJ77" s="48">
        <f ca="1">SUMIF(FCR!$BZ$4:$DB$142,DI77,FCR!$DE$4:$EG$142)</f>
        <v>0</v>
      </c>
      <c r="DK77" s="48" t="e">
        <f t="shared" ref="DK77:DK140" ca="1" si="147">(CX77-DE77)*100</f>
        <v>#DIV/0!</v>
      </c>
      <c r="DL77" s="55" t="e">
        <f t="shared" ref="DL77:DL140" ca="1" si="148">ROUND(DH77+(DJ77-DH77)/100*DK77,3)</f>
        <v>#DIV/0!</v>
      </c>
      <c r="DM77" s="48" t="e">
        <f t="shared" ref="DM77:DM140" ca="1" si="149">DE77&amp;DC77</f>
        <v>#DIV/0!</v>
      </c>
      <c r="DN77" s="48">
        <f ca="1">SUMIF(FCR!$BZ$4:$DB$142,DM77,FCR!$DE$4:$EG$142)</f>
        <v>0</v>
      </c>
      <c r="DO77" s="53" t="e">
        <f t="shared" ref="DO77:DO140" ca="1" si="150">(DA77-DB77)*100</f>
        <v>#DIV/0!</v>
      </c>
      <c r="DP77" s="55" t="e">
        <f t="shared" ref="DP77:DP140" ca="1" si="151">ROUND(DH77+(DN77-DH77)/100*DO77,3)</f>
        <v>#DIV/0!</v>
      </c>
      <c r="DQ77" s="55" t="e">
        <f t="shared" ref="DQ77:DQ140" ca="1" si="152">ROUND((DP77+DL77)/2,3)</f>
        <v>#DIV/0!</v>
      </c>
      <c r="DR77" s="55"/>
      <c r="DS77" s="55" t="e">
        <f t="shared" ref="DS77:DS140" ca="1" si="153">DR77+DQ77</f>
        <v>#DIV/0!</v>
      </c>
      <c r="DT77" s="55" t="e">
        <f t="shared" ref="DT77:DT140" ca="1" si="154">+DQ77-BL77</f>
        <v>#DIV/0!</v>
      </c>
      <c r="DU77" s="53">
        <f t="shared" ref="DU77:DU140" ca="1" si="155">CV77-CY77</f>
        <v>0</v>
      </c>
      <c r="DV77" s="59" t="e">
        <f t="shared" ref="DV77:DV140" ca="1" si="156">ROUND(DU77/CV77*100,2)</f>
        <v>#DIV/0!</v>
      </c>
    </row>
    <row r="78" spans="1:12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AD78" s="49" t="s">
        <v>337</v>
      </c>
      <c r="AE78" s="49">
        <f t="shared" ca="1" si="102"/>
        <v>0</v>
      </c>
      <c r="AF78" s="49">
        <f t="shared" ca="1" si="103"/>
        <v>0</v>
      </c>
      <c r="AG78" s="114">
        <f t="shared" ca="1" si="104"/>
        <v>0</v>
      </c>
      <c r="AH78" s="104">
        <f t="shared" ca="1" si="105"/>
        <v>0</v>
      </c>
      <c r="AI78" s="104">
        <f t="shared" ca="1" si="106"/>
        <v>0</v>
      </c>
      <c r="AJ78" s="104">
        <f t="shared" ca="1" si="107"/>
        <v>0</v>
      </c>
      <c r="AK78" s="104">
        <f t="shared" ca="1" si="108"/>
        <v>0</v>
      </c>
      <c r="AL78" s="104">
        <f t="shared" ca="1" si="109"/>
        <v>0</v>
      </c>
      <c r="AM78" s="104">
        <f t="shared" ca="1" si="110"/>
        <v>0</v>
      </c>
      <c r="AN78" s="104">
        <f t="shared" ca="1" si="111"/>
        <v>0</v>
      </c>
      <c r="AO78" s="104">
        <f t="shared" ca="1" si="112"/>
        <v>0</v>
      </c>
      <c r="AP78" s="104">
        <f t="shared" ca="1" si="113"/>
        <v>0</v>
      </c>
      <c r="AQ78" s="49">
        <f t="shared" ca="1" si="114"/>
        <v>0</v>
      </c>
      <c r="AR78" s="104">
        <f t="shared" ca="1" si="115"/>
        <v>0</v>
      </c>
      <c r="AS78" s="104">
        <f t="shared" ca="1" si="116"/>
        <v>0</v>
      </c>
      <c r="AT78" s="104">
        <f t="shared" ca="1" si="117"/>
        <v>0</v>
      </c>
      <c r="AU78" s="104">
        <f t="shared" ca="1" si="118"/>
        <v>0</v>
      </c>
      <c r="BF78" s="49">
        <f t="shared" ca="1" si="119"/>
        <v>0</v>
      </c>
      <c r="BG78" s="49">
        <f t="shared" ca="1" si="120"/>
        <v>0</v>
      </c>
      <c r="BH78" s="54" t="e">
        <f t="shared" ca="1" si="121"/>
        <v>#DIV/0!</v>
      </c>
      <c r="BI78" s="112" t="e">
        <f t="shared" ca="1" si="122"/>
        <v>#DIV/0!</v>
      </c>
      <c r="BK78" s="55" t="e">
        <f t="shared" ca="1" si="123"/>
        <v>#DIV/0!</v>
      </c>
      <c r="BL78" s="55" t="e">
        <f t="shared" ca="1" si="124"/>
        <v>#DIV/0!</v>
      </c>
      <c r="BM78" s="55" t="e">
        <f t="shared" ca="1" si="125"/>
        <v>#DIV/0!</v>
      </c>
      <c r="BN78" s="53">
        <f t="shared" ca="1" si="126"/>
        <v>0</v>
      </c>
      <c r="BO78" s="112" t="e">
        <f t="shared" ca="1" si="127"/>
        <v>#DIV/0!</v>
      </c>
      <c r="BR78" s="53" t="e">
        <f t="shared" ca="1" si="128"/>
        <v>#DIV/0!</v>
      </c>
      <c r="BS78" s="53">
        <f t="shared" ca="1" si="129"/>
        <v>0</v>
      </c>
      <c r="BT78" s="53">
        <f t="shared" ca="1" si="130"/>
        <v>0</v>
      </c>
      <c r="BU78" s="56" t="e">
        <f t="shared" ca="1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ca="1" si="134"/>
        <v>0</v>
      </c>
      <c r="CW78" s="53">
        <f t="shared" ca="1" si="135"/>
        <v>0</v>
      </c>
      <c r="CX78" s="58" t="e">
        <f t="shared" ca="1" si="136"/>
        <v>#DIV/0!</v>
      </c>
      <c r="CY78" s="53">
        <f t="shared" ca="1" si="137"/>
        <v>0</v>
      </c>
      <c r="CZ78" s="53">
        <f t="shared" ca="1" si="138"/>
        <v>0</v>
      </c>
      <c r="DA78" s="58" t="e">
        <f t="shared" ca="1" si="139"/>
        <v>#DIV/0!</v>
      </c>
      <c r="DB78" s="48" t="e">
        <f t="shared" ca="1" si="140"/>
        <v>#DIV/0!</v>
      </c>
      <c r="DC78" s="48" t="e">
        <f t="shared" ca="1" si="141"/>
        <v>#DIV/0!</v>
      </c>
      <c r="DD78" s="48" t="e">
        <f t="shared" ca="1" si="142"/>
        <v>#DIV/0!</v>
      </c>
      <c r="DE78" s="48" t="e">
        <f t="shared" ca="1" si="143"/>
        <v>#DIV/0!</v>
      </c>
      <c r="DF78" s="48" t="e">
        <f t="shared" ca="1" si="144"/>
        <v>#DIV/0!</v>
      </c>
      <c r="DG78" s="48" t="e">
        <f t="shared" ca="1" si="145"/>
        <v>#DIV/0!</v>
      </c>
      <c r="DH78" s="48">
        <f ca="1">SUMIF(FCR!$BZ$4:$DB$500,DG78,FCR!$DE$4:$EG$500)</f>
        <v>0</v>
      </c>
      <c r="DI78" s="48" t="e">
        <f t="shared" ca="1" si="146"/>
        <v>#DIV/0!</v>
      </c>
      <c r="DJ78" s="48">
        <f ca="1">SUMIF(FCR!$BZ$4:$DB$142,DI78,FCR!$DE$4:$EG$142)</f>
        <v>0</v>
      </c>
      <c r="DK78" s="48" t="e">
        <f t="shared" ca="1" si="147"/>
        <v>#DIV/0!</v>
      </c>
      <c r="DL78" s="55" t="e">
        <f t="shared" ca="1" si="148"/>
        <v>#DIV/0!</v>
      </c>
      <c r="DM78" s="48" t="e">
        <f t="shared" ca="1" si="149"/>
        <v>#DIV/0!</v>
      </c>
      <c r="DN78" s="48">
        <f ca="1">SUMIF(FCR!$BZ$4:$DB$142,DM78,FCR!$DE$4:$EG$142)</f>
        <v>0</v>
      </c>
      <c r="DO78" s="53" t="e">
        <f t="shared" ca="1" si="150"/>
        <v>#DIV/0!</v>
      </c>
      <c r="DP78" s="55" t="e">
        <f t="shared" ca="1" si="151"/>
        <v>#DIV/0!</v>
      </c>
      <c r="DQ78" s="55" t="e">
        <f t="shared" ca="1" si="152"/>
        <v>#DIV/0!</v>
      </c>
      <c r="DR78" s="55"/>
      <c r="DS78" s="55" t="e">
        <f t="shared" ca="1" si="153"/>
        <v>#DIV/0!</v>
      </c>
      <c r="DT78" s="55" t="e">
        <f t="shared" ca="1" si="154"/>
        <v>#DIV/0!</v>
      </c>
      <c r="DU78" s="53">
        <f t="shared" ca="1" si="155"/>
        <v>0</v>
      </c>
      <c r="DV78" s="59" t="e">
        <f t="shared" ca="1" si="156"/>
        <v>#DIV/0!</v>
      </c>
    </row>
    <row r="79" spans="1:12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AD79" s="49" t="s">
        <v>337</v>
      </c>
      <c r="AE79" s="49">
        <f t="shared" ca="1" si="102"/>
        <v>0</v>
      </c>
      <c r="AF79" s="49">
        <f t="shared" ca="1" si="103"/>
        <v>0</v>
      </c>
      <c r="AG79" s="114">
        <f t="shared" ca="1" si="104"/>
        <v>0</v>
      </c>
      <c r="AH79" s="104">
        <f t="shared" ca="1" si="105"/>
        <v>0</v>
      </c>
      <c r="AI79" s="104">
        <f t="shared" ca="1" si="106"/>
        <v>0</v>
      </c>
      <c r="AJ79" s="104">
        <f t="shared" ca="1" si="107"/>
        <v>0</v>
      </c>
      <c r="AK79" s="104">
        <f t="shared" ca="1" si="108"/>
        <v>0</v>
      </c>
      <c r="AL79" s="104">
        <f t="shared" ca="1" si="109"/>
        <v>0</v>
      </c>
      <c r="AM79" s="104">
        <f t="shared" ca="1" si="110"/>
        <v>0</v>
      </c>
      <c r="AN79" s="104">
        <f t="shared" ca="1" si="111"/>
        <v>0</v>
      </c>
      <c r="AO79" s="104">
        <f t="shared" ca="1" si="112"/>
        <v>0</v>
      </c>
      <c r="AP79" s="104">
        <f t="shared" ca="1" si="113"/>
        <v>0</v>
      </c>
      <c r="AQ79" s="49">
        <f t="shared" ca="1" si="114"/>
        <v>0</v>
      </c>
      <c r="AR79" s="104">
        <f t="shared" ca="1" si="115"/>
        <v>0</v>
      </c>
      <c r="AS79" s="104">
        <f t="shared" ca="1" si="116"/>
        <v>0</v>
      </c>
      <c r="AT79" s="104">
        <f t="shared" ca="1" si="117"/>
        <v>0</v>
      </c>
      <c r="AU79" s="104">
        <f t="shared" ca="1" si="118"/>
        <v>0</v>
      </c>
      <c r="BF79" s="49">
        <f t="shared" ca="1" si="119"/>
        <v>0</v>
      </c>
      <c r="BG79" s="49">
        <f t="shared" ca="1" si="120"/>
        <v>0</v>
      </c>
      <c r="BH79" s="54" t="e">
        <f t="shared" ca="1" si="121"/>
        <v>#DIV/0!</v>
      </c>
      <c r="BI79" s="112" t="e">
        <f t="shared" ca="1" si="122"/>
        <v>#DIV/0!</v>
      </c>
      <c r="BK79" s="55" t="e">
        <f t="shared" ca="1" si="123"/>
        <v>#DIV/0!</v>
      </c>
      <c r="BL79" s="55" t="e">
        <f t="shared" ca="1" si="124"/>
        <v>#DIV/0!</v>
      </c>
      <c r="BM79" s="55" t="e">
        <f t="shared" ca="1" si="125"/>
        <v>#DIV/0!</v>
      </c>
      <c r="BN79" s="53">
        <f t="shared" ca="1" si="126"/>
        <v>0</v>
      </c>
      <c r="BO79" s="112" t="e">
        <f t="shared" ca="1" si="127"/>
        <v>#DIV/0!</v>
      </c>
      <c r="BR79" s="53" t="e">
        <f t="shared" ca="1" si="128"/>
        <v>#DIV/0!</v>
      </c>
      <c r="BS79" s="53">
        <f t="shared" ca="1" si="129"/>
        <v>0</v>
      </c>
      <c r="BT79" s="53">
        <f t="shared" ca="1" si="130"/>
        <v>0</v>
      </c>
      <c r="BU79" s="56" t="e">
        <f t="shared" ca="1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ca="1" si="134"/>
        <v>0</v>
      </c>
      <c r="CW79" s="53">
        <f t="shared" ca="1" si="135"/>
        <v>0</v>
      </c>
      <c r="CX79" s="58" t="e">
        <f t="shared" ca="1" si="136"/>
        <v>#DIV/0!</v>
      </c>
      <c r="CY79" s="53">
        <f t="shared" ca="1" si="137"/>
        <v>0</v>
      </c>
      <c r="CZ79" s="53">
        <f t="shared" ca="1" si="138"/>
        <v>0</v>
      </c>
      <c r="DA79" s="58" t="e">
        <f t="shared" ca="1" si="139"/>
        <v>#DIV/0!</v>
      </c>
      <c r="DB79" s="48" t="e">
        <f t="shared" ca="1" si="140"/>
        <v>#DIV/0!</v>
      </c>
      <c r="DC79" s="48" t="e">
        <f t="shared" ca="1" si="141"/>
        <v>#DIV/0!</v>
      </c>
      <c r="DD79" s="48" t="e">
        <f t="shared" ca="1" si="142"/>
        <v>#DIV/0!</v>
      </c>
      <c r="DE79" s="48" t="e">
        <f t="shared" ca="1" si="143"/>
        <v>#DIV/0!</v>
      </c>
      <c r="DF79" s="48" t="e">
        <f t="shared" ca="1" si="144"/>
        <v>#DIV/0!</v>
      </c>
      <c r="DG79" s="48" t="e">
        <f t="shared" ca="1" si="145"/>
        <v>#DIV/0!</v>
      </c>
      <c r="DH79" s="48">
        <f ca="1">SUMIF(FCR!$BZ$4:$DB$500,DG79,FCR!$DE$4:$EG$500)</f>
        <v>0</v>
      </c>
      <c r="DI79" s="48" t="e">
        <f t="shared" ca="1" si="146"/>
        <v>#DIV/0!</v>
      </c>
      <c r="DJ79" s="48">
        <f ca="1">SUMIF(FCR!$BZ$4:$DB$142,DI79,FCR!$DE$4:$EG$142)</f>
        <v>0</v>
      </c>
      <c r="DK79" s="48" t="e">
        <f t="shared" ca="1" si="147"/>
        <v>#DIV/0!</v>
      </c>
      <c r="DL79" s="55" t="e">
        <f t="shared" ca="1" si="148"/>
        <v>#DIV/0!</v>
      </c>
      <c r="DM79" s="48" t="e">
        <f t="shared" ca="1" si="149"/>
        <v>#DIV/0!</v>
      </c>
      <c r="DN79" s="48">
        <f ca="1">SUMIF(FCR!$BZ$4:$DB$142,DM79,FCR!$DE$4:$EG$142)</f>
        <v>0</v>
      </c>
      <c r="DO79" s="53" t="e">
        <f t="shared" ca="1" si="150"/>
        <v>#DIV/0!</v>
      </c>
      <c r="DP79" s="55" t="e">
        <f t="shared" ca="1" si="151"/>
        <v>#DIV/0!</v>
      </c>
      <c r="DQ79" s="55" t="e">
        <f t="shared" ca="1" si="152"/>
        <v>#DIV/0!</v>
      </c>
      <c r="DR79" s="55"/>
      <c r="DS79" s="55" t="e">
        <f t="shared" ca="1" si="153"/>
        <v>#DIV/0!</v>
      </c>
      <c r="DT79" s="55" t="e">
        <f t="shared" ca="1" si="154"/>
        <v>#DIV/0!</v>
      </c>
      <c r="DU79" s="53">
        <f t="shared" ca="1" si="155"/>
        <v>0</v>
      </c>
      <c r="DV79" s="59" t="e">
        <f t="shared" ca="1" si="156"/>
        <v>#DIV/0!</v>
      </c>
    </row>
    <row r="80" spans="1:12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AD80" s="49" t="s">
        <v>337</v>
      </c>
      <c r="AE80" s="49">
        <f t="shared" ca="1" si="102"/>
        <v>0</v>
      </c>
      <c r="AF80" s="49">
        <f t="shared" ca="1" si="103"/>
        <v>0</v>
      </c>
      <c r="AG80" s="114">
        <f t="shared" ca="1" si="104"/>
        <v>0</v>
      </c>
      <c r="AH80" s="104">
        <f t="shared" ca="1" si="105"/>
        <v>0</v>
      </c>
      <c r="AI80" s="104">
        <f t="shared" ca="1" si="106"/>
        <v>0</v>
      </c>
      <c r="AJ80" s="104">
        <f t="shared" ca="1" si="107"/>
        <v>0</v>
      </c>
      <c r="AK80" s="104">
        <f t="shared" ca="1" si="108"/>
        <v>0</v>
      </c>
      <c r="AL80" s="104">
        <f t="shared" ca="1" si="109"/>
        <v>0</v>
      </c>
      <c r="AM80" s="104">
        <f t="shared" ca="1" si="110"/>
        <v>0</v>
      </c>
      <c r="AN80" s="104">
        <f t="shared" ca="1" si="111"/>
        <v>0</v>
      </c>
      <c r="AO80" s="104">
        <f t="shared" ca="1" si="112"/>
        <v>0</v>
      </c>
      <c r="AP80" s="104">
        <f t="shared" ca="1" si="113"/>
        <v>0</v>
      </c>
      <c r="AQ80" s="49">
        <f t="shared" ca="1" si="114"/>
        <v>0</v>
      </c>
      <c r="AR80" s="104">
        <f t="shared" ca="1" si="115"/>
        <v>0</v>
      </c>
      <c r="AS80" s="104">
        <f t="shared" ca="1" si="116"/>
        <v>0</v>
      </c>
      <c r="AT80" s="104">
        <f t="shared" ca="1" si="117"/>
        <v>0</v>
      </c>
      <c r="AU80" s="104">
        <f t="shared" ca="1" si="118"/>
        <v>0</v>
      </c>
      <c r="BF80" s="49">
        <f t="shared" ca="1" si="119"/>
        <v>0</v>
      </c>
      <c r="BG80" s="49">
        <f t="shared" ca="1" si="120"/>
        <v>0</v>
      </c>
      <c r="BH80" s="54" t="e">
        <f t="shared" ca="1" si="121"/>
        <v>#DIV/0!</v>
      </c>
      <c r="BI80" s="112" t="e">
        <f t="shared" ca="1" si="122"/>
        <v>#DIV/0!</v>
      </c>
      <c r="BK80" s="55" t="e">
        <f t="shared" ca="1" si="123"/>
        <v>#DIV/0!</v>
      </c>
      <c r="BL80" s="55" t="e">
        <f t="shared" ca="1" si="124"/>
        <v>#DIV/0!</v>
      </c>
      <c r="BM80" s="55" t="e">
        <f t="shared" ca="1" si="125"/>
        <v>#DIV/0!</v>
      </c>
      <c r="BN80" s="53">
        <f t="shared" ca="1" si="126"/>
        <v>0</v>
      </c>
      <c r="BO80" s="112" t="e">
        <f t="shared" ca="1" si="127"/>
        <v>#DIV/0!</v>
      </c>
      <c r="BR80" s="53" t="e">
        <f t="shared" ca="1" si="128"/>
        <v>#DIV/0!</v>
      </c>
      <c r="BS80" s="53">
        <f t="shared" ca="1" si="129"/>
        <v>0</v>
      </c>
      <c r="BT80" s="53">
        <f t="shared" ca="1" si="130"/>
        <v>0</v>
      </c>
      <c r="BU80" s="56" t="e">
        <f t="shared" ca="1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ca="1" si="134"/>
        <v>0</v>
      </c>
      <c r="CW80" s="53">
        <f t="shared" ca="1" si="135"/>
        <v>0</v>
      </c>
      <c r="CX80" s="58" t="e">
        <f t="shared" ca="1" si="136"/>
        <v>#DIV/0!</v>
      </c>
      <c r="CY80" s="53">
        <f t="shared" ca="1" si="137"/>
        <v>0</v>
      </c>
      <c r="CZ80" s="53">
        <f t="shared" ca="1" si="138"/>
        <v>0</v>
      </c>
      <c r="DA80" s="58" t="e">
        <f t="shared" ca="1" si="139"/>
        <v>#DIV/0!</v>
      </c>
      <c r="DB80" s="48" t="e">
        <f t="shared" ca="1" si="140"/>
        <v>#DIV/0!</v>
      </c>
      <c r="DC80" s="48" t="e">
        <f t="shared" ca="1" si="141"/>
        <v>#DIV/0!</v>
      </c>
      <c r="DD80" s="48" t="e">
        <f t="shared" ca="1" si="142"/>
        <v>#DIV/0!</v>
      </c>
      <c r="DE80" s="48" t="e">
        <f t="shared" ca="1" si="143"/>
        <v>#DIV/0!</v>
      </c>
      <c r="DF80" s="48" t="e">
        <f t="shared" ca="1" si="144"/>
        <v>#DIV/0!</v>
      </c>
      <c r="DG80" s="48" t="e">
        <f t="shared" ca="1" si="145"/>
        <v>#DIV/0!</v>
      </c>
      <c r="DH80" s="48">
        <f ca="1">SUMIF(FCR!$BZ$4:$DB$500,DG80,FCR!$DE$4:$EG$500)</f>
        <v>0</v>
      </c>
      <c r="DI80" s="48" t="e">
        <f t="shared" ca="1" si="146"/>
        <v>#DIV/0!</v>
      </c>
      <c r="DJ80" s="48">
        <f ca="1">SUMIF(FCR!$BZ$4:$DB$142,DI80,FCR!$DE$4:$EG$142)</f>
        <v>0</v>
      </c>
      <c r="DK80" s="48" t="e">
        <f t="shared" ca="1" si="147"/>
        <v>#DIV/0!</v>
      </c>
      <c r="DL80" s="55" t="e">
        <f t="shared" ca="1" si="148"/>
        <v>#DIV/0!</v>
      </c>
      <c r="DM80" s="48" t="e">
        <f t="shared" ca="1" si="149"/>
        <v>#DIV/0!</v>
      </c>
      <c r="DN80" s="48">
        <f ca="1">SUMIF(FCR!$BZ$4:$DB$142,DM80,FCR!$DE$4:$EG$142)</f>
        <v>0</v>
      </c>
      <c r="DO80" s="53" t="e">
        <f t="shared" ca="1" si="150"/>
        <v>#DIV/0!</v>
      </c>
      <c r="DP80" s="55" t="e">
        <f t="shared" ca="1" si="151"/>
        <v>#DIV/0!</v>
      </c>
      <c r="DQ80" s="55" t="e">
        <f t="shared" ca="1" si="152"/>
        <v>#DIV/0!</v>
      </c>
      <c r="DR80" s="55"/>
      <c r="DS80" s="55" t="e">
        <f t="shared" ca="1" si="153"/>
        <v>#DIV/0!</v>
      </c>
      <c r="DT80" s="55" t="e">
        <f t="shared" ca="1" si="154"/>
        <v>#DIV/0!</v>
      </c>
      <c r="DU80" s="53">
        <f t="shared" ca="1" si="155"/>
        <v>0</v>
      </c>
      <c r="DV80" s="59" t="e">
        <f t="shared" ca="1" si="156"/>
        <v>#DIV/0!</v>
      </c>
    </row>
    <row r="81" spans="1:12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AD81" s="49" t="s">
        <v>337</v>
      </c>
      <c r="AE81" s="49">
        <f t="shared" ca="1" si="102"/>
        <v>0</v>
      </c>
      <c r="AF81" s="49">
        <f t="shared" ca="1" si="103"/>
        <v>0</v>
      </c>
      <c r="AG81" s="114">
        <f t="shared" ca="1" si="104"/>
        <v>0</v>
      </c>
      <c r="AH81" s="104">
        <f t="shared" ca="1" si="105"/>
        <v>0</v>
      </c>
      <c r="AI81" s="104">
        <f t="shared" ca="1" si="106"/>
        <v>0</v>
      </c>
      <c r="AJ81" s="104">
        <f t="shared" ca="1" si="107"/>
        <v>0</v>
      </c>
      <c r="AK81" s="104">
        <f t="shared" ca="1" si="108"/>
        <v>0</v>
      </c>
      <c r="AL81" s="104">
        <f t="shared" ca="1" si="109"/>
        <v>0</v>
      </c>
      <c r="AM81" s="104">
        <f t="shared" ca="1" si="110"/>
        <v>0</v>
      </c>
      <c r="AN81" s="104">
        <f t="shared" ca="1" si="111"/>
        <v>0</v>
      </c>
      <c r="AO81" s="104">
        <f t="shared" ca="1" si="112"/>
        <v>0</v>
      </c>
      <c r="AP81" s="104">
        <f t="shared" ca="1" si="113"/>
        <v>0</v>
      </c>
      <c r="AQ81" s="49">
        <f t="shared" ca="1" si="114"/>
        <v>0</v>
      </c>
      <c r="AR81" s="104">
        <f t="shared" ca="1" si="115"/>
        <v>0</v>
      </c>
      <c r="AS81" s="104">
        <f t="shared" ca="1" si="116"/>
        <v>0</v>
      </c>
      <c r="AT81" s="104">
        <f t="shared" ca="1" si="117"/>
        <v>0</v>
      </c>
      <c r="AU81" s="104">
        <f t="shared" ca="1" si="118"/>
        <v>0</v>
      </c>
      <c r="BF81" s="49">
        <f t="shared" ca="1" si="119"/>
        <v>0</v>
      </c>
      <c r="BG81" s="49">
        <f t="shared" ca="1" si="120"/>
        <v>0</v>
      </c>
      <c r="BH81" s="54" t="e">
        <f t="shared" ca="1" si="121"/>
        <v>#DIV/0!</v>
      </c>
      <c r="BI81" s="112" t="e">
        <f t="shared" ca="1" si="122"/>
        <v>#DIV/0!</v>
      </c>
      <c r="BK81" s="55" t="e">
        <f t="shared" ca="1" si="123"/>
        <v>#DIV/0!</v>
      </c>
      <c r="BL81" s="55" t="e">
        <f t="shared" ca="1" si="124"/>
        <v>#DIV/0!</v>
      </c>
      <c r="BM81" s="55" t="e">
        <f t="shared" ca="1" si="125"/>
        <v>#DIV/0!</v>
      </c>
      <c r="BN81" s="53">
        <f t="shared" ca="1" si="126"/>
        <v>0</v>
      </c>
      <c r="BO81" s="112" t="e">
        <f t="shared" ca="1" si="127"/>
        <v>#DIV/0!</v>
      </c>
      <c r="BR81" s="53" t="e">
        <f t="shared" ca="1" si="128"/>
        <v>#DIV/0!</v>
      </c>
      <c r="BS81" s="53">
        <f t="shared" ca="1" si="129"/>
        <v>0</v>
      </c>
      <c r="BT81" s="53">
        <f t="shared" ca="1" si="130"/>
        <v>0</v>
      </c>
      <c r="BU81" s="56" t="e">
        <f t="shared" ca="1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ca="1" si="134"/>
        <v>0</v>
      </c>
      <c r="CW81" s="53">
        <f t="shared" ca="1" si="135"/>
        <v>0</v>
      </c>
      <c r="CX81" s="58" t="e">
        <f t="shared" ca="1" si="136"/>
        <v>#DIV/0!</v>
      </c>
      <c r="CY81" s="53">
        <f t="shared" ca="1" si="137"/>
        <v>0</v>
      </c>
      <c r="CZ81" s="53">
        <f t="shared" ca="1" si="138"/>
        <v>0</v>
      </c>
      <c r="DA81" s="58" t="e">
        <f t="shared" ca="1" si="139"/>
        <v>#DIV/0!</v>
      </c>
      <c r="DB81" s="48" t="e">
        <f t="shared" ca="1" si="140"/>
        <v>#DIV/0!</v>
      </c>
      <c r="DC81" s="48" t="e">
        <f t="shared" ca="1" si="141"/>
        <v>#DIV/0!</v>
      </c>
      <c r="DD81" s="48" t="e">
        <f t="shared" ca="1" si="142"/>
        <v>#DIV/0!</v>
      </c>
      <c r="DE81" s="48" t="e">
        <f t="shared" ca="1" si="143"/>
        <v>#DIV/0!</v>
      </c>
      <c r="DF81" s="48" t="e">
        <f t="shared" ca="1" si="144"/>
        <v>#DIV/0!</v>
      </c>
      <c r="DG81" s="48" t="e">
        <f t="shared" ca="1" si="145"/>
        <v>#DIV/0!</v>
      </c>
      <c r="DH81" s="48">
        <f ca="1">SUMIF(FCR!$BZ$4:$DB$500,DG81,FCR!$DE$4:$EG$500)</f>
        <v>0</v>
      </c>
      <c r="DI81" s="48" t="e">
        <f t="shared" ca="1" si="146"/>
        <v>#DIV/0!</v>
      </c>
      <c r="DJ81" s="48">
        <f ca="1">SUMIF(FCR!$BZ$4:$DB$142,DI81,FCR!$DE$4:$EG$142)</f>
        <v>0</v>
      </c>
      <c r="DK81" s="48" t="e">
        <f t="shared" ca="1" si="147"/>
        <v>#DIV/0!</v>
      </c>
      <c r="DL81" s="55" t="e">
        <f t="shared" ca="1" si="148"/>
        <v>#DIV/0!</v>
      </c>
      <c r="DM81" s="48" t="e">
        <f t="shared" ca="1" si="149"/>
        <v>#DIV/0!</v>
      </c>
      <c r="DN81" s="48">
        <f ca="1">SUMIF(FCR!$BZ$4:$DB$142,DM81,FCR!$DE$4:$EG$142)</f>
        <v>0</v>
      </c>
      <c r="DO81" s="53" t="e">
        <f t="shared" ca="1" si="150"/>
        <v>#DIV/0!</v>
      </c>
      <c r="DP81" s="55" t="e">
        <f t="shared" ca="1" si="151"/>
        <v>#DIV/0!</v>
      </c>
      <c r="DQ81" s="55" t="e">
        <f t="shared" ca="1" si="152"/>
        <v>#DIV/0!</v>
      </c>
      <c r="DR81" s="55"/>
      <c r="DS81" s="55" t="e">
        <f t="shared" ca="1" si="153"/>
        <v>#DIV/0!</v>
      </c>
      <c r="DT81" s="55" t="e">
        <f t="shared" ca="1" si="154"/>
        <v>#DIV/0!</v>
      </c>
      <c r="DU81" s="53">
        <f t="shared" ca="1" si="155"/>
        <v>0</v>
      </c>
      <c r="DV81" s="59" t="e">
        <f t="shared" ca="1" si="156"/>
        <v>#DIV/0!</v>
      </c>
    </row>
    <row r="82" spans="1:12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AD82" s="49" t="s">
        <v>337</v>
      </c>
      <c r="AE82" s="49">
        <f t="shared" ca="1" si="102"/>
        <v>0</v>
      </c>
      <c r="AF82" s="49">
        <f t="shared" ca="1" si="103"/>
        <v>0</v>
      </c>
      <c r="AG82" s="114">
        <f t="shared" ca="1" si="104"/>
        <v>0</v>
      </c>
      <c r="AH82" s="104">
        <f t="shared" ca="1" si="105"/>
        <v>0</v>
      </c>
      <c r="AI82" s="104">
        <f t="shared" ca="1" si="106"/>
        <v>0</v>
      </c>
      <c r="AJ82" s="104">
        <f t="shared" ca="1" si="107"/>
        <v>0</v>
      </c>
      <c r="AK82" s="104">
        <f t="shared" ca="1" si="108"/>
        <v>0</v>
      </c>
      <c r="AL82" s="104">
        <f t="shared" ca="1" si="109"/>
        <v>0</v>
      </c>
      <c r="AM82" s="104">
        <f t="shared" ca="1" si="110"/>
        <v>0</v>
      </c>
      <c r="AN82" s="104">
        <f t="shared" ca="1" si="111"/>
        <v>0</v>
      </c>
      <c r="AO82" s="104">
        <f t="shared" ca="1" si="112"/>
        <v>0</v>
      </c>
      <c r="AP82" s="104">
        <f t="shared" ca="1" si="113"/>
        <v>0</v>
      </c>
      <c r="AQ82" s="49">
        <f t="shared" ca="1" si="114"/>
        <v>0</v>
      </c>
      <c r="AR82" s="104">
        <f t="shared" ca="1" si="115"/>
        <v>0</v>
      </c>
      <c r="AS82" s="104">
        <f t="shared" ca="1" si="116"/>
        <v>0</v>
      </c>
      <c r="AT82" s="104">
        <f t="shared" ca="1" si="117"/>
        <v>0</v>
      </c>
      <c r="AU82" s="104">
        <f t="shared" ca="1" si="118"/>
        <v>0</v>
      </c>
      <c r="BF82" s="49">
        <f t="shared" ca="1" si="119"/>
        <v>0</v>
      </c>
      <c r="BG82" s="49">
        <f t="shared" ca="1" si="120"/>
        <v>0</v>
      </c>
      <c r="BH82" s="54" t="e">
        <f t="shared" ca="1" si="121"/>
        <v>#DIV/0!</v>
      </c>
      <c r="BI82" s="112" t="e">
        <f t="shared" ca="1" si="122"/>
        <v>#DIV/0!</v>
      </c>
      <c r="BK82" s="55" t="e">
        <f t="shared" ca="1" si="123"/>
        <v>#DIV/0!</v>
      </c>
      <c r="BL82" s="55" t="e">
        <f t="shared" ca="1" si="124"/>
        <v>#DIV/0!</v>
      </c>
      <c r="BM82" s="55" t="e">
        <f t="shared" ca="1" si="125"/>
        <v>#DIV/0!</v>
      </c>
      <c r="BN82" s="53">
        <f t="shared" ca="1" si="126"/>
        <v>0</v>
      </c>
      <c r="BO82" s="112" t="e">
        <f t="shared" ca="1" si="127"/>
        <v>#DIV/0!</v>
      </c>
      <c r="BR82" s="53" t="e">
        <f t="shared" ca="1" si="128"/>
        <v>#DIV/0!</v>
      </c>
      <c r="BS82" s="53">
        <f t="shared" ca="1" si="129"/>
        <v>0</v>
      </c>
      <c r="BT82" s="53">
        <f t="shared" ca="1" si="130"/>
        <v>0</v>
      </c>
      <c r="BU82" s="56" t="e">
        <f t="shared" ca="1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ca="1" si="134"/>
        <v>0</v>
      </c>
      <c r="CW82" s="53">
        <f t="shared" ca="1" si="135"/>
        <v>0</v>
      </c>
      <c r="CX82" s="58" t="e">
        <f t="shared" ca="1" si="136"/>
        <v>#DIV/0!</v>
      </c>
      <c r="CY82" s="53">
        <f t="shared" ca="1" si="137"/>
        <v>0</v>
      </c>
      <c r="CZ82" s="53">
        <f t="shared" ca="1" si="138"/>
        <v>0</v>
      </c>
      <c r="DA82" s="58" t="e">
        <f t="shared" ca="1" si="139"/>
        <v>#DIV/0!</v>
      </c>
      <c r="DB82" s="48" t="e">
        <f t="shared" ca="1" si="140"/>
        <v>#DIV/0!</v>
      </c>
      <c r="DC82" s="48" t="e">
        <f t="shared" ca="1" si="141"/>
        <v>#DIV/0!</v>
      </c>
      <c r="DD82" s="48" t="e">
        <f t="shared" ca="1" si="142"/>
        <v>#DIV/0!</v>
      </c>
      <c r="DE82" s="48" t="e">
        <f t="shared" ca="1" si="143"/>
        <v>#DIV/0!</v>
      </c>
      <c r="DF82" s="48" t="e">
        <f t="shared" ca="1" si="144"/>
        <v>#DIV/0!</v>
      </c>
      <c r="DG82" s="48" t="e">
        <f t="shared" ca="1" si="145"/>
        <v>#DIV/0!</v>
      </c>
      <c r="DH82" s="48">
        <f ca="1">SUMIF(FCR!$BZ$4:$DB$500,DG82,FCR!$DE$4:$EG$500)</f>
        <v>0</v>
      </c>
      <c r="DI82" s="48" t="e">
        <f t="shared" ca="1" si="146"/>
        <v>#DIV/0!</v>
      </c>
      <c r="DJ82" s="48">
        <f ca="1">SUMIF(FCR!$BZ$4:$DB$142,DI82,FCR!$DE$4:$EG$142)</f>
        <v>0</v>
      </c>
      <c r="DK82" s="48" t="e">
        <f t="shared" ca="1" si="147"/>
        <v>#DIV/0!</v>
      </c>
      <c r="DL82" s="55" t="e">
        <f t="shared" ca="1" si="148"/>
        <v>#DIV/0!</v>
      </c>
      <c r="DM82" s="48" t="e">
        <f t="shared" ca="1" si="149"/>
        <v>#DIV/0!</v>
      </c>
      <c r="DN82" s="48">
        <f ca="1">SUMIF(FCR!$BZ$4:$DB$142,DM82,FCR!$DE$4:$EG$142)</f>
        <v>0</v>
      </c>
      <c r="DO82" s="53" t="e">
        <f t="shared" ca="1" si="150"/>
        <v>#DIV/0!</v>
      </c>
      <c r="DP82" s="55" t="e">
        <f t="shared" ca="1" si="151"/>
        <v>#DIV/0!</v>
      </c>
      <c r="DQ82" s="55" t="e">
        <f t="shared" ca="1" si="152"/>
        <v>#DIV/0!</v>
      </c>
      <c r="DR82" s="55"/>
      <c r="DS82" s="55" t="e">
        <f t="shared" ca="1" si="153"/>
        <v>#DIV/0!</v>
      </c>
      <c r="DT82" s="55" t="e">
        <f t="shared" ca="1" si="154"/>
        <v>#DIV/0!</v>
      </c>
      <c r="DU82" s="53">
        <f t="shared" ca="1" si="155"/>
        <v>0</v>
      </c>
      <c r="DV82" s="59" t="e">
        <f t="shared" ca="1" si="156"/>
        <v>#DIV/0!</v>
      </c>
    </row>
    <row r="83" spans="1:12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AD83" s="49" t="s">
        <v>337</v>
      </c>
      <c r="AE83" s="49">
        <f t="shared" ca="1" si="102"/>
        <v>0</v>
      </c>
      <c r="AF83" s="49">
        <f t="shared" ca="1" si="103"/>
        <v>0</v>
      </c>
      <c r="AG83" s="114">
        <f t="shared" ca="1" si="104"/>
        <v>0</v>
      </c>
      <c r="AH83" s="104">
        <f t="shared" ca="1" si="105"/>
        <v>0</v>
      </c>
      <c r="AI83" s="104">
        <f t="shared" ca="1" si="106"/>
        <v>0</v>
      </c>
      <c r="AJ83" s="104">
        <f t="shared" ca="1" si="107"/>
        <v>0</v>
      </c>
      <c r="AK83" s="104">
        <f t="shared" ca="1" si="108"/>
        <v>0</v>
      </c>
      <c r="AL83" s="104">
        <f t="shared" ca="1" si="109"/>
        <v>0</v>
      </c>
      <c r="AM83" s="104">
        <f t="shared" ca="1" si="110"/>
        <v>0</v>
      </c>
      <c r="AN83" s="104">
        <f t="shared" ca="1" si="111"/>
        <v>0</v>
      </c>
      <c r="AO83" s="104">
        <f t="shared" ca="1" si="112"/>
        <v>0</v>
      </c>
      <c r="AP83" s="104">
        <f t="shared" ca="1" si="113"/>
        <v>0</v>
      </c>
      <c r="AQ83" s="49">
        <f t="shared" ca="1" si="114"/>
        <v>0</v>
      </c>
      <c r="AR83" s="104">
        <f t="shared" ca="1" si="115"/>
        <v>0</v>
      </c>
      <c r="AS83" s="104">
        <f t="shared" ca="1" si="116"/>
        <v>0</v>
      </c>
      <c r="AT83" s="104">
        <f t="shared" ca="1" si="117"/>
        <v>0</v>
      </c>
      <c r="AU83" s="104">
        <f t="shared" ca="1" si="118"/>
        <v>0</v>
      </c>
      <c r="BF83" s="49">
        <f t="shared" ca="1" si="119"/>
        <v>0</v>
      </c>
      <c r="BG83" s="49">
        <f t="shared" ca="1" si="120"/>
        <v>0</v>
      </c>
      <c r="BH83" s="54" t="e">
        <f t="shared" ca="1" si="121"/>
        <v>#DIV/0!</v>
      </c>
      <c r="BI83" s="112" t="e">
        <f t="shared" ca="1" si="122"/>
        <v>#DIV/0!</v>
      </c>
      <c r="BK83" s="55" t="e">
        <f t="shared" ca="1" si="123"/>
        <v>#DIV/0!</v>
      </c>
      <c r="BL83" s="55" t="e">
        <f t="shared" ca="1" si="124"/>
        <v>#DIV/0!</v>
      </c>
      <c r="BM83" s="55" t="e">
        <f t="shared" ca="1" si="125"/>
        <v>#DIV/0!</v>
      </c>
      <c r="BN83" s="53">
        <f t="shared" ca="1" si="126"/>
        <v>0</v>
      </c>
      <c r="BO83" s="112" t="e">
        <f t="shared" ca="1" si="127"/>
        <v>#DIV/0!</v>
      </c>
      <c r="BR83" s="53" t="e">
        <f t="shared" ca="1" si="128"/>
        <v>#DIV/0!</v>
      </c>
      <c r="BS83" s="53">
        <f t="shared" ca="1" si="129"/>
        <v>0</v>
      </c>
      <c r="BT83" s="53">
        <f t="shared" ca="1" si="130"/>
        <v>0</v>
      </c>
      <c r="BU83" s="56" t="e">
        <f t="shared" ca="1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ca="1" si="134"/>
        <v>0</v>
      </c>
      <c r="CW83" s="53">
        <f t="shared" ca="1" si="135"/>
        <v>0</v>
      </c>
      <c r="CX83" s="58" t="e">
        <f t="shared" ca="1" si="136"/>
        <v>#DIV/0!</v>
      </c>
      <c r="CY83" s="53">
        <f t="shared" ca="1" si="137"/>
        <v>0</v>
      </c>
      <c r="CZ83" s="53">
        <f t="shared" ca="1" si="138"/>
        <v>0</v>
      </c>
      <c r="DA83" s="58" t="e">
        <f t="shared" ca="1" si="139"/>
        <v>#DIV/0!</v>
      </c>
      <c r="DB83" s="48" t="e">
        <f t="shared" ca="1" si="140"/>
        <v>#DIV/0!</v>
      </c>
      <c r="DC83" s="48" t="e">
        <f t="shared" ca="1" si="141"/>
        <v>#DIV/0!</v>
      </c>
      <c r="DD83" s="48" t="e">
        <f t="shared" ca="1" si="142"/>
        <v>#DIV/0!</v>
      </c>
      <c r="DE83" s="48" t="e">
        <f t="shared" ca="1" si="143"/>
        <v>#DIV/0!</v>
      </c>
      <c r="DF83" s="48" t="e">
        <f t="shared" ca="1" si="144"/>
        <v>#DIV/0!</v>
      </c>
      <c r="DG83" s="48" t="e">
        <f t="shared" ca="1" si="145"/>
        <v>#DIV/0!</v>
      </c>
      <c r="DH83" s="48">
        <f ca="1">SUMIF(FCR!$BZ$4:$DB$500,DG83,FCR!$DE$4:$EG$500)</f>
        <v>0</v>
      </c>
      <c r="DI83" s="48" t="e">
        <f t="shared" ca="1" si="146"/>
        <v>#DIV/0!</v>
      </c>
      <c r="DJ83" s="48">
        <f ca="1">SUMIF(FCR!$BZ$4:$DB$142,DI83,FCR!$DE$4:$EG$142)</f>
        <v>0</v>
      </c>
      <c r="DK83" s="48" t="e">
        <f t="shared" ca="1" si="147"/>
        <v>#DIV/0!</v>
      </c>
      <c r="DL83" s="55" t="e">
        <f t="shared" ca="1" si="148"/>
        <v>#DIV/0!</v>
      </c>
      <c r="DM83" s="48" t="e">
        <f t="shared" ca="1" si="149"/>
        <v>#DIV/0!</v>
      </c>
      <c r="DN83" s="48">
        <f ca="1">SUMIF(FCR!$BZ$4:$DB$142,DM83,FCR!$DE$4:$EG$142)</f>
        <v>0</v>
      </c>
      <c r="DO83" s="53" t="e">
        <f t="shared" ca="1" si="150"/>
        <v>#DIV/0!</v>
      </c>
      <c r="DP83" s="55" t="e">
        <f t="shared" ca="1" si="151"/>
        <v>#DIV/0!</v>
      </c>
      <c r="DQ83" s="55" t="e">
        <f t="shared" ca="1" si="152"/>
        <v>#DIV/0!</v>
      </c>
      <c r="DR83" s="55"/>
      <c r="DS83" s="55" t="e">
        <f t="shared" ca="1" si="153"/>
        <v>#DIV/0!</v>
      </c>
      <c r="DT83" s="55" t="e">
        <f t="shared" ca="1" si="154"/>
        <v>#DIV/0!</v>
      </c>
      <c r="DU83" s="53">
        <f t="shared" ca="1" si="155"/>
        <v>0</v>
      </c>
      <c r="DV83" s="59" t="e">
        <f t="shared" ca="1" si="156"/>
        <v>#DIV/0!</v>
      </c>
    </row>
    <row r="84" spans="1:12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AD84" s="49" t="s">
        <v>337</v>
      </c>
      <c r="AE84" s="49">
        <f t="shared" ca="1" si="102"/>
        <v>0</v>
      </c>
      <c r="AF84" s="49">
        <f t="shared" ca="1" si="103"/>
        <v>0</v>
      </c>
      <c r="AG84" s="114">
        <f t="shared" ca="1" si="104"/>
        <v>0</v>
      </c>
      <c r="AH84" s="104">
        <f t="shared" ca="1" si="105"/>
        <v>0</v>
      </c>
      <c r="AI84" s="104">
        <f t="shared" ca="1" si="106"/>
        <v>0</v>
      </c>
      <c r="AJ84" s="104">
        <f t="shared" ca="1" si="107"/>
        <v>0</v>
      </c>
      <c r="AK84" s="104">
        <f t="shared" ca="1" si="108"/>
        <v>0</v>
      </c>
      <c r="AL84" s="104">
        <f t="shared" ca="1" si="109"/>
        <v>0</v>
      </c>
      <c r="AM84" s="104">
        <f t="shared" ca="1" si="110"/>
        <v>0</v>
      </c>
      <c r="AN84" s="104">
        <f t="shared" ca="1" si="111"/>
        <v>0</v>
      </c>
      <c r="AO84" s="104">
        <f t="shared" ca="1" si="112"/>
        <v>0</v>
      </c>
      <c r="AP84" s="104">
        <f t="shared" ca="1" si="113"/>
        <v>0</v>
      </c>
      <c r="AQ84" s="49">
        <f t="shared" ca="1" si="114"/>
        <v>0</v>
      </c>
      <c r="AR84" s="104">
        <f t="shared" ca="1" si="115"/>
        <v>0</v>
      </c>
      <c r="AS84" s="104">
        <f t="shared" ca="1" si="116"/>
        <v>0</v>
      </c>
      <c r="AT84" s="104">
        <f t="shared" ca="1" si="117"/>
        <v>0</v>
      </c>
      <c r="AU84" s="104">
        <f t="shared" ca="1" si="118"/>
        <v>0</v>
      </c>
      <c r="BF84" s="49">
        <f t="shared" ca="1" si="119"/>
        <v>0</v>
      </c>
      <c r="BG84" s="49">
        <f t="shared" ca="1" si="120"/>
        <v>0</v>
      </c>
      <c r="BH84" s="54" t="e">
        <f t="shared" ca="1" si="121"/>
        <v>#DIV/0!</v>
      </c>
      <c r="BI84" s="112" t="e">
        <f t="shared" ca="1" si="122"/>
        <v>#DIV/0!</v>
      </c>
      <c r="BK84" s="55" t="e">
        <f t="shared" ca="1" si="123"/>
        <v>#DIV/0!</v>
      </c>
      <c r="BL84" s="55" t="e">
        <f t="shared" ca="1" si="124"/>
        <v>#DIV/0!</v>
      </c>
      <c r="BM84" s="55" t="e">
        <f t="shared" ca="1" si="125"/>
        <v>#DIV/0!</v>
      </c>
      <c r="BN84" s="53">
        <f t="shared" ca="1" si="126"/>
        <v>0</v>
      </c>
      <c r="BO84" s="112" t="e">
        <f t="shared" ca="1" si="127"/>
        <v>#DIV/0!</v>
      </c>
      <c r="BR84" s="53" t="e">
        <f t="shared" ca="1" si="128"/>
        <v>#DIV/0!</v>
      </c>
      <c r="BS84" s="53">
        <f t="shared" ca="1" si="129"/>
        <v>0</v>
      </c>
      <c r="BT84" s="53">
        <f t="shared" ca="1" si="130"/>
        <v>0</v>
      </c>
      <c r="BU84" s="56" t="e">
        <f t="shared" ca="1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ca="1" si="134"/>
        <v>0</v>
      </c>
      <c r="CW84" s="53">
        <f t="shared" ca="1" si="135"/>
        <v>0</v>
      </c>
      <c r="CX84" s="58" t="e">
        <f t="shared" ca="1" si="136"/>
        <v>#DIV/0!</v>
      </c>
      <c r="CY84" s="53">
        <f t="shared" ca="1" si="137"/>
        <v>0</v>
      </c>
      <c r="CZ84" s="53">
        <f t="shared" ca="1" si="138"/>
        <v>0</v>
      </c>
      <c r="DA84" s="58" t="e">
        <f t="shared" ca="1" si="139"/>
        <v>#DIV/0!</v>
      </c>
      <c r="DB84" s="48" t="e">
        <f t="shared" ca="1" si="140"/>
        <v>#DIV/0!</v>
      </c>
      <c r="DC84" s="48" t="e">
        <f t="shared" ca="1" si="141"/>
        <v>#DIV/0!</v>
      </c>
      <c r="DD84" s="48" t="e">
        <f t="shared" ca="1" si="142"/>
        <v>#DIV/0!</v>
      </c>
      <c r="DE84" s="48" t="e">
        <f t="shared" ca="1" si="143"/>
        <v>#DIV/0!</v>
      </c>
      <c r="DF84" s="48" t="e">
        <f t="shared" ca="1" si="144"/>
        <v>#DIV/0!</v>
      </c>
      <c r="DG84" s="48" t="e">
        <f t="shared" ca="1" si="145"/>
        <v>#DIV/0!</v>
      </c>
      <c r="DH84" s="48">
        <f ca="1">SUMIF(FCR!$BZ$4:$DB$500,DG84,FCR!$DE$4:$EG$500)</f>
        <v>0</v>
      </c>
      <c r="DI84" s="48" t="e">
        <f t="shared" ca="1" si="146"/>
        <v>#DIV/0!</v>
      </c>
      <c r="DJ84" s="48">
        <f ca="1">SUMIF(FCR!$BZ$4:$DB$142,DI84,FCR!$DE$4:$EG$142)</f>
        <v>0</v>
      </c>
      <c r="DK84" s="48" t="e">
        <f t="shared" ca="1" si="147"/>
        <v>#DIV/0!</v>
      </c>
      <c r="DL84" s="55" t="e">
        <f t="shared" ca="1" si="148"/>
        <v>#DIV/0!</v>
      </c>
      <c r="DM84" s="48" t="e">
        <f t="shared" ca="1" si="149"/>
        <v>#DIV/0!</v>
      </c>
      <c r="DN84" s="48">
        <f ca="1">SUMIF(FCR!$BZ$4:$DB$142,DM84,FCR!$DE$4:$EG$142)</f>
        <v>0</v>
      </c>
      <c r="DO84" s="53" t="e">
        <f t="shared" ca="1" si="150"/>
        <v>#DIV/0!</v>
      </c>
      <c r="DP84" s="55" t="e">
        <f t="shared" ca="1" si="151"/>
        <v>#DIV/0!</v>
      </c>
      <c r="DQ84" s="55" t="e">
        <f t="shared" ca="1" si="152"/>
        <v>#DIV/0!</v>
      </c>
      <c r="DR84" s="55"/>
      <c r="DS84" s="55" t="e">
        <f t="shared" ca="1" si="153"/>
        <v>#DIV/0!</v>
      </c>
      <c r="DT84" s="55" t="e">
        <f t="shared" ca="1" si="154"/>
        <v>#DIV/0!</v>
      </c>
      <c r="DU84" s="53">
        <f t="shared" ca="1" si="155"/>
        <v>0</v>
      </c>
      <c r="DV84" s="59" t="e">
        <f t="shared" ca="1" si="156"/>
        <v>#DIV/0!</v>
      </c>
    </row>
    <row r="85" spans="1:12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AD85" s="49" t="s">
        <v>337</v>
      </c>
      <c r="AE85" s="49">
        <f t="shared" ca="1" si="102"/>
        <v>0</v>
      </c>
      <c r="AF85" s="49">
        <f t="shared" ca="1" si="103"/>
        <v>0</v>
      </c>
      <c r="AG85" s="114">
        <f t="shared" ca="1" si="104"/>
        <v>0</v>
      </c>
      <c r="AH85" s="104">
        <f t="shared" ca="1" si="105"/>
        <v>0</v>
      </c>
      <c r="AI85" s="104">
        <f t="shared" ca="1" si="106"/>
        <v>0</v>
      </c>
      <c r="AJ85" s="104">
        <f t="shared" ca="1" si="107"/>
        <v>0</v>
      </c>
      <c r="AK85" s="104">
        <f t="shared" ca="1" si="108"/>
        <v>0</v>
      </c>
      <c r="AL85" s="104">
        <f t="shared" ca="1" si="109"/>
        <v>0</v>
      </c>
      <c r="AM85" s="104">
        <f t="shared" ca="1" si="110"/>
        <v>0</v>
      </c>
      <c r="AN85" s="104">
        <f t="shared" ca="1" si="111"/>
        <v>0</v>
      </c>
      <c r="AO85" s="104">
        <f t="shared" ca="1" si="112"/>
        <v>0</v>
      </c>
      <c r="AP85" s="104">
        <f t="shared" ca="1" si="113"/>
        <v>0</v>
      </c>
      <c r="AQ85" s="49">
        <f t="shared" ca="1" si="114"/>
        <v>0</v>
      </c>
      <c r="AR85" s="104">
        <f t="shared" ca="1" si="115"/>
        <v>0</v>
      </c>
      <c r="AS85" s="104">
        <f t="shared" ca="1" si="116"/>
        <v>0</v>
      </c>
      <c r="AT85" s="104">
        <f t="shared" ca="1" si="117"/>
        <v>0</v>
      </c>
      <c r="AU85" s="104">
        <f t="shared" ca="1" si="118"/>
        <v>0</v>
      </c>
      <c r="BF85" s="49">
        <f t="shared" ca="1" si="119"/>
        <v>0</v>
      </c>
      <c r="BG85" s="49">
        <f t="shared" ca="1" si="120"/>
        <v>0</v>
      </c>
      <c r="BH85" s="54" t="e">
        <f t="shared" ca="1" si="121"/>
        <v>#DIV/0!</v>
      </c>
      <c r="BI85" s="112" t="e">
        <f t="shared" ca="1" si="122"/>
        <v>#DIV/0!</v>
      </c>
      <c r="BK85" s="55" t="e">
        <f t="shared" ca="1" si="123"/>
        <v>#DIV/0!</v>
      </c>
      <c r="BL85" s="55" t="e">
        <f t="shared" ca="1" si="124"/>
        <v>#DIV/0!</v>
      </c>
      <c r="BM85" s="55" t="e">
        <f t="shared" ca="1" si="125"/>
        <v>#DIV/0!</v>
      </c>
      <c r="BN85" s="53">
        <f t="shared" ca="1" si="126"/>
        <v>0</v>
      </c>
      <c r="BO85" s="112" t="e">
        <f t="shared" ca="1" si="127"/>
        <v>#DIV/0!</v>
      </c>
      <c r="BR85" s="53" t="e">
        <f t="shared" ca="1" si="128"/>
        <v>#DIV/0!</v>
      </c>
      <c r="BS85" s="53">
        <f t="shared" ca="1" si="129"/>
        <v>0</v>
      </c>
      <c r="BT85" s="53">
        <f t="shared" ca="1" si="130"/>
        <v>0</v>
      </c>
      <c r="BU85" s="56" t="e">
        <f t="shared" ca="1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ca="1" si="134"/>
        <v>0</v>
      </c>
      <c r="CW85" s="53">
        <f t="shared" ca="1" si="135"/>
        <v>0</v>
      </c>
      <c r="CX85" s="58" t="e">
        <f t="shared" ca="1" si="136"/>
        <v>#DIV/0!</v>
      </c>
      <c r="CY85" s="53">
        <f t="shared" ca="1" si="137"/>
        <v>0</v>
      </c>
      <c r="CZ85" s="53">
        <f t="shared" ca="1" si="138"/>
        <v>0</v>
      </c>
      <c r="DA85" s="58" t="e">
        <f t="shared" ca="1" si="139"/>
        <v>#DIV/0!</v>
      </c>
      <c r="DB85" s="48" t="e">
        <f t="shared" ca="1" si="140"/>
        <v>#DIV/0!</v>
      </c>
      <c r="DC85" s="48" t="e">
        <f t="shared" ca="1" si="141"/>
        <v>#DIV/0!</v>
      </c>
      <c r="DD85" s="48" t="e">
        <f t="shared" ca="1" si="142"/>
        <v>#DIV/0!</v>
      </c>
      <c r="DE85" s="48" t="e">
        <f t="shared" ca="1" si="143"/>
        <v>#DIV/0!</v>
      </c>
      <c r="DF85" s="48" t="e">
        <f t="shared" ca="1" si="144"/>
        <v>#DIV/0!</v>
      </c>
      <c r="DG85" s="48" t="e">
        <f t="shared" ca="1" si="145"/>
        <v>#DIV/0!</v>
      </c>
      <c r="DH85" s="48">
        <f ca="1">SUMIF(FCR!$BZ$4:$DB$500,DG85,FCR!$DE$4:$EG$500)</f>
        <v>0</v>
      </c>
      <c r="DI85" s="48" t="e">
        <f t="shared" ca="1" si="146"/>
        <v>#DIV/0!</v>
      </c>
      <c r="DJ85" s="48">
        <f ca="1">SUMIF(FCR!$BZ$4:$DB$142,DI85,FCR!$DE$4:$EG$142)</f>
        <v>0</v>
      </c>
      <c r="DK85" s="48" t="e">
        <f t="shared" ca="1" si="147"/>
        <v>#DIV/0!</v>
      </c>
      <c r="DL85" s="55" t="e">
        <f t="shared" ca="1" si="148"/>
        <v>#DIV/0!</v>
      </c>
      <c r="DM85" s="48" t="e">
        <f t="shared" ca="1" si="149"/>
        <v>#DIV/0!</v>
      </c>
      <c r="DN85" s="48">
        <f ca="1">SUMIF(FCR!$BZ$4:$DB$142,DM85,FCR!$DE$4:$EG$142)</f>
        <v>0</v>
      </c>
      <c r="DO85" s="53" t="e">
        <f t="shared" ca="1" si="150"/>
        <v>#DIV/0!</v>
      </c>
      <c r="DP85" s="55" t="e">
        <f t="shared" ca="1" si="151"/>
        <v>#DIV/0!</v>
      </c>
      <c r="DQ85" s="55" t="e">
        <f t="shared" ca="1" si="152"/>
        <v>#DIV/0!</v>
      </c>
      <c r="DR85" s="55"/>
      <c r="DS85" s="55" t="e">
        <f t="shared" ca="1" si="153"/>
        <v>#DIV/0!</v>
      </c>
      <c r="DT85" s="55" t="e">
        <f t="shared" ca="1" si="154"/>
        <v>#DIV/0!</v>
      </c>
      <c r="DU85" s="53">
        <f t="shared" ca="1" si="155"/>
        <v>0</v>
      </c>
      <c r="DV85" s="59" t="e">
        <f t="shared" ca="1" si="156"/>
        <v>#DIV/0!</v>
      </c>
    </row>
    <row r="86" spans="1:12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AD86" s="49" t="s">
        <v>337</v>
      </c>
      <c r="AE86" s="49">
        <f t="shared" ca="1" si="102"/>
        <v>0</v>
      </c>
      <c r="AF86" s="49">
        <f t="shared" ca="1" si="103"/>
        <v>0</v>
      </c>
      <c r="AG86" s="114">
        <f t="shared" ca="1" si="104"/>
        <v>0</v>
      </c>
      <c r="AH86" s="104">
        <f t="shared" ca="1" si="105"/>
        <v>0</v>
      </c>
      <c r="AI86" s="104">
        <f t="shared" ca="1" si="106"/>
        <v>0</v>
      </c>
      <c r="AJ86" s="104">
        <f t="shared" ca="1" si="107"/>
        <v>0</v>
      </c>
      <c r="AK86" s="104">
        <f t="shared" ca="1" si="108"/>
        <v>0</v>
      </c>
      <c r="AL86" s="104">
        <f t="shared" ca="1" si="109"/>
        <v>0</v>
      </c>
      <c r="AM86" s="104">
        <f t="shared" ca="1" si="110"/>
        <v>0</v>
      </c>
      <c r="AN86" s="104">
        <f t="shared" ca="1" si="111"/>
        <v>0</v>
      </c>
      <c r="AO86" s="104">
        <f t="shared" ca="1" si="112"/>
        <v>0</v>
      </c>
      <c r="AP86" s="104">
        <f t="shared" ca="1" si="113"/>
        <v>0</v>
      </c>
      <c r="AQ86" s="49">
        <f t="shared" ca="1" si="114"/>
        <v>0</v>
      </c>
      <c r="AR86" s="104">
        <f t="shared" ca="1" si="115"/>
        <v>0</v>
      </c>
      <c r="AS86" s="104">
        <f t="shared" ca="1" si="116"/>
        <v>0</v>
      </c>
      <c r="AT86" s="104">
        <f t="shared" ca="1" si="117"/>
        <v>0</v>
      </c>
      <c r="AU86" s="104">
        <f t="shared" ca="1" si="118"/>
        <v>0</v>
      </c>
      <c r="BF86" s="49">
        <f t="shared" ca="1" si="119"/>
        <v>0</v>
      </c>
      <c r="BG86" s="49">
        <f t="shared" ca="1" si="120"/>
        <v>0</v>
      </c>
      <c r="BH86" s="54" t="e">
        <f t="shared" ca="1" si="121"/>
        <v>#DIV/0!</v>
      </c>
      <c r="BI86" s="112" t="e">
        <f t="shared" ca="1" si="122"/>
        <v>#DIV/0!</v>
      </c>
      <c r="BK86" s="55" t="e">
        <f t="shared" ca="1" si="123"/>
        <v>#DIV/0!</v>
      </c>
      <c r="BL86" s="55" t="e">
        <f t="shared" ca="1" si="124"/>
        <v>#DIV/0!</v>
      </c>
      <c r="BM86" s="55" t="e">
        <f t="shared" ca="1" si="125"/>
        <v>#DIV/0!</v>
      </c>
      <c r="BN86" s="53">
        <f t="shared" ca="1" si="126"/>
        <v>0</v>
      </c>
      <c r="BO86" s="112" t="e">
        <f t="shared" ca="1" si="127"/>
        <v>#DIV/0!</v>
      </c>
      <c r="BR86" s="53" t="e">
        <f t="shared" ca="1" si="128"/>
        <v>#DIV/0!</v>
      </c>
      <c r="BS86" s="53">
        <f t="shared" ca="1" si="129"/>
        <v>0</v>
      </c>
      <c r="BT86" s="53">
        <f t="shared" ca="1" si="130"/>
        <v>0</v>
      </c>
      <c r="BU86" s="56" t="e">
        <f t="shared" ca="1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ca="1" si="134"/>
        <v>0</v>
      </c>
      <c r="CW86" s="53">
        <f t="shared" ca="1" si="135"/>
        <v>0</v>
      </c>
      <c r="CX86" s="58" t="e">
        <f t="shared" ca="1" si="136"/>
        <v>#DIV/0!</v>
      </c>
      <c r="CY86" s="53">
        <f t="shared" ca="1" si="137"/>
        <v>0</v>
      </c>
      <c r="CZ86" s="53">
        <f t="shared" ca="1" si="138"/>
        <v>0</v>
      </c>
      <c r="DA86" s="58" t="e">
        <f t="shared" ca="1" si="139"/>
        <v>#DIV/0!</v>
      </c>
      <c r="DB86" s="48" t="e">
        <f t="shared" ca="1" si="140"/>
        <v>#DIV/0!</v>
      </c>
      <c r="DC86" s="48" t="e">
        <f t="shared" ca="1" si="141"/>
        <v>#DIV/0!</v>
      </c>
      <c r="DD86" s="48" t="e">
        <f t="shared" ca="1" si="142"/>
        <v>#DIV/0!</v>
      </c>
      <c r="DE86" s="48" t="e">
        <f t="shared" ca="1" si="143"/>
        <v>#DIV/0!</v>
      </c>
      <c r="DF86" s="48" t="e">
        <f t="shared" ca="1" si="144"/>
        <v>#DIV/0!</v>
      </c>
      <c r="DG86" s="48" t="e">
        <f t="shared" ca="1" si="145"/>
        <v>#DIV/0!</v>
      </c>
      <c r="DH86" s="48">
        <f ca="1">SUMIF(FCR!$BZ$4:$DB$500,DG86,FCR!$DE$4:$EG$500)</f>
        <v>0</v>
      </c>
      <c r="DI86" s="48" t="e">
        <f t="shared" ca="1" si="146"/>
        <v>#DIV/0!</v>
      </c>
      <c r="DJ86" s="48">
        <f ca="1">SUMIF(FCR!$BZ$4:$DB$142,DI86,FCR!$DE$4:$EG$142)</f>
        <v>0</v>
      </c>
      <c r="DK86" s="48" t="e">
        <f t="shared" ca="1" si="147"/>
        <v>#DIV/0!</v>
      </c>
      <c r="DL86" s="55" t="e">
        <f t="shared" ca="1" si="148"/>
        <v>#DIV/0!</v>
      </c>
      <c r="DM86" s="48" t="e">
        <f t="shared" ca="1" si="149"/>
        <v>#DIV/0!</v>
      </c>
      <c r="DN86" s="48">
        <f ca="1">SUMIF(FCR!$BZ$4:$DB$142,DM86,FCR!$DE$4:$EG$142)</f>
        <v>0</v>
      </c>
      <c r="DO86" s="53" t="e">
        <f t="shared" ca="1" si="150"/>
        <v>#DIV/0!</v>
      </c>
      <c r="DP86" s="55" t="e">
        <f t="shared" ca="1" si="151"/>
        <v>#DIV/0!</v>
      </c>
      <c r="DQ86" s="55" t="e">
        <f t="shared" ca="1" si="152"/>
        <v>#DIV/0!</v>
      </c>
      <c r="DR86" s="55"/>
      <c r="DS86" s="55" t="e">
        <f t="shared" ca="1" si="153"/>
        <v>#DIV/0!</v>
      </c>
      <c r="DT86" s="55" t="e">
        <f t="shared" ca="1" si="154"/>
        <v>#DIV/0!</v>
      </c>
      <c r="DU86" s="53">
        <f t="shared" ca="1" si="155"/>
        <v>0</v>
      </c>
      <c r="DV86" s="59" t="e">
        <f t="shared" ca="1" si="156"/>
        <v>#DIV/0!</v>
      </c>
    </row>
    <row r="87" spans="1:12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AD87" s="49" t="s">
        <v>337</v>
      </c>
      <c r="AE87" s="49">
        <f t="shared" ca="1" si="102"/>
        <v>0</v>
      </c>
      <c r="AF87" s="49">
        <f t="shared" ca="1" si="103"/>
        <v>0</v>
      </c>
      <c r="AG87" s="114">
        <f t="shared" ca="1" si="104"/>
        <v>0</v>
      </c>
      <c r="AH87" s="104">
        <f t="shared" ca="1" si="105"/>
        <v>0</v>
      </c>
      <c r="AI87" s="104">
        <f t="shared" ca="1" si="106"/>
        <v>0</v>
      </c>
      <c r="AJ87" s="104">
        <f t="shared" ca="1" si="107"/>
        <v>0</v>
      </c>
      <c r="AK87" s="104">
        <f t="shared" ca="1" si="108"/>
        <v>0</v>
      </c>
      <c r="AL87" s="104">
        <f t="shared" ca="1" si="109"/>
        <v>0</v>
      </c>
      <c r="AM87" s="104">
        <f t="shared" ca="1" si="110"/>
        <v>0</v>
      </c>
      <c r="AN87" s="104">
        <f t="shared" ca="1" si="111"/>
        <v>0</v>
      </c>
      <c r="AO87" s="104">
        <f t="shared" ca="1" si="112"/>
        <v>0</v>
      </c>
      <c r="AP87" s="104">
        <f t="shared" ca="1" si="113"/>
        <v>0</v>
      </c>
      <c r="AQ87" s="49">
        <f t="shared" ca="1" si="114"/>
        <v>0</v>
      </c>
      <c r="AR87" s="104">
        <f t="shared" ca="1" si="115"/>
        <v>0</v>
      </c>
      <c r="AS87" s="104">
        <f t="shared" ca="1" si="116"/>
        <v>0</v>
      </c>
      <c r="AT87" s="104">
        <f t="shared" ca="1" si="117"/>
        <v>0</v>
      </c>
      <c r="AU87" s="104">
        <f t="shared" ca="1" si="118"/>
        <v>0</v>
      </c>
      <c r="BF87" s="49">
        <f t="shared" ca="1" si="119"/>
        <v>0</v>
      </c>
      <c r="BG87" s="49">
        <f t="shared" ca="1" si="120"/>
        <v>0</v>
      </c>
      <c r="BH87" s="54" t="e">
        <f t="shared" ca="1" si="121"/>
        <v>#DIV/0!</v>
      </c>
      <c r="BI87" s="112" t="e">
        <f t="shared" ca="1" si="122"/>
        <v>#DIV/0!</v>
      </c>
      <c r="BK87" s="55" t="e">
        <f t="shared" ca="1" si="123"/>
        <v>#DIV/0!</v>
      </c>
      <c r="BL87" s="55" t="e">
        <f t="shared" ca="1" si="124"/>
        <v>#DIV/0!</v>
      </c>
      <c r="BM87" s="55" t="e">
        <f t="shared" ca="1" si="125"/>
        <v>#DIV/0!</v>
      </c>
      <c r="BN87" s="53">
        <f t="shared" ca="1" si="126"/>
        <v>0</v>
      </c>
      <c r="BO87" s="112" t="e">
        <f t="shared" ca="1" si="127"/>
        <v>#DIV/0!</v>
      </c>
      <c r="BR87" s="53" t="e">
        <f t="shared" ca="1" si="128"/>
        <v>#DIV/0!</v>
      </c>
      <c r="BS87" s="53">
        <f t="shared" ca="1" si="129"/>
        <v>0</v>
      </c>
      <c r="BT87" s="53">
        <f t="shared" ca="1" si="130"/>
        <v>0</v>
      </c>
      <c r="BU87" s="56" t="e">
        <f t="shared" ca="1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ca="1" si="134"/>
        <v>0</v>
      </c>
      <c r="CW87" s="53">
        <f t="shared" ca="1" si="135"/>
        <v>0</v>
      </c>
      <c r="CX87" s="58" t="e">
        <f t="shared" ca="1" si="136"/>
        <v>#DIV/0!</v>
      </c>
      <c r="CY87" s="53">
        <f t="shared" ca="1" si="137"/>
        <v>0</v>
      </c>
      <c r="CZ87" s="53">
        <f t="shared" ca="1" si="138"/>
        <v>0</v>
      </c>
      <c r="DA87" s="58" t="e">
        <f t="shared" ca="1" si="139"/>
        <v>#DIV/0!</v>
      </c>
      <c r="DB87" s="48" t="e">
        <f t="shared" ca="1" si="140"/>
        <v>#DIV/0!</v>
      </c>
      <c r="DC87" s="48" t="e">
        <f t="shared" ca="1" si="141"/>
        <v>#DIV/0!</v>
      </c>
      <c r="DD87" s="48" t="e">
        <f t="shared" ca="1" si="142"/>
        <v>#DIV/0!</v>
      </c>
      <c r="DE87" s="48" t="e">
        <f t="shared" ca="1" si="143"/>
        <v>#DIV/0!</v>
      </c>
      <c r="DF87" s="48" t="e">
        <f t="shared" ca="1" si="144"/>
        <v>#DIV/0!</v>
      </c>
      <c r="DG87" s="48" t="e">
        <f t="shared" ca="1" si="145"/>
        <v>#DIV/0!</v>
      </c>
      <c r="DH87" s="48">
        <f ca="1">SUMIF(FCR!$BZ$4:$DB$500,DG87,FCR!$DE$4:$EG$500)</f>
        <v>0</v>
      </c>
      <c r="DI87" s="48" t="e">
        <f t="shared" ca="1" si="146"/>
        <v>#DIV/0!</v>
      </c>
      <c r="DJ87" s="48">
        <f ca="1">SUMIF(FCR!$BZ$4:$DB$142,DI87,FCR!$DE$4:$EG$142)</f>
        <v>0</v>
      </c>
      <c r="DK87" s="48" t="e">
        <f t="shared" ca="1" si="147"/>
        <v>#DIV/0!</v>
      </c>
      <c r="DL87" s="55" t="e">
        <f t="shared" ca="1" si="148"/>
        <v>#DIV/0!</v>
      </c>
      <c r="DM87" s="48" t="e">
        <f t="shared" ca="1" si="149"/>
        <v>#DIV/0!</v>
      </c>
      <c r="DN87" s="48">
        <f ca="1">SUMIF(FCR!$BZ$4:$DB$142,DM87,FCR!$DE$4:$EG$142)</f>
        <v>0</v>
      </c>
      <c r="DO87" s="53" t="e">
        <f t="shared" ca="1" si="150"/>
        <v>#DIV/0!</v>
      </c>
      <c r="DP87" s="55" t="e">
        <f t="shared" ca="1" si="151"/>
        <v>#DIV/0!</v>
      </c>
      <c r="DQ87" s="55" t="e">
        <f t="shared" ca="1" si="152"/>
        <v>#DIV/0!</v>
      </c>
      <c r="DR87" s="55"/>
      <c r="DS87" s="55" t="e">
        <f t="shared" ca="1" si="153"/>
        <v>#DIV/0!</v>
      </c>
      <c r="DT87" s="55" t="e">
        <f t="shared" ca="1" si="154"/>
        <v>#DIV/0!</v>
      </c>
      <c r="DU87" s="53">
        <f t="shared" ca="1" si="155"/>
        <v>0</v>
      </c>
      <c r="DV87" s="59" t="e">
        <f t="shared" ca="1" si="156"/>
        <v>#DIV/0!</v>
      </c>
    </row>
    <row r="88" spans="1:12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AD88" s="49" t="s">
        <v>337</v>
      </c>
      <c r="AE88" s="49">
        <f t="shared" ca="1" si="102"/>
        <v>0</v>
      </c>
      <c r="AF88" s="49">
        <f t="shared" ca="1" si="103"/>
        <v>0</v>
      </c>
      <c r="AG88" s="114">
        <f t="shared" ca="1" si="104"/>
        <v>0</v>
      </c>
      <c r="AH88" s="104">
        <f t="shared" ca="1" si="105"/>
        <v>0</v>
      </c>
      <c r="AI88" s="104">
        <f t="shared" ca="1" si="106"/>
        <v>0</v>
      </c>
      <c r="AJ88" s="104">
        <f t="shared" ca="1" si="107"/>
        <v>0</v>
      </c>
      <c r="AK88" s="104">
        <f t="shared" ca="1" si="108"/>
        <v>0</v>
      </c>
      <c r="AL88" s="104">
        <f t="shared" ca="1" si="109"/>
        <v>0</v>
      </c>
      <c r="AM88" s="104">
        <f t="shared" ca="1" si="110"/>
        <v>0</v>
      </c>
      <c r="AN88" s="104">
        <f t="shared" ca="1" si="111"/>
        <v>0</v>
      </c>
      <c r="AO88" s="104">
        <f t="shared" ca="1" si="112"/>
        <v>0</v>
      </c>
      <c r="AP88" s="104">
        <f t="shared" ca="1" si="113"/>
        <v>0</v>
      </c>
      <c r="AQ88" s="49">
        <f t="shared" ca="1" si="114"/>
        <v>0</v>
      </c>
      <c r="AR88" s="104">
        <f t="shared" ca="1" si="115"/>
        <v>0</v>
      </c>
      <c r="AS88" s="104">
        <f t="shared" ca="1" si="116"/>
        <v>0</v>
      </c>
      <c r="AT88" s="104">
        <f t="shared" ca="1" si="117"/>
        <v>0</v>
      </c>
      <c r="AU88" s="104">
        <f t="shared" ca="1" si="118"/>
        <v>0</v>
      </c>
      <c r="BF88" s="49">
        <f t="shared" ca="1" si="119"/>
        <v>0</v>
      </c>
      <c r="BG88" s="49">
        <f t="shared" ca="1" si="120"/>
        <v>0</v>
      </c>
      <c r="BH88" s="54" t="e">
        <f t="shared" ca="1" si="121"/>
        <v>#DIV/0!</v>
      </c>
      <c r="BI88" s="112" t="e">
        <f t="shared" ca="1" si="122"/>
        <v>#DIV/0!</v>
      </c>
      <c r="BK88" s="55" t="e">
        <f t="shared" ca="1" si="123"/>
        <v>#DIV/0!</v>
      </c>
      <c r="BL88" s="55" t="e">
        <f t="shared" ca="1" si="124"/>
        <v>#DIV/0!</v>
      </c>
      <c r="BM88" s="55" t="e">
        <f t="shared" ca="1" si="125"/>
        <v>#DIV/0!</v>
      </c>
      <c r="BN88" s="53">
        <f t="shared" ca="1" si="126"/>
        <v>0</v>
      </c>
      <c r="BO88" s="112" t="e">
        <f t="shared" ca="1" si="127"/>
        <v>#DIV/0!</v>
      </c>
      <c r="BR88" s="53" t="e">
        <f t="shared" ca="1" si="128"/>
        <v>#DIV/0!</v>
      </c>
      <c r="BS88" s="53">
        <f t="shared" ca="1" si="129"/>
        <v>0</v>
      </c>
      <c r="BT88" s="53">
        <f t="shared" ca="1" si="130"/>
        <v>0</v>
      </c>
      <c r="BU88" s="56" t="e">
        <f t="shared" ca="1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ca="1" si="134"/>
        <v>0</v>
      </c>
      <c r="CW88" s="53">
        <f t="shared" ca="1" si="135"/>
        <v>0</v>
      </c>
      <c r="CX88" s="58" t="e">
        <f t="shared" ca="1" si="136"/>
        <v>#DIV/0!</v>
      </c>
      <c r="CY88" s="53">
        <f t="shared" ca="1" si="137"/>
        <v>0</v>
      </c>
      <c r="CZ88" s="53">
        <f t="shared" ca="1" si="138"/>
        <v>0</v>
      </c>
      <c r="DA88" s="58" t="e">
        <f t="shared" ca="1" si="139"/>
        <v>#DIV/0!</v>
      </c>
      <c r="DB88" s="48" t="e">
        <f t="shared" ca="1" si="140"/>
        <v>#DIV/0!</v>
      </c>
      <c r="DC88" s="48" t="e">
        <f t="shared" ca="1" si="141"/>
        <v>#DIV/0!</v>
      </c>
      <c r="DD88" s="48" t="e">
        <f t="shared" ca="1" si="142"/>
        <v>#DIV/0!</v>
      </c>
      <c r="DE88" s="48" t="e">
        <f t="shared" ca="1" si="143"/>
        <v>#DIV/0!</v>
      </c>
      <c r="DF88" s="48" t="e">
        <f t="shared" ca="1" si="144"/>
        <v>#DIV/0!</v>
      </c>
      <c r="DG88" s="48" t="e">
        <f t="shared" ca="1" si="145"/>
        <v>#DIV/0!</v>
      </c>
      <c r="DH88" s="48">
        <f ca="1">SUMIF(FCR!$BZ$4:$DB$500,DG88,FCR!$DE$4:$EG$500)</f>
        <v>0</v>
      </c>
      <c r="DI88" s="48" t="e">
        <f t="shared" ca="1" si="146"/>
        <v>#DIV/0!</v>
      </c>
      <c r="DJ88" s="48">
        <f ca="1">SUMIF(FCR!$BZ$4:$DB$142,DI88,FCR!$DE$4:$EG$142)</f>
        <v>0</v>
      </c>
      <c r="DK88" s="48" t="e">
        <f t="shared" ca="1" si="147"/>
        <v>#DIV/0!</v>
      </c>
      <c r="DL88" s="55" t="e">
        <f t="shared" ca="1" si="148"/>
        <v>#DIV/0!</v>
      </c>
      <c r="DM88" s="48" t="e">
        <f t="shared" ca="1" si="149"/>
        <v>#DIV/0!</v>
      </c>
      <c r="DN88" s="48">
        <f ca="1">SUMIF(FCR!$BZ$4:$DB$142,DM88,FCR!$DE$4:$EG$142)</f>
        <v>0</v>
      </c>
      <c r="DO88" s="53" t="e">
        <f t="shared" ca="1" si="150"/>
        <v>#DIV/0!</v>
      </c>
      <c r="DP88" s="55" t="e">
        <f t="shared" ca="1" si="151"/>
        <v>#DIV/0!</v>
      </c>
      <c r="DQ88" s="55" t="e">
        <f t="shared" ca="1" si="152"/>
        <v>#DIV/0!</v>
      </c>
      <c r="DR88" s="55"/>
      <c r="DS88" s="55" t="e">
        <f t="shared" ca="1" si="153"/>
        <v>#DIV/0!</v>
      </c>
      <c r="DT88" s="55" t="e">
        <f t="shared" ca="1" si="154"/>
        <v>#DIV/0!</v>
      </c>
      <c r="DU88" s="53">
        <f t="shared" ca="1" si="155"/>
        <v>0</v>
      </c>
      <c r="DV88" s="59" t="e">
        <f t="shared" ca="1" si="156"/>
        <v>#DIV/0!</v>
      </c>
    </row>
    <row r="89" spans="1:12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AD89" s="49" t="s">
        <v>337</v>
      </c>
      <c r="AE89" s="49">
        <f t="shared" ca="1" si="102"/>
        <v>0</v>
      </c>
      <c r="AF89" s="49">
        <f t="shared" ca="1" si="103"/>
        <v>0</v>
      </c>
      <c r="AG89" s="114">
        <f t="shared" ca="1" si="104"/>
        <v>0</v>
      </c>
      <c r="AH89" s="104">
        <f t="shared" ca="1" si="105"/>
        <v>0</v>
      </c>
      <c r="AI89" s="104">
        <f t="shared" ca="1" si="106"/>
        <v>0</v>
      </c>
      <c r="AJ89" s="104">
        <f t="shared" ca="1" si="107"/>
        <v>0</v>
      </c>
      <c r="AK89" s="104">
        <f t="shared" ca="1" si="108"/>
        <v>0</v>
      </c>
      <c r="AL89" s="104">
        <f t="shared" ca="1" si="109"/>
        <v>0</v>
      </c>
      <c r="AM89" s="104">
        <f t="shared" ca="1" si="110"/>
        <v>0</v>
      </c>
      <c r="AN89" s="104">
        <f t="shared" ca="1" si="111"/>
        <v>0</v>
      </c>
      <c r="AO89" s="104">
        <f t="shared" ca="1" si="112"/>
        <v>0</v>
      </c>
      <c r="AP89" s="104">
        <f t="shared" ca="1" si="113"/>
        <v>0</v>
      </c>
      <c r="AQ89" s="49">
        <f t="shared" ca="1" si="114"/>
        <v>0</v>
      </c>
      <c r="AR89" s="104">
        <f t="shared" ca="1" si="115"/>
        <v>0</v>
      </c>
      <c r="AS89" s="104">
        <f t="shared" ca="1" si="116"/>
        <v>0</v>
      </c>
      <c r="AT89" s="104">
        <f t="shared" ca="1" si="117"/>
        <v>0</v>
      </c>
      <c r="AU89" s="104">
        <f t="shared" ca="1" si="118"/>
        <v>0</v>
      </c>
      <c r="BF89" s="49">
        <f t="shared" ca="1" si="119"/>
        <v>0</v>
      </c>
      <c r="BG89" s="49">
        <f t="shared" ca="1" si="120"/>
        <v>0</v>
      </c>
      <c r="BH89" s="54" t="e">
        <f t="shared" ca="1" si="121"/>
        <v>#DIV/0!</v>
      </c>
      <c r="BI89" s="112" t="e">
        <f t="shared" ca="1" si="122"/>
        <v>#DIV/0!</v>
      </c>
      <c r="BK89" s="55" t="e">
        <f t="shared" ca="1" si="123"/>
        <v>#DIV/0!</v>
      </c>
      <c r="BL89" s="55" t="e">
        <f t="shared" ca="1" si="124"/>
        <v>#DIV/0!</v>
      </c>
      <c r="BM89" s="55" t="e">
        <f t="shared" ca="1" si="125"/>
        <v>#DIV/0!</v>
      </c>
      <c r="BN89" s="53">
        <f t="shared" ca="1" si="126"/>
        <v>0</v>
      </c>
      <c r="BO89" s="112" t="e">
        <f t="shared" ca="1" si="127"/>
        <v>#DIV/0!</v>
      </c>
      <c r="BR89" s="53" t="e">
        <f t="shared" ca="1" si="128"/>
        <v>#DIV/0!</v>
      </c>
      <c r="BS89" s="53">
        <f t="shared" ca="1" si="129"/>
        <v>0</v>
      </c>
      <c r="BT89" s="53">
        <f t="shared" ca="1" si="130"/>
        <v>0</v>
      </c>
      <c r="BU89" s="56" t="e">
        <f t="shared" ca="1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ca="1" si="134"/>
        <v>0</v>
      </c>
      <c r="CW89" s="53">
        <f t="shared" ca="1" si="135"/>
        <v>0</v>
      </c>
      <c r="CX89" s="58" t="e">
        <f t="shared" ca="1" si="136"/>
        <v>#DIV/0!</v>
      </c>
      <c r="CY89" s="53">
        <f t="shared" ca="1" si="137"/>
        <v>0</v>
      </c>
      <c r="CZ89" s="53">
        <f t="shared" ca="1" si="138"/>
        <v>0</v>
      </c>
      <c r="DA89" s="58" t="e">
        <f t="shared" ca="1" si="139"/>
        <v>#DIV/0!</v>
      </c>
      <c r="DB89" s="48" t="e">
        <f t="shared" ca="1" si="140"/>
        <v>#DIV/0!</v>
      </c>
      <c r="DC89" s="48" t="e">
        <f t="shared" ca="1" si="141"/>
        <v>#DIV/0!</v>
      </c>
      <c r="DD89" s="48" t="e">
        <f t="shared" ca="1" si="142"/>
        <v>#DIV/0!</v>
      </c>
      <c r="DE89" s="48" t="e">
        <f t="shared" ca="1" si="143"/>
        <v>#DIV/0!</v>
      </c>
      <c r="DF89" s="48" t="e">
        <f t="shared" ca="1" si="144"/>
        <v>#DIV/0!</v>
      </c>
      <c r="DG89" s="48" t="e">
        <f t="shared" ca="1" si="145"/>
        <v>#DIV/0!</v>
      </c>
      <c r="DH89" s="48">
        <f ca="1">SUMIF(FCR!$BZ$4:$DB$500,DG89,FCR!$DE$4:$EG$500)</f>
        <v>0</v>
      </c>
      <c r="DI89" s="48" t="e">
        <f t="shared" ca="1" si="146"/>
        <v>#DIV/0!</v>
      </c>
      <c r="DJ89" s="48">
        <f ca="1">SUMIF(FCR!$BZ$4:$DB$142,DI89,FCR!$DE$4:$EG$142)</f>
        <v>0</v>
      </c>
      <c r="DK89" s="48" t="e">
        <f t="shared" ca="1" si="147"/>
        <v>#DIV/0!</v>
      </c>
      <c r="DL89" s="55" t="e">
        <f t="shared" ca="1" si="148"/>
        <v>#DIV/0!</v>
      </c>
      <c r="DM89" s="48" t="e">
        <f t="shared" ca="1" si="149"/>
        <v>#DIV/0!</v>
      </c>
      <c r="DN89" s="48">
        <f ca="1">SUMIF(FCR!$BZ$4:$DB$142,DM89,FCR!$DE$4:$EG$142)</f>
        <v>0</v>
      </c>
      <c r="DO89" s="53" t="e">
        <f t="shared" ca="1" si="150"/>
        <v>#DIV/0!</v>
      </c>
      <c r="DP89" s="55" t="e">
        <f t="shared" ca="1" si="151"/>
        <v>#DIV/0!</v>
      </c>
      <c r="DQ89" s="55" t="e">
        <f t="shared" ca="1" si="152"/>
        <v>#DIV/0!</v>
      </c>
      <c r="DR89" s="55"/>
      <c r="DS89" s="55" t="e">
        <f t="shared" ca="1" si="153"/>
        <v>#DIV/0!</v>
      </c>
      <c r="DT89" s="55" t="e">
        <f t="shared" ca="1" si="154"/>
        <v>#DIV/0!</v>
      </c>
      <c r="DU89" s="53">
        <f t="shared" ca="1" si="155"/>
        <v>0</v>
      </c>
      <c r="DV89" s="59" t="e">
        <f t="shared" ca="1" si="156"/>
        <v>#DIV/0!</v>
      </c>
    </row>
    <row r="90" spans="1:12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AD90" s="49" t="s">
        <v>337</v>
      </c>
      <c r="AE90" s="49">
        <f t="shared" ca="1" si="102"/>
        <v>0</v>
      </c>
      <c r="AF90" s="49">
        <f t="shared" ca="1" si="103"/>
        <v>0</v>
      </c>
      <c r="AG90" s="114">
        <f t="shared" ca="1" si="104"/>
        <v>0</v>
      </c>
      <c r="AH90" s="104">
        <f t="shared" ca="1" si="105"/>
        <v>0</v>
      </c>
      <c r="AI90" s="104">
        <f t="shared" ca="1" si="106"/>
        <v>0</v>
      </c>
      <c r="AJ90" s="104">
        <f t="shared" ca="1" si="107"/>
        <v>0</v>
      </c>
      <c r="AK90" s="104">
        <f t="shared" ca="1" si="108"/>
        <v>0</v>
      </c>
      <c r="AL90" s="104">
        <f t="shared" ca="1" si="109"/>
        <v>0</v>
      </c>
      <c r="AM90" s="104">
        <f t="shared" ca="1" si="110"/>
        <v>0</v>
      </c>
      <c r="AN90" s="104">
        <f t="shared" ca="1" si="111"/>
        <v>0</v>
      </c>
      <c r="AO90" s="104">
        <f t="shared" ca="1" si="112"/>
        <v>0</v>
      </c>
      <c r="AP90" s="104">
        <f t="shared" ca="1" si="113"/>
        <v>0</v>
      </c>
      <c r="AQ90" s="49">
        <f t="shared" ca="1" si="114"/>
        <v>0</v>
      </c>
      <c r="AR90" s="104">
        <f t="shared" ca="1" si="115"/>
        <v>0</v>
      </c>
      <c r="AS90" s="104">
        <f t="shared" ca="1" si="116"/>
        <v>0</v>
      </c>
      <c r="AT90" s="104">
        <f t="shared" ca="1" si="117"/>
        <v>0</v>
      </c>
      <c r="AU90" s="104">
        <f t="shared" ca="1" si="118"/>
        <v>0</v>
      </c>
      <c r="BF90" s="49">
        <f t="shared" ca="1" si="119"/>
        <v>0</v>
      </c>
      <c r="BG90" s="49">
        <f t="shared" ca="1" si="120"/>
        <v>0</v>
      </c>
      <c r="BH90" s="54" t="e">
        <f t="shared" ca="1" si="121"/>
        <v>#DIV/0!</v>
      </c>
      <c r="BI90" s="112" t="e">
        <f t="shared" ca="1" si="122"/>
        <v>#DIV/0!</v>
      </c>
      <c r="BK90" s="55" t="e">
        <f t="shared" ca="1" si="123"/>
        <v>#DIV/0!</v>
      </c>
      <c r="BL90" s="55" t="e">
        <f t="shared" ca="1" si="124"/>
        <v>#DIV/0!</v>
      </c>
      <c r="BM90" s="55" t="e">
        <f t="shared" ca="1" si="125"/>
        <v>#DIV/0!</v>
      </c>
      <c r="BN90" s="53">
        <f t="shared" ca="1" si="126"/>
        <v>0</v>
      </c>
      <c r="BO90" s="112" t="e">
        <f t="shared" ca="1" si="127"/>
        <v>#DIV/0!</v>
      </c>
      <c r="BR90" s="53" t="e">
        <f t="shared" ca="1" si="128"/>
        <v>#DIV/0!</v>
      </c>
      <c r="BS90" s="53">
        <f t="shared" ca="1" si="129"/>
        <v>0</v>
      </c>
      <c r="BT90" s="53">
        <f t="shared" ca="1" si="130"/>
        <v>0</v>
      </c>
      <c r="BU90" s="56" t="e">
        <f t="shared" ca="1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ca="1" si="134"/>
        <v>0</v>
      </c>
      <c r="CW90" s="53">
        <f t="shared" ca="1" si="135"/>
        <v>0</v>
      </c>
      <c r="CX90" s="58" t="e">
        <f t="shared" ca="1" si="136"/>
        <v>#DIV/0!</v>
      </c>
      <c r="CY90" s="53">
        <f t="shared" ca="1" si="137"/>
        <v>0</v>
      </c>
      <c r="CZ90" s="53">
        <f t="shared" ca="1" si="138"/>
        <v>0</v>
      </c>
      <c r="DA90" s="58" t="e">
        <f t="shared" ca="1" si="139"/>
        <v>#DIV/0!</v>
      </c>
      <c r="DB90" s="48" t="e">
        <f t="shared" ca="1" si="140"/>
        <v>#DIV/0!</v>
      </c>
      <c r="DC90" s="48" t="e">
        <f t="shared" ca="1" si="141"/>
        <v>#DIV/0!</v>
      </c>
      <c r="DD90" s="48" t="e">
        <f t="shared" ca="1" si="142"/>
        <v>#DIV/0!</v>
      </c>
      <c r="DE90" s="48" t="e">
        <f t="shared" ca="1" si="143"/>
        <v>#DIV/0!</v>
      </c>
      <c r="DF90" s="48" t="e">
        <f t="shared" ca="1" si="144"/>
        <v>#DIV/0!</v>
      </c>
      <c r="DG90" s="48" t="e">
        <f t="shared" ca="1" si="145"/>
        <v>#DIV/0!</v>
      </c>
      <c r="DH90" s="48">
        <f ca="1">SUMIF(FCR!$BZ$4:$DB$500,DG90,FCR!$DE$4:$EG$500)</f>
        <v>0</v>
      </c>
      <c r="DI90" s="48" t="e">
        <f t="shared" ca="1" si="146"/>
        <v>#DIV/0!</v>
      </c>
      <c r="DJ90" s="48">
        <f ca="1">SUMIF(FCR!$BZ$4:$DB$142,DI90,FCR!$DE$4:$EG$142)</f>
        <v>0</v>
      </c>
      <c r="DK90" s="48" t="e">
        <f t="shared" ca="1" si="147"/>
        <v>#DIV/0!</v>
      </c>
      <c r="DL90" s="55" t="e">
        <f t="shared" ca="1" si="148"/>
        <v>#DIV/0!</v>
      </c>
      <c r="DM90" s="48" t="e">
        <f t="shared" ca="1" si="149"/>
        <v>#DIV/0!</v>
      </c>
      <c r="DN90" s="48">
        <f ca="1">SUMIF(FCR!$BZ$4:$DB$142,DM90,FCR!$DE$4:$EG$142)</f>
        <v>0</v>
      </c>
      <c r="DO90" s="53" t="e">
        <f t="shared" ca="1" si="150"/>
        <v>#DIV/0!</v>
      </c>
      <c r="DP90" s="55" t="e">
        <f t="shared" ca="1" si="151"/>
        <v>#DIV/0!</v>
      </c>
      <c r="DQ90" s="55" t="e">
        <f t="shared" ca="1" si="152"/>
        <v>#DIV/0!</v>
      </c>
      <c r="DR90" s="55"/>
      <c r="DS90" s="55" t="e">
        <f t="shared" ca="1" si="153"/>
        <v>#DIV/0!</v>
      </c>
      <c r="DT90" s="55" t="e">
        <f t="shared" ca="1" si="154"/>
        <v>#DIV/0!</v>
      </c>
      <c r="DU90" s="53">
        <f t="shared" ca="1" si="155"/>
        <v>0</v>
      </c>
      <c r="DV90" s="59" t="e">
        <f t="shared" ca="1" si="156"/>
        <v>#DIV/0!</v>
      </c>
    </row>
    <row r="91" spans="1:12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AD91" s="49" t="s">
        <v>337</v>
      </c>
      <c r="AE91" s="49">
        <f t="shared" ca="1" si="102"/>
        <v>0</v>
      </c>
      <c r="AF91" s="49">
        <f t="shared" ca="1" si="103"/>
        <v>0</v>
      </c>
      <c r="AG91" s="114">
        <f t="shared" ca="1" si="104"/>
        <v>0</v>
      </c>
      <c r="AH91" s="104">
        <f t="shared" ca="1" si="105"/>
        <v>0</v>
      </c>
      <c r="AI91" s="104">
        <f t="shared" ca="1" si="106"/>
        <v>0</v>
      </c>
      <c r="AJ91" s="104">
        <f t="shared" ca="1" si="107"/>
        <v>0</v>
      </c>
      <c r="AK91" s="104">
        <f t="shared" ca="1" si="108"/>
        <v>0</v>
      </c>
      <c r="AL91" s="104">
        <f t="shared" ca="1" si="109"/>
        <v>0</v>
      </c>
      <c r="AM91" s="104">
        <f t="shared" ca="1" si="110"/>
        <v>0</v>
      </c>
      <c r="AN91" s="104">
        <f t="shared" ca="1" si="111"/>
        <v>0</v>
      </c>
      <c r="AO91" s="104">
        <f t="shared" ca="1" si="112"/>
        <v>0</v>
      </c>
      <c r="AP91" s="104">
        <f t="shared" ca="1" si="113"/>
        <v>0</v>
      </c>
      <c r="AQ91" s="49">
        <f t="shared" ca="1" si="114"/>
        <v>0</v>
      </c>
      <c r="AR91" s="104">
        <f t="shared" ca="1" si="115"/>
        <v>0</v>
      </c>
      <c r="AS91" s="104">
        <f t="shared" ca="1" si="116"/>
        <v>0</v>
      </c>
      <c r="AT91" s="104">
        <f t="shared" ca="1" si="117"/>
        <v>0</v>
      </c>
      <c r="AU91" s="104">
        <f t="shared" ca="1" si="118"/>
        <v>0</v>
      </c>
      <c r="BF91" s="49">
        <f t="shared" ca="1" si="119"/>
        <v>0</v>
      </c>
      <c r="BG91" s="49">
        <f t="shared" ca="1" si="120"/>
        <v>0</v>
      </c>
      <c r="BH91" s="54" t="e">
        <f t="shared" ca="1" si="121"/>
        <v>#DIV/0!</v>
      </c>
      <c r="BI91" s="112" t="e">
        <f t="shared" ca="1" si="122"/>
        <v>#DIV/0!</v>
      </c>
      <c r="BK91" s="55" t="e">
        <f t="shared" ca="1" si="123"/>
        <v>#DIV/0!</v>
      </c>
      <c r="BL91" s="55" t="e">
        <f t="shared" ca="1" si="124"/>
        <v>#DIV/0!</v>
      </c>
      <c r="BM91" s="55" t="e">
        <f t="shared" ca="1" si="125"/>
        <v>#DIV/0!</v>
      </c>
      <c r="BN91" s="53">
        <f t="shared" ca="1" si="126"/>
        <v>0</v>
      </c>
      <c r="BO91" s="112" t="e">
        <f t="shared" ca="1" si="127"/>
        <v>#DIV/0!</v>
      </c>
      <c r="BR91" s="53" t="e">
        <f t="shared" ca="1" si="128"/>
        <v>#DIV/0!</v>
      </c>
      <c r="BS91" s="53">
        <f t="shared" ca="1" si="129"/>
        <v>0</v>
      </c>
      <c r="BT91" s="53">
        <f t="shared" ca="1" si="130"/>
        <v>0</v>
      </c>
      <c r="BU91" s="56" t="e">
        <f t="shared" ca="1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ca="1" si="134"/>
        <v>0</v>
      </c>
      <c r="CW91" s="53">
        <f t="shared" ca="1" si="135"/>
        <v>0</v>
      </c>
      <c r="CX91" s="58" t="e">
        <f t="shared" ca="1" si="136"/>
        <v>#DIV/0!</v>
      </c>
      <c r="CY91" s="53">
        <f t="shared" ca="1" si="137"/>
        <v>0</v>
      </c>
      <c r="CZ91" s="53">
        <f t="shared" ca="1" si="138"/>
        <v>0</v>
      </c>
      <c r="DA91" s="58" t="e">
        <f t="shared" ca="1" si="139"/>
        <v>#DIV/0!</v>
      </c>
      <c r="DB91" s="48" t="e">
        <f t="shared" ca="1" si="140"/>
        <v>#DIV/0!</v>
      </c>
      <c r="DC91" s="48" t="e">
        <f t="shared" ca="1" si="141"/>
        <v>#DIV/0!</v>
      </c>
      <c r="DD91" s="48" t="e">
        <f t="shared" ca="1" si="142"/>
        <v>#DIV/0!</v>
      </c>
      <c r="DE91" s="48" t="e">
        <f t="shared" ca="1" si="143"/>
        <v>#DIV/0!</v>
      </c>
      <c r="DF91" s="48" t="e">
        <f t="shared" ca="1" si="144"/>
        <v>#DIV/0!</v>
      </c>
      <c r="DG91" s="48" t="e">
        <f t="shared" ca="1" si="145"/>
        <v>#DIV/0!</v>
      </c>
      <c r="DH91" s="48">
        <f ca="1">SUMIF(FCR!$BZ$4:$DB$500,DG91,FCR!$DE$4:$EG$500)</f>
        <v>0</v>
      </c>
      <c r="DI91" s="48" t="e">
        <f t="shared" ca="1" si="146"/>
        <v>#DIV/0!</v>
      </c>
      <c r="DJ91" s="48">
        <f ca="1">SUMIF(FCR!$BZ$4:$DB$142,DI91,FCR!$DE$4:$EG$142)</f>
        <v>0</v>
      </c>
      <c r="DK91" s="48" t="e">
        <f t="shared" ca="1" si="147"/>
        <v>#DIV/0!</v>
      </c>
      <c r="DL91" s="55" t="e">
        <f t="shared" ca="1" si="148"/>
        <v>#DIV/0!</v>
      </c>
      <c r="DM91" s="48" t="e">
        <f t="shared" ca="1" si="149"/>
        <v>#DIV/0!</v>
      </c>
      <c r="DN91" s="48">
        <f ca="1">SUMIF(FCR!$BZ$4:$DB$142,DM91,FCR!$DE$4:$EG$142)</f>
        <v>0</v>
      </c>
      <c r="DO91" s="53" t="e">
        <f t="shared" ca="1" si="150"/>
        <v>#DIV/0!</v>
      </c>
      <c r="DP91" s="55" t="e">
        <f t="shared" ca="1" si="151"/>
        <v>#DIV/0!</v>
      </c>
      <c r="DQ91" s="55" t="e">
        <f t="shared" ca="1" si="152"/>
        <v>#DIV/0!</v>
      </c>
      <c r="DR91" s="55"/>
      <c r="DS91" s="55" t="e">
        <f t="shared" ca="1" si="153"/>
        <v>#DIV/0!</v>
      </c>
      <c r="DT91" s="55" t="e">
        <f t="shared" ca="1" si="154"/>
        <v>#DIV/0!</v>
      </c>
      <c r="DU91" s="53">
        <f t="shared" ca="1" si="155"/>
        <v>0</v>
      </c>
      <c r="DV91" s="59" t="e">
        <f t="shared" ca="1" si="156"/>
        <v>#DIV/0!</v>
      </c>
    </row>
    <row r="92" spans="1:12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AD92" s="49" t="s">
        <v>337</v>
      </c>
      <c r="AE92" s="49">
        <f t="shared" ca="1" si="102"/>
        <v>0</v>
      </c>
      <c r="AF92" s="49">
        <f t="shared" ca="1" si="103"/>
        <v>0</v>
      </c>
      <c r="AG92" s="114">
        <f t="shared" ca="1" si="104"/>
        <v>0</v>
      </c>
      <c r="AH92" s="104">
        <f t="shared" ca="1" si="105"/>
        <v>0</v>
      </c>
      <c r="AI92" s="104">
        <f t="shared" ca="1" si="106"/>
        <v>0</v>
      </c>
      <c r="AJ92" s="104">
        <f t="shared" ca="1" si="107"/>
        <v>0</v>
      </c>
      <c r="AK92" s="104">
        <f t="shared" ca="1" si="108"/>
        <v>0</v>
      </c>
      <c r="AL92" s="104">
        <f t="shared" ca="1" si="109"/>
        <v>0</v>
      </c>
      <c r="AM92" s="104">
        <f t="shared" ca="1" si="110"/>
        <v>0</v>
      </c>
      <c r="AN92" s="104">
        <f t="shared" ca="1" si="111"/>
        <v>0</v>
      </c>
      <c r="AO92" s="104">
        <f t="shared" ca="1" si="112"/>
        <v>0</v>
      </c>
      <c r="AP92" s="104">
        <f t="shared" ca="1" si="113"/>
        <v>0</v>
      </c>
      <c r="AQ92" s="49">
        <f t="shared" ca="1" si="114"/>
        <v>0</v>
      </c>
      <c r="AR92" s="104">
        <f t="shared" ca="1" si="115"/>
        <v>0</v>
      </c>
      <c r="AS92" s="104">
        <f t="shared" ca="1" si="116"/>
        <v>0</v>
      </c>
      <c r="AT92" s="104">
        <f t="shared" ca="1" si="117"/>
        <v>0</v>
      </c>
      <c r="AU92" s="104">
        <f t="shared" ca="1" si="118"/>
        <v>0</v>
      </c>
      <c r="BF92" s="49">
        <f t="shared" ca="1" si="119"/>
        <v>0</v>
      </c>
      <c r="BG92" s="49">
        <f t="shared" ca="1" si="120"/>
        <v>0</v>
      </c>
      <c r="BH92" s="54" t="e">
        <f t="shared" ca="1" si="121"/>
        <v>#DIV/0!</v>
      </c>
      <c r="BI92" s="112" t="e">
        <f t="shared" ca="1" si="122"/>
        <v>#DIV/0!</v>
      </c>
      <c r="BK92" s="55" t="e">
        <f t="shared" ca="1" si="123"/>
        <v>#DIV/0!</v>
      </c>
      <c r="BL92" s="55" t="e">
        <f t="shared" ca="1" si="124"/>
        <v>#DIV/0!</v>
      </c>
      <c r="BM92" s="55" t="e">
        <f t="shared" ca="1" si="125"/>
        <v>#DIV/0!</v>
      </c>
      <c r="BN92" s="53">
        <f t="shared" ca="1" si="126"/>
        <v>0</v>
      </c>
      <c r="BO92" s="112" t="e">
        <f t="shared" ca="1" si="127"/>
        <v>#DIV/0!</v>
      </c>
      <c r="BR92" s="53" t="e">
        <f t="shared" ca="1" si="128"/>
        <v>#DIV/0!</v>
      </c>
      <c r="BS92" s="53">
        <f t="shared" ca="1" si="129"/>
        <v>0</v>
      </c>
      <c r="BT92" s="53">
        <f t="shared" ca="1" si="130"/>
        <v>0</v>
      </c>
      <c r="BU92" s="56" t="e">
        <f t="shared" ca="1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ca="1" si="134"/>
        <v>0</v>
      </c>
      <c r="CW92" s="53">
        <f t="shared" ca="1" si="135"/>
        <v>0</v>
      </c>
      <c r="CX92" s="58" t="e">
        <f t="shared" ca="1" si="136"/>
        <v>#DIV/0!</v>
      </c>
      <c r="CY92" s="53">
        <f t="shared" ca="1" si="137"/>
        <v>0</v>
      </c>
      <c r="CZ92" s="53">
        <f t="shared" ca="1" si="138"/>
        <v>0</v>
      </c>
      <c r="DA92" s="58" t="e">
        <f t="shared" ca="1" si="139"/>
        <v>#DIV/0!</v>
      </c>
      <c r="DB92" s="48" t="e">
        <f t="shared" ca="1" si="140"/>
        <v>#DIV/0!</v>
      </c>
      <c r="DC92" s="48" t="e">
        <f t="shared" ca="1" si="141"/>
        <v>#DIV/0!</v>
      </c>
      <c r="DD92" s="48" t="e">
        <f t="shared" ca="1" si="142"/>
        <v>#DIV/0!</v>
      </c>
      <c r="DE92" s="48" t="e">
        <f t="shared" ca="1" si="143"/>
        <v>#DIV/0!</v>
      </c>
      <c r="DF92" s="48" t="e">
        <f t="shared" ca="1" si="144"/>
        <v>#DIV/0!</v>
      </c>
      <c r="DG92" s="48" t="e">
        <f t="shared" ca="1" si="145"/>
        <v>#DIV/0!</v>
      </c>
      <c r="DH92" s="48">
        <f ca="1">SUMIF(FCR!$BZ$4:$DB$500,DG92,FCR!$DE$4:$EG$500)</f>
        <v>0</v>
      </c>
      <c r="DI92" s="48" t="e">
        <f t="shared" ca="1" si="146"/>
        <v>#DIV/0!</v>
      </c>
      <c r="DJ92" s="48">
        <f ca="1">SUMIF(FCR!$BZ$4:$DB$142,DI92,FCR!$DE$4:$EG$142)</f>
        <v>0</v>
      </c>
      <c r="DK92" s="48" t="e">
        <f t="shared" ca="1" si="147"/>
        <v>#DIV/0!</v>
      </c>
      <c r="DL92" s="55" t="e">
        <f t="shared" ca="1" si="148"/>
        <v>#DIV/0!</v>
      </c>
      <c r="DM92" s="48" t="e">
        <f t="shared" ca="1" si="149"/>
        <v>#DIV/0!</v>
      </c>
      <c r="DN92" s="48">
        <f ca="1">SUMIF(FCR!$BZ$4:$DB$142,DM92,FCR!$DE$4:$EG$142)</f>
        <v>0</v>
      </c>
      <c r="DO92" s="53" t="e">
        <f t="shared" ca="1" si="150"/>
        <v>#DIV/0!</v>
      </c>
      <c r="DP92" s="55" t="e">
        <f t="shared" ca="1" si="151"/>
        <v>#DIV/0!</v>
      </c>
      <c r="DQ92" s="55" t="e">
        <f t="shared" ca="1" si="152"/>
        <v>#DIV/0!</v>
      </c>
      <c r="DR92" s="55"/>
      <c r="DS92" s="55" t="e">
        <f t="shared" ca="1" si="153"/>
        <v>#DIV/0!</v>
      </c>
      <c r="DT92" s="55" t="e">
        <f t="shared" ca="1" si="154"/>
        <v>#DIV/0!</v>
      </c>
      <c r="DU92" s="53">
        <f t="shared" ca="1" si="155"/>
        <v>0</v>
      </c>
      <c r="DV92" s="59" t="e">
        <f t="shared" ca="1" si="156"/>
        <v>#DIV/0!</v>
      </c>
    </row>
    <row r="93" spans="1:12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AD93" s="49" t="s">
        <v>337</v>
      </c>
      <c r="AE93" s="49">
        <f t="shared" ca="1" si="102"/>
        <v>0</v>
      </c>
      <c r="AF93" s="49">
        <f t="shared" ca="1" si="103"/>
        <v>0</v>
      </c>
      <c r="AG93" s="114">
        <f t="shared" ca="1" si="104"/>
        <v>0</v>
      </c>
      <c r="AH93" s="104">
        <f t="shared" ca="1" si="105"/>
        <v>0</v>
      </c>
      <c r="AI93" s="104">
        <f t="shared" ca="1" si="106"/>
        <v>0</v>
      </c>
      <c r="AJ93" s="104">
        <f t="shared" ca="1" si="107"/>
        <v>0</v>
      </c>
      <c r="AK93" s="104">
        <f t="shared" ca="1" si="108"/>
        <v>0</v>
      </c>
      <c r="AL93" s="104">
        <f t="shared" ca="1" si="109"/>
        <v>0</v>
      </c>
      <c r="AM93" s="104">
        <f t="shared" ca="1" si="110"/>
        <v>0</v>
      </c>
      <c r="AN93" s="104">
        <f t="shared" ca="1" si="111"/>
        <v>0</v>
      </c>
      <c r="AO93" s="104">
        <f t="shared" ca="1" si="112"/>
        <v>0</v>
      </c>
      <c r="AP93" s="104">
        <f t="shared" ca="1" si="113"/>
        <v>0</v>
      </c>
      <c r="AQ93" s="49">
        <f t="shared" ca="1" si="114"/>
        <v>0</v>
      </c>
      <c r="AR93" s="104">
        <f t="shared" ca="1" si="115"/>
        <v>0</v>
      </c>
      <c r="AS93" s="104">
        <f t="shared" ca="1" si="116"/>
        <v>0</v>
      </c>
      <c r="AT93" s="104">
        <f t="shared" ca="1" si="117"/>
        <v>0</v>
      </c>
      <c r="AU93" s="104">
        <f t="shared" ca="1" si="118"/>
        <v>0</v>
      </c>
      <c r="BF93" s="49">
        <f t="shared" ca="1" si="119"/>
        <v>0</v>
      </c>
      <c r="BG93" s="49">
        <f t="shared" ca="1" si="120"/>
        <v>0</v>
      </c>
      <c r="BH93" s="54" t="e">
        <f t="shared" ca="1" si="121"/>
        <v>#DIV/0!</v>
      </c>
      <c r="BI93" s="112" t="e">
        <f t="shared" ca="1" si="122"/>
        <v>#DIV/0!</v>
      </c>
      <c r="BK93" s="55" t="e">
        <f t="shared" ca="1" si="123"/>
        <v>#DIV/0!</v>
      </c>
      <c r="BL93" s="55" t="e">
        <f t="shared" ca="1" si="124"/>
        <v>#DIV/0!</v>
      </c>
      <c r="BM93" s="55" t="e">
        <f t="shared" ca="1" si="125"/>
        <v>#DIV/0!</v>
      </c>
      <c r="BN93" s="53">
        <f t="shared" ca="1" si="126"/>
        <v>0</v>
      </c>
      <c r="BO93" s="112" t="e">
        <f t="shared" ca="1" si="127"/>
        <v>#DIV/0!</v>
      </c>
      <c r="BR93" s="53" t="e">
        <f t="shared" ca="1" si="128"/>
        <v>#DIV/0!</v>
      </c>
      <c r="BS93" s="53">
        <f t="shared" ca="1" si="129"/>
        <v>0</v>
      </c>
      <c r="BT93" s="53">
        <f t="shared" ca="1" si="130"/>
        <v>0</v>
      </c>
      <c r="BU93" s="56" t="e">
        <f t="shared" ca="1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ca="1" si="134"/>
        <v>0</v>
      </c>
      <c r="CW93" s="53">
        <f t="shared" ca="1" si="135"/>
        <v>0</v>
      </c>
      <c r="CX93" s="58" t="e">
        <f t="shared" ca="1" si="136"/>
        <v>#DIV/0!</v>
      </c>
      <c r="CY93" s="53">
        <f t="shared" ca="1" si="137"/>
        <v>0</v>
      </c>
      <c r="CZ93" s="53">
        <f t="shared" ca="1" si="138"/>
        <v>0</v>
      </c>
      <c r="DA93" s="58" t="e">
        <f t="shared" ca="1" si="139"/>
        <v>#DIV/0!</v>
      </c>
      <c r="DB93" s="48" t="e">
        <f t="shared" ca="1" si="140"/>
        <v>#DIV/0!</v>
      </c>
      <c r="DC93" s="48" t="e">
        <f t="shared" ca="1" si="141"/>
        <v>#DIV/0!</v>
      </c>
      <c r="DD93" s="48" t="e">
        <f t="shared" ca="1" si="142"/>
        <v>#DIV/0!</v>
      </c>
      <c r="DE93" s="48" t="e">
        <f t="shared" ca="1" si="143"/>
        <v>#DIV/0!</v>
      </c>
      <c r="DF93" s="48" t="e">
        <f t="shared" ca="1" si="144"/>
        <v>#DIV/0!</v>
      </c>
      <c r="DG93" s="48" t="e">
        <f t="shared" ca="1" si="145"/>
        <v>#DIV/0!</v>
      </c>
      <c r="DH93" s="48">
        <f ca="1">SUMIF(FCR!$BZ$4:$DB$500,DG93,FCR!$DE$4:$EG$500)</f>
        <v>0</v>
      </c>
      <c r="DI93" s="48" t="e">
        <f t="shared" ca="1" si="146"/>
        <v>#DIV/0!</v>
      </c>
      <c r="DJ93" s="48">
        <f ca="1">SUMIF(FCR!$BZ$4:$DB$142,DI93,FCR!$DE$4:$EG$142)</f>
        <v>0</v>
      </c>
      <c r="DK93" s="48" t="e">
        <f t="shared" ca="1" si="147"/>
        <v>#DIV/0!</v>
      </c>
      <c r="DL93" s="55" t="e">
        <f t="shared" ca="1" si="148"/>
        <v>#DIV/0!</v>
      </c>
      <c r="DM93" s="48" t="e">
        <f t="shared" ca="1" si="149"/>
        <v>#DIV/0!</v>
      </c>
      <c r="DN93" s="48">
        <f ca="1">SUMIF(FCR!$BZ$4:$DB$142,DM93,FCR!$DE$4:$EG$142)</f>
        <v>0</v>
      </c>
      <c r="DO93" s="53" t="e">
        <f t="shared" ca="1" si="150"/>
        <v>#DIV/0!</v>
      </c>
      <c r="DP93" s="55" t="e">
        <f t="shared" ca="1" si="151"/>
        <v>#DIV/0!</v>
      </c>
      <c r="DQ93" s="55" t="e">
        <f t="shared" ca="1" si="152"/>
        <v>#DIV/0!</v>
      </c>
      <c r="DR93" s="55"/>
      <c r="DS93" s="55" t="e">
        <f t="shared" ca="1" si="153"/>
        <v>#DIV/0!</v>
      </c>
      <c r="DT93" s="55" t="e">
        <f t="shared" ca="1" si="154"/>
        <v>#DIV/0!</v>
      </c>
      <c r="DU93" s="53">
        <f t="shared" ca="1" si="155"/>
        <v>0</v>
      </c>
      <c r="DV93" s="59" t="e">
        <f t="shared" ca="1" si="156"/>
        <v>#DIV/0!</v>
      </c>
    </row>
    <row r="94" spans="1:12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AD94" s="49" t="s">
        <v>337</v>
      </c>
      <c r="AE94" s="49">
        <f t="shared" ca="1" si="102"/>
        <v>0</v>
      </c>
      <c r="AF94" s="49">
        <f t="shared" ca="1" si="103"/>
        <v>0</v>
      </c>
      <c r="AG94" s="114">
        <f t="shared" ca="1" si="104"/>
        <v>0</v>
      </c>
      <c r="AH94" s="104">
        <f t="shared" ca="1" si="105"/>
        <v>0</v>
      </c>
      <c r="AI94" s="104">
        <f t="shared" ca="1" si="106"/>
        <v>0</v>
      </c>
      <c r="AJ94" s="104">
        <f t="shared" ca="1" si="107"/>
        <v>0</v>
      </c>
      <c r="AK94" s="104">
        <f t="shared" ca="1" si="108"/>
        <v>0</v>
      </c>
      <c r="AL94" s="104">
        <f t="shared" ca="1" si="109"/>
        <v>0</v>
      </c>
      <c r="AM94" s="104">
        <f t="shared" ca="1" si="110"/>
        <v>0</v>
      </c>
      <c r="AN94" s="104">
        <f t="shared" ca="1" si="111"/>
        <v>0</v>
      </c>
      <c r="AO94" s="104">
        <f t="shared" ca="1" si="112"/>
        <v>0</v>
      </c>
      <c r="AP94" s="104">
        <f t="shared" ca="1" si="113"/>
        <v>0</v>
      </c>
      <c r="AQ94" s="49">
        <f t="shared" ca="1" si="114"/>
        <v>0</v>
      </c>
      <c r="AR94" s="104">
        <f t="shared" ca="1" si="115"/>
        <v>0</v>
      </c>
      <c r="AS94" s="104">
        <f t="shared" ca="1" si="116"/>
        <v>0</v>
      </c>
      <c r="AT94" s="104">
        <f t="shared" ca="1" si="117"/>
        <v>0</v>
      </c>
      <c r="AU94" s="104">
        <f t="shared" ca="1" si="118"/>
        <v>0</v>
      </c>
      <c r="BF94" s="49">
        <f t="shared" ca="1" si="119"/>
        <v>0</v>
      </c>
      <c r="BG94" s="49">
        <f t="shared" ca="1" si="120"/>
        <v>0</v>
      </c>
      <c r="BH94" s="54" t="e">
        <f t="shared" ca="1" si="121"/>
        <v>#DIV/0!</v>
      </c>
      <c r="BI94" s="112" t="e">
        <f t="shared" ca="1" si="122"/>
        <v>#DIV/0!</v>
      </c>
      <c r="BK94" s="55" t="e">
        <f t="shared" ca="1" si="123"/>
        <v>#DIV/0!</v>
      </c>
      <c r="BL94" s="55" t="e">
        <f t="shared" ca="1" si="124"/>
        <v>#DIV/0!</v>
      </c>
      <c r="BM94" s="55" t="e">
        <f t="shared" ca="1" si="125"/>
        <v>#DIV/0!</v>
      </c>
      <c r="BN94" s="53">
        <f t="shared" ca="1" si="126"/>
        <v>0</v>
      </c>
      <c r="BO94" s="112" t="e">
        <f t="shared" ca="1" si="127"/>
        <v>#DIV/0!</v>
      </c>
      <c r="BR94" s="53" t="e">
        <f t="shared" ca="1" si="128"/>
        <v>#DIV/0!</v>
      </c>
      <c r="BS94" s="53">
        <f t="shared" ca="1" si="129"/>
        <v>0</v>
      </c>
      <c r="BT94" s="53">
        <f t="shared" ca="1" si="130"/>
        <v>0</v>
      </c>
      <c r="BU94" s="56" t="e">
        <f t="shared" ca="1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ca="1" si="134"/>
        <v>0</v>
      </c>
      <c r="CW94" s="53">
        <f t="shared" ca="1" si="135"/>
        <v>0</v>
      </c>
      <c r="CX94" s="58" t="e">
        <f t="shared" ca="1" si="136"/>
        <v>#DIV/0!</v>
      </c>
      <c r="CY94" s="53">
        <f t="shared" ca="1" si="137"/>
        <v>0</v>
      </c>
      <c r="CZ94" s="53">
        <f t="shared" ca="1" si="138"/>
        <v>0</v>
      </c>
      <c r="DA94" s="58" t="e">
        <f t="shared" ca="1" si="139"/>
        <v>#DIV/0!</v>
      </c>
      <c r="DB94" s="48" t="e">
        <f t="shared" ca="1" si="140"/>
        <v>#DIV/0!</v>
      </c>
      <c r="DC94" s="48" t="e">
        <f t="shared" ca="1" si="141"/>
        <v>#DIV/0!</v>
      </c>
      <c r="DD94" s="48" t="e">
        <f t="shared" ca="1" si="142"/>
        <v>#DIV/0!</v>
      </c>
      <c r="DE94" s="48" t="e">
        <f t="shared" ca="1" si="143"/>
        <v>#DIV/0!</v>
      </c>
      <c r="DF94" s="48" t="e">
        <f t="shared" ca="1" si="144"/>
        <v>#DIV/0!</v>
      </c>
      <c r="DG94" s="48" t="e">
        <f t="shared" ca="1" si="145"/>
        <v>#DIV/0!</v>
      </c>
      <c r="DH94" s="48">
        <f ca="1">SUMIF(FCR!$BZ$4:$DB$500,DG94,FCR!$DE$4:$EG$500)</f>
        <v>0</v>
      </c>
      <c r="DI94" s="48" t="e">
        <f t="shared" ca="1" si="146"/>
        <v>#DIV/0!</v>
      </c>
      <c r="DJ94" s="48">
        <f ca="1">SUMIF(FCR!$BZ$4:$DB$142,DI94,FCR!$DE$4:$EG$142)</f>
        <v>0</v>
      </c>
      <c r="DK94" s="48" t="e">
        <f t="shared" ca="1" si="147"/>
        <v>#DIV/0!</v>
      </c>
      <c r="DL94" s="55" t="e">
        <f t="shared" ca="1" si="148"/>
        <v>#DIV/0!</v>
      </c>
      <c r="DM94" s="48" t="e">
        <f t="shared" ca="1" si="149"/>
        <v>#DIV/0!</v>
      </c>
      <c r="DN94" s="48">
        <f ca="1">SUMIF(FCR!$BZ$4:$DB$142,DM94,FCR!$DE$4:$EG$142)</f>
        <v>0</v>
      </c>
      <c r="DO94" s="53" t="e">
        <f t="shared" ca="1" si="150"/>
        <v>#DIV/0!</v>
      </c>
      <c r="DP94" s="55" t="e">
        <f t="shared" ca="1" si="151"/>
        <v>#DIV/0!</v>
      </c>
      <c r="DQ94" s="55" t="e">
        <f t="shared" ca="1" si="152"/>
        <v>#DIV/0!</v>
      </c>
      <c r="DR94" s="55"/>
      <c r="DS94" s="55" t="e">
        <f t="shared" ca="1" si="153"/>
        <v>#DIV/0!</v>
      </c>
      <c r="DT94" s="55" t="e">
        <f t="shared" ca="1" si="154"/>
        <v>#DIV/0!</v>
      </c>
      <c r="DU94" s="53">
        <f t="shared" ca="1" si="155"/>
        <v>0</v>
      </c>
      <c r="DV94" s="59" t="e">
        <f t="shared" ca="1" si="156"/>
        <v>#DIV/0!</v>
      </c>
    </row>
    <row r="95" spans="1:12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AD95" s="49" t="s">
        <v>337</v>
      </c>
      <c r="AE95" s="49">
        <f t="shared" ca="1" si="102"/>
        <v>0</v>
      </c>
      <c r="AF95" s="49">
        <f t="shared" ca="1" si="103"/>
        <v>0</v>
      </c>
      <c r="AG95" s="114">
        <f t="shared" ca="1" si="104"/>
        <v>0</v>
      </c>
      <c r="AH95" s="104">
        <f t="shared" ca="1" si="105"/>
        <v>0</v>
      </c>
      <c r="AI95" s="104">
        <f t="shared" ca="1" si="106"/>
        <v>0</v>
      </c>
      <c r="AJ95" s="104">
        <f t="shared" ca="1" si="107"/>
        <v>0</v>
      </c>
      <c r="AK95" s="104">
        <f t="shared" ca="1" si="108"/>
        <v>0</v>
      </c>
      <c r="AL95" s="104">
        <f t="shared" ca="1" si="109"/>
        <v>0</v>
      </c>
      <c r="AM95" s="104">
        <f t="shared" ca="1" si="110"/>
        <v>0</v>
      </c>
      <c r="AN95" s="104">
        <f t="shared" ca="1" si="111"/>
        <v>0</v>
      </c>
      <c r="AO95" s="104">
        <f t="shared" ca="1" si="112"/>
        <v>0</v>
      </c>
      <c r="AP95" s="104">
        <f t="shared" ca="1" si="113"/>
        <v>0</v>
      </c>
      <c r="AQ95" s="49">
        <f t="shared" ca="1" si="114"/>
        <v>0</v>
      </c>
      <c r="AR95" s="104">
        <f t="shared" ca="1" si="115"/>
        <v>0</v>
      </c>
      <c r="AS95" s="104">
        <f t="shared" ca="1" si="116"/>
        <v>0</v>
      </c>
      <c r="AT95" s="104">
        <f t="shared" ca="1" si="117"/>
        <v>0</v>
      </c>
      <c r="AU95" s="104">
        <f t="shared" ca="1" si="118"/>
        <v>0</v>
      </c>
      <c r="BF95" s="49">
        <f t="shared" ca="1" si="119"/>
        <v>0</v>
      </c>
      <c r="BG95" s="49">
        <f t="shared" ca="1" si="120"/>
        <v>0</v>
      </c>
      <c r="BH95" s="54" t="e">
        <f t="shared" ca="1" si="121"/>
        <v>#DIV/0!</v>
      </c>
      <c r="BI95" s="112" t="e">
        <f t="shared" ca="1" si="122"/>
        <v>#DIV/0!</v>
      </c>
      <c r="BK95" s="55" t="e">
        <f t="shared" ca="1" si="123"/>
        <v>#DIV/0!</v>
      </c>
      <c r="BL95" s="55" t="e">
        <f t="shared" ca="1" si="124"/>
        <v>#DIV/0!</v>
      </c>
      <c r="BM95" s="55" t="e">
        <f t="shared" ca="1" si="125"/>
        <v>#DIV/0!</v>
      </c>
      <c r="BN95" s="53">
        <f t="shared" ca="1" si="126"/>
        <v>0</v>
      </c>
      <c r="BO95" s="112" t="e">
        <f t="shared" ca="1" si="127"/>
        <v>#DIV/0!</v>
      </c>
      <c r="BR95" s="53" t="e">
        <f t="shared" ca="1" si="128"/>
        <v>#DIV/0!</v>
      </c>
      <c r="BS95" s="53">
        <f t="shared" ca="1" si="129"/>
        <v>0</v>
      </c>
      <c r="BT95" s="53">
        <f t="shared" ca="1" si="130"/>
        <v>0</v>
      </c>
      <c r="BU95" s="56" t="e">
        <f t="shared" ca="1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ca="1" si="134"/>
        <v>0</v>
      </c>
      <c r="CW95" s="53">
        <f t="shared" ca="1" si="135"/>
        <v>0</v>
      </c>
      <c r="CX95" s="58" t="e">
        <f t="shared" ca="1" si="136"/>
        <v>#DIV/0!</v>
      </c>
      <c r="CY95" s="53">
        <f t="shared" ca="1" si="137"/>
        <v>0</v>
      </c>
      <c r="CZ95" s="53">
        <f t="shared" ca="1" si="138"/>
        <v>0</v>
      </c>
      <c r="DA95" s="58" t="e">
        <f t="shared" ca="1" si="139"/>
        <v>#DIV/0!</v>
      </c>
      <c r="DB95" s="48" t="e">
        <f t="shared" ca="1" si="140"/>
        <v>#DIV/0!</v>
      </c>
      <c r="DC95" s="48" t="e">
        <f t="shared" ca="1" si="141"/>
        <v>#DIV/0!</v>
      </c>
      <c r="DD95" s="48" t="e">
        <f t="shared" ca="1" si="142"/>
        <v>#DIV/0!</v>
      </c>
      <c r="DE95" s="48" t="e">
        <f t="shared" ca="1" si="143"/>
        <v>#DIV/0!</v>
      </c>
      <c r="DF95" s="48" t="e">
        <f t="shared" ca="1" si="144"/>
        <v>#DIV/0!</v>
      </c>
      <c r="DG95" s="48" t="e">
        <f t="shared" ca="1" si="145"/>
        <v>#DIV/0!</v>
      </c>
      <c r="DH95" s="48">
        <f ca="1">SUMIF(FCR!$BZ$4:$DB$500,DG95,FCR!$DE$4:$EG$500)</f>
        <v>0</v>
      </c>
      <c r="DI95" s="48" t="e">
        <f t="shared" ca="1" si="146"/>
        <v>#DIV/0!</v>
      </c>
      <c r="DJ95" s="48">
        <f ca="1">SUMIF(FCR!$BZ$4:$DB$142,DI95,FCR!$DE$4:$EG$142)</f>
        <v>0</v>
      </c>
      <c r="DK95" s="48" t="e">
        <f t="shared" ca="1" si="147"/>
        <v>#DIV/0!</v>
      </c>
      <c r="DL95" s="55" t="e">
        <f t="shared" ca="1" si="148"/>
        <v>#DIV/0!</v>
      </c>
      <c r="DM95" s="48" t="e">
        <f t="shared" ca="1" si="149"/>
        <v>#DIV/0!</v>
      </c>
      <c r="DN95" s="48">
        <f ca="1">SUMIF(FCR!$BZ$4:$DB$142,DM95,FCR!$DE$4:$EG$142)</f>
        <v>0</v>
      </c>
      <c r="DO95" s="53" t="e">
        <f t="shared" ca="1" si="150"/>
        <v>#DIV/0!</v>
      </c>
      <c r="DP95" s="55" t="e">
        <f t="shared" ca="1" si="151"/>
        <v>#DIV/0!</v>
      </c>
      <c r="DQ95" s="55" t="e">
        <f t="shared" ca="1" si="152"/>
        <v>#DIV/0!</v>
      </c>
      <c r="DR95" s="55"/>
      <c r="DS95" s="55" t="e">
        <f t="shared" ca="1" si="153"/>
        <v>#DIV/0!</v>
      </c>
      <c r="DT95" s="55" t="e">
        <f t="shared" ca="1" si="154"/>
        <v>#DIV/0!</v>
      </c>
      <c r="DU95" s="53">
        <f t="shared" ca="1" si="155"/>
        <v>0</v>
      </c>
      <c r="DV95" s="59" t="e">
        <f t="shared" ca="1" si="156"/>
        <v>#DIV/0!</v>
      </c>
    </row>
    <row r="96" spans="1:12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AD96" s="49" t="s">
        <v>337</v>
      </c>
      <c r="AE96" s="49">
        <f t="shared" ca="1" si="102"/>
        <v>0</v>
      </c>
      <c r="AF96" s="49">
        <f t="shared" ca="1" si="103"/>
        <v>0</v>
      </c>
      <c r="AG96" s="114">
        <f t="shared" ca="1" si="104"/>
        <v>0</v>
      </c>
      <c r="AH96" s="104">
        <f t="shared" ca="1" si="105"/>
        <v>0</v>
      </c>
      <c r="AI96" s="104">
        <f t="shared" ca="1" si="106"/>
        <v>0</v>
      </c>
      <c r="AJ96" s="104">
        <f t="shared" ca="1" si="107"/>
        <v>0</v>
      </c>
      <c r="AK96" s="104">
        <f t="shared" ca="1" si="108"/>
        <v>0</v>
      </c>
      <c r="AL96" s="104">
        <f t="shared" ca="1" si="109"/>
        <v>0</v>
      </c>
      <c r="AM96" s="104">
        <f t="shared" ca="1" si="110"/>
        <v>0</v>
      </c>
      <c r="AN96" s="104">
        <f t="shared" ca="1" si="111"/>
        <v>0</v>
      </c>
      <c r="AO96" s="104">
        <f t="shared" ca="1" si="112"/>
        <v>0</v>
      </c>
      <c r="AP96" s="104">
        <f t="shared" ca="1" si="113"/>
        <v>0</v>
      </c>
      <c r="AQ96" s="49">
        <f t="shared" ca="1" si="114"/>
        <v>0</v>
      </c>
      <c r="AR96" s="104">
        <f t="shared" ca="1" si="115"/>
        <v>0</v>
      </c>
      <c r="AS96" s="104">
        <f t="shared" ca="1" si="116"/>
        <v>0</v>
      </c>
      <c r="AT96" s="104">
        <f t="shared" ca="1" si="117"/>
        <v>0</v>
      </c>
      <c r="AU96" s="104">
        <f t="shared" ca="1" si="118"/>
        <v>0</v>
      </c>
      <c r="BF96" s="49">
        <f t="shared" ca="1" si="119"/>
        <v>0</v>
      </c>
      <c r="BG96" s="49">
        <f t="shared" ca="1" si="120"/>
        <v>0</v>
      </c>
      <c r="BH96" s="54" t="e">
        <f t="shared" ca="1" si="121"/>
        <v>#DIV/0!</v>
      </c>
      <c r="BI96" s="112" t="e">
        <f t="shared" ca="1" si="122"/>
        <v>#DIV/0!</v>
      </c>
      <c r="BK96" s="55" t="e">
        <f t="shared" ca="1" si="123"/>
        <v>#DIV/0!</v>
      </c>
      <c r="BL96" s="55" t="e">
        <f t="shared" ca="1" si="124"/>
        <v>#DIV/0!</v>
      </c>
      <c r="BM96" s="55" t="e">
        <f t="shared" ca="1" si="125"/>
        <v>#DIV/0!</v>
      </c>
      <c r="BN96" s="53">
        <f t="shared" ca="1" si="126"/>
        <v>0</v>
      </c>
      <c r="BO96" s="112" t="e">
        <f t="shared" ca="1" si="127"/>
        <v>#DIV/0!</v>
      </c>
      <c r="BR96" s="53" t="e">
        <f t="shared" ca="1" si="128"/>
        <v>#DIV/0!</v>
      </c>
      <c r="BS96" s="53">
        <f t="shared" ca="1" si="129"/>
        <v>0</v>
      </c>
      <c r="BT96" s="53">
        <f t="shared" ca="1" si="130"/>
        <v>0</v>
      </c>
      <c r="BU96" s="56" t="e">
        <f t="shared" ca="1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ca="1" si="134"/>
        <v>0</v>
      </c>
      <c r="CW96" s="53">
        <f t="shared" ca="1" si="135"/>
        <v>0</v>
      </c>
      <c r="CX96" s="58" t="e">
        <f t="shared" ca="1" si="136"/>
        <v>#DIV/0!</v>
      </c>
      <c r="CY96" s="53">
        <f t="shared" ca="1" si="137"/>
        <v>0</v>
      </c>
      <c r="CZ96" s="53">
        <f t="shared" ca="1" si="138"/>
        <v>0</v>
      </c>
      <c r="DA96" s="58" t="e">
        <f t="shared" ca="1" si="139"/>
        <v>#DIV/0!</v>
      </c>
      <c r="DB96" s="48" t="e">
        <f t="shared" ca="1" si="140"/>
        <v>#DIV/0!</v>
      </c>
      <c r="DC96" s="48" t="e">
        <f t="shared" ca="1" si="141"/>
        <v>#DIV/0!</v>
      </c>
      <c r="DD96" s="48" t="e">
        <f t="shared" ca="1" si="142"/>
        <v>#DIV/0!</v>
      </c>
      <c r="DE96" s="48" t="e">
        <f t="shared" ca="1" si="143"/>
        <v>#DIV/0!</v>
      </c>
      <c r="DF96" s="48" t="e">
        <f t="shared" ca="1" si="144"/>
        <v>#DIV/0!</v>
      </c>
      <c r="DG96" s="48" t="e">
        <f t="shared" ca="1" si="145"/>
        <v>#DIV/0!</v>
      </c>
      <c r="DH96" s="48">
        <f ca="1">SUMIF(FCR!$BZ$4:$DB$500,DG96,FCR!$DE$4:$EG$500)</f>
        <v>0</v>
      </c>
      <c r="DI96" s="48" t="e">
        <f t="shared" ca="1" si="146"/>
        <v>#DIV/0!</v>
      </c>
      <c r="DJ96" s="48">
        <f ca="1">SUMIF(FCR!$BZ$4:$DB$142,DI96,FCR!$DE$4:$EG$142)</f>
        <v>0</v>
      </c>
      <c r="DK96" s="48" t="e">
        <f t="shared" ca="1" si="147"/>
        <v>#DIV/0!</v>
      </c>
      <c r="DL96" s="55" t="e">
        <f t="shared" ca="1" si="148"/>
        <v>#DIV/0!</v>
      </c>
      <c r="DM96" s="48" t="e">
        <f t="shared" ca="1" si="149"/>
        <v>#DIV/0!</v>
      </c>
      <c r="DN96" s="48">
        <f ca="1">SUMIF(FCR!$BZ$4:$DB$142,DM96,FCR!$DE$4:$EG$142)</f>
        <v>0</v>
      </c>
      <c r="DO96" s="53" t="e">
        <f t="shared" ca="1" si="150"/>
        <v>#DIV/0!</v>
      </c>
      <c r="DP96" s="55" t="e">
        <f t="shared" ca="1" si="151"/>
        <v>#DIV/0!</v>
      </c>
      <c r="DQ96" s="55" t="e">
        <f t="shared" ca="1" si="152"/>
        <v>#DIV/0!</v>
      </c>
      <c r="DR96" s="55"/>
      <c r="DS96" s="55" t="e">
        <f t="shared" ca="1" si="153"/>
        <v>#DIV/0!</v>
      </c>
      <c r="DT96" s="55" t="e">
        <f t="shared" ca="1" si="154"/>
        <v>#DIV/0!</v>
      </c>
      <c r="DU96" s="53">
        <f t="shared" ca="1" si="155"/>
        <v>0</v>
      </c>
      <c r="DV96" s="59" t="e">
        <f t="shared" ca="1" si="156"/>
        <v>#DIV/0!</v>
      </c>
    </row>
    <row r="97" spans="1:12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AD97" s="49" t="s">
        <v>337</v>
      </c>
      <c r="AE97" s="49">
        <f t="shared" ca="1" si="102"/>
        <v>0</v>
      </c>
      <c r="AF97" s="49">
        <f t="shared" ca="1" si="103"/>
        <v>0</v>
      </c>
      <c r="AG97" s="114">
        <f t="shared" ca="1" si="104"/>
        <v>0</v>
      </c>
      <c r="AH97" s="104">
        <f t="shared" ca="1" si="105"/>
        <v>0</v>
      </c>
      <c r="AI97" s="104">
        <f t="shared" ca="1" si="106"/>
        <v>0</v>
      </c>
      <c r="AJ97" s="104">
        <f t="shared" ca="1" si="107"/>
        <v>0</v>
      </c>
      <c r="AK97" s="104">
        <f t="shared" ca="1" si="108"/>
        <v>0</v>
      </c>
      <c r="AL97" s="104">
        <f t="shared" ca="1" si="109"/>
        <v>0</v>
      </c>
      <c r="AM97" s="104">
        <f t="shared" ca="1" si="110"/>
        <v>0</v>
      </c>
      <c r="AN97" s="104">
        <f t="shared" ca="1" si="111"/>
        <v>0</v>
      </c>
      <c r="AO97" s="104">
        <f t="shared" ca="1" si="112"/>
        <v>0</v>
      </c>
      <c r="AP97" s="104">
        <f t="shared" ca="1" si="113"/>
        <v>0</v>
      </c>
      <c r="AQ97" s="49">
        <f t="shared" ca="1" si="114"/>
        <v>0</v>
      </c>
      <c r="AR97" s="104">
        <f t="shared" ca="1" si="115"/>
        <v>0</v>
      </c>
      <c r="AS97" s="104">
        <f t="shared" ca="1" si="116"/>
        <v>0</v>
      </c>
      <c r="AT97" s="104">
        <f t="shared" ca="1" si="117"/>
        <v>0</v>
      </c>
      <c r="AU97" s="104">
        <f t="shared" ca="1" si="118"/>
        <v>0</v>
      </c>
      <c r="BF97" s="49">
        <f t="shared" ca="1" si="119"/>
        <v>0</v>
      </c>
      <c r="BG97" s="49">
        <f t="shared" ca="1" si="120"/>
        <v>0</v>
      </c>
      <c r="BH97" s="54" t="e">
        <f t="shared" ca="1" si="121"/>
        <v>#DIV/0!</v>
      </c>
      <c r="BI97" s="112" t="e">
        <f t="shared" ca="1" si="122"/>
        <v>#DIV/0!</v>
      </c>
      <c r="BK97" s="55" t="e">
        <f t="shared" ca="1" si="123"/>
        <v>#DIV/0!</v>
      </c>
      <c r="BL97" s="55" t="e">
        <f t="shared" ca="1" si="124"/>
        <v>#DIV/0!</v>
      </c>
      <c r="BM97" s="55" t="e">
        <f t="shared" ca="1" si="125"/>
        <v>#DIV/0!</v>
      </c>
      <c r="BN97" s="53">
        <f t="shared" ca="1" si="126"/>
        <v>0</v>
      </c>
      <c r="BO97" s="112" t="e">
        <f t="shared" ca="1" si="127"/>
        <v>#DIV/0!</v>
      </c>
      <c r="BR97" s="53" t="e">
        <f t="shared" ca="1" si="128"/>
        <v>#DIV/0!</v>
      </c>
      <c r="BS97" s="53">
        <f t="shared" ca="1" si="129"/>
        <v>0</v>
      </c>
      <c r="BT97" s="53">
        <f t="shared" ca="1" si="130"/>
        <v>0</v>
      </c>
      <c r="BU97" s="56" t="e">
        <f t="shared" ca="1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ca="1" si="134"/>
        <v>0</v>
      </c>
      <c r="CW97" s="53">
        <f t="shared" ca="1" si="135"/>
        <v>0</v>
      </c>
      <c r="CX97" s="58" t="e">
        <f t="shared" ca="1" si="136"/>
        <v>#DIV/0!</v>
      </c>
      <c r="CY97" s="53">
        <f t="shared" ca="1" si="137"/>
        <v>0</v>
      </c>
      <c r="CZ97" s="53">
        <f t="shared" ca="1" si="138"/>
        <v>0</v>
      </c>
      <c r="DA97" s="58" t="e">
        <f t="shared" ca="1" si="139"/>
        <v>#DIV/0!</v>
      </c>
      <c r="DB97" s="48" t="e">
        <f t="shared" ca="1" si="140"/>
        <v>#DIV/0!</v>
      </c>
      <c r="DC97" s="48" t="e">
        <f t="shared" ca="1" si="141"/>
        <v>#DIV/0!</v>
      </c>
      <c r="DD97" s="48" t="e">
        <f t="shared" ca="1" si="142"/>
        <v>#DIV/0!</v>
      </c>
      <c r="DE97" s="48" t="e">
        <f t="shared" ca="1" si="143"/>
        <v>#DIV/0!</v>
      </c>
      <c r="DF97" s="48" t="e">
        <f t="shared" ca="1" si="144"/>
        <v>#DIV/0!</v>
      </c>
      <c r="DG97" s="48" t="e">
        <f t="shared" ca="1" si="145"/>
        <v>#DIV/0!</v>
      </c>
      <c r="DH97" s="48">
        <f ca="1">SUMIF(FCR!$BZ$4:$DB$500,DG97,FCR!$DE$4:$EG$500)</f>
        <v>0</v>
      </c>
      <c r="DI97" s="48" t="e">
        <f t="shared" ca="1" si="146"/>
        <v>#DIV/0!</v>
      </c>
      <c r="DJ97" s="48">
        <f ca="1">SUMIF(FCR!$BZ$4:$DB$142,DI97,FCR!$DE$4:$EG$142)</f>
        <v>0</v>
      </c>
      <c r="DK97" s="48" t="e">
        <f t="shared" ca="1" si="147"/>
        <v>#DIV/0!</v>
      </c>
      <c r="DL97" s="55" t="e">
        <f t="shared" ca="1" si="148"/>
        <v>#DIV/0!</v>
      </c>
      <c r="DM97" s="48" t="e">
        <f t="shared" ca="1" si="149"/>
        <v>#DIV/0!</v>
      </c>
      <c r="DN97" s="48">
        <f ca="1">SUMIF(FCR!$BZ$4:$DB$142,DM97,FCR!$DE$4:$EG$142)</f>
        <v>0</v>
      </c>
      <c r="DO97" s="53" t="e">
        <f t="shared" ca="1" si="150"/>
        <v>#DIV/0!</v>
      </c>
      <c r="DP97" s="55" t="e">
        <f t="shared" ca="1" si="151"/>
        <v>#DIV/0!</v>
      </c>
      <c r="DQ97" s="55" t="e">
        <f t="shared" ca="1" si="152"/>
        <v>#DIV/0!</v>
      </c>
      <c r="DR97" s="55"/>
      <c r="DS97" s="55" t="e">
        <f t="shared" ca="1" si="153"/>
        <v>#DIV/0!</v>
      </c>
      <c r="DT97" s="55" t="e">
        <f t="shared" ca="1" si="154"/>
        <v>#DIV/0!</v>
      </c>
      <c r="DU97" s="53">
        <f t="shared" ca="1" si="155"/>
        <v>0</v>
      </c>
      <c r="DV97" s="59" t="e">
        <f t="shared" ca="1" si="156"/>
        <v>#DIV/0!</v>
      </c>
    </row>
    <row r="98" spans="1:12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AD98" s="49" t="s">
        <v>337</v>
      </c>
      <c r="AE98" s="49">
        <f t="shared" ca="1" si="102"/>
        <v>0</v>
      </c>
      <c r="AF98" s="49">
        <f t="shared" ca="1" si="103"/>
        <v>0</v>
      </c>
      <c r="AG98" s="114">
        <f t="shared" ca="1" si="104"/>
        <v>0</v>
      </c>
      <c r="AH98" s="104">
        <f t="shared" ca="1" si="105"/>
        <v>0</v>
      </c>
      <c r="AI98" s="104">
        <f t="shared" ca="1" si="106"/>
        <v>0</v>
      </c>
      <c r="AJ98" s="104">
        <f t="shared" ca="1" si="107"/>
        <v>0</v>
      </c>
      <c r="AK98" s="104">
        <f t="shared" ca="1" si="108"/>
        <v>0</v>
      </c>
      <c r="AL98" s="104">
        <f t="shared" ca="1" si="109"/>
        <v>0</v>
      </c>
      <c r="AM98" s="104">
        <f t="shared" ca="1" si="110"/>
        <v>0</v>
      </c>
      <c r="AN98" s="104">
        <f t="shared" ca="1" si="111"/>
        <v>0</v>
      </c>
      <c r="AO98" s="104">
        <f t="shared" ca="1" si="112"/>
        <v>0</v>
      </c>
      <c r="AP98" s="104">
        <f t="shared" ca="1" si="113"/>
        <v>0</v>
      </c>
      <c r="AQ98" s="49">
        <f t="shared" ca="1" si="114"/>
        <v>0</v>
      </c>
      <c r="AR98" s="104">
        <f t="shared" ca="1" si="115"/>
        <v>0</v>
      </c>
      <c r="AS98" s="104">
        <f t="shared" ca="1" si="116"/>
        <v>0</v>
      </c>
      <c r="AT98" s="104">
        <f t="shared" ca="1" si="117"/>
        <v>0</v>
      </c>
      <c r="AU98" s="104">
        <f t="shared" ca="1" si="118"/>
        <v>0</v>
      </c>
      <c r="BF98" s="49">
        <f t="shared" ca="1" si="119"/>
        <v>0</v>
      </c>
      <c r="BG98" s="49">
        <f t="shared" ca="1" si="120"/>
        <v>0</v>
      </c>
      <c r="BH98" s="54" t="e">
        <f t="shared" ca="1" si="121"/>
        <v>#DIV/0!</v>
      </c>
      <c r="BI98" s="112" t="e">
        <f t="shared" ca="1" si="122"/>
        <v>#DIV/0!</v>
      </c>
      <c r="BK98" s="55" t="e">
        <f t="shared" ca="1" si="123"/>
        <v>#DIV/0!</v>
      </c>
      <c r="BL98" s="55" t="e">
        <f t="shared" ca="1" si="124"/>
        <v>#DIV/0!</v>
      </c>
      <c r="BM98" s="55" t="e">
        <f t="shared" ca="1" si="125"/>
        <v>#DIV/0!</v>
      </c>
      <c r="BN98" s="53">
        <f t="shared" ca="1" si="126"/>
        <v>0</v>
      </c>
      <c r="BO98" s="112" t="e">
        <f t="shared" ca="1" si="127"/>
        <v>#DIV/0!</v>
      </c>
      <c r="BR98" s="53" t="e">
        <f t="shared" ca="1" si="128"/>
        <v>#DIV/0!</v>
      </c>
      <c r="BS98" s="53">
        <f t="shared" ca="1" si="129"/>
        <v>0</v>
      </c>
      <c r="BT98" s="53">
        <f t="shared" ca="1" si="130"/>
        <v>0</v>
      </c>
      <c r="BU98" s="56" t="e">
        <f t="shared" ca="1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ca="1" si="134"/>
        <v>0</v>
      </c>
      <c r="CW98" s="53">
        <f t="shared" ca="1" si="135"/>
        <v>0</v>
      </c>
      <c r="CX98" s="58" t="e">
        <f t="shared" ca="1" si="136"/>
        <v>#DIV/0!</v>
      </c>
      <c r="CY98" s="53">
        <f t="shared" ca="1" si="137"/>
        <v>0</v>
      </c>
      <c r="CZ98" s="53">
        <f t="shared" ca="1" si="138"/>
        <v>0</v>
      </c>
      <c r="DA98" s="58" t="e">
        <f t="shared" ca="1" si="139"/>
        <v>#DIV/0!</v>
      </c>
      <c r="DB98" s="48" t="e">
        <f t="shared" ca="1" si="140"/>
        <v>#DIV/0!</v>
      </c>
      <c r="DC98" s="48" t="e">
        <f t="shared" ca="1" si="141"/>
        <v>#DIV/0!</v>
      </c>
      <c r="DD98" s="48" t="e">
        <f t="shared" ca="1" si="142"/>
        <v>#DIV/0!</v>
      </c>
      <c r="DE98" s="48" t="e">
        <f t="shared" ca="1" si="143"/>
        <v>#DIV/0!</v>
      </c>
      <c r="DF98" s="48" t="e">
        <f t="shared" ca="1" si="144"/>
        <v>#DIV/0!</v>
      </c>
      <c r="DG98" s="48" t="e">
        <f t="shared" ca="1" si="145"/>
        <v>#DIV/0!</v>
      </c>
      <c r="DH98" s="48">
        <f ca="1">SUMIF(FCR!$BZ$4:$DB$500,DG98,FCR!$DE$4:$EG$500)</f>
        <v>0</v>
      </c>
      <c r="DI98" s="48" t="e">
        <f t="shared" ca="1" si="146"/>
        <v>#DIV/0!</v>
      </c>
      <c r="DJ98" s="48">
        <f ca="1">SUMIF(FCR!$BZ$4:$DB$142,DI98,FCR!$DE$4:$EG$142)</f>
        <v>0</v>
      </c>
      <c r="DK98" s="48" t="e">
        <f t="shared" ca="1" si="147"/>
        <v>#DIV/0!</v>
      </c>
      <c r="DL98" s="55" t="e">
        <f t="shared" ca="1" si="148"/>
        <v>#DIV/0!</v>
      </c>
      <c r="DM98" s="48" t="e">
        <f t="shared" ca="1" si="149"/>
        <v>#DIV/0!</v>
      </c>
      <c r="DN98" s="48">
        <f ca="1">SUMIF(FCR!$BZ$4:$DB$142,DM98,FCR!$DE$4:$EG$142)</f>
        <v>0</v>
      </c>
      <c r="DO98" s="53" t="e">
        <f t="shared" ca="1" si="150"/>
        <v>#DIV/0!</v>
      </c>
      <c r="DP98" s="55" t="e">
        <f t="shared" ca="1" si="151"/>
        <v>#DIV/0!</v>
      </c>
      <c r="DQ98" s="55" t="e">
        <f t="shared" ca="1" si="152"/>
        <v>#DIV/0!</v>
      </c>
      <c r="DR98" s="55"/>
      <c r="DS98" s="55" t="e">
        <f t="shared" ca="1" si="153"/>
        <v>#DIV/0!</v>
      </c>
      <c r="DT98" s="55" t="e">
        <f t="shared" ca="1" si="154"/>
        <v>#DIV/0!</v>
      </c>
      <c r="DU98" s="53">
        <f t="shared" ca="1" si="155"/>
        <v>0</v>
      </c>
      <c r="DV98" s="59" t="e">
        <f t="shared" ca="1" si="156"/>
        <v>#DIV/0!</v>
      </c>
    </row>
    <row r="99" spans="1:12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AD99" s="49" t="s">
        <v>337</v>
      </c>
      <c r="AE99" s="49">
        <f t="shared" ca="1" si="102"/>
        <v>0</v>
      </c>
      <c r="AF99" s="49">
        <f t="shared" ca="1" si="103"/>
        <v>0</v>
      </c>
      <c r="AG99" s="114">
        <f t="shared" ca="1" si="104"/>
        <v>0</v>
      </c>
      <c r="AH99" s="104">
        <f t="shared" ca="1" si="105"/>
        <v>0</v>
      </c>
      <c r="AI99" s="104">
        <f t="shared" ca="1" si="106"/>
        <v>0</v>
      </c>
      <c r="AJ99" s="104">
        <f t="shared" ca="1" si="107"/>
        <v>0</v>
      </c>
      <c r="AK99" s="104">
        <f t="shared" ca="1" si="108"/>
        <v>0</v>
      </c>
      <c r="AL99" s="104">
        <f t="shared" ca="1" si="109"/>
        <v>0</v>
      </c>
      <c r="AM99" s="104">
        <f t="shared" ca="1" si="110"/>
        <v>0</v>
      </c>
      <c r="AN99" s="104">
        <f t="shared" ca="1" si="111"/>
        <v>0</v>
      </c>
      <c r="AO99" s="104">
        <f t="shared" ca="1" si="112"/>
        <v>0</v>
      </c>
      <c r="AP99" s="104">
        <f t="shared" ca="1" si="113"/>
        <v>0</v>
      </c>
      <c r="AQ99" s="49">
        <f t="shared" ca="1" si="114"/>
        <v>0</v>
      </c>
      <c r="AR99" s="104">
        <f t="shared" ca="1" si="115"/>
        <v>0</v>
      </c>
      <c r="AS99" s="104">
        <f t="shared" ca="1" si="116"/>
        <v>0</v>
      </c>
      <c r="AT99" s="104">
        <f t="shared" ca="1" si="117"/>
        <v>0</v>
      </c>
      <c r="AU99" s="104">
        <f t="shared" ca="1" si="118"/>
        <v>0</v>
      </c>
      <c r="BF99" s="49">
        <f t="shared" ca="1" si="119"/>
        <v>0</v>
      </c>
      <c r="BG99" s="49">
        <f t="shared" ca="1" si="120"/>
        <v>0</v>
      </c>
      <c r="BH99" s="54" t="e">
        <f t="shared" ca="1" si="121"/>
        <v>#DIV/0!</v>
      </c>
      <c r="BI99" s="112" t="e">
        <f t="shared" ca="1" si="122"/>
        <v>#DIV/0!</v>
      </c>
      <c r="BK99" s="55" t="e">
        <f t="shared" ca="1" si="123"/>
        <v>#DIV/0!</v>
      </c>
      <c r="BL99" s="55" t="e">
        <f t="shared" ca="1" si="124"/>
        <v>#DIV/0!</v>
      </c>
      <c r="BM99" s="55" t="e">
        <f t="shared" ca="1" si="125"/>
        <v>#DIV/0!</v>
      </c>
      <c r="BN99" s="53">
        <f t="shared" ca="1" si="126"/>
        <v>0</v>
      </c>
      <c r="BO99" s="112" t="e">
        <f t="shared" ca="1" si="127"/>
        <v>#DIV/0!</v>
      </c>
      <c r="BR99" s="53" t="e">
        <f t="shared" ca="1" si="128"/>
        <v>#DIV/0!</v>
      </c>
      <c r="BS99" s="53">
        <f t="shared" ca="1" si="129"/>
        <v>0</v>
      </c>
      <c r="BT99" s="53">
        <f t="shared" ca="1" si="130"/>
        <v>0</v>
      </c>
      <c r="BU99" s="56" t="e">
        <f t="shared" ca="1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ca="1" si="134"/>
        <v>0</v>
      </c>
      <c r="CW99" s="53">
        <f t="shared" ca="1" si="135"/>
        <v>0</v>
      </c>
      <c r="CX99" s="58" t="e">
        <f t="shared" ca="1" si="136"/>
        <v>#DIV/0!</v>
      </c>
      <c r="CY99" s="53">
        <f t="shared" ca="1" si="137"/>
        <v>0</v>
      </c>
      <c r="CZ99" s="53">
        <f t="shared" ca="1" si="138"/>
        <v>0</v>
      </c>
      <c r="DA99" s="58" t="e">
        <f t="shared" ca="1" si="139"/>
        <v>#DIV/0!</v>
      </c>
      <c r="DB99" s="48" t="e">
        <f t="shared" ca="1" si="140"/>
        <v>#DIV/0!</v>
      </c>
      <c r="DC99" s="48" t="e">
        <f t="shared" ca="1" si="141"/>
        <v>#DIV/0!</v>
      </c>
      <c r="DD99" s="48" t="e">
        <f t="shared" ca="1" si="142"/>
        <v>#DIV/0!</v>
      </c>
      <c r="DE99" s="48" t="e">
        <f t="shared" ca="1" si="143"/>
        <v>#DIV/0!</v>
      </c>
      <c r="DF99" s="48" t="e">
        <f t="shared" ca="1" si="144"/>
        <v>#DIV/0!</v>
      </c>
      <c r="DG99" s="48" t="e">
        <f t="shared" ca="1" si="145"/>
        <v>#DIV/0!</v>
      </c>
      <c r="DH99" s="48">
        <f ca="1">SUMIF(FCR!$BZ$4:$DB$500,DG99,FCR!$DE$4:$EG$500)</f>
        <v>0</v>
      </c>
      <c r="DI99" s="48" t="e">
        <f t="shared" ca="1" si="146"/>
        <v>#DIV/0!</v>
      </c>
      <c r="DJ99" s="48">
        <f ca="1">SUMIF(FCR!$BZ$4:$DB$142,DI99,FCR!$DE$4:$EG$142)</f>
        <v>0</v>
      </c>
      <c r="DK99" s="48" t="e">
        <f t="shared" ca="1" si="147"/>
        <v>#DIV/0!</v>
      </c>
      <c r="DL99" s="55" t="e">
        <f t="shared" ca="1" si="148"/>
        <v>#DIV/0!</v>
      </c>
      <c r="DM99" s="48" t="e">
        <f t="shared" ca="1" si="149"/>
        <v>#DIV/0!</v>
      </c>
      <c r="DN99" s="48">
        <f ca="1">SUMIF(FCR!$BZ$4:$DB$142,DM99,FCR!$DE$4:$EG$142)</f>
        <v>0</v>
      </c>
      <c r="DO99" s="53" t="e">
        <f t="shared" ca="1" si="150"/>
        <v>#DIV/0!</v>
      </c>
      <c r="DP99" s="55" t="e">
        <f t="shared" ca="1" si="151"/>
        <v>#DIV/0!</v>
      </c>
      <c r="DQ99" s="55" t="e">
        <f t="shared" ca="1" si="152"/>
        <v>#DIV/0!</v>
      </c>
      <c r="DR99" s="55"/>
      <c r="DS99" s="55" t="e">
        <f t="shared" ca="1" si="153"/>
        <v>#DIV/0!</v>
      </c>
      <c r="DT99" s="55" t="e">
        <f t="shared" ca="1" si="154"/>
        <v>#DIV/0!</v>
      </c>
      <c r="DU99" s="53">
        <f t="shared" ca="1" si="155"/>
        <v>0</v>
      </c>
      <c r="DV99" s="59" t="e">
        <f t="shared" ca="1" si="156"/>
        <v>#DIV/0!</v>
      </c>
    </row>
    <row r="100" spans="1:12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AD100" s="49" t="s">
        <v>337</v>
      </c>
      <c r="AE100" s="49">
        <f t="shared" ca="1" si="102"/>
        <v>0</v>
      </c>
      <c r="AF100" s="49">
        <f t="shared" ca="1" si="103"/>
        <v>0</v>
      </c>
      <c r="AG100" s="114">
        <f t="shared" ca="1" si="104"/>
        <v>0</v>
      </c>
      <c r="AH100" s="104">
        <f t="shared" ca="1" si="105"/>
        <v>0</v>
      </c>
      <c r="AI100" s="104">
        <f t="shared" ca="1" si="106"/>
        <v>0</v>
      </c>
      <c r="AJ100" s="104">
        <f t="shared" ca="1" si="107"/>
        <v>0</v>
      </c>
      <c r="AK100" s="104">
        <f t="shared" ca="1" si="108"/>
        <v>0</v>
      </c>
      <c r="AL100" s="104">
        <f t="shared" ca="1" si="109"/>
        <v>0</v>
      </c>
      <c r="AM100" s="104">
        <f t="shared" ca="1" si="110"/>
        <v>0</v>
      </c>
      <c r="AN100" s="104">
        <f t="shared" ca="1" si="111"/>
        <v>0</v>
      </c>
      <c r="AO100" s="104">
        <f t="shared" ca="1" si="112"/>
        <v>0</v>
      </c>
      <c r="AP100" s="104">
        <f t="shared" ca="1" si="113"/>
        <v>0</v>
      </c>
      <c r="AQ100" s="49">
        <f t="shared" ca="1" si="114"/>
        <v>0</v>
      </c>
      <c r="AR100" s="104">
        <f t="shared" ca="1" si="115"/>
        <v>0</v>
      </c>
      <c r="AS100" s="104">
        <f t="shared" ca="1" si="116"/>
        <v>0</v>
      </c>
      <c r="AT100" s="104">
        <f t="shared" ca="1" si="117"/>
        <v>0</v>
      </c>
      <c r="AU100" s="104">
        <f t="shared" ca="1" si="118"/>
        <v>0</v>
      </c>
      <c r="BF100" s="49">
        <f t="shared" ca="1" si="119"/>
        <v>0</v>
      </c>
      <c r="BG100" s="49">
        <f t="shared" ca="1" si="120"/>
        <v>0</v>
      </c>
      <c r="BH100" s="54" t="e">
        <f t="shared" ca="1" si="121"/>
        <v>#DIV/0!</v>
      </c>
      <c r="BI100" s="112" t="e">
        <f t="shared" ca="1" si="122"/>
        <v>#DIV/0!</v>
      </c>
      <c r="BK100" s="55" t="e">
        <f t="shared" ca="1" si="123"/>
        <v>#DIV/0!</v>
      </c>
      <c r="BL100" s="55" t="e">
        <f t="shared" ca="1" si="124"/>
        <v>#DIV/0!</v>
      </c>
      <c r="BM100" s="55" t="e">
        <f t="shared" ca="1" si="125"/>
        <v>#DIV/0!</v>
      </c>
      <c r="BN100" s="53">
        <f t="shared" ca="1" si="126"/>
        <v>0</v>
      </c>
      <c r="BO100" s="112" t="e">
        <f t="shared" ca="1" si="127"/>
        <v>#DIV/0!</v>
      </c>
      <c r="BR100" s="53" t="e">
        <f t="shared" ca="1" si="128"/>
        <v>#DIV/0!</v>
      </c>
      <c r="BS100" s="53">
        <f t="shared" ca="1" si="129"/>
        <v>0</v>
      </c>
      <c r="BT100" s="53">
        <f t="shared" ca="1" si="130"/>
        <v>0</v>
      </c>
      <c r="BU100" s="56" t="e">
        <f t="shared" ca="1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ca="1" si="134"/>
        <v>0</v>
      </c>
      <c r="CW100" s="53">
        <f t="shared" ca="1" si="135"/>
        <v>0</v>
      </c>
      <c r="CX100" s="58" t="e">
        <f t="shared" ca="1" si="136"/>
        <v>#DIV/0!</v>
      </c>
      <c r="CY100" s="53">
        <f t="shared" ca="1" si="137"/>
        <v>0</v>
      </c>
      <c r="CZ100" s="53">
        <f t="shared" ca="1" si="138"/>
        <v>0</v>
      </c>
      <c r="DA100" s="58" t="e">
        <f t="shared" ca="1" si="139"/>
        <v>#DIV/0!</v>
      </c>
      <c r="DB100" s="48" t="e">
        <f t="shared" ca="1" si="140"/>
        <v>#DIV/0!</v>
      </c>
      <c r="DC100" s="48" t="e">
        <f t="shared" ca="1" si="141"/>
        <v>#DIV/0!</v>
      </c>
      <c r="DD100" s="48" t="e">
        <f t="shared" ca="1" si="142"/>
        <v>#DIV/0!</v>
      </c>
      <c r="DE100" s="48" t="e">
        <f t="shared" ca="1" si="143"/>
        <v>#DIV/0!</v>
      </c>
      <c r="DF100" s="48" t="e">
        <f t="shared" ca="1" si="144"/>
        <v>#DIV/0!</v>
      </c>
      <c r="DG100" s="48" t="e">
        <f t="shared" ca="1" si="145"/>
        <v>#DIV/0!</v>
      </c>
      <c r="DH100" s="48">
        <f ca="1">SUMIF(FCR!$BZ$4:$DB$500,DG100,FCR!$DE$4:$EG$500)</f>
        <v>0</v>
      </c>
      <c r="DI100" s="48" t="e">
        <f t="shared" ca="1" si="146"/>
        <v>#DIV/0!</v>
      </c>
      <c r="DJ100" s="48">
        <f ca="1">SUMIF(FCR!$BZ$4:$DB$142,DI100,FCR!$DE$4:$EG$142)</f>
        <v>0</v>
      </c>
      <c r="DK100" s="48" t="e">
        <f t="shared" ca="1" si="147"/>
        <v>#DIV/0!</v>
      </c>
      <c r="DL100" s="55" t="e">
        <f t="shared" ca="1" si="148"/>
        <v>#DIV/0!</v>
      </c>
      <c r="DM100" s="48" t="e">
        <f t="shared" ca="1" si="149"/>
        <v>#DIV/0!</v>
      </c>
      <c r="DN100" s="48">
        <f ca="1">SUMIF(FCR!$BZ$4:$DB$142,DM100,FCR!$DE$4:$EG$142)</f>
        <v>0</v>
      </c>
      <c r="DO100" s="53" t="e">
        <f t="shared" ca="1" si="150"/>
        <v>#DIV/0!</v>
      </c>
      <c r="DP100" s="55" t="e">
        <f t="shared" ca="1" si="151"/>
        <v>#DIV/0!</v>
      </c>
      <c r="DQ100" s="55" t="e">
        <f t="shared" ca="1" si="152"/>
        <v>#DIV/0!</v>
      </c>
      <c r="DR100" s="55"/>
      <c r="DS100" s="55" t="e">
        <f t="shared" ca="1" si="153"/>
        <v>#DIV/0!</v>
      </c>
      <c r="DT100" s="55" t="e">
        <f t="shared" ca="1" si="154"/>
        <v>#DIV/0!</v>
      </c>
      <c r="DU100" s="53">
        <f t="shared" ca="1" si="155"/>
        <v>0</v>
      </c>
      <c r="DV100" s="59" t="e">
        <f t="shared" ca="1" si="156"/>
        <v>#DIV/0!</v>
      </c>
    </row>
    <row r="101" spans="1:12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AD101" s="49" t="s">
        <v>337</v>
      </c>
      <c r="AE101" s="49">
        <f t="shared" ca="1" si="102"/>
        <v>0</v>
      </c>
      <c r="AF101" s="49">
        <f t="shared" ca="1" si="103"/>
        <v>0</v>
      </c>
      <c r="AG101" s="114">
        <f t="shared" ca="1" si="104"/>
        <v>0</v>
      </c>
      <c r="AH101" s="104">
        <f t="shared" ca="1" si="105"/>
        <v>0</v>
      </c>
      <c r="AI101" s="104">
        <f t="shared" ca="1" si="106"/>
        <v>0</v>
      </c>
      <c r="AJ101" s="104">
        <f t="shared" ca="1" si="107"/>
        <v>0</v>
      </c>
      <c r="AK101" s="104">
        <f t="shared" ca="1" si="108"/>
        <v>0</v>
      </c>
      <c r="AL101" s="104">
        <f t="shared" ca="1" si="109"/>
        <v>0</v>
      </c>
      <c r="AM101" s="104">
        <f t="shared" ca="1" si="110"/>
        <v>0</v>
      </c>
      <c r="AN101" s="104">
        <f t="shared" ca="1" si="111"/>
        <v>0</v>
      </c>
      <c r="AO101" s="104">
        <f t="shared" ca="1" si="112"/>
        <v>0</v>
      </c>
      <c r="AP101" s="104">
        <f t="shared" ca="1" si="113"/>
        <v>0</v>
      </c>
      <c r="AQ101" s="49">
        <f t="shared" ca="1" si="114"/>
        <v>0</v>
      </c>
      <c r="AR101" s="104">
        <f t="shared" ca="1" si="115"/>
        <v>0</v>
      </c>
      <c r="AS101" s="104">
        <f t="shared" ca="1" si="116"/>
        <v>0</v>
      </c>
      <c r="AT101" s="104">
        <f t="shared" ca="1" si="117"/>
        <v>0</v>
      </c>
      <c r="AU101" s="104">
        <f t="shared" ca="1" si="118"/>
        <v>0</v>
      </c>
      <c r="BF101" s="49">
        <f t="shared" ca="1" si="119"/>
        <v>0</v>
      </c>
      <c r="BG101" s="49">
        <f t="shared" ca="1" si="120"/>
        <v>0</v>
      </c>
      <c r="BH101" s="54" t="e">
        <f t="shared" ca="1" si="121"/>
        <v>#DIV/0!</v>
      </c>
      <c r="BI101" s="112" t="e">
        <f t="shared" ca="1" si="122"/>
        <v>#DIV/0!</v>
      </c>
      <c r="BK101" s="55" t="e">
        <f t="shared" ca="1" si="123"/>
        <v>#DIV/0!</v>
      </c>
      <c r="BL101" s="55" t="e">
        <f t="shared" ca="1" si="124"/>
        <v>#DIV/0!</v>
      </c>
      <c r="BM101" s="55" t="e">
        <f t="shared" ca="1" si="125"/>
        <v>#DIV/0!</v>
      </c>
      <c r="BN101" s="53">
        <f t="shared" ca="1" si="126"/>
        <v>0</v>
      </c>
      <c r="BO101" s="112" t="e">
        <f t="shared" ca="1" si="127"/>
        <v>#DIV/0!</v>
      </c>
      <c r="BR101" s="53" t="e">
        <f t="shared" ca="1" si="128"/>
        <v>#DIV/0!</v>
      </c>
      <c r="BS101" s="53">
        <f t="shared" ca="1" si="129"/>
        <v>0</v>
      </c>
      <c r="BT101" s="53">
        <f t="shared" ca="1" si="130"/>
        <v>0</v>
      </c>
      <c r="BU101" s="56" t="e">
        <f t="shared" ca="1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ca="1" si="134"/>
        <v>0</v>
      </c>
      <c r="CW101" s="53">
        <f t="shared" ca="1" si="135"/>
        <v>0</v>
      </c>
      <c r="CX101" s="58" t="e">
        <f t="shared" ca="1" si="136"/>
        <v>#DIV/0!</v>
      </c>
      <c r="CY101" s="53">
        <f t="shared" ca="1" si="137"/>
        <v>0</v>
      </c>
      <c r="CZ101" s="53">
        <f t="shared" ca="1" si="138"/>
        <v>0</v>
      </c>
      <c r="DA101" s="58" t="e">
        <f t="shared" ca="1" si="139"/>
        <v>#DIV/0!</v>
      </c>
      <c r="DB101" s="48" t="e">
        <f t="shared" ca="1" si="140"/>
        <v>#DIV/0!</v>
      </c>
      <c r="DC101" s="48" t="e">
        <f t="shared" ca="1" si="141"/>
        <v>#DIV/0!</v>
      </c>
      <c r="DD101" s="48" t="e">
        <f t="shared" ca="1" si="142"/>
        <v>#DIV/0!</v>
      </c>
      <c r="DE101" s="48" t="e">
        <f t="shared" ca="1" si="143"/>
        <v>#DIV/0!</v>
      </c>
      <c r="DF101" s="48" t="e">
        <f t="shared" ca="1" si="144"/>
        <v>#DIV/0!</v>
      </c>
      <c r="DG101" s="48" t="e">
        <f t="shared" ca="1" si="145"/>
        <v>#DIV/0!</v>
      </c>
      <c r="DH101" s="48">
        <f ca="1">SUMIF(FCR!$BZ$4:$DB$500,DG101,FCR!$DE$4:$EG$500)</f>
        <v>0</v>
      </c>
      <c r="DI101" s="48" t="e">
        <f t="shared" ca="1" si="146"/>
        <v>#DIV/0!</v>
      </c>
      <c r="DJ101" s="48">
        <f ca="1">SUMIF(FCR!$BZ$4:$DB$142,DI101,FCR!$DE$4:$EG$142)</f>
        <v>0</v>
      </c>
      <c r="DK101" s="48" t="e">
        <f t="shared" ca="1" si="147"/>
        <v>#DIV/0!</v>
      </c>
      <c r="DL101" s="55" t="e">
        <f t="shared" ca="1" si="148"/>
        <v>#DIV/0!</v>
      </c>
      <c r="DM101" s="48" t="e">
        <f t="shared" ca="1" si="149"/>
        <v>#DIV/0!</v>
      </c>
      <c r="DN101" s="48">
        <f ca="1">SUMIF(FCR!$BZ$4:$DB$142,DM101,FCR!$DE$4:$EG$142)</f>
        <v>0</v>
      </c>
      <c r="DO101" s="53" t="e">
        <f t="shared" ca="1" si="150"/>
        <v>#DIV/0!</v>
      </c>
      <c r="DP101" s="55" t="e">
        <f t="shared" ca="1" si="151"/>
        <v>#DIV/0!</v>
      </c>
      <c r="DQ101" s="55" t="e">
        <f t="shared" ca="1" si="152"/>
        <v>#DIV/0!</v>
      </c>
      <c r="DR101" s="55"/>
      <c r="DS101" s="55" t="e">
        <f t="shared" ca="1" si="153"/>
        <v>#DIV/0!</v>
      </c>
      <c r="DT101" s="55" t="e">
        <f t="shared" ca="1" si="154"/>
        <v>#DIV/0!</v>
      </c>
      <c r="DU101" s="53">
        <f t="shared" ca="1" si="155"/>
        <v>0</v>
      </c>
      <c r="DV101" s="59" t="e">
        <f t="shared" ca="1" si="156"/>
        <v>#DIV/0!</v>
      </c>
    </row>
    <row r="102" spans="1:12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AD102" s="49" t="s">
        <v>337</v>
      </c>
      <c r="AE102" s="49">
        <f t="shared" ca="1" si="102"/>
        <v>0</v>
      </c>
      <c r="AF102" s="49">
        <f t="shared" ca="1" si="103"/>
        <v>0</v>
      </c>
      <c r="AG102" s="114">
        <f t="shared" ca="1" si="104"/>
        <v>0</v>
      </c>
      <c r="AH102" s="104">
        <f t="shared" ca="1" si="105"/>
        <v>0</v>
      </c>
      <c r="AI102" s="104">
        <f t="shared" ca="1" si="106"/>
        <v>0</v>
      </c>
      <c r="AJ102" s="104">
        <f t="shared" ca="1" si="107"/>
        <v>0</v>
      </c>
      <c r="AK102" s="104">
        <f t="shared" ca="1" si="108"/>
        <v>0</v>
      </c>
      <c r="AL102" s="104">
        <f t="shared" ca="1" si="109"/>
        <v>0</v>
      </c>
      <c r="AM102" s="104">
        <f t="shared" ca="1" si="110"/>
        <v>0</v>
      </c>
      <c r="AN102" s="104">
        <f t="shared" ca="1" si="111"/>
        <v>0</v>
      </c>
      <c r="AO102" s="104">
        <f t="shared" ca="1" si="112"/>
        <v>0</v>
      </c>
      <c r="AP102" s="104">
        <f t="shared" ca="1" si="113"/>
        <v>0</v>
      </c>
      <c r="AQ102" s="49">
        <f t="shared" ca="1" si="114"/>
        <v>0</v>
      </c>
      <c r="AR102" s="104">
        <f t="shared" ca="1" si="115"/>
        <v>0</v>
      </c>
      <c r="AS102" s="104">
        <f t="shared" ca="1" si="116"/>
        <v>0</v>
      </c>
      <c r="AT102" s="104">
        <f t="shared" ca="1" si="117"/>
        <v>0</v>
      </c>
      <c r="AU102" s="104">
        <f t="shared" ca="1" si="118"/>
        <v>0</v>
      </c>
      <c r="BF102" s="49">
        <f t="shared" ca="1" si="119"/>
        <v>0</v>
      </c>
      <c r="BG102" s="49">
        <f t="shared" ca="1" si="120"/>
        <v>0</v>
      </c>
      <c r="BH102" s="54" t="e">
        <f t="shared" ca="1" si="121"/>
        <v>#DIV/0!</v>
      </c>
      <c r="BI102" s="112" t="e">
        <f t="shared" ca="1" si="122"/>
        <v>#DIV/0!</v>
      </c>
      <c r="BK102" s="55" t="e">
        <f t="shared" ca="1" si="123"/>
        <v>#DIV/0!</v>
      </c>
      <c r="BL102" s="55" t="e">
        <f t="shared" ca="1" si="124"/>
        <v>#DIV/0!</v>
      </c>
      <c r="BM102" s="55" t="e">
        <f t="shared" ca="1" si="125"/>
        <v>#DIV/0!</v>
      </c>
      <c r="BN102" s="53">
        <f t="shared" ca="1" si="126"/>
        <v>0</v>
      </c>
      <c r="BO102" s="112" t="e">
        <f t="shared" ca="1" si="127"/>
        <v>#DIV/0!</v>
      </c>
      <c r="BR102" s="53" t="e">
        <f t="shared" ca="1" si="128"/>
        <v>#DIV/0!</v>
      </c>
      <c r="BS102" s="53">
        <f t="shared" ca="1" si="129"/>
        <v>0</v>
      </c>
      <c r="BT102" s="53">
        <f t="shared" ca="1" si="130"/>
        <v>0</v>
      </c>
      <c r="BU102" s="56" t="e">
        <f t="shared" ca="1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ca="1" si="134"/>
        <v>0</v>
      </c>
      <c r="CW102" s="53">
        <f t="shared" ca="1" si="135"/>
        <v>0</v>
      </c>
      <c r="CX102" s="58" t="e">
        <f t="shared" ca="1" si="136"/>
        <v>#DIV/0!</v>
      </c>
      <c r="CY102" s="53">
        <f t="shared" ca="1" si="137"/>
        <v>0</v>
      </c>
      <c r="CZ102" s="53">
        <f t="shared" ca="1" si="138"/>
        <v>0</v>
      </c>
      <c r="DA102" s="58" t="e">
        <f t="shared" ca="1" si="139"/>
        <v>#DIV/0!</v>
      </c>
      <c r="DB102" s="48" t="e">
        <f t="shared" ca="1" si="140"/>
        <v>#DIV/0!</v>
      </c>
      <c r="DC102" s="48" t="e">
        <f t="shared" ca="1" si="141"/>
        <v>#DIV/0!</v>
      </c>
      <c r="DD102" s="48" t="e">
        <f t="shared" ca="1" si="142"/>
        <v>#DIV/0!</v>
      </c>
      <c r="DE102" s="48" t="e">
        <f t="shared" ca="1" si="143"/>
        <v>#DIV/0!</v>
      </c>
      <c r="DF102" s="48" t="e">
        <f t="shared" ca="1" si="144"/>
        <v>#DIV/0!</v>
      </c>
      <c r="DG102" s="48" t="e">
        <f t="shared" ca="1" si="145"/>
        <v>#DIV/0!</v>
      </c>
      <c r="DH102" s="48">
        <f ca="1">SUMIF(FCR!$BZ$4:$DB$500,DG102,FCR!$DE$4:$EG$500)</f>
        <v>0</v>
      </c>
      <c r="DI102" s="48" t="e">
        <f t="shared" ca="1" si="146"/>
        <v>#DIV/0!</v>
      </c>
      <c r="DJ102" s="48">
        <f ca="1">SUMIF(FCR!$BZ$4:$DB$142,DI102,FCR!$DE$4:$EG$142)</f>
        <v>0</v>
      </c>
      <c r="DK102" s="48" t="e">
        <f t="shared" ca="1" si="147"/>
        <v>#DIV/0!</v>
      </c>
      <c r="DL102" s="55" t="e">
        <f t="shared" ca="1" si="148"/>
        <v>#DIV/0!</v>
      </c>
      <c r="DM102" s="48" t="e">
        <f t="shared" ca="1" si="149"/>
        <v>#DIV/0!</v>
      </c>
      <c r="DN102" s="48">
        <f ca="1">SUMIF(FCR!$BZ$4:$DB$142,DM102,FCR!$DE$4:$EG$142)</f>
        <v>0</v>
      </c>
      <c r="DO102" s="53" t="e">
        <f t="shared" ca="1" si="150"/>
        <v>#DIV/0!</v>
      </c>
      <c r="DP102" s="55" t="e">
        <f t="shared" ca="1" si="151"/>
        <v>#DIV/0!</v>
      </c>
      <c r="DQ102" s="55" t="e">
        <f t="shared" ca="1" si="152"/>
        <v>#DIV/0!</v>
      </c>
      <c r="DR102" s="55"/>
      <c r="DS102" s="55" t="e">
        <f t="shared" ca="1" si="153"/>
        <v>#DIV/0!</v>
      </c>
      <c r="DT102" s="55" t="e">
        <f t="shared" ca="1" si="154"/>
        <v>#DIV/0!</v>
      </c>
      <c r="DU102" s="53">
        <f t="shared" ca="1" si="155"/>
        <v>0</v>
      </c>
      <c r="DV102" s="59" t="e">
        <f t="shared" ca="1" si="156"/>
        <v>#DIV/0!</v>
      </c>
    </row>
    <row r="103" spans="1:12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AD103" s="49" t="s">
        <v>337</v>
      </c>
      <c r="AE103" s="49">
        <f t="shared" ca="1" si="102"/>
        <v>0</v>
      </c>
      <c r="AF103" s="49">
        <f t="shared" ca="1" si="103"/>
        <v>0</v>
      </c>
      <c r="AG103" s="114">
        <f t="shared" ca="1" si="104"/>
        <v>0</v>
      </c>
      <c r="AH103" s="104">
        <f t="shared" ca="1" si="105"/>
        <v>0</v>
      </c>
      <c r="AI103" s="104">
        <f t="shared" ca="1" si="106"/>
        <v>0</v>
      </c>
      <c r="AJ103" s="104">
        <f t="shared" ca="1" si="107"/>
        <v>0</v>
      </c>
      <c r="AK103" s="104">
        <f t="shared" ca="1" si="108"/>
        <v>0</v>
      </c>
      <c r="AL103" s="104">
        <f t="shared" ca="1" si="109"/>
        <v>0</v>
      </c>
      <c r="AM103" s="104">
        <f t="shared" ca="1" si="110"/>
        <v>0</v>
      </c>
      <c r="AN103" s="104">
        <f t="shared" ca="1" si="111"/>
        <v>0</v>
      </c>
      <c r="AO103" s="104">
        <f t="shared" ca="1" si="112"/>
        <v>0</v>
      </c>
      <c r="AP103" s="104">
        <f t="shared" ca="1" si="113"/>
        <v>0</v>
      </c>
      <c r="AQ103" s="49">
        <f t="shared" ca="1" si="114"/>
        <v>0</v>
      </c>
      <c r="AR103" s="104">
        <f t="shared" ca="1" si="115"/>
        <v>0</v>
      </c>
      <c r="AS103" s="104">
        <f t="shared" ca="1" si="116"/>
        <v>0</v>
      </c>
      <c r="AT103" s="104">
        <f t="shared" ca="1" si="117"/>
        <v>0</v>
      </c>
      <c r="AU103" s="104">
        <f t="shared" ca="1" si="118"/>
        <v>0</v>
      </c>
      <c r="BF103" s="49">
        <f t="shared" ca="1" si="119"/>
        <v>0</v>
      </c>
      <c r="BG103" s="49">
        <f t="shared" ca="1" si="120"/>
        <v>0</v>
      </c>
      <c r="BH103" s="54" t="e">
        <f t="shared" ca="1" si="121"/>
        <v>#DIV/0!</v>
      </c>
      <c r="BI103" s="112" t="e">
        <f t="shared" ca="1" si="122"/>
        <v>#DIV/0!</v>
      </c>
      <c r="BK103" s="55" t="e">
        <f t="shared" ca="1" si="123"/>
        <v>#DIV/0!</v>
      </c>
      <c r="BL103" s="55" t="e">
        <f t="shared" ca="1" si="124"/>
        <v>#DIV/0!</v>
      </c>
      <c r="BM103" s="55" t="e">
        <f t="shared" ca="1" si="125"/>
        <v>#DIV/0!</v>
      </c>
      <c r="BN103" s="53">
        <f t="shared" ca="1" si="126"/>
        <v>0</v>
      </c>
      <c r="BO103" s="112" t="e">
        <f t="shared" ca="1" si="127"/>
        <v>#DIV/0!</v>
      </c>
      <c r="BR103" s="53" t="e">
        <f t="shared" ca="1" si="128"/>
        <v>#DIV/0!</v>
      </c>
      <c r="BS103" s="53">
        <f t="shared" ca="1" si="129"/>
        <v>0</v>
      </c>
      <c r="BT103" s="53">
        <f t="shared" ca="1" si="130"/>
        <v>0</v>
      </c>
      <c r="BU103" s="56" t="e">
        <f t="shared" ca="1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ca="1" si="134"/>
        <v>0</v>
      </c>
      <c r="CW103" s="53">
        <f t="shared" ca="1" si="135"/>
        <v>0</v>
      </c>
      <c r="CX103" s="58" t="e">
        <f t="shared" ca="1" si="136"/>
        <v>#DIV/0!</v>
      </c>
      <c r="CY103" s="53">
        <f t="shared" ca="1" si="137"/>
        <v>0</v>
      </c>
      <c r="CZ103" s="53">
        <f t="shared" ca="1" si="138"/>
        <v>0</v>
      </c>
      <c r="DA103" s="58" t="e">
        <f t="shared" ca="1" si="139"/>
        <v>#DIV/0!</v>
      </c>
      <c r="DB103" s="48" t="e">
        <f t="shared" ca="1" si="140"/>
        <v>#DIV/0!</v>
      </c>
      <c r="DC103" s="48" t="e">
        <f t="shared" ca="1" si="141"/>
        <v>#DIV/0!</v>
      </c>
      <c r="DD103" s="48" t="e">
        <f t="shared" ca="1" si="142"/>
        <v>#DIV/0!</v>
      </c>
      <c r="DE103" s="48" t="e">
        <f t="shared" ca="1" si="143"/>
        <v>#DIV/0!</v>
      </c>
      <c r="DF103" s="48" t="e">
        <f t="shared" ca="1" si="144"/>
        <v>#DIV/0!</v>
      </c>
      <c r="DG103" s="48" t="e">
        <f t="shared" ca="1" si="145"/>
        <v>#DIV/0!</v>
      </c>
      <c r="DH103" s="48">
        <f ca="1">SUMIF(FCR!$BZ$4:$DB$500,DG103,FCR!$DE$4:$EG$500)</f>
        <v>0</v>
      </c>
      <c r="DI103" s="48" t="e">
        <f t="shared" ca="1" si="146"/>
        <v>#DIV/0!</v>
      </c>
      <c r="DJ103" s="48">
        <f ca="1">SUMIF(FCR!$BZ$4:$DB$142,DI103,FCR!$DE$4:$EG$142)</f>
        <v>0</v>
      </c>
      <c r="DK103" s="48" t="e">
        <f t="shared" ca="1" si="147"/>
        <v>#DIV/0!</v>
      </c>
      <c r="DL103" s="55" t="e">
        <f t="shared" ca="1" si="148"/>
        <v>#DIV/0!</v>
      </c>
      <c r="DM103" s="48" t="e">
        <f t="shared" ca="1" si="149"/>
        <v>#DIV/0!</v>
      </c>
      <c r="DN103" s="48">
        <f ca="1">SUMIF(FCR!$BZ$4:$DB$142,DM103,FCR!$DE$4:$EG$142)</f>
        <v>0</v>
      </c>
      <c r="DO103" s="53" t="e">
        <f t="shared" ca="1" si="150"/>
        <v>#DIV/0!</v>
      </c>
      <c r="DP103" s="55" t="e">
        <f t="shared" ca="1" si="151"/>
        <v>#DIV/0!</v>
      </c>
      <c r="DQ103" s="55" t="e">
        <f t="shared" ca="1" si="152"/>
        <v>#DIV/0!</v>
      </c>
      <c r="DR103" s="55"/>
      <c r="DS103" s="55" t="e">
        <f t="shared" ca="1" si="153"/>
        <v>#DIV/0!</v>
      </c>
      <c r="DT103" s="55" t="e">
        <f t="shared" ca="1" si="154"/>
        <v>#DIV/0!</v>
      </c>
      <c r="DU103" s="53">
        <f t="shared" ca="1" si="155"/>
        <v>0</v>
      </c>
      <c r="DV103" s="59" t="e">
        <f t="shared" ca="1" si="156"/>
        <v>#DIV/0!</v>
      </c>
    </row>
    <row r="104" spans="1:12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AD104" s="49" t="s">
        <v>337</v>
      </c>
      <c r="AE104" s="49">
        <f t="shared" ca="1" si="102"/>
        <v>0</v>
      </c>
      <c r="AF104" s="49">
        <f t="shared" ca="1" si="103"/>
        <v>0</v>
      </c>
      <c r="AG104" s="114">
        <f t="shared" ca="1" si="104"/>
        <v>0</v>
      </c>
      <c r="AH104" s="104">
        <f t="shared" ca="1" si="105"/>
        <v>0</v>
      </c>
      <c r="AI104" s="104">
        <f t="shared" ca="1" si="106"/>
        <v>0</v>
      </c>
      <c r="AJ104" s="104">
        <f t="shared" ca="1" si="107"/>
        <v>0</v>
      </c>
      <c r="AK104" s="104">
        <f t="shared" ca="1" si="108"/>
        <v>0</v>
      </c>
      <c r="AL104" s="104">
        <f t="shared" ca="1" si="109"/>
        <v>0</v>
      </c>
      <c r="AM104" s="104">
        <f t="shared" ca="1" si="110"/>
        <v>0</v>
      </c>
      <c r="AN104" s="104">
        <f t="shared" ca="1" si="111"/>
        <v>0</v>
      </c>
      <c r="AO104" s="104">
        <f t="shared" ca="1" si="112"/>
        <v>0</v>
      </c>
      <c r="AP104" s="104">
        <f t="shared" ca="1" si="113"/>
        <v>0</v>
      </c>
      <c r="AQ104" s="49">
        <f t="shared" ca="1" si="114"/>
        <v>0</v>
      </c>
      <c r="AR104" s="104">
        <f t="shared" ca="1" si="115"/>
        <v>0</v>
      </c>
      <c r="AS104" s="104">
        <f t="shared" ca="1" si="116"/>
        <v>0</v>
      </c>
      <c r="AT104" s="104">
        <f t="shared" ca="1" si="117"/>
        <v>0</v>
      </c>
      <c r="AU104" s="104">
        <f t="shared" ca="1" si="118"/>
        <v>0</v>
      </c>
      <c r="BF104" s="49">
        <f t="shared" ca="1" si="119"/>
        <v>0</v>
      </c>
      <c r="BG104" s="49">
        <f t="shared" ca="1" si="120"/>
        <v>0</v>
      </c>
      <c r="BH104" s="54" t="e">
        <f t="shared" ca="1" si="121"/>
        <v>#DIV/0!</v>
      </c>
      <c r="BI104" s="112" t="e">
        <f t="shared" ca="1" si="122"/>
        <v>#DIV/0!</v>
      </c>
      <c r="BK104" s="55" t="e">
        <f t="shared" ca="1" si="123"/>
        <v>#DIV/0!</v>
      </c>
      <c r="BL104" s="55" t="e">
        <f t="shared" ca="1" si="124"/>
        <v>#DIV/0!</v>
      </c>
      <c r="BM104" s="55" t="e">
        <f t="shared" ca="1" si="125"/>
        <v>#DIV/0!</v>
      </c>
      <c r="BN104" s="53">
        <f t="shared" ca="1" si="126"/>
        <v>0</v>
      </c>
      <c r="BO104" s="112" t="e">
        <f t="shared" ca="1" si="127"/>
        <v>#DIV/0!</v>
      </c>
      <c r="BR104" s="53" t="e">
        <f t="shared" ca="1" si="128"/>
        <v>#DIV/0!</v>
      </c>
      <c r="BS104" s="53">
        <f t="shared" ca="1" si="129"/>
        <v>0</v>
      </c>
      <c r="BT104" s="53">
        <f t="shared" ca="1" si="130"/>
        <v>0</v>
      </c>
      <c r="BU104" s="56" t="e">
        <f t="shared" ca="1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ca="1" si="134"/>
        <v>0</v>
      </c>
      <c r="CW104" s="53">
        <f t="shared" ca="1" si="135"/>
        <v>0</v>
      </c>
      <c r="CX104" s="58" t="e">
        <f t="shared" ca="1" si="136"/>
        <v>#DIV/0!</v>
      </c>
      <c r="CY104" s="53">
        <f t="shared" ca="1" si="137"/>
        <v>0</v>
      </c>
      <c r="CZ104" s="53">
        <f t="shared" ca="1" si="138"/>
        <v>0</v>
      </c>
      <c r="DA104" s="58" t="e">
        <f t="shared" ca="1" si="139"/>
        <v>#DIV/0!</v>
      </c>
      <c r="DB104" s="48" t="e">
        <f t="shared" ca="1" si="140"/>
        <v>#DIV/0!</v>
      </c>
      <c r="DC104" s="48" t="e">
        <f t="shared" ca="1" si="141"/>
        <v>#DIV/0!</v>
      </c>
      <c r="DD104" s="48" t="e">
        <f t="shared" ca="1" si="142"/>
        <v>#DIV/0!</v>
      </c>
      <c r="DE104" s="48" t="e">
        <f t="shared" ca="1" si="143"/>
        <v>#DIV/0!</v>
      </c>
      <c r="DF104" s="48" t="e">
        <f t="shared" ca="1" si="144"/>
        <v>#DIV/0!</v>
      </c>
      <c r="DG104" s="48" t="e">
        <f t="shared" ca="1" si="145"/>
        <v>#DIV/0!</v>
      </c>
      <c r="DH104" s="48">
        <f ca="1">SUMIF(FCR!$BZ$4:$DB$500,DG104,FCR!$DE$4:$EG$500)</f>
        <v>0</v>
      </c>
      <c r="DI104" s="48" t="e">
        <f t="shared" ca="1" si="146"/>
        <v>#DIV/0!</v>
      </c>
      <c r="DJ104" s="48">
        <f ca="1">SUMIF(FCR!$BZ$4:$DB$142,DI104,FCR!$DE$4:$EG$142)</f>
        <v>0</v>
      </c>
      <c r="DK104" s="48" t="e">
        <f t="shared" ca="1" si="147"/>
        <v>#DIV/0!</v>
      </c>
      <c r="DL104" s="55" t="e">
        <f t="shared" ca="1" si="148"/>
        <v>#DIV/0!</v>
      </c>
      <c r="DM104" s="48" t="e">
        <f t="shared" ca="1" si="149"/>
        <v>#DIV/0!</v>
      </c>
      <c r="DN104" s="48">
        <f ca="1">SUMIF(FCR!$BZ$4:$DB$142,DM104,FCR!$DE$4:$EG$142)</f>
        <v>0</v>
      </c>
      <c r="DO104" s="53" t="e">
        <f t="shared" ca="1" si="150"/>
        <v>#DIV/0!</v>
      </c>
      <c r="DP104" s="55" t="e">
        <f t="shared" ca="1" si="151"/>
        <v>#DIV/0!</v>
      </c>
      <c r="DQ104" s="55" t="e">
        <f t="shared" ca="1" si="152"/>
        <v>#DIV/0!</v>
      </c>
      <c r="DR104" s="55"/>
      <c r="DS104" s="55" t="e">
        <f t="shared" ca="1" si="153"/>
        <v>#DIV/0!</v>
      </c>
      <c r="DT104" s="55" t="e">
        <f t="shared" ca="1" si="154"/>
        <v>#DIV/0!</v>
      </c>
      <c r="DU104" s="53">
        <f t="shared" ca="1" si="155"/>
        <v>0</v>
      </c>
      <c r="DV104" s="59" t="e">
        <f t="shared" ca="1" si="156"/>
        <v>#DIV/0!</v>
      </c>
    </row>
    <row r="105" spans="1:12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AD105" s="49" t="s">
        <v>337</v>
      </c>
      <c r="AE105" s="49">
        <f t="shared" ca="1" si="102"/>
        <v>0</v>
      </c>
      <c r="AF105" s="49">
        <f t="shared" ca="1" si="103"/>
        <v>0</v>
      </c>
      <c r="AG105" s="114">
        <f t="shared" ca="1" si="104"/>
        <v>0</v>
      </c>
      <c r="AH105" s="104">
        <f t="shared" ca="1" si="105"/>
        <v>0</v>
      </c>
      <c r="AI105" s="104">
        <f t="shared" ca="1" si="106"/>
        <v>0</v>
      </c>
      <c r="AJ105" s="104">
        <f t="shared" ca="1" si="107"/>
        <v>0</v>
      </c>
      <c r="AK105" s="104">
        <f t="shared" ca="1" si="108"/>
        <v>0</v>
      </c>
      <c r="AL105" s="104">
        <f t="shared" ca="1" si="109"/>
        <v>0</v>
      </c>
      <c r="AM105" s="104">
        <f t="shared" ca="1" si="110"/>
        <v>0</v>
      </c>
      <c r="AN105" s="104">
        <f t="shared" ca="1" si="111"/>
        <v>0</v>
      </c>
      <c r="AO105" s="104">
        <f t="shared" ca="1" si="112"/>
        <v>0</v>
      </c>
      <c r="AP105" s="104">
        <f t="shared" ca="1" si="113"/>
        <v>0</v>
      </c>
      <c r="AQ105" s="49">
        <f t="shared" ca="1" si="114"/>
        <v>0</v>
      </c>
      <c r="AR105" s="104">
        <f t="shared" ca="1" si="115"/>
        <v>0</v>
      </c>
      <c r="AS105" s="104">
        <f t="shared" ca="1" si="116"/>
        <v>0</v>
      </c>
      <c r="AT105" s="104">
        <f t="shared" ca="1" si="117"/>
        <v>0</v>
      </c>
      <c r="AU105" s="104">
        <f t="shared" ca="1" si="118"/>
        <v>0</v>
      </c>
      <c r="BF105" s="49">
        <f t="shared" ca="1" si="119"/>
        <v>0</v>
      </c>
      <c r="BG105" s="49">
        <f t="shared" ca="1" si="120"/>
        <v>0</v>
      </c>
      <c r="BH105" s="54" t="e">
        <f t="shared" ca="1" si="121"/>
        <v>#DIV/0!</v>
      </c>
      <c r="BI105" s="112" t="e">
        <f t="shared" ca="1" si="122"/>
        <v>#DIV/0!</v>
      </c>
      <c r="BK105" s="55" t="e">
        <f t="shared" ca="1" si="123"/>
        <v>#DIV/0!</v>
      </c>
      <c r="BL105" s="55" t="e">
        <f t="shared" ca="1" si="124"/>
        <v>#DIV/0!</v>
      </c>
      <c r="BM105" s="55" t="e">
        <f t="shared" ca="1" si="125"/>
        <v>#DIV/0!</v>
      </c>
      <c r="BN105" s="53">
        <f t="shared" ca="1" si="126"/>
        <v>0</v>
      </c>
      <c r="BO105" s="112" t="e">
        <f t="shared" ca="1" si="127"/>
        <v>#DIV/0!</v>
      </c>
      <c r="BR105" s="53" t="e">
        <f t="shared" ca="1" si="128"/>
        <v>#DIV/0!</v>
      </c>
      <c r="BS105" s="53">
        <f t="shared" ca="1" si="129"/>
        <v>0</v>
      </c>
      <c r="BT105" s="53">
        <f t="shared" ca="1" si="130"/>
        <v>0</v>
      </c>
      <c r="BU105" s="56" t="e">
        <f t="shared" ca="1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ca="1" si="134"/>
        <v>0</v>
      </c>
      <c r="CW105" s="53">
        <f t="shared" ca="1" si="135"/>
        <v>0</v>
      </c>
      <c r="CX105" s="58" t="e">
        <f t="shared" ca="1" si="136"/>
        <v>#DIV/0!</v>
      </c>
      <c r="CY105" s="53">
        <f t="shared" ca="1" si="137"/>
        <v>0</v>
      </c>
      <c r="CZ105" s="53">
        <f t="shared" ca="1" si="138"/>
        <v>0</v>
      </c>
      <c r="DA105" s="58" t="e">
        <f t="shared" ca="1" si="139"/>
        <v>#DIV/0!</v>
      </c>
      <c r="DB105" s="48" t="e">
        <f t="shared" ca="1" si="140"/>
        <v>#DIV/0!</v>
      </c>
      <c r="DC105" s="48" t="e">
        <f t="shared" ca="1" si="141"/>
        <v>#DIV/0!</v>
      </c>
      <c r="DD105" s="48" t="e">
        <f t="shared" ca="1" si="142"/>
        <v>#DIV/0!</v>
      </c>
      <c r="DE105" s="48" t="e">
        <f t="shared" ca="1" si="143"/>
        <v>#DIV/0!</v>
      </c>
      <c r="DF105" s="48" t="e">
        <f t="shared" ca="1" si="144"/>
        <v>#DIV/0!</v>
      </c>
      <c r="DG105" s="48" t="e">
        <f t="shared" ca="1" si="145"/>
        <v>#DIV/0!</v>
      </c>
      <c r="DH105" s="48">
        <f ca="1">SUMIF(FCR!$BZ$4:$DB$500,DG105,FCR!$DE$4:$EG$500)</f>
        <v>0</v>
      </c>
      <c r="DI105" s="48" t="e">
        <f t="shared" ca="1" si="146"/>
        <v>#DIV/0!</v>
      </c>
      <c r="DJ105" s="48">
        <f ca="1">SUMIF(FCR!$BZ$4:$DB$142,DI105,FCR!$DE$4:$EG$142)</f>
        <v>0</v>
      </c>
      <c r="DK105" s="48" t="e">
        <f t="shared" ca="1" si="147"/>
        <v>#DIV/0!</v>
      </c>
      <c r="DL105" s="55" t="e">
        <f t="shared" ca="1" si="148"/>
        <v>#DIV/0!</v>
      </c>
      <c r="DM105" s="48" t="e">
        <f t="shared" ca="1" si="149"/>
        <v>#DIV/0!</v>
      </c>
      <c r="DN105" s="48">
        <f ca="1">SUMIF(FCR!$BZ$4:$DB$142,DM105,FCR!$DE$4:$EG$142)</f>
        <v>0</v>
      </c>
      <c r="DO105" s="53" t="e">
        <f t="shared" ca="1" si="150"/>
        <v>#DIV/0!</v>
      </c>
      <c r="DP105" s="55" t="e">
        <f t="shared" ca="1" si="151"/>
        <v>#DIV/0!</v>
      </c>
      <c r="DQ105" s="55" t="e">
        <f t="shared" ca="1" si="152"/>
        <v>#DIV/0!</v>
      </c>
      <c r="DR105" s="55"/>
      <c r="DS105" s="55" t="e">
        <f t="shared" ca="1" si="153"/>
        <v>#DIV/0!</v>
      </c>
      <c r="DT105" s="55" t="e">
        <f t="shared" ca="1" si="154"/>
        <v>#DIV/0!</v>
      </c>
      <c r="DU105" s="53">
        <f t="shared" ca="1" si="155"/>
        <v>0</v>
      </c>
      <c r="DV105" s="59" t="e">
        <f t="shared" ca="1" si="156"/>
        <v>#DIV/0!</v>
      </c>
    </row>
    <row r="106" spans="1:12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AD106" s="49" t="s">
        <v>337</v>
      </c>
      <c r="AE106" s="49">
        <f t="shared" ca="1" si="102"/>
        <v>0</v>
      </c>
      <c r="AF106" s="49">
        <f t="shared" ca="1" si="103"/>
        <v>0</v>
      </c>
      <c r="AG106" s="114">
        <f t="shared" ca="1" si="104"/>
        <v>0</v>
      </c>
      <c r="AH106" s="104">
        <f t="shared" ca="1" si="105"/>
        <v>0</v>
      </c>
      <c r="AI106" s="104">
        <f t="shared" ca="1" si="106"/>
        <v>0</v>
      </c>
      <c r="AJ106" s="104">
        <f t="shared" ca="1" si="107"/>
        <v>0</v>
      </c>
      <c r="AK106" s="104">
        <f t="shared" ca="1" si="108"/>
        <v>0</v>
      </c>
      <c r="AL106" s="104">
        <f t="shared" ca="1" si="109"/>
        <v>0</v>
      </c>
      <c r="AM106" s="104">
        <f t="shared" ca="1" si="110"/>
        <v>0</v>
      </c>
      <c r="AN106" s="104">
        <f t="shared" ca="1" si="111"/>
        <v>0</v>
      </c>
      <c r="AO106" s="104">
        <f t="shared" ca="1" si="112"/>
        <v>0</v>
      </c>
      <c r="AP106" s="104">
        <f t="shared" ca="1" si="113"/>
        <v>0</v>
      </c>
      <c r="AQ106" s="49">
        <f t="shared" ca="1" si="114"/>
        <v>0</v>
      </c>
      <c r="AR106" s="104">
        <f t="shared" ca="1" si="115"/>
        <v>0</v>
      </c>
      <c r="AS106" s="104">
        <f t="shared" ca="1" si="116"/>
        <v>0</v>
      </c>
      <c r="AT106" s="104">
        <f t="shared" ca="1" si="117"/>
        <v>0</v>
      </c>
      <c r="AU106" s="104">
        <f t="shared" ca="1" si="118"/>
        <v>0</v>
      </c>
      <c r="BF106" s="49">
        <f t="shared" ca="1" si="119"/>
        <v>0</v>
      </c>
      <c r="BG106" s="49">
        <f t="shared" ca="1" si="120"/>
        <v>0</v>
      </c>
      <c r="BH106" s="54" t="e">
        <f t="shared" ca="1" si="121"/>
        <v>#DIV/0!</v>
      </c>
      <c r="BI106" s="112" t="e">
        <f t="shared" ca="1" si="122"/>
        <v>#DIV/0!</v>
      </c>
      <c r="BK106" s="55" t="e">
        <f t="shared" ca="1" si="123"/>
        <v>#DIV/0!</v>
      </c>
      <c r="BL106" s="55" t="e">
        <f t="shared" ca="1" si="124"/>
        <v>#DIV/0!</v>
      </c>
      <c r="BM106" s="55" t="e">
        <f t="shared" ca="1" si="125"/>
        <v>#DIV/0!</v>
      </c>
      <c r="BN106" s="53">
        <f t="shared" ca="1" si="126"/>
        <v>0</v>
      </c>
      <c r="BO106" s="112" t="e">
        <f t="shared" ca="1" si="127"/>
        <v>#DIV/0!</v>
      </c>
      <c r="BR106" s="53" t="e">
        <f t="shared" ca="1" si="128"/>
        <v>#DIV/0!</v>
      </c>
      <c r="BS106" s="53">
        <f t="shared" ca="1" si="129"/>
        <v>0</v>
      </c>
      <c r="BT106" s="53">
        <f t="shared" ca="1" si="130"/>
        <v>0</v>
      </c>
      <c r="BU106" s="56" t="e">
        <f t="shared" ca="1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ca="1" si="134"/>
        <v>0</v>
      </c>
      <c r="CW106" s="53">
        <f t="shared" ca="1" si="135"/>
        <v>0</v>
      </c>
      <c r="CX106" s="58" t="e">
        <f t="shared" ca="1" si="136"/>
        <v>#DIV/0!</v>
      </c>
      <c r="CY106" s="53">
        <f t="shared" ca="1" si="137"/>
        <v>0</v>
      </c>
      <c r="CZ106" s="53">
        <f t="shared" ca="1" si="138"/>
        <v>0</v>
      </c>
      <c r="DA106" s="58" t="e">
        <f t="shared" ca="1" si="139"/>
        <v>#DIV/0!</v>
      </c>
      <c r="DB106" s="48" t="e">
        <f t="shared" ca="1" si="140"/>
        <v>#DIV/0!</v>
      </c>
      <c r="DC106" s="48" t="e">
        <f t="shared" ca="1" si="141"/>
        <v>#DIV/0!</v>
      </c>
      <c r="DD106" s="48" t="e">
        <f t="shared" ca="1" si="142"/>
        <v>#DIV/0!</v>
      </c>
      <c r="DE106" s="48" t="e">
        <f t="shared" ca="1" si="143"/>
        <v>#DIV/0!</v>
      </c>
      <c r="DF106" s="48" t="e">
        <f t="shared" ca="1" si="144"/>
        <v>#DIV/0!</v>
      </c>
      <c r="DG106" s="48" t="e">
        <f t="shared" ca="1" si="145"/>
        <v>#DIV/0!</v>
      </c>
      <c r="DH106" s="48">
        <f ca="1">SUMIF(FCR!$BZ$4:$DB$500,DG106,FCR!$DE$4:$EG$500)</f>
        <v>0</v>
      </c>
      <c r="DI106" s="48" t="e">
        <f t="shared" ca="1" si="146"/>
        <v>#DIV/0!</v>
      </c>
      <c r="DJ106" s="48">
        <f ca="1">SUMIF(FCR!$BZ$4:$DB$142,DI106,FCR!$DE$4:$EG$142)</f>
        <v>0</v>
      </c>
      <c r="DK106" s="48" t="e">
        <f t="shared" ca="1" si="147"/>
        <v>#DIV/0!</v>
      </c>
      <c r="DL106" s="55" t="e">
        <f t="shared" ca="1" si="148"/>
        <v>#DIV/0!</v>
      </c>
      <c r="DM106" s="48" t="e">
        <f t="shared" ca="1" si="149"/>
        <v>#DIV/0!</v>
      </c>
      <c r="DN106" s="48">
        <f ca="1">SUMIF(FCR!$BZ$4:$DB$142,DM106,FCR!$DE$4:$EG$142)</f>
        <v>0</v>
      </c>
      <c r="DO106" s="53" t="e">
        <f t="shared" ca="1" si="150"/>
        <v>#DIV/0!</v>
      </c>
      <c r="DP106" s="55" t="e">
        <f t="shared" ca="1" si="151"/>
        <v>#DIV/0!</v>
      </c>
      <c r="DQ106" s="55" t="e">
        <f t="shared" ca="1" si="152"/>
        <v>#DIV/0!</v>
      </c>
      <c r="DR106" s="55"/>
      <c r="DS106" s="55" t="e">
        <f t="shared" ca="1" si="153"/>
        <v>#DIV/0!</v>
      </c>
      <c r="DT106" s="55" t="e">
        <f t="shared" ca="1" si="154"/>
        <v>#DIV/0!</v>
      </c>
      <c r="DU106" s="53">
        <f t="shared" ca="1" si="155"/>
        <v>0</v>
      </c>
      <c r="DV106" s="59" t="e">
        <f t="shared" ca="1" si="156"/>
        <v>#DIV/0!</v>
      </c>
    </row>
    <row r="107" spans="1:12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AD107" s="49" t="s">
        <v>337</v>
      </c>
      <c r="AE107" s="49">
        <f t="shared" ca="1" si="102"/>
        <v>0</v>
      </c>
      <c r="AF107" s="49">
        <f t="shared" ca="1" si="103"/>
        <v>0</v>
      </c>
      <c r="AG107" s="114">
        <f t="shared" ca="1" si="104"/>
        <v>0</v>
      </c>
      <c r="AH107" s="104">
        <f t="shared" ca="1" si="105"/>
        <v>0</v>
      </c>
      <c r="AI107" s="104">
        <f t="shared" ca="1" si="106"/>
        <v>0</v>
      </c>
      <c r="AJ107" s="104">
        <f t="shared" ca="1" si="107"/>
        <v>0</v>
      </c>
      <c r="AK107" s="104">
        <f t="shared" ca="1" si="108"/>
        <v>0</v>
      </c>
      <c r="AL107" s="104">
        <f t="shared" ca="1" si="109"/>
        <v>0</v>
      </c>
      <c r="AM107" s="104">
        <f t="shared" ca="1" si="110"/>
        <v>0</v>
      </c>
      <c r="AN107" s="104">
        <f t="shared" ca="1" si="111"/>
        <v>0</v>
      </c>
      <c r="AO107" s="104">
        <f t="shared" ca="1" si="112"/>
        <v>0</v>
      </c>
      <c r="AP107" s="104">
        <f t="shared" ca="1" si="113"/>
        <v>0</v>
      </c>
      <c r="AQ107" s="49">
        <f t="shared" ca="1" si="114"/>
        <v>0</v>
      </c>
      <c r="AR107" s="104">
        <f t="shared" ca="1" si="115"/>
        <v>0</v>
      </c>
      <c r="AS107" s="104">
        <f t="shared" ca="1" si="116"/>
        <v>0</v>
      </c>
      <c r="AT107" s="104">
        <f t="shared" ca="1" si="117"/>
        <v>0</v>
      </c>
      <c r="AU107" s="104">
        <f t="shared" ca="1" si="118"/>
        <v>0</v>
      </c>
      <c r="BF107" s="49">
        <f t="shared" ca="1" si="119"/>
        <v>0</v>
      </c>
      <c r="BG107" s="49">
        <f t="shared" ca="1" si="120"/>
        <v>0</v>
      </c>
      <c r="BH107" s="54" t="e">
        <f t="shared" ca="1" si="121"/>
        <v>#DIV/0!</v>
      </c>
      <c r="BI107" s="112" t="e">
        <f t="shared" ca="1" si="122"/>
        <v>#DIV/0!</v>
      </c>
      <c r="BK107" s="55" t="e">
        <f t="shared" ca="1" si="123"/>
        <v>#DIV/0!</v>
      </c>
      <c r="BL107" s="55" t="e">
        <f t="shared" ca="1" si="124"/>
        <v>#DIV/0!</v>
      </c>
      <c r="BM107" s="55" t="e">
        <f t="shared" ca="1" si="125"/>
        <v>#DIV/0!</v>
      </c>
      <c r="BN107" s="53">
        <f t="shared" ca="1" si="126"/>
        <v>0</v>
      </c>
      <c r="BO107" s="112" t="e">
        <f t="shared" ca="1" si="127"/>
        <v>#DIV/0!</v>
      </c>
      <c r="BR107" s="53" t="e">
        <f t="shared" ca="1" si="128"/>
        <v>#DIV/0!</v>
      </c>
      <c r="BS107" s="53">
        <f t="shared" ca="1" si="129"/>
        <v>0</v>
      </c>
      <c r="BT107" s="53">
        <f t="shared" ca="1" si="130"/>
        <v>0</v>
      </c>
      <c r="BU107" s="56" t="e">
        <f t="shared" ca="1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ca="1" si="134"/>
        <v>0</v>
      </c>
      <c r="CW107" s="53">
        <f t="shared" ca="1" si="135"/>
        <v>0</v>
      </c>
      <c r="CX107" s="58" t="e">
        <f t="shared" ca="1" si="136"/>
        <v>#DIV/0!</v>
      </c>
      <c r="CY107" s="53">
        <f t="shared" ca="1" si="137"/>
        <v>0</v>
      </c>
      <c r="CZ107" s="53">
        <f t="shared" ca="1" si="138"/>
        <v>0</v>
      </c>
      <c r="DA107" s="58" t="e">
        <f t="shared" ca="1" si="139"/>
        <v>#DIV/0!</v>
      </c>
      <c r="DB107" s="48" t="e">
        <f t="shared" ca="1" si="140"/>
        <v>#DIV/0!</v>
      </c>
      <c r="DC107" s="48" t="e">
        <f t="shared" ca="1" si="141"/>
        <v>#DIV/0!</v>
      </c>
      <c r="DD107" s="48" t="e">
        <f t="shared" ca="1" si="142"/>
        <v>#DIV/0!</v>
      </c>
      <c r="DE107" s="48" t="e">
        <f t="shared" ca="1" si="143"/>
        <v>#DIV/0!</v>
      </c>
      <c r="DF107" s="48" t="e">
        <f t="shared" ca="1" si="144"/>
        <v>#DIV/0!</v>
      </c>
      <c r="DG107" s="48" t="e">
        <f t="shared" ca="1" si="145"/>
        <v>#DIV/0!</v>
      </c>
      <c r="DH107" s="48">
        <f ca="1">SUMIF(FCR!$BZ$4:$DB$500,DG107,FCR!$DE$4:$EG$500)</f>
        <v>0</v>
      </c>
      <c r="DI107" s="48" t="e">
        <f t="shared" ca="1" si="146"/>
        <v>#DIV/0!</v>
      </c>
      <c r="DJ107" s="48">
        <f ca="1">SUMIF(FCR!$BZ$4:$DB$142,DI107,FCR!$DE$4:$EG$142)</f>
        <v>0</v>
      </c>
      <c r="DK107" s="48" t="e">
        <f t="shared" ca="1" si="147"/>
        <v>#DIV/0!</v>
      </c>
      <c r="DL107" s="55" t="e">
        <f t="shared" ca="1" si="148"/>
        <v>#DIV/0!</v>
      </c>
      <c r="DM107" s="48" t="e">
        <f t="shared" ca="1" si="149"/>
        <v>#DIV/0!</v>
      </c>
      <c r="DN107" s="48">
        <f ca="1">SUMIF(FCR!$BZ$4:$DB$142,DM107,FCR!$DE$4:$EG$142)</f>
        <v>0</v>
      </c>
      <c r="DO107" s="53" t="e">
        <f t="shared" ca="1" si="150"/>
        <v>#DIV/0!</v>
      </c>
      <c r="DP107" s="55" t="e">
        <f t="shared" ca="1" si="151"/>
        <v>#DIV/0!</v>
      </c>
      <c r="DQ107" s="55" t="e">
        <f t="shared" ca="1" si="152"/>
        <v>#DIV/0!</v>
      </c>
      <c r="DR107" s="55"/>
      <c r="DS107" s="55" t="e">
        <f t="shared" ca="1" si="153"/>
        <v>#DIV/0!</v>
      </c>
      <c r="DT107" s="55" t="e">
        <f t="shared" ca="1" si="154"/>
        <v>#DIV/0!</v>
      </c>
      <c r="DU107" s="53">
        <f t="shared" ca="1" si="155"/>
        <v>0</v>
      </c>
      <c r="DV107" s="59" t="e">
        <f t="shared" ca="1" si="156"/>
        <v>#DIV/0!</v>
      </c>
    </row>
    <row r="108" spans="1:12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AD108" s="49" t="s">
        <v>337</v>
      </c>
      <c r="AE108" s="49">
        <f t="shared" ca="1" si="102"/>
        <v>0</v>
      </c>
      <c r="AF108" s="49">
        <f t="shared" ca="1" si="103"/>
        <v>0</v>
      </c>
      <c r="AG108" s="114">
        <f t="shared" ca="1" si="104"/>
        <v>0</v>
      </c>
      <c r="AH108" s="104">
        <f t="shared" ca="1" si="105"/>
        <v>0</v>
      </c>
      <c r="AI108" s="104">
        <f t="shared" ca="1" si="106"/>
        <v>0</v>
      </c>
      <c r="AJ108" s="104">
        <f t="shared" ca="1" si="107"/>
        <v>0</v>
      </c>
      <c r="AK108" s="104">
        <f t="shared" ca="1" si="108"/>
        <v>0</v>
      </c>
      <c r="AL108" s="104">
        <f t="shared" ca="1" si="109"/>
        <v>0</v>
      </c>
      <c r="AM108" s="104">
        <f t="shared" ca="1" si="110"/>
        <v>0</v>
      </c>
      <c r="AN108" s="104">
        <f t="shared" ca="1" si="111"/>
        <v>0</v>
      </c>
      <c r="AO108" s="104">
        <f t="shared" ca="1" si="112"/>
        <v>0</v>
      </c>
      <c r="AP108" s="104">
        <f t="shared" ca="1" si="113"/>
        <v>0</v>
      </c>
      <c r="AQ108" s="49">
        <f t="shared" ca="1" si="114"/>
        <v>0</v>
      </c>
      <c r="AR108" s="104">
        <f t="shared" ca="1" si="115"/>
        <v>0</v>
      </c>
      <c r="AS108" s="104">
        <f t="shared" ca="1" si="116"/>
        <v>0</v>
      </c>
      <c r="AT108" s="104">
        <f t="shared" ca="1" si="117"/>
        <v>0</v>
      </c>
      <c r="AU108" s="104">
        <f t="shared" ca="1" si="118"/>
        <v>0</v>
      </c>
      <c r="BF108" s="49">
        <f t="shared" ca="1" si="119"/>
        <v>0</v>
      </c>
      <c r="BG108" s="49">
        <f t="shared" ca="1" si="120"/>
        <v>0</v>
      </c>
      <c r="BH108" s="54" t="e">
        <f t="shared" ca="1" si="121"/>
        <v>#DIV/0!</v>
      </c>
      <c r="BI108" s="112" t="e">
        <f t="shared" ca="1" si="122"/>
        <v>#DIV/0!</v>
      </c>
      <c r="BK108" s="55" t="e">
        <f t="shared" ca="1" si="123"/>
        <v>#DIV/0!</v>
      </c>
      <c r="BL108" s="55" t="e">
        <f t="shared" ca="1" si="124"/>
        <v>#DIV/0!</v>
      </c>
      <c r="BM108" s="55" t="e">
        <f t="shared" ca="1" si="125"/>
        <v>#DIV/0!</v>
      </c>
      <c r="BN108" s="53">
        <f t="shared" ca="1" si="126"/>
        <v>0</v>
      </c>
      <c r="BO108" s="112" t="e">
        <f t="shared" ca="1" si="127"/>
        <v>#DIV/0!</v>
      </c>
      <c r="BR108" s="53" t="e">
        <f t="shared" ca="1" si="128"/>
        <v>#DIV/0!</v>
      </c>
      <c r="BS108" s="53">
        <f t="shared" ca="1" si="129"/>
        <v>0</v>
      </c>
      <c r="BT108" s="53">
        <f t="shared" ca="1" si="130"/>
        <v>0</v>
      </c>
      <c r="BU108" s="56" t="e">
        <f t="shared" ca="1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ca="1" si="134"/>
        <v>0</v>
      </c>
      <c r="CW108" s="53">
        <f t="shared" ca="1" si="135"/>
        <v>0</v>
      </c>
      <c r="CX108" s="58" t="e">
        <f t="shared" ca="1" si="136"/>
        <v>#DIV/0!</v>
      </c>
      <c r="CY108" s="53">
        <f t="shared" ca="1" si="137"/>
        <v>0</v>
      </c>
      <c r="CZ108" s="53">
        <f t="shared" ca="1" si="138"/>
        <v>0</v>
      </c>
      <c r="DA108" s="58" t="e">
        <f t="shared" ca="1" si="139"/>
        <v>#DIV/0!</v>
      </c>
      <c r="DB108" s="48" t="e">
        <f t="shared" ca="1" si="140"/>
        <v>#DIV/0!</v>
      </c>
      <c r="DC108" s="48" t="e">
        <f t="shared" ca="1" si="141"/>
        <v>#DIV/0!</v>
      </c>
      <c r="DD108" s="48" t="e">
        <f t="shared" ca="1" si="142"/>
        <v>#DIV/0!</v>
      </c>
      <c r="DE108" s="48" t="e">
        <f t="shared" ca="1" si="143"/>
        <v>#DIV/0!</v>
      </c>
      <c r="DF108" s="48" t="e">
        <f t="shared" ca="1" si="144"/>
        <v>#DIV/0!</v>
      </c>
      <c r="DG108" s="48" t="e">
        <f t="shared" ca="1" si="145"/>
        <v>#DIV/0!</v>
      </c>
      <c r="DH108" s="48">
        <f ca="1">SUMIF(FCR!$BZ$4:$DB$500,DG108,FCR!$DE$4:$EG$500)</f>
        <v>0</v>
      </c>
      <c r="DI108" s="48" t="e">
        <f t="shared" ca="1" si="146"/>
        <v>#DIV/0!</v>
      </c>
      <c r="DJ108" s="48">
        <f ca="1">SUMIF(FCR!$BZ$4:$DB$142,DI108,FCR!$DE$4:$EG$142)</f>
        <v>0</v>
      </c>
      <c r="DK108" s="48" t="e">
        <f t="shared" ca="1" si="147"/>
        <v>#DIV/0!</v>
      </c>
      <c r="DL108" s="55" t="e">
        <f t="shared" ca="1" si="148"/>
        <v>#DIV/0!</v>
      </c>
      <c r="DM108" s="48" t="e">
        <f t="shared" ca="1" si="149"/>
        <v>#DIV/0!</v>
      </c>
      <c r="DN108" s="48">
        <f ca="1">SUMIF(FCR!$BZ$4:$DB$142,DM108,FCR!$DE$4:$EG$142)</f>
        <v>0</v>
      </c>
      <c r="DO108" s="53" t="e">
        <f t="shared" ca="1" si="150"/>
        <v>#DIV/0!</v>
      </c>
      <c r="DP108" s="55" t="e">
        <f t="shared" ca="1" si="151"/>
        <v>#DIV/0!</v>
      </c>
      <c r="DQ108" s="55" t="e">
        <f t="shared" ca="1" si="152"/>
        <v>#DIV/0!</v>
      </c>
      <c r="DR108" s="55"/>
      <c r="DS108" s="55" t="e">
        <f t="shared" ca="1" si="153"/>
        <v>#DIV/0!</v>
      </c>
      <c r="DT108" s="55" t="e">
        <f t="shared" ca="1" si="154"/>
        <v>#DIV/0!</v>
      </c>
      <c r="DU108" s="53">
        <f t="shared" ca="1" si="155"/>
        <v>0</v>
      </c>
      <c r="DV108" s="59" t="e">
        <f t="shared" ca="1" si="156"/>
        <v>#DIV/0!</v>
      </c>
    </row>
    <row r="109" spans="1:12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AD109" s="49" t="s">
        <v>337</v>
      </c>
      <c r="AE109" s="49">
        <f t="shared" ca="1" si="102"/>
        <v>0</v>
      </c>
      <c r="AF109" s="49">
        <f t="shared" ca="1" si="103"/>
        <v>0</v>
      </c>
      <c r="AG109" s="114">
        <f t="shared" ca="1" si="104"/>
        <v>0</v>
      </c>
      <c r="AH109" s="104">
        <f t="shared" ca="1" si="105"/>
        <v>0</v>
      </c>
      <c r="AI109" s="104">
        <f t="shared" ca="1" si="106"/>
        <v>0</v>
      </c>
      <c r="AJ109" s="104">
        <f t="shared" ca="1" si="107"/>
        <v>0</v>
      </c>
      <c r="AK109" s="104">
        <f t="shared" ca="1" si="108"/>
        <v>0</v>
      </c>
      <c r="AL109" s="104">
        <f t="shared" ca="1" si="109"/>
        <v>0</v>
      </c>
      <c r="AM109" s="104">
        <f t="shared" ca="1" si="110"/>
        <v>0</v>
      </c>
      <c r="AN109" s="104">
        <f t="shared" ca="1" si="111"/>
        <v>0</v>
      </c>
      <c r="AO109" s="104">
        <f t="shared" ca="1" si="112"/>
        <v>0</v>
      </c>
      <c r="AP109" s="104">
        <f t="shared" ca="1" si="113"/>
        <v>0</v>
      </c>
      <c r="AQ109" s="49">
        <f t="shared" ca="1" si="114"/>
        <v>0</v>
      </c>
      <c r="AR109" s="104">
        <f t="shared" ca="1" si="115"/>
        <v>0</v>
      </c>
      <c r="AS109" s="104">
        <f t="shared" ca="1" si="116"/>
        <v>0</v>
      </c>
      <c r="AT109" s="104">
        <f t="shared" ca="1" si="117"/>
        <v>0</v>
      </c>
      <c r="AU109" s="104">
        <f t="shared" ca="1" si="118"/>
        <v>0</v>
      </c>
      <c r="BF109" s="49">
        <f t="shared" ca="1" si="119"/>
        <v>0</v>
      </c>
      <c r="BG109" s="49">
        <f t="shared" ca="1" si="120"/>
        <v>0</v>
      </c>
      <c r="BH109" s="54" t="e">
        <f t="shared" ca="1" si="121"/>
        <v>#DIV/0!</v>
      </c>
      <c r="BI109" s="112" t="e">
        <f t="shared" ca="1" si="122"/>
        <v>#DIV/0!</v>
      </c>
      <c r="BK109" s="55" t="e">
        <f t="shared" ca="1" si="123"/>
        <v>#DIV/0!</v>
      </c>
      <c r="BL109" s="55" t="e">
        <f t="shared" ca="1" si="124"/>
        <v>#DIV/0!</v>
      </c>
      <c r="BM109" s="55" t="e">
        <f t="shared" ca="1" si="125"/>
        <v>#DIV/0!</v>
      </c>
      <c r="BN109" s="53">
        <f t="shared" ca="1" si="126"/>
        <v>0</v>
      </c>
      <c r="BO109" s="112" t="e">
        <f t="shared" ca="1" si="127"/>
        <v>#DIV/0!</v>
      </c>
      <c r="BR109" s="53" t="e">
        <f t="shared" ca="1" si="128"/>
        <v>#DIV/0!</v>
      </c>
      <c r="BS109" s="53">
        <f t="shared" ca="1" si="129"/>
        <v>0</v>
      </c>
      <c r="BT109" s="53">
        <f t="shared" ca="1" si="130"/>
        <v>0</v>
      </c>
      <c r="BU109" s="56" t="e">
        <f t="shared" ca="1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ca="1" si="134"/>
        <v>0</v>
      </c>
      <c r="CW109" s="53">
        <f t="shared" ca="1" si="135"/>
        <v>0</v>
      </c>
      <c r="CX109" s="58" t="e">
        <f t="shared" ca="1" si="136"/>
        <v>#DIV/0!</v>
      </c>
      <c r="CY109" s="53">
        <f t="shared" ca="1" si="137"/>
        <v>0</v>
      </c>
      <c r="CZ109" s="53">
        <f t="shared" ca="1" si="138"/>
        <v>0</v>
      </c>
      <c r="DA109" s="58" t="e">
        <f t="shared" ca="1" si="139"/>
        <v>#DIV/0!</v>
      </c>
      <c r="DB109" s="48" t="e">
        <f t="shared" ca="1" si="140"/>
        <v>#DIV/0!</v>
      </c>
      <c r="DC109" s="48" t="e">
        <f t="shared" ca="1" si="141"/>
        <v>#DIV/0!</v>
      </c>
      <c r="DD109" s="48" t="e">
        <f t="shared" ca="1" si="142"/>
        <v>#DIV/0!</v>
      </c>
      <c r="DE109" s="48" t="e">
        <f t="shared" ca="1" si="143"/>
        <v>#DIV/0!</v>
      </c>
      <c r="DF109" s="48" t="e">
        <f t="shared" ca="1" si="144"/>
        <v>#DIV/0!</v>
      </c>
      <c r="DG109" s="48" t="e">
        <f t="shared" ca="1" si="145"/>
        <v>#DIV/0!</v>
      </c>
      <c r="DH109" s="48">
        <f ca="1">SUMIF(FCR!$BZ$4:$DB$500,DG109,FCR!$DE$4:$EG$500)</f>
        <v>0</v>
      </c>
      <c r="DI109" s="48" t="e">
        <f t="shared" ca="1" si="146"/>
        <v>#DIV/0!</v>
      </c>
      <c r="DJ109" s="48">
        <f ca="1">SUMIF(FCR!$BZ$4:$DB$142,DI109,FCR!$DE$4:$EG$142)</f>
        <v>0</v>
      </c>
      <c r="DK109" s="48" t="e">
        <f t="shared" ca="1" si="147"/>
        <v>#DIV/0!</v>
      </c>
      <c r="DL109" s="55" t="e">
        <f t="shared" ca="1" si="148"/>
        <v>#DIV/0!</v>
      </c>
      <c r="DM109" s="48" t="e">
        <f t="shared" ca="1" si="149"/>
        <v>#DIV/0!</v>
      </c>
      <c r="DN109" s="48">
        <f ca="1">SUMIF(FCR!$BZ$4:$DB$142,DM109,FCR!$DE$4:$EG$142)</f>
        <v>0</v>
      </c>
      <c r="DO109" s="53" t="e">
        <f t="shared" ca="1" si="150"/>
        <v>#DIV/0!</v>
      </c>
      <c r="DP109" s="55" t="e">
        <f t="shared" ca="1" si="151"/>
        <v>#DIV/0!</v>
      </c>
      <c r="DQ109" s="55" t="e">
        <f t="shared" ca="1" si="152"/>
        <v>#DIV/0!</v>
      </c>
      <c r="DR109" s="55"/>
      <c r="DS109" s="55" t="e">
        <f t="shared" ca="1" si="153"/>
        <v>#DIV/0!</v>
      </c>
      <c r="DT109" s="55" t="e">
        <f t="shared" ca="1" si="154"/>
        <v>#DIV/0!</v>
      </c>
      <c r="DU109" s="53">
        <f t="shared" ca="1" si="155"/>
        <v>0</v>
      </c>
      <c r="DV109" s="59" t="e">
        <f t="shared" ca="1" si="156"/>
        <v>#DIV/0!</v>
      </c>
    </row>
    <row r="110" spans="1:12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AD110" s="49" t="s">
        <v>337</v>
      </c>
      <c r="AE110" s="49">
        <f t="shared" ca="1" si="102"/>
        <v>0</v>
      </c>
      <c r="AF110" s="49">
        <f t="shared" ca="1" si="103"/>
        <v>0</v>
      </c>
      <c r="AG110" s="114">
        <f t="shared" ca="1" si="104"/>
        <v>0</v>
      </c>
      <c r="AH110" s="104">
        <f t="shared" ca="1" si="105"/>
        <v>0</v>
      </c>
      <c r="AI110" s="104">
        <f t="shared" ca="1" si="106"/>
        <v>0</v>
      </c>
      <c r="AJ110" s="104">
        <f t="shared" ca="1" si="107"/>
        <v>0</v>
      </c>
      <c r="AK110" s="104">
        <f t="shared" ca="1" si="108"/>
        <v>0</v>
      </c>
      <c r="AL110" s="104">
        <f t="shared" ca="1" si="109"/>
        <v>0</v>
      </c>
      <c r="AM110" s="104">
        <f t="shared" ca="1" si="110"/>
        <v>0</v>
      </c>
      <c r="AN110" s="104">
        <f t="shared" ca="1" si="111"/>
        <v>0</v>
      </c>
      <c r="AO110" s="104">
        <f t="shared" ca="1" si="112"/>
        <v>0</v>
      </c>
      <c r="AP110" s="104">
        <f t="shared" ca="1" si="113"/>
        <v>0</v>
      </c>
      <c r="AQ110" s="49">
        <f t="shared" ca="1" si="114"/>
        <v>0</v>
      </c>
      <c r="AR110" s="104">
        <f t="shared" ca="1" si="115"/>
        <v>0</v>
      </c>
      <c r="AS110" s="104">
        <f t="shared" ca="1" si="116"/>
        <v>0</v>
      </c>
      <c r="AT110" s="104">
        <f t="shared" ca="1" si="117"/>
        <v>0</v>
      </c>
      <c r="AU110" s="104">
        <f t="shared" ca="1" si="118"/>
        <v>0</v>
      </c>
      <c r="BF110" s="49">
        <f t="shared" ca="1" si="119"/>
        <v>0</v>
      </c>
      <c r="BG110" s="49">
        <f t="shared" ca="1" si="120"/>
        <v>0</v>
      </c>
      <c r="BH110" s="54" t="e">
        <f t="shared" ca="1" si="121"/>
        <v>#DIV/0!</v>
      </c>
      <c r="BI110" s="112" t="e">
        <f t="shared" ca="1" si="122"/>
        <v>#DIV/0!</v>
      </c>
      <c r="BK110" s="55" t="e">
        <f t="shared" ca="1" si="123"/>
        <v>#DIV/0!</v>
      </c>
      <c r="BL110" s="55" t="e">
        <f t="shared" ca="1" si="124"/>
        <v>#DIV/0!</v>
      </c>
      <c r="BM110" s="55" t="e">
        <f t="shared" ca="1" si="125"/>
        <v>#DIV/0!</v>
      </c>
      <c r="BN110" s="53">
        <f t="shared" ca="1" si="126"/>
        <v>0</v>
      </c>
      <c r="BO110" s="112" t="e">
        <f t="shared" ca="1" si="127"/>
        <v>#DIV/0!</v>
      </c>
      <c r="BR110" s="53" t="e">
        <f t="shared" ca="1" si="128"/>
        <v>#DIV/0!</v>
      </c>
      <c r="BS110" s="53">
        <f t="shared" ca="1" si="129"/>
        <v>0</v>
      </c>
      <c r="BT110" s="53">
        <f t="shared" ca="1" si="130"/>
        <v>0</v>
      </c>
      <c r="BU110" s="56" t="e">
        <f t="shared" ca="1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ca="1" si="134"/>
        <v>0</v>
      </c>
      <c r="CW110" s="53">
        <f t="shared" ca="1" si="135"/>
        <v>0</v>
      </c>
      <c r="CX110" s="58" t="e">
        <f t="shared" ca="1" si="136"/>
        <v>#DIV/0!</v>
      </c>
      <c r="CY110" s="53">
        <f t="shared" ca="1" si="137"/>
        <v>0</v>
      </c>
      <c r="CZ110" s="53">
        <f t="shared" ca="1" si="138"/>
        <v>0</v>
      </c>
      <c r="DA110" s="58" t="e">
        <f t="shared" ca="1" si="139"/>
        <v>#DIV/0!</v>
      </c>
      <c r="DB110" s="48" t="e">
        <f t="shared" ca="1" si="140"/>
        <v>#DIV/0!</v>
      </c>
      <c r="DC110" s="48" t="e">
        <f t="shared" ca="1" si="141"/>
        <v>#DIV/0!</v>
      </c>
      <c r="DD110" s="48" t="e">
        <f t="shared" ca="1" si="142"/>
        <v>#DIV/0!</v>
      </c>
      <c r="DE110" s="48" t="e">
        <f t="shared" ca="1" si="143"/>
        <v>#DIV/0!</v>
      </c>
      <c r="DF110" s="48" t="e">
        <f t="shared" ca="1" si="144"/>
        <v>#DIV/0!</v>
      </c>
      <c r="DG110" s="48" t="e">
        <f t="shared" ca="1" si="145"/>
        <v>#DIV/0!</v>
      </c>
      <c r="DH110" s="48">
        <f ca="1">SUMIF(FCR!$BZ$4:$DB$500,DG110,FCR!$DE$4:$EG$500)</f>
        <v>0</v>
      </c>
      <c r="DI110" s="48" t="e">
        <f t="shared" ca="1" si="146"/>
        <v>#DIV/0!</v>
      </c>
      <c r="DJ110" s="48">
        <f ca="1">SUMIF(FCR!$BZ$4:$DB$142,DI110,FCR!$DE$4:$EG$142)</f>
        <v>0</v>
      </c>
      <c r="DK110" s="48" t="e">
        <f t="shared" ca="1" si="147"/>
        <v>#DIV/0!</v>
      </c>
      <c r="DL110" s="55" t="e">
        <f t="shared" ca="1" si="148"/>
        <v>#DIV/0!</v>
      </c>
      <c r="DM110" s="48" t="e">
        <f t="shared" ca="1" si="149"/>
        <v>#DIV/0!</v>
      </c>
      <c r="DN110" s="48">
        <f ca="1">SUMIF(FCR!$BZ$4:$DB$142,DM110,FCR!$DE$4:$EG$142)</f>
        <v>0</v>
      </c>
      <c r="DO110" s="53" t="e">
        <f t="shared" ca="1" si="150"/>
        <v>#DIV/0!</v>
      </c>
      <c r="DP110" s="55" t="e">
        <f t="shared" ca="1" si="151"/>
        <v>#DIV/0!</v>
      </c>
      <c r="DQ110" s="55" t="e">
        <f t="shared" ca="1" si="152"/>
        <v>#DIV/0!</v>
      </c>
      <c r="DR110" s="55"/>
      <c r="DS110" s="55" t="e">
        <f t="shared" ca="1" si="153"/>
        <v>#DIV/0!</v>
      </c>
      <c r="DT110" s="55" t="e">
        <f t="shared" ca="1" si="154"/>
        <v>#DIV/0!</v>
      </c>
      <c r="DU110" s="53">
        <f t="shared" ca="1" si="155"/>
        <v>0</v>
      </c>
      <c r="DV110" s="59" t="e">
        <f t="shared" ca="1" si="156"/>
        <v>#DIV/0!</v>
      </c>
    </row>
    <row r="111" spans="1:12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AD111" s="49" t="s">
        <v>337</v>
      </c>
      <c r="AE111" s="49">
        <f t="shared" ca="1" si="102"/>
        <v>0</v>
      </c>
      <c r="AF111" s="49">
        <f t="shared" ca="1" si="103"/>
        <v>0</v>
      </c>
      <c r="AG111" s="114">
        <f t="shared" ca="1" si="104"/>
        <v>0</v>
      </c>
      <c r="AH111" s="104">
        <f t="shared" ca="1" si="105"/>
        <v>0</v>
      </c>
      <c r="AI111" s="104">
        <f t="shared" ca="1" si="106"/>
        <v>0</v>
      </c>
      <c r="AJ111" s="104">
        <f t="shared" ca="1" si="107"/>
        <v>0</v>
      </c>
      <c r="AK111" s="104">
        <f t="shared" ca="1" si="108"/>
        <v>0</v>
      </c>
      <c r="AL111" s="104">
        <f t="shared" ca="1" si="109"/>
        <v>0</v>
      </c>
      <c r="AM111" s="104">
        <f t="shared" ca="1" si="110"/>
        <v>0</v>
      </c>
      <c r="AN111" s="104">
        <f t="shared" ca="1" si="111"/>
        <v>0</v>
      </c>
      <c r="AO111" s="104">
        <f t="shared" ca="1" si="112"/>
        <v>0</v>
      </c>
      <c r="AP111" s="104">
        <f t="shared" ca="1" si="113"/>
        <v>0</v>
      </c>
      <c r="AQ111" s="49">
        <f t="shared" ca="1" si="114"/>
        <v>0</v>
      </c>
      <c r="AR111" s="104">
        <f t="shared" ca="1" si="115"/>
        <v>0</v>
      </c>
      <c r="AS111" s="104">
        <f t="shared" ca="1" si="116"/>
        <v>0</v>
      </c>
      <c r="AT111" s="104">
        <f t="shared" ca="1" si="117"/>
        <v>0</v>
      </c>
      <c r="AU111" s="104">
        <f t="shared" ca="1" si="118"/>
        <v>0</v>
      </c>
      <c r="BF111" s="49">
        <f t="shared" ca="1" si="119"/>
        <v>0</v>
      </c>
      <c r="BG111" s="49">
        <f t="shared" ca="1" si="120"/>
        <v>0</v>
      </c>
      <c r="BH111" s="54" t="e">
        <f t="shared" ca="1" si="121"/>
        <v>#DIV/0!</v>
      </c>
      <c r="BI111" s="112" t="e">
        <f t="shared" ca="1" si="122"/>
        <v>#DIV/0!</v>
      </c>
      <c r="BK111" s="55" t="e">
        <f t="shared" ca="1" si="123"/>
        <v>#DIV/0!</v>
      </c>
      <c r="BL111" s="55" t="e">
        <f t="shared" ca="1" si="124"/>
        <v>#DIV/0!</v>
      </c>
      <c r="BM111" s="55" t="e">
        <f t="shared" ca="1" si="125"/>
        <v>#DIV/0!</v>
      </c>
      <c r="BN111" s="53">
        <f t="shared" ca="1" si="126"/>
        <v>0</v>
      </c>
      <c r="BO111" s="112" t="e">
        <f t="shared" ca="1" si="127"/>
        <v>#DIV/0!</v>
      </c>
      <c r="BR111" s="53" t="e">
        <f t="shared" ca="1" si="128"/>
        <v>#DIV/0!</v>
      </c>
      <c r="BS111" s="53">
        <f t="shared" ca="1" si="129"/>
        <v>0</v>
      </c>
      <c r="BT111" s="53">
        <f t="shared" ca="1" si="130"/>
        <v>0</v>
      </c>
      <c r="BU111" s="56" t="e">
        <f t="shared" ca="1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ca="1" si="134"/>
        <v>0</v>
      </c>
      <c r="CW111" s="53">
        <f t="shared" ca="1" si="135"/>
        <v>0</v>
      </c>
      <c r="CX111" s="58" t="e">
        <f t="shared" ca="1" si="136"/>
        <v>#DIV/0!</v>
      </c>
      <c r="CY111" s="53">
        <f t="shared" ca="1" si="137"/>
        <v>0</v>
      </c>
      <c r="CZ111" s="53">
        <f t="shared" ca="1" si="138"/>
        <v>0</v>
      </c>
      <c r="DA111" s="58" t="e">
        <f t="shared" ca="1" si="139"/>
        <v>#DIV/0!</v>
      </c>
      <c r="DB111" s="48" t="e">
        <f t="shared" ca="1" si="140"/>
        <v>#DIV/0!</v>
      </c>
      <c r="DC111" s="48" t="e">
        <f t="shared" ca="1" si="141"/>
        <v>#DIV/0!</v>
      </c>
      <c r="DD111" s="48" t="e">
        <f t="shared" ca="1" si="142"/>
        <v>#DIV/0!</v>
      </c>
      <c r="DE111" s="48" t="e">
        <f t="shared" ca="1" si="143"/>
        <v>#DIV/0!</v>
      </c>
      <c r="DF111" s="48" t="e">
        <f t="shared" ca="1" si="144"/>
        <v>#DIV/0!</v>
      </c>
      <c r="DG111" s="48" t="e">
        <f t="shared" ca="1" si="145"/>
        <v>#DIV/0!</v>
      </c>
      <c r="DH111" s="48">
        <f ca="1">SUMIF(FCR!$BZ$4:$DB$500,DG111,FCR!$DE$4:$EG$500)</f>
        <v>0</v>
      </c>
      <c r="DI111" s="48" t="e">
        <f t="shared" ca="1" si="146"/>
        <v>#DIV/0!</v>
      </c>
      <c r="DJ111" s="48">
        <f ca="1">SUMIF(FCR!$BZ$4:$DB$142,DI111,FCR!$DE$4:$EG$142)</f>
        <v>0</v>
      </c>
      <c r="DK111" s="48" t="e">
        <f t="shared" ca="1" si="147"/>
        <v>#DIV/0!</v>
      </c>
      <c r="DL111" s="55" t="e">
        <f t="shared" ca="1" si="148"/>
        <v>#DIV/0!</v>
      </c>
      <c r="DM111" s="48" t="e">
        <f t="shared" ca="1" si="149"/>
        <v>#DIV/0!</v>
      </c>
      <c r="DN111" s="48">
        <f ca="1">SUMIF(FCR!$BZ$4:$DB$142,DM111,FCR!$DE$4:$EG$142)</f>
        <v>0</v>
      </c>
      <c r="DO111" s="53" t="e">
        <f t="shared" ca="1" si="150"/>
        <v>#DIV/0!</v>
      </c>
      <c r="DP111" s="55" t="e">
        <f t="shared" ca="1" si="151"/>
        <v>#DIV/0!</v>
      </c>
      <c r="DQ111" s="55" t="e">
        <f t="shared" ca="1" si="152"/>
        <v>#DIV/0!</v>
      </c>
      <c r="DR111" s="55"/>
      <c r="DS111" s="55" t="e">
        <f t="shared" ca="1" si="153"/>
        <v>#DIV/0!</v>
      </c>
      <c r="DT111" s="55" t="e">
        <f t="shared" ca="1" si="154"/>
        <v>#DIV/0!</v>
      </c>
      <c r="DU111" s="53">
        <f t="shared" ca="1" si="155"/>
        <v>0</v>
      </c>
      <c r="DV111" s="59" t="e">
        <f t="shared" ca="1" si="156"/>
        <v>#DIV/0!</v>
      </c>
    </row>
    <row r="112" spans="1:12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AD112" s="49" t="s">
        <v>337</v>
      </c>
      <c r="AE112" s="49">
        <f t="shared" ca="1" si="102"/>
        <v>0</v>
      </c>
      <c r="AF112" s="49">
        <f t="shared" ca="1" si="103"/>
        <v>0</v>
      </c>
      <c r="AG112" s="114">
        <f t="shared" ca="1" si="104"/>
        <v>0</v>
      </c>
      <c r="AH112" s="104">
        <f t="shared" ca="1" si="105"/>
        <v>0</v>
      </c>
      <c r="AI112" s="104">
        <f t="shared" ca="1" si="106"/>
        <v>0</v>
      </c>
      <c r="AJ112" s="104">
        <f t="shared" ca="1" si="107"/>
        <v>0</v>
      </c>
      <c r="AK112" s="104">
        <f t="shared" ca="1" si="108"/>
        <v>0</v>
      </c>
      <c r="AL112" s="104">
        <f t="shared" ca="1" si="109"/>
        <v>0</v>
      </c>
      <c r="AM112" s="104">
        <f t="shared" ca="1" si="110"/>
        <v>0</v>
      </c>
      <c r="AN112" s="104">
        <f t="shared" ca="1" si="111"/>
        <v>0</v>
      </c>
      <c r="AO112" s="104">
        <f t="shared" ca="1" si="112"/>
        <v>0</v>
      </c>
      <c r="AP112" s="104">
        <f t="shared" ca="1" si="113"/>
        <v>0</v>
      </c>
      <c r="AQ112" s="49">
        <f t="shared" ca="1" si="114"/>
        <v>0</v>
      </c>
      <c r="AR112" s="104">
        <f t="shared" ca="1" si="115"/>
        <v>0</v>
      </c>
      <c r="AS112" s="104">
        <f t="shared" ca="1" si="116"/>
        <v>0</v>
      </c>
      <c r="AT112" s="104">
        <f t="shared" ca="1" si="117"/>
        <v>0</v>
      </c>
      <c r="AU112" s="104">
        <f t="shared" ca="1" si="118"/>
        <v>0</v>
      </c>
      <c r="BF112" s="49">
        <f t="shared" ca="1" si="119"/>
        <v>0</v>
      </c>
      <c r="BG112" s="49">
        <f t="shared" ca="1" si="120"/>
        <v>0</v>
      </c>
      <c r="BH112" s="54" t="e">
        <f t="shared" ca="1" si="121"/>
        <v>#DIV/0!</v>
      </c>
      <c r="BI112" s="112" t="e">
        <f t="shared" ca="1" si="122"/>
        <v>#DIV/0!</v>
      </c>
      <c r="BK112" s="55" t="e">
        <f t="shared" ca="1" si="123"/>
        <v>#DIV/0!</v>
      </c>
      <c r="BL112" s="55" t="e">
        <f t="shared" ca="1" si="124"/>
        <v>#DIV/0!</v>
      </c>
      <c r="BM112" s="55" t="e">
        <f t="shared" ca="1" si="125"/>
        <v>#DIV/0!</v>
      </c>
      <c r="BN112" s="53">
        <f t="shared" ca="1" si="126"/>
        <v>0</v>
      </c>
      <c r="BO112" s="112" t="e">
        <f t="shared" ca="1" si="127"/>
        <v>#DIV/0!</v>
      </c>
      <c r="BR112" s="53" t="e">
        <f t="shared" ca="1" si="128"/>
        <v>#DIV/0!</v>
      </c>
      <c r="BS112" s="53">
        <f t="shared" ca="1" si="129"/>
        <v>0</v>
      </c>
      <c r="BT112" s="53">
        <f t="shared" ca="1" si="130"/>
        <v>0</v>
      </c>
      <c r="BU112" s="56" t="e">
        <f t="shared" ca="1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ca="1" si="134"/>
        <v>0</v>
      </c>
      <c r="CW112" s="53">
        <f t="shared" ca="1" si="135"/>
        <v>0</v>
      </c>
      <c r="CX112" s="58" t="e">
        <f t="shared" ca="1" si="136"/>
        <v>#DIV/0!</v>
      </c>
      <c r="CY112" s="53">
        <f t="shared" ca="1" si="137"/>
        <v>0</v>
      </c>
      <c r="CZ112" s="53">
        <f t="shared" ca="1" si="138"/>
        <v>0</v>
      </c>
      <c r="DA112" s="58" t="e">
        <f t="shared" ca="1" si="139"/>
        <v>#DIV/0!</v>
      </c>
      <c r="DB112" s="48" t="e">
        <f t="shared" ca="1" si="140"/>
        <v>#DIV/0!</v>
      </c>
      <c r="DC112" s="48" t="e">
        <f t="shared" ca="1" si="141"/>
        <v>#DIV/0!</v>
      </c>
      <c r="DD112" s="48" t="e">
        <f t="shared" ca="1" si="142"/>
        <v>#DIV/0!</v>
      </c>
      <c r="DE112" s="48" t="e">
        <f t="shared" ca="1" si="143"/>
        <v>#DIV/0!</v>
      </c>
      <c r="DF112" s="48" t="e">
        <f t="shared" ca="1" si="144"/>
        <v>#DIV/0!</v>
      </c>
      <c r="DG112" s="48" t="e">
        <f t="shared" ca="1" si="145"/>
        <v>#DIV/0!</v>
      </c>
      <c r="DH112" s="48">
        <f ca="1">SUMIF(FCR!$BZ$4:$DB$500,DG112,FCR!$DE$4:$EG$500)</f>
        <v>0</v>
      </c>
      <c r="DI112" s="48" t="e">
        <f t="shared" ca="1" si="146"/>
        <v>#DIV/0!</v>
      </c>
      <c r="DJ112" s="48">
        <f ca="1">SUMIF(FCR!$BZ$4:$DB$142,DI112,FCR!$DE$4:$EG$142)</f>
        <v>0</v>
      </c>
      <c r="DK112" s="48" t="e">
        <f t="shared" ca="1" si="147"/>
        <v>#DIV/0!</v>
      </c>
      <c r="DL112" s="55" t="e">
        <f t="shared" ca="1" si="148"/>
        <v>#DIV/0!</v>
      </c>
      <c r="DM112" s="48" t="e">
        <f t="shared" ca="1" si="149"/>
        <v>#DIV/0!</v>
      </c>
      <c r="DN112" s="48">
        <f ca="1">SUMIF(FCR!$BZ$4:$DB$142,DM112,FCR!$DE$4:$EG$142)</f>
        <v>0</v>
      </c>
      <c r="DO112" s="53" t="e">
        <f t="shared" ca="1" si="150"/>
        <v>#DIV/0!</v>
      </c>
      <c r="DP112" s="55" t="e">
        <f t="shared" ca="1" si="151"/>
        <v>#DIV/0!</v>
      </c>
      <c r="DQ112" s="55" t="e">
        <f t="shared" ca="1" si="152"/>
        <v>#DIV/0!</v>
      </c>
      <c r="DR112" s="55"/>
      <c r="DS112" s="55" t="e">
        <f t="shared" ca="1" si="153"/>
        <v>#DIV/0!</v>
      </c>
      <c r="DT112" s="55" t="e">
        <f t="shared" ca="1" si="154"/>
        <v>#DIV/0!</v>
      </c>
      <c r="DU112" s="53">
        <f t="shared" ca="1" si="155"/>
        <v>0</v>
      </c>
      <c r="DV112" s="59" t="e">
        <f t="shared" ca="1" si="156"/>
        <v>#DIV/0!</v>
      </c>
    </row>
    <row r="113" spans="1:12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AD113" s="49" t="s">
        <v>337</v>
      </c>
      <c r="AE113" s="49">
        <f t="shared" ca="1" si="102"/>
        <v>0</v>
      </c>
      <c r="AF113" s="49">
        <f t="shared" ca="1" si="103"/>
        <v>0</v>
      </c>
      <c r="AG113" s="114">
        <f t="shared" ca="1" si="104"/>
        <v>0</v>
      </c>
      <c r="AH113" s="104">
        <f t="shared" ca="1" si="105"/>
        <v>0</v>
      </c>
      <c r="AI113" s="104">
        <f t="shared" ca="1" si="106"/>
        <v>0</v>
      </c>
      <c r="AJ113" s="104">
        <f t="shared" ca="1" si="107"/>
        <v>0</v>
      </c>
      <c r="AK113" s="104">
        <f t="shared" ca="1" si="108"/>
        <v>0</v>
      </c>
      <c r="AL113" s="104">
        <f t="shared" ca="1" si="109"/>
        <v>0</v>
      </c>
      <c r="AM113" s="104">
        <f t="shared" ca="1" si="110"/>
        <v>0</v>
      </c>
      <c r="AN113" s="104">
        <f t="shared" ca="1" si="111"/>
        <v>0</v>
      </c>
      <c r="AO113" s="104">
        <f t="shared" ca="1" si="112"/>
        <v>0</v>
      </c>
      <c r="AP113" s="104">
        <f t="shared" ca="1" si="113"/>
        <v>0</v>
      </c>
      <c r="AQ113" s="49">
        <f t="shared" ca="1" si="114"/>
        <v>0</v>
      </c>
      <c r="AR113" s="104">
        <f t="shared" ca="1" si="115"/>
        <v>0</v>
      </c>
      <c r="AS113" s="104">
        <f t="shared" ca="1" si="116"/>
        <v>0</v>
      </c>
      <c r="AT113" s="104">
        <f t="shared" ca="1" si="117"/>
        <v>0</v>
      </c>
      <c r="AU113" s="104">
        <f t="shared" ca="1" si="118"/>
        <v>0</v>
      </c>
      <c r="BF113" s="49">
        <f t="shared" ca="1" si="119"/>
        <v>0</v>
      </c>
      <c r="BG113" s="49">
        <f t="shared" ca="1" si="120"/>
        <v>0</v>
      </c>
      <c r="BH113" s="54" t="e">
        <f t="shared" ca="1" si="121"/>
        <v>#DIV/0!</v>
      </c>
      <c r="BI113" s="112" t="e">
        <f t="shared" ca="1" si="122"/>
        <v>#DIV/0!</v>
      </c>
      <c r="BK113" s="55" t="e">
        <f t="shared" ca="1" si="123"/>
        <v>#DIV/0!</v>
      </c>
      <c r="BL113" s="55" t="e">
        <f t="shared" ca="1" si="124"/>
        <v>#DIV/0!</v>
      </c>
      <c r="BM113" s="55" t="e">
        <f t="shared" ca="1" si="125"/>
        <v>#DIV/0!</v>
      </c>
      <c r="BN113" s="53">
        <f t="shared" ca="1" si="126"/>
        <v>0</v>
      </c>
      <c r="BO113" s="112" t="e">
        <f t="shared" ca="1" si="127"/>
        <v>#DIV/0!</v>
      </c>
      <c r="BR113" s="53" t="e">
        <f t="shared" ca="1" si="128"/>
        <v>#DIV/0!</v>
      </c>
      <c r="BS113" s="53">
        <f t="shared" ca="1" si="129"/>
        <v>0</v>
      </c>
      <c r="BT113" s="53">
        <f t="shared" ca="1" si="130"/>
        <v>0</v>
      </c>
      <c r="BU113" s="56" t="e">
        <f t="shared" ca="1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ca="1" si="134"/>
        <v>0</v>
      </c>
      <c r="CW113" s="53">
        <f t="shared" ca="1" si="135"/>
        <v>0</v>
      </c>
      <c r="CX113" s="58" t="e">
        <f t="shared" ca="1" si="136"/>
        <v>#DIV/0!</v>
      </c>
      <c r="CY113" s="53">
        <f t="shared" ca="1" si="137"/>
        <v>0</v>
      </c>
      <c r="CZ113" s="53">
        <f t="shared" ca="1" si="138"/>
        <v>0</v>
      </c>
      <c r="DA113" s="58" t="e">
        <f t="shared" ca="1" si="139"/>
        <v>#DIV/0!</v>
      </c>
      <c r="DB113" s="48" t="e">
        <f t="shared" ca="1" si="140"/>
        <v>#DIV/0!</v>
      </c>
      <c r="DC113" s="48" t="e">
        <f t="shared" ca="1" si="141"/>
        <v>#DIV/0!</v>
      </c>
      <c r="DD113" s="48" t="e">
        <f t="shared" ca="1" si="142"/>
        <v>#DIV/0!</v>
      </c>
      <c r="DE113" s="48" t="e">
        <f t="shared" ca="1" si="143"/>
        <v>#DIV/0!</v>
      </c>
      <c r="DF113" s="48" t="e">
        <f t="shared" ca="1" si="144"/>
        <v>#DIV/0!</v>
      </c>
      <c r="DG113" s="48" t="e">
        <f t="shared" ca="1" si="145"/>
        <v>#DIV/0!</v>
      </c>
      <c r="DH113" s="48">
        <f ca="1">SUMIF(FCR!$BZ$4:$DB$500,DG113,FCR!$DE$4:$EG$500)</f>
        <v>0</v>
      </c>
      <c r="DI113" s="48" t="e">
        <f t="shared" ca="1" si="146"/>
        <v>#DIV/0!</v>
      </c>
      <c r="DJ113" s="48">
        <f ca="1">SUMIF(FCR!$BZ$4:$DB$142,DI113,FCR!$DE$4:$EG$142)</f>
        <v>0</v>
      </c>
      <c r="DK113" s="48" t="e">
        <f t="shared" ca="1" si="147"/>
        <v>#DIV/0!</v>
      </c>
      <c r="DL113" s="55" t="e">
        <f t="shared" ca="1" si="148"/>
        <v>#DIV/0!</v>
      </c>
      <c r="DM113" s="48" t="e">
        <f t="shared" ca="1" si="149"/>
        <v>#DIV/0!</v>
      </c>
      <c r="DN113" s="48">
        <f ca="1">SUMIF(FCR!$BZ$4:$DB$142,DM113,FCR!$DE$4:$EG$142)</f>
        <v>0</v>
      </c>
      <c r="DO113" s="53" t="e">
        <f t="shared" ca="1" si="150"/>
        <v>#DIV/0!</v>
      </c>
      <c r="DP113" s="55" t="e">
        <f t="shared" ca="1" si="151"/>
        <v>#DIV/0!</v>
      </c>
      <c r="DQ113" s="55" t="e">
        <f t="shared" ca="1" si="152"/>
        <v>#DIV/0!</v>
      </c>
      <c r="DR113" s="55"/>
      <c r="DS113" s="55" t="e">
        <f t="shared" ca="1" si="153"/>
        <v>#DIV/0!</v>
      </c>
      <c r="DT113" s="55" t="e">
        <f t="shared" ca="1" si="154"/>
        <v>#DIV/0!</v>
      </c>
      <c r="DU113" s="53">
        <f t="shared" ca="1" si="155"/>
        <v>0</v>
      </c>
      <c r="DV113" s="59" t="e">
        <f t="shared" ca="1" si="156"/>
        <v>#DIV/0!</v>
      </c>
    </row>
    <row r="114" spans="1:12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AD114" s="49" t="s">
        <v>337</v>
      </c>
      <c r="AE114" s="49">
        <f t="shared" ca="1" si="102"/>
        <v>0</v>
      </c>
      <c r="AF114" s="49">
        <f t="shared" ca="1" si="103"/>
        <v>0</v>
      </c>
      <c r="AG114" s="114">
        <f t="shared" ca="1" si="104"/>
        <v>0</v>
      </c>
      <c r="AH114" s="104">
        <f t="shared" ca="1" si="105"/>
        <v>0</v>
      </c>
      <c r="AI114" s="104">
        <f t="shared" ca="1" si="106"/>
        <v>0</v>
      </c>
      <c r="AJ114" s="104">
        <f t="shared" ca="1" si="107"/>
        <v>0</v>
      </c>
      <c r="AK114" s="104">
        <f t="shared" ca="1" si="108"/>
        <v>0</v>
      </c>
      <c r="AL114" s="104">
        <f t="shared" ca="1" si="109"/>
        <v>0</v>
      </c>
      <c r="AM114" s="104">
        <f t="shared" ca="1" si="110"/>
        <v>0</v>
      </c>
      <c r="AN114" s="104">
        <f t="shared" ca="1" si="111"/>
        <v>0</v>
      </c>
      <c r="AO114" s="104">
        <f t="shared" ca="1" si="112"/>
        <v>0</v>
      </c>
      <c r="AP114" s="104">
        <f t="shared" ca="1" si="113"/>
        <v>0</v>
      </c>
      <c r="AQ114" s="49">
        <f t="shared" ca="1" si="114"/>
        <v>0</v>
      </c>
      <c r="AR114" s="104">
        <f t="shared" ca="1" si="115"/>
        <v>0</v>
      </c>
      <c r="AS114" s="104">
        <f t="shared" ca="1" si="116"/>
        <v>0</v>
      </c>
      <c r="AT114" s="104">
        <f t="shared" ca="1" si="117"/>
        <v>0</v>
      </c>
      <c r="AU114" s="104">
        <f t="shared" ca="1" si="118"/>
        <v>0</v>
      </c>
      <c r="BF114" s="49">
        <f t="shared" ca="1" si="119"/>
        <v>0</v>
      </c>
      <c r="BG114" s="49">
        <f t="shared" ca="1" si="120"/>
        <v>0</v>
      </c>
      <c r="BH114" s="54" t="e">
        <f t="shared" ca="1" si="121"/>
        <v>#DIV/0!</v>
      </c>
      <c r="BI114" s="112" t="e">
        <f t="shared" ca="1" si="122"/>
        <v>#DIV/0!</v>
      </c>
      <c r="BK114" s="55" t="e">
        <f t="shared" ca="1" si="123"/>
        <v>#DIV/0!</v>
      </c>
      <c r="BL114" s="55" t="e">
        <f t="shared" ca="1" si="124"/>
        <v>#DIV/0!</v>
      </c>
      <c r="BM114" s="55" t="e">
        <f t="shared" ca="1" si="125"/>
        <v>#DIV/0!</v>
      </c>
      <c r="BN114" s="53">
        <f t="shared" ca="1" si="126"/>
        <v>0</v>
      </c>
      <c r="BO114" s="112" t="e">
        <f t="shared" ca="1" si="127"/>
        <v>#DIV/0!</v>
      </c>
      <c r="BR114" s="53" t="e">
        <f t="shared" ca="1" si="128"/>
        <v>#DIV/0!</v>
      </c>
      <c r="BS114" s="53">
        <f t="shared" ca="1" si="129"/>
        <v>0</v>
      </c>
      <c r="BT114" s="53">
        <f t="shared" ca="1" si="130"/>
        <v>0</v>
      </c>
      <c r="BU114" s="56" t="e">
        <f t="shared" ca="1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ca="1" si="134"/>
        <v>0</v>
      </c>
      <c r="CW114" s="53">
        <f t="shared" ca="1" si="135"/>
        <v>0</v>
      </c>
      <c r="CX114" s="58" t="e">
        <f t="shared" ca="1" si="136"/>
        <v>#DIV/0!</v>
      </c>
      <c r="CY114" s="53">
        <f t="shared" ca="1" si="137"/>
        <v>0</v>
      </c>
      <c r="CZ114" s="53">
        <f t="shared" ca="1" si="138"/>
        <v>0</v>
      </c>
      <c r="DA114" s="58" t="e">
        <f t="shared" ca="1" si="139"/>
        <v>#DIV/0!</v>
      </c>
      <c r="DB114" s="48" t="e">
        <f t="shared" ca="1" si="140"/>
        <v>#DIV/0!</v>
      </c>
      <c r="DC114" s="48" t="e">
        <f t="shared" ca="1" si="141"/>
        <v>#DIV/0!</v>
      </c>
      <c r="DD114" s="48" t="e">
        <f t="shared" ca="1" si="142"/>
        <v>#DIV/0!</v>
      </c>
      <c r="DE114" s="48" t="e">
        <f t="shared" ca="1" si="143"/>
        <v>#DIV/0!</v>
      </c>
      <c r="DF114" s="48" t="e">
        <f t="shared" ca="1" si="144"/>
        <v>#DIV/0!</v>
      </c>
      <c r="DG114" s="48" t="e">
        <f t="shared" ca="1" si="145"/>
        <v>#DIV/0!</v>
      </c>
      <c r="DH114" s="48">
        <f ca="1">SUMIF(FCR!$BZ$4:$DB$500,DG114,FCR!$DE$4:$EG$500)</f>
        <v>0</v>
      </c>
      <c r="DI114" s="48" t="e">
        <f t="shared" ca="1" si="146"/>
        <v>#DIV/0!</v>
      </c>
      <c r="DJ114" s="48">
        <f ca="1">SUMIF(FCR!$BZ$4:$DB$142,DI114,FCR!$DE$4:$EG$142)</f>
        <v>0</v>
      </c>
      <c r="DK114" s="48" t="e">
        <f t="shared" ca="1" si="147"/>
        <v>#DIV/0!</v>
      </c>
      <c r="DL114" s="55" t="e">
        <f t="shared" ca="1" si="148"/>
        <v>#DIV/0!</v>
      </c>
      <c r="DM114" s="48" t="e">
        <f t="shared" ca="1" si="149"/>
        <v>#DIV/0!</v>
      </c>
      <c r="DN114" s="48">
        <f ca="1">SUMIF(FCR!$BZ$4:$DB$142,DM114,FCR!$DE$4:$EG$142)</f>
        <v>0</v>
      </c>
      <c r="DO114" s="53" t="e">
        <f t="shared" ca="1" si="150"/>
        <v>#DIV/0!</v>
      </c>
      <c r="DP114" s="55" t="e">
        <f t="shared" ca="1" si="151"/>
        <v>#DIV/0!</v>
      </c>
      <c r="DQ114" s="55" t="e">
        <f t="shared" ca="1" si="152"/>
        <v>#DIV/0!</v>
      </c>
      <c r="DR114" s="55"/>
      <c r="DS114" s="55" t="e">
        <f t="shared" ca="1" si="153"/>
        <v>#DIV/0!</v>
      </c>
      <c r="DT114" s="55" t="e">
        <f t="shared" ca="1" si="154"/>
        <v>#DIV/0!</v>
      </c>
      <c r="DU114" s="53">
        <f t="shared" ca="1" si="155"/>
        <v>0</v>
      </c>
      <c r="DV114" s="59" t="e">
        <f t="shared" ca="1" si="156"/>
        <v>#DIV/0!</v>
      </c>
    </row>
    <row r="115" spans="1:12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AD115" s="49" t="s">
        <v>337</v>
      </c>
      <c r="AE115" s="49">
        <f t="shared" ca="1" si="102"/>
        <v>0</v>
      </c>
      <c r="AF115" s="49">
        <f t="shared" ca="1" si="103"/>
        <v>0</v>
      </c>
      <c r="AG115" s="114">
        <f t="shared" ca="1" si="104"/>
        <v>0</v>
      </c>
      <c r="AH115" s="104">
        <f t="shared" ca="1" si="105"/>
        <v>0</v>
      </c>
      <c r="AI115" s="104">
        <f t="shared" ca="1" si="106"/>
        <v>0</v>
      </c>
      <c r="AJ115" s="104">
        <f t="shared" ca="1" si="107"/>
        <v>0</v>
      </c>
      <c r="AK115" s="104">
        <f t="shared" ca="1" si="108"/>
        <v>0</v>
      </c>
      <c r="AL115" s="104">
        <f t="shared" ca="1" si="109"/>
        <v>0</v>
      </c>
      <c r="AM115" s="104">
        <f t="shared" ca="1" si="110"/>
        <v>0</v>
      </c>
      <c r="AN115" s="104">
        <f t="shared" ca="1" si="111"/>
        <v>0</v>
      </c>
      <c r="AO115" s="104">
        <f t="shared" ca="1" si="112"/>
        <v>0</v>
      </c>
      <c r="AP115" s="104">
        <f t="shared" ca="1" si="113"/>
        <v>0</v>
      </c>
      <c r="AQ115" s="49">
        <f t="shared" ca="1" si="114"/>
        <v>0</v>
      </c>
      <c r="AR115" s="104">
        <f t="shared" ca="1" si="115"/>
        <v>0</v>
      </c>
      <c r="AS115" s="104">
        <f t="shared" ca="1" si="116"/>
        <v>0</v>
      </c>
      <c r="AT115" s="104">
        <f t="shared" ca="1" si="117"/>
        <v>0</v>
      </c>
      <c r="AU115" s="104">
        <f t="shared" ca="1" si="118"/>
        <v>0</v>
      </c>
      <c r="BF115" s="49">
        <f t="shared" ca="1" si="119"/>
        <v>0</v>
      </c>
      <c r="BG115" s="49">
        <f t="shared" ca="1" si="120"/>
        <v>0</v>
      </c>
      <c r="BH115" s="54" t="e">
        <f t="shared" ca="1" si="121"/>
        <v>#DIV/0!</v>
      </c>
      <c r="BI115" s="112" t="e">
        <f t="shared" ca="1" si="122"/>
        <v>#DIV/0!</v>
      </c>
      <c r="BK115" s="55" t="e">
        <f t="shared" ca="1" si="123"/>
        <v>#DIV/0!</v>
      </c>
      <c r="BL115" s="55" t="e">
        <f t="shared" ca="1" si="124"/>
        <v>#DIV/0!</v>
      </c>
      <c r="BM115" s="55" t="e">
        <f t="shared" ca="1" si="125"/>
        <v>#DIV/0!</v>
      </c>
      <c r="BN115" s="53">
        <f t="shared" ca="1" si="126"/>
        <v>0</v>
      </c>
      <c r="BO115" s="112" t="e">
        <f t="shared" ca="1" si="127"/>
        <v>#DIV/0!</v>
      </c>
      <c r="BR115" s="53" t="e">
        <f t="shared" ca="1" si="128"/>
        <v>#DIV/0!</v>
      </c>
      <c r="BS115" s="53">
        <f t="shared" ca="1" si="129"/>
        <v>0</v>
      </c>
      <c r="BT115" s="53">
        <f t="shared" ca="1" si="130"/>
        <v>0</v>
      </c>
      <c r="BU115" s="56" t="e">
        <f t="shared" ca="1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ca="1" si="134"/>
        <v>0</v>
      </c>
      <c r="CW115" s="53">
        <f t="shared" ca="1" si="135"/>
        <v>0</v>
      </c>
      <c r="CX115" s="58" t="e">
        <f t="shared" ca="1" si="136"/>
        <v>#DIV/0!</v>
      </c>
      <c r="CY115" s="53">
        <f t="shared" ca="1" si="137"/>
        <v>0</v>
      </c>
      <c r="CZ115" s="53">
        <f t="shared" ca="1" si="138"/>
        <v>0</v>
      </c>
      <c r="DA115" s="58" t="e">
        <f t="shared" ca="1" si="139"/>
        <v>#DIV/0!</v>
      </c>
      <c r="DB115" s="48" t="e">
        <f t="shared" ca="1" si="140"/>
        <v>#DIV/0!</v>
      </c>
      <c r="DC115" s="48" t="e">
        <f t="shared" ca="1" si="141"/>
        <v>#DIV/0!</v>
      </c>
      <c r="DD115" s="48" t="e">
        <f t="shared" ca="1" si="142"/>
        <v>#DIV/0!</v>
      </c>
      <c r="DE115" s="48" t="e">
        <f t="shared" ca="1" si="143"/>
        <v>#DIV/0!</v>
      </c>
      <c r="DF115" s="48" t="e">
        <f t="shared" ca="1" si="144"/>
        <v>#DIV/0!</v>
      </c>
      <c r="DG115" s="48" t="e">
        <f t="shared" ca="1" si="145"/>
        <v>#DIV/0!</v>
      </c>
      <c r="DH115" s="48">
        <f ca="1">SUMIF(FCR!$BZ$4:$DB$500,DG115,FCR!$DE$4:$EG$500)</f>
        <v>0</v>
      </c>
      <c r="DI115" s="48" t="e">
        <f t="shared" ca="1" si="146"/>
        <v>#DIV/0!</v>
      </c>
      <c r="DJ115" s="48">
        <f ca="1">SUMIF(FCR!$BZ$4:$DB$142,DI115,FCR!$DE$4:$EG$142)</f>
        <v>0</v>
      </c>
      <c r="DK115" s="48" t="e">
        <f t="shared" ca="1" si="147"/>
        <v>#DIV/0!</v>
      </c>
      <c r="DL115" s="55" t="e">
        <f t="shared" ca="1" si="148"/>
        <v>#DIV/0!</v>
      </c>
      <c r="DM115" s="48" t="e">
        <f t="shared" ca="1" si="149"/>
        <v>#DIV/0!</v>
      </c>
      <c r="DN115" s="48">
        <f ca="1">SUMIF(FCR!$BZ$4:$DB$142,DM115,FCR!$DE$4:$EG$142)</f>
        <v>0</v>
      </c>
      <c r="DO115" s="53" t="e">
        <f t="shared" ca="1" si="150"/>
        <v>#DIV/0!</v>
      </c>
      <c r="DP115" s="55" t="e">
        <f t="shared" ca="1" si="151"/>
        <v>#DIV/0!</v>
      </c>
      <c r="DQ115" s="55" t="e">
        <f t="shared" ca="1" si="152"/>
        <v>#DIV/0!</v>
      </c>
      <c r="DR115" s="55"/>
      <c r="DS115" s="55" t="e">
        <f t="shared" ca="1" si="153"/>
        <v>#DIV/0!</v>
      </c>
      <c r="DT115" s="55" t="e">
        <f t="shared" ca="1" si="154"/>
        <v>#DIV/0!</v>
      </c>
      <c r="DU115" s="53">
        <f t="shared" ca="1" si="155"/>
        <v>0</v>
      </c>
      <c r="DV115" s="59" t="e">
        <f t="shared" ca="1" si="156"/>
        <v>#DIV/0!</v>
      </c>
    </row>
    <row r="116" spans="1:12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AD116" s="49" t="s">
        <v>337</v>
      </c>
      <c r="AE116" s="49">
        <f t="shared" ca="1" si="102"/>
        <v>0</v>
      </c>
      <c r="AF116" s="49">
        <f t="shared" ca="1" si="103"/>
        <v>0</v>
      </c>
      <c r="AG116" s="114">
        <f t="shared" ca="1" si="104"/>
        <v>0</v>
      </c>
      <c r="AH116" s="104">
        <f t="shared" ca="1" si="105"/>
        <v>0</v>
      </c>
      <c r="AI116" s="104">
        <f t="shared" ca="1" si="106"/>
        <v>0</v>
      </c>
      <c r="AJ116" s="104">
        <f t="shared" ca="1" si="107"/>
        <v>0</v>
      </c>
      <c r="AK116" s="104">
        <f t="shared" ca="1" si="108"/>
        <v>0</v>
      </c>
      <c r="AL116" s="104">
        <f t="shared" ca="1" si="109"/>
        <v>0</v>
      </c>
      <c r="AM116" s="104">
        <f t="shared" ca="1" si="110"/>
        <v>0</v>
      </c>
      <c r="AN116" s="104">
        <f t="shared" ca="1" si="111"/>
        <v>0</v>
      </c>
      <c r="AO116" s="104">
        <f t="shared" ca="1" si="112"/>
        <v>0</v>
      </c>
      <c r="AP116" s="104">
        <f t="shared" ca="1" si="113"/>
        <v>0</v>
      </c>
      <c r="AQ116" s="49">
        <f t="shared" ca="1" si="114"/>
        <v>0</v>
      </c>
      <c r="AR116" s="104">
        <f t="shared" ca="1" si="115"/>
        <v>0</v>
      </c>
      <c r="AS116" s="104">
        <f t="shared" ca="1" si="116"/>
        <v>0</v>
      </c>
      <c r="AT116" s="104">
        <f t="shared" ca="1" si="117"/>
        <v>0</v>
      </c>
      <c r="AU116" s="104">
        <f t="shared" ca="1" si="118"/>
        <v>0</v>
      </c>
      <c r="BF116" s="49">
        <f t="shared" ca="1" si="119"/>
        <v>0</v>
      </c>
      <c r="BG116" s="49">
        <f t="shared" ca="1" si="120"/>
        <v>0</v>
      </c>
      <c r="BH116" s="54" t="e">
        <f t="shared" ca="1" si="121"/>
        <v>#DIV/0!</v>
      </c>
      <c r="BI116" s="112" t="e">
        <f t="shared" ca="1" si="122"/>
        <v>#DIV/0!</v>
      </c>
      <c r="BK116" s="55" t="e">
        <f t="shared" ca="1" si="123"/>
        <v>#DIV/0!</v>
      </c>
      <c r="BL116" s="55" t="e">
        <f t="shared" ca="1" si="124"/>
        <v>#DIV/0!</v>
      </c>
      <c r="BM116" s="55" t="e">
        <f t="shared" ca="1" si="125"/>
        <v>#DIV/0!</v>
      </c>
      <c r="BN116" s="53">
        <f t="shared" ca="1" si="126"/>
        <v>0</v>
      </c>
      <c r="BO116" s="112" t="e">
        <f t="shared" ca="1" si="127"/>
        <v>#DIV/0!</v>
      </c>
      <c r="BR116" s="53" t="e">
        <f t="shared" ca="1" si="128"/>
        <v>#DIV/0!</v>
      </c>
      <c r="BS116" s="53">
        <f t="shared" ca="1" si="129"/>
        <v>0</v>
      </c>
      <c r="BT116" s="53">
        <f t="shared" ca="1" si="130"/>
        <v>0</v>
      </c>
      <c r="BU116" s="56" t="e">
        <f t="shared" ca="1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ca="1" si="134"/>
        <v>0</v>
      </c>
      <c r="CW116" s="53">
        <f t="shared" ca="1" si="135"/>
        <v>0</v>
      </c>
      <c r="CX116" s="58" t="e">
        <f t="shared" ca="1" si="136"/>
        <v>#DIV/0!</v>
      </c>
      <c r="CY116" s="53">
        <f t="shared" ca="1" si="137"/>
        <v>0</v>
      </c>
      <c r="CZ116" s="53">
        <f t="shared" ca="1" si="138"/>
        <v>0</v>
      </c>
      <c r="DA116" s="58" t="e">
        <f t="shared" ca="1" si="139"/>
        <v>#DIV/0!</v>
      </c>
      <c r="DB116" s="48" t="e">
        <f t="shared" ca="1" si="140"/>
        <v>#DIV/0!</v>
      </c>
      <c r="DC116" s="48" t="e">
        <f t="shared" ca="1" si="141"/>
        <v>#DIV/0!</v>
      </c>
      <c r="DD116" s="48" t="e">
        <f t="shared" ca="1" si="142"/>
        <v>#DIV/0!</v>
      </c>
      <c r="DE116" s="48" t="e">
        <f t="shared" ca="1" si="143"/>
        <v>#DIV/0!</v>
      </c>
      <c r="DF116" s="48" t="e">
        <f t="shared" ca="1" si="144"/>
        <v>#DIV/0!</v>
      </c>
      <c r="DG116" s="48" t="e">
        <f t="shared" ca="1" si="145"/>
        <v>#DIV/0!</v>
      </c>
      <c r="DH116" s="48">
        <f ca="1">SUMIF(FCR!$BZ$4:$DB$500,DG116,FCR!$DE$4:$EG$500)</f>
        <v>0</v>
      </c>
      <c r="DI116" s="48" t="e">
        <f t="shared" ca="1" si="146"/>
        <v>#DIV/0!</v>
      </c>
      <c r="DJ116" s="48">
        <f ca="1">SUMIF(FCR!$BZ$4:$DB$142,DI116,FCR!$DE$4:$EG$142)</f>
        <v>0</v>
      </c>
      <c r="DK116" s="48" t="e">
        <f t="shared" ca="1" si="147"/>
        <v>#DIV/0!</v>
      </c>
      <c r="DL116" s="55" t="e">
        <f t="shared" ca="1" si="148"/>
        <v>#DIV/0!</v>
      </c>
      <c r="DM116" s="48" t="e">
        <f t="shared" ca="1" si="149"/>
        <v>#DIV/0!</v>
      </c>
      <c r="DN116" s="48">
        <f ca="1">SUMIF(FCR!$BZ$4:$DB$142,DM116,FCR!$DE$4:$EG$142)</f>
        <v>0</v>
      </c>
      <c r="DO116" s="53" t="e">
        <f t="shared" ca="1" si="150"/>
        <v>#DIV/0!</v>
      </c>
      <c r="DP116" s="55" t="e">
        <f t="shared" ca="1" si="151"/>
        <v>#DIV/0!</v>
      </c>
      <c r="DQ116" s="55" t="e">
        <f t="shared" ca="1" si="152"/>
        <v>#DIV/0!</v>
      </c>
      <c r="DR116" s="55"/>
      <c r="DS116" s="55" t="e">
        <f t="shared" ca="1" si="153"/>
        <v>#DIV/0!</v>
      </c>
      <c r="DT116" s="55" t="e">
        <f t="shared" ca="1" si="154"/>
        <v>#DIV/0!</v>
      </c>
      <c r="DU116" s="53">
        <f t="shared" ca="1" si="155"/>
        <v>0</v>
      </c>
      <c r="DV116" s="59" t="e">
        <f t="shared" ca="1" si="156"/>
        <v>#DIV/0!</v>
      </c>
    </row>
    <row r="117" spans="1:12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AD117" s="49" t="s">
        <v>337</v>
      </c>
      <c r="AE117" s="49">
        <f t="shared" ca="1" si="102"/>
        <v>0</v>
      </c>
      <c r="AF117" s="49">
        <f t="shared" ca="1" si="103"/>
        <v>0</v>
      </c>
      <c r="AG117" s="114">
        <f t="shared" ca="1" si="104"/>
        <v>0</v>
      </c>
      <c r="AH117" s="104">
        <f t="shared" ca="1" si="105"/>
        <v>0</v>
      </c>
      <c r="AI117" s="104">
        <f t="shared" ca="1" si="106"/>
        <v>0</v>
      </c>
      <c r="AJ117" s="104">
        <f t="shared" ca="1" si="107"/>
        <v>0</v>
      </c>
      <c r="AK117" s="104">
        <f t="shared" ca="1" si="108"/>
        <v>0</v>
      </c>
      <c r="AL117" s="104">
        <f t="shared" ca="1" si="109"/>
        <v>0</v>
      </c>
      <c r="AM117" s="104">
        <f t="shared" ca="1" si="110"/>
        <v>0</v>
      </c>
      <c r="AN117" s="104">
        <f t="shared" ca="1" si="111"/>
        <v>0</v>
      </c>
      <c r="AO117" s="104">
        <f t="shared" ca="1" si="112"/>
        <v>0</v>
      </c>
      <c r="AP117" s="104">
        <f t="shared" ca="1" si="113"/>
        <v>0</v>
      </c>
      <c r="AQ117" s="49">
        <f t="shared" ca="1" si="114"/>
        <v>0</v>
      </c>
      <c r="AR117" s="104">
        <f t="shared" ca="1" si="115"/>
        <v>0</v>
      </c>
      <c r="AS117" s="104">
        <f t="shared" ca="1" si="116"/>
        <v>0</v>
      </c>
      <c r="AT117" s="104">
        <f t="shared" ca="1" si="117"/>
        <v>0</v>
      </c>
      <c r="AU117" s="104">
        <f t="shared" ca="1" si="118"/>
        <v>0</v>
      </c>
      <c r="BF117" s="49">
        <f t="shared" ca="1" si="119"/>
        <v>0</v>
      </c>
      <c r="BG117" s="49">
        <f t="shared" ca="1" si="120"/>
        <v>0</v>
      </c>
      <c r="BH117" s="54" t="e">
        <f t="shared" ca="1" si="121"/>
        <v>#DIV/0!</v>
      </c>
      <c r="BI117" s="112" t="e">
        <f t="shared" ca="1" si="122"/>
        <v>#DIV/0!</v>
      </c>
      <c r="BK117" s="55" t="e">
        <f t="shared" ca="1" si="123"/>
        <v>#DIV/0!</v>
      </c>
      <c r="BL117" s="55" t="e">
        <f t="shared" ca="1" si="124"/>
        <v>#DIV/0!</v>
      </c>
      <c r="BM117" s="55" t="e">
        <f t="shared" ca="1" si="125"/>
        <v>#DIV/0!</v>
      </c>
      <c r="BN117" s="53">
        <f t="shared" ca="1" si="126"/>
        <v>0</v>
      </c>
      <c r="BO117" s="112" t="e">
        <f t="shared" ca="1" si="127"/>
        <v>#DIV/0!</v>
      </c>
      <c r="BR117" s="53" t="e">
        <f t="shared" ca="1" si="128"/>
        <v>#DIV/0!</v>
      </c>
      <c r="BS117" s="53">
        <f t="shared" ca="1" si="129"/>
        <v>0</v>
      </c>
      <c r="BT117" s="53">
        <f t="shared" ca="1" si="130"/>
        <v>0</v>
      </c>
      <c r="BU117" s="56" t="e">
        <f t="shared" ca="1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ca="1" si="134"/>
        <v>0</v>
      </c>
      <c r="CW117" s="53">
        <f t="shared" ca="1" si="135"/>
        <v>0</v>
      </c>
      <c r="CX117" s="58" t="e">
        <f t="shared" ca="1" si="136"/>
        <v>#DIV/0!</v>
      </c>
      <c r="CY117" s="53">
        <f t="shared" ca="1" si="137"/>
        <v>0</v>
      </c>
      <c r="CZ117" s="53">
        <f t="shared" ca="1" si="138"/>
        <v>0</v>
      </c>
      <c r="DA117" s="58" t="e">
        <f t="shared" ca="1" si="139"/>
        <v>#DIV/0!</v>
      </c>
      <c r="DB117" s="48" t="e">
        <f t="shared" ca="1" si="140"/>
        <v>#DIV/0!</v>
      </c>
      <c r="DC117" s="48" t="e">
        <f t="shared" ca="1" si="141"/>
        <v>#DIV/0!</v>
      </c>
      <c r="DD117" s="48" t="e">
        <f t="shared" ca="1" si="142"/>
        <v>#DIV/0!</v>
      </c>
      <c r="DE117" s="48" t="e">
        <f t="shared" ca="1" si="143"/>
        <v>#DIV/0!</v>
      </c>
      <c r="DF117" s="48" t="e">
        <f t="shared" ca="1" si="144"/>
        <v>#DIV/0!</v>
      </c>
      <c r="DG117" s="48" t="e">
        <f t="shared" ca="1" si="145"/>
        <v>#DIV/0!</v>
      </c>
      <c r="DH117" s="48">
        <f ca="1">SUMIF(FCR!$BZ$4:$DB$500,DG117,FCR!$DE$4:$EG$500)</f>
        <v>0</v>
      </c>
      <c r="DI117" s="48" t="e">
        <f t="shared" ca="1" si="146"/>
        <v>#DIV/0!</v>
      </c>
      <c r="DJ117" s="48">
        <f ca="1">SUMIF(FCR!$BZ$4:$DB$142,DI117,FCR!$DE$4:$EG$142)</f>
        <v>0</v>
      </c>
      <c r="DK117" s="48" t="e">
        <f t="shared" ca="1" si="147"/>
        <v>#DIV/0!</v>
      </c>
      <c r="DL117" s="55" t="e">
        <f t="shared" ca="1" si="148"/>
        <v>#DIV/0!</v>
      </c>
      <c r="DM117" s="48" t="e">
        <f t="shared" ca="1" si="149"/>
        <v>#DIV/0!</v>
      </c>
      <c r="DN117" s="48">
        <f ca="1">SUMIF(FCR!$BZ$4:$DB$142,DM117,FCR!$DE$4:$EG$142)</f>
        <v>0</v>
      </c>
      <c r="DO117" s="53" t="e">
        <f t="shared" ca="1" si="150"/>
        <v>#DIV/0!</v>
      </c>
      <c r="DP117" s="55" t="e">
        <f t="shared" ca="1" si="151"/>
        <v>#DIV/0!</v>
      </c>
      <c r="DQ117" s="55" t="e">
        <f t="shared" ca="1" si="152"/>
        <v>#DIV/0!</v>
      </c>
      <c r="DR117" s="55"/>
      <c r="DS117" s="55" t="e">
        <f t="shared" ca="1" si="153"/>
        <v>#DIV/0!</v>
      </c>
      <c r="DT117" s="55" t="e">
        <f t="shared" ca="1" si="154"/>
        <v>#DIV/0!</v>
      </c>
      <c r="DU117" s="53">
        <f t="shared" ca="1" si="155"/>
        <v>0</v>
      </c>
      <c r="DV117" s="59" t="e">
        <f t="shared" ca="1" si="156"/>
        <v>#DIV/0!</v>
      </c>
    </row>
    <row r="118" spans="1:12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AD118" s="49" t="s">
        <v>337</v>
      </c>
      <c r="AE118" s="49">
        <f t="shared" ca="1" si="102"/>
        <v>0</v>
      </c>
      <c r="AF118" s="49">
        <f t="shared" ca="1" si="103"/>
        <v>0</v>
      </c>
      <c r="AG118" s="114">
        <f t="shared" ca="1" si="104"/>
        <v>0</v>
      </c>
      <c r="AH118" s="104">
        <f t="shared" ca="1" si="105"/>
        <v>0</v>
      </c>
      <c r="AI118" s="104">
        <f t="shared" ca="1" si="106"/>
        <v>0</v>
      </c>
      <c r="AJ118" s="104">
        <f t="shared" ca="1" si="107"/>
        <v>0</v>
      </c>
      <c r="AK118" s="104">
        <f t="shared" ca="1" si="108"/>
        <v>0</v>
      </c>
      <c r="AL118" s="104">
        <f t="shared" ca="1" si="109"/>
        <v>0</v>
      </c>
      <c r="AM118" s="104">
        <f t="shared" ca="1" si="110"/>
        <v>0</v>
      </c>
      <c r="AN118" s="104">
        <f t="shared" ca="1" si="111"/>
        <v>0</v>
      </c>
      <c r="AO118" s="104">
        <f t="shared" ca="1" si="112"/>
        <v>0</v>
      </c>
      <c r="AP118" s="104">
        <f t="shared" ca="1" si="113"/>
        <v>0</v>
      </c>
      <c r="AQ118" s="49">
        <f t="shared" ca="1" si="114"/>
        <v>0</v>
      </c>
      <c r="AR118" s="104">
        <f t="shared" ca="1" si="115"/>
        <v>0</v>
      </c>
      <c r="AS118" s="104">
        <f t="shared" ca="1" si="116"/>
        <v>0</v>
      </c>
      <c r="AT118" s="104">
        <f t="shared" ca="1" si="117"/>
        <v>0</v>
      </c>
      <c r="AU118" s="104">
        <f t="shared" ca="1" si="118"/>
        <v>0</v>
      </c>
      <c r="BF118" s="49">
        <f t="shared" ca="1" si="119"/>
        <v>0</v>
      </c>
      <c r="BG118" s="49">
        <f t="shared" ca="1" si="120"/>
        <v>0</v>
      </c>
      <c r="BH118" s="54" t="e">
        <f t="shared" ca="1" si="121"/>
        <v>#DIV/0!</v>
      </c>
      <c r="BI118" s="112" t="e">
        <f t="shared" ca="1" si="122"/>
        <v>#DIV/0!</v>
      </c>
      <c r="BK118" s="55" t="e">
        <f t="shared" ca="1" si="123"/>
        <v>#DIV/0!</v>
      </c>
      <c r="BL118" s="55" t="e">
        <f t="shared" ca="1" si="124"/>
        <v>#DIV/0!</v>
      </c>
      <c r="BM118" s="55" t="e">
        <f t="shared" ca="1" si="125"/>
        <v>#DIV/0!</v>
      </c>
      <c r="BN118" s="53">
        <f t="shared" ca="1" si="126"/>
        <v>0</v>
      </c>
      <c r="BO118" s="112" t="e">
        <f t="shared" ca="1" si="127"/>
        <v>#DIV/0!</v>
      </c>
      <c r="BR118" s="53" t="e">
        <f t="shared" ca="1" si="128"/>
        <v>#DIV/0!</v>
      </c>
      <c r="BS118" s="53">
        <f t="shared" ca="1" si="129"/>
        <v>0</v>
      </c>
      <c r="BT118" s="53">
        <f t="shared" ca="1" si="130"/>
        <v>0</v>
      </c>
      <c r="BU118" s="56" t="e">
        <f t="shared" ca="1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ca="1" si="134"/>
        <v>0</v>
      </c>
      <c r="CW118" s="53">
        <f t="shared" ca="1" si="135"/>
        <v>0</v>
      </c>
      <c r="CX118" s="58" t="e">
        <f t="shared" ca="1" si="136"/>
        <v>#DIV/0!</v>
      </c>
      <c r="CY118" s="53">
        <f t="shared" ca="1" si="137"/>
        <v>0</v>
      </c>
      <c r="CZ118" s="53">
        <f t="shared" ca="1" si="138"/>
        <v>0</v>
      </c>
      <c r="DA118" s="58" t="e">
        <f t="shared" ca="1" si="139"/>
        <v>#DIV/0!</v>
      </c>
      <c r="DB118" s="48" t="e">
        <f t="shared" ca="1" si="140"/>
        <v>#DIV/0!</v>
      </c>
      <c r="DC118" s="48" t="e">
        <f t="shared" ca="1" si="141"/>
        <v>#DIV/0!</v>
      </c>
      <c r="DD118" s="48" t="e">
        <f t="shared" ca="1" si="142"/>
        <v>#DIV/0!</v>
      </c>
      <c r="DE118" s="48" t="e">
        <f t="shared" ca="1" si="143"/>
        <v>#DIV/0!</v>
      </c>
      <c r="DF118" s="48" t="e">
        <f t="shared" ca="1" si="144"/>
        <v>#DIV/0!</v>
      </c>
      <c r="DG118" s="48" t="e">
        <f t="shared" ca="1" si="145"/>
        <v>#DIV/0!</v>
      </c>
      <c r="DH118" s="48">
        <f ca="1">SUMIF(FCR!$BZ$4:$DB$500,DG118,FCR!$DE$4:$EG$500)</f>
        <v>0</v>
      </c>
      <c r="DI118" s="48" t="e">
        <f t="shared" ca="1" si="146"/>
        <v>#DIV/0!</v>
      </c>
      <c r="DJ118" s="48">
        <f ca="1">SUMIF(FCR!$BZ$4:$DB$142,DI118,FCR!$DE$4:$EG$142)</f>
        <v>0</v>
      </c>
      <c r="DK118" s="48" t="e">
        <f t="shared" ca="1" si="147"/>
        <v>#DIV/0!</v>
      </c>
      <c r="DL118" s="55" t="e">
        <f t="shared" ca="1" si="148"/>
        <v>#DIV/0!</v>
      </c>
      <c r="DM118" s="48" t="e">
        <f t="shared" ca="1" si="149"/>
        <v>#DIV/0!</v>
      </c>
      <c r="DN118" s="48">
        <f ca="1">SUMIF(FCR!$BZ$4:$DB$142,DM118,FCR!$DE$4:$EG$142)</f>
        <v>0</v>
      </c>
      <c r="DO118" s="53" t="e">
        <f t="shared" ca="1" si="150"/>
        <v>#DIV/0!</v>
      </c>
      <c r="DP118" s="55" t="e">
        <f t="shared" ca="1" si="151"/>
        <v>#DIV/0!</v>
      </c>
      <c r="DQ118" s="55" t="e">
        <f t="shared" ca="1" si="152"/>
        <v>#DIV/0!</v>
      </c>
      <c r="DR118" s="55"/>
      <c r="DS118" s="55" t="e">
        <f t="shared" ca="1" si="153"/>
        <v>#DIV/0!</v>
      </c>
      <c r="DT118" s="55" t="e">
        <f t="shared" ca="1" si="154"/>
        <v>#DIV/0!</v>
      </c>
      <c r="DU118" s="53">
        <f t="shared" ca="1" si="155"/>
        <v>0</v>
      </c>
      <c r="DV118" s="59" t="e">
        <f t="shared" ca="1" si="156"/>
        <v>#DIV/0!</v>
      </c>
    </row>
    <row r="119" spans="1:12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AD119" s="49" t="s">
        <v>337</v>
      </c>
      <c r="AE119" s="49">
        <f t="shared" ca="1" si="102"/>
        <v>0</v>
      </c>
      <c r="AF119" s="49">
        <f t="shared" ca="1" si="103"/>
        <v>0</v>
      </c>
      <c r="AG119" s="114">
        <f t="shared" ca="1" si="104"/>
        <v>0</v>
      </c>
      <c r="AH119" s="104">
        <f t="shared" ca="1" si="105"/>
        <v>0</v>
      </c>
      <c r="AI119" s="104">
        <f t="shared" ca="1" si="106"/>
        <v>0</v>
      </c>
      <c r="AJ119" s="104">
        <f t="shared" ca="1" si="107"/>
        <v>0</v>
      </c>
      <c r="AK119" s="104">
        <f t="shared" ca="1" si="108"/>
        <v>0</v>
      </c>
      <c r="AL119" s="104">
        <f t="shared" ca="1" si="109"/>
        <v>0</v>
      </c>
      <c r="AM119" s="104">
        <f t="shared" ca="1" si="110"/>
        <v>0</v>
      </c>
      <c r="AN119" s="104">
        <f t="shared" ca="1" si="111"/>
        <v>0</v>
      </c>
      <c r="AO119" s="104">
        <f t="shared" ca="1" si="112"/>
        <v>0</v>
      </c>
      <c r="AP119" s="104">
        <f t="shared" ca="1" si="113"/>
        <v>0</v>
      </c>
      <c r="AQ119" s="49">
        <f t="shared" ca="1" si="114"/>
        <v>0</v>
      </c>
      <c r="AR119" s="104">
        <f t="shared" ca="1" si="115"/>
        <v>0</v>
      </c>
      <c r="AS119" s="104">
        <f t="shared" ca="1" si="116"/>
        <v>0</v>
      </c>
      <c r="AT119" s="104">
        <f t="shared" ca="1" si="117"/>
        <v>0</v>
      </c>
      <c r="AU119" s="104">
        <f t="shared" ca="1" si="118"/>
        <v>0</v>
      </c>
      <c r="BF119" s="49">
        <f t="shared" ca="1" si="119"/>
        <v>0</v>
      </c>
      <c r="BG119" s="49">
        <f t="shared" ca="1" si="120"/>
        <v>0</v>
      </c>
      <c r="BH119" s="54" t="e">
        <f t="shared" ca="1" si="121"/>
        <v>#DIV/0!</v>
      </c>
      <c r="BI119" s="112" t="e">
        <f t="shared" ca="1" si="122"/>
        <v>#DIV/0!</v>
      </c>
      <c r="BK119" s="55" t="e">
        <f t="shared" ca="1" si="123"/>
        <v>#DIV/0!</v>
      </c>
      <c r="BL119" s="55" t="e">
        <f t="shared" ca="1" si="124"/>
        <v>#DIV/0!</v>
      </c>
      <c r="BM119" s="55" t="e">
        <f t="shared" ca="1" si="125"/>
        <v>#DIV/0!</v>
      </c>
      <c r="BN119" s="53">
        <f t="shared" ca="1" si="126"/>
        <v>0</v>
      </c>
      <c r="BO119" s="112" t="e">
        <f t="shared" ca="1" si="127"/>
        <v>#DIV/0!</v>
      </c>
      <c r="BR119" s="53" t="e">
        <f t="shared" ca="1" si="128"/>
        <v>#DIV/0!</v>
      </c>
      <c r="BS119" s="53">
        <f t="shared" ca="1" si="129"/>
        <v>0</v>
      </c>
      <c r="BT119" s="53">
        <f t="shared" ca="1" si="130"/>
        <v>0</v>
      </c>
      <c r="BU119" s="56" t="e">
        <f t="shared" ca="1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ca="1" si="134"/>
        <v>0</v>
      </c>
      <c r="CW119" s="53">
        <f t="shared" ca="1" si="135"/>
        <v>0</v>
      </c>
      <c r="CX119" s="58" t="e">
        <f t="shared" ca="1" si="136"/>
        <v>#DIV/0!</v>
      </c>
      <c r="CY119" s="53">
        <f t="shared" ca="1" si="137"/>
        <v>0</v>
      </c>
      <c r="CZ119" s="53">
        <f t="shared" ca="1" si="138"/>
        <v>0</v>
      </c>
      <c r="DA119" s="58" t="e">
        <f t="shared" ca="1" si="139"/>
        <v>#DIV/0!</v>
      </c>
      <c r="DB119" s="48" t="e">
        <f t="shared" ca="1" si="140"/>
        <v>#DIV/0!</v>
      </c>
      <c r="DC119" s="48" t="e">
        <f t="shared" ca="1" si="141"/>
        <v>#DIV/0!</v>
      </c>
      <c r="DD119" s="48" t="e">
        <f t="shared" ca="1" si="142"/>
        <v>#DIV/0!</v>
      </c>
      <c r="DE119" s="48" t="e">
        <f t="shared" ca="1" si="143"/>
        <v>#DIV/0!</v>
      </c>
      <c r="DF119" s="48" t="e">
        <f t="shared" ca="1" si="144"/>
        <v>#DIV/0!</v>
      </c>
      <c r="DG119" s="48" t="e">
        <f t="shared" ca="1" si="145"/>
        <v>#DIV/0!</v>
      </c>
      <c r="DH119" s="48">
        <f ca="1">SUMIF(FCR!$BZ$4:$DB$500,DG119,FCR!$DE$4:$EG$500)</f>
        <v>0</v>
      </c>
      <c r="DI119" s="48" t="e">
        <f t="shared" ca="1" si="146"/>
        <v>#DIV/0!</v>
      </c>
      <c r="DJ119" s="48">
        <f ca="1">SUMIF(FCR!$BZ$4:$DB$142,DI119,FCR!$DE$4:$EG$142)</f>
        <v>0</v>
      </c>
      <c r="DK119" s="48" t="e">
        <f t="shared" ca="1" si="147"/>
        <v>#DIV/0!</v>
      </c>
      <c r="DL119" s="55" t="e">
        <f t="shared" ca="1" si="148"/>
        <v>#DIV/0!</v>
      </c>
      <c r="DM119" s="48" t="e">
        <f t="shared" ca="1" si="149"/>
        <v>#DIV/0!</v>
      </c>
      <c r="DN119" s="48">
        <f ca="1">SUMIF(FCR!$BZ$4:$DB$142,DM119,FCR!$DE$4:$EG$142)</f>
        <v>0</v>
      </c>
      <c r="DO119" s="53" t="e">
        <f t="shared" ca="1" si="150"/>
        <v>#DIV/0!</v>
      </c>
      <c r="DP119" s="55" t="e">
        <f t="shared" ca="1" si="151"/>
        <v>#DIV/0!</v>
      </c>
      <c r="DQ119" s="55" t="e">
        <f t="shared" ca="1" si="152"/>
        <v>#DIV/0!</v>
      </c>
      <c r="DR119" s="55"/>
      <c r="DS119" s="55" t="e">
        <f t="shared" ca="1" si="153"/>
        <v>#DIV/0!</v>
      </c>
      <c r="DT119" s="55" t="e">
        <f t="shared" ca="1" si="154"/>
        <v>#DIV/0!</v>
      </c>
      <c r="DU119" s="53">
        <f t="shared" ca="1" si="155"/>
        <v>0</v>
      </c>
      <c r="DV119" s="59" t="e">
        <f t="shared" ca="1" si="156"/>
        <v>#DIV/0!</v>
      </c>
    </row>
    <row r="120" spans="1:12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AD120" s="49" t="s">
        <v>337</v>
      </c>
      <c r="AE120" s="49">
        <f t="shared" ca="1" si="102"/>
        <v>0</v>
      </c>
      <c r="AF120" s="49">
        <f t="shared" ca="1" si="103"/>
        <v>0</v>
      </c>
      <c r="AG120" s="114">
        <f t="shared" ca="1" si="104"/>
        <v>0</v>
      </c>
      <c r="AH120" s="104">
        <f t="shared" ca="1" si="105"/>
        <v>0</v>
      </c>
      <c r="AI120" s="104">
        <f t="shared" ca="1" si="106"/>
        <v>0</v>
      </c>
      <c r="AJ120" s="104">
        <f t="shared" ca="1" si="107"/>
        <v>0</v>
      </c>
      <c r="AK120" s="104">
        <f t="shared" ca="1" si="108"/>
        <v>0</v>
      </c>
      <c r="AL120" s="104">
        <f t="shared" ca="1" si="109"/>
        <v>0</v>
      </c>
      <c r="AM120" s="104">
        <f t="shared" ca="1" si="110"/>
        <v>0</v>
      </c>
      <c r="AN120" s="104">
        <f t="shared" ca="1" si="111"/>
        <v>0</v>
      </c>
      <c r="AO120" s="104">
        <f t="shared" ca="1" si="112"/>
        <v>0</v>
      </c>
      <c r="AP120" s="104">
        <f t="shared" ca="1" si="113"/>
        <v>0</v>
      </c>
      <c r="AQ120" s="49">
        <f t="shared" ca="1" si="114"/>
        <v>0</v>
      </c>
      <c r="AR120" s="104">
        <f t="shared" ca="1" si="115"/>
        <v>0</v>
      </c>
      <c r="AS120" s="104">
        <f t="shared" ca="1" si="116"/>
        <v>0</v>
      </c>
      <c r="AT120" s="104">
        <f t="shared" ca="1" si="117"/>
        <v>0</v>
      </c>
      <c r="AU120" s="104">
        <f t="shared" ca="1" si="118"/>
        <v>0</v>
      </c>
      <c r="BF120" s="49">
        <f t="shared" ca="1" si="119"/>
        <v>0</v>
      </c>
      <c r="BG120" s="49">
        <f t="shared" ca="1" si="120"/>
        <v>0</v>
      </c>
      <c r="BH120" s="54" t="e">
        <f t="shared" ca="1" si="121"/>
        <v>#DIV/0!</v>
      </c>
      <c r="BI120" s="112" t="e">
        <f t="shared" ca="1" si="122"/>
        <v>#DIV/0!</v>
      </c>
      <c r="BK120" s="55" t="e">
        <f t="shared" ca="1" si="123"/>
        <v>#DIV/0!</v>
      </c>
      <c r="BL120" s="55" t="e">
        <f t="shared" ca="1" si="124"/>
        <v>#DIV/0!</v>
      </c>
      <c r="BM120" s="55" t="e">
        <f t="shared" ca="1" si="125"/>
        <v>#DIV/0!</v>
      </c>
      <c r="BN120" s="53">
        <f t="shared" ca="1" si="126"/>
        <v>0</v>
      </c>
      <c r="BO120" s="112" t="e">
        <f t="shared" ca="1" si="127"/>
        <v>#DIV/0!</v>
      </c>
      <c r="BR120" s="53" t="e">
        <f t="shared" ca="1" si="128"/>
        <v>#DIV/0!</v>
      </c>
      <c r="BS120" s="53">
        <f t="shared" ca="1" si="129"/>
        <v>0</v>
      </c>
      <c r="BT120" s="53">
        <f t="shared" ca="1" si="130"/>
        <v>0</v>
      </c>
      <c r="BU120" s="56" t="e">
        <f t="shared" ca="1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ca="1" si="134"/>
        <v>0</v>
      </c>
      <c r="CW120" s="53">
        <f t="shared" ca="1" si="135"/>
        <v>0</v>
      </c>
      <c r="CX120" s="58" t="e">
        <f t="shared" ca="1" si="136"/>
        <v>#DIV/0!</v>
      </c>
      <c r="CY120" s="53">
        <f t="shared" ca="1" si="137"/>
        <v>0</v>
      </c>
      <c r="CZ120" s="53">
        <f t="shared" ca="1" si="138"/>
        <v>0</v>
      </c>
      <c r="DA120" s="58" t="e">
        <f t="shared" ca="1" si="139"/>
        <v>#DIV/0!</v>
      </c>
      <c r="DB120" s="48" t="e">
        <f t="shared" ca="1" si="140"/>
        <v>#DIV/0!</v>
      </c>
      <c r="DC120" s="48" t="e">
        <f t="shared" ca="1" si="141"/>
        <v>#DIV/0!</v>
      </c>
      <c r="DD120" s="48" t="e">
        <f t="shared" ca="1" si="142"/>
        <v>#DIV/0!</v>
      </c>
      <c r="DE120" s="48" t="e">
        <f t="shared" ca="1" si="143"/>
        <v>#DIV/0!</v>
      </c>
      <c r="DF120" s="48" t="e">
        <f t="shared" ca="1" si="144"/>
        <v>#DIV/0!</v>
      </c>
      <c r="DG120" s="48" t="e">
        <f t="shared" ca="1" si="145"/>
        <v>#DIV/0!</v>
      </c>
      <c r="DH120" s="48">
        <f ca="1">SUMIF(FCR!$BZ$4:$DB$500,DG120,FCR!$DE$4:$EG$500)</f>
        <v>0</v>
      </c>
      <c r="DI120" s="48" t="e">
        <f t="shared" ca="1" si="146"/>
        <v>#DIV/0!</v>
      </c>
      <c r="DJ120" s="48">
        <f ca="1">SUMIF(FCR!$BZ$4:$DB$142,DI120,FCR!$DE$4:$EG$142)</f>
        <v>0</v>
      </c>
      <c r="DK120" s="48" t="e">
        <f t="shared" ca="1" si="147"/>
        <v>#DIV/0!</v>
      </c>
      <c r="DL120" s="55" t="e">
        <f t="shared" ca="1" si="148"/>
        <v>#DIV/0!</v>
      </c>
      <c r="DM120" s="48" t="e">
        <f t="shared" ca="1" si="149"/>
        <v>#DIV/0!</v>
      </c>
      <c r="DN120" s="48">
        <f ca="1">SUMIF(FCR!$BZ$4:$DB$142,DM120,FCR!$DE$4:$EG$142)</f>
        <v>0</v>
      </c>
      <c r="DO120" s="53" t="e">
        <f t="shared" ca="1" si="150"/>
        <v>#DIV/0!</v>
      </c>
      <c r="DP120" s="55" t="e">
        <f t="shared" ca="1" si="151"/>
        <v>#DIV/0!</v>
      </c>
      <c r="DQ120" s="55" t="e">
        <f t="shared" ca="1" si="152"/>
        <v>#DIV/0!</v>
      </c>
      <c r="DR120" s="55"/>
      <c r="DS120" s="55" t="e">
        <f t="shared" ca="1" si="153"/>
        <v>#DIV/0!</v>
      </c>
      <c r="DT120" s="55" t="e">
        <f t="shared" ca="1" si="154"/>
        <v>#DIV/0!</v>
      </c>
      <c r="DU120" s="53">
        <f t="shared" ca="1" si="155"/>
        <v>0</v>
      </c>
      <c r="DV120" s="59" t="e">
        <f t="shared" ca="1" si="156"/>
        <v>#DIV/0!</v>
      </c>
    </row>
    <row r="121" spans="1:12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AD121" s="49" t="s">
        <v>337</v>
      </c>
      <c r="AE121" s="49">
        <f t="shared" ca="1" si="102"/>
        <v>0</v>
      </c>
      <c r="AF121" s="49">
        <f t="shared" ca="1" si="103"/>
        <v>0</v>
      </c>
      <c r="AG121" s="114">
        <f t="shared" ca="1" si="104"/>
        <v>0</v>
      </c>
      <c r="AH121" s="104">
        <f t="shared" ca="1" si="105"/>
        <v>0</v>
      </c>
      <c r="AI121" s="104">
        <f t="shared" ca="1" si="106"/>
        <v>0</v>
      </c>
      <c r="AJ121" s="104">
        <f t="shared" ca="1" si="107"/>
        <v>0</v>
      </c>
      <c r="AK121" s="104">
        <f t="shared" ca="1" si="108"/>
        <v>0</v>
      </c>
      <c r="AL121" s="104">
        <f t="shared" ca="1" si="109"/>
        <v>0</v>
      </c>
      <c r="AM121" s="104">
        <f t="shared" ca="1" si="110"/>
        <v>0</v>
      </c>
      <c r="AN121" s="104">
        <f t="shared" ca="1" si="111"/>
        <v>0</v>
      </c>
      <c r="AO121" s="104">
        <f t="shared" ca="1" si="112"/>
        <v>0</v>
      </c>
      <c r="AP121" s="104">
        <f t="shared" ca="1" si="113"/>
        <v>0</v>
      </c>
      <c r="AQ121" s="49">
        <f t="shared" ca="1" si="114"/>
        <v>0</v>
      </c>
      <c r="AR121" s="104">
        <f t="shared" ca="1" si="115"/>
        <v>0</v>
      </c>
      <c r="AS121" s="104">
        <f t="shared" ca="1" si="116"/>
        <v>0</v>
      </c>
      <c r="AT121" s="104">
        <f t="shared" ca="1" si="117"/>
        <v>0</v>
      </c>
      <c r="AU121" s="104">
        <f t="shared" ca="1" si="118"/>
        <v>0</v>
      </c>
      <c r="BF121" s="49">
        <f t="shared" ca="1" si="119"/>
        <v>0</v>
      </c>
      <c r="BG121" s="49">
        <f t="shared" ca="1" si="120"/>
        <v>0</v>
      </c>
      <c r="BH121" s="54" t="e">
        <f t="shared" ca="1" si="121"/>
        <v>#DIV/0!</v>
      </c>
      <c r="BI121" s="112" t="e">
        <f t="shared" ca="1" si="122"/>
        <v>#DIV/0!</v>
      </c>
      <c r="BK121" s="55" t="e">
        <f t="shared" ca="1" si="123"/>
        <v>#DIV/0!</v>
      </c>
      <c r="BL121" s="55" t="e">
        <f t="shared" ca="1" si="124"/>
        <v>#DIV/0!</v>
      </c>
      <c r="BM121" s="55" t="e">
        <f t="shared" ca="1" si="125"/>
        <v>#DIV/0!</v>
      </c>
      <c r="BN121" s="53">
        <f t="shared" ca="1" si="126"/>
        <v>0</v>
      </c>
      <c r="BO121" s="112" t="e">
        <f t="shared" ca="1" si="127"/>
        <v>#DIV/0!</v>
      </c>
      <c r="BR121" s="53" t="e">
        <f t="shared" ca="1" si="128"/>
        <v>#DIV/0!</v>
      </c>
      <c r="BS121" s="53">
        <f t="shared" ca="1" si="129"/>
        <v>0</v>
      </c>
      <c r="BT121" s="53">
        <f t="shared" ca="1" si="130"/>
        <v>0</v>
      </c>
      <c r="BU121" s="56" t="e">
        <f t="shared" ca="1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ca="1" si="134"/>
        <v>0</v>
      </c>
      <c r="CW121" s="53">
        <f t="shared" ca="1" si="135"/>
        <v>0</v>
      </c>
      <c r="CX121" s="58" t="e">
        <f t="shared" ca="1" si="136"/>
        <v>#DIV/0!</v>
      </c>
      <c r="CY121" s="53">
        <f t="shared" ca="1" si="137"/>
        <v>0</v>
      </c>
      <c r="CZ121" s="53">
        <f t="shared" ca="1" si="138"/>
        <v>0</v>
      </c>
      <c r="DA121" s="58" t="e">
        <f t="shared" ca="1" si="139"/>
        <v>#DIV/0!</v>
      </c>
      <c r="DB121" s="48" t="e">
        <f t="shared" ca="1" si="140"/>
        <v>#DIV/0!</v>
      </c>
      <c r="DC121" s="48" t="e">
        <f t="shared" ca="1" si="141"/>
        <v>#DIV/0!</v>
      </c>
      <c r="DD121" s="48" t="e">
        <f t="shared" ca="1" si="142"/>
        <v>#DIV/0!</v>
      </c>
      <c r="DE121" s="48" t="e">
        <f t="shared" ca="1" si="143"/>
        <v>#DIV/0!</v>
      </c>
      <c r="DF121" s="48" t="e">
        <f t="shared" ca="1" si="144"/>
        <v>#DIV/0!</v>
      </c>
      <c r="DG121" s="48" t="e">
        <f t="shared" ca="1" si="145"/>
        <v>#DIV/0!</v>
      </c>
      <c r="DH121" s="48">
        <f ca="1">SUMIF(FCR!$BZ$4:$DB$500,DG121,FCR!$DE$4:$EG$500)</f>
        <v>0</v>
      </c>
      <c r="DI121" s="48" t="e">
        <f t="shared" ca="1" si="146"/>
        <v>#DIV/0!</v>
      </c>
      <c r="DJ121" s="48">
        <f ca="1">SUMIF(FCR!$BZ$4:$DB$142,DI121,FCR!$DE$4:$EG$142)</f>
        <v>0</v>
      </c>
      <c r="DK121" s="48" t="e">
        <f t="shared" ca="1" si="147"/>
        <v>#DIV/0!</v>
      </c>
      <c r="DL121" s="55" t="e">
        <f t="shared" ca="1" si="148"/>
        <v>#DIV/0!</v>
      </c>
      <c r="DM121" s="48" t="e">
        <f t="shared" ca="1" si="149"/>
        <v>#DIV/0!</v>
      </c>
      <c r="DN121" s="48">
        <f ca="1">SUMIF(FCR!$BZ$4:$DB$142,DM121,FCR!$DE$4:$EG$142)</f>
        <v>0</v>
      </c>
      <c r="DO121" s="53" t="e">
        <f t="shared" ca="1" si="150"/>
        <v>#DIV/0!</v>
      </c>
      <c r="DP121" s="55" t="e">
        <f t="shared" ca="1" si="151"/>
        <v>#DIV/0!</v>
      </c>
      <c r="DQ121" s="55" t="e">
        <f t="shared" ca="1" si="152"/>
        <v>#DIV/0!</v>
      </c>
      <c r="DR121" s="55"/>
      <c r="DS121" s="55" t="e">
        <f t="shared" ca="1" si="153"/>
        <v>#DIV/0!</v>
      </c>
      <c r="DT121" s="55" t="e">
        <f t="shared" ca="1" si="154"/>
        <v>#DIV/0!</v>
      </c>
      <c r="DU121" s="53">
        <f t="shared" ca="1" si="155"/>
        <v>0</v>
      </c>
      <c r="DV121" s="59" t="e">
        <f t="shared" ca="1" si="156"/>
        <v>#DIV/0!</v>
      </c>
    </row>
    <row r="122" spans="1:12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AD122" s="49" t="s">
        <v>337</v>
      </c>
      <c r="AE122" s="49">
        <f t="shared" ca="1" si="102"/>
        <v>0</v>
      </c>
      <c r="AF122" s="49">
        <f t="shared" ca="1" si="103"/>
        <v>0</v>
      </c>
      <c r="AG122" s="114">
        <f t="shared" ca="1" si="104"/>
        <v>0</v>
      </c>
      <c r="AH122" s="104">
        <f t="shared" ca="1" si="105"/>
        <v>0</v>
      </c>
      <c r="AI122" s="104">
        <f t="shared" ca="1" si="106"/>
        <v>0</v>
      </c>
      <c r="AJ122" s="104">
        <f t="shared" ca="1" si="107"/>
        <v>0</v>
      </c>
      <c r="AK122" s="104">
        <f t="shared" ca="1" si="108"/>
        <v>0</v>
      </c>
      <c r="AL122" s="104">
        <f t="shared" ca="1" si="109"/>
        <v>0</v>
      </c>
      <c r="AM122" s="104">
        <f t="shared" ca="1" si="110"/>
        <v>0</v>
      </c>
      <c r="AN122" s="104">
        <f t="shared" ca="1" si="111"/>
        <v>0</v>
      </c>
      <c r="AO122" s="104">
        <f t="shared" ca="1" si="112"/>
        <v>0</v>
      </c>
      <c r="AP122" s="104">
        <f t="shared" ca="1" si="113"/>
        <v>0</v>
      </c>
      <c r="AQ122" s="49">
        <f t="shared" ca="1" si="114"/>
        <v>0</v>
      </c>
      <c r="AR122" s="104">
        <f t="shared" ca="1" si="115"/>
        <v>0</v>
      </c>
      <c r="AS122" s="104">
        <f t="shared" ca="1" si="116"/>
        <v>0</v>
      </c>
      <c r="AT122" s="104">
        <f t="shared" ca="1" si="117"/>
        <v>0</v>
      </c>
      <c r="AU122" s="104">
        <f t="shared" ca="1" si="118"/>
        <v>0</v>
      </c>
      <c r="BF122" s="49">
        <f t="shared" ca="1" si="119"/>
        <v>0</v>
      </c>
      <c r="BG122" s="49">
        <f t="shared" ca="1" si="120"/>
        <v>0</v>
      </c>
      <c r="BH122" s="54" t="e">
        <f t="shared" ca="1" si="121"/>
        <v>#DIV/0!</v>
      </c>
      <c r="BI122" s="112" t="e">
        <f t="shared" ca="1" si="122"/>
        <v>#DIV/0!</v>
      </c>
      <c r="BK122" s="55" t="e">
        <f t="shared" ca="1" si="123"/>
        <v>#DIV/0!</v>
      </c>
      <c r="BL122" s="55" t="e">
        <f t="shared" ca="1" si="124"/>
        <v>#DIV/0!</v>
      </c>
      <c r="BM122" s="55" t="e">
        <f t="shared" ca="1" si="125"/>
        <v>#DIV/0!</v>
      </c>
      <c r="BN122" s="53">
        <f t="shared" ca="1" si="126"/>
        <v>0</v>
      </c>
      <c r="BO122" s="112" t="e">
        <f t="shared" ca="1" si="127"/>
        <v>#DIV/0!</v>
      </c>
      <c r="BR122" s="53" t="e">
        <f t="shared" ca="1" si="128"/>
        <v>#DIV/0!</v>
      </c>
      <c r="BS122" s="53">
        <f t="shared" ca="1" si="129"/>
        <v>0</v>
      </c>
      <c r="BT122" s="53">
        <f t="shared" ca="1" si="130"/>
        <v>0</v>
      </c>
      <c r="BU122" s="56" t="e">
        <f t="shared" ca="1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ca="1" si="134"/>
        <v>0</v>
      </c>
      <c r="CW122" s="53">
        <f t="shared" ca="1" si="135"/>
        <v>0</v>
      </c>
      <c r="CX122" s="58" t="e">
        <f t="shared" ca="1" si="136"/>
        <v>#DIV/0!</v>
      </c>
      <c r="CY122" s="53">
        <f t="shared" ca="1" si="137"/>
        <v>0</v>
      </c>
      <c r="CZ122" s="53">
        <f t="shared" ca="1" si="138"/>
        <v>0</v>
      </c>
      <c r="DA122" s="58" t="e">
        <f t="shared" ca="1" si="139"/>
        <v>#DIV/0!</v>
      </c>
      <c r="DB122" s="48" t="e">
        <f t="shared" ca="1" si="140"/>
        <v>#DIV/0!</v>
      </c>
      <c r="DC122" s="48" t="e">
        <f t="shared" ca="1" si="141"/>
        <v>#DIV/0!</v>
      </c>
      <c r="DD122" s="48" t="e">
        <f t="shared" ca="1" si="142"/>
        <v>#DIV/0!</v>
      </c>
      <c r="DE122" s="48" t="e">
        <f t="shared" ca="1" si="143"/>
        <v>#DIV/0!</v>
      </c>
      <c r="DF122" s="48" t="e">
        <f t="shared" ca="1" si="144"/>
        <v>#DIV/0!</v>
      </c>
      <c r="DG122" s="48" t="e">
        <f t="shared" ca="1" si="145"/>
        <v>#DIV/0!</v>
      </c>
      <c r="DH122" s="48">
        <f ca="1">SUMIF(FCR!$BZ$4:$DB$500,DG122,FCR!$DE$4:$EG$500)</f>
        <v>0</v>
      </c>
      <c r="DI122" s="48" t="e">
        <f t="shared" ca="1" si="146"/>
        <v>#DIV/0!</v>
      </c>
      <c r="DJ122" s="48">
        <f ca="1">SUMIF(FCR!$BZ$4:$DB$142,DI122,FCR!$DE$4:$EG$142)</f>
        <v>0</v>
      </c>
      <c r="DK122" s="48" t="e">
        <f t="shared" ca="1" si="147"/>
        <v>#DIV/0!</v>
      </c>
      <c r="DL122" s="55" t="e">
        <f t="shared" ca="1" si="148"/>
        <v>#DIV/0!</v>
      </c>
      <c r="DM122" s="48" t="e">
        <f t="shared" ca="1" si="149"/>
        <v>#DIV/0!</v>
      </c>
      <c r="DN122" s="48">
        <f ca="1">SUMIF(FCR!$BZ$4:$DB$142,DM122,FCR!$DE$4:$EG$142)</f>
        <v>0</v>
      </c>
      <c r="DO122" s="53" t="e">
        <f t="shared" ca="1" si="150"/>
        <v>#DIV/0!</v>
      </c>
      <c r="DP122" s="55" t="e">
        <f t="shared" ca="1" si="151"/>
        <v>#DIV/0!</v>
      </c>
      <c r="DQ122" s="55" t="e">
        <f t="shared" ca="1" si="152"/>
        <v>#DIV/0!</v>
      </c>
      <c r="DR122" s="55"/>
      <c r="DS122" s="55" t="e">
        <f t="shared" ca="1" si="153"/>
        <v>#DIV/0!</v>
      </c>
      <c r="DT122" s="55" t="e">
        <f t="shared" ca="1" si="154"/>
        <v>#DIV/0!</v>
      </c>
      <c r="DU122" s="53">
        <f t="shared" ca="1" si="155"/>
        <v>0</v>
      </c>
      <c r="DV122" s="59" t="e">
        <f t="shared" ca="1" si="156"/>
        <v>#DIV/0!</v>
      </c>
    </row>
    <row r="123" spans="1:12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AD123" s="49" t="s">
        <v>337</v>
      </c>
      <c r="AE123" s="49">
        <f t="shared" ca="1" si="102"/>
        <v>0</v>
      </c>
      <c r="AF123" s="49">
        <f t="shared" ca="1" si="103"/>
        <v>0</v>
      </c>
      <c r="AG123" s="114">
        <f t="shared" ca="1" si="104"/>
        <v>0</v>
      </c>
      <c r="AH123" s="104">
        <f t="shared" ca="1" si="105"/>
        <v>0</v>
      </c>
      <c r="AI123" s="104">
        <f t="shared" ca="1" si="106"/>
        <v>0</v>
      </c>
      <c r="AJ123" s="104">
        <f t="shared" ca="1" si="107"/>
        <v>0</v>
      </c>
      <c r="AK123" s="104">
        <f t="shared" ca="1" si="108"/>
        <v>0</v>
      </c>
      <c r="AL123" s="104">
        <f t="shared" ca="1" si="109"/>
        <v>0</v>
      </c>
      <c r="AM123" s="104">
        <f t="shared" ca="1" si="110"/>
        <v>0</v>
      </c>
      <c r="AN123" s="104">
        <f t="shared" ca="1" si="111"/>
        <v>0</v>
      </c>
      <c r="AO123" s="104">
        <f t="shared" ca="1" si="112"/>
        <v>0</v>
      </c>
      <c r="AP123" s="104">
        <f t="shared" ca="1" si="113"/>
        <v>0</v>
      </c>
      <c r="AQ123" s="49">
        <f t="shared" ca="1" si="114"/>
        <v>0</v>
      </c>
      <c r="AR123" s="104">
        <f t="shared" ca="1" si="115"/>
        <v>0</v>
      </c>
      <c r="AS123" s="104">
        <f t="shared" ca="1" si="116"/>
        <v>0</v>
      </c>
      <c r="AT123" s="104">
        <f t="shared" ca="1" si="117"/>
        <v>0</v>
      </c>
      <c r="AU123" s="104">
        <f t="shared" ca="1" si="118"/>
        <v>0</v>
      </c>
      <c r="BF123" s="49">
        <f t="shared" ca="1" si="119"/>
        <v>0</v>
      </c>
      <c r="BG123" s="49">
        <f t="shared" ca="1" si="120"/>
        <v>0</v>
      </c>
      <c r="BH123" s="54" t="e">
        <f t="shared" ca="1" si="121"/>
        <v>#DIV/0!</v>
      </c>
      <c r="BI123" s="112" t="e">
        <f t="shared" ca="1" si="122"/>
        <v>#DIV/0!</v>
      </c>
      <c r="BK123" s="55" t="e">
        <f t="shared" ca="1" si="123"/>
        <v>#DIV/0!</v>
      </c>
      <c r="BL123" s="55" t="e">
        <f t="shared" ca="1" si="124"/>
        <v>#DIV/0!</v>
      </c>
      <c r="BM123" s="55" t="e">
        <f t="shared" ca="1" si="125"/>
        <v>#DIV/0!</v>
      </c>
      <c r="BN123" s="53">
        <f t="shared" ca="1" si="126"/>
        <v>0</v>
      </c>
      <c r="BO123" s="112" t="e">
        <f t="shared" ca="1" si="127"/>
        <v>#DIV/0!</v>
      </c>
      <c r="BR123" s="53" t="e">
        <f t="shared" ca="1" si="128"/>
        <v>#DIV/0!</v>
      </c>
      <c r="BS123" s="53">
        <f t="shared" ca="1" si="129"/>
        <v>0</v>
      </c>
      <c r="BT123" s="53">
        <f t="shared" ca="1" si="130"/>
        <v>0</v>
      </c>
      <c r="BU123" s="56" t="e">
        <f t="shared" ca="1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ca="1" si="134"/>
        <v>0</v>
      </c>
      <c r="CW123" s="53">
        <f t="shared" ca="1" si="135"/>
        <v>0</v>
      </c>
      <c r="CX123" s="58" t="e">
        <f t="shared" ca="1" si="136"/>
        <v>#DIV/0!</v>
      </c>
      <c r="CY123" s="53">
        <f t="shared" ca="1" si="137"/>
        <v>0</v>
      </c>
      <c r="CZ123" s="53">
        <f t="shared" ca="1" si="138"/>
        <v>0</v>
      </c>
      <c r="DA123" s="58" t="e">
        <f t="shared" ca="1" si="139"/>
        <v>#DIV/0!</v>
      </c>
      <c r="DB123" s="48" t="e">
        <f t="shared" ca="1" si="140"/>
        <v>#DIV/0!</v>
      </c>
      <c r="DC123" s="48" t="e">
        <f t="shared" ca="1" si="141"/>
        <v>#DIV/0!</v>
      </c>
      <c r="DD123" s="48" t="e">
        <f t="shared" ca="1" si="142"/>
        <v>#DIV/0!</v>
      </c>
      <c r="DE123" s="48" t="e">
        <f t="shared" ca="1" si="143"/>
        <v>#DIV/0!</v>
      </c>
      <c r="DF123" s="48" t="e">
        <f t="shared" ca="1" si="144"/>
        <v>#DIV/0!</v>
      </c>
      <c r="DG123" s="48" t="e">
        <f t="shared" ca="1" si="145"/>
        <v>#DIV/0!</v>
      </c>
      <c r="DH123" s="48">
        <f ca="1">SUMIF(FCR!$BZ$4:$DB$500,DG123,FCR!$DE$4:$EG$500)</f>
        <v>0</v>
      </c>
      <c r="DI123" s="48" t="e">
        <f t="shared" ca="1" si="146"/>
        <v>#DIV/0!</v>
      </c>
      <c r="DJ123" s="48">
        <f ca="1">SUMIF(FCR!$BZ$4:$DB$142,DI123,FCR!$DE$4:$EG$142)</f>
        <v>0</v>
      </c>
      <c r="DK123" s="48" t="e">
        <f t="shared" ca="1" si="147"/>
        <v>#DIV/0!</v>
      </c>
      <c r="DL123" s="55" t="e">
        <f t="shared" ca="1" si="148"/>
        <v>#DIV/0!</v>
      </c>
      <c r="DM123" s="48" t="e">
        <f t="shared" ca="1" si="149"/>
        <v>#DIV/0!</v>
      </c>
      <c r="DN123" s="48">
        <f ca="1">SUMIF(FCR!$BZ$4:$DB$142,DM123,FCR!$DE$4:$EG$142)</f>
        <v>0</v>
      </c>
      <c r="DO123" s="53" t="e">
        <f t="shared" ca="1" si="150"/>
        <v>#DIV/0!</v>
      </c>
      <c r="DP123" s="55" t="e">
        <f t="shared" ca="1" si="151"/>
        <v>#DIV/0!</v>
      </c>
      <c r="DQ123" s="55" t="e">
        <f t="shared" ca="1" si="152"/>
        <v>#DIV/0!</v>
      </c>
      <c r="DR123" s="55"/>
      <c r="DS123" s="55" t="e">
        <f t="shared" ca="1" si="153"/>
        <v>#DIV/0!</v>
      </c>
      <c r="DT123" s="55" t="e">
        <f t="shared" ca="1" si="154"/>
        <v>#DIV/0!</v>
      </c>
      <c r="DU123" s="53">
        <f t="shared" ca="1" si="155"/>
        <v>0</v>
      </c>
      <c r="DV123" s="59" t="e">
        <f t="shared" ca="1" si="156"/>
        <v>#DIV/0!</v>
      </c>
    </row>
    <row r="124" spans="1:12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AD124" s="49" t="s">
        <v>337</v>
      </c>
      <c r="AE124" s="49">
        <f t="shared" ca="1" si="102"/>
        <v>0</v>
      </c>
      <c r="AF124" s="49">
        <f t="shared" ca="1" si="103"/>
        <v>0</v>
      </c>
      <c r="AG124" s="114">
        <f t="shared" ca="1" si="104"/>
        <v>0</v>
      </c>
      <c r="AH124" s="104">
        <f t="shared" ca="1" si="105"/>
        <v>0</v>
      </c>
      <c r="AI124" s="104">
        <f t="shared" ca="1" si="106"/>
        <v>0</v>
      </c>
      <c r="AJ124" s="104">
        <f t="shared" ca="1" si="107"/>
        <v>0</v>
      </c>
      <c r="AK124" s="104">
        <f t="shared" ca="1" si="108"/>
        <v>0</v>
      </c>
      <c r="AL124" s="104">
        <f t="shared" ca="1" si="109"/>
        <v>0</v>
      </c>
      <c r="AM124" s="104">
        <f t="shared" ca="1" si="110"/>
        <v>0</v>
      </c>
      <c r="AN124" s="104">
        <f t="shared" ca="1" si="111"/>
        <v>0</v>
      </c>
      <c r="AO124" s="104">
        <f t="shared" ca="1" si="112"/>
        <v>0</v>
      </c>
      <c r="AP124" s="104">
        <f t="shared" ca="1" si="113"/>
        <v>0</v>
      </c>
      <c r="AQ124" s="49">
        <f t="shared" ca="1" si="114"/>
        <v>0</v>
      </c>
      <c r="AR124" s="104">
        <f t="shared" ca="1" si="115"/>
        <v>0</v>
      </c>
      <c r="AS124" s="104">
        <f t="shared" ca="1" si="116"/>
        <v>0</v>
      </c>
      <c r="AT124" s="104">
        <f t="shared" ca="1" si="117"/>
        <v>0</v>
      </c>
      <c r="AU124" s="104">
        <f t="shared" ca="1" si="118"/>
        <v>0</v>
      </c>
      <c r="BF124" s="49">
        <f t="shared" ca="1" si="119"/>
        <v>0</v>
      </c>
      <c r="BG124" s="49">
        <f t="shared" ca="1" si="120"/>
        <v>0</v>
      </c>
      <c r="BH124" s="54" t="e">
        <f t="shared" ca="1" si="121"/>
        <v>#DIV/0!</v>
      </c>
      <c r="BI124" s="112" t="e">
        <f t="shared" ca="1" si="122"/>
        <v>#DIV/0!</v>
      </c>
      <c r="BK124" s="55" t="e">
        <f t="shared" ca="1" si="123"/>
        <v>#DIV/0!</v>
      </c>
      <c r="BL124" s="55" t="e">
        <f t="shared" ca="1" si="124"/>
        <v>#DIV/0!</v>
      </c>
      <c r="BM124" s="55" t="e">
        <f t="shared" ca="1" si="125"/>
        <v>#DIV/0!</v>
      </c>
      <c r="BN124" s="53">
        <f t="shared" ca="1" si="126"/>
        <v>0</v>
      </c>
      <c r="BO124" s="112" t="e">
        <f t="shared" ca="1" si="127"/>
        <v>#DIV/0!</v>
      </c>
      <c r="BR124" s="53" t="e">
        <f t="shared" ca="1" si="128"/>
        <v>#DIV/0!</v>
      </c>
      <c r="BS124" s="53">
        <f t="shared" ca="1" si="129"/>
        <v>0</v>
      </c>
      <c r="BT124" s="53">
        <f t="shared" ca="1" si="130"/>
        <v>0</v>
      </c>
      <c r="BU124" s="56" t="e">
        <f t="shared" ca="1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ca="1" si="134"/>
        <v>0</v>
      </c>
      <c r="CW124" s="53">
        <f t="shared" ca="1" si="135"/>
        <v>0</v>
      </c>
      <c r="CX124" s="58" t="e">
        <f t="shared" ca="1" si="136"/>
        <v>#DIV/0!</v>
      </c>
      <c r="CY124" s="53">
        <f t="shared" ca="1" si="137"/>
        <v>0</v>
      </c>
      <c r="CZ124" s="53">
        <f t="shared" ca="1" si="138"/>
        <v>0</v>
      </c>
      <c r="DA124" s="58" t="e">
        <f t="shared" ca="1" si="139"/>
        <v>#DIV/0!</v>
      </c>
      <c r="DB124" s="48" t="e">
        <f t="shared" ca="1" si="140"/>
        <v>#DIV/0!</v>
      </c>
      <c r="DC124" s="48" t="e">
        <f t="shared" ca="1" si="141"/>
        <v>#DIV/0!</v>
      </c>
      <c r="DD124" s="48" t="e">
        <f t="shared" ca="1" si="142"/>
        <v>#DIV/0!</v>
      </c>
      <c r="DE124" s="48" t="e">
        <f t="shared" ca="1" si="143"/>
        <v>#DIV/0!</v>
      </c>
      <c r="DF124" s="48" t="e">
        <f t="shared" ca="1" si="144"/>
        <v>#DIV/0!</v>
      </c>
      <c r="DG124" s="48" t="e">
        <f t="shared" ca="1" si="145"/>
        <v>#DIV/0!</v>
      </c>
      <c r="DH124" s="48">
        <f ca="1">SUMIF(FCR!$BZ$4:$DB$500,DG124,FCR!$DE$4:$EG$500)</f>
        <v>0</v>
      </c>
      <c r="DI124" s="48" t="e">
        <f t="shared" ca="1" si="146"/>
        <v>#DIV/0!</v>
      </c>
      <c r="DJ124" s="48">
        <f ca="1">SUMIF(FCR!$BZ$4:$DB$142,DI124,FCR!$DE$4:$EG$142)</f>
        <v>0</v>
      </c>
      <c r="DK124" s="48" t="e">
        <f t="shared" ca="1" si="147"/>
        <v>#DIV/0!</v>
      </c>
      <c r="DL124" s="55" t="e">
        <f t="shared" ca="1" si="148"/>
        <v>#DIV/0!</v>
      </c>
      <c r="DM124" s="48" t="e">
        <f t="shared" ca="1" si="149"/>
        <v>#DIV/0!</v>
      </c>
      <c r="DN124" s="48">
        <f ca="1">SUMIF(FCR!$BZ$4:$DB$142,DM124,FCR!$DE$4:$EG$142)</f>
        <v>0</v>
      </c>
      <c r="DO124" s="53" t="e">
        <f t="shared" ca="1" si="150"/>
        <v>#DIV/0!</v>
      </c>
      <c r="DP124" s="55" t="e">
        <f t="shared" ca="1" si="151"/>
        <v>#DIV/0!</v>
      </c>
      <c r="DQ124" s="55" t="e">
        <f t="shared" ca="1" si="152"/>
        <v>#DIV/0!</v>
      </c>
      <c r="DR124" s="55"/>
      <c r="DS124" s="55" t="e">
        <f t="shared" ca="1" si="153"/>
        <v>#DIV/0!</v>
      </c>
      <c r="DT124" s="55" t="e">
        <f t="shared" ca="1" si="154"/>
        <v>#DIV/0!</v>
      </c>
      <c r="DU124" s="53">
        <f t="shared" ca="1" si="155"/>
        <v>0</v>
      </c>
      <c r="DV124" s="59" t="e">
        <f t="shared" ca="1" si="156"/>
        <v>#DIV/0!</v>
      </c>
    </row>
    <row r="125" spans="1:12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AD125" s="49" t="s">
        <v>337</v>
      </c>
      <c r="AE125" s="49">
        <f t="shared" ca="1" si="102"/>
        <v>0</v>
      </c>
      <c r="AF125" s="49">
        <f t="shared" ca="1" si="103"/>
        <v>0</v>
      </c>
      <c r="AG125" s="114">
        <f t="shared" ca="1" si="104"/>
        <v>0</v>
      </c>
      <c r="AH125" s="104">
        <f t="shared" ca="1" si="105"/>
        <v>0</v>
      </c>
      <c r="AI125" s="104">
        <f t="shared" ca="1" si="106"/>
        <v>0</v>
      </c>
      <c r="AJ125" s="104">
        <f t="shared" ca="1" si="107"/>
        <v>0</v>
      </c>
      <c r="AK125" s="104">
        <f t="shared" ca="1" si="108"/>
        <v>0</v>
      </c>
      <c r="AL125" s="104">
        <f t="shared" ca="1" si="109"/>
        <v>0</v>
      </c>
      <c r="AM125" s="104">
        <f t="shared" ca="1" si="110"/>
        <v>0</v>
      </c>
      <c r="AN125" s="104">
        <f t="shared" ca="1" si="111"/>
        <v>0</v>
      </c>
      <c r="AO125" s="104">
        <f t="shared" ca="1" si="112"/>
        <v>0</v>
      </c>
      <c r="AP125" s="104">
        <f t="shared" ca="1" si="113"/>
        <v>0</v>
      </c>
      <c r="AQ125" s="49">
        <f t="shared" ca="1" si="114"/>
        <v>0</v>
      </c>
      <c r="AR125" s="104">
        <f t="shared" ca="1" si="115"/>
        <v>0</v>
      </c>
      <c r="AS125" s="104">
        <f t="shared" ca="1" si="116"/>
        <v>0</v>
      </c>
      <c r="AT125" s="104">
        <f t="shared" ca="1" si="117"/>
        <v>0</v>
      </c>
      <c r="AU125" s="104">
        <f t="shared" ca="1" si="118"/>
        <v>0</v>
      </c>
      <c r="BF125" s="49">
        <f t="shared" ca="1" si="119"/>
        <v>0</v>
      </c>
      <c r="BG125" s="49">
        <f t="shared" ca="1" si="120"/>
        <v>0</v>
      </c>
      <c r="BH125" s="54" t="e">
        <f t="shared" ca="1" si="121"/>
        <v>#DIV/0!</v>
      </c>
      <c r="BI125" s="112" t="e">
        <f t="shared" ca="1" si="122"/>
        <v>#DIV/0!</v>
      </c>
      <c r="BK125" s="55" t="e">
        <f t="shared" ca="1" si="123"/>
        <v>#DIV/0!</v>
      </c>
      <c r="BL125" s="55" t="e">
        <f t="shared" ca="1" si="124"/>
        <v>#DIV/0!</v>
      </c>
      <c r="BM125" s="55" t="e">
        <f t="shared" ca="1" si="125"/>
        <v>#DIV/0!</v>
      </c>
      <c r="BN125" s="53">
        <f t="shared" ca="1" si="126"/>
        <v>0</v>
      </c>
      <c r="BO125" s="112" t="e">
        <f t="shared" ca="1" si="127"/>
        <v>#DIV/0!</v>
      </c>
      <c r="BR125" s="53" t="e">
        <f t="shared" ca="1" si="128"/>
        <v>#DIV/0!</v>
      </c>
      <c r="BS125" s="53">
        <f t="shared" ca="1" si="129"/>
        <v>0</v>
      </c>
      <c r="BT125" s="53">
        <f t="shared" ca="1" si="130"/>
        <v>0</v>
      </c>
      <c r="BU125" s="56" t="e">
        <f t="shared" ca="1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ca="1" si="134"/>
        <v>0</v>
      </c>
      <c r="CW125" s="53">
        <f t="shared" ca="1" si="135"/>
        <v>0</v>
      </c>
      <c r="CX125" s="58" t="e">
        <f t="shared" ca="1" si="136"/>
        <v>#DIV/0!</v>
      </c>
      <c r="CY125" s="53">
        <f t="shared" ca="1" si="137"/>
        <v>0</v>
      </c>
      <c r="CZ125" s="53">
        <f t="shared" ca="1" si="138"/>
        <v>0</v>
      </c>
      <c r="DA125" s="58" t="e">
        <f t="shared" ca="1" si="139"/>
        <v>#DIV/0!</v>
      </c>
      <c r="DB125" s="48" t="e">
        <f t="shared" ca="1" si="140"/>
        <v>#DIV/0!</v>
      </c>
      <c r="DC125" s="48" t="e">
        <f t="shared" ca="1" si="141"/>
        <v>#DIV/0!</v>
      </c>
      <c r="DD125" s="48" t="e">
        <f t="shared" ca="1" si="142"/>
        <v>#DIV/0!</v>
      </c>
      <c r="DE125" s="48" t="e">
        <f t="shared" ca="1" si="143"/>
        <v>#DIV/0!</v>
      </c>
      <c r="DF125" s="48" t="e">
        <f t="shared" ca="1" si="144"/>
        <v>#DIV/0!</v>
      </c>
      <c r="DG125" s="48" t="e">
        <f t="shared" ca="1" si="145"/>
        <v>#DIV/0!</v>
      </c>
      <c r="DH125" s="48">
        <f ca="1">SUMIF(FCR!$BZ$4:$DB$500,DG125,FCR!$DE$4:$EG$500)</f>
        <v>0</v>
      </c>
      <c r="DI125" s="48" t="e">
        <f t="shared" ca="1" si="146"/>
        <v>#DIV/0!</v>
      </c>
      <c r="DJ125" s="48">
        <f ca="1">SUMIF(FCR!$BZ$4:$DB$142,DI125,FCR!$DE$4:$EG$142)</f>
        <v>0</v>
      </c>
      <c r="DK125" s="48" t="e">
        <f t="shared" ca="1" si="147"/>
        <v>#DIV/0!</v>
      </c>
      <c r="DL125" s="55" t="e">
        <f t="shared" ca="1" si="148"/>
        <v>#DIV/0!</v>
      </c>
      <c r="DM125" s="48" t="e">
        <f t="shared" ca="1" si="149"/>
        <v>#DIV/0!</v>
      </c>
      <c r="DN125" s="48">
        <f ca="1">SUMIF(FCR!$BZ$4:$DB$142,DM125,FCR!$DE$4:$EG$142)</f>
        <v>0</v>
      </c>
      <c r="DO125" s="53" t="e">
        <f t="shared" ca="1" si="150"/>
        <v>#DIV/0!</v>
      </c>
      <c r="DP125" s="55" t="e">
        <f t="shared" ca="1" si="151"/>
        <v>#DIV/0!</v>
      </c>
      <c r="DQ125" s="55" t="e">
        <f t="shared" ca="1" si="152"/>
        <v>#DIV/0!</v>
      </c>
      <c r="DR125" s="55"/>
      <c r="DS125" s="55" t="e">
        <f t="shared" ca="1" si="153"/>
        <v>#DIV/0!</v>
      </c>
      <c r="DT125" s="55" t="e">
        <f t="shared" ca="1" si="154"/>
        <v>#DIV/0!</v>
      </c>
      <c r="DU125" s="53">
        <f t="shared" ca="1" si="155"/>
        <v>0</v>
      </c>
      <c r="DV125" s="59" t="e">
        <f t="shared" ca="1" si="156"/>
        <v>#DIV/0!</v>
      </c>
    </row>
    <row r="126" spans="1:12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AD126" s="49" t="s">
        <v>337</v>
      </c>
      <c r="AE126" s="49">
        <f t="shared" ca="1" si="102"/>
        <v>0</v>
      </c>
      <c r="AF126" s="49">
        <f t="shared" ca="1" si="103"/>
        <v>0</v>
      </c>
      <c r="AG126" s="114">
        <f t="shared" ca="1" si="104"/>
        <v>0</v>
      </c>
      <c r="AH126" s="104">
        <f t="shared" ca="1" si="105"/>
        <v>0</v>
      </c>
      <c r="AI126" s="104">
        <f t="shared" ca="1" si="106"/>
        <v>0</v>
      </c>
      <c r="AJ126" s="104">
        <f t="shared" ca="1" si="107"/>
        <v>0</v>
      </c>
      <c r="AK126" s="104">
        <f t="shared" ca="1" si="108"/>
        <v>0</v>
      </c>
      <c r="AL126" s="104">
        <f t="shared" ca="1" si="109"/>
        <v>0</v>
      </c>
      <c r="AM126" s="104">
        <f t="shared" ca="1" si="110"/>
        <v>0</v>
      </c>
      <c r="AN126" s="104">
        <f t="shared" ca="1" si="111"/>
        <v>0</v>
      </c>
      <c r="AO126" s="104">
        <f t="shared" ca="1" si="112"/>
        <v>0</v>
      </c>
      <c r="AP126" s="104">
        <f t="shared" ca="1" si="113"/>
        <v>0</v>
      </c>
      <c r="AQ126" s="49">
        <f t="shared" ca="1" si="114"/>
        <v>0</v>
      </c>
      <c r="AR126" s="104">
        <f t="shared" ca="1" si="115"/>
        <v>0</v>
      </c>
      <c r="AS126" s="104">
        <f t="shared" ca="1" si="116"/>
        <v>0</v>
      </c>
      <c r="AT126" s="104">
        <f t="shared" ca="1" si="117"/>
        <v>0</v>
      </c>
      <c r="AU126" s="104">
        <f t="shared" ca="1" si="118"/>
        <v>0</v>
      </c>
      <c r="BF126" s="49">
        <f t="shared" ca="1" si="119"/>
        <v>0</v>
      </c>
      <c r="BG126" s="49">
        <f t="shared" ca="1" si="120"/>
        <v>0</v>
      </c>
      <c r="BH126" s="54" t="e">
        <f t="shared" ca="1" si="121"/>
        <v>#DIV/0!</v>
      </c>
      <c r="BI126" s="112" t="e">
        <f t="shared" ca="1" si="122"/>
        <v>#DIV/0!</v>
      </c>
      <c r="BK126" s="55" t="e">
        <f t="shared" ca="1" si="123"/>
        <v>#DIV/0!</v>
      </c>
      <c r="BL126" s="55" t="e">
        <f t="shared" ca="1" si="124"/>
        <v>#DIV/0!</v>
      </c>
      <c r="BM126" s="55" t="e">
        <f t="shared" ca="1" si="125"/>
        <v>#DIV/0!</v>
      </c>
      <c r="BN126" s="53">
        <f t="shared" ca="1" si="126"/>
        <v>0</v>
      </c>
      <c r="BO126" s="112" t="e">
        <f t="shared" ca="1" si="127"/>
        <v>#DIV/0!</v>
      </c>
      <c r="BR126" s="53" t="e">
        <f t="shared" ca="1" si="128"/>
        <v>#DIV/0!</v>
      </c>
      <c r="BS126" s="53">
        <f t="shared" ca="1" si="129"/>
        <v>0</v>
      </c>
      <c r="BT126" s="53">
        <f t="shared" ca="1" si="130"/>
        <v>0</v>
      </c>
      <c r="BU126" s="56" t="e">
        <f t="shared" ca="1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ca="1" si="134"/>
        <v>0</v>
      </c>
      <c r="CW126" s="53">
        <f t="shared" ca="1" si="135"/>
        <v>0</v>
      </c>
      <c r="CX126" s="58" t="e">
        <f t="shared" ca="1" si="136"/>
        <v>#DIV/0!</v>
      </c>
      <c r="CY126" s="53">
        <f t="shared" ca="1" si="137"/>
        <v>0</v>
      </c>
      <c r="CZ126" s="53">
        <f t="shared" ca="1" si="138"/>
        <v>0</v>
      </c>
      <c r="DA126" s="58" t="e">
        <f t="shared" ca="1" si="139"/>
        <v>#DIV/0!</v>
      </c>
      <c r="DB126" s="48" t="e">
        <f t="shared" ca="1" si="140"/>
        <v>#DIV/0!</v>
      </c>
      <c r="DC126" s="48" t="e">
        <f t="shared" ca="1" si="141"/>
        <v>#DIV/0!</v>
      </c>
      <c r="DD126" s="48" t="e">
        <f t="shared" ca="1" si="142"/>
        <v>#DIV/0!</v>
      </c>
      <c r="DE126" s="48" t="e">
        <f t="shared" ca="1" si="143"/>
        <v>#DIV/0!</v>
      </c>
      <c r="DF126" s="48" t="e">
        <f t="shared" ca="1" si="144"/>
        <v>#DIV/0!</v>
      </c>
      <c r="DG126" s="48" t="e">
        <f t="shared" ca="1" si="145"/>
        <v>#DIV/0!</v>
      </c>
      <c r="DH126" s="48">
        <f ca="1">SUMIF(FCR!$BZ$4:$DB$500,DG126,FCR!$DE$4:$EG$500)</f>
        <v>0</v>
      </c>
      <c r="DI126" s="48" t="e">
        <f t="shared" ca="1" si="146"/>
        <v>#DIV/0!</v>
      </c>
      <c r="DJ126" s="48">
        <f ca="1">SUMIF(FCR!$BZ$4:$DB$142,DI126,FCR!$DE$4:$EG$142)</f>
        <v>0</v>
      </c>
      <c r="DK126" s="48" t="e">
        <f t="shared" ca="1" si="147"/>
        <v>#DIV/0!</v>
      </c>
      <c r="DL126" s="55" t="e">
        <f t="shared" ca="1" si="148"/>
        <v>#DIV/0!</v>
      </c>
      <c r="DM126" s="48" t="e">
        <f t="shared" ca="1" si="149"/>
        <v>#DIV/0!</v>
      </c>
      <c r="DN126" s="48">
        <f ca="1">SUMIF(FCR!$BZ$4:$DB$142,DM126,FCR!$DE$4:$EG$142)</f>
        <v>0</v>
      </c>
      <c r="DO126" s="53" t="e">
        <f t="shared" ca="1" si="150"/>
        <v>#DIV/0!</v>
      </c>
      <c r="DP126" s="55" t="e">
        <f t="shared" ca="1" si="151"/>
        <v>#DIV/0!</v>
      </c>
      <c r="DQ126" s="55" t="e">
        <f t="shared" ca="1" si="152"/>
        <v>#DIV/0!</v>
      </c>
      <c r="DR126" s="55"/>
      <c r="DS126" s="55" t="e">
        <f t="shared" ca="1" si="153"/>
        <v>#DIV/0!</v>
      </c>
      <c r="DT126" s="55" t="e">
        <f t="shared" ca="1" si="154"/>
        <v>#DIV/0!</v>
      </c>
      <c r="DU126" s="53">
        <f t="shared" ca="1" si="155"/>
        <v>0</v>
      </c>
      <c r="DV126" s="59" t="e">
        <f t="shared" ca="1" si="156"/>
        <v>#DIV/0!</v>
      </c>
    </row>
    <row r="127" spans="1:12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AD127" s="49" t="s">
        <v>337</v>
      </c>
      <c r="AE127" s="49">
        <f t="shared" ca="1" si="102"/>
        <v>0</v>
      </c>
      <c r="AF127" s="49">
        <f t="shared" ca="1" si="103"/>
        <v>0</v>
      </c>
      <c r="AG127" s="114">
        <f t="shared" ca="1" si="104"/>
        <v>0</v>
      </c>
      <c r="AH127" s="104">
        <f t="shared" ca="1" si="105"/>
        <v>0</v>
      </c>
      <c r="AI127" s="104">
        <f t="shared" ca="1" si="106"/>
        <v>0</v>
      </c>
      <c r="AJ127" s="104">
        <f t="shared" ca="1" si="107"/>
        <v>0</v>
      </c>
      <c r="AK127" s="104">
        <f t="shared" ca="1" si="108"/>
        <v>0</v>
      </c>
      <c r="AL127" s="104">
        <f t="shared" ca="1" si="109"/>
        <v>0</v>
      </c>
      <c r="AM127" s="104">
        <f t="shared" ca="1" si="110"/>
        <v>0</v>
      </c>
      <c r="AN127" s="104">
        <f t="shared" ca="1" si="111"/>
        <v>0</v>
      </c>
      <c r="AO127" s="104">
        <f t="shared" ca="1" si="112"/>
        <v>0</v>
      </c>
      <c r="AP127" s="104">
        <f t="shared" ca="1" si="113"/>
        <v>0</v>
      </c>
      <c r="AQ127" s="49">
        <f t="shared" ca="1" si="114"/>
        <v>0</v>
      </c>
      <c r="AR127" s="104">
        <f t="shared" ca="1" si="115"/>
        <v>0</v>
      </c>
      <c r="AS127" s="104">
        <f t="shared" ca="1" si="116"/>
        <v>0</v>
      </c>
      <c r="AT127" s="104">
        <f t="shared" ca="1" si="117"/>
        <v>0</v>
      </c>
      <c r="AU127" s="104">
        <f t="shared" ca="1" si="118"/>
        <v>0</v>
      </c>
      <c r="BF127" s="49">
        <f t="shared" ca="1" si="119"/>
        <v>0</v>
      </c>
      <c r="BG127" s="49">
        <f t="shared" ca="1" si="120"/>
        <v>0</v>
      </c>
      <c r="BH127" s="54" t="e">
        <f t="shared" ca="1" si="121"/>
        <v>#DIV/0!</v>
      </c>
      <c r="BI127" s="112" t="e">
        <f t="shared" ca="1" si="122"/>
        <v>#DIV/0!</v>
      </c>
      <c r="BK127" s="55" t="e">
        <f t="shared" ca="1" si="123"/>
        <v>#DIV/0!</v>
      </c>
      <c r="BL127" s="55" t="e">
        <f t="shared" ca="1" si="124"/>
        <v>#DIV/0!</v>
      </c>
      <c r="BM127" s="55" t="e">
        <f t="shared" ca="1" si="125"/>
        <v>#DIV/0!</v>
      </c>
      <c r="BN127" s="53">
        <f t="shared" ca="1" si="126"/>
        <v>0</v>
      </c>
      <c r="BO127" s="112" t="e">
        <f t="shared" ca="1" si="127"/>
        <v>#DIV/0!</v>
      </c>
      <c r="BR127" s="53" t="e">
        <f t="shared" ca="1" si="128"/>
        <v>#DIV/0!</v>
      </c>
      <c r="BS127" s="53">
        <f t="shared" ca="1" si="129"/>
        <v>0</v>
      </c>
      <c r="BT127" s="53">
        <f t="shared" ca="1" si="130"/>
        <v>0</v>
      </c>
      <c r="BU127" s="56" t="e">
        <f t="shared" ca="1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ca="1" si="134"/>
        <v>0</v>
      </c>
      <c r="CW127" s="53">
        <f t="shared" ca="1" si="135"/>
        <v>0</v>
      </c>
      <c r="CX127" s="58" t="e">
        <f t="shared" ca="1" si="136"/>
        <v>#DIV/0!</v>
      </c>
      <c r="CY127" s="53">
        <f t="shared" ca="1" si="137"/>
        <v>0</v>
      </c>
      <c r="CZ127" s="53">
        <f t="shared" ca="1" si="138"/>
        <v>0</v>
      </c>
      <c r="DA127" s="58" t="e">
        <f t="shared" ca="1" si="139"/>
        <v>#DIV/0!</v>
      </c>
      <c r="DB127" s="48" t="e">
        <f t="shared" ca="1" si="140"/>
        <v>#DIV/0!</v>
      </c>
      <c r="DC127" s="48" t="e">
        <f t="shared" ca="1" si="141"/>
        <v>#DIV/0!</v>
      </c>
      <c r="DD127" s="48" t="e">
        <f t="shared" ca="1" si="142"/>
        <v>#DIV/0!</v>
      </c>
      <c r="DE127" s="48" t="e">
        <f t="shared" ca="1" si="143"/>
        <v>#DIV/0!</v>
      </c>
      <c r="DF127" s="48" t="e">
        <f t="shared" ca="1" si="144"/>
        <v>#DIV/0!</v>
      </c>
      <c r="DG127" s="48" t="e">
        <f t="shared" ca="1" si="145"/>
        <v>#DIV/0!</v>
      </c>
      <c r="DH127" s="48">
        <f ca="1">SUMIF(FCR!$BZ$4:$DB$500,DG127,FCR!$DE$4:$EG$500)</f>
        <v>0</v>
      </c>
      <c r="DI127" s="48" t="e">
        <f t="shared" ca="1" si="146"/>
        <v>#DIV/0!</v>
      </c>
      <c r="DJ127" s="48">
        <f ca="1">SUMIF(FCR!$BZ$4:$DB$142,DI127,FCR!$DE$4:$EG$142)</f>
        <v>0</v>
      </c>
      <c r="DK127" s="48" t="e">
        <f t="shared" ca="1" si="147"/>
        <v>#DIV/0!</v>
      </c>
      <c r="DL127" s="55" t="e">
        <f t="shared" ca="1" si="148"/>
        <v>#DIV/0!</v>
      </c>
      <c r="DM127" s="48" t="e">
        <f t="shared" ca="1" si="149"/>
        <v>#DIV/0!</v>
      </c>
      <c r="DN127" s="48">
        <f ca="1">SUMIF(FCR!$BZ$4:$DB$142,DM127,FCR!$DE$4:$EG$142)</f>
        <v>0</v>
      </c>
      <c r="DO127" s="53" t="e">
        <f t="shared" ca="1" si="150"/>
        <v>#DIV/0!</v>
      </c>
      <c r="DP127" s="55" t="e">
        <f t="shared" ca="1" si="151"/>
        <v>#DIV/0!</v>
      </c>
      <c r="DQ127" s="55" t="e">
        <f t="shared" ca="1" si="152"/>
        <v>#DIV/0!</v>
      </c>
      <c r="DR127" s="55"/>
      <c r="DS127" s="55" t="e">
        <f t="shared" ca="1" si="153"/>
        <v>#DIV/0!</v>
      </c>
      <c r="DT127" s="55" t="e">
        <f t="shared" ca="1" si="154"/>
        <v>#DIV/0!</v>
      </c>
      <c r="DU127" s="53">
        <f t="shared" ca="1" si="155"/>
        <v>0</v>
      </c>
      <c r="DV127" s="59" t="e">
        <f t="shared" ca="1" si="156"/>
        <v>#DIV/0!</v>
      </c>
    </row>
    <row r="128" spans="1:12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AD128" s="49" t="s">
        <v>337</v>
      </c>
      <c r="AE128" s="49">
        <f t="shared" ca="1" si="102"/>
        <v>0</v>
      </c>
      <c r="AF128" s="49">
        <f t="shared" ca="1" si="103"/>
        <v>0</v>
      </c>
      <c r="AG128" s="114">
        <f t="shared" ca="1" si="104"/>
        <v>0</v>
      </c>
      <c r="AH128" s="104">
        <f t="shared" ca="1" si="105"/>
        <v>0</v>
      </c>
      <c r="AI128" s="104">
        <f t="shared" ca="1" si="106"/>
        <v>0</v>
      </c>
      <c r="AJ128" s="104">
        <f t="shared" ca="1" si="107"/>
        <v>0</v>
      </c>
      <c r="AK128" s="104">
        <f t="shared" ca="1" si="108"/>
        <v>0</v>
      </c>
      <c r="AL128" s="104">
        <f t="shared" ca="1" si="109"/>
        <v>0</v>
      </c>
      <c r="AM128" s="104">
        <f t="shared" ca="1" si="110"/>
        <v>0</v>
      </c>
      <c r="AN128" s="104">
        <f t="shared" ca="1" si="111"/>
        <v>0</v>
      </c>
      <c r="AO128" s="104">
        <f t="shared" ca="1" si="112"/>
        <v>0</v>
      </c>
      <c r="AP128" s="104">
        <f t="shared" ca="1" si="113"/>
        <v>0</v>
      </c>
      <c r="AQ128" s="49">
        <f t="shared" ca="1" si="114"/>
        <v>0</v>
      </c>
      <c r="AR128" s="104">
        <f t="shared" ca="1" si="115"/>
        <v>0</v>
      </c>
      <c r="AS128" s="104">
        <f t="shared" ca="1" si="116"/>
        <v>0</v>
      </c>
      <c r="AT128" s="104">
        <f t="shared" ca="1" si="117"/>
        <v>0</v>
      </c>
      <c r="AU128" s="104">
        <f t="shared" ca="1" si="118"/>
        <v>0</v>
      </c>
      <c r="BF128" s="49">
        <f t="shared" ca="1" si="119"/>
        <v>0</v>
      </c>
      <c r="BG128" s="49">
        <f t="shared" ca="1" si="120"/>
        <v>0</v>
      </c>
      <c r="BH128" s="54" t="e">
        <f t="shared" ca="1" si="121"/>
        <v>#DIV/0!</v>
      </c>
      <c r="BI128" s="112" t="e">
        <f t="shared" ca="1" si="122"/>
        <v>#DIV/0!</v>
      </c>
      <c r="BK128" s="55" t="e">
        <f t="shared" ca="1" si="123"/>
        <v>#DIV/0!</v>
      </c>
      <c r="BL128" s="55" t="e">
        <f t="shared" ca="1" si="124"/>
        <v>#DIV/0!</v>
      </c>
      <c r="BM128" s="55" t="e">
        <f t="shared" ca="1" si="125"/>
        <v>#DIV/0!</v>
      </c>
      <c r="BN128" s="53">
        <f t="shared" ca="1" si="126"/>
        <v>0</v>
      </c>
      <c r="BO128" s="112" t="e">
        <f t="shared" ca="1" si="127"/>
        <v>#DIV/0!</v>
      </c>
      <c r="BR128" s="53" t="e">
        <f t="shared" ca="1" si="128"/>
        <v>#DIV/0!</v>
      </c>
      <c r="BS128" s="53">
        <f t="shared" ca="1" si="129"/>
        <v>0</v>
      </c>
      <c r="BT128" s="53">
        <f t="shared" ca="1" si="130"/>
        <v>0</v>
      </c>
      <c r="BU128" s="56" t="e">
        <f t="shared" ca="1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ca="1" si="134"/>
        <v>0</v>
      </c>
      <c r="CW128" s="53">
        <f t="shared" ca="1" si="135"/>
        <v>0</v>
      </c>
      <c r="CX128" s="58" t="e">
        <f t="shared" ca="1" si="136"/>
        <v>#DIV/0!</v>
      </c>
      <c r="CY128" s="53">
        <f t="shared" ca="1" si="137"/>
        <v>0</v>
      </c>
      <c r="CZ128" s="53">
        <f t="shared" ca="1" si="138"/>
        <v>0</v>
      </c>
      <c r="DA128" s="58" t="e">
        <f t="shared" ca="1" si="139"/>
        <v>#DIV/0!</v>
      </c>
      <c r="DB128" s="48" t="e">
        <f t="shared" ca="1" si="140"/>
        <v>#DIV/0!</v>
      </c>
      <c r="DC128" s="48" t="e">
        <f t="shared" ca="1" si="141"/>
        <v>#DIV/0!</v>
      </c>
      <c r="DD128" s="48" t="e">
        <f t="shared" ca="1" si="142"/>
        <v>#DIV/0!</v>
      </c>
      <c r="DE128" s="48" t="e">
        <f t="shared" ca="1" si="143"/>
        <v>#DIV/0!</v>
      </c>
      <c r="DF128" s="48" t="e">
        <f t="shared" ca="1" si="144"/>
        <v>#DIV/0!</v>
      </c>
      <c r="DG128" s="48" t="e">
        <f t="shared" ca="1" si="145"/>
        <v>#DIV/0!</v>
      </c>
      <c r="DH128" s="48">
        <f ca="1">SUMIF(FCR!$BZ$4:$DB$500,DG128,FCR!$DE$4:$EG$500)</f>
        <v>0</v>
      </c>
      <c r="DI128" s="48" t="e">
        <f t="shared" ca="1" si="146"/>
        <v>#DIV/0!</v>
      </c>
      <c r="DJ128" s="48">
        <f ca="1">SUMIF(FCR!$BZ$4:$DB$142,DI128,FCR!$DE$4:$EG$142)</f>
        <v>0</v>
      </c>
      <c r="DK128" s="48" t="e">
        <f t="shared" ca="1" si="147"/>
        <v>#DIV/0!</v>
      </c>
      <c r="DL128" s="55" t="e">
        <f t="shared" ca="1" si="148"/>
        <v>#DIV/0!</v>
      </c>
      <c r="DM128" s="48" t="e">
        <f t="shared" ca="1" si="149"/>
        <v>#DIV/0!</v>
      </c>
      <c r="DN128" s="48">
        <f ca="1">SUMIF(FCR!$BZ$4:$DB$142,DM128,FCR!$DE$4:$EG$142)</f>
        <v>0</v>
      </c>
      <c r="DO128" s="53" t="e">
        <f t="shared" ca="1" si="150"/>
        <v>#DIV/0!</v>
      </c>
      <c r="DP128" s="55" t="e">
        <f t="shared" ca="1" si="151"/>
        <v>#DIV/0!</v>
      </c>
      <c r="DQ128" s="55" t="e">
        <f t="shared" ca="1" si="152"/>
        <v>#DIV/0!</v>
      </c>
      <c r="DR128" s="55"/>
      <c r="DS128" s="55" t="e">
        <f t="shared" ca="1" si="153"/>
        <v>#DIV/0!</v>
      </c>
      <c r="DT128" s="55" t="e">
        <f t="shared" ca="1" si="154"/>
        <v>#DIV/0!</v>
      </c>
      <c r="DU128" s="53">
        <f t="shared" ca="1" si="155"/>
        <v>0</v>
      </c>
      <c r="DV128" s="59" t="e">
        <f t="shared" ca="1" si="156"/>
        <v>#DIV/0!</v>
      </c>
    </row>
    <row r="129" spans="1:12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AD129" s="49" t="s">
        <v>337</v>
      </c>
      <c r="AE129" s="49">
        <f t="shared" ca="1" si="102"/>
        <v>0</v>
      </c>
      <c r="AF129" s="49">
        <f t="shared" ca="1" si="103"/>
        <v>0</v>
      </c>
      <c r="AG129" s="114">
        <f t="shared" ca="1" si="104"/>
        <v>0</v>
      </c>
      <c r="AH129" s="104">
        <f t="shared" ca="1" si="105"/>
        <v>0</v>
      </c>
      <c r="AI129" s="104">
        <f t="shared" ca="1" si="106"/>
        <v>0</v>
      </c>
      <c r="AJ129" s="104">
        <f t="shared" ca="1" si="107"/>
        <v>0</v>
      </c>
      <c r="AK129" s="104">
        <f t="shared" ca="1" si="108"/>
        <v>0</v>
      </c>
      <c r="AL129" s="104">
        <f t="shared" ca="1" si="109"/>
        <v>0</v>
      </c>
      <c r="AM129" s="104">
        <f t="shared" ca="1" si="110"/>
        <v>0</v>
      </c>
      <c r="AN129" s="104">
        <f t="shared" ca="1" si="111"/>
        <v>0</v>
      </c>
      <c r="AO129" s="104">
        <f t="shared" ca="1" si="112"/>
        <v>0</v>
      </c>
      <c r="AP129" s="104">
        <f t="shared" ca="1" si="113"/>
        <v>0</v>
      </c>
      <c r="AQ129" s="49">
        <f t="shared" ca="1" si="114"/>
        <v>0</v>
      </c>
      <c r="AR129" s="104">
        <f t="shared" ca="1" si="115"/>
        <v>0</v>
      </c>
      <c r="AS129" s="104">
        <f t="shared" ca="1" si="116"/>
        <v>0</v>
      </c>
      <c r="AT129" s="104">
        <f t="shared" ca="1" si="117"/>
        <v>0</v>
      </c>
      <c r="AU129" s="104">
        <f t="shared" ca="1" si="118"/>
        <v>0</v>
      </c>
      <c r="BF129" s="49">
        <f t="shared" ca="1" si="119"/>
        <v>0</v>
      </c>
      <c r="BG129" s="49">
        <f t="shared" ca="1" si="120"/>
        <v>0</v>
      </c>
      <c r="BH129" s="54" t="e">
        <f t="shared" ca="1" si="121"/>
        <v>#DIV/0!</v>
      </c>
      <c r="BI129" s="112" t="e">
        <f t="shared" ca="1" si="122"/>
        <v>#DIV/0!</v>
      </c>
      <c r="BK129" s="55" t="e">
        <f t="shared" ca="1" si="123"/>
        <v>#DIV/0!</v>
      </c>
      <c r="BL129" s="55" t="e">
        <f t="shared" ca="1" si="124"/>
        <v>#DIV/0!</v>
      </c>
      <c r="BM129" s="55" t="e">
        <f t="shared" ca="1" si="125"/>
        <v>#DIV/0!</v>
      </c>
      <c r="BN129" s="53">
        <f t="shared" ca="1" si="126"/>
        <v>0</v>
      </c>
      <c r="BO129" s="112" t="e">
        <f t="shared" ca="1" si="127"/>
        <v>#DIV/0!</v>
      </c>
      <c r="BR129" s="53" t="e">
        <f t="shared" ca="1" si="128"/>
        <v>#DIV/0!</v>
      </c>
      <c r="BS129" s="53">
        <f t="shared" ca="1" si="129"/>
        <v>0</v>
      </c>
      <c r="BT129" s="53">
        <f t="shared" ca="1" si="130"/>
        <v>0</v>
      </c>
      <c r="BU129" s="56" t="e">
        <f t="shared" ca="1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ca="1" si="134"/>
        <v>0</v>
      </c>
      <c r="CW129" s="53">
        <f t="shared" ca="1" si="135"/>
        <v>0</v>
      </c>
      <c r="CX129" s="58" t="e">
        <f t="shared" ca="1" si="136"/>
        <v>#DIV/0!</v>
      </c>
      <c r="CY129" s="53">
        <f t="shared" ca="1" si="137"/>
        <v>0</v>
      </c>
      <c r="CZ129" s="53">
        <f t="shared" ca="1" si="138"/>
        <v>0</v>
      </c>
      <c r="DA129" s="58" t="e">
        <f t="shared" ca="1" si="139"/>
        <v>#DIV/0!</v>
      </c>
      <c r="DB129" s="48" t="e">
        <f t="shared" ca="1" si="140"/>
        <v>#DIV/0!</v>
      </c>
      <c r="DC129" s="48" t="e">
        <f t="shared" ca="1" si="141"/>
        <v>#DIV/0!</v>
      </c>
      <c r="DD129" s="48" t="e">
        <f t="shared" ca="1" si="142"/>
        <v>#DIV/0!</v>
      </c>
      <c r="DE129" s="48" t="e">
        <f t="shared" ca="1" si="143"/>
        <v>#DIV/0!</v>
      </c>
      <c r="DF129" s="48" t="e">
        <f t="shared" ca="1" si="144"/>
        <v>#DIV/0!</v>
      </c>
      <c r="DG129" s="48" t="e">
        <f t="shared" ca="1" si="145"/>
        <v>#DIV/0!</v>
      </c>
      <c r="DH129" s="48">
        <f ca="1">SUMIF(FCR!$BZ$4:$DB$500,DG129,FCR!$DE$4:$EG$500)</f>
        <v>0</v>
      </c>
      <c r="DI129" s="48" t="e">
        <f t="shared" ca="1" si="146"/>
        <v>#DIV/0!</v>
      </c>
      <c r="DJ129" s="48">
        <f ca="1">SUMIF(FCR!$BZ$4:$DB$142,DI129,FCR!$DE$4:$EG$142)</f>
        <v>0</v>
      </c>
      <c r="DK129" s="48" t="e">
        <f t="shared" ca="1" si="147"/>
        <v>#DIV/0!</v>
      </c>
      <c r="DL129" s="55" t="e">
        <f t="shared" ca="1" si="148"/>
        <v>#DIV/0!</v>
      </c>
      <c r="DM129" s="48" t="e">
        <f t="shared" ca="1" si="149"/>
        <v>#DIV/0!</v>
      </c>
      <c r="DN129" s="48">
        <f ca="1">SUMIF(FCR!$BZ$4:$DB$142,DM129,FCR!$DE$4:$EG$142)</f>
        <v>0</v>
      </c>
      <c r="DO129" s="53" t="e">
        <f t="shared" ca="1" si="150"/>
        <v>#DIV/0!</v>
      </c>
      <c r="DP129" s="55" t="e">
        <f t="shared" ca="1" si="151"/>
        <v>#DIV/0!</v>
      </c>
      <c r="DQ129" s="55" t="e">
        <f t="shared" ca="1" si="152"/>
        <v>#DIV/0!</v>
      </c>
      <c r="DR129" s="55"/>
      <c r="DS129" s="55" t="e">
        <f t="shared" ca="1" si="153"/>
        <v>#DIV/0!</v>
      </c>
      <c r="DT129" s="55" t="e">
        <f t="shared" ca="1" si="154"/>
        <v>#DIV/0!</v>
      </c>
      <c r="DU129" s="53">
        <f t="shared" ca="1" si="155"/>
        <v>0</v>
      </c>
      <c r="DV129" s="59" t="e">
        <f t="shared" ca="1" si="156"/>
        <v>#DIV/0!</v>
      </c>
    </row>
    <row r="130" spans="1:12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AD130" s="49" t="s">
        <v>337</v>
      </c>
      <c r="AE130" s="49">
        <f t="shared" ca="1" si="102"/>
        <v>0</v>
      </c>
      <c r="AF130" s="49">
        <f t="shared" ca="1" si="103"/>
        <v>0</v>
      </c>
      <c r="AG130" s="114">
        <f t="shared" ca="1" si="104"/>
        <v>0</v>
      </c>
      <c r="AH130" s="104">
        <f t="shared" ca="1" si="105"/>
        <v>0</v>
      </c>
      <c r="AI130" s="104">
        <f t="shared" ca="1" si="106"/>
        <v>0</v>
      </c>
      <c r="AJ130" s="104">
        <f t="shared" ca="1" si="107"/>
        <v>0</v>
      </c>
      <c r="AK130" s="104">
        <f t="shared" ca="1" si="108"/>
        <v>0</v>
      </c>
      <c r="AL130" s="104">
        <f t="shared" ca="1" si="109"/>
        <v>0</v>
      </c>
      <c r="AM130" s="104">
        <f t="shared" ca="1" si="110"/>
        <v>0</v>
      </c>
      <c r="AN130" s="104">
        <f t="shared" ca="1" si="111"/>
        <v>0</v>
      </c>
      <c r="AO130" s="104">
        <f t="shared" ca="1" si="112"/>
        <v>0</v>
      </c>
      <c r="AP130" s="104">
        <f t="shared" ca="1" si="113"/>
        <v>0</v>
      </c>
      <c r="AQ130" s="49">
        <f t="shared" ca="1" si="114"/>
        <v>0</v>
      </c>
      <c r="AR130" s="104">
        <f t="shared" ca="1" si="115"/>
        <v>0</v>
      </c>
      <c r="AS130" s="104">
        <f t="shared" ca="1" si="116"/>
        <v>0</v>
      </c>
      <c r="AT130" s="104">
        <f t="shared" ca="1" si="117"/>
        <v>0</v>
      </c>
      <c r="AU130" s="104">
        <f t="shared" ca="1" si="118"/>
        <v>0</v>
      </c>
      <c r="BF130" s="49">
        <f t="shared" ca="1" si="119"/>
        <v>0</v>
      </c>
      <c r="BG130" s="49">
        <f t="shared" ca="1" si="120"/>
        <v>0</v>
      </c>
      <c r="BH130" s="54" t="e">
        <f t="shared" ca="1" si="121"/>
        <v>#DIV/0!</v>
      </c>
      <c r="BI130" s="112" t="e">
        <f t="shared" ca="1" si="122"/>
        <v>#DIV/0!</v>
      </c>
      <c r="BK130" s="55" t="e">
        <f t="shared" ca="1" si="123"/>
        <v>#DIV/0!</v>
      </c>
      <c r="BL130" s="55" t="e">
        <f t="shared" ca="1" si="124"/>
        <v>#DIV/0!</v>
      </c>
      <c r="BM130" s="55" t="e">
        <f t="shared" ca="1" si="125"/>
        <v>#DIV/0!</v>
      </c>
      <c r="BN130" s="53">
        <f t="shared" ca="1" si="126"/>
        <v>0</v>
      </c>
      <c r="BO130" s="112" t="e">
        <f t="shared" ca="1" si="127"/>
        <v>#DIV/0!</v>
      </c>
      <c r="BR130" s="53" t="e">
        <f t="shared" ca="1" si="128"/>
        <v>#DIV/0!</v>
      </c>
      <c r="BS130" s="53">
        <f t="shared" ca="1" si="129"/>
        <v>0</v>
      </c>
      <c r="BT130" s="53">
        <f t="shared" ca="1" si="130"/>
        <v>0</v>
      </c>
      <c r="BU130" s="56" t="e">
        <f t="shared" ca="1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ca="1" si="134"/>
        <v>0</v>
      </c>
      <c r="CW130" s="53">
        <f t="shared" ca="1" si="135"/>
        <v>0</v>
      </c>
      <c r="CX130" s="58" t="e">
        <f t="shared" ca="1" si="136"/>
        <v>#DIV/0!</v>
      </c>
      <c r="CY130" s="53">
        <f t="shared" ca="1" si="137"/>
        <v>0</v>
      </c>
      <c r="CZ130" s="53">
        <f t="shared" ca="1" si="138"/>
        <v>0</v>
      </c>
      <c r="DA130" s="58" t="e">
        <f t="shared" ca="1" si="139"/>
        <v>#DIV/0!</v>
      </c>
      <c r="DB130" s="48" t="e">
        <f t="shared" ca="1" si="140"/>
        <v>#DIV/0!</v>
      </c>
      <c r="DC130" s="48" t="e">
        <f t="shared" ca="1" si="141"/>
        <v>#DIV/0!</v>
      </c>
      <c r="DD130" s="48" t="e">
        <f t="shared" ca="1" si="142"/>
        <v>#DIV/0!</v>
      </c>
      <c r="DE130" s="48" t="e">
        <f t="shared" ca="1" si="143"/>
        <v>#DIV/0!</v>
      </c>
      <c r="DF130" s="48" t="e">
        <f t="shared" ca="1" si="144"/>
        <v>#DIV/0!</v>
      </c>
      <c r="DG130" s="48" t="e">
        <f t="shared" ca="1" si="145"/>
        <v>#DIV/0!</v>
      </c>
      <c r="DH130" s="48">
        <f ca="1">SUMIF(FCR!$BZ$4:$DB$500,DG130,FCR!$DE$4:$EG$500)</f>
        <v>0</v>
      </c>
      <c r="DI130" s="48" t="e">
        <f t="shared" ca="1" si="146"/>
        <v>#DIV/0!</v>
      </c>
      <c r="DJ130" s="48">
        <f ca="1">SUMIF(FCR!$BZ$4:$DB$142,DI130,FCR!$DE$4:$EG$142)</f>
        <v>0</v>
      </c>
      <c r="DK130" s="48" t="e">
        <f t="shared" ca="1" si="147"/>
        <v>#DIV/0!</v>
      </c>
      <c r="DL130" s="55" t="e">
        <f t="shared" ca="1" si="148"/>
        <v>#DIV/0!</v>
      </c>
      <c r="DM130" s="48" t="e">
        <f t="shared" ca="1" si="149"/>
        <v>#DIV/0!</v>
      </c>
      <c r="DN130" s="48">
        <f ca="1">SUMIF(FCR!$BZ$4:$DB$142,DM130,FCR!$DE$4:$EG$142)</f>
        <v>0</v>
      </c>
      <c r="DO130" s="53" t="e">
        <f t="shared" ca="1" si="150"/>
        <v>#DIV/0!</v>
      </c>
      <c r="DP130" s="55" t="e">
        <f t="shared" ca="1" si="151"/>
        <v>#DIV/0!</v>
      </c>
      <c r="DQ130" s="55" t="e">
        <f t="shared" ca="1" si="152"/>
        <v>#DIV/0!</v>
      </c>
      <c r="DR130" s="55"/>
      <c r="DS130" s="55" t="e">
        <f t="shared" ca="1" si="153"/>
        <v>#DIV/0!</v>
      </c>
      <c r="DT130" s="55" t="e">
        <f t="shared" ca="1" si="154"/>
        <v>#DIV/0!</v>
      </c>
      <c r="DU130" s="53">
        <f t="shared" ca="1" si="155"/>
        <v>0</v>
      </c>
      <c r="DV130" s="59" t="e">
        <f t="shared" ca="1" si="156"/>
        <v>#DIV/0!</v>
      </c>
    </row>
    <row r="131" spans="1:12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AD131" s="49" t="s">
        <v>337</v>
      </c>
      <c r="AE131" s="49">
        <f t="shared" ca="1" si="102"/>
        <v>0</v>
      </c>
      <c r="AF131" s="49">
        <f t="shared" ca="1" si="103"/>
        <v>0</v>
      </c>
      <c r="AG131" s="114">
        <f t="shared" ca="1" si="104"/>
        <v>0</v>
      </c>
      <c r="AH131" s="104">
        <f t="shared" ca="1" si="105"/>
        <v>0</v>
      </c>
      <c r="AI131" s="104">
        <f t="shared" ca="1" si="106"/>
        <v>0</v>
      </c>
      <c r="AJ131" s="104">
        <f t="shared" ca="1" si="107"/>
        <v>0</v>
      </c>
      <c r="AK131" s="104">
        <f t="shared" ca="1" si="108"/>
        <v>0</v>
      </c>
      <c r="AL131" s="104">
        <f t="shared" ca="1" si="109"/>
        <v>0</v>
      </c>
      <c r="AM131" s="104">
        <f t="shared" ca="1" si="110"/>
        <v>0</v>
      </c>
      <c r="AN131" s="104">
        <f t="shared" ca="1" si="111"/>
        <v>0</v>
      </c>
      <c r="AO131" s="104">
        <f t="shared" ca="1" si="112"/>
        <v>0</v>
      </c>
      <c r="AP131" s="104">
        <f t="shared" ca="1" si="113"/>
        <v>0</v>
      </c>
      <c r="AQ131" s="49">
        <f t="shared" ca="1" si="114"/>
        <v>0</v>
      </c>
      <c r="AR131" s="104">
        <f t="shared" ca="1" si="115"/>
        <v>0</v>
      </c>
      <c r="AS131" s="104">
        <f t="shared" ca="1" si="116"/>
        <v>0</v>
      </c>
      <c r="AT131" s="104">
        <f t="shared" ca="1" si="117"/>
        <v>0</v>
      </c>
      <c r="AU131" s="104">
        <f t="shared" ca="1" si="118"/>
        <v>0</v>
      </c>
      <c r="BF131" s="49">
        <f t="shared" ca="1" si="119"/>
        <v>0</v>
      </c>
      <c r="BG131" s="49">
        <f t="shared" ca="1" si="120"/>
        <v>0</v>
      </c>
      <c r="BH131" s="54" t="e">
        <f t="shared" ca="1" si="121"/>
        <v>#DIV/0!</v>
      </c>
      <c r="BI131" s="112" t="e">
        <f t="shared" ca="1" si="122"/>
        <v>#DIV/0!</v>
      </c>
      <c r="BK131" s="55" t="e">
        <f t="shared" ca="1" si="123"/>
        <v>#DIV/0!</v>
      </c>
      <c r="BL131" s="55" t="e">
        <f t="shared" ca="1" si="124"/>
        <v>#DIV/0!</v>
      </c>
      <c r="BM131" s="55" t="e">
        <f t="shared" ca="1" si="125"/>
        <v>#DIV/0!</v>
      </c>
      <c r="BN131" s="53">
        <f t="shared" ca="1" si="126"/>
        <v>0</v>
      </c>
      <c r="BO131" s="112" t="e">
        <f t="shared" ca="1" si="127"/>
        <v>#DIV/0!</v>
      </c>
      <c r="BR131" s="53" t="e">
        <f t="shared" ca="1" si="128"/>
        <v>#DIV/0!</v>
      </c>
      <c r="BS131" s="53">
        <f t="shared" ca="1" si="129"/>
        <v>0</v>
      </c>
      <c r="BT131" s="53">
        <f t="shared" ca="1" si="130"/>
        <v>0</v>
      </c>
      <c r="BU131" s="56" t="e">
        <f t="shared" ca="1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ca="1" si="134"/>
        <v>0</v>
      </c>
      <c r="CW131" s="53">
        <f t="shared" ca="1" si="135"/>
        <v>0</v>
      </c>
      <c r="CX131" s="58" t="e">
        <f t="shared" ca="1" si="136"/>
        <v>#DIV/0!</v>
      </c>
      <c r="CY131" s="53">
        <f t="shared" ca="1" si="137"/>
        <v>0</v>
      </c>
      <c r="CZ131" s="53">
        <f t="shared" ca="1" si="138"/>
        <v>0</v>
      </c>
      <c r="DA131" s="58" t="e">
        <f t="shared" ca="1" si="139"/>
        <v>#DIV/0!</v>
      </c>
      <c r="DB131" s="48" t="e">
        <f t="shared" ca="1" si="140"/>
        <v>#DIV/0!</v>
      </c>
      <c r="DC131" s="48" t="e">
        <f t="shared" ca="1" si="141"/>
        <v>#DIV/0!</v>
      </c>
      <c r="DD131" s="48" t="e">
        <f t="shared" ca="1" si="142"/>
        <v>#DIV/0!</v>
      </c>
      <c r="DE131" s="48" t="e">
        <f t="shared" ca="1" si="143"/>
        <v>#DIV/0!</v>
      </c>
      <c r="DF131" s="48" t="e">
        <f t="shared" ca="1" si="144"/>
        <v>#DIV/0!</v>
      </c>
      <c r="DG131" s="48" t="e">
        <f t="shared" ca="1" si="145"/>
        <v>#DIV/0!</v>
      </c>
      <c r="DH131" s="48">
        <f ca="1">SUMIF(FCR!$BZ$4:$DB$500,DG131,FCR!$DE$4:$EG$500)</f>
        <v>0</v>
      </c>
      <c r="DI131" s="48" t="e">
        <f t="shared" ca="1" si="146"/>
        <v>#DIV/0!</v>
      </c>
      <c r="DJ131" s="48">
        <f ca="1">SUMIF(FCR!$BZ$4:$DB$142,DI131,FCR!$DE$4:$EG$142)</f>
        <v>0</v>
      </c>
      <c r="DK131" s="48" t="e">
        <f t="shared" ca="1" si="147"/>
        <v>#DIV/0!</v>
      </c>
      <c r="DL131" s="55" t="e">
        <f t="shared" ca="1" si="148"/>
        <v>#DIV/0!</v>
      </c>
      <c r="DM131" s="48" t="e">
        <f t="shared" ca="1" si="149"/>
        <v>#DIV/0!</v>
      </c>
      <c r="DN131" s="48">
        <f ca="1">SUMIF(FCR!$BZ$4:$DB$142,DM131,FCR!$DE$4:$EG$142)</f>
        <v>0</v>
      </c>
      <c r="DO131" s="53" t="e">
        <f t="shared" ca="1" si="150"/>
        <v>#DIV/0!</v>
      </c>
      <c r="DP131" s="55" t="e">
        <f t="shared" ca="1" si="151"/>
        <v>#DIV/0!</v>
      </c>
      <c r="DQ131" s="55" t="e">
        <f t="shared" ca="1" si="152"/>
        <v>#DIV/0!</v>
      </c>
      <c r="DR131" s="55"/>
      <c r="DS131" s="55" t="e">
        <f t="shared" ca="1" si="153"/>
        <v>#DIV/0!</v>
      </c>
      <c r="DT131" s="55" t="e">
        <f t="shared" ca="1" si="154"/>
        <v>#DIV/0!</v>
      </c>
      <c r="DU131" s="53">
        <f t="shared" ca="1" si="155"/>
        <v>0</v>
      </c>
      <c r="DV131" s="59" t="e">
        <f t="shared" ca="1" si="156"/>
        <v>#DIV/0!</v>
      </c>
    </row>
    <row r="132" spans="1:12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AD132" s="49" t="s">
        <v>337</v>
      </c>
      <c r="AE132" s="49">
        <f t="shared" ca="1" si="102"/>
        <v>0</v>
      </c>
      <c r="AF132" s="49">
        <f t="shared" ca="1" si="103"/>
        <v>0</v>
      </c>
      <c r="AG132" s="114">
        <f t="shared" ca="1" si="104"/>
        <v>0</v>
      </c>
      <c r="AH132" s="104">
        <f t="shared" ca="1" si="105"/>
        <v>0</v>
      </c>
      <c r="AI132" s="104">
        <f t="shared" ca="1" si="106"/>
        <v>0</v>
      </c>
      <c r="AJ132" s="104">
        <f t="shared" ca="1" si="107"/>
        <v>0</v>
      </c>
      <c r="AK132" s="104">
        <f t="shared" ca="1" si="108"/>
        <v>0</v>
      </c>
      <c r="AL132" s="104">
        <f t="shared" ca="1" si="109"/>
        <v>0</v>
      </c>
      <c r="AM132" s="104">
        <f t="shared" ca="1" si="110"/>
        <v>0</v>
      </c>
      <c r="AN132" s="104">
        <f t="shared" ca="1" si="111"/>
        <v>0</v>
      </c>
      <c r="AO132" s="104">
        <f t="shared" ca="1" si="112"/>
        <v>0</v>
      </c>
      <c r="AP132" s="104">
        <f t="shared" ca="1" si="113"/>
        <v>0</v>
      </c>
      <c r="AQ132" s="49">
        <f t="shared" ca="1" si="114"/>
        <v>0</v>
      </c>
      <c r="AR132" s="104">
        <f t="shared" ca="1" si="115"/>
        <v>0</v>
      </c>
      <c r="AS132" s="104">
        <f t="shared" ca="1" si="116"/>
        <v>0</v>
      </c>
      <c r="AT132" s="104">
        <f t="shared" ca="1" si="117"/>
        <v>0</v>
      </c>
      <c r="AU132" s="104">
        <f t="shared" ca="1" si="118"/>
        <v>0</v>
      </c>
      <c r="BF132" s="49">
        <f t="shared" ca="1" si="119"/>
        <v>0</v>
      </c>
      <c r="BG132" s="49">
        <f t="shared" ca="1" si="120"/>
        <v>0</v>
      </c>
      <c r="BH132" s="54" t="e">
        <f t="shared" ca="1" si="121"/>
        <v>#DIV/0!</v>
      </c>
      <c r="BI132" s="112" t="e">
        <f t="shared" ca="1" si="122"/>
        <v>#DIV/0!</v>
      </c>
      <c r="BK132" s="55" t="e">
        <f t="shared" ca="1" si="123"/>
        <v>#DIV/0!</v>
      </c>
      <c r="BL132" s="55" t="e">
        <f t="shared" ca="1" si="124"/>
        <v>#DIV/0!</v>
      </c>
      <c r="BM132" s="55" t="e">
        <f t="shared" ca="1" si="125"/>
        <v>#DIV/0!</v>
      </c>
      <c r="BN132" s="53">
        <f t="shared" ca="1" si="126"/>
        <v>0</v>
      </c>
      <c r="BO132" s="112" t="e">
        <f t="shared" ca="1" si="127"/>
        <v>#DIV/0!</v>
      </c>
      <c r="BR132" s="53" t="e">
        <f t="shared" ca="1" si="128"/>
        <v>#DIV/0!</v>
      </c>
      <c r="BS132" s="53">
        <f t="shared" ca="1" si="129"/>
        <v>0</v>
      </c>
      <c r="BT132" s="53">
        <f t="shared" ca="1" si="130"/>
        <v>0</v>
      </c>
      <c r="BU132" s="56" t="e">
        <f t="shared" ca="1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ca="1" si="134"/>
        <v>0</v>
      </c>
      <c r="CW132" s="53">
        <f t="shared" ca="1" si="135"/>
        <v>0</v>
      </c>
      <c r="CX132" s="58" t="e">
        <f t="shared" ca="1" si="136"/>
        <v>#DIV/0!</v>
      </c>
      <c r="CY132" s="53">
        <f t="shared" ca="1" si="137"/>
        <v>0</v>
      </c>
      <c r="CZ132" s="53">
        <f t="shared" ca="1" si="138"/>
        <v>0</v>
      </c>
      <c r="DA132" s="58" t="e">
        <f t="shared" ca="1" si="139"/>
        <v>#DIV/0!</v>
      </c>
      <c r="DB132" s="48" t="e">
        <f t="shared" ca="1" si="140"/>
        <v>#DIV/0!</v>
      </c>
      <c r="DC132" s="48" t="e">
        <f t="shared" ca="1" si="141"/>
        <v>#DIV/0!</v>
      </c>
      <c r="DD132" s="48" t="e">
        <f t="shared" ca="1" si="142"/>
        <v>#DIV/0!</v>
      </c>
      <c r="DE132" s="48" t="e">
        <f t="shared" ca="1" si="143"/>
        <v>#DIV/0!</v>
      </c>
      <c r="DF132" s="48" t="e">
        <f t="shared" ca="1" si="144"/>
        <v>#DIV/0!</v>
      </c>
      <c r="DG132" s="48" t="e">
        <f t="shared" ca="1" si="145"/>
        <v>#DIV/0!</v>
      </c>
      <c r="DH132" s="48">
        <f ca="1">SUMIF(FCR!$BZ$4:$DB$500,DG132,FCR!$DE$4:$EG$500)</f>
        <v>0</v>
      </c>
      <c r="DI132" s="48" t="e">
        <f t="shared" ca="1" si="146"/>
        <v>#DIV/0!</v>
      </c>
      <c r="DJ132" s="48">
        <f ca="1">SUMIF(FCR!$BZ$4:$DB$142,DI132,FCR!$DE$4:$EG$142)</f>
        <v>0</v>
      </c>
      <c r="DK132" s="48" t="e">
        <f t="shared" ca="1" si="147"/>
        <v>#DIV/0!</v>
      </c>
      <c r="DL132" s="55" t="e">
        <f t="shared" ca="1" si="148"/>
        <v>#DIV/0!</v>
      </c>
      <c r="DM132" s="48" t="e">
        <f t="shared" ca="1" si="149"/>
        <v>#DIV/0!</v>
      </c>
      <c r="DN132" s="48">
        <f ca="1">SUMIF(FCR!$BZ$4:$DB$142,DM132,FCR!$DE$4:$EG$142)</f>
        <v>0</v>
      </c>
      <c r="DO132" s="53" t="e">
        <f t="shared" ca="1" si="150"/>
        <v>#DIV/0!</v>
      </c>
      <c r="DP132" s="55" t="e">
        <f t="shared" ca="1" si="151"/>
        <v>#DIV/0!</v>
      </c>
      <c r="DQ132" s="55" t="e">
        <f t="shared" ca="1" si="152"/>
        <v>#DIV/0!</v>
      </c>
      <c r="DR132" s="55"/>
      <c r="DS132" s="55" t="e">
        <f t="shared" ca="1" si="153"/>
        <v>#DIV/0!</v>
      </c>
      <c r="DT132" s="55" t="e">
        <f t="shared" ca="1" si="154"/>
        <v>#DIV/0!</v>
      </c>
      <c r="DU132" s="53">
        <f t="shared" ca="1" si="155"/>
        <v>0</v>
      </c>
      <c r="DV132" s="59" t="e">
        <f t="shared" ca="1" si="156"/>
        <v>#DIV/0!</v>
      </c>
    </row>
    <row r="133" spans="1:12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AD133" s="49" t="s">
        <v>337</v>
      </c>
      <c r="AE133" s="49">
        <f t="shared" ca="1" si="102"/>
        <v>0</v>
      </c>
      <c r="AF133" s="49">
        <f t="shared" ca="1" si="103"/>
        <v>0</v>
      </c>
      <c r="AG133" s="114">
        <f t="shared" ca="1" si="104"/>
        <v>0</v>
      </c>
      <c r="AH133" s="104">
        <f t="shared" ca="1" si="105"/>
        <v>0</v>
      </c>
      <c r="AI133" s="104">
        <f t="shared" ca="1" si="106"/>
        <v>0</v>
      </c>
      <c r="AJ133" s="104">
        <f t="shared" ca="1" si="107"/>
        <v>0</v>
      </c>
      <c r="AK133" s="104">
        <f t="shared" ca="1" si="108"/>
        <v>0</v>
      </c>
      <c r="AL133" s="104">
        <f t="shared" ca="1" si="109"/>
        <v>0</v>
      </c>
      <c r="AM133" s="104">
        <f t="shared" ca="1" si="110"/>
        <v>0</v>
      </c>
      <c r="AN133" s="104">
        <f t="shared" ca="1" si="111"/>
        <v>0</v>
      </c>
      <c r="AO133" s="104">
        <f t="shared" ca="1" si="112"/>
        <v>0</v>
      </c>
      <c r="AP133" s="104">
        <f t="shared" ca="1" si="113"/>
        <v>0</v>
      </c>
      <c r="AQ133" s="49">
        <f t="shared" ca="1" si="114"/>
        <v>0</v>
      </c>
      <c r="AR133" s="104">
        <f t="shared" ca="1" si="115"/>
        <v>0</v>
      </c>
      <c r="AS133" s="104">
        <f t="shared" ca="1" si="116"/>
        <v>0</v>
      </c>
      <c r="AT133" s="104">
        <f t="shared" ca="1" si="117"/>
        <v>0</v>
      </c>
      <c r="AU133" s="104">
        <f t="shared" ca="1" si="118"/>
        <v>0</v>
      </c>
      <c r="BF133" s="49">
        <f t="shared" ca="1" si="119"/>
        <v>0</v>
      </c>
      <c r="BG133" s="49">
        <f t="shared" ca="1" si="120"/>
        <v>0</v>
      </c>
      <c r="BH133" s="54" t="e">
        <f t="shared" ca="1" si="121"/>
        <v>#DIV/0!</v>
      </c>
      <c r="BI133" s="112" t="e">
        <f t="shared" ca="1" si="122"/>
        <v>#DIV/0!</v>
      </c>
      <c r="BK133" s="55" t="e">
        <f t="shared" ca="1" si="123"/>
        <v>#DIV/0!</v>
      </c>
      <c r="BL133" s="55" t="e">
        <f t="shared" ca="1" si="124"/>
        <v>#DIV/0!</v>
      </c>
      <c r="BM133" s="55" t="e">
        <f t="shared" ca="1" si="125"/>
        <v>#DIV/0!</v>
      </c>
      <c r="BN133" s="53">
        <f t="shared" ca="1" si="126"/>
        <v>0</v>
      </c>
      <c r="BO133" s="112" t="e">
        <f t="shared" ca="1" si="127"/>
        <v>#DIV/0!</v>
      </c>
      <c r="BR133" s="53" t="e">
        <f t="shared" ca="1" si="128"/>
        <v>#DIV/0!</v>
      </c>
      <c r="BS133" s="53">
        <f t="shared" ca="1" si="129"/>
        <v>0</v>
      </c>
      <c r="BT133" s="53">
        <f t="shared" ca="1" si="130"/>
        <v>0</v>
      </c>
      <c r="BU133" s="56" t="e">
        <f t="shared" ca="1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ca="1" si="134"/>
        <v>0</v>
      </c>
      <c r="CW133" s="53">
        <f t="shared" ca="1" si="135"/>
        <v>0</v>
      </c>
      <c r="CX133" s="58" t="e">
        <f t="shared" ca="1" si="136"/>
        <v>#DIV/0!</v>
      </c>
      <c r="CY133" s="53">
        <f t="shared" ca="1" si="137"/>
        <v>0</v>
      </c>
      <c r="CZ133" s="53">
        <f t="shared" ca="1" si="138"/>
        <v>0</v>
      </c>
      <c r="DA133" s="58" t="e">
        <f t="shared" ca="1" si="139"/>
        <v>#DIV/0!</v>
      </c>
      <c r="DB133" s="48" t="e">
        <f t="shared" ca="1" si="140"/>
        <v>#DIV/0!</v>
      </c>
      <c r="DC133" s="48" t="e">
        <f t="shared" ca="1" si="141"/>
        <v>#DIV/0!</v>
      </c>
      <c r="DD133" s="48" t="e">
        <f t="shared" ca="1" si="142"/>
        <v>#DIV/0!</v>
      </c>
      <c r="DE133" s="48" t="e">
        <f t="shared" ca="1" si="143"/>
        <v>#DIV/0!</v>
      </c>
      <c r="DF133" s="48" t="e">
        <f t="shared" ca="1" si="144"/>
        <v>#DIV/0!</v>
      </c>
      <c r="DG133" s="48" t="e">
        <f t="shared" ca="1" si="145"/>
        <v>#DIV/0!</v>
      </c>
      <c r="DH133" s="48">
        <f ca="1">SUMIF(FCR!$BZ$4:$DB$500,DG133,FCR!$DE$4:$EG$500)</f>
        <v>0</v>
      </c>
      <c r="DI133" s="48" t="e">
        <f t="shared" ca="1" si="146"/>
        <v>#DIV/0!</v>
      </c>
      <c r="DJ133" s="48">
        <f ca="1">SUMIF(FCR!$BZ$4:$DB$142,DI133,FCR!$DE$4:$EG$142)</f>
        <v>0</v>
      </c>
      <c r="DK133" s="48" t="e">
        <f t="shared" ca="1" si="147"/>
        <v>#DIV/0!</v>
      </c>
      <c r="DL133" s="55" t="e">
        <f t="shared" ca="1" si="148"/>
        <v>#DIV/0!</v>
      </c>
      <c r="DM133" s="48" t="e">
        <f t="shared" ca="1" si="149"/>
        <v>#DIV/0!</v>
      </c>
      <c r="DN133" s="48">
        <f ca="1">SUMIF(FCR!$BZ$4:$DB$142,DM133,FCR!$DE$4:$EG$142)</f>
        <v>0</v>
      </c>
      <c r="DO133" s="53" t="e">
        <f t="shared" ca="1" si="150"/>
        <v>#DIV/0!</v>
      </c>
      <c r="DP133" s="55" t="e">
        <f t="shared" ca="1" si="151"/>
        <v>#DIV/0!</v>
      </c>
      <c r="DQ133" s="55" t="e">
        <f t="shared" ca="1" si="152"/>
        <v>#DIV/0!</v>
      </c>
      <c r="DR133" s="55"/>
      <c r="DS133" s="55" t="e">
        <f t="shared" ca="1" si="153"/>
        <v>#DIV/0!</v>
      </c>
      <c r="DT133" s="55" t="e">
        <f t="shared" ca="1" si="154"/>
        <v>#DIV/0!</v>
      </c>
      <c r="DU133" s="53">
        <f t="shared" ca="1" si="155"/>
        <v>0</v>
      </c>
      <c r="DV133" s="59" t="e">
        <f t="shared" ca="1" si="156"/>
        <v>#DIV/0!</v>
      </c>
    </row>
    <row r="134" spans="1:12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AD134" s="49" t="s">
        <v>337</v>
      </c>
      <c r="AE134" s="49">
        <f t="shared" ref="AE134:AE197" ca="1" si="157">+A134</f>
        <v>0</v>
      </c>
      <c r="AF134" s="49">
        <f t="shared" ca="1" si="103"/>
        <v>0</v>
      </c>
      <c r="AG134" s="114">
        <f t="shared" ca="1" si="104"/>
        <v>0</v>
      </c>
      <c r="AH134" s="104">
        <f t="shared" ca="1" si="105"/>
        <v>0</v>
      </c>
      <c r="AI134" s="104">
        <f t="shared" ca="1" si="106"/>
        <v>0</v>
      </c>
      <c r="AJ134" s="104">
        <f t="shared" ca="1" si="107"/>
        <v>0</v>
      </c>
      <c r="AK134" s="104">
        <f t="shared" ca="1" si="108"/>
        <v>0</v>
      </c>
      <c r="AL134" s="104">
        <f t="shared" ca="1" si="109"/>
        <v>0</v>
      </c>
      <c r="AM134" s="104">
        <f t="shared" ca="1" si="110"/>
        <v>0</v>
      </c>
      <c r="AN134" s="104">
        <f t="shared" ca="1" si="111"/>
        <v>0</v>
      </c>
      <c r="AO134" s="104">
        <f t="shared" ca="1" si="112"/>
        <v>0</v>
      </c>
      <c r="AP134" s="104">
        <f t="shared" ca="1" si="113"/>
        <v>0</v>
      </c>
      <c r="AQ134" s="49">
        <f t="shared" ca="1" si="114"/>
        <v>0</v>
      </c>
      <c r="AR134" s="104">
        <f t="shared" ca="1" si="115"/>
        <v>0</v>
      </c>
      <c r="AS134" s="104">
        <f t="shared" ca="1" si="116"/>
        <v>0</v>
      </c>
      <c r="AT134" s="104">
        <f t="shared" ca="1" si="117"/>
        <v>0</v>
      </c>
      <c r="AU134" s="104">
        <f t="shared" ca="1" si="118"/>
        <v>0</v>
      </c>
      <c r="BF134" s="49">
        <f t="shared" ca="1" si="119"/>
        <v>0</v>
      </c>
      <c r="BG134" s="49">
        <f t="shared" ca="1" si="120"/>
        <v>0</v>
      </c>
      <c r="BH134" s="54" t="e">
        <f t="shared" ca="1" si="121"/>
        <v>#DIV/0!</v>
      </c>
      <c r="BI134" s="112" t="e">
        <f t="shared" ca="1" si="122"/>
        <v>#DIV/0!</v>
      </c>
      <c r="BK134" s="55" t="e">
        <f t="shared" ca="1" si="123"/>
        <v>#DIV/0!</v>
      </c>
      <c r="BL134" s="55" t="e">
        <f t="shared" ca="1" si="124"/>
        <v>#DIV/0!</v>
      </c>
      <c r="BM134" s="55" t="e">
        <f t="shared" ca="1" si="125"/>
        <v>#DIV/0!</v>
      </c>
      <c r="BN134" s="53">
        <f t="shared" ca="1" si="126"/>
        <v>0</v>
      </c>
      <c r="BO134" s="112" t="e">
        <f t="shared" ca="1" si="127"/>
        <v>#DIV/0!</v>
      </c>
      <c r="BR134" s="53" t="e">
        <f t="shared" ca="1" si="128"/>
        <v>#DIV/0!</v>
      </c>
      <c r="BS134" s="53">
        <f t="shared" ca="1" si="129"/>
        <v>0</v>
      </c>
      <c r="BT134" s="53">
        <f t="shared" ca="1" si="130"/>
        <v>0</v>
      </c>
      <c r="BU134" s="56" t="e">
        <f t="shared" ca="1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ca="1" si="134"/>
        <v>0</v>
      </c>
      <c r="CW134" s="53">
        <f t="shared" ca="1" si="135"/>
        <v>0</v>
      </c>
      <c r="CX134" s="58" t="e">
        <f t="shared" ca="1" si="136"/>
        <v>#DIV/0!</v>
      </c>
      <c r="CY134" s="53">
        <f t="shared" ca="1" si="137"/>
        <v>0</v>
      </c>
      <c r="CZ134" s="53">
        <f t="shared" ca="1" si="138"/>
        <v>0</v>
      </c>
      <c r="DA134" s="58" t="e">
        <f t="shared" ca="1" si="139"/>
        <v>#DIV/0!</v>
      </c>
      <c r="DB134" s="48" t="e">
        <f t="shared" ca="1" si="140"/>
        <v>#DIV/0!</v>
      </c>
      <c r="DC134" s="48" t="e">
        <f t="shared" ca="1" si="141"/>
        <v>#DIV/0!</v>
      </c>
      <c r="DD134" s="48" t="e">
        <f t="shared" ca="1" si="142"/>
        <v>#DIV/0!</v>
      </c>
      <c r="DE134" s="48" t="e">
        <f t="shared" ca="1" si="143"/>
        <v>#DIV/0!</v>
      </c>
      <c r="DF134" s="48" t="e">
        <f t="shared" ca="1" si="144"/>
        <v>#DIV/0!</v>
      </c>
      <c r="DG134" s="48" t="e">
        <f t="shared" ca="1" si="145"/>
        <v>#DIV/0!</v>
      </c>
      <c r="DH134" s="48">
        <f ca="1">SUMIF(FCR!$BZ$4:$DB$500,DG134,FCR!$DE$4:$EG$500)</f>
        <v>0</v>
      </c>
      <c r="DI134" s="48" t="e">
        <f t="shared" ca="1" si="146"/>
        <v>#DIV/0!</v>
      </c>
      <c r="DJ134" s="48">
        <f ca="1">SUMIF(FCR!$BZ$4:$DB$142,DI134,FCR!$DE$4:$EG$142)</f>
        <v>0</v>
      </c>
      <c r="DK134" s="48" t="e">
        <f t="shared" ca="1" si="147"/>
        <v>#DIV/0!</v>
      </c>
      <c r="DL134" s="55" t="e">
        <f t="shared" ca="1" si="148"/>
        <v>#DIV/0!</v>
      </c>
      <c r="DM134" s="48" t="e">
        <f t="shared" ca="1" si="149"/>
        <v>#DIV/0!</v>
      </c>
      <c r="DN134" s="48">
        <f ca="1">SUMIF(FCR!$BZ$4:$DB$142,DM134,FCR!$DE$4:$EG$142)</f>
        <v>0</v>
      </c>
      <c r="DO134" s="53" t="e">
        <f t="shared" ca="1" si="150"/>
        <v>#DIV/0!</v>
      </c>
      <c r="DP134" s="55" t="e">
        <f t="shared" ca="1" si="151"/>
        <v>#DIV/0!</v>
      </c>
      <c r="DQ134" s="55" t="e">
        <f t="shared" ca="1" si="152"/>
        <v>#DIV/0!</v>
      </c>
      <c r="DR134" s="55"/>
      <c r="DS134" s="55" t="e">
        <f t="shared" ca="1" si="153"/>
        <v>#DIV/0!</v>
      </c>
      <c r="DT134" s="55" t="e">
        <f t="shared" ca="1" si="154"/>
        <v>#DIV/0!</v>
      </c>
      <c r="DU134" s="53">
        <f t="shared" ca="1" si="155"/>
        <v>0</v>
      </c>
      <c r="DV134" s="59" t="e">
        <f t="shared" ca="1" si="156"/>
        <v>#DIV/0!</v>
      </c>
    </row>
    <row r="135" spans="1:12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AD135" s="49" t="s">
        <v>337</v>
      </c>
      <c r="AE135" s="49">
        <f t="shared" ca="1" si="157"/>
        <v>0</v>
      </c>
      <c r="AF135" s="49">
        <f t="shared" ca="1" si="103"/>
        <v>0</v>
      </c>
      <c r="AG135" s="114">
        <f t="shared" ca="1" si="104"/>
        <v>0</v>
      </c>
      <c r="AH135" s="104">
        <f t="shared" ca="1" si="105"/>
        <v>0</v>
      </c>
      <c r="AI135" s="104">
        <f t="shared" ca="1" si="106"/>
        <v>0</v>
      </c>
      <c r="AJ135" s="104">
        <f t="shared" ca="1" si="107"/>
        <v>0</v>
      </c>
      <c r="AK135" s="104">
        <f t="shared" ca="1" si="108"/>
        <v>0</v>
      </c>
      <c r="AL135" s="104">
        <f t="shared" ca="1" si="109"/>
        <v>0</v>
      </c>
      <c r="AM135" s="104">
        <f t="shared" ca="1" si="110"/>
        <v>0</v>
      </c>
      <c r="AN135" s="104">
        <f t="shared" ca="1" si="111"/>
        <v>0</v>
      </c>
      <c r="AO135" s="104">
        <f t="shared" ca="1" si="112"/>
        <v>0</v>
      </c>
      <c r="AP135" s="104">
        <f t="shared" ca="1" si="113"/>
        <v>0</v>
      </c>
      <c r="AQ135" s="49">
        <f t="shared" ca="1" si="114"/>
        <v>0</v>
      </c>
      <c r="AR135" s="104">
        <f t="shared" ca="1" si="115"/>
        <v>0</v>
      </c>
      <c r="AS135" s="104">
        <f t="shared" ca="1" si="116"/>
        <v>0</v>
      </c>
      <c r="AT135" s="104">
        <f t="shared" ca="1" si="117"/>
        <v>0</v>
      </c>
      <c r="AU135" s="104">
        <f t="shared" ca="1" si="118"/>
        <v>0</v>
      </c>
      <c r="BF135" s="49">
        <f t="shared" ca="1" si="119"/>
        <v>0</v>
      </c>
      <c r="BG135" s="49">
        <f t="shared" ca="1" si="120"/>
        <v>0</v>
      </c>
      <c r="BH135" s="54" t="e">
        <f t="shared" ca="1" si="121"/>
        <v>#DIV/0!</v>
      </c>
      <c r="BI135" s="112" t="e">
        <f t="shared" ca="1" si="122"/>
        <v>#DIV/0!</v>
      </c>
      <c r="BK135" s="55" t="e">
        <f t="shared" ca="1" si="123"/>
        <v>#DIV/0!</v>
      </c>
      <c r="BL135" s="55" t="e">
        <f t="shared" ca="1" si="124"/>
        <v>#DIV/0!</v>
      </c>
      <c r="BM135" s="55" t="e">
        <f t="shared" ca="1" si="125"/>
        <v>#DIV/0!</v>
      </c>
      <c r="BN135" s="53">
        <f t="shared" ca="1" si="126"/>
        <v>0</v>
      </c>
      <c r="BO135" s="112" t="e">
        <f t="shared" ca="1" si="127"/>
        <v>#DIV/0!</v>
      </c>
      <c r="BR135" s="53" t="e">
        <f t="shared" ca="1" si="128"/>
        <v>#DIV/0!</v>
      </c>
      <c r="BS135" s="53">
        <f t="shared" ca="1" si="129"/>
        <v>0</v>
      </c>
      <c r="BT135" s="53">
        <f t="shared" ca="1" si="130"/>
        <v>0</v>
      </c>
      <c r="BU135" s="56" t="e">
        <f t="shared" ca="1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ca="1" si="134"/>
        <v>0</v>
      </c>
      <c r="CW135" s="53">
        <f t="shared" ca="1" si="135"/>
        <v>0</v>
      </c>
      <c r="CX135" s="58" t="e">
        <f t="shared" ca="1" si="136"/>
        <v>#DIV/0!</v>
      </c>
      <c r="CY135" s="53">
        <f t="shared" ca="1" si="137"/>
        <v>0</v>
      </c>
      <c r="CZ135" s="53">
        <f t="shared" ca="1" si="138"/>
        <v>0</v>
      </c>
      <c r="DA135" s="58" t="e">
        <f t="shared" ca="1" si="139"/>
        <v>#DIV/0!</v>
      </c>
      <c r="DB135" s="48" t="e">
        <f t="shared" ca="1" si="140"/>
        <v>#DIV/0!</v>
      </c>
      <c r="DC135" s="48" t="e">
        <f t="shared" ca="1" si="141"/>
        <v>#DIV/0!</v>
      </c>
      <c r="DD135" s="48" t="e">
        <f t="shared" ca="1" si="142"/>
        <v>#DIV/0!</v>
      </c>
      <c r="DE135" s="48" t="e">
        <f t="shared" ca="1" si="143"/>
        <v>#DIV/0!</v>
      </c>
      <c r="DF135" s="48" t="e">
        <f t="shared" ca="1" si="144"/>
        <v>#DIV/0!</v>
      </c>
      <c r="DG135" s="48" t="e">
        <f t="shared" ca="1" si="145"/>
        <v>#DIV/0!</v>
      </c>
      <c r="DH135" s="48">
        <f ca="1">SUMIF(FCR!$BZ$4:$DB$500,DG135,FCR!$DE$4:$EG$500)</f>
        <v>0</v>
      </c>
      <c r="DI135" s="48" t="e">
        <f t="shared" ca="1" si="146"/>
        <v>#DIV/0!</v>
      </c>
      <c r="DJ135" s="48">
        <f ca="1">SUMIF(FCR!$BZ$4:$DB$142,DI135,FCR!$DE$4:$EG$142)</f>
        <v>0</v>
      </c>
      <c r="DK135" s="48" t="e">
        <f t="shared" ca="1" si="147"/>
        <v>#DIV/0!</v>
      </c>
      <c r="DL135" s="55" t="e">
        <f t="shared" ca="1" si="148"/>
        <v>#DIV/0!</v>
      </c>
      <c r="DM135" s="48" t="e">
        <f t="shared" ca="1" si="149"/>
        <v>#DIV/0!</v>
      </c>
      <c r="DN135" s="48">
        <f ca="1">SUMIF(FCR!$BZ$4:$DB$142,DM135,FCR!$DE$4:$EG$142)</f>
        <v>0</v>
      </c>
      <c r="DO135" s="53" t="e">
        <f t="shared" ca="1" si="150"/>
        <v>#DIV/0!</v>
      </c>
      <c r="DP135" s="55" t="e">
        <f t="shared" ca="1" si="151"/>
        <v>#DIV/0!</v>
      </c>
      <c r="DQ135" s="55" t="e">
        <f t="shared" ca="1" si="152"/>
        <v>#DIV/0!</v>
      </c>
      <c r="DR135" s="55"/>
      <c r="DS135" s="55" t="e">
        <f t="shared" ca="1" si="153"/>
        <v>#DIV/0!</v>
      </c>
      <c r="DT135" s="55" t="e">
        <f t="shared" ca="1" si="154"/>
        <v>#DIV/0!</v>
      </c>
      <c r="DU135" s="53">
        <f t="shared" ca="1" si="155"/>
        <v>0</v>
      </c>
      <c r="DV135" s="59" t="e">
        <f t="shared" ca="1" si="156"/>
        <v>#DIV/0!</v>
      </c>
    </row>
    <row r="136" spans="1:126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AD136" s="49" t="s">
        <v>337</v>
      </c>
      <c r="AE136" s="49">
        <f t="shared" ca="1" si="157"/>
        <v>0</v>
      </c>
      <c r="AF136" s="49">
        <f t="shared" ca="1" si="103"/>
        <v>0</v>
      </c>
      <c r="AG136" s="114">
        <f t="shared" ca="1" si="104"/>
        <v>0</v>
      </c>
      <c r="AH136" s="104">
        <f t="shared" ca="1" si="105"/>
        <v>0</v>
      </c>
      <c r="AI136" s="104">
        <f t="shared" ca="1" si="106"/>
        <v>0</v>
      </c>
      <c r="AJ136" s="104">
        <f t="shared" ca="1" si="107"/>
        <v>0</v>
      </c>
      <c r="AK136" s="104">
        <f t="shared" ca="1" si="108"/>
        <v>0</v>
      </c>
      <c r="AL136" s="104">
        <f t="shared" ca="1" si="109"/>
        <v>0</v>
      </c>
      <c r="AM136" s="104">
        <f t="shared" ca="1" si="110"/>
        <v>0</v>
      </c>
      <c r="AN136" s="104">
        <f t="shared" ca="1" si="111"/>
        <v>0</v>
      </c>
      <c r="AO136" s="104">
        <f t="shared" ca="1" si="112"/>
        <v>0</v>
      </c>
      <c r="AP136" s="104">
        <f t="shared" ca="1" si="113"/>
        <v>0</v>
      </c>
      <c r="AQ136" s="49">
        <f t="shared" ca="1" si="114"/>
        <v>0</v>
      </c>
      <c r="AR136" s="104">
        <f t="shared" ca="1" si="115"/>
        <v>0</v>
      </c>
      <c r="AS136" s="104">
        <f t="shared" ca="1" si="116"/>
        <v>0</v>
      </c>
      <c r="AT136" s="104">
        <f t="shared" ca="1" si="117"/>
        <v>0</v>
      </c>
      <c r="AU136" s="104">
        <f t="shared" ca="1" si="118"/>
        <v>0</v>
      </c>
      <c r="BF136" s="49">
        <f t="shared" ca="1" si="119"/>
        <v>0</v>
      </c>
      <c r="BG136" s="49">
        <f t="shared" ca="1" si="120"/>
        <v>0</v>
      </c>
      <c r="BH136" s="54" t="e">
        <f t="shared" ca="1" si="121"/>
        <v>#DIV/0!</v>
      </c>
      <c r="BI136" s="112" t="e">
        <f t="shared" ca="1" si="122"/>
        <v>#DIV/0!</v>
      </c>
      <c r="BK136" s="55" t="e">
        <f t="shared" ca="1" si="123"/>
        <v>#DIV/0!</v>
      </c>
      <c r="BL136" s="55" t="e">
        <f t="shared" ca="1" si="124"/>
        <v>#DIV/0!</v>
      </c>
      <c r="BM136" s="55" t="e">
        <f t="shared" ca="1" si="125"/>
        <v>#DIV/0!</v>
      </c>
      <c r="BN136" s="53">
        <f t="shared" ca="1" si="126"/>
        <v>0</v>
      </c>
      <c r="BO136" s="112" t="e">
        <f t="shared" ca="1" si="127"/>
        <v>#DIV/0!</v>
      </c>
      <c r="BR136" s="53" t="e">
        <f t="shared" ca="1" si="128"/>
        <v>#DIV/0!</v>
      </c>
      <c r="BS136" s="53">
        <f t="shared" ca="1" si="129"/>
        <v>0</v>
      </c>
      <c r="BT136" s="53">
        <f t="shared" ca="1" si="130"/>
        <v>0</v>
      </c>
      <c r="BU136" s="56" t="e">
        <f t="shared" ca="1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ca="1" si="134"/>
        <v>0</v>
      </c>
      <c r="CW136" s="53">
        <f t="shared" ca="1" si="135"/>
        <v>0</v>
      </c>
      <c r="CX136" s="58" t="e">
        <f t="shared" ca="1" si="136"/>
        <v>#DIV/0!</v>
      </c>
      <c r="CY136" s="53">
        <f t="shared" ca="1" si="137"/>
        <v>0</v>
      </c>
      <c r="CZ136" s="53">
        <f t="shared" ca="1" si="138"/>
        <v>0</v>
      </c>
      <c r="DA136" s="58" t="e">
        <f t="shared" ca="1" si="139"/>
        <v>#DIV/0!</v>
      </c>
      <c r="DB136" s="48" t="e">
        <f t="shared" ca="1" si="140"/>
        <v>#DIV/0!</v>
      </c>
      <c r="DC136" s="48" t="e">
        <f t="shared" ca="1" si="141"/>
        <v>#DIV/0!</v>
      </c>
      <c r="DD136" s="48" t="e">
        <f t="shared" ca="1" si="142"/>
        <v>#DIV/0!</v>
      </c>
      <c r="DE136" s="48" t="e">
        <f t="shared" ca="1" si="143"/>
        <v>#DIV/0!</v>
      </c>
      <c r="DF136" s="48" t="e">
        <f t="shared" ca="1" si="144"/>
        <v>#DIV/0!</v>
      </c>
      <c r="DG136" s="48" t="e">
        <f t="shared" ca="1" si="145"/>
        <v>#DIV/0!</v>
      </c>
      <c r="DH136" s="48">
        <f ca="1">SUMIF(FCR!$BZ$4:$DB$500,DG136,FCR!$DE$4:$EG$500)</f>
        <v>0</v>
      </c>
      <c r="DI136" s="48" t="e">
        <f t="shared" ca="1" si="146"/>
        <v>#DIV/0!</v>
      </c>
      <c r="DJ136" s="48">
        <f ca="1">SUMIF(FCR!$BZ$4:$DB$142,DI136,FCR!$DE$4:$EG$142)</f>
        <v>0</v>
      </c>
      <c r="DK136" s="48" t="e">
        <f t="shared" ca="1" si="147"/>
        <v>#DIV/0!</v>
      </c>
      <c r="DL136" s="55" t="e">
        <f t="shared" ca="1" si="148"/>
        <v>#DIV/0!</v>
      </c>
      <c r="DM136" s="48" t="e">
        <f t="shared" ca="1" si="149"/>
        <v>#DIV/0!</v>
      </c>
      <c r="DN136" s="48">
        <f ca="1">SUMIF(FCR!$BZ$4:$DB$142,DM136,FCR!$DE$4:$EG$142)</f>
        <v>0</v>
      </c>
      <c r="DO136" s="53" t="e">
        <f t="shared" ca="1" si="150"/>
        <v>#DIV/0!</v>
      </c>
      <c r="DP136" s="55" t="e">
        <f t="shared" ca="1" si="151"/>
        <v>#DIV/0!</v>
      </c>
      <c r="DQ136" s="55" t="e">
        <f t="shared" ca="1" si="152"/>
        <v>#DIV/0!</v>
      </c>
      <c r="DR136" s="55"/>
      <c r="DS136" s="55" t="e">
        <f t="shared" ca="1" si="153"/>
        <v>#DIV/0!</v>
      </c>
      <c r="DT136" s="55" t="e">
        <f t="shared" ca="1" si="154"/>
        <v>#DIV/0!</v>
      </c>
      <c r="DU136" s="53">
        <f t="shared" ca="1" si="155"/>
        <v>0</v>
      </c>
      <c r="DV136" s="59" t="e">
        <f t="shared" ca="1" si="156"/>
        <v>#DIV/0!</v>
      </c>
    </row>
    <row r="137" spans="1:126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AD137" s="49" t="s">
        <v>337</v>
      </c>
      <c r="AE137" s="49">
        <f t="shared" ca="1" si="157"/>
        <v>0</v>
      </c>
      <c r="AF137" s="49">
        <f t="shared" ca="1" si="103"/>
        <v>0</v>
      </c>
      <c r="AG137" s="114">
        <f t="shared" ca="1" si="104"/>
        <v>0</v>
      </c>
      <c r="AH137" s="104">
        <f t="shared" ca="1" si="105"/>
        <v>0</v>
      </c>
      <c r="AI137" s="104">
        <f t="shared" ca="1" si="106"/>
        <v>0</v>
      </c>
      <c r="AJ137" s="104">
        <f t="shared" ca="1" si="107"/>
        <v>0</v>
      </c>
      <c r="AK137" s="104">
        <f t="shared" ca="1" si="108"/>
        <v>0</v>
      </c>
      <c r="AL137" s="104">
        <f t="shared" ca="1" si="109"/>
        <v>0</v>
      </c>
      <c r="AM137" s="104">
        <f t="shared" ca="1" si="110"/>
        <v>0</v>
      </c>
      <c r="AN137" s="104">
        <f t="shared" ca="1" si="111"/>
        <v>0</v>
      </c>
      <c r="AO137" s="104">
        <f t="shared" ca="1" si="112"/>
        <v>0</v>
      </c>
      <c r="AP137" s="104">
        <f t="shared" ca="1" si="113"/>
        <v>0</v>
      </c>
      <c r="AQ137" s="49">
        <f t="shared" ca="1" si="114"/>
        <v>0</v>
      </c>
      <c r="AR137" s="104">
        <f t="shared" ca="1" si="115"/>
        <v>0</v>
      </c>
      <c r="AS137" s="104">
        <f t="shared" ca="1" si="116"/>
        <v>0</v>
      </c>
      <c r="AT137" s="104">
        <f t="shared" ca="1" si="117"/>
        <v>0</v>
      </c>
      <c r="AU137" s="104">
        <f t="shared" ca="1" si="118"/>
        <v>0</v>
      </c>
      <c r="BF137" s="49">
        <f t="shared" ca="1" si="119"/>
        <v>0</v>
      </c>
      <c r="BG137" s="49">
        <f t="shared" ca="1" si="120"/>
        <v>0</v>
      </c>
      <c r="BH137" s="54" t="e">
        <f t="shared" ca="1" si="121"/>
        <v>#DIV/0!</v>
      </c>
      <c r="BI137" s="112" t="e">
        <f t="shared" ca="1" si="122"/>
        <v>#DIV/0!</v>
      </c>
      <c r="BK137" s="55" t="e">
        <f t="shared" ca="1" si="123"/>
        <v>#DIV/0!</v>
      </c>
      <c r="BL137" s="55" t="e">
        <f t="shared" ca="1" si="124"/>
        <v>#DIV/0!</v>
      </c>
      <c r="BM137" s="55" t="e">
        <f t="shared" ca="1" si="125"/>
        <v>#DIV/0!</v>
      </c>
      <c r="BN137" s="53">
        <f t="shared" ca="1" si="126"/>
        <v>0</v>
      </c>
      <c r="BO137" s="112" t="e">
        <f t="shared" ca="1" si="127"/>
        <v>#DIV/0!</v>
      </c>
      <c r="BR137" s="53" t="e">
        <f t="shared" ca="1" si="128"/>
        <v>#DIV/0!</v>
      </c>
      <c r="BS137" s="53">
        <f t="shared" ca="1" si="129"/>
        <v>0</v>
      </c>
      <c r="BT137" s="53">
        <f t="shared" ca="1" si="130"/>
        <v>0</v>
      </c>
      <c r="BU137" s="56" t="e">
        <f t="shared" ca="1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ca="1" si="134"/>
        <v>0</v>
      </c>
      <c r="CW137" s="53">
        <f t="shared" ca="1" si="135"/>
        <v>0</v>
      </c>
      <c r="CX137" s="58" t="e">
        <f t="shared" ca="1" si="136"/>
        <v>#DIV/0!</v>
      </c>
      <c r="CY137" s="53">
        <f t="shared" ca="1" si="137"/>
        <v>0</v>
      </c>
      <c r="CZ137" s="53">
        <f t="shared" ca="1" si="138"/>
        <v>0</v>
      </c>
      <c r="DA137" s="58" t="e">
        <f t="shared" ca="1" si="139"/>
        <v>#DIV/0!</v>
      </c>
      <c r="DB137" s="48" t="e">
        <f t="shared" ca="1" si="140"/>
        <v>#DIV/0!</v>
      </c>
      <c r="DC137" s="48" t="e">
        <f t="shared" ca="1" si="141"/>
        <v>#DIV/0!</v>
      </c>
      <c r="DD137" s="48" t="e">
        <f t="shared" ca="1" si="142"/>
        <v>#DIV/0!</v>
      </c>
      <c r="DE137" s="48" t="e">
        <f t="shared" ca="1" si="143"/>
        <v>#DIV/0!</v>
      </c>
      <c r="DF137" s="48" t="e">
        <f t="shared" ca="1" si="144"/>
        <v>#DIV/0!</v>
      </c>
      <c r="DG137" s="48" t="e">
        <f t="shared" ca="1" si="145"/>
        <v>#DIV/0!</v>
      </c>
      <c r="DH137" s="48">
        <f ca="1">SUMIF(FCR!$BZ$4:$DB$500,DG137,FCR!$DE$4:$EG$500)</f>
        <v>0</v>
      </c>
      <c r="DI137" s="48" t="e">
        <f t="shared" ca="1" si="146"/>
        <v>#DIV/0!</v>
      </c>
      <c r="DJ137" s="48">
        <f ca="1">SUMIF(FCR!$BZ$4:$DB$142,DI137,FCR!$DE$4:$EG$142)</f>
        <v>0</v>
      </c>
      <c r="DK137" s="48" t="e">
        <f t="shared" ca="1" si="147"/>
        <v>#DIV/0!</v>
      </c>
      <c r="DL137" s="55" t="e">
        <f t="shared" ca="1" si="148"/>
        <v>#DIV/0!</v>
      </c>
      <c r="DM137" s="48" t="e">
        <f t="shared" ca="1" si="149"/>
        <v>#DIV/0!</v>
      </c>
      <c r="DN137" s="48">
        <f ca="1">SUMIF(FCR!$BZ$4:$DB$142,DM137,FCR!$DE$4:$EG$142)</f>
        <v>0</v>
      </c>
      <c r="DO137" s="53" t="e">
        <f t="shared" ca="1" si="150"/>
        <v>#DIV/0!</v>
      </c>
      <c r="DP137" s="55" t="e">
        <f t="shared" ca="1" si="151"/>
        <v>#DIV/0!</v>
      </c>
      <c r="DQ137" s="55" t="e">
        <f t="shared" ca="1" si="152"/>
        <v>#DIV/0!</v>
      </c>
      <c r="DR137" s="55"/>
      <c r="DS137" s="55" t="e">
        <f t="shared" ca="1" si="153"/>
        <v>#DIV/0!</v>
      </c>
      <c r="DT137" s="55" t="e">
        <f t="shared" ca="1" si="154"/>
        <v>#DIV/0!</v>
      </c>
      <c r="DU137" s="53">
        <f t="shared" ca="1" si="155"/>
        <v>0</v>
      </c>
      <c r="DV137" s="59" t="e">
        <f t="shared" ca="1" si="156"/>
        <v>#DIV/0!</v>
      </c>
    </row>
    <row r="138" spans="1:126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AD138" s="49" t="s">
        <v>337</v>
      </c>
      <c r="AE138" s="49">
        <f t="shared" ca="1" si="157"/>
        <v>0</v>
      </c>
      <c r="AF138" s="49">
        <f t="shared" ca="1" si="103"/>
        <v>0</v>
      </c>
      <c r="AG138" s="114">
        <f t="shared" ca="1" si="104"/>
        <v>0</v>
      </c>
      <c r="AH138" s="104">
        <f t="shared" ca="1" si="105"/>
        <v>0</v>
      </c>
      <c r="AI138" s="104">
        <f t="shared" ca="1" si="106"/>
        <v>0</v>
      </c>
      <c r="AJ138" s="104">
        <f t="shared" ca="1" si="107"/>
        <v>0</v>
      </c>
      <c r="AK138" s="104">
        <f t="shared" ca="1" si="108"/>
        <v>0</v>
      </c>
      <c r="AL138" s="104">
        <f t="shared" ca="1" si="109"/>
        <v>0</v>
      </c>
      <c r="AM138" s="104">
        <f t="shared" ca="1" si="110"/>
        <v>0</v>
      </c>
      <c r="AN138" s="104">
        <f t="shared" ca="1" si="111"/>
        <v>0</v>
      </c>
      <c r="AO138" s="104">
        <f t="shared" ca="1" si="112"/>
        <v>0</v>
      </c>
      <c r="AP138" s="104">
        <f t="shared" ca="1" si="113"/>
        <v>0</v>
      </c>
      <c r="AQ138" s="49">
        <f t="shared" ca="1" si="114"/>
        <v>0</v>
      </c>
      <c r="AR138" s="104">
        <f t="shared" ca="1" si="115"/>
        <v>0</v>
      </c>
      <c r="AS138" s="104">
        <f t="shared" ca="1" si="116"/>
        <v>0</v>
      </c>
      <c r="AT138" s="104">
        <f t="shared" ca="1" si="117"/>
        <v>0</v>
      </c>
      <c r="AU138" s="104">
        <f t="shared" ca="1" si="118"/>
        <v>0</v>
      </c>
      <c r="BF138" s="49">
        <f t="shared" ca="1" si="119"/>
        <v>0</v>
      </c>
      <c r="BG138" s="49">
        <f t="shared" ca="1" si="120"/>
        <v>0</v>
      </c>
      <c r="BH138" s="54" t="e">
        <f t="shared" ca="1" si="121"/>
        <v>#DIV/0!</v>
      </c>
      <c r="BI138" s="112" t="e">
        <f t="shared" ca="1" si="122"/>
        <v>#DIV/0!</v>
      </c>
      <c r="BK138" s="55" t="e">
        <f t="shared" ca="1" si="123"/>
        <v>#DIV/0!</v>
      </c>
      <c r="BL138" s="55" t="e">
        <f t="shared" ca="1" si="124"/>
        <v>#DIV/0!</v>
      </c>
      <c r="BM138" s="55" t="e">
        <f t="shared" ca="1" si="125"/>
        <v>#DIV/0!</v>
      </c>
      <c r="BN138" s="53">
        <f t="shared" ca="1" si="126"/>
        <v>0</v>
      </c>
      <c r="BO138" s="112" t="e">
        <f t="shared" ca="1" si="127"/>
        <v>#DIV/0!</v>
      </c>
      <c r="BR138" s="53" t="e">
        <f t="shared" ca="1" si="128"/>
        <v>#DIV/0!</v>
      </c>
      <c r="BS138" s="53">
        <f t="shared" ca="1" si="129"/>
        <v>0</v>
      </c>
      <c r="BT138" s="53">
        <f t="shared" ca="1" si="130"/>
        <v>0</v>
      </c>
      <c r="BU138" s="56" t="e">
        <f t="shared" ca="1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ca="1" si="134"/>
        <v>0</v>
      </c>
      <c r="CW138" s="53">
        <f t="shared" ca="1" si="135"/>
        <v>0</v>
      </c>
      <c r="CX138" s="58" t="e">
        <f t="shared" ca="1" si="136"/>
        <v>#DIV/0!</v>
      </c>
      <c r="CY138" s="53">
        <f t="shared" ca="1" si="137"/>
        <v>0</v>
      </c>
      <c r="CZ138" s="53">
        <f t="shared" ca="1" si="138"/>
        <v>0</v>
      </c>
      <c r="DA138" s="58" t="e">
        <f t="shared" ca="1" si="139"/>
        <v>#DIV/0!</v>
      </c>
      <c r="DB138" s="48" t="e">
        <f t="shared" ca="1" si="140"/>
        <v>#DIV/0!</v>
      </c>
      <c r="DC138" s="48" t="e">
        <f t="shared" ca="1" si="141"/>
        <v>#DIV/0!</v>
      </c>
      <c r="DD138" s="48" t="e">
        <f t="shared" ca="1" si="142"/>
        <v>#DIV/0!</v>
      </c>
      <c r="DE138" s="48" t="e">
        <f t="shared" ca="1" si="143"/>
        <v>#DIV/0!</v>
      </c>
      <c r="DF138" s="48" t="e">
        <f t="shared" ca="1" si="144"/>
        <v>#DIV/0!</v>
      </c>
      <c r="DG138" s="48" t="e">
        <f t="shared" ca="1" si="145"/>
        <v>#DIV/0!</v>
      </c>
      <c r="DH138" s="48">
        <f ca="1">SUMIF(FCR!$BZ$4:$DB$500,DG138,FCR!$DE$4:$EG$500)</f>
        <v>0</v>
      </c>
      <c r="DI138" s="48" t="e">
        <f t="shared" ca="1" si="146"/>
        <v>#DIV/0!</v>
      </c>
      <c r="DJ138" s="48">
        <f ca="1">SUMIF(FCR!$BZ$4:$DB$142,DI138,FCR!$DE$4:$EG$142)</f>
        <v>0</v>
      </c>
      <c r="DK138" s="48" t="e">
        <f t="shared" ca="1" si="147"/>
        <v>#DIV/0!</v>
      </c>
      <c r="DL138" s="55" t="e">
        <f t="shared" ca="1" si="148"/>
        <v>#DIV/0!</v>
      </c>
      <c r="DM138" s="48" t="e">
        <f t="shared" ca="1" si="149"/>
        <v>#DIV/0!</v>
      </c>
      <c r="DN138" s="48">
        <f ca="1">SUMIF(FCR!$BZ$4:$DB$142,DM138,FCR!$DE$4:$EG$142)</f>
        <v>0</v>
      </c>
      <c r="DO138" s="53" t="e">
        <f t="shared" ca="1" si="150"/>
        <v>#DIV/0!</v>
      </c>
      <c r="DP138" s="55" t="e">
        <f t="shared" ca="1" si="151"/>
        <v>#DIV/0!</v>
      </c>
      <c r="DQ138" s="55" t="e">
        <f t="shared" ca="1" si="152"/>
        <v>#DIV/0!</v>
      </c>
      <c r="DR138" s="55"/>
      <c r="DS138" s="55" t="e">
        <f t="shared" ca="1" si="153"/>
        <v>#DIV/0!</v>
      </c>
      <c r="DT138" s="55" t="e">
        <f t="shared" ca="1" si="154"/>
        <v>#DIV/0!</v>
      </c>
      <c r="DU138" s="53">
        <f t="shared" ca="1" si="155"/>
        <v>0</v>
      </c>
      <c r="DV138" s="59" t="e">
        <f t="shared" ca="1" si="156"/>
        <v>#DIV/0!</v>
      </c>
    </row>
    <row r="139" spans="1:126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AD139" s="49" t="s">
        <v>337</v>
      </c>
      <c r="AE139" s="49">
        <f t="shared" ca="1" si="157"/>
        <v>0</v>
      </c>
      <c r="AF139" s="49">
        <f t="shared" ca="1" si="103"/>
        <v>0</v>
      </c>
      <c r="AG139" s="114">
        <f t="shared" ca="1" si="104"/>
        <v>0</v>
      </c>
      <c r="AH139" s="104">
        <f t="shared" ca="1" si="105"/>
        <v>0</v>
      </c>
      <c r="AI139" s="104">
        <f t="shared" ca="1" si="106"/>
        <v>0</v>
      </c>
      <c r="AJ139" s="104">
        <f t="shared" ca="1" si="107"/>
        <v>0</v>
      </c>
      <c r="AK139" s="104">
        <f t="shared" ca="1" si="108"/>
        <v>0</v>
      </c>
      <c r="AL139" s="104">
        <f t="shared" ca="1" si="109"/>
        <v>0</v>
      </c>
      <c r="AM139" s="104">
        <f t="shared" ca="1" si="110"/>
        <v>0</v>
      </c>
      <c r="AN139" s="104">
        <f t="shared" ca="1" si="111"/>
        <v>0</v>
      </c>
      <c r="AO139" s="104">
        <f t="shared" ca="1" si="112"/>
        <v>0</v>
      </c>
      <c r="AP139" s="104">
        <f t="shared" ca="1" si="113"/>
        <v>0</v>
      </c>
      <c r="AQ139" s="49">
        <f t="shared" ca="1" si="114"/>
        <v>0</v>
      </c>
      <c r="AR139" s="104">
        <f t="shared" ca="1" si="115"/>
        <v>0</v>
      </c>
      <c r="AS139" s="104">
        <f t="shared" ca="1" si="116"/>
        <v>0</v>
      </c>
      <c r="AT139" s="104">
        <f t="shared" ca="1" si="117"/>
        <v>0</v>
      </c>
      <c r="AU139" s="104">
        <f t="shared" ca="1" si="118"/>
        <v>0</v>
      </c>
      <c r="BF139" s="49">
        <f t="shared" ca="1" si="119"/>
        <v>0</v>
      </c>
      <c r="BG139" s="49">
        <f t="shared" ca="1" si="120"/>
        <v>0</v>
      </c>
      <c r="BH139" s="54" t="e">
        <f t="shared" ca="1" si="121"/>
        <v>#DIV/0!</v>
      </c>
      <c r="BI139" s="112" t="e">
        <f t="shared" ca="1" si="122"/>
        <v>#DIV/0!</v>
      </c>
      <c r="BK139" s="55" t="e">
        <f t="shared" ca="1" si="123"/>
        <v>#DIV/0!</v>
      </c>
      <c r="BL139" s="55" t="e">
        <f t="shared" ca="1" si="124"/>
        <v>#DIV/0!</v>
      </c>
      <c r="BM139" s="55" t="e">
        <f t="shared" ca="1" si="125"/>
        <v>#DIV/0!</v>
      </c>
      <c r="BN139" s="53">
        <f t="shared" ca="1" si="126"/>
        <v>0</v>
      </c>
      <c r="BO139" s="112" t="e">
        <f t="shared" ca="1" si="127"/>
        <v>#DIV/0!</v>
      </c>
      <c r="BR139" s="53" t="e">
        <f t="shared" ca="1" si="128"/>
        <v>#DIV/0!</v>
      </c>
      <c r="BS139" s="53">
        <f t="shared" ca="1" si="129"/>
        <v>0</v>
      </c>
      <c r="BT139" s="53">
        <f t="shared" ca="1" si="130"/>
        <v>0</v>
      </c>
      <c r="BU139" s="56" t="e">
        <f t="shared" ca="1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ca="1" si="134"/>
        <v>0</v>
      </c>
      <c r="CW139" s="53">
        <f t="shared" ca="1" si="135"/>
        <v>0</v>
      </c>
      <c r="CX139" s="58" t="e">
        <f t="shared" ca="1" si="136"/>
        <v>#DIV/0!</v>
      </c>
      <c r="CY139" s="53">
        <f t="shared" ca="1" si="137"/>
        <v>0</v>
      </c>
      <c r="CZ139" s="53">
        <f t="shared" ca="1" si="138"/>
        <v>0</v>
      </c>
      <c r="DA139" s="58" t="e">
        <f t="shared" ca="1" si="139"/>
        <v>#DIV/0!</v>
      </c>
      <c r="DB139" s="48" t="e">
        <f t="shared" ca="1" si="140"/>
        <v>#DIV/0!</v>
      </c>
      <c r="DC139" s="48" t="e">
        <f t="shared" ca="1" si="141"/>
        <v>#DIV/0!</v>
      </c>
      <c r="DD139" s="48" t="e">
        <f t="shared" ca="1" si="142"/>
        <v>#DIV/0!</v>
      </c>
      <c r="DE139" s="48" t="e">
        <f t="shared" ca="1" si="143"/>
        <v>#DIV/0!</v>
      </c>
      <c r="DF139" s="48" t="e">
        <f t="shared" ca="1" si="144"/>
        <v>#DIV/0!</v>
      </c>
      <c r="DG139" s="48" t="e">
        <f t="shared" ca="1" si="145"/>
        <v>#DIV/0!</v>
      </c>
      <c r="DH139" s="48">
        <f ca="1">SUMIF(FCR!$BZ$4:$DB$500,DG139,FCR!$DE$4:$EG$500)</f>
        <v>0</v>
      </c>
      <c r="DI139" s="48" t="e">
        <f t="shared" ca="1" si="146"/>
        <v>#DIV/0!</v>
      </c>
      <c r="DJ139" s="48">
        <f ca="1">SUMIF(FCR!$BZ$4:$DB$142,DI139,FCR!$DE$4:$EG$142)</f>
        <v>0</v>
      </c>
      <c r="DK139" s="48" t="e">
        <f t="shared" ca="1" si="147"/>
        <v>#DIV/0!</v>
      </c>
      <c r="DL139" s="55" t="e">
        <f t="shared" ca="1" si="148"/>
        <v>#DIV/0!</v>
      </c>
      <c r="DM139" s="48" t="e">
        <f t="shared" ca="1" si="149"/>
        <v>#DIV/0!</v>
      </c>
      <c r="DN139" s="48">
        <f ca="1">SUMIF(FCR!$BZ$4:$DB$142,DM139,FCR!$DE$4:$EG$142)</f>
        <v>0</v>
      </c>
      <c r="DO139" s="53" t="e">
        <f t="shared" ca="1" si="150"/>
        <v>#DIV/0!</v>
      </c>
      <c r="DP139" s="55" t="e">
        <f t="shared" ca="1" si="151"/>
        <v>#DIV/0!</v>
      </c>
      <c r="DQ139" s="55" t="e">
        <f t="shared" ca="1" si="152"/>
        <v>#DIV/0!</v>
      </c>
      <c r="DR139" s="55"/>
      <c r="DS139" s="55" t="e">
        <f t="shared" ca="1" si="153"/>
        <v>#DIV/0!</v>
      </c>
      <c r="DT139" s="55" t="e">
        <f t="shared" ca="1" si="154"/>
        <v>#DIV/0!</v>
      </c>
      <c r="DU139" s="53">
        <f t="shared" ca="1" si="155"/>
        <v>0</v>
      </c>
      <c r="DV139" s="59" t="e">
        <f t="shared" ca="1" si="156"/>
        <v>#DIV/0!</v>
      </c>
    </row>
    <row r="140" spans="1:126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AD140" s="49" t="s">
        <v>337</v>
      </c>
      <c r="AE140" s="49">
        <f t="shared" ca="1" si="157"/>
        <v>0</v>
      </c>
      <c r="AF140" s="49">
        <f t="shared" ca="1" si="103"/>
        <v>0</v>
      </c>
      <c r="AG140" s="114">
        <f t="shared" ca="1" si="104"/>
        <v>0</v>
      </c>
      <c r="AH140" s="104">
        <f t="shared" ca="1" si="105"/>
        <v>0</v>
      </c>
      <c r="AI140" s="104">
        <f t="shared" ca="1" si="106"/>
        <v>0</v>
      </c>
      <c r="AJ140" s="104">
        <f t="shared" ca="1" si="107"/>
        <v>0</v>
      </c>
      <c r="AK140" s="104">
        <f t="shared" ca="1" si="108"/>
        <v>0</v>
      </c>
      <c r="AL140" s="104">
        <f t="shared" ca="1" si="109"/>
        <v>0</v>
      </c>
      <c r="AM140" s="104">
        <f t="shared" ca="1" si="110"/>
        <v>0</v>
      </c>
      <c r="AN140" s="104">
        <f t="shared" ca="1" si="111"/>
        <v>0</v>
      </c>
      <c r="AO140" s="104">
        <f t="shared" ca="1" si="112"/>
        <v>0</v>
      </c>
      <c r="AP140" s="104">
        <f t="shared" ca="1" si="113"/>
        <v>0</v>
      </c>
      <c r="AQ140" s="49">
        <f t="shared" ca="1" si="114"/>
        <v>0</v>
      </c>
      <c r="AR140" s="104">
        <f t="shared" ca="1" si="115"/>
        <v>0</v>
      </c>
      <c r="AS140" s="104">
        <f t="shared" ca="1" si="116"/>
        <v>0</v>
      </c>
      <c r="AT140" s="104">
        <f t="shared" ca="1" si="117"/>
        <v>0</v>
      </c>
      <c r="AU140" s="104">
        <f t="shared" ca="1" si="118"/>
        <v>0</v>
      </c>
      <c r="BF140" s="49">
        <f t="shared" ca="1" si="119"/>
        <v>0</v>
      </c>
      <c r="BG140" s="49">
        <f t="shared" ca="1" si="120"/>
        <v>0</v>
      </c>
      <c r="BH140" s="54" t="e">
        <f t="shared" ca="1" si="121"/>
        <v>#DIV/0!</v>
      </c>
      <c r="BI140" s="112" t="e">
        <f t="shared" ca="1" si="122"/>
        <v>#DIV/0!</v>
      </c>
      <c r="BK140" s="55" t="e">
        <f t="shared" ca="1" si="123"/>
        <v>#DIV/0!</v>
      </c>
      <c r="BL140" s="55" t="e">
        <f t="shared" ca="1" si="124"/>
        <v>#DIV/0!</v>
      </c>
      <c r="BM140" s="55" t="e">
        <f t="shared" ca="1" si="125"/>
        <v>#DIV/0!</v>
      </c>
      <c r="BN140" s="53">
        <f t="shared" ca="1" si="126"/>
        <v>0</v>
      </c>
      <c r="BO140" s="112" t="e">
        <f t="shared" ca="1" si="127"/>
        <v>#DIV/0!</v>
      </c>
      <c r="BR140" s="53" t="e">
        <f t="shared" ca="1" si="128"/>
        <v>#DIV/0!</v>
      </c>
      <c r="BS140" s="53">
        <f t="shared" ca="1" si="129"/>
        <v>0</v>
      </c>
      <c r="BT140" s="53">
        <f t="shared" ca="1" si="130"/>
        <v>0</v>
      </c>
      <c r="BU140" s="56" t="e">
        <f t="shared" ca="1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ca="1" si="134"/>
        <v>0</v>
      </c>
      <c r="CW140" s="53">
        <f t="shared" ca="1" si="135"/>
        <v>0</v>
      </c>
      <c r="CX140" s="58" t="e">
        <f t="shared" ca="1" si="136"/>
        <v>#DIV/0!</v>
      </c>
      <c r="CY140" s="53">
        <f t="shared" ca="1" si="137"/>
        <v>0</v>
      </c>
      <c r="CZ140" s="53">
        <f t="shared" ca="1" si="138"/>
        <v>0</v>
      </c>
      <c r="DA140" s="58" t="e">
        <f t="shared" ca="1" si="139"/>
        <v>#DIV/0!</v>
      </c>
      <c r="DB140" s="48" t="e">
        <f t="shared" ca="1" si="140"/>
        <v>#DIV/0!</v>
      </c>
      <c r="DC140" s="48" t="e">
        <f t="shared" ca="1" si="141"/>
        <v>#DIV/0!</v>
      </c>
      <c r="DD140" s="48" t="e">
        <f t="shared" ca="1" si="142"/>
        <v>#DIV/0!</v>
      </c>
      <c r="DE140" s="48" t="e">
        <f t="shared" ca="1" si="143"/>
        <v>#DIV/0!</v>
      </c>
      <c r="DF140" s="48" t="e">
        <f t="shared" ca="1" si="144"/>
        <v>#DIV/0!</v>
      </c>
      <c r="DG140" s="48" t="e">
        <f t="shared" ca="1" si="145"/>
        <v>#DIV/0!</v>
      </c>
      <c r="DH140" s="48">
        <f ca="1">SUMIF(FCR!$BZ$4:$DB$500,DG140,FCR!$DE$4:$EG$500)</f>
        <v>0</v>
      </c>
      <c r="DI140" s="48" t="e">
        <f t="shared" ca="1" si="146"/>
        <v>#DIV/0!</v>
      </c>
      <c r="DJ140" s="48">
        <f ca="1">SUMIF(FCR!$BZ$4:$DB$142,DI140,FCR!$DE$4:$EG$142)</f>
        <v>0</v>
      </c>
      <c r="DK140" s="48" t="e">
        <f t="shared" ca="1" si="147"/>
        <v>#DIV/0!</v>
      </c>
      <c r="DL140" s="55" t="e">
        <f t="shared" ca="1" si="148"/>
        <v>#DIV/0!</v>
      </c>
      <c r="DM140" s="48" t="e">
        <f t="shared" ca="1" si="149"/>
        <v>#DIV/0!</v>
      </c>
      <c r="DN140" s="48">
        <f ca="1">SUMIF(FCR!$BZ$4:$DB$142,DM140,FCR!$DE$4:$EG$142)</f>
        <v>0</v>
      </c>
      <c r="DO140" s="53" t="e">
        <f t="shared" ca="1" si="150"/>
        <v>#DIV/0!</v>
      </c>
      <c r="DP140" s="55" t="e">
        <f t="shared" ca="1" si="151"/>
        <v>#DIV/0!</v>
      </c>
      <c r="DQ140" s="55" t="e">
        <f t="shared" ca="1" si="152"/>
        <v>#DIV/0!</v>
      </c>
      <c r="DR140" s="55"/>
      <c r="DS140" s="55" t="e">
        <f t="shared" ca="1" si="153"/>
        <v>#DIV/0!</v>
      </c>
      <c r="DT140" s="55" t="e">
        <f t="shared" ca="1" si="154"/>
        <v>#DIV/0!</v>
      </c>
      <c r="DU140" s="53">
        <f t="shared" ca="1" si="155"/>
        <v>0</v>
      </c>
      <c r="DV140" s="59" t="e">
        <f t="shared" ca="1" si="156"/>
        <v>#DIV/0!</v>
      </c>
    </row>
    <row r="141" spans="1:126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AD141" s="49" t="s">
        <v>337</v>
      </c>
      <c r="AE141" s="49">
        <f t="shared" ca="1" si="157"/>
        <v>0</v>
      </c>
      <c r="AF141" s="49">
        <f t="shared" ref="AF141:AF200" ca="1" si="158">+C141</f>
        <v>0</v>
      </c>
      <c r="AG141" s="114">
        <f t="shared" ref="AG141:AG200" ca="1" si="159">+D141</f>
        <v>0</v>
      </c>
      <c r="AH141" s="104">
        <f t="shared" ref="AH141:AH200" ca="1" si="160">+BF141</f>
        <v>0</v>
      </c>
      <c r="AI141" s="104">
        <f t="shared" ref="AI141:AI200" ca="1" si="161">+ROUND(IFERROR(BH141,0),1)</f>
        <v>0</v>
      </c>
      <c r="AJ141" s="104">
        <f t="shared" ref="AJ141:AJ200" ca="1" si="162">+BG141</f>
        <v>0</v>
      </c>
      <c r="AK141" s="104">
        <f t="shared" ref="AK141:AK200" ca="1" si="163">+DU141</f>
        <v>0</v>
      </c>
      <c r="AL141" s="104">
        <f t="shared" ref="AL141:AL200" ca="1" si="164">+ROUND(IFERROR(DV141,0),1)</f>
        <v>0</v>
      </c>
      <c r="AM141" s="104">
        <f t="shared" ref="AM141:AM200" ca="1" si="165">+BS141</f>
        <v>0</v>
      </c>
      <c r="AN141" s="104">
        <f t="shared" ref="AN141:AN200" ca="1" si="166">+ROUND(IFERROR(DA141,0),1)</f>
        <v>0</v>
      </c>
      <c r="AO141" s="104">
        <f t="shared" ref="AO141:AO200" ca="1" si="167">+BT141</f>
        <v>0</v>
      </c>
      <c r="AP141" s="104">
        <f t="shared" ref="AP141:AP200" ca="1" si="168">+AO141-AJ141</f>
        <v>0</v>
      </c>
      <c r="AQ141" s="49">
        <f t="shared" ref="AQ141:AQ200" ca="1" si="169">+ROUND(BN141,0)</f>
        <v>0</v>
      </c>
      <c r="AR141" s="104">
        <f t="shared" ref="AR141:AR200" ca="1" si="170">+ROUND(IFERROR(AQ141/AM141,0),1)</f>
        <v>0</v>
      </c>
      <c r="AS141" s="104">
        <f t="shared" ref="AS141:AS200" ca="1" si="171">+ROUND(IFERROR(BK141,0),3)</f>
        <v>0</v>
      </c>
      <c r="AT141" s="104">
        <f t="shared" ref="AT141:AT200" ca="1" si="172">+ROUND(IFERROR(BL141,0),3)</f>
        <v>0</v>
      </c>
      <c r="AU141" s="104">
        <f t="shared" ref="AU141:AU200" ca="1" si="173">+ROUND(IFERROR(BM141,0),3)</f>
        <v>0</v>
      </c>
      <c r="BF141" s="49">
        <f t="shared" ref="BF141:BF200" ca="1" si="174">+F141</f>
        <v>0</v>
      </c>
      <c r="BG141" s="49">
        <f t="shared" ref="BG141:BG200" ca="1" si="175">+G141</f>
        <v>0</v>
      </c>
      <c r="BH141" s="54" t="e">
        <f t="shared" ref="BH141:BH200" ca="1" si="176">BG141/BF141</f>
        <v>#DIV/0!</v>
      </c>
      <c r="BI141" s="112" t="e">
        <f t="shared" ref="BI141:BI200" ca="1" si="177">BJ141/BF141</f>
        <v>#DIV/0!</v>
      </c>
      <c r="BK141" s="55" t="e">
        <f t="shared" ref="BK141:BK200" ca="1" si="178">BN141/(BT141-BG141)</f>
        <v>#DIV/0!</v>
      </c>
      <c r="BL141" s="55" t="e">
        <f t="shared" ref="BL141:BL200" ca="1" si="179">DS141</f>
        <v>#DIV/0!</v>
      </c>
      <c r="BM141" s="55" t="e">
        <f t="shared" ref="BM141:BM200" ca="1" si="180">BK141-BL141</f>
        <v>#DIV/0!</v>
      </c>
      <c r="BN141" s="53">
        <f t="shared" ref="BN141:BN200" ca="1" si="181">+H141</f>
        <v>0</v>
      </c>
      <c r="BO141" s="112" t="e">
        <f t="shared" ref="BO141:BO200" ca="1" si="182">BP141/BN141</f>
        <v>#DIV/0!</v>
      </c>
      <c r="BR141" s="53" t="e">
        <f t="shared" ref="BR141:BR200" ca="1" si="183">BQ141/BT141</f>
        <v>#DIV/0!</v>
      </c>
      <c r="BS141" s="53">
        <f t="shared" ref="BS141:BS200" ca="1" si="184">+J141</f>
        <v>0</v>
      </c>
      <c r="BT141" s="53">
        <f t="shared" ref="BT141:BT200" ca="1" si="185">+K141</f>
        <v>0</v>
      </c>
      <c r="BU141" s="56" t="e">
        <f t="shared" ref="BU141:BU200" ca="1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ca="1" si="189">BF141</f>
        <v>0</v>
      </c>
      <c r="CW141" s="53">
        <f t="shared" ref="CW141:CW200" ca="1" si="190">BG141</f>
        <v>0</v>
      </c>
      <c r="CX141" s="58" t="e">
        <f t="shared" ref="CX141:CX200" ca="1" si="191">ROUND(BH141,2)</f>
        <v>#DIV/0!</v>
      </c>
      <c r="CY141" s="53">
        <f t="shared" ref="CY141:CY200" ca="1" si="192">BS141</f>
        <v>0</v>
      </c>
      <c r="CZ141" s="53">
        <f t="shared" ref="CZ141:CZ200" ca="1" si="193">BT141</f>
        <v>0</v>
      </c>
      <c r="DA141" s="58" t="e">
        <f t="shared" ref="DA141:DA200" ca="1" si="194">ROUND(BU141,2)</f>
        <v>#DIV/0!</v>
      </c>
      <c r="DB141" s="48" t="e">
        <f t="shared" ref="DB141:DB200" ca="1" si="195">IF(DA141&lt;100,(LEFT(DA141,2)),IF(DA141&gt;100,(LEFT(DA141,3))))</f>
        <v>#DIV/0!</v>
      </c>
      <c r="DC141" s="48" t="e">
        <f t="shared" ref="DC141:DC200" ca="1" si="196">+DB141+1</f>
        <v>#DIV/0!</v>
      </c>
      <c r="DD141" s="48" t="e">
        <f t="shared" ref="DD141:DD200" ca="1" si="197">LEFT(CX141,2)</f>
        <v>#DIV/0!</v>
      </c>
      <c r="DE141" s="48" t="e">
        <f t="shared" ref="DE141:DE200" ca="1" si="198">ROUND(DD141,0)</f>
        <v>#DIV/0!</v>
      </c>
      <c r="DF141" s="48" t="e">
        <f t="shared" ref="DF141:DF200" ca="1" si="199">+DD141+1</f>
        <v>#DIV/0!</v>
      </c>
      <c r="DG141" s="48" t="e">
        <f t="shared" ref="DG141:DG200" ca="1" si="200">DE141&amp;DB141</f>
        <v>#DIV/0!</v>
      </c>
      <c r="DH141" s="48">
        <f ca="1">SUMIF(FCR!$BZ$4:$DB$500,DG141,FCR!$DE$4:$EG$500)</f>
        <v>0</v>
      </c>
      <c r="DI141" s="48" t="e">
        <f t="shared" ref="DI141:DI200" ca="1" si="201">DF141&amp;DB141</f>
        <v>#DIV/0!</v>
      </c>
      <c r="DJ141" s="48">
        <f ca="1">SUMIF(FCR!$BZ$4:$DB$142,DI141,FCR!$DE$4:$EG$142)</f>
        <v>0</v>
      </c>
      <c r="DK141" s="48" t="e">
        <f t="shared" ref="DK141:DK200" ca="1" si="202">(CX141-DE141)*100</f>
        <v>#DIV/0!</v>
      </c>
      <c r="DL141" s="55" t="e">
        <f t="shared" ref="DL141:DL200" ca="1" si="203">ROUND(DH141+(DJ141-DH141)/100*DK141,3)</f>
        <v>#DIV/0!</v>
      </c>
      <c r="DM141" s="48" t="e">
        <f t="shared" ref="DM141:DM200" ca="1" si="204">DE141&amp;DC141</f>
        <v>#DIV/0!</v>
      </c>
      <c r="DN141" s="48">
        <f ca="1">SUMIF(FCR!$BZ$4:$DB$142,DM141,FCR!$DE$4:$EG$142)</f>
        <v>0</v>
      </c>
      <c r="DO141" s="53" t="e">
        <f t="shared" ref="DO141:DO200" ca="1" si="205">(DA141-DB141)*100</f>
        <v>#DIV/0!</v>
      </c>
      <c r="DP141" s="55" t="e">
        <f t="shared" ref="DP141:DP200" ca="1" si="206">ROUND(DH141+(DN141-DH141)/100*DO141,3)</f>
        <v>#DIV/0!</v>
      </c>
      <c r="DQ141" s="55" t="e">
        <f t="shared" ref="DQ141:DQ200" ca="1" si="207">ROUND((DP141+DL141)/2,3)</f>
        <v>#DIV/0!</v>
      </c>
      <c r="DR141" s="55"/>
      <c r="DS141" s="55" t="e">
        <f t="shared" ref="DS141:DS200" ca="1" si="208">DR141+DQ141</f>
        <v>#DIV/0!</v>
      </c>
      <c r="DT141" s="55" t="e">
        <f t="shared" ref="DT141:DT200" ca="1" si="209">+DQ141-BL141</f>
        <v>#DIV/0!</v>
      </c>
      <c r="DU141" s="53">
        <f t="shared" ref="DU141:DU200" ca="1" si="210">CV141-CY141</f>
        <v>0</v>
      </c>
      <c r="DV141" s="59" t="e">
        <f t="shared" ref="DV141:DV200" ca="1" si="211">ROUND(DU141/CV141*100,2)</f>
        <v>#DIV/0!</v>
      </c>
    </row>
    <row r="142" spans="1:126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AD142" s="49" t="s">
        <v>337</v>
      </c>
      <c r="AE142" s="49">
        <f t="shared" ca="1" si="157"/>
        <v>0</v>
      </c>
      <c r="AF142" s="49">
        <f t="shared" ca="1" si="158"/>
        <v>0</v>
      </c>
      <c r="AG142" s="114">
        <f t="shared" ca="1" si="159"/>
        <v>0</v>
      </c>
      <c r="AH142" s="104">
        <f t="shared" ca="1" si="160"/>
        <v>0</v>
      </c>
      <c r="AI142" s="104">
        <f t="shared" ca="1" si="161"/>
        <v>0</v>
      </c>
      <c r="AJ142" s="104">
        <f t="shared" ca="1" si="162"/>
        <v>0</v>
      </c>
      <c r="AK142" s="104">
        <f t="shared" ca="1" si="163"/>
        <v>0</v>
      </c>
      <c r="AL142" s="104">
        <f t="shared" ca="1" si="164"/>
        <v>0</v>
      </c>
      <c r="AM142" s="104">
        <f t="shared" ca="1" si="165"/>
        <v>0</v>
      </c>
      <c r="AN142" s="104">
        <f t="shared" ca="1" si="166"/>
        <v>0</v>
      </c>
      <c r="AO142" s="104">
        <f t="shared" ca="1" si="167"/>
        <v>0</v>
      </c>
      <c r="AP142" s="104">
        <f t="shared" ca="1" si="168"/>
        <v>0</v>
      </c>
      <c r="AQ142" s="49">
        <f t="shared" ca="1" si="169"/>
        <v>0</v>
      </c>
      <c r="AR142" s="104">
        <f t="shared" ca="1" si="170"/>
        <v>0</v>
      </c>
      <c r="AS142" s="104">
        <f t="shared" ca="1" si="171"/>
        <v>0</v>
      </c>
      <c r="AT142" s="104">
        <f t="shared" ca="1" si="172"/>
        <v>0</v>
      </c>
      <c r="AU142" s="104">
        <f t="shared" ca="1" si="173"/>
        <v>0</v>
      </c>
      <c r="BF142" s="49">
        <f t="shared" ca="1" si="174"/>
        <v>0</v>
      </c>
      <c r="BG142" s="49">
        <f t="shared" ca="1" si="175"/>
        <v>0</v>
      </c>
      <c r="BH142" s="54" t="e">
        <f t="shared" ca="1" si="176"/>
        <v>#DIV/0!</v>
      </c>
      <c r="BI142" s="112" t="e">
        <f t="shared" ca="1" si="177"/>
        <v>#DIV/0!</v>
      </c>
      <c r="BK142" s="55" t="e">
        <f t="shared" ca="1" si="178"/>
        <v>#DIV/0!</v>
      </c>
      <c r="BL142" s="55" t="e">
        <f t="shared" ca="1" si="179"/>
        <v>#DIV/0!</v>
      </c>
      <c r="BM142" s="55" t="e">
        <f t="shared" ca="1" si="180"/>
        <v>#DIV/0!</v>
      </c>
      <c r="BN142" s="53">
        <f t="shared" ca="1" si="181"/>
        <v>0</v>
      </c>
      <c r="BO142" s="112" t="e">
        <f t="shared" ca="1" si="182"/>
        <v>#DIV/0!</v>
      </c>
      <c r="BR142" s="53" t="e">
        <f t="shared" ca="1" si="183"/>
        <v>#DIV/0!</v>
      </c>
      <c r="BS142" s="53">
        <f t="shared" ca="1" si="184"/>
        <v>0</v>
      </c>
      <c r="BT142" s="53">
        <f t="shared" ca="1" si="185"/>
        <v>0</v>
      </c>
      <c r="BU142" s="56" t="e">
        <f t="shared" ca="1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ca="1" si="189"/>
        <v>0</v>
      </c>
      <c r="CW142" s="53">
        <f t="shared" ca="1" si="190"/>
        <v>0</v>
      </c>
      <c r="CX142" s="58" t="e">
        <f t="shared" ca="1" si="191"/>
        <v>#DIV/0!</v>
      </c>
      <c r="CY142" s="53">
        <f t="shared" ca="1" si="192"/>
        <v>0</v>
      </c>
      <c r="CZ142" s="53">
        <f t="shared" ca="1" si="193"/>
        <v>0</v>
      </c>
      <c r="DA142" s="58" t="e">
        <f t="shared" ca="1" si="194"/>
        <v>#DIV/0!</v>
      </c>
      <c r="DB142" s="48" t="e">
        <f t="shared" ca="1" si="195"/>
        <v>#DIV/0!</v>
      </c>
      <c r="DC142" s="48" t="e">
        <f t="shared" ca="1" si="196"/>
        <v>#DIV/0!</v>
      </c>
      <c r="DD142" s="48" t="e">
        <f t="shared" ca="1" si="197"/>
        <v>#DIV/0!</v>
      </c>
      <c r="DE142" s="48" t="e">
        <f t="shared" ca="1" si="198"/>
        <v>#DIV/0!</v>
      </c>
      <c r="DF142" s="48" t="e">
        <f t="shared" ca="1" si="199"/>
        <v>#DIV/0!</v>
      </c>
      <c r="DG142" s="48" t="e">
        <f t="shared" ca="1" si="200"/>
        <v>#DIV/0!</v>
      </c>
      <c r="DH142" s="48">
        <f ca="1">SUMIF(FCR!$BZ$4:$DB$500,DG142,FCR!$DE$4:$EG$500)</f>
        <v>0</v>
      </c>
      <c r="DI142" s="48" t="e">
        <f t="shared" ca="1" si="201"/>
        <v>#DIV/0!</v>
      </c>
      <c r="DJ142" s="48">
        <f ca="1">SUMIF(FCR!$BZ$4:$DB$142,DI142,FCR!$DE$4:$EG$142)</f>
        <v>0</v>
      </c>
      <c r="DK142" s="48" t="e">
        <f t="shared" ca="1" si="202"/>
        <v>#DIV/0!</v>
      </c>
      <c r="DL142" s="55" t="e">
        <f t="shared" ca="1" si="203"/>
        <v>#DIV/0!</v>
      </c>
      <c r="DM142" s="48" t="e">
        <f t="shared" ca="1" si="204"/>
        <v>#DIV/0!</v>
      </c>
      <c r="DN142" s="48">
        <f ca="1">SUMIF(FCR!$BZ$4:$DB$142,DM142,FCR!$DE$4:$EG$142)</f>
        <v>0</v>
      </c>
      <c r="DO142" s="53" t="e">
        <f t="shared" ca="1" si="205"/>
        <v>#DIV/0!</v>
      </c>
      <c r="DP142" s="55" t="e">
        <f t="shared" ca="1" si="206"/>
        <v>#DIV/0!</v>
      </c>
      <c r="DQ142" s="55" t="e">
        <f t="shared" ca="1" si="207"/>
        <v>#DIV/0!</v>
      </c>
      <c r="DR142" s="55"/>
      <c r="DS142" s="55" t="e">
        <f t="shared" ca="1" si="208"/>
        <v>#DIV/0!</v>
      </c>
      <c r="DT142" s="55" t="e">
        <f t="shared" ca="1" si="209"/>
        <v>#DIV/0!</v>
      </c>
      <c r="DU142" s="53">
        <f t="shared" ca="1" si="210"/>
        <v>0</v>
      </c>
      <c r="DV142" s="59" t="e">
        <f t="shared" ca="1" si="211"/>
        <v>#DIV/0!</v>
      </c>
    </row>
    <row r="143" spans="1:126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AD143" s="49" t="s">
        <v>337</v>
      </c>
      <c r="AE143" s="49">
        <f t="shared" ca="1" si="157"/>
        <v>0</v>
      </c>
      <c r="AF143" s="49">
        <f t="shared" ca="1" si="158"/>
        <v>0</v>
      </c>
      <c r="AG143" s="114">
        <f t="shared" ca="1" si="159"/>
        <v>0</v>
      </c>
      <c r="AH143" s="104">
        <f t="shared" ca="1" si="160"/>
        <v>0</v>
      </c>
      <c r="AI143" s="104">
        <f t="shared" ca="1" si="161"/>
        <v>0</v>
      </c>
      <c r="AJ143" s="104">
        <f t="shared" ca="1" si="162"/>
        <v>0</v>
      </c>
      <c r="AK143" s="104">
        <f t="shared" ca="1" si="163"/>
        <v>0</v>
      </c>
      <c r="AL143" s="104">
        <f t="shared" ca="1" si="164"/>
        <v>0</v>
      </c>
      <c r="AM143" s="104">
        <f t="shared" ca="1" si="165"/>
        <v>0</v>
      </c>
      <c r="AN143" s="104">
        <f t="shared" ca="1" si="166"/>
        <v>0</v>
      </c>
      <c r="AO143" s="104">
        <f t="shared" ca="1" si="167"/>
        <v>0</v>
      </c>
      <c r="AP143" s="104">
        <f t="shared" ca="1" si="168"/>
        <v>0</v>
      </c>
      <c r="AQ143" s="49">
        <f t="shared" ca="1" si="169"/>
        <v>0</v>
      </c>
      <c r="AR143" s="104">
        <f t="shared" ca="1" si="170"/>
        <v>0</v>
      </c>
      <c r="AS143" s="104">
        <f t="shared" ca="1" si="171"/>
        <v>0</v>
      </c>
      <c r="AT143" s="104">
        <f t="shared" ca="1" si="172"/>
        <v>0</v>
      </c>
      <c r="AU143" s="104">
        <f t="shared" ca="1" si="173"/>
        <v>0</v>
      </c>
      <c r="BF143" s="49">
        <f t="shared" ca="1" si="174"/>
        <v>0</v>
      </c>
      <c r="BG143" s="49">
        <f t="shared" ca="1" si="175"/>
        <v>0</v>
      </c>
      <c r="BH143" s="54" t="e">
        <f t="shared" ca="1" si="176"/>
        <v>#DIV/0!</v>
      </c>
      <c r="BI143" s="112" t="e">
        <f t="shared" ca="1" si="177"/>
        <v>#DIV/0!</v>
      </c>
      <c r="BK143" s="55" t="e">
        <f t="shared" ca="1" si="178"/>
        <v>#DIV/0!</v>
      </c>
      <c r="BL143" s="55" t="e">
        <f t="shared" ca="1" si="179"/>
        <v>#DIV/0!</v>
      </c>
      <c r="BM143" s="55" t="e">
        <f t="shared" ca="1" si="180"/>
        <v>#DIV/0!</v>
      </c>
      <c r="BN143" s="53">
        <f t="shared" ca="1" si="181"/>
        <v>0</v>
      </c>
      <c r="BO143" s="112" t="e">
        <f t="shared" ca="1" si="182"/>
        <v>#DIV/0!</v>
      </c>
      <c r="BR143" s="53" t="e">
        <f t="shared" ca="1" si="183"/>
        <v>#DIV/0!</v>
      </c>
      <c r="BS143" s="53">
        <f t="shared" ca="1" si="184"/>
        <v>0</v>
      </c>
      <c r="BT143" s="53">
        <f t="shared" ca="1" si="185"/>
        <v>0</v>
      </c>
      <c r="BU143" s="56" t="e">
        <f t="shared" ca="1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ca="1" si="189"/>
        <v>0</v>
      </c>
      <c r="CW143" s="53">
        <f t="shared" ca="1" si="190"/>
        <v>0</v>
      </c>
      <c r="CX143" s="58" t="e">
        <f t="shared" ca="1" si="191"/>
        <v>#DIV/0!</v>
      </c>
      <c r="CY143" s="53">
        <f t="shared" ca="1" si="192"/>
        <v>0</v>
      </c>
      <c r="CZ143" s="53">
        <f t="shared" ca="1" si="193"/>
        <v>0</v>
      </c>
      <c r="DA143" s="58" t="e">
        <f t="shared" ca="1" si="194"/>
        <v>#DIV/0!</v>
      </c>
      <c r="DB143" s="48" t="e">
        <f t="shared" ca="1" si="195"/>
        <v>#DIV/0!</v>
      </c>
      <c r="DC143" s="48" t="e">
        <f t="shared" ca="1" si="196"/>
        <v>#DIV/0!</v>
      </c>
      <c r="DD143" s="48" t="e">
        <f t="shared" ca="1" si="197"/>
        <v>#DIV/0!</v>
      </c>
      <c r="DE143" s="48" t="e">
        <f t="shared" ca="1" si="198"/>
        <v>#DIV/0!</v>
      </c>
      <c r="DF143" s="48" t="e">
        <f t="shared" ca="1" si="199"/>
        <v>#DIV/0!</v>
      </c>
      <c r="DG143" s="48" t="e">
        <f t="shared" ca="1" si="200"/>
        <v>#DIV/0!</v>
      </c>
      <c r="DH143" s="48">
        <f ca="1">SUMIF(FCR!$BZ$4:$DB$500,DG143,FCR!$DE$4:$EG$500)</f>
        <v>0</v>
      </c>
      <c r="DI143" s="48" t="e">
        <f t="shared" ca="1" si="201"/>
        <v>#DIV/0!</v>
      </c>
      <c r="DJ143" s="48">
        <f ca="1">SUMIF(FCR!$BZ$4:$DB$142,DI143,FCR!$DE$4:$EG$142)</f>
        <v>0</v>
      </c>
      <c r="DK143" s="48" t="e">
        <f t="shared" ca="1" si="202"/>
        <v>#DIV/0!</v>
      </c>
      <c r="DL143" s="55" t="e">
        <f t="shared" ca="1" si="203"/>
        <v>#DIV/0!</v>
      </c>
      <c r="DM143" s="48" t="e">
        <f t="shared" ca="1" si="204"/>
        <v>#DIV/0!</v>
      </c>
      <c r="DN143" s="48">
        <f ca="1">SUMIF(FCR!$BZ$4:$DB$142,DM143,FCR!$DE$4:$EG$142)</f>
        <v>0</v>
      </c>
      <c r="DO143" s="53" t="e">
        <f t="shared" ca="1" si="205"/>
        <v>#DIV/0!</v>
      </c>
      <c r="DP143" s="55" t="e">
        <f t="shared" ca="1" si="206"/>
        <v>#DIV/0!</v>
      </c>
      <c r="DQ143" s="55" t="e">
        <f t="shared" ca="1" si="207"/>
        <v>#DIV/0!</v>
      </c>
      <c r="DR143" s="55"/>
      <c r="DS143" s="55" t="e">
        <f t="shared" ca="1" si="208"/>
        <v>#DIV/0!</v>
      </c>
      <c r="DT143" s="55" t="e">
        <f t="shared" ca="1" si="209"/>
        <v>#DIV/0!</v>
      </c>
      <c r="DU143" s="53">
        <f t="shared" ca="1" si="210"/>
        <v>0</v>
      </c>
      <c r="DV143" s="59" t="e">
        <f t="shared" ca="1" si="211"/>
        <v>#DIV/0!</v>
      </c>
    </row>
    <row r="144" spans="1:126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AD144" s="49" t="s">
        <v>337</v>
      </c>
      <c r="AE144" s="49">
        <f t="shared" ca="1" si="157"/>
        <v>0</v>
      </c>
      <c r="AF144" s="49">
        <f t="shared" ca="1" si="158"/>
        <v>0</v>
      </c>
      <c r="AG144" s="114">
        <f t="shared" ca="1" si="159"/>
        <v>0</v>
      </c>
      <c r="AH144" s="104">
        <f t="shared" ca="1" si="160"/>
        <v>0</v>
      </c>
      <c r="AI144" s="104">
        <f t="shared" ca="1" si="161"/>
        <v>0</v>
      </c>
      <c r="AJ144" s="104">
        <f t="shared" ca="1" si="162"/>
        <v>0</v>
      </c>
      <c r="AK144" s="104">
        <f t="shared" ca="1" si="163"/>
        <v>0</v>
      </c>
      <c r="AL144" s="104">
        <f t="shared" ca="1" si="164"/>
        <v>0</v>
      </c>
      <c r="AM144" s="104">
        <f t="shared" ca="1" si="165"/>
        <v>0</v>
      </c>
      <c r="AN144" s="104">
        <f t="shared" ca="1" si="166"/>
        <v>0</v>
      </c>
      <c r="AO144" s="104">
        <f t="shared" ca="1" si="167"/>
        <v>0</v>
      </c>
      <c r="AP144" s="104">
        <f t="shared" ca="1" si="168"/>
        <v>0</v>
      </c>
      <c r="AQ144" s="49">
        <f t="shared" ca="1" si="169"/>
        <v>0</v>
      </c>
      <c r="AR144" s="104">
        <f t="shared" ca="1" si="170"/>
        <v>0</v>
      </c>
      <c r="AS144" s="104">
        <f t="shared" ca="1" si="171"/>
        <v>0</v>
      </c>
      <c r="AT144" s="104">
        <f t="shared" ca="1" si="172"/>
        <v>0</v>
      </c>
      <c r="AU144" s="104">
        <f t="shared" ca="1" si="173"/>
        <v>0</v>
      </c>
      <c r="BF144" s="49">
        <f t="shared" ca="1" si="174"/>
        <v>0</v>
      </c>
      <c r="BG144" s="49">
        <f t="shared" ca="1" si="175"/>
        <v>0</v>
      </c>
      <c r="BH144" s="54" t="e">
        <f t="shared" ca="1" si="176"/>
        <v>#DIV/0!</v>
      </c>
      <c r="BI144" s="112" t="e">
        <f t="shared" ca="1" si="177"/>
        <v>#DIV/0!</v>
      </c>
      <c r="BK144" s="55" t="e">
        <f t="shared" ca="1" si="178"/>
        <v>#DIV/0!</v>
      </c>
      <c r="BL144" s="55" t="e">
        <f t="shared" ca="1" si="179"/>
        <v>#DIV/0!</v>
      </c>
      <c r="BM144" s="55" t="e">
        <f t="shared" ca="1" si="180"/>
        <v>#DIV/0!</v>
      </c>
      <c r="BN144" s="53">
        <f t="shared" ca="1" si="181"/>
        <v>0</v>
      </c>
      <c r="BO144" s="112" t="e">
        <f t="shared" ca="1" si="182"/>
        <v>#DIV/0!</v>
      </c>
      <c r="BR144" s="53" t="e">
        <f t="shared" ca="1" si="183"/>
        <v>#DIV/0!</v>
      </c>
      <c r="BS144" s="53">
        <f t="shared" ca="1" si="184"/>
        <v>0</v>
      </c>
      <c r="BT144" s="53">
        <f t="shared" ca="1" si="185"/>
        <v>0</v>
      </c>
      <c r="BU144" s="56" t="e">
        <f t="shared" ca="1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ca="1" si="189"/>
        <v>0</v>
      </c>
      <c r="CW144" s="53">
        <f t="shared" ca="1" si="190"/>
        <v>0</v>
      </c>
      <c r="CX144" s="58" t="e">
        <f t="shared" ca="1" si="191"/>
        <v>#DIV/0!</v>
      </c>
      <c r="CY144" s="53">
        <f t="shared" ca="1" si="192"/>
        <v>0</v>
      </c>
      <c r="CZ144" s="53">
        <f t="shared" ca="1" si="193"/>
        <v>0</v>
      </c>
      <c r="DA144" s="58" t="e">
        <f t="shared" ca="1" si="194"/>
        <v>#DIV/0!</v>
      </c>
      <c r="DB144" s="48" t="e">
        <f t="shared" ca="1" si="195"/>
        <v>#DIV/0!</v>
      </c>
      <c r="DC144" s="48" t="e">
        <f t="shared" ca="1" si="196"/>
        <v>#DIV/0!</v>
      </c>
      <c r="DD144" s="48" t="e">
        <f t="shared" ca="1" si="197"/>
        <v>#DIV/0!</v>
      </c>
      <c r="DE144" s="48" t="e">
        <f t="shared" ca="1" si="198"/>
        <v>#DIV/0!</v>
      </c>
      <c r="DF144" s="48" t="e">
        <f t="shared" ca="1" si="199"/>
        <v>#DIV/0!</v>
      </c>
      <c r="DG144" s="48" t="e">
        <f t="shared" ca="1" si="200"/>
        <v>#DIV/0!</v>
      </c>
      <c r="DH144" s="48">
        <f ca="1">SUMIF(FCR!$BZ$4:$DB$500,DG144,FCR!$DE$4:$EG$500)</f>
        <v>0</v>
      </c>
      <c r="DI144" s="48" t="e">
        <f t="shared" ca="1" si="201"/>
        <v>#DIV/0!</v>
      </c>
      <c r="DJ144" s="48">
        <f ca="1">SUMIF(FCR!$BZ$4:$DB$142,DI144,FCR!$DE$4:$EG$142)</f>
        <v>0</v>
      </c>
      <c r="DK144" s="48" t="e">
        <f t="shared" ca="1" si="202"/>
        <v>#DIV/0!</v>
      </c>
      <c r="DL144" s="55" t="e">
        <f t="shared" ca="1" si="203"/>
        <v>#DIV/0!</v>
      </c>
      <c r="DM144" s="48" t="e">
        <f t="shared" ca="1" si="204"/>
        <v>#DIV/0!</v>
      </c>
      <c r="DN144" s="48">
        <f ca="1">SUMIF(FCR!$BZ$4:$DB$142,DM144,FCR!$DE$4:$EG$142)</f>
        <v>0</v>
      </c>
      <c r="DO144" s="53" t="e">
        <f t="shared" ca="1" si="205"/>
        <v>#DIV/0!</v>
      </c>
      <c r="DP144" s="55" t="e">
        <f t="shared" ca="1" si="206"/>
        <v>#DIV/0!</v>
      </c>
      <c r="DQ144" s="55" t="e">
        <f t="shared" ca="1" si="207"/>
        <v>#DIV/0!</v>
      </c>
      <c r="DR144" s="55"/>
      <c r="DS144" s="55" t="e">
        <f t="shared" ca="1" si="208"/>
        <v>#DIV/0!</v>
      </c>
      <c r="DT144" s="55" t="e">
        <f t="shared" ca="1" si="209"/>
        <v>#DIV/0!</v>
      </c>
      <c r="DU144" s="53">
        <f t="shared" ca="1" si="210"/>
        <v>0</v>
      </c>
      <c r="DV144" s="59" t="e">
        <f t="shared" ca="1" si="211"/>
        <v>#DIV/0!</v>
      </c>
    </row>
    <row r="145" spans="1:126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AD145" s="49" t="s">
        <v>337</v>
      </c>
      <c r="AE145" s="49">
        <f t="shared" ca="1" si="157"/>
        <v>0</v>
      </c>
      <c r="AF145" s="49">
        <f t="shared" ca="1" si="158"/>
        <v>0</v>
      </c>
      <c r="AG145" s="114">
        <f t="shared" ca="1" si="159"/>
        <v>0</v>
      </c>
      <c r="AH145" s="104">
        <f t="shared" ca="1" si="160"/>
        <v>0</v>
      </c>
      <c r="AI145" s="104">
        <f t="shared" ca="1" si="161"/>
        <v>0</v>
      </c>
      <c r="AJ145" s="104">
        <f t="shared" ca="1" si="162"/>
        <v>0</v>
      </c>
      <c r="AK145" s="104">
        <f t="shared" ca="1" si="163"/>
        <v>0</v>
      </c>
      <c r="AL145" s="104">
        <f t="shared" ca="1" si="164"/>
        <v>0</v>
      </c>
      <c r="AM145" s="104">
        <f t="shared" ca="1" si="165"/>
        <v>0</v>
      </c>
      <c r="AN145" s="104">
        <f t="shared" ca="1" si="166"/>
        <v>0</v>
      </c>
      <c r="AO145" s="104">
        <f t="shared" ca="1" si="167"/>
        <v>0</v>
      </c>
      <c r="AP145" s="104">
        <f t="shared" ca="1" si="168"/>
        <v>0</v>
      </c>
      <c r="AQ145" s="49">
        <f t="shared" ca="1" si="169"/>
        <v>0</v>
      </c>
      <c r="AR145" s="104">
        <f t="shared" ca="1" si="170"/>
        <v>0</v>
      </c>
      <c r="AS145" s="104">
        <f t="shared" ca="1" si="171"/>
        <v>0</v>
      </c>
      <c r="AT145" s="104">
        <f t="shared" ca="1" si="172"/>
        <v>0</v>
      </c>
      <c r="AU145" s="104">
        <f t="shared" ca="1" si="173"/>
        <v>0</v>
      </c>
      <c r="BF145" s="49">
        <f t="shared" ca="1" si="174"/>
        <v>0</v>
      </c>
      <c r="BG145" s="49">
        <f t="shared" ca="1" si="175"/>
        <v>0</v>
      </c>
      <c r="BH145" s="54" t="e">
        <f t="shared" ca="1" si="176"/>
        <v>#DIV/0!</v>
      </c>
      <c r="BI145" s="112" t="e">
        <f t="shared" ca="1" si="177"/>
        <v>#DIV/0!</v>
      </c>
      <c r="BK145" s="55" t="e">
        <f t="shared" ca="1" si="178"/>
        <v>#DIV/0!</v>
      </c>
      <c r="BL145" s="55" t="e">
        <f t="shared" ca="1" si="179"/>
        <v>#DIV/0!</v>
      </c>
      <c r="BM145" s="55" t="e">
        <f t="shared" ca="1" si="180"/>
        <v>#DIV/0!</v>
      </c>
      <c r="BN145" s="53">
        <f t="shared" ca="1" si="181"/>
        <v>0</v>
      </c>
      <c r="BO145" s="112" t="e">
        <f t="shared" ca="1" si="182"/>
        <v>#DIV/0!</v>
      </c>
      <c r="BR145" s="53" t="e">
        <f t="shared" ca="1" si="183"/>
        <v>#DIV/0!</v>
      </c>
      <c r="BS145" s="53">
        <f t="shared" ca="1" si="184"/>
        <v>0</v>
      </c>
      <c r="BT145" s="53">
        <f t="shared" ca="1" si="185"/>
        <v>0</v>
      </c>
      <c r="BU145" s="56" t="e">
        <f t="shared" ca="1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ca="1" si="189"/>
        <v>0</v>
      </c>
      <c r="CW145" s="53">
        <f t="shared" ca="1" si="190"/>
        <v>0</v>
      </c>
      <c r="CX145" s="58" t="e">
        <f t="shared" ca="1" si="191"/>
        <v>#DIV/0!</v>
      </c>
      <c r="CY145" s="53">
        <f t="shared" ca="1" si="192"/>
        <v>0</v>
      </c>
      <c r="CZ145" s="53">
        <f t="shared" ca="1" si="193"/>
        <v>0</v>
      </c>
      <c r="DA145" s="58" t="e">
        <f t="shared" ca="1" si="194"/>
        <v>#DIV/0!</v>
      </c>
      <c r="DB145" s="48" t="e">
        <f t="shared" ca="1" si="195"/>
        <v>#DIV/0!</v>
      </c>
      <c r="DC145" s="48" t="e">
        <f t="shared" ca="1" si="196"/>
        <v>#DIV/0!</v>
      </c>
      <c r="DD145" s="48" t="e">
        <f t="shared" ca="1" si="197"/>
        <v>#DIV/0!</v>
      </c>
      <c r="DE145" s="48" t="e">
        <f t="shared" ca="1" si="198"/>
        <v>#DIV/0!</v>
      </c>
      <c r="DF145" s="48" t="e">
        <f t="shared" ca="1" si="199"/>
        <v>#DIV/0!</v>
      </c>
      <c r="DG145" s="48" t="e">
        <f t="shared" ca="1" si="200"/>
        <v>#DIV/0!</v>
      </c>
      <c r="DH145" s="48">
        <f ca="1">SUMIF(FCR!$BZ$4:$DB$500,DG145,FCR!$DE$4:$EG$500)</f>
        <v>0</v>
      </c>
      <c r="DI145" s="48" t="e">
        <f t="shared" ca="1" si="201"/>
        <v>#DIV/0!</v>
      </c>
      <c r="DJ145" s="48">
        <f ca="1">SUMIF(FCR!$BZ$4:$DB$142,DI145,FCR!$DE$4:$EG$142)</f>
        <v>0</v>
      </c>
      <c r="DK145" s="48" t="e">
        <f t="shared" ca="1" si="202"/>
        <v>#DIV/0!</v>
      </c>
      <c r="DL145" s="55" t="e">
        <f t="shared" ca="1" si="203"/>
        <v>#DIV/0!</v>
      </c>
      <c r="DM145" s="48" t="e">
        <f t="shared" ca="1" si="204"/>
        <v>#DIV/0!</v>
      </c>
      <c r="DN145" s="48">
        <f ca="1">SUMIF(FCR!$BZ$4:$DB$142,DM145,FCR!$DE$4:$EG$142)</f>
        <v>0</v>
      </c>
      <c r="DO145" s="53" t="e">
        <f t="shared" ca="1" si="205"/>
        <v>#DIV/0!</v>
      </c>
      <c r="DP145" s="55" t="e">
        <f t="shared" ca="1" si="206"/>
        <v>#DIV/0!</v>
      </c>
      <c r="DQ145" s="55" t="e">
        <f t="shared" ca="1" si="207"/>
        <v>#DIV/0!</v>
      </c>
      <c r="DR145" s="55"/>
      <c r="DS145" s="55" t="e">
        <f t="shared" ca="1" si="208"/>
        <v>#DIV/0!</v>
      </c>
      <c r="DT145" s="55" t="e">
        <f t="shared" ca="1" si="209"/>
        <v>#DIV/0!</v>
      </c>
      <c r="DU145" s="53">
        <f t="shared" ca="1" si="210"/>
        <v>0</v>
      </c>
      <c r="DV145" s="59" t="e">
        <f t="shared" ca="1" si="211"/>
        <v>#DIV/0!</v>
      </c>
    </row>
    <row r="146" spans="1:126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AD146" s="49" t="s">
        <v>337</v>
      </c>
      <c r="AE146" s="49">
        <f t="shared" ca="1" si="157"/>
        <v>0</v>
      </c>
      <c r="AF146" s="49">
        <f t="shared" ca="1" si="158"/>
        <v>0</v>
      </c>
      <c r="AG146" s="114">
        <f t="shared" ca="1" si="159"/>
        <v>0</v>
      </c>
      <c r="AH146" s="104">
        <f t="shared" ca="1" si="160"/>
        <v>0</v>
      </c>
      <c r="AI146" s="104">
        <f t="shared" ca="1" si="161"/>
        <v>0</v>
      </c>
      <c r="AJ146" s="104">
        <f t="shared" ca="1" si="162"/>
        <v>0</v>
      </c>
      <c r="AK146" s="104">
        <f t="shared" ca="1" si="163"/>
        <v>0</v>
      </c>
      <c r="AL146" s="104">
        <f t="shared" ca="1" si="164"/>
        <v>0</v>
      </c>
      <c r="AM146" s="104">
        <f t="shared" ca="1" si="165"/>
        <v>0</v>
      </c>
      <c r="AN146" s="104">
        <f t="shared" ca="1" si="166"/>
        <v>0</v>
      </c>
      <c r="AO146" s="104">
        <f t="shared" ca="1" si="167"/>
        <v>0</v>
      </c>
      <c r="AP146" s="104">
        <f t="shared" ca="1" si="168"/>
        <v>0</v>
      </c>
      <c r="AQ146" s="49">
        <f t="shared" ca="1" si="169"/>
        <v>0</v>
      </c>
      <c r="AR146" s="104">
        <f t="shared" ca="1" si="170"/>
        <v>0</v>
      </c>
      <c r="AS146" s="104">
        <f t="shared" ca="1" si="171"/>
        <v>0</v>
      </c>
      <c r="AT146" s="104">
        <f t="shared" ca="1" si="172"/>
        <v>0</v>
      </c>
      <c r="AU146" s="104">
        <f t="shared" ca="1" si="173"/>
        <v>0</v>
      </c>
      <c r="BF146" s="49">
        <f t="shared" ca="1" si="174"/>
        <v>0</v>
      </c>
      <c r="BG146" s="49">
        <f t="shared" ca="1" si="175"/>
        <v>0</v>
      </c>
      <c r="BH146" s="54" t="e">
        <f t="shared" ca="1" si="176"/>
        <v>#DIV/0!</v>
      </c>
      <c r="BI146" s="112" t="e">
        <f t="shared" ca="1" si="177"/>
        <v>#DIV/0!</v>
      </c>
      <c r="BK146" s="55" t="e">
        <f t="shared" ca="1" si="178"/>
        <v>#DIV/0!</v>
      </c>
      <c r="BL146" s="55" t="e">
        <f t="shared" ca="1" si="179"/>
        <v>#DIV/0!</v>
      </c>
      <c r="BM146" s="55" t="e">
        <f t="shared" ca="1" si="180"/>
        <v>#DIV/0!</v>
      </c>
      <c r="BN146" s="53">
        <f t="shared" ca="1" si="181"/>
        <v>0</v>
      </c>
      <c r="BO146" s="112" t="e">
        <f t="shared" ca="1" si="182"/>
        <v>#DIV/0!</v>
      </c>
      <c r="BR146" s="53" t="e">
        <f t="shared" ca="1" si="183"/>
        <v>#DIV/0!</v>
      </c>
      <c r="BS146" s="53">
        <f t="shared" ca="1" si="184"/>
        <v>0</v>
      </c>
      <c r="BT146" s="53">
        <f t="shared" ca="1" si="185"/>
        <v>0</v>
      </c>
      <c r="BU146" s="56" t="e">
        <f t="shared" ca="1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ca="1" si="189"/>
        <v>0</v>
      </c>
      <c r="CW146" s="53">
        <f t="shared" ca="1" si="190"/>
        <v>0</v>
      </c>
      <c r="CX146" s="58" t="e">
        <f t="shared" ca="1" si="191"/>
        <v>#DIV/0!</v>
      </c>
      <c r="CY146" s="53">
        <f t="shared" ca="1" si="192"/>
        <v>0</v>
      </c>
      <c r="CZ146" s="53">
        <f t="shared" ca="1" si="193"/>
        <v>0</v>
      </c>
      <c r="DA146" s="58" t="e">
        <f t="shared" ca="1" si="194"/>
        <v>#DIV/0!</v>
      </c>
      <c r="DB146" s="48" t="e">
        <f t="shared" ca="1" si="195"/>
        <v>#DIV/0!</v>
      </c>
      <c r="DC146" s="48" t="e">
        <f t="shared" ca="1" si="196"/>
        <v>#DIV/0!</v>
      </c>
      <c r="DD146" s="48" t="e">
        <f t="shared" ca="1" si="197"/>
        <v>#DIV/0!</v>
      </c>
      <c r="DE146" s="48" t="e">
        <f t="shared" ca="1" si="198"/>
        <v>#DIV/0!</v>
      </c>
      <c r="DF146" s="48" t="e">
        <f t="shared" ca="1" si="199"/>
        <v>#DIV/0!</v>
      </c>
      <c r="DG146" s="48" t="e">
        <f t="shared" ca="1" si="200"/>
        <v>#DIV/0!</v>
      </c>
      <c r="DH146" s="48">
        <f ca="1">SUMIF(FCR!$BZ$4:$DB$500,DG146,FCR!$DE$4:$EG$500)</f>
        <v>0</v>
      </c>
      <c r="DI146" s="48" t="e">
        <f t="shared" ca="1" si="201"/>
        <v>#DIV/0!</v>
      </c>
      <c r="DJ146" s="48">
        <f ca="1">SUMIF(FCR!$BZ$4:$DB$142,DI146,FCR!$DE$4:$EG$142)</f>
        <v>0</v>
      </c>
      <c r="DK146" s="48" t="e">
        <f t="shared" ca="1" si="202"/>
        <v>#DIV/0!</v>
      </c>
      <c r="DL146" s="55" t="e">
        <f t="shared" ca="1" si="203"/>
        <v>#DIV/0!</v>
      </c>
      <c r="DM146" s="48" t="e">
        <f t="shared" ca="1" si="204"/>
        <v>#DIV/0!</v>
      </c>
      <c r="DN146" s="48">
        <f ca="1">SUMIF(FCR!$BZ$4:$DB$142,DM146,FCR!$DE$4:$EG$142)</f>
        <v>0</v>
      </c>
      <c r="DO146" s="53" t="e">
        <f t="shared" ca="1" si="205"/>
        <v>#DIV/0!</v>
      </c>
      <c r="DP146" s="55" t="e">
        <f t="shared" ca="1" si="206"/>
        <v>#DIV/0!</v>
      </c>
      <c r="DQ146" s="55" t="e">
        <f t="shared" ca="1" si="207"/>
        <v>#DIV/0!</v>
      </c>
      <c r="DR146" s="55"/>
      <c r="DS146" s="55" t="e">
        <f t="shared" ca="1" si="208"/>
        <v>#DIV/0!</v>
      </c>
      <c r="DT146" s="55" t="e">
        <f t="shared" ca="1" si="209"/>
        <v>#DIV/0!</v>
      </c>
      <c r="DU146" s="53">
        <f t="shared" ca="1" si="210"/>
        <v>0</v>
      </c>
      <c r="DV146" s="59" t="e">
        <f t="shared" ca="1" si="211"/>
        <v>#DIV/0!</v>
      </c>
    </row>
    <row r="147" spans="1:126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AD147" s="49" t="s">
        <v>337</v>
      </c>
      <c r="AE147" s="49">
        <f t="shared" ca="1" si="157"/>
        <v>0</v>
      </c>
      <c r="AF147" s="49">
        <f t="shared" ca="1" si="158"/>
        <v>0</v>
      </c>
      <c r="AG147" s="114">
        <f t="shared" ca="1" si="159"/>
        <v>0</v>
      </c>
      <c r="AH147" s="104">
        <f t="shared" ca="1" si="160"/>
        <v>0</v>
      </c>
      <c r="AI147" s="104">
        <f t="shared" ca="1" si="161"/>
        <v>0</v>
      </c>
      <c r="AJ147" s="104">
        <f t="shared" ca="1" si="162"/>
        <v>0</v>
      </c>
      <c r="AK147" s="104">
        <f t="shared" ca="1" si="163"/>
        <v>0</v>
      </c>
      <c r="AL147" s="104">
        <f t="shared" ca="1" si="164"/>
        <v>0</v>
      </c>
      <c r="AM147" s="104">
        <f t="shared" ca="1" si="165"/>
        <v>0</v>
      </c>
      <c r="AN147" s="104">
        <f t="shared" ca="1" si="166"/>
        <v>0</v>
      </c>
      <c r="AO147" s="104">
        <f t="shared" ca="1" si="167"/>
        <v>0</v>
      </c>
      <c r="AP147" s="104">
        <f t="shared" ca="1" si="168"/>
        <v>0</v>
      </c>
      <c r="AQ147" s="49">
        <f t="shared" ca="1" si="169"/>
        <v>0</v>
      </c>
      <c r="AR147" s="104">
        <f t="shared" ca="1" si="170"/>
        <v>0</v>
      </c>
      <c r="AS147" s="104">
        <f t="shared" ca="1" si="171"/>
        <v>0</v>
      </c>
      <c r="AT147" s="104">
        <f t="shared" ca="1" si="172"/>
        <v>0</v>
      </c>
      <c r="AU147" s="104">
        <f t="shared" ca="1" si="173"/>
        <v>0</v>
      </c>
      <c r="BF147" s="49">
        <f t="shared" ca="1" si="174"/>
        <v>0</v>
      </c>
      <c r="BG147" s="49">
        <f t="shared" ca="1" si="175"/>
        <v>0</v>
      </c>
      <c r="BH147" s="54" t="e">
        <f t="shared" ca="1" si="176"/>
        <v>#DIV/0!</v>
      </c>
      <c r="BI147" s="112" t="e">
        <f t="shared" ca="1" si="177"/>
        <v>#DIV/0!</v>
      </c>
      <c r="BK147" s="55" t="e">
        <f t="shared" ca="1" si="178"/>
        <v>#DIV/0!</v>
      </c>
      <c r="BL147" s="55" t="e">
        <f t="shared" ca="1" si="179"/>
        <v>#DIV/0!</v>
      </c>
      <c r="BM147" s="55" t="e">
        <f t="shared" ca="1" si="180"/>
        <v>#DIV/0!</v>
      </c>
      <c r="BN147" s="53">
        <f t="shared" ca="1" si="181"/>
        <v>0</v>
      </c>
      <c r="BO147" s="112" t="e">
        <f t="shared" ca="1" si="182"/>
        <v>#DIV/0!</v>
      </c>
      <c r="BR147" s="53" t="e">
        <f t="shared" ca="1" si="183"/>
        <v>#DIV/0!</v>
      </c>
      <c r="BS147" s="53">
        <f t="shared" ca="1" si="184"/>
        <v>0</v>
      </c>
      <c r="BT147" s="53">
        <f t="shared" ca="1" si="185"/>
        <v>0</v>
      </c>
      <c r="BU147" s="56" t="e">
        <f t="shared" ca="1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ca="1" si="189"/>
        <v>0</v>
      </c>
      <c r="CW147" s="53">
        <f t="shared" ca="1" si="190"/>
        <v>0</v>
      </c>
      <c r="CX147" s="58" t="e">
        <f t="shared" ca="1" si="191"/>
        <v>#DIV/0!</v>
      </c>
      <c r="CY147" s="53">
        <f t="shared" ca="1" si="192"/>
        <v>0</v>
      </c>
      <c r="CZ147" s="53">
        <f t="shared" ca="1" si="193"/>
        <v>0</v>
      </c>
      <c r="DA147" s="58" t="e">
        <f t="shared" ca="1" si="194"/>
        <v>#DIV/0!</v>
      </c>
      <c r="DB147" s="48" t="e">
        <f t="shared" ca="1" si="195"/>
        <v>#DIV/0!</v>
      </c>
      <c r="DC147" s="48" t="e">
        <f t="shared" ca="1" si="196"/>
        <v>#DIV/0!</v>
      </c>
      <c r="DD147" s="48" t="e">
        <f t="shared" ca="1" si="197"/>
        <v>#DIV/0!</v>
      </c>
      <c r="DE147" s="48" t="e">
        <f t="shared" ca="1" si="198"/>
        <v>#DIV/0!</v>
      </c>
      <c r="DF147" s="48" t="e">
        <f t="shared" ca="1" si="199"/>
        <v>#DIV/0!</v>
      </c>
      <c r="DG147" s="48" t="e">
        <f t="shared" ca="1" si="200"/>
        <v>#DIV/0!</v>
      </c>
      <c r="DH147" s="48">
        <f ca="1">SUMIF(FCR!$BZ$4:$DB$500,DG147,FCR!$DE$4:$EG$500)</f>
        <v>0</v>
      </c>
      <c r="DI147" s="48" t="e">
        <f t="shared" ca="1" si="201"/>
        <v>#DIV/0!</v>
      </c>
      <c r="DJ147" s="48">
        <f ca="1">SUMIF(FCR!$BZ$4:$DB$142,DI147,FCR!$DE$4:$EG$142)</f>
        <v>0</v>
      </c>
      <c r="DK147" s="48" t="e">
        <f t="shared" ca="1" si="202"/>
        <v>#DIV/0!</v>
      </c>
      <c r="DL147" s="55" t="e">
        <f t="shared" ca="1" si="203"/>
        <v>#DIV/0!</v>
      </c>
      <c r="DM147" s="48" t="e">
        <f t="shared" ca="1" si="204"/>
        <v>#DIV/0!</v>
      </c>
      <c r="DN147" s="48">
        <f ca="1">SUMIF(FCR!$BZ$4:$DB$142,DM147,FCR!$DE$4:$EG$142)</f>
        <v>0</v>
      </c>
      <c r="DO147" s="53" t="e">
        <f t="shared" ca="1" si="205"/>
        <v>#DIV/0!</v>
      </c>
      <c r="DP147" s="55" t="e">
        <f t="shared" ca="1" si="206"/>
        <v>#DIV/0!</v>
      </c>
      <c r="DQ147" s="55" t="e">
        <f t="shared" ca="1" si="207"/>
        <v>#DIV/0!</v>
      </c>
      <c r="DR147" s="55"/>
      <c r="DS147" s="55" t="e">
        <f t="shared" ca="1" si="208"/>
        <v>#DIV/0!</v>
      </c>
      <c r="DT147" s="55" t="e">
        <f t="shared" ca="1" si="209"/>
        <v>#DIV/0!</v>
      </c>
      <c r="DU147" s="53">
        <f t="shared" ca="1" si="210"/>
        <v>0</v>
      </c>
      <c r="DV147" s="59" t="e">
        <f t="shared" ca="1" si="211"/>
        <v>#DIV/0!</v>
      </c>
    </row>
    <row r="148" spans="1:126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AD148" s="49" t="s">
        <v>337</v>
      </c>
      <c r="AE148" s="49">
        <f t="shared" ca="1" si="157"/>
        <v>0</v>
      </c>
      <c r="AF148" s="49">
        <f t="shared" ca="1" si="158"/>
        <v>0</v>
      </c>
      <c r="AG148" s="114">
        <f t="shared" ca="1" si="159"/>
        <v>0</v>
      </c>
      <c r="AH148" s="104">
        <f t="shared" ca="1" si="160"/>
        <v>0</v>
      </c>
      <c r="AI148" s="104">
        <f t="shared" ca="1" si="161"/>
        <v>0</v>
      </c>
      <c r="AJ148" s="104">
        <f t="shared" ca="1" si="162"/>
        <v>0</v>
      </c>
      <c r="AK148" s="104">
        <f t="shared" ca="1" si="163"/>
        <v>0</v>
      </c>
      <c r="AL148" s="104">
        <f t="shared" ca="1" si="164"/>
        <v>0</v>
      </c>
      <c r="AM148" s="104">
        <f t="shared" ca="1" si="165"/>
        <v>0</v>
      </c>
      <c r="AN148" s="104">
        <f t="shared" ca="1" si="166"/>
        <v>0</v>
      </c>
      <c r="AO148" s="104">
        <f t="shared" ca="1" si="167"/>
        <v>0</v>
      </c>
      <c r="AP148" s="104">
        <f t="shared" ca="1" si="168"/>
        <v>0</v>
      </c>
      <c r="AQ148" s="49">
        <f t="shared" ca="1" si="169"/>
        <v>0</v>
      </c>
      <c r="AR148" s="104">
        <f t="shared" ca="1" si="170"/>
        <v>0</v>
      </c>
      <c r="AS148" s="104">
        <f t="shared" ca="1" si="171"/>
        <v>0</v>
      </c>
      <c r="AT148" s="104">
        <f t="shared" ca="1" si="172"/>
        <v>0</v>
      </c>
      <c r="AU148" s="104">
        <f t="shared" ca="1" si="173"/>
        <v>0</v>
      </c>
      <c r="BF148" s="49">
        <f t="shared" ca="1" si="174"/>
        <v>0</v>
      </c>
      <c r="BG148" s="49">
        <f t="shared" ca="1" si="175"/>
        <v>0</v>
      </c>
      <c r="BH148" s="54" t="e">
        <f t="shared" ca="1" si="176"/>
        <v>#DIV/0!</v>
      </c>
      <c r="BI148" s="112" t="e">
        <f t="shared" ca="1" si="177"/>
        <v>#DIV/0!</v>
      </c>
      <c r="BK148" s="55" t="e">
        <f t="shared" ca="1" si="178"/>
        <v>#DIV/0!</v>
      </c>
      <c r="BL148" s="55" t="e">
        <f t="shared" ca="1" si="179"/>
        <v>#DIV/0!</v>
      </c>
      <c r="BM148" s="55" t="e">
        <f t="shared" ca="1" si="180"/>
        <v>#DIV/0!</v>
      </c>
      <c r="BN148" s="53">
        <f t="shared" ca="1" si="181"/>
        <v>0</v>
      </c>
      <c r="BO148" s="112" t="e">
        <f t="shared" ca="1" si="182"/>
        <v>#DIV/0!</v>
      </c>
      <c r="BR148" s="53" t="e">
        <f t="shared" ca="1" si="183"/>
        <v>#DIV/0!</v>
      </c>
      <c r="BS148" s="53">
        <f t="shared" ca="1" si="184"/>
        <v>0</v>
      </c>
      <c r="BT148" s="53">
        <f t="shared" ca="1" si="185"/>
        <v>0</v>
      </c>
      <c r="BU148" s="56" t="e">
        <f t="shared" ca="1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ca="1" si="189"/>
        <v>0</v>
      </c>
      <c r="CW148" s="53">
        <f t="shared" ca="1" si="190"/>
        <v>0</v>
      </c>
      <c r="CX148" s="58" t="e">
        <f t="shared" ca="1" si="191"/>
        <v>#DIV/0!</v>
      </c>
      <c r="CY148" s="53">
        <f t="shared" ca="1" si="192"/>
        <v>0</v>
      </c>
      <c r="CZ148" s="53">
        <f t="shared" ca="1" si="193"/>
        <v>0</v>
      </c>
      <c r="DA148" s="58" t="e">
        <f t="shared" ca="1" si="194"/>
        <v>#DIV/0!</v>
      </c>
      <c r="DB148" s="48" t="e">
        <f t="shared" ca="1" si="195"/>
        <v>#DIV/0!</v>
      </c>
      <c r="DC148" s="48" t="e">
        <f t="shared" ca="1" si="196"/>
        <v>#DIV/0!</v>
      </c>
      <c r="DD148" s="48" t="e">
        <f t="shared" ca="1" si="197"/>
        <v>#DIV/0!</v>
      </c>
      <c r="DE148" s="48" t="e">
        <f t="shared" ca="1" si="198"/>
        <v>#DIV/0!</v>
      </c>
      <c r="DF148" s="48" t="e">
        <f t="shared" ca="1" si="199"/>
        <v>#DIV/0!</v>
      </c>
      <c r="DG148" s="48" t="e">
        <f t="shared" ca="1" si="200"/>
        <v>#DIV/0!</v>
      </c>
      <c r="DH148" s="48">
        <f ca="1">SUMIF(FCR!$BZ$4:$DB$500,DG148,FCR!$DE$4:$EG$500)</f>
        <v>0</v>
      </c>
      <c r="DI148" s="48" t="e">
        <f t="shared" ca="1" si="201"/>
        <v>#DIV/0!</v>
      </c>
      <c r="DJ148" s="48">
        <f ca="1">SUMIF(FCR!$BZ$4:$DB$142,DI148,FCR!$DE$4:$EG$142)</f>
        <v>0</v>
      </c>
      <c r="DK148" s="48" t="e">
        <f t="shared" ca="1" si="202"/>
        <v>#DIV/0!</v>
      </c>
      <c r="DL148" s="55" t="e">
        <f t="shared" ca="1" si="203"/>
        <v>#DIV/0!</v>
      </c>
      <c r="DM148" s="48" t="e">
        <f t="shared" ca="1" si="204"/>
        <v>#DIV/0!</v>
      </c>
      <c r="DN148" s="48">
        <f ca="1">SUMIF(FCR!$BZ$4:$DB$142,DM148,FCR!$DE$4:$EG$142)</f>
        <v>0</v>
      </c>
      <c r="DO148" s="53" t="e">
        <f t="shared" ca="1" si="205"/>
        <v>#DIV/0!</v>
      </c>
      <c r="DP148" s="55" t="e">
        <f t="shared" ca="1" si="206"/>
        <v>#DIV/0!</v>
      </c>
      <c r="DQ148" s="55" t="e">
        <f t="shared" ca="1" si="207"/>
        <v>#DIV/0!</v>
      </c>
      <c r="DR148" s="55"/>
      <c r="DS148" s="55" t="e">
        <f t="shared" ca="1" si="208"/>
        <v>#DIV/0!</v>
      </c>
      <c r="DT148" s="55" t="e">
        <f t="shared" ca="1" si="209"/>
        <v>#DIV/0!</v>
      </c>
      <c r="DU148" s="53">
        <f t="shared" ca="1" si="210"/>
        <v>0</v>
      </c>
      <c r="DV148" s="59" t="e">
        <f t="shared" ca="1" si="211"/>
        <v>#DIV/0!</v>
      </c>
    </row>
    <row r="149" spans="1:126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AD149" s="49" t="s">
        <v>337</v>
      </c>
      <c r="AE149" s="49">
        <f t="shared" ca="1" si="157"/>
        <v>0</v>
      </c>
      <c r="AF149" s="49">
        <f t="shared" ca="1" si="158"/>
        <v>0</v>
      </c>
      <c r="AG149" s="114">
        <f t="shared" ca="1" si="159"/>
        <v>0</v>
      </c>
      <c r="AH149" s="104">
        <f t="shared" ca="1" si="160"/>
        <v>0</v>
      </c>
      <c r="AI149" s="104">
        <f t="shared" ca="1" si="161"/>
        <v>0</v>
      </c>
      <c r="AJ149" s="104">
        <f t="shared" ca="1" si="162"/>
        <v>0</v>
      </c>
      <c r="AK149" s="104">
        <f t="shared" ca="1" si="163"/>
        <v>0</v>
      </c>
      <c r="AL149" s="104">
        <f t="shared" ca="1" si="164"/>
        <v>0</v>
      </c>
      <c r="AM149" s="104">
        <f t="shared" ca="1" si="165"/>
        <v>0</v>
      </c>
      <c r="AN149" s="104">
        <f t="shared" ca="1" si="166"/>
        <v>0</v>
      </c>
      <c r="AO149" s="104">
        <f t="shared" ca="1" si="167"/>
        <v>0</v>
      </c>
      <c r="AP149" s="104">
        <f t="shared" ca="1" si="168"/>
        <v>0</v>
      </c>
      <c r="AQ149" s="49">
        <f t="shared" ca="1" si="169"/>
        <v>0</v>
      </c>
      <c r="AR149" s="104">
        <f t="shared" ca="1" si="170"/>
        <v>0</v>
      </c>
      <c r="AS149" s="104">
        <f t="shared" ca="1" si="171"/>
        <v>0</v>
      </c>
      <c r="AT149" s="104">
        <f t="shared" ca="1" si="172"/>
        <v>0</v>
      </c>
      <c r="AU149" s="104">
        <f t="shared" ca="1" si="173"/>
        <v>0</v>
      </c>
      <c r="BF149" s="49">
        <f t="shared" ca="1" si="174"/>
        <v>0</v>
      </c>
      <c r="BG149" s="49">
        <f t="shared" ca="1" si="175"/>
        <v>0</v>
      </c>
      <c r="BH149" s="54" t="e">
        <f t="shared" ca="1" si="176"/>
        <v>#DIV/0!</v>
      </c>
      <c r="BI149" s="112" t="e">
        <f t="shared" ca="1" si="177"/>
        <v>#DIV/0!</v>
      </c>
      <c r="BK149" s="55" t="e">
        <f t="shared" ca="1" si="178"/>
        <v>#DIV/0!</v>
      </c>
      <c r="BL149" s="55" t="e">
        <f t="shared" ca="1" si="179"/>
        <v>#DIV/0!</v>
      </c>
      <c r="BM149" s="55" t="e">
        <f t="shared" ca="1" si="180"/>
        <v>#DIV/0!</v>
      </c>
      <c r="BN149" s="53">
        <f t="shared" ca="1" si="181"/>
        <v>0</v>
      </c>
      <c r="BO149" s="112" t="e">
        <f t="shared" ca="1" si="182"/>
        <v>#DIV/0!</v>
      </c>
      <c r="BR149" s="53" t="e">
        <f t="shared" ca="1" si="183"/>
        <v>#DIV/0!</v>
      </c>
      <c r="BS149" s="53">
        <f t="shared" ca="1" si="184"/>
        <v>0</v>
      </c>
      <c r="BT149" s="53">
        <f t="shared" ca="1" si="185"/>
        <v>0</v>
      </c>
      <c r="BU149" s="56" t="e">
        <f t="shared" ca="1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ca="1" si="189"/>
        <v>0</v>
      </c>
      <c r="CW149" s="53">
        <f t="shared" ca="1" si="190"/>
        <v>0</v>
      </c>
      <c r="CX149" s="58" t="e">
        <f t="shared" ca="1" si="191"/>
        <v>#DIV/0!</v>
      </c>
      <c r="CY149" s="53">
        <f t="shared" ca="1" si="192"/>
        <v>0</v>
      </c>
      <c r="CZ149" s="53">
        <f t="shared" ca="1" si="193"/>
        <v>0</v>
      </c>
      <c r="DA149" s="58" t="e">
        <f t="shared" ca="1" si="194"/>
        <v>#DIV/0!</v>
      </c>
      <c r="DB149" s="48" t="e">
        <f t="shared" ca="1" si="195"/>
        <v>#DIV/0!</v>
      </c>
      <c r="DC149" s="48" t="e">
        <f t="shared" ca="1" si="196"/>
        <v>#DIV/0!</v>
      </c>
      <c r="DD149" s="48" t="e">
        <f t="shared" ca="1" si="197"/>
        <v>#DIV/0!</v>
      </c>
      <c r="DE149" s="48" t="e">
        <f t="shared" ca="1" si="198"/>
        <v>#DIV/0!</v>
      </c>
      <c r="DF149" s="48" t="e">
        <f t="shared" ca="1" si="199"/>
        <v>#DIV/0!</v>
      </c>
      <c r="DG149" s="48" t="e">
        <f t="shared" ca="1" si="200"/>
        <v>#DIV/0!</v>
      </c>
      <c r="DH149" s="48">
        <f ca="1">SUMIF(FCR!$BZ$4:$DB$500,DG149,FCR!$DE$4:$EG$500)</f>
        <v>0</v>
      </c>
      <c r="DI149" s="48" t="e">
        <f t="shared" ca="1" si="201"/>
        <v>#DIV/0!</v>
      </c>
      <c r="DJ149" s="48">
        <f ca="1">SUMIF(FCR!$BZ$4:$DB$142,DI149,FCR!$DE$4:$EG$142)</f>
        <v>0</v>
      </c>
      <c r="DK149" s="48" t="e">
        <f t="shared" ca="1" si="202"/>
        <v>#DIV/0!</v>
      </c>
      <c r="DL149" s="55" t="e">
        <f t="shared" ca="1" si="203"/>
        <v>#DIV/0!</v>
      </c>
      <c r="DM149" s="48" t="e">
        <f t="shared" ca="1" si="204"/>
        <v>#DIV/0!</v>
      </c>
      <c r="DN149" s="48">
        <f ca="1">SUMIF(FCR!$BZ$4:$DB$142,DM149,FCR!$DE$4:$EG$142)</f>
        <v>0</v>
      </c>
      <c r="DO149" s="53" t="e">
        <f t="shared" ca="1" si="205"/>
        <v>#DIV/0!</v>
      </c>
      <c r="DP149" s="55" t="e">
        <f t="shared" ca="1" si="206"/>
        <v>#DIV/0!</v>
      </c>
      <c r="DQ149" s="55" t="e">
        <f t="shared" ca="1" si="207"/>
        <v>#DIV/0!</v>
      </c>
      <c r="DR149" s="55"/>
      <c r="DS149" s="55" t="e">
        <f t="shared" ca="1" si="208"/>
        <v>#DIV/0!</v>
      </c>
      <c r="DT149" s="55" t="e">
        <f t="shared" ca="1" si="209"/>
        <v>#DIV/0!</v>
      </c>
      <c r="DU149" s="53">
        <f t="shared" ca="1" si="210"/>
        <v>0</v>
      </c>
      <c r="DV149" s="59" t="e">
        <f t="shared" ca="1" si="211"/>
        <v>#DIV/0!</v>
      </c>
    </row>
    <row r="150" spans="1:126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AD150" s="49" t="s">
        <v>337</v>
      </c>
      <c r="AE150" s="49">
        <f t="shared" ca="1" si="157"/>
        <v>0</v>
      </c>
      <c r="AF150" s="49">
        <f t="shared" ca="1" si="158"/>
        <v>0</v>
      </c>
      <c r="AG150" s="114">
        <f t="shared" ca="1" si="159"/>
        <v>0</v>
      </c>
      <c r="AH150" s="104">
        <f t="shared" ca="1" si="160"/>
        <v>0</v>
      </c>
      <c r="AI150" s="104">
        <f t="shared" ca="1" si="161"/>
        <v>0</v>
      </c>
      <c r="AJ150" s="104">
        <f t="shared" ca="1" si="162"/>
        <v>0</v>
      </c>
      <c r="AK150" s="104">
        <f t="shared" ca="1" si="163"/>
        <v>0</v>
      </c>
      <c r="AL150" s="104">
        <f t="shared" ca="1" si="164"/>
        <v>0</v>
      </c>
      <c r="AM150" s="104">
        <f t="shared" ca="1" si="165"/>
        <v>0</v>
      </c>
      <c r="AN150" s="104">
        <f t="shared" ca="1" si="166"/>
        <v>0</v>
      </c>
      <c r="AO150" s="104">
        <f t="shared" ca="1" si="167"/>
        <v>0</v>
      </c>
      <c r="AP150" s="104">
        <f t="shared" ca="1" si="168"/>
        <v>0</v>
      </c>
      <c r="AQ150" s="49">
        <f t="shared" ca="1" si="169"/>
        <v>0</v>
      </c>
      <c r="AR150" s="104">
        <f t="shared" ca="1" si="170"/>
        <v>0</v>
      </c>
      <c r="AS150" s="104">
        <f t="shared" ca="1" si="171"/>
        <v>0</v>
      </c>
      <c r="AT150" s="104">
        <f t="shared" ca="1" si="172"/>
        <v>0</v>
      </c>
      <c r="AU150" s="104">
        <f t="shared" ca="1" si="173"/>
        <v>0</v>
      </c>
      <c r="BF150" s="49">
        <f t="shared" ca="1" si="174"/>
        <v>0</v>
      </c>
      <c r="BG150" s="49">
        <f t="shared" ca="1" si="175"/>
        <v>0</v>
      </c>
      <c r="BH150" s="54" t="e">
        <f t="shared" ca="1" si="176"/>
        <v>#DIV/0!</v>
      </c>
      <c r="BI150" s="112" t="e">
        <f t="shared" ca="1" si="177"/>
        <v>#DIV/0!</v>
      </c>
      <c r="BK150" s="55" t="e">
        <f t="shared" ca="1" si="178"/>
        <v>#DIV/0!</v>
      </c>
      <c r="BL150" s="55" t="e">
        <f t="shared" ca="1" si="179"/>
        <v>#DIV/0!</v>
      </c>
      <c r="BM150" s="55" t="e">
        <f t="shared" ca="1" si="180"/>
        <v>#DIV/0!</v>
      </c>
      <c r="BN150" s="53">
        <f t="shared" ca="1" si="181"/>
        <v>0</v>
      </c>
      <c r="BO150" s="112" t="e">
        <f t="shared" ca="1" si="182"/>
        <v>#DIV/0!</v>
      </c>
      <c r="BR150" s="53" t="e">
        <f t="shared" ca="1" si="183"/>
        <v>#DIV/0!</v>
      </c>
      <c r="BS150" s="53">
        <f t="shared" ca="1" si="184"/>
        <v>0</v>
      </c>
      <c r="BT150" s="53">
        <f t="shared" ca="1" si="185"/>
        <v>0</v>
      </c>
      <c r="BU150" s="56" t="e">
        <f t="shared" ca="1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ca="1" si="189"/>
        <v>0</v>
      </c>
      <c r="CW150" s="53">
        <f t="shared" ca="1" si="190"/>
        <v>0</v>
      </c>
      <c r="CX150" s="58" t="e">
        <f t="shared" ca="1" si="191"/>
        <v>#DIV/0!</v>
      </c>
      <c r="CY150" s="53">
        <f t="shared" ca="1" si="192"/>
        <v>0</v>
      </c>
      <c r="CZ150" s="53">
        <f t="shared" ca="1" si="193"/>
        <v>0</v>
      </c>
      <c r="DA150" s="58" t="e">
        <f t="shared" ca="1" si="194"/>
        <v>#DIV/0!</v>
      </c>
      <c r="DB150" s="48" t="e">
        <f t="shared" ca="1" si="195"/>
        <v>#DIV/0!</v>
      </c>
      <c r="DC150" s="48" t="e">
        <f t="shared" ca="1" si="196"/>
        <v>#DIV/0!</v>
      </c>
      <c r="DD150" s="48" t="e">
        <f t="shared" ca="1" si="197"/>
        <v>#DIV/0!</v>
      </c>
      <c r="DE150" s="48" t="e">
        <f t="shared" ca="1" si="198"/>
        <v>#DIV/0!</v>
      </c>
      <c r="DF150" s="48" t="e">
        <f t="shared" ca="1" si="199"/>
        <v>#DIV/0!</v>
      </c>
      <c r="DG150" s="48" t="e">
        <f t="shared" ca="1" si="200"/>
        <v>#DIV/0!</v>
      </c>
      <c r="DH150" s="48">
        <f ca="1">SUMIF(FCR!$BZ$4:$DB$500,DG150,FCR!$DE$4:$EG$500)</f>
        <v>0</v>
      </c>
      <c r="DI150" s="48" t="e">
        <f t="shared" ca="1" si="201"/>
        <v>#DIV/0!</v>
      </c>
      <c r="DJ150" s="48">
        <f ca="1">SUMIF(FCR!$BZ$4:$DB$142,DI150,FCR!$DE$4:$EG$142)</f>
        <v>0</v>
      </c>
      <c r="DK150" s="48" t="e">
        <f t="shared" ca="1" si="202"/>
        <v>#DIV/0!</v>
      </c>
      <c r="DL150" s="55" t="e">
        <f t="shared" ca="1" si="203"/>
        <v>#DIV/0!</v>
      </c>
      <c r="DM150" s="48" t="e">
        <f t="shared" ca="1" si="204"/>
        <v>#DIV/0!</v>
      </c>
      <c r="DN150" s="48">
        <f ca="1">SUMIF(FCR!$BZ$4:$DB$142,DM150,FCR!$DE$4:$EG$142)</f>
        <v>0</v>
      </c>
      <c r="DO150" s="53" t="e">
        <f t="shared" ca="1" si="205"/>
        <v>#DIV/0!</v>
      </c>
      <c r="DP150" s="55" t="e">
        <f t="shared" ca="1" si="206"/>
        <v>#DIV/0!</v>
      </c>
      <c r="DQ150" s="55" t="e">
        <f t="shared" ca="1" si="207"/>
        <v>#DIV/0!</v>
      </c>
      <c r="DR150" s="55"/>
      <c r="DS150" s="55" t="e">
        <f t="shared" ca="1" si="208"/>
        <v>#DIV/0!</v>
      </c>
      <c r="DT150" s="55" t="e">
        <f t="shared" ca="1" si="209"/>
        <v>#DIV/0!</v>
      </c>
      <c r="DU150" s="53">
        <f t="shared" ca="1" si="210"/>
        <v>0</v>
      </c>
      <c r="DV150" s="59" t="e">
        <f t="shared" ca="1" si="211"/>
        <v>#DIV/0!</v>
      </c>
    </row>
    <row r="151" spans="1:126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AD151" s="49" t="s">
        <v>337</v>
      </c>
      <c r="AE151" s="49">
        <f t="shared" ca="1" si="157"/>
        <v>0</v>
      </c>
      <c r="AF151" s="49">
        <f t="shared" ca="1" si="158"/>
        <v>0</v>
      </c>
      <c r="AG151" s="114">
        <f t="shared" ca="1" si="159"/>
        <v>0</v>
      </c>
      <c r="AH151" s="104">
        <f t="shared" ca="1" si="160"/>
        <v>0</v>
      </c>
      <c r="AI151" s="104">
        <f t="shared" ca="1" si="161"/>
        <v>0</v>
      </c>
      <c r="AJ151" s="104">
        <f t="shared" ca="1" si="162"/>
        <v>0</v>
      </c>
      <c r="AK151" s="104">
        <f t="shared" ca="1" si="163"/>
        <v>0</v>
      </c>
      <c r="AL151" s="104">
        <f t="shared" ca="1" si="164"/>
        <v>0</v>
      </c>
      <c r="AM151" s="104">
        <f t="shared" ca="1" si="165"/>
        <v>0</v>
      </c>
      <c r="AN151" s="104">
        <f t="shared" ca="1" si="166"/>
        <v>0</v>
      </c>
      <c r="AO151" s="104">
        <f t="shared" ca="1" si="167"/>
        <v>0</v>
      </c>
      <c r="AP151" s="104">
        <f t="shared" ca="1" si="168"/>
        <v>0</v>
      </c>
      <c r="AQ151" s="49">
        <f t="shared" ca="1" si="169"/>
        <v>0</v>
      </c>
      <c r="AR151" s="104">
        <f t="shared" ca="1" si="170"/>
        <v>0</v>
      </c>
      <c r="AS151" s="104">
        <f t="shared" ca="1" si="171"/>
        <v>0</v>
      </c>
      <c r="AT151" s="104">
        <f t="shared" ca="1" si="172"/>
        <v>0</v>
      </c>
      <c r="AU151" s="104">
        <f t="shared" ca="1" si="173"/>
        <v>0</v>
      </c>
      <c r="BF151" s="49">
        <f t="shared" ca="1" si="174"/>
        <v>0</v>
      </c>
      <c r="BG151" s="49">
        <f t="shared" ca="1" si="175"/>
        <v>0</v>
      </c>
      <c r="BH151" s="54" t="e">
        <f t="shared" ca="1" si="176"/>
        <v>#DIV/0!</v>
      </c>
      <c r="BI151" s="112" t="e">
        <f t="shared" ca="1" si="177"/>
        <v>#DIV/0!</v>
      </c>
      <c r="BK151" s="55" t="e">
        <f t="shared" ca="1" si="178"/>
        <v>#DIV/0!</v>
      </c>
      <c r="BL151" s="55" t="e">
        <f t="shared" ca="1" si="179"/>
        <v>#DIV/0!</v>
      </c>
      <c r="BM151" s="55" t="e">
        <f t="shared" ca="1" si="180"/>
        <v>#DIV/0!</v>
      </c>
      <c r="BN151" s="53">
        <f t="shared" ca="1" si="181"/>
        <v>0</v>
      </c>
      <c r="BO151" s="112" t="e">
        <f t="shared" ca="1" si="182"/>
        <v>#DIV/0!</v>
      </c>
      <c r="BR151" s="53" t="e">
        <f t="shared" ca="1" si="183"/>
        <v>#DIV/0!</v>
      </c>
      <c r="BS151" s="53">
        <f t="shared" ca="1" si="184"/>
        <v>0</v>
      </c>
      <c r="BT151" s="53">
        <f t="shared" ca="1" si="185"/>
        <v>0</v>
      </c>
      <c r="BU151" s="56" t="e">
        <f t="shared" ca="1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ca="1" si="189"/>
        <v>0</v>
      </c>
      <c r="CW151" s="53">
        <f t="shared" ca="1" si="190"/>
        <v>0</v>
      </c>
      <c r="CX151" s="58" t="e">
        <f t="shared" ca="1" si="191"/>
        <v>#DIV/0!</v>
      </c>
      <c r="CY151" s="53">
        <f t="shared" ca="1" si="192"/>
        <v>0</v>
      </c>
      <c r="CZ151" s="53">
        <f t="shared" ca="1" si="193"/>
        <v>0</v>
      </c>
      <c r="DA151" s="58" t="e">
        <f t="shared" ca="1" si="194"/>
        <v>#DIV/0!</v>
      </c>
      <c r="DB151" s="48" t="e">
        <f t="shared" ca="1" si="195"/>
        <v>#DIV/0!</v>
      </c>
      <c r="DC151" s="48" t="e">
        <f t="shared" ca="1" si="196"/>
        <v>#DIV/0!</v>
      </c>
      <c r="DD151" s="48" t="e">
        <f t="shared" ca="1" si="197"/>
        <v>#DIV/0!</v>
      </c>
      <c r="DE151" s="48" t="e">
        <f t="shared" ca="1" si="198"/>
        <v>#DIV/0!</v>
      </c>
      <c r="DF151" s="48" t="e">
        <f t="shared" ca="1" si="199"/>
        <v>#DIV/0!</v>
      </c>
      <c r="DG151" s="48" t="e">
        <f t="shared" ca="1" si="200"/>
        <v>#DIV/0!</v>
      </c>
      <c r="DH151" s="48">
        <f ca="1">SUMIF(FCR!$BZ$4:$DB$500,DG151,FCR!$DE$4:$EG$500)</f>
        <v>0</v>
      </c>
      <c r="DI151" s="48" t="e">
        <f t="shared" ca="1" si="201"/>
        <v>#DIV/0!</v>
      </c>
      <c r="DJ151" s="48">
        <f ca="1">SUMIF(FCR!$BZ$4:$DB$142,DI151,FCR!$DE$4:$EG$142)</f>
        <v>0</v>
      </c>
      <c r="DK151" s="48" t="e">
        <f t="shared" ca="1" si="202"/>
        <v>#DIV/0!</v>
      </c>
      <c r="DL151" s="55" t="e">
        <f t="shared" ca="1" si="203"/>
        <v>#DIV/0!</v>
      </c>
      <c r="DM151" s="48" t="e">
        <f t="shared" ca="1" si="204"/>
        <v>#DIV/0!</v>
      </c>
      <c r="DN151" s="48">
        <f ca="1">SUMIF(FCR!$BZ$4:$DB$142,DM151,FCR!$DE$4:$EG$142)</f>
        <v>0</v>
      </c>
      <c r="DO151" s="53" t="e">
        <f t="shared" ca="1" si="205"/>
        <v>#DIV/0!</v>
      </c>
      <c r="DP151" s="55" t="e">
        <f t="shared" ca="1" si="206"/>
        <v>#DIV/0!</v>
      </c>
      <c r="DQ151" s="55" t="e">
        <f t="shared" ca="1" si="207"/>
        <v>#DIV/0!</v>
      </c>
      <c r="DR151" s="55"/>
      <c r="DS151" s="55" t="e">
        <f t="shared" ca="1" si="208"/>
        <v>#DIV/0!</v>
      </c>
      <c r="DT151" s="55" t="e">
        <f t="shared" ca="1" si="209"/>
        <v>#DIV/0!</v>
      </c>
      <c r="DU151" s="53">
        <f t="shared" ca="1" si="210"/>
        <v>0</v>
      </c>
      <c r="DV151" s="59" t="e">
        <f t="shared" ca="1" si="211"/>
        <v>#DIV/0!</v>
      </c>
    </row>
    <row r="152" spans="1:126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AD152" s="49" t="s">
        <v>337</v>
      </c>
      <c r="AE152" s="49">
        <f t="shared" ca="1" si="157"/>
        <v>0</v>
      </c>
      <c r="AF152" s="49">
        <f t="shared" ca="1" si="158"/>
        <v>0</v>
      </c>
      <c r="AG152" s="114">
        <f t="shared" ca="1" si="159"/>
        <v>0</v>
      </c>
      <c r="AH152" s="104">
        <f t="shared" ca="1" si="160"/>
        <v>0</v>
      </c>
      <c r="AI152" s="104">
        <f t="shared" ca="1" si="161"/>
        <v>0</v>
      </c>
      <c r="AJ152" s="104">
        <f t="shared" ca="1" si="162"/>
        <v>0</v>
      </c>
      <c r="AK152" s="104">
        <f t="shared" ca="1" si="163"/>
        <v>0</v>
      </c>
      <c r="AL152" s="104">
        <f t="shared" ca="1" si="164"/>
        <v>0</v>
      </c>
      <c r="AM152" s="104">
        <f t="shared" ca="1" si="165"/>
        <v>0</v>
      </c>
      <c r="AN152" s="104">
        <f t="shared" ca="1" si="166"/>
        <v>0</v>
      </c>
      <c r="AO152" s="104">
        <f t="shared" ca="1" si="167"/>
        <v>0</v>
      </c>
      <c r="AP152" s="104">
        <f t="shared" ca="1" si="168"/>
        <v>0</v>
      </c>
      <c r="AQ152" s="49">
        <f t="shared" ca="1" si="169"/>
        <v>0</v>
      </c>
      <c r="AR152" s="104">
        <f t="shared" ca="1" si="170"/>
        <v>0</v>
      </c>
      <c r="AS152" s="104">
        <f t="shared" ca="1" si="171"/>
        <v>0</v>
      </c>
      <c r="AT152" s="104">
        <f t="shared" ca="1" si="172"/>
        <v>0</v>
      </c>
      <c r="AU152" s="104">
        <f t="shared" ca="1" si="173"/>
        <v>0</v>
      </c>
      <c r="BF152" s="49">
        <f t="shared" ca="1" si="174"/>
        <v>0</v>
      </c>
      <c r="BG152" s="49">
        <f t="shared" ca="1" si="175"/>
        <v>0</v>
      </c>
      <c r="BH152" s="54" t="e">
        <f t="shared" ca="1" si="176"/>
        <v>#DIV/0!</v>
      </c>
      <c r="BI152" s="112" t="e">
        <f t="shared" ca="1" si="177"/>
        <v>#DIV/0!</v>
      </c>
      <c r="BK152" s="55" t="e">
        <f t="shared" ca="1" si="178"/>
        <v>#DIV/0!</v>
      </c>
      <c r="BL152" s="55" t="e">
        <f t="shared" ca="1" si="179"/>
        <v>#DIV/0!</v>
      </c>
      <c r="BM152" s="55" t="e">
        <f t="shared" ca="1" si="180"/>
        <v>#DIV/0!</v>
      </c>
      <c r="BN152" s="53">
        <f t="shared" ca="1" si="181"/>
        <v>0</v>
      </c>
      <c r="BO152" s="112" t="e">
        <f t="shared" ca="1" si="182"/>
        <v>#DIV/0!</v>
      </c>
      <c r="BR152" s="53" t="e">
        <f t="shared" ca="1" si="183"/>
        <v>#DIV/0!</v>
      </c>
      <c r="BS152" s="53">
        <f t="shared" ca="1" si="184"/>
        <v>0</v>
      </c>
      <c r="BT152" s="53">
        <f t="shared" ca="1" si="185"/>
        <v>0</v>
      </c>
      <c r="BU152" s="56" t="e">
        <f t="shared" ca="1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ca="1" si="189"/>
        <v>0</v>
      </c>
      <c r="CW152" s="53">
        <f t="shared" ca="1" si="190"/>
        <v>0</v>
      </c>
      <c r="CX152" s="58" t="e">
        <f t="shared" ca="1" si="191"/>
        <v>#DIV/0!</v>
      </c>
      <c r="CY152" s="53">
        <f t="shared" ca="1" si="192"/>
        <v>0</v>
      </c>
      <c r="CZ152" s="53">
        <f t="shared" ca="1" si="193"/>
        <v>0</v>
      </c>
      <c r="DA152" s="58" t="e">
        <f t="shared" ca="1" si="194"/>
        <v>#DIV/0!</v>
      </c>
      <c r="DB152" s="48" t="e">
        <f t="shared" ca="1" si="195"/>
        <v>#DIV/0!</v>
      </c>
      <c r="DC152" s="48" t="e">
        <f t="shared" ca="1" si="196"/>
        <v>#DIV/0!</v>
      </c>
      <c r="DD152" s="48" t="e">
        <f t="shared" ca="1" si="197"/>
        <v>#DIV/0!</v>
      </c>
      <c r="DE152" s="48" t="e">
        <f t="shared" ca="1" si="198"/>
        <v>#DIV/0!</v>
      </c>
      <c r="DF152" s="48" t="e">
        <f t="shared" ca="1" si="199"/>
        <v>#DIV/0!</v>
      </c>
      <c r="DG152" s="48" t="e">
        <f t="shared" ca="1" si="200"/>
        <v>#DIV/0!</v>
      </c>
      <c r="DH152" s="48">
        <f ca="1">SUMIF(FCR!$BZ$4:$DB$500,DG152,FCR!$DE$4:$EG$500)</f>
        <v>0</v>
      </c>
      <c r="DI152" s="48" t="e">
        <f t="shared" ca="1" si="201"/>
        <v>#DIV/0!</v>
      </c>
      <c r="DJ152" s="48">
        <f ca="1">SUMIF(FCR!$BZ$4:$DB$142,DI152,FCR!$DE$4:$EG$142)</f>
        <v>0</v>
      </c>
      <c r="DK152" s="48" t="e">
        <f t="shared" ca="1" si="202"/>
        <v>#DIV/0!</v>
      </c>
      <c r="DL152" s="55" t="e">
        <f t="shared" ca="1" si="203"/>
        <v>#DIV/0!</v>
      </c>
      <c r="DM152" s="48" t="e">
        <f t="shared" ca="1" si="204"/>
        <v>#DIV/0!</v>
      </c>
      <c r="DN152" s="48">
        <f ca="1">SUMIF(FCR!$BZ$4:$DB$142,DM152,FCR!$DE$4:$EG$142)</f>
        <v>0</v>
      </c>
      <c r="DO152" s="53" t="e">
        <f t="shared" ca="1" si="205"/>
        <v>#DIV/0!</v>
      </c>
      <c r="DP152" s="55" t="e">
        <f t="shared" ca="1" si="206"/>
        <v>#DIV/0!</v>
      </c>
      <c r="DQ152" s="55" t="e">
        <f t="shared" ca="1" si="207"/>
        <v>#DIV/0!</v>
      </c>
      <c r="DR152" s="55"/>
      <c r="DS152" s="55" t="e">
        <f t="shared" ca="1" si="208"/>
        <v>#DIV/0!</v>
      </c>
      <c r="DT152" s="55" t="e">
        <f t="shared" ca="1" si="209"/>
        <v>#DIV/0!</v>
      </c>
      <c r="DU152" s="53">
        <f t="shared" ca="1" si="210"/>
        <v>0</v>
      </c>
      <c r="DV152" s="59" t="e">
        <f t="shared" ca="1" si="211"/>
        <v>#DIV/0!</v>
      </c>
    </row>
    <row r="153" spans="1:126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AD153" s="49" t="s">
        <v>337</v>
      </c>
      <c r="AE153" s="49">
        <f t="shared" ca="1" si="157"/>
        <v>0</v>
      </c>
      <c r="AF153" s="49">
        <f t="shared" ca="1" si="158"/>
        <v>0</v>
      </c>
      <c r="AG153" s="114">
        <f t="shared" ca="1" si="159"/>
        <v>0</v>
      </c>
      <c r="AH153" s="104">
        <f t="shared" ca="1" si="160"/>
        <v>0</v>
      </c>
      <c r="AI153" s="104">
        <f t="shared" ca="1" si="161"/>
        <v>0</v>
      </c>
      <c r="AJ153" s="104">
        <f t="shared" ca="1" si="162"/>
        <v>0</v>
      </c>
      <c r="AK153" s="104">
        <f t="shared" ca="1" si="163"/>
        <v>0</v>
      </c>
      <c r="AL153" s="104">
        <f t="shared" ca="1" si="164"/>
        <v>0</v>
      </c>
      <c r="AM153" s="104">
        <f t="shared" ca="1" si="165"/>
        <v>0</v>
      </c>
      <c r="AN153" s="104">
        <f t="shared" ca="1" si="166"/>
        <v>0</v>
      </c>
      <c r="AO153" s="104">
        <f t="shared" ca="1" si="167"/>
        <v>0</v>
      </c>
      <c r="AP153" s="104">
        <f t="shared" ca="1" si="168"/>
        <v>0</v>
      </c>
      <c r="AQ153" s="49">
        <f t="shared" ca="1" si="169"/>
        <v>0</v>
      </c>
      <c r="AR153" s="104">
        <f t="shared" ca="1" si="170"/>
        <v>0</v>
      </c>
      <c r="AS153" s="104">
        <f t="shared" ca="1" si="171"/>
        <v>0</v>
      </c>
      <c r="AT153" s="104">
        <f t="shared" ca="1" si="172"/>
        <v>0</v>
      </c>
      <c r="AU153" s="104">
        <f t="shared" ca="1" si="173"/>
        <v>0</v>
      </c>
      <c r="BF153" s="49">
        <f t="shared" ca="1" si="174"/>
        <v>0</v>
      </c>
      <c r="BG153" s="49">
        <f t="shared" ca="1" si="175"/>
        <v>0</v>
      </c>
      <c r="BH153" s="54" t="e">
        <f t="shared" ca="1" si="176"/>
        <v>#DIV/0!</v>
      </c>
      <c r="BI153" s="112" t="e">
        <f t="shared" ca="1" si="177"/>
        <v>#DIV/0!</v>
      </c>
      <c r="BK153" s="55" t="e">
        <f t="shared" ca="1" si="178"/>
        <v>#DIV/0!</v>
      </c>
      <c r="BL153" s="55" t="e">
        <f t="shared" ca="1" si="179"/>
        <v>#DIV/0!</v>
      </c>
      <c r="BM153" s="55" t="e">
        <f t="shared" ca="1" si="180"/>
        <v>#DIV/0!</v>
      </c>
      <c r="BN153" s="53">
        <f t="shared" ca="1" si="181"/>
        <v>0</v>
      </c>
      <c r="BO153" s="112" t="e">
        <f t="shared" ca="1" si="182"/>
        <v>#DIV/0!</v>
      </c>
      <c r="BR153" s="53" t="e">
        <f t="shared" ca="1" si="183"/>
        <v>#DIV/0!</v>
      </c>
      <c r="BS153" s="53">
        <f t="shared" ca="1" si="184"/>
        <v>0</v>
      </c>
      <c r="BT153" s="53">
        <f t="shared" ca="1" si="185"/>
        <v>0</v>
      </c>
      <c r="BU153" s="56" t="e">
        <f t="shared" ca="1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ca="1" si="189"/>
        <v>0</v>
      </c>
      <c r="CW153" s="53">
        <f t="shared" ca="1" si="190"/>
        <v>0</v>
      </c>
      <c r="CX153" s="58" t="e">
        <f t="shared" ca="1" si="191"/>
        <v>#DIV/0!</v>
      </c>
      <c r="CY153" s="53">
        <f t="shared" ca="1" si="192"/>
        <v>0</v>
      </c>
      <c r="CZ153" s="53">
        <f t="shared" ca="1" si="193"/>
        <v>0</v>
      </c>
      <c r="DA153" s="58" t="e">
        <f t="shared" ca="1" si="194"/>
        <v>#DIV/0!</v>
      </c>
      <c r="DB153" s="48" t="e">
        <f t="shared" ca="1" si="195"/>
        <v>#DIV/0!</v>
      </c>
      <c r="DC153" s="48" t="e">
        <f t="shared" ca="1" si="196"/>
        <v>#DIV/0!</v>
      </c>
      <c r="DD153" s="48" t="e">
        <f t="shared" ca="1" si="197"/>
        <v>#DIV/0!</v>
      </c>
      <c r="DE153" s="48" t="e">
        <f t="shared" ca="1" si="198"/>
        <v>#DIV/0!</v>
      </c>
      <c r="DF153" s="48" t="e">
        <f t="shared" ca="1" si="199"/>
        <v>#DIV/0!</v>
      </c>
      <c r="DG153" s="48" t="e">
        <f t="shared" ca="1" si="200"/>
        <v>#DIV/0!</v>
      </c>
      <c r="DH153" s="48">
        <f ca="1">SUMIF(FCR!$BZ$4:$DB$500,DG153,FCR!$DE$4:$EG$500)</f>
        <v>0</v>
      </c>
      <c r="DI153" s="48" t="e">
        <f t="shared" ca="1" si="201"/>
        <v>#DIV/0!</v>
      </c>
      <c r="DJ153" s="48">
        <f ca="1">SUMIF(FCR!$BZ$4:$DB$142,DI153,FCR!$DE$4:$EG$142)</f>
        <v>0</v>
      </c>
      <c r="DK153" s="48" t="e">
        <f t="shared" ca="1" si="202"/>
        <v>#DIV/0!</v>
      </c>
      <c r="DL153" s="55" t="e">
        <f t="shared" ca="1" si="203"/>
        <v>#DIV/0!</v>
      </c>
      <c r="DM153" s="48" t="e">
        <f t="shared" ca="1" si="204"/>
        <v>#DIV/0!</v>
      </c>
      <c r="DN153" s="48">
        <f ca="1">SUMIF(FCR!$BZ$4:$DB$142,DM153,FCR!$DE$4:$EG$142)</f>
        <v>0</v>
      </c>
      <c r="DO153" s="53" t="e">
        <f t="shared" ca="1" si="205"/>
        <v>#DIV/0!</v>
      </c>
      <c r="DP153" s="55" t="e">
        <f t="shared" ca="1" si="206"/>
        <v>#DIV/0!</v>
      </c>
      <c r="DQ153" s="55" t="e">
        <f t="shared" ca="1" si="207"/>
        <v>#DIV/0!</v>
      </c>
      <c r="DR153" s="55"/>
      <c r="DS153" s="55" t="e">
        <f t="shared" ca="1" si="208"/>
        <v>#DIV/0!</v>
      </c>
      <c r="DT153" s="55" t="e">
        <f t="shared" ca="1" si="209"/>
        <v>#DIV/0!</v>
      </c>
      <c r="DU153" s="53">
        <f t="shared" ca="1" si="210"/>
        <v>0</v>
      </c>
      <c r="DV153" s="59" t="e">
        <f t="shared" ca="1" si="211"/>
        <v>#DIV/0!</v>
      </c>
    </row>
    <row r="154" spans="1:126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AD154" s="49" t="s">
        <v>337</v>
      </c>
      <c r="AE154" s="49">
        <f t="shared" ca="1" si="157"/>
        <v>0</v>
      </c>
      <c r="AF154" s="49">
        <f t="shared" ca="1" si="158"/>
        <v>0</v>
      </c>
      <c r="AG154" s="114">
        <f t="shared" ca="1" si="159"/>
        <v>0</v>
      </c>
      <c r="AH154" s="104">
        <f t="shared" ca="1" si="160"/>
        <v>0</v>
      </c>
      <c r="AI154" s="104">
        <f t="shared" ca="1" si="161"/>
        <v>0</v>
      </c>
      <c r="AJ154" s="104">
        <f t="shared" ca="1" si="162"/>
        <v>0</v>
      </c>
      <c r="AK154" s="104">
        <f t="shared" ca="1" si="163"/>
        <v>0</v>
      </c>
      <c r="AL154" s="104">
        <f t="shared" ca="1" si="164"/>
        <v>0</v>
      </c>
      <c r="AM154" s="104">
        <f t="shared" ca="1" si="165"/>
        <v>0</v>
      </c>
      <c r="AN154" s="104">
        <f t="shared" ca="1" si="166"/>
        <v>0</v>
      </c>
      <c r="AO154" s="104">
        <f t="shared" ca="1" si="167"/>
        <v>0</v>
      </c>
      <c r="AP154" s="104">
        <f t="shared" ca="1" si="168"/>
        <v>0</v>
      </c>
      <c r="AQ154" s="49">
        <f t="shared" ca="1" si="169"/>
        <v>0</v>
      </c>
      <c r="AR154" s="104">
        <f t="shared" ca="1" si="170"/>
        <v>0</v>
      </c>
      <c r="AS154" s="104">
        <f t="shared" ca="1" si="171"/>
        <v>0</v>
      </c>
      <c r="AT154" s="104">
        <f t="shared" ca="1" si="172"/>
        <v>0</v>
      </c>
      <c r="AU154" s="104">
        <f t="shared" ca="1" si="173"/>
        <v>0</v>
      </c>
      <c r="BF154" s="49">
        <f t="shared" ca="1" si="174"/>
        <v>0</v>
      </c>
      <c r="BG154" s="49">
        <f t="shared" ca="1" si="175"/>
        <v>0</v>
      </c>
      <c r="BH154" s="54" t="e">
        <f t="shared" ca="1" si="176"/>
        <v>#DIV/0!</v>
      </c>
      <c r="BI154" s="112" t="e">
        <f t="shared" ca="1" si="177"/>
        <v>#DIV/0!</v>
      </c>
      <c r="BK154" s="55" t="e">
        <f t="shared" ca="1" si="178"/>
        <v>#DIV/0!</v>
      </c>
      <c r="BL154" s="55" t="e">
        <f t="shared" ca="1" si="179"/>
        <v>#DIV/0!</v>
      </c>
      <c r="BM154" s="55" t="e">
        <f t="shared" ca="1" si="180"/>
        <v>#DIV/0!</v>
      </c>
      <c r="BN154" s="53">
        <f t="shared" ca="1" si="181"/>
        <v>0</v>
      </c>
      <c r="BO154" s="112" t="e">
        <f t="shared" ca="1" si="182"/>
        <v>#DIV/0!</v>
      </c>
      <c r="BR154" s="53" t="e">
        <f t="shared" ca="1" si="183"/>
        <v>#DIV/0!</v>
      </c>
      <c r="BS154" s="53">
        <f t="shared" ca="1" si="184"/>
        <v>0</v>
      </c>
      <c r="BT154" s="53">
        <f t="shared" ca="1" si="185"/>
        <v>0</v>
      </c>
      <c r="BU154" s="56" t="e">
        <f t="shared" ca="1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ca="1" si="189"/>
        <v>0</v>
      </c>
      <c r="CW154" s="53">
        <f t="shared" ca="1" si="190"/>
        <v>0</v>
      </c>
      <c r="CX154" s="58" t="e">
        <f t="shared" ca="1" si="191"/>
        <v>#DIV/0!</v>
      </c>
      <c r="CY154" s="53">
        <f t="shared" ca="1" si="192"/>
        <v>0</v>
      </c>
      <c r="CZ154" s="53">
        <f t="shared" ca="1" si="193"/>
        <v>0</v>
      </c>
      <c r="DA154" s="58" t="e">
        <f t="shared" ca="1" si="194"/>
        <v>#DIV/0!</v>
      </c>
      <c r="DB154" s="48" t="e">
        <f t="shared" ca="1" si="195"/>
        <v>#DIV/0!</v>
      </c>
      <c r="DC154" s="48" t="e">
        <f t="shared" ca="1" si="196"/>
        <v>#DIV/0!</v>
      </c>
      <c r="DD154" s="48" t="e">
        <f t="shared" ca="1" si="197"/>
        <v>#DIV/0!</v>
      </c>
      <c r="DE154" s="48" t="e">
        <f t="shared" ca="1" si="198"/>
        <v>#DIV/0!</v>
      </c>
      <c r="DF154" s="48" t="e">
        <f t="shared" ca="1" si="199"/>
        <v>#DIV/0!</v>
      </c>
      <c r="DG154" s="48" t="e">
        <f t="shared" ca="1" si="200"/>
        <v>#DIV/0!</v>
      </c>
      <c r="DH154" s="48">
        <f ca="1">SUMIF(FCR!$BZ$4:$DB$500,DG154,FCR!$DE$4:$EG$500)</f>
        <v>0</v>
      </c>
      <c r="DI154" s="48" t="e">
        <f t="shared" ca="1" si="201"/>
        <v>#DIV/0!</v>
      </c>
      <c r="DJ154" s="48">
        <f ca="1">SUMIF(FCR!$BZ$4:$DB$142,DI154,FCR!$DE$4:$EG$142)</f>
        <v>0</v>
      </c>
      <c r="DK154" s="48" t="e">
        <f t="shared" ca="1" si="202"/>
        <v>#DIV/0!</v>
      </c>
      <c r="DL154" s="55" t="e">
        <f t="shared" ca="1" si="203"/>
        <v>#DIV/0!</v>
      </c>
      <c r="DM154" s="48" t="e">
        <f t="shared" ca="1" si="204"/>
        <v>#DIV/0!</v>
      </c>
      <c r="DN154" s="48">
        <f ca="1">SUMIF(FCR!$BZ$4:$DB$142,DM154,FCR!$DE$4:$EG$142)</f>
        <v>0</v>
      </c>
      <c r="DO154" s="53" t="e">
        <f t="shared" ca="1" si="205"/>
        <v>#DIV/0!</v>
      </c>
      <c r="DP154" s="55" t="e">
        <f t="shared" ca="1" si="206"/>
        <v>#DIV/0!</v>
      </c>
      <c r="DQ154" s="55" t="e">
        <f t="shared" ca="1" si="207"/>
        <v>#DIV/0!</v>
      </c>
      <c r="DR154" s="55"/>
      <c r="DS154" s="55" t="e">
        <f t="shared" ca="1" si="208"/>
        <v>#DIV/0!</v>
      </c>
      <c r="DT154" s="55" t="e">
        <f t="shared" ca="1" si="209"/>
        <v>#DIV/0!</v>
      </c>
      <c r="DU154" s="53">
        <f t="shared" ca="1" si="210"/>
        <v>0</v>
      </c>
      <c r="DV154" s="59" t="e">
        <f t="shared" ca="1" si="211"/>
        <v>#DIV/0!</v>
      </c>
    </row>
    <row r="155" spans="1:126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AD155" s="49" t="s">
        <v>337</v>
      </c>
      <c r="AE155" s="49">
        <f t="shared" ca="1" si="157"/>
        <v>0</v>
      </c>
      <c r="AF155" s="49">
        <f t="shared" ca="1" si="158"/>
        <v>0</v>
      </c>
      <c r="AG155" s="114">
        <f t="shared" ca="1" si="159"/>
        <v>0</v>
      </c>
      <c r="AH155" s="104">
        <f t="shared" ca="1" si="160"/>
        <v>0</v>
      </c>
      <c r="AI155" s="104">
        <f t="shared" ca="1" si="161"/>
        <v>0</v>
      </c>
      <c r="AJ155" s="104">
        <f t="shared" ca="1" si="162"/>
        <v>0</v>
      </c>
      <c r="AK155" s="104">
        <f t="shared" ca="1" si="163"/>
        <v>0</v>
      </c>
      <c r="AL155" s="104">
        <f t="shared" ca="1" si="164"/>
        <v>0</v>
      </c>
      <c r="AM155" s="104">
        <f t="shared" ca="1" si="165"/>
        <v>0</v>
      </c>
      <c r="AN155" s="104">
        <f t="shared" ca="1" si="166"/>
        <v>0</v>
      </c>
      <c r="AO155" s="104">
        <f t="shared" ca="1" si="167"/>
        <v>0</v>
      </c>
      <c r="AP155" s="104">
        <f t="shared" ca="1" si="168"/>
        <v>0</v>
      </c>
      <c r="AQ155" s="49">
        <f t="shared" ca="1" si="169"/>
        <v>0</v>
      </c>
      <c r="AR155" s="104">
        <f t="shared" ca="1" si="170"/>
        <v>0</v>
      </c>
      <c r="AS155" s="104">
        <f t="shared" ca="1" si="171"/>
        <v>0</v>
      </c>
      <c r="AT155" s="104">
        <f t="shared" ca="1" si="172"/>
        <v>0</v>
      </c>
      <c r="AU155" s="104">
        <f t="shared" ca="1" si="173"/>
        <v>0</v>
      </c>
      <c r="BF155" s="49">
        <f t="shared" ca="1" si="174"/>
        <v>0</v>
      </c>
      <c r="BG155" s="49">
        <f t="shared" ca="1" si="175"/>
        <v>0</v>
      </c>
      <c r="BH155" s="54" t="e">
        <f t="shared" ca="1" si="176"/>
        <v>#DIV/0!</v>
      </c>
      <c r="BI155" s="112" t="e">
        <f t="shared" ca="1" si="177"/>
        <v>#DIV/0!</v>
      </c>
      <c r="BK155" s="55" t="e">
        <f t="shared" ca="1" si="178"/>
        <v>#DIV/0!</v>
      </c>
      <c r="BL155" s="55" t="e">
        <f t="shared" ca="1" si="179"/>
        <v>#DIV/0!</v>
      </c>
      <c r="BM155" s="55" t="e">
        <f t="shared" ca="1" si="180"/>
        <v>#DIV/0!</v>
      </c>
      <c r="BN155" s="53">
        <f t="shared" ca="1" si="181"/>
        <v>0</v>
      </c>
      <c r="BO155" s="112" t="e">
        <f t="shared" ca="1" si="182"/>
        <v>#DIV/0!</v>
      </c>
      <c r="BR155" s="53" t="e">
        <f t="shared" ca="1" si="183"/>
        <v>#DIV/0!</v>
      </c>
      <c r="BS155" s="53">
        <f t="shared" ca="1" si="184"/>
        <v>0</v>
      </c>
      <c r="BT155" s="53">
        <f t="shared" ca="1" si="185"/>
        <v>0</v>
      </c>
      <c r="BU155" s="56" t="e">
        <f t="shared" ca="1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ca="1" si="189"/>
        <v>0</v>
      </c>
      <c r="CW155" s="53">
        <f t="shared" ca="1" si="190"/>
        <v>0</v>
      </c>
      <c r="CX155" s="58" t="e">
        <f t="shared" ca="1" si="191"/>
        <v>#DIV/0!</v>
      </c>
      <c r="CY155" s="53">
        <f t="shared" ca="1" si="192"/>
        <v>0</v>
      </c>
      <c r="CZ155" s="53">
        <f t="shared" ca="1" si="193"/>
        <v>0</v>
      </c>
      <c r="DA155" s="58" t="e">
        <f t="shared" ca="1" si="194"/>
        <v>#DIV/0!</v>
      </c>
      <c r="DB155" s="48" t="e">
        <f t="shared" ca="1" si="195"/>
        <v>#DIV/0!</v>
      </c>
      <c r="DC155" s="48" t="e">
        <f t="shared" ca="1" si="196"/>
        <v>#DIV/0!</v>
      </c>
      <c r="DD155" s="48" t="e">
        <f t="shared" ca="1" si="197"/>
        <v>#DIV/0!</v>
      </c>
      <c r="DE155" s="48" t="e">
        <f t="shared" ca="1" si="198"/>
        <v>#DIV/0!</v>
      </c>
      <c r="DF155" s="48" t="e">
        <f t="shared" ca="1" si="199"/>
        <v>#DIV/0!</v>
      </c>
      <c r="DG155" s="48" t="e">
        <f t="shared" ca="1" si="200"/>
        <v>#DIV/0!</v>
      </c>
      <c r="DH155" s="48">
        <f ca="1">SUMIF(FCR!$BZ$4:$DB$500,DG155,FCR!$DE$4:$EG$500)</f>
        <v>0</v>
      </c>
      <c r="DI155" s="48" t="e">
        <f t="shared" ca="1" si="201"/>
        <v>#DIV/0!</v>
      </c>
      <c r="DJ155" s="48">
        <f ca="1">SUMIF(FCR!$BZ$4:$DB$142,DI155,FCR!$DE$4:$EG$142)</f>
        <v>0</v>
      </c>
      <c r="DK155" s="48" t="e">
        <f t="shared" ca="1" si="202"/>
        <v>#DIV/0!</v>
      </c>
      <c r="DL155" s="55" t="e">
        <f t="shared" ca="1" si="203"/>
        <v>#DIV/0!</v>
      </c>
      <c r="DM155" s="48" t="e">
        <f t="shared" ca="1" si="204"/>
        <v>#DIV/0!</v>
      </c>
      <c r="DN155" s="48">
        <f ca="1">SUMIF(FCR!$BZ$4:$DB$142,DM155,FCR!$DE$4:$EG$142)</f>
        <v>0</v>
      </c>
      <c r="DO155" s="53" t="e">
        <f t="shared" ca="1" si="205"/>
        <v>#DIV/0!</v>
      </c>
      <c r="DP155" s="55" t="e">
        <f t="shared" ca="1" si="206"/>
        <v>#DIV/0!</v>
      </c>
      <c r="DQ155" s="55" t="e">
        <f t="shared" ca="1" si="207"/>
        <v>#DIV/0!</v>
      </c>
      <c r="DR155" s="55"/>
      <c r="DS155" s="55" t="e">
        <f t="shared" ca="1" si="208"/>
        <v>#DIV/0!</v>
      </c>
      <c r="DT155" s="55" t="e">
        <f t="shared" ca="1" si="209"/>
        <v>#DIV/0!</v>
      </c>
      <c r="DU155" s="53">
        <f t="shared" ca="1" si="210"/>
        <v>0</v>
      </c>
      <c r="DV155" s="59" t="e">
        <f t="shared" ca="1" si="211"/>
        <v>#DIV/0!</v>
      </c>
    </row>
    <row r="156" spans="1:126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AD156" s="49" t="s">
        <v>337</v>
      </c>
      <c r="AE156" s="49">
        <f t="shared" ca="1" si="157"/>
        <v>0</v>
      </c>
      <c r="AF156" s="49">
        <f t="shared" ca="1" si="158"/>
        <v>0</v>
      </c>
      <c r="AG156" s="114">
        <f t="shared" ca="1" si="159"/>
        <v>0</v>
      </c>
      <c r="AH156" s="104">
        <f t="shared" ca="1" si="160"/>
        <v>0</v>
      </c>
      <c r="AI156" s="104">
        <f t="shared" ca="1" si="161"/>
        <v>0</v>
      </c>
      <c r="AJ156" s="104">
        <f t="shared" ca="1" si="162"/>
        <v>0</v>
      </c>
      <c r="AK156" s="104">
        <f t="shared" ca="1" si="163"/>
        <v>0</v>
      </c>
      <c r="AL156" s="104">
        <f t="shared" ca="1" si="164"/>
        <v>0</v>
      </c>
      <c r="AM156" s="104">
        <f t="shared" ca="1" si="165"/>
        <v>0</v>
      </c>
      <c r="AN156" s="104">
        <f t="shared" ca="1" si="166"/>
        <v>0</v>
      </c>
      <c r="AO156" s="104">
        <f t="shared" ca="1" si="167"/>
        <v>0</v>
      </c>
      <c r="AP156" s="104">
        <f t="shared" ca="1" si="168"/>
        <v>0</v>
      </c>
      <c r="AQ156" s="49">
        <f t="shared" ca="1" si="169"/>
        <v>0</v>
      </c>
      <c r="AR156" s="104">
        <f t="shared" ca="1" si="170"/>
        <v>0</v>
      </c>
      <c r="AS156" s="104">
        <f t="shared" ca="1" si="171"/>
        <v>0</v>
      </c>
      <c r="AT156" s="104">
        <f t="shared" ca="1" si="172"/>
        <v>0</v>
      </c>
      <c r="AU156" s="104">
        <f t="shared" ca="1" si="173"/>
        <v>0</v>
      </c>
      <c r="BF156" s="49">
        <f t="shared" ca="1" si="174"/>
        <v>0</v>
      </c>
      <c r="BG156" s="49">
        <f t="shared" ca="1" si="175"/>
        <v>0</v>
      </c>
      <c r="BH156" s="54" t="e">
        <f t="shared" ca="1" si="176"/>
        <v>#DIV/0!</v>
      </c>
      <c r="BI156" s="112" t="e">
        <f t="shared" ca="1" si="177"/>
        <v>#DIV/0!</v>
      </c>
      <c r="BK156" s="55" t="e">
        <f t="shared" ca="1" si="178"/>
        <v>#DIV/0!</v>
      </c>
      <c r="BL156" s="55" t="e">
        <f t="shared" ca="1" si="179"/>
        <v>#DIV/0!</v>
      </c>
      <c r="BM156" s="55" t="e">
        <f t="shared" ca="1" si="180"/>
        <v>#DIV/0!</v>
      </c>
      <c r="BN156" s="53">
        <f t="shared" ca="1" si="181"/>
        <v>0</v>
      </c>
      <c r="BO156" s="112" t="e">
        <f t="shared" ca="1" si="182"/>
        <v>#DIV/0!</v>
      </c>
      <c r="BR156" s="53" t="e">
        <f t="shared" ca="1" si="183"/>
        <v>#DIV/0!</v>
      </c>
      <c r="BS156" s="53">
        <f t="shared" ca="1" si="184"/>
        <v>0</v>
      </c>
      <c r="BT156" s="53">
        <f t="shared" ca="1" si="185"/>
        <v>0</v>
      </c>
      <c r="BU156" s="56" t="e">
        <f t="shared" ca="1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ca="1" si="189"/>
        <v>0</v>
      </c>
      <c r="CW156" s="53">
        <f t="shared" ca="1" si="190"/>
        <v>0</v>
      </c>
      <c r="CX156" s="58" t="e">
        <f t="shared" ca="1" si="191"/>
        <v>#DIV/0!</v>
      </c>
      <c r="CY156" s="53">
        <f t="shared" ca="1" si="192"/>
        <v>0</v>
      </c>
      <c r="CZ156" s="53">
        <f t="shared" ca="1" si="193"/>
        <v>0</v>
      </c>
      <c r="DA156" s="58" t="e">
        <f t="shared" ca="1" si="194"/>
        <v>#DIV/0!</v>
      </c>
      <c r="DB156" s="48" t="e">
        <f t="shared" ca="1" si="195"/>
        <v>#DIV/0!</v>
      </c>
      <c r="DC156" s="48" t="e">
        <f t="shared" ca="1" si="196"/>
        <v>#DIV/0!</v>
      </c>
      <c r="DD156" s="48" t="e">
        <f t="shared" ca="1" si="197"/>
        <v>#DIV/0!</v>
      </c>
      <c r="DE156" s="48" t="e">
        <f t="shared" ca="1" si="198"/>
        <v>#DIV/0!</v>
      </c>
      <c r="DF156" s="48" t="e">
        <f t="shared" ca="1" si="199"/>
        <v>#DIV/0!</v>
      </c>
      <c r="DG156" s="48" t="e">
        <f t="shared" ca="1" si="200"/>
        <v>#DIV/0!</v>
      </c>
      <c r="DH156" s="48">
        <f ca="1">SUMIF(FCR!$BZ$4:$DB$500,DG156,FCR!$DE$4:$EG$500)</f>
        <v>0</v>
      </c>
      <c r="DI156" s="48" t="e">
        <f t="shared" ca="1" si="201"/>
        <v>#DIV/0!</v>
      </c>
      <c r="DJ156" s="48">
        <f ca="1">SUMIF(FCR!$BZ$4:$DB$142,DI156,FCR!$DE$4:$EG$142)</f>
        <v>0</v>
      </c>
      <c r="DK156" s="48" t="e">
        <f t="shared" ca="1" si="202"/>
        <v>#DIV/0!</v>
      </c>
      <c r="DL156" s="55" t="e">
        <f t="shared" ca="1" si="203"/>
        <v>#DIV/0!</v>
      </c>
      <c r="DM156" s="48" t="e">
        <f t="shared" ca="1" si="204"/>
        <v>#DIV/0!</v>
      </c>
      <c r="DN156" s="48">
        <f ca="1">SUMIF(FCR!$BZ$4:$DB$142,DM156,FCR!$DE$4:$EG$142)</f>
        <v>0</v>
      </c>
      <c r="DO156" s="53" t="e">
        <f t="shared" ca="1" si="205"/>
        <v>#DIV/0!</v>
      </c>
      <c r="DP156" s="55" t="e">
        <f t="shared" ca="1" si="206"/>
        <v>#DIV/0!</v>
      </c>
      <c r="DQ156" s="55" t="e">
        <f t="shared" ca="1" si="207"/>
        <v>#DIV/0!</v>
      </c>
      <c r="DR156" s="55"/>
      <c r="DS156" s="55" t="e">
        <f t="shared" ca="1" si="208"/>
        <v>#DIV/0!</v>
      </c>
      <c r="DT156" s="55" t="e">
        <f t="shared" ca="1" si="209"/>
        <v>#DIV/0!</v>
      </c>
      <c r="DU156" s="53">
        <f t="shared" ca="1" si="210"/>
        <v>0</v>
      </c>
      <c r="DV156" s="59" t="e">
        <f t="shared" ca="1" si="211"/>
        <v>#DIV/0!</v>
      </c>
    </row>
    <row r="157" spans="1:126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AD157" s="49" t="s">
        <v>337</v>
      </c>
      <c r="AE157" s="49">
        <f t="shared" ca="1" si="157"/>
        <v>0</v>
      </c>
      <c r="AF157" s="49">
        <f t="shared" ca="1" si="158"/>
        <v>0</v>
      </c>
      <c r="AG157" s="114">
        <f t="shared" ca="1" si="159"/>
        <v>0</v>
      </c>
      <c r="AH157" s="104">
        <f t="shared" ca="1" si="160"/>
        <v>0</v>
      </c>
      <c r="AI157" s="104">
        <f t="shared" ca="1" si="161"/>
        <v>0</v>
      </c>
      <c r="AJ157" s="104">
        <f t="shared" ca="1" si="162"/>
        <v>0</v>
      </c>
      <c r="AK157" s="104">
        <f t="shared" ca="1" si="163"/>
        <v>0</v>
      </c>
      <c r="AL157" s="104">
        <f t="shared" ca="1" si="164"/>
        <v>0</v>
      </c>
      <c r="AM157" s="104">
        <f t="shared" ca="1" si="165"/>
        <v>0</v>
      </c>
      <c r="AN157" s="104">
        <f t="shared" ca="1" si="166"/>
        <v>0</v>
      </c>
      <c r="AO157" s="104">
        <f t="shared" ca="1" si="167"/>
        <v>0</v>
      </c>
      <c r="AP157" s="104">
        <f t="shared" ca="1" si="168"/>
        <v>0</v>
      </c>
      <c r="AQ157" s="49">
        <f t="shared" ca="1" si="169"/>
        <v>0</v>
      </c>
      <c r="AR157" s="104">
        <f t="shared" ca="1" si="170"/>
        <v>0</v>
      </c>
      <c r="AS157" s="104">
        <f t="shared" ca="1" si="171"/>
        <v>0</v>
      </c>
      <c r="AT157" s="104">
        <f t="shared" ca="1" si="172"/>
        <v>0</v>
      </c>
      <c r="AU157" s="104">
        <f t="shared" ca="1" si="173"/>
        <v>0</v>
      </c>
      <c r="BF157" s="49">
        <f t="shared" ca="1" si="174"/>
        <v>0</v>
      </c>
      <c r="BG157" s="49">
        <f t="shared" ca="1" si="175"/>
        <v>0</v>
      </c>
      <c r="BH157" s="54" t="e">
        <f t="shared" ca="1" si="176"/>
        <v>#DIV/0!</v>
      </c>
      <c r="BI157" s="112" t="e">
        <f t="shared" ca="1" si="177"/>
        <v>#DIV/0!</v>
      </c>
      <c r="BK157" s="55" t="e">
        <f t="shared" ca="1" si="178"/>
        <v>#DIV/0!</v>
      </c>
      <c r="BL157" s="55" t="e">
        <f t="shared" ca="1" si="179"/>
        <v>#DIV/0!</v>
      </c>
      <c r="BM157" s="55" t="e">
        <f t="shared" ca="1" si="180"/>
        <v>#DIV/0!</v>
      </c>
      <c r="BN157" s="53">
        <f t="shared" ca="1" si="181"/>
        <v>0</v>
      </c>
      <c r="BO157" s="112" t="e">
        <f t="shared" ca="1" si="182"/>
        <v>#DIV/0!</v>
      </c>
      <c r="BR157" s="53" t="e">
        <f t="shared" ca="1" si="183"/>
        <v>#DIV/0!</v>
      </c>
      <c r="BS157" s="53">
        <f t="shared" ca="1" si="184"/>
        <v>0</v>
      </c>
      <c r="BT157" s="53">
        <f t="shared" ca="1" si="185"/>
        <v>0</v>
      </c>
      <c r="BU157" s="56" t="e">
        <f t="shared" ca="1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ca="1" si="189"/>
        <v>0</v>
      </c>
      <c r="CW157" s="53">
        <f t="shared" ca="1" si="190"/>
        <v>0</v>
      </c>
      <c r="CX157" s="58" t="e">
        <f t="shared" ca="1" si="191"/>
        <v>#DIV/0!</v>
      </c>
      <c r="CY157" s="53">
        <f t="shared" ca="1" si="192"/>
        <v>0</v>
      </c>
      <c r="CZ157" s="53">
        <f t="shared" ca="1" si="193"/>
        <v>0</v>
      </c>
      <c r="DA157" s="58" t="e">
        <f t="shared" ca="1" si="194"/>
        <v>#DIV/0!</v>
      </c>
      <c r="DB157" s="48" t="e">
        <f t="shared" ca="1" si="195"/>
        <v>#DIV/0!</v>
      </c>
      <c r="DC157" s="48" t="e">
        <f t="shared" ca="1" si="196"/>
        <v>#DIV/0!</v>
      </c>
      <c r="DD157" s="48" t="e">
        <f t="shared" ca="1" si="197"/>
        <v>#DIV/0!</v>
      </c>
      <c r="DE157" s="48" t="e">
        <f t="shared" ca="1" si="198"/>
        <v>#DIV/0!</v>
      </c>
      <c r="DF157" s="48" t="e">
        <f t="shared" ca="1" si="199"/>
        <v>#DIV/0!</v>
      </c>
      <c r="DG157" s="48" t="e">
        <f t="shared" ca="1" si="200"/>
        <v>#DIV/0!</v>
      </c>
      <c r="DH157" s="48">
        <f ca="1">SUMIF(FCR!$BZ$4:$DB$500,DG157,FCR!$DE$4:$EG$500)</f>
        <v>0</v>
      </c>
      <c r="DI157" s="48" t="e">
        <f t="shared" ca="1" si="201"/>
        <v>#DIV/0!</v>
      </c>
      <c r="DJ157" s="48">
        <f ca="1">SUMIF(FCR!$BZ$4:$DB$142,DI157,FCR!$DE$4:$EG$142)</f>
        <v>0</v>
      </c>
      <c r="DK157" s="48" t="e">
        <f t="shared" ca="1" si="202"/>
        <v>#DIV/0!</v>
      </c>
      <c r="DL157" s="55" t="e">
        <f t="shared" ca="1" si="203"/>
        <v>#DIV/0!</v>
      </c>
      <c r="DM157" s="48" t="e">
        <f t="shared" ca="1" si="204"/>
        <v>#DIV/0!</v>
      </c>
      <c r="DN157" s="48">
        <f ca="1">SUMIF(FCR!$BZ$4:$DB$142,DM157,FCR!$DE$4:$EG$142)</f>
        <v>0</v>
      </c>
      <c r="DO157" s="53" t="e">
        <f t="shared" ca="1" si="205"/>
        <v>#DIV/0!</v>
      </c>
      <c r="DP157" s="55" t="e">
        <f t="shared" ca="1" si="206"/>
        <v>#DIV/0!</v>
      </c>
      <c r="DQ157" s="55" t="e">
        <f t="shared" ca="1" si="207"/>
        <v>#DIV/0!</v>
      </c>
      <c r="DR157" s="55"/>
      <c r="DS157" s="55" t="e">
        <f t="shared" ca="1" si="208"/>
        <v>#DIV/0!</v>
      </c>
      <c r="DT157" s="55" t="e">
        <f t="shared" ca="1" si="209"/>
        <v>#DIV/0!</v>
      </c>
      <c r="DU157" s="53">
        <f t="shared" ca="1" si="210"/>
        <v>0</v>
      </c>
      <c r="DV157" s="59" t="e">
        <f t="shared" ca="1" si="211"/>
        <v>#DIV/0!</v>
      </c>
    </row>
    <row r="158" spans="1:126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AD158" s="49" t="s">
        <v>337</v>
      </c>
      <c r="AE158" s="49">
        <f t="shared" ca="1" si="157"/>
        <v>0</v>
      </c>
      <c r="AF158" s="49">
        <f t="shared" ca="1" si="158"/>
        <v>0</v>
      </c>
      <c r="AG158" s="114">
        <f t="shared" ca="1" si="159"/>
        <v>0</v>
      </c>
      <c r="AH158" s="104">
        <f t="shared" ca="1" si="160"/>
        <v>0</v>
      </c>
      <c r="AI158" s="104">
        <f t="shared" ca="1" si="161"/>
        <v>0</v>
      </c>
      <c r="AJ158" s="104">
        <f t="shared" ca="1" si="162"/>
        <v>0</v>
      </c>
      <c r="AK158" s="104">
        <f t="shared" ca="1" si="163"/>
        <v>0</v>
      </c>
      <c r="AL158" s="104">
        <f t="shared" ca="1" si="164"/>
        <v>0</v>
      </c>
      <c r="AM158" s="104">
        <f t="shared" ca="1" si="165"/>
        <v>0</v>
      </c>
      <c r="AN158" s="104">
        <f t="shared" ca="1" si="166"/>
        <v>0</v>
      </c>
      <c r="AO158" s="104">
        <f t="shared" ca="1" si="167"/>
        <v>0</v>
      </c>
      <c r="AP158" s="104">
        <f t="shared" ca="1" si="168"/>
        <v>0</v>
      </c>
      <c r="AQ158" s="49">
        <f t="shared" ca="1" si="169"/>
        <v>0</v>
      </c>
      <c r="AR158" s="104">
        <f t="shared" ca="1" si="170"/>
        <v>0</v>
      </c>
      <c r="AS158" s="104">
        <f t="shared" ca="1" si="171"/>
        <v>0</v>
      </c>
      <c r="AT158" s="104">
        <f t="shared" ca="1" si="172"/>
        <v>0</v>
      </c>
      <c r="AU158" s="104">
        <f t="shared" ca="1" si="173"/>
        <v>0</v>
      </c>
      <c r="BF158" s="49">
        <f t="shared" ca="1" si="174"/>
        <v>0</v>
      </c>
      <c r="BG158" s="49">
        <f t="shared" ca="1" si="175"/>
        <v>0</v>
      </c>
      <c r="BH158" s="54" t="e">
        <f t="shared" ca="1" si="176"/>
        <v>#DIV/0!</v>
      </c>
      <c r="BI158" s="112" t="e">
        <f t="shared" ca="1" si="177"/>
        <v>#DIV/0!</v>
      </c>
      <c r="BK158" s="55" t="e">
        <f t="shared" ca="1" si="178"/>
        <v>#DIV/0!</v>
      </c>
      <c r="BL158" s="55" t="e">
        <f t="shared" ca="1" si="179"/>
        <v>#DIV/0!</v>
      </c>
      <c r="BM158" s="55" t="e">
        <f t="shared" ca="1" si="180"/>
        <v>#DIV/0!</v>
      </c>
      <c r="BN158" s="53">
        <f t="shared" ca="1" si="181"/>
        <v>0</v>
      </c>
      <c r="BO158" s="112" t="e">
        <f t="shared" ca="1" si="182"/>
        <v>#DIV/0!</v>
      </c>
      <c r="BR158" s="53" t="e">
        <f t="shared" ca="1" si="183"/>
        <v>#DIV/0!</v>
      </c>
      <c r="BS158" s="53">
        <f t="shared" ca="1" si="184"/>
        <v>0</v>
      </c>
      <c r="BT158" s="53">
        <f t="shared" ca="1" si="185"/>
        <v>0</v>
      </c>
      <c r="BU158" s="56" t="e">
        <f t="shared" ca="1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ca="1" si="189"/>
        <v>0</v>
      </c>
      <c r="CW158" s="53">
        <f t="shared" ca="1" si="190"/>
        <v>0</v>
      </c>
      <c r="CX158" s="58" t="e">
        <f t="shared" ca="1" si="191"/>
        <v>#DIV/0!</v>
      </c>
      <c r="CY158" s="53">
        <f t="shared" ca="1" si="192"/>
        <v>0</v>
      </c>
      <c r="CZ158" s="53">
        <f t="shared" ca="1" si="193"/>
        <v>0</v>
      </c>
      <c r="DA158" s="58" t="e">
        <f t="shared" ca="1" si="194"/>
        <v>#DIV/0!</v>
      </c>
      <c r="DB158" s="48" t="e">
        <f t="shared" ca="1" si="195"/>
        <v>#DIV/0!</v>
      </c>
      <c r="DC158" s="48" t="e">
        <f t="shared" ca="1" si="196"/>
        <v>#DIV/0!</v>
      </c>
      <c r="DD158" s="48" t="e">
        <f t="shared" ca="1" si="197"/>
        <v>#DIV/0!</v>
      </c>
      <c r="DE158" s="48" t="e">
        <f t="shared" ca="1" si="198"/>
        <v>#DIV/0!</v>
      </c>
      <c r="DF158" s="48" t="e">
        <f t="shared" ca="1" si="199"/>
        <v>#DIV/0!</v>
      </c>
      <c r="DG158" s="48" t="e">
        <f t="shared" ca="1" si="200"/>
        <v>#DIV/0!</v>
      </c>
      <c r="DH158" s="48">
        <f ca="1">SUMIF(FCR!$BZ$4:$DB$500,DG158,FCR!$DE$4:$EG$500)</f>
        <v>0</v>
      </c>
      <c r="DI158" s="48" t="e">
        <f t="shared" ca="1" si="201"/>
        <v>#DIV/0!</v>
      </c>
      <c r="DJ158" s="48">
        <f ca="1">SUMIF(FCR!$BZ$4:$DB$142,DI158,FCR!$DE$4:$EG$142)</f>
        <v>0</v>
      </c>
      <c r="DK158" s="48" t="e">
        <f t="shared" ca="1" si="202"/>
        <v>#DIV/0!</v>
      </c>
      <c r="DL158" s="55" t="e">
        <f t="shared" ca="1" si="203"/>
        <v>#DIV/0!</v>
      </c>
      <c r="DM158" s="48" t="e">
        <f t="shared" ca="1" si="204"/>
        <v>#DIV/0!</v>
      </c>
      <c r="DN158" s="48">
        <f ca="1">SUMIF(FCR!$BZ$4:$DB$142,DM158,FCR!$DE$4:$EG$142)</f>
        <v>0</v>
      </c>
      <c r="DO158" s="53" t="e">
        <f t="shared" ca="1" si="205"/>
        <v>#DIV/0!</v>
      </c>
      <c r="DP158" s="55" t="e">
        <f t="shared" ca="1" si="206"/>
        <v>#DIV/0!</v>
      </c>
      <c r="DQ158" s="55" t="e">
        <f t="shared" ca="1" si="207"/>
        <v>#DIV/0!</v>
      </c>
      <c r="DR158" s="55"/>
      <c r="DS158" s="55" t="e">
        <f t="shared" ca="1" si="208"/>
        <v>#DIV/0!</v>
      </c>
      <c r="DT158" s="55" t="e">
        <f t="shared" ca="1" si="209"/>
        <v>#DIV/0!</v>
      </c>
      <c r="DU158" s="53">
        <f t="shared" ca="1" si="210"/>
        <v>0</v>
      </c>
      <c r="DV158" s="59" t="e">
        <f t="shared" ca="1" si="211"/>
        <v>#DIV/0!</v>
      </c>
    </row>
    <row r="159" spans="1:126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AD159" s="49" t="s">
        <v>337</v>
      </c>
      <c r="AE159" s="49">
        <f t="shared" ca="1" si="157"/>
        <v>0</v>
      </c>
      <c r="AF159" s="49">
        <f t="shared" ca="1" si="158"/>
        <v>0</v>
      </c>
      <c r="AG159" s="114">
        <f t="shared" ca="1" si="159"/>
        <v>0</v>
      </c>
      <c r="AH159" s="104">
        <f t="shared" ca="1" si="160"/>
        <v>0</v>
      </c>
      <c r="AI159" s="104">
        <f t="shared" ca="1" si="161"/>
        <v>0</v>
      </c>
      <c r="AJ159" s="104">
        <f t="shared" ca="1" si="162"/>
        <v>0</v>
      </c>
      <c r="AK159" s="104">
        <f t="shared" ca="1" si="163"/>
        <v>0</v>
      </c>
      <c r="AL159" s="104">
        <f t="shared" ca="1" si="164"/>
        <v>0</v>
      </c>
      <c r="AM159" s="104">
        <f t="shared" ca="1" si="165"/>
        <v>0</v>
      </c>
      <c r="AN159" s="104">
        <f t="shared" ca="1" si="166"/>
        <v>0</v>
      </c>
      <c r="AO159" s="104">
        <f t="shared" ca="1" si="167"/>
        <v>0</v>
      </c>
      <c r="AP159" s="104">
        <f t="shared" ca="1" si="168"/>
        <v>0</v>
      </c>
      <c r="AQ159" s="49">
        <f t="shared" ca="1" si="169"/>
        <v>0</v>
      </c>
      <c r="AR159" s="104">
        <f t="shared" ca="1" si="170"/>
        <v>0</v>
      </c>
      <c r="AS159" s="104">
        <f t="shared" ca="1" si="171"/>
        <v>0</v>
      </c>
      <c r="AT159" s="104">
        <f t="shared" ca="1" si="172"/>
        <v>0</v>
      </c>
      <c r="AU159" s="104">
        <f t="shared" ca="1" si="173"/>
        <v>0</v>
      </c>
      <c r="BF159" s="49">
        <f t="shared" ca="1" si="174"/>
        <v>0</v>
      </c>
      <c r="BG159" s="49">
        <f t="shared" ca="1" si="175"/>
        <v>0</v>
      </c>
      <c r="BH159" s="54" t="e">
        <f t="shared" ca="1" si="176"/>
        <v>#DIV/0!</v>
      </c>
      <c r="BI159" s="112" t="e">
        <f t="shared" ca="1" si="177"/>
        <v>#DIV/0!</v>
      </c>
      <c r="BK159" s="55" t="e">
        <f t="shared" ca="1" si="178"/>
        <v>#DIV/0!</v>
      </c>
      <c r="BL159" s="55" t="e">
        <f t="shared" ca="1" si="179"/>
        <v>#DIV/0!</v>
      </c>
      <c r="BM159" s="55" t="e">
        <f t="shared" ca="1" si="180"/>
        <v>#DIV/0!</v>
      </c>
      <c r="BN159" s="53">
        <f t="shared" ca="1" si="181"/>
        <v>0</v>
      </c>
      <c r="BO159" s="112" t="e">
        <f t="shared" ca="1" si="182"/>
        <v>#DIV/0!</v>
      </c>
      <c r="BR159" s="53" t="e">
        <f t="shared" ca="1" si="183"/>
        <v>#DIV/0!</v>
      </c>
      <c r="BS159" s="53">
        <f t="shared" ca="1" si="184"/>
        <v>0</v>
      </c>
      <c r="BT159" s="53">
        <f t="shared" ca="1" si="185"/>
        <v>0</v>
      </c>
      <c r="BU159" s="56" t="e">
        <f t="shared" ca="1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ca="1" si="189"/>
        <v>0</v>
      </c>
      <c r="CW159" s="53">
        <f t="shared" ca="1" si="190"/>
        <v>0</v>
      </c>
      <c r="CX159" s="58" t="e">
        <f t="shared" ca="1" si="191"/>
        <v>#DIV/0!</v>
      </c>
      <c r="CY159" s="53">
        <f t="shared" ca="1" si="192"/>
        <v>0</v>
      </c>
      <c r="CZ159" s="53">
        <f t="shared" ca="1" si="193"/>
        <v>0</v>
      </c>
      <c r="DA159" s="58" t="e">
        <f t="shared" ca="1" si="194"/>
        <v>#DIV/0!</v>
      </c>
      <c r="DB159" s="48" t="e">
        <f t="shared" ca="1" si="195"/>
        <v>#DIV/0!</v>
      </c>
      <c r="DC159" s="48" t="e">
        <f t="shared" ca="1" si="196"/>
        <v>#DIV/0!</v>
      </c>
      <c r="DD159" s="48" t="e">
        <f t="shared" ca="1" si="197"/>
        <v>#DIV/0!</v>
      </c>
      <c r="DE159" s="48" t="e">
        <f t="shared" ca="1" si="198"/>
        <v>#DIV/0!</v>
      </c>
      <c r="DF159" s="48" t="e">
        <f t="shared" ca="1" si="199"/>
        <v>#DIV/0!</v>
      </c>
      <c r="DG159" s="48" t="e">
        <f t="shared" ca="1" si="200"/>
        <v>#DIV/0!</v>
      </c>
      <c r="DH159" s="48">
        <f ca="1">SUMIF(FCR!$BZ$4:$DB$500,DG159,FCR!$DE$4:$EG$500)</f>
        <v>0</v>
      </c>
      <c r="DI159" s="48" t="e">
        <f t="shared" ca="1" si="201"/>
        <v>#DIV/0!</v>
      </c>
      <c r="DJ159" s="48">
        <f ca="1">SUMIF(FCR!$BZ$4:$DB$142,DI159,FCR!$DE$4:$EG$142)</f>
        <v>0</v>
      </c>
      <c r="DK159" s="48" t="e">
        <f t="shared" ca="1" si="202"/>
        <v>#DIV/0!</v>
      </c>
      <c r="DL159" s="55" t="e">
        <f t="shared" ca="1" si="203"/>
        <v>#DIV/0!</v>
      </c>
      <c r="DM159" s="48" t="e">
        <f t="shared" ca="1" si="204"/>
        <v>#DIV/0!</v>
      </c>
      <c r="DN159" s="48">
        <f ca="1">SUMIF(FCR!$BZ$4:$DB$142,DM159,FCR!$DE$4:$EG$142)</f>
        <v>0</v>
      </c>
      <c r="DO159" s="53" t="e">
        <f t="shared" ca="1" si="205"/>
        <v>#DIV/0!</v>
      </c>
      <c r="DP159" s="55" t="e">
        <f t="shared" ca="1" si="206"/>
        <v>#DIV/0!</v>
      </c>
      <c r="DQ159" s="55" t="e">
        <f t="shared" ca="1" si="207"/>
        <v>#DIV/0!</v>
      </c>
      <c r="DR159" s="55"/>
      <c r="DS159" s="55" t="e">
        <f t="shared" ca="1" si="208"/>
        <v>#DIV/0!</v>
      </c>
      <c r="DT159" s="55" t="e">
        <f t="shared" ca="1" si="209"/>
        <v>#DIV/0!</v>
      </c>
      <c r="DU159" s="53">
        <f t="shared" ca="1" si="210"/>
        <v>0</v>
      </c>
      <c r="DV159" s="59" t="e">
        <f t="shared" ca="1" si="211"/>
        <v>#DIV/0!</v>
      </c>
    </row>
    <row r="160" spans="1:126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AD160" s="49" t="s">
        <v>337</v>
      </c>
      <c r="AE160" s="49">
        <f t="shared" ca="1" si="157"/>
        <v>0</v>
      </c>
      <c r="AF160" s="49">
        <f t="shared" ca="1" si="158"/>
        <v>0</v>
      </c>
      <c r="AG160" s="114">
        <f t="shared" ca="1" si="159"/>
        <v>0</v>
      </c>
      <c r="AH160" s="104">
        <f t="shared" ca="1" si="160"/>
        <v>0</v>
      </c>
      <c r="AI160" s="104">
        <f t="shared" ca="1" si="161"/>
        <v>0</v>
      </c>
      <c r="AJ160" s="104">
        <f t="shared" ca="1" si="162"/>
        <v>0</v>
      </c>
      <c r="AK160" s="104">
        <f t="shared" ca="1" si="163"/>
        <v>0</v>
      </c>
      <c r="AL160" s="104">
        <f t="shared" ca="1" si="164"/>
        <v>0</v>
      </c>
      <c r="AM160" s="104">
        <f t="shared" ca="1" si="165"/>
        <v>0</v>
      </c>
      <c r="AN160" s="104">
        <f t="shared" ca="1" si="166"/>
        <v>0</v>
      </c>
      <c r="AO160" s="104">
        <f t="shared" ca="1" si="167"/>
        <v>0</v>
      </c>
      <c r="AP160" s="104">
        <f t="shared" ca="1" si="168"/>
        <v>0</v>
      </c>
      <c r="AQ160" s="49">
        <f t="shared" ca="1" si="169"/>
        <v>0</v>
      </c>
      <c r="AR160" s="104">
        <f t="shared" ca="1" si="170"/>
        <v>0</v>
      </c>
      <c r="AS160" s="104">
        <f t="shared" ca="1" si="171"/>
        <v>0</v>
      </c>
      <c r="AT160" s="104">
        <f t="shared" ca="1" si="172"/>
        <v>0</v>
      </c>
      <c r="AU160" s="104">
        <f t="shared" ca="1" si="173"/>
        <v>0</v>
      </c>
      <c r="BF160" s="49">
        <f t="shared" ca="1" si="174"/>
        <v>0</v>
      </c>
      <c r="BG160" s="49">
        <f t="shared" ca="1" si="175"/>
        <v>0</v>
      </c>
      <c r="BH160" s="54" t="e">
        <f t="shared" ca="1" si="176"/>
        <v>#DIV/0!</v>
      </c>
      <c r="BI160" s="112" t="e">
        <f t="shared" ca="1" si="177"/>
        <v>#DIV/0!</v>
      </c>
      <c r="BK160" s="55" t="e">
        <f t="shared" ca="1" si="178"/>
        <v>#DIV/0!</v>
      </c>
      <c r="BL160" s="55" t="e">
        <f t="shared" ca="1" si="179"/>
        <v>#DIV/0!</v>
      </c>
      <c r="BM160" s="55" t="e">
        <f t="shared" ca="1" si="180"/>
        <v>#DIV/0!</v>
      </c>
      <c r="BN160" s="53">
        <f t="shared" ca="1" si="181"/>
        <v>0</v>
      </c>
      <c r="BO160" s="112" t="e">
        <f t="shared" ca="1" si="182"/>
        <v>#DIV/0!</v>
      </c>
      <c r="BR160" s="53" t="e">
        <f t="shared" ca="1" si="183"/>
        <v>#DIV/0!</v>
      </c>
      <c r="BS160" s="53">
        <f t="shared" ca="1" si="184"/>
        <v>0</v>
      </c>
      <c r="BT160" s="53">
        <f t="shared" ca="1" si="185"/>
        <v>0</v>
      </c>
      <c r="BU160" s="56" t="e">
        <f t="shared" ca="1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ca="1" si="189"/>
        <v>0</v>
      </c>
      <c r="CW160" s="53">
        <f t="shared" ca="1" si="190"/>
        <v>0</v>
      </c>
      <c r="CX160" s="58" t="e">
        <f t="shared" ca="1" si="191"/>
        <v>#DIV/0!</v>
      </c>
      <c r="CY160" s="53">
        <f t="shared" ca="1" si="192"/>
        <v>0</v>
      </c>
      <c r="CZ160" s="53">
        <f t="shared" ca="1" si="193"/>
        <v>0</v>
      </c>
      <c r="DA160" s="58" t="e">
        <f t="shared" ca="1" si="194"/>
        <v>#DIV/0!</v>
      </c>
      <c r="DB160" s="48" t="e">
        <f t="shared" ca="1" si="195"/>
        <v>#DIV/0!</v>
      </c>
      <c r="DC160" s="48" t="e">
        <f t="shared" ca="1" si="196"/>
        <v>#DIV/0!</v>
      </c>
      <c r="DD160" s="48" t="e">
        <f t="shared" ca="1" si="197"/>
        <v>#DIV/0!</v>
      </c>
      <c r="DE160" s="48" t="e">
        <f t="shared" ca="1" si="198"/>
        <v>#DIV/0!</v>
      </c>
      <c r="DF160" s="48" t="e">
        <f t="shared" ca="1" si="199"/>
        <v>#DIV/0!</v>
      </c>
      <c r="DG160" s="48" t="e">
        <f t="shared" ca="1" si="200"/>
        <v>#DIV/0!</v>
      </c>
      <c r="DH160" s="48">
        <f ca="1">SUMIF(FCR!$BZ$4:$DB$500,DG160,FCR!$DE$4:$EG$500)</f>
        <v>0</v>
      </c>
      <c r="DI160" s="48" t="e">
        <f t="shared" ca="1" si="201"/>
        <v>#DIV/0!</v>
      </c>
      <c r="DJ160" s="48">
        <f ca="1">SUMIF(FCR!$BZ$4:$DB$142,DI160,FCR!$DE$4:$EG$142)</f>
        <v>0</v>
      </c>
      <c r="DK160" s="48" t="e">
        <f t="shared" ca="1" si="202"/>
        <v>#DIV/0!</v>
      </c>
      <c r="DL160" s="55" t="e">
        <f t="shared" ca="1" si="203"/>
        <v>#DIV/0!</v>
      </c>
      <c r="DM160" s="48" t="e">
        <f t="shared" ca="1" si="204"/>
        <v>#DIV/0!</v>
      </c>
      <c r="DN160" s="48">
        <f ca="1">SUMIF(FCR!$BZ$4:$DB$142,DM160,FCR!$DE$4:$EG$142)</f>
        <v>0</v>
      </c>
      <c r="DO160" s="53" t="e">
        <f t="shared" ca="1" si="205"/>
        <v>#DIV/0!</v>
      </c>
      <c r="DP160" s="55" t="e">
        <f t="shared" ca="1" si="206"/>
        <v>#DIV/0!</v>
      </c>
      <c r="DQ160" s="55" t="e">
        <f t="shared" ca="1" si="207"/>
        <v>#DIV/0!</v>
      </c>
      <c r="DR160" s="55"/>
      <c r="DS160" s="55" t="e">
        <f t="shared" ca="1" si="208"/>
        <v>#DIV/0!</v>
      </c>
      <c r="DT160" s="55" t="e">
        <f t="shared" ca="1" si="209"/>
        <v>#DIV/0!</v>
      </c>
      <c r="DU160" s="53">
        <f t="shared" ca="1" si="210"/>
        <v>0</v>
      </c>
      <c r="DV160" s="59" t="e">
        <f t="shared" ca="1" si="211"/>
        <v>#DIV/0!</v>
      </c>
    </row>
    <row r="161" spans="1:126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AD161" s="49" t="s">
        <v>337</v>
      </c>
      <c r="AE161" s="49">
        <f t="shared" ca="1" si="157"/>
        <v>0</v>
      </c>
      <c r="AF161" s="49">
        <f t="shared" ca="1" si="158"/>
        <v>0</v>
      </c>
      <c r="AG161" s="114">
        <f t="shared" ca="1" si="159"/>
        <v>0</v>
      </c>
      <c r="AH161" s="104">
        <f t="shared" ca="1" si="160"/>
        <v>0</v>
      </c>
      <c r="AI161" s="104">
        <f t="shared" ca="1" si="161"/>
        <v>0</v>
      </c>
      <c r="AJ161" s="104">
        <f t="shared" ca="1" si="162"/>
        <v>0</v>
      </c>
      <c r="AK161" s="104">
        <f t="shared" ca="1" si="163"/>
        <v>0</v>
      </c>
      <c r="AL161" s="104">
        <f t="shared" ca="1" si="164"/>
        <v>0</v>
      </c>
      <c r="AM161" s="104">
        <f t="shared" ca="1" si="165"/>
        <v>0</v>
      </c>
      <c r="AN161" s="104">
        <f t="shared" ca="1" si="166"/>
        <v>0</v>
      </c>
      <c r="AO161" s="104">
        <f t="shared" ca="1" si="167"/>
        <v>0</v>
      </c>
      <c r="AP161" s="104">
        <f t="shared" ca="1" si="168"/>
        <v>0</v>
      </c>
      <c r="AQ161" s="49">
        <f t="shared" ca="1" si="169"/>
        <v>0</v>
      </c>
      <c r="AR161" s="104">
        <f t="shared" ca="1" si="170"/>
        <v>0</v>
      </c>
      <c r="AS161" s="104">
        <f t="shared" ca="1" si="171"/>
        <v>0</v>
      </c>
      <c r="AT161" s="104">
        <f t="shared" ca="1" si="172"/>
        <v>0</v>
      </c>
      <c r="AU161" s="104">
        <f t="shared" ca="1" si="173"/>
        <v>0</v>
      </c>
      <c r="BF161" s="49">
        <f t="shared" ca="1" si="174"/>
        <v>0</v>
      </c>
      <c r="BG161" s="49">
        <f t="shared" ca="1" si="175"/>
        <v>0</v>
      </c>
      <c r="BH161" s="54" t="e">
        <f t="shared" ca="1" si="176"/>
        <v>#DIV/0!</v>
      </c>
      <c r="BI161" s="112" t="e">
        <f t="shared" ca="1" si="177"/>
        <v>#DIV/0!</v>
      </c>
      <c r="BK161" s="55" t="e">
        <f t="shared" ca="1" si="178"/>
        <v>#DIV/0!</v>
      </c>
      <c r="BL161" s="55" t="e">
        <f t="shared" ca="1" si="179"/>
        <v>#DIV/0!</v>
      </c>
      <c r="BM161" s="55" t="e">
        <f t="shared" ca="1" si="180"/>
        <v>#DIV/0!</v>
      </c>
      <c r="BN161" s="53">
        <f t="shared" ca="1" si="181"/>
        <v>0</v>
      </c>
      <c r="BO161" s="112" t="e">
        <f t="shared" ca="1" si="182"/>
        <v>#DIV/0!</v>
      </c>
      <c r="BR161" s="53" t="e">
        <f t="shared" ca="1" si="183"/>
        <v>#DIV/0!</v>
      </c>
      <c r="BS161" s="53">
        <f t="shared" ca="1" si="184"/>
        <v>0</v>
      </c>
      <c r="BT161" s="53">
        <f t="shared" ca="1" si="185"/>
        <v>0</v>
      </c>
      <c r="BU161" s="56" t="e">
        <f t="shared" ca="1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ca="1" si="189"/>
        <v>0</v>
      </c>
      <c r="CW161" s="53">
        <f t="shared" ca="1" si="190"/>
        <v>0</v>
      </c>
      <c r="CX161" s="58" t="e">
        <f t="shared" ca="1" si="191"/>
        <v>#DIV/0!</v>
      </c>
      <c r="CY161" s="53">
        <f t="shared" ca="1" si="192"/>
        <v>0</v>
      </c>
      <c r="CZ161" s="53">
        <f t="shared" ca="1" si="193"/>
        <v>0</v>
      </c>
      <c r="DA161" s="58" t="e">
        <f t="shared" ca="1" si="194"/>
        <v>#DIV/0!</v>
      </c>
      <c r="DB161" s="48" t="e">
        <f t="shared" ca="1" si="195"/>
        <v>#DIV/0!</v>
      </c>
      <c r="DC161" s="48" t="e">
        <f t="shared" ca="1" si="196"/>
        <v>#DIV/0!</v>
      </c>
      <c r="DD161" s="48" t="e">
        <f t="shared" ca="1" si="197"/>
        <v>#DIV/0!</v>
      </c>
      <c r="DE161" s="48" t="e">
        <f t="shared" ca="1" si="198"/>
        <v>#DIV/0!</v>
      </c>
      <c r="DF161" s="48" t="e">
        <f t="shared" ca="1" si="199"/>
        <v>#DIV/0!</v>
      </c>
      <c r="DG161" s="48" t="e">
        <f t="shared" ca="1" si="200"/>
        <v>#DIV/0!</v>
      </c>
      <c r="DH161" s="48">
        <f ca="1">SUMIF(FCR!$BZ$4:$DB$500,DG161,FCR!$DE$4:$EG$500)</f>
        <v>0</v>
      </c>
      <c r="DI161" s="48" t="e">
        <f t="shared" ca="1" si="201"/>
        <v>#DIV/0!</v>
      </c>
      <c r="DJ161" s="48">
        <f ca="1">SUMIF(FCR!$BZ$4:$DB$142,DI161,FCR!$DE$4:$EG$142)</f>
        <v>0</v>
      </c>
      <c r="DK161" s="48" t="e">
        <f t="shared" ca="1" si="202"/>
        <v>#DIV/0!</v>
      </c>
      <c r="DL161" s="55" t="e">
        <f t="shared" ca="1" si="203"/>
        <v>#DIV/0!</v>
      </c>
      <c r="DM161" s="48" t="e">
        <f t="shared" ca="1" si="204"/>
        <v>#DIV/0!</v>
      </c>
      <c r="DN161" s="48">
        <f ca="1">SUMIF(FCR!$BZ$4:$DB$142,DM161,FCR!$DE$4:$EG$142)</f>
        <v>0</v>
      </c>
      <c r="DO161" s="53" t="e">
        <f t="shared" ca="1" si="205"/>
        <v>#DIV/0!</v>
      </c>
      <c r="DP161" s="55" t="e">
        <f t="shared" ca="1" si="206"/>
        <v>#DIV/0!</v>
      </c>
      <c r="DQ161" s="55" t="e">
        <f t="shared" ca="1" si="207"/>
        <v>#DIV/0!</v>
      </c>
      <c r="DR161" s="55"/>
      <c r="DS161" s="55" t="e">
        <f t="shared" ca="1" si="208"/>
        <v>#DIV/0!</v>
      </c>
      <c r="DT161" s="55" t="e">
        <f t="shared" ca="1" si="209"/>
        <v>#DIV/0!</v>
      </c>
      <c r="DU161" s="53">
        <f t="shared" ca="1" si="210"/>
        <v>0</v>
      </c>
      <c r="DV161" s="59" t="e">
        <f t="shared" ca="1" si="211"/>
        <v>#DIV/0!</v>
      </c>
    </row>
    <row r="162" spans="1:126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AD162" s="49" t="s">
        <v>337</v>
      </c>
      <c r="AE162" s="49">
        <f t="shared" ca="1" si="157"/>
        <v>0</v>
      </c>
      <c r="AF162" s="49">
        <f t="shared" ca="1" si="158"/>
        <v>0</v>
      </c>
      <c r="AG162" s="114">
        <f t="shared" ca="1" si="159"/>
        <v>0</v>
      </c>
      <c r="AH162" s="104">
        <f t="shared" ca="1" si="160"/>
        <v>0</v>
      </c>
      <c r="AI162" s="104">
        <f t="shared" ca="1" si="161"/>
        <v>0</v>
      </c>
      <c r="AJ162" s="104">
        <f t="shared" ca="1" si="162"/>
        <v>0</v>
      </c>
      <c r="AK162" s="104">
        <f t="shared" ca="1" si="163"/>
        <v>0</v>
      </c>
      <c r="AL162" s="104">
        <f t="shared" ca="1" si="164"/>
        <v>0</v>
      </c>
      <c r="AM162" s="104">
        <f t="shared" ca="1" si="165"/>
        <v>0</v>
      </c>
      <c r="AN162" s="104">
        <f t="shared" ca="1" si="166"/>
        <v>0</v>
      </c>
      <c r="AO162" s="104">
        <f t="shared" ca="1" si="167"/>
        <v>0</v>
      </c>
      <c r="AP162" s="104">
        <f t="shared" ca="1" si="168"/>
        <v>0</v>
      </c>
      <c r="AQ162" s="49">
        <f t="shared" ca="1" si="169"/>
        <v>0</v>
      </c>
      <c r="AR162" s="104">
        <f t="shared" ca="1" si="170"/>
        <v>0</v>
      </c>
      <c r="AS162" s="104">
        <f t="shared" ca="1" si="171"/>
        <v>0</v>
      </c>
      <c r="AT162" s="104">
        <f t="shared" ca="1" si="172"/>
        <v>0</v>
      </c>
      <c r="AU162" s="104">
        <f t="shared" ca="1" si="173"/>
        <v>0</v>
      </c>
      <c r="BF162" s="49">
        <f t="shared" ca="1" si="174"/>
        <v>0</v>
      </c>
      <c r="BG162" s="49">
        <f t="shared" ca="1" si="175"/>
        <v>0</v>
      </c>
      <c r="BH162" s="54" t="e">
        <f t="shared" ca="1" si="176"/>
        <v>#DIV/0!</v>
      </c>
      <c r="BI162" s="112" t="e">
        <f t="shared" ca="1" si="177"/>
        <v>#DIV/0!</v>
      </c>
      <c r="BK162" s="55" t="e">
        <f t="shared" ca="1" si="178"/>
        <v>#DIV/0!</v>
      </c>
      <c r="BL162" s="55" t="e">
        <f t="shared" ca="1" si="179"/>
        <v>#DIV/0!</v>
      </c>
      <c r="BM162" s="55" t="e">
        <f t="shared" ca="1" si="180"/>
        <v>#DIV/0!</v>
      </c>
      <c r="BN162" s="53">
        <f t="shared" ca="1" si="181"/>
        <v>0</v>
      </c>
      <c r="BO162" s="112" t="e">
        <f t="shared" ca="1" si="182"/>
        <v>#DIV/0!</v>
      </c>
      <c r="BR162" s="53" t="e">
        <f t="shared" ca="1" si="183"/>
        <v>#DIV/0!</v>
      </c>
      <c r="BS162" s="53">
        <f t="shared" ca="1" si="184"/>
        <v>0</v>
      </c>
      <c r="BT162" s="53">
        <f t="shared" ca="1" si="185"/>
        <v>0</v>
      </c>
      <c r="BU162" s="56" t="e">
        <f t="shared" ca="1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ca="1" si="189"/>
        <v>0</v>
      </c>
      <c r="CW162" s="53">
        <f t="shared" ca="1" si="190"/>
        <v>0</v>
      </c>
      <c r="CX162" s="58" t="e">
        <f t="shared" ca="1" si="191"/>
        <v>#DIV/0!</v>
      </c>
      <c r="CY162" s="53">
        <f t="shared" ca="1" si="192"/>
        <v>0</v>
      </c>
      <c r="CZ162" s="53">
        <f t="shared" ca="1" si="193"/>
        <v>0</v>
      </c>
      <c r="DA162" s="58" t="e">
        <f t="shared" ca="1" si="194"/>
        <v>#DIV/0!</v>
      </c>
      <c r="DB162" s="48" t="e">
        <f t="shared" ca="1" si="195"/>
        <v>#DIV/0!</v>
      </c>
      <c r="DC162" s="48" t="e">
        <f t="shared" ca="1" si="196"/>
        <v>#DIV/0!</v>
      </c>
      <c r="DD162" s="48" t="e">
        <f t="shared" ca="1" si="197"/>
        <v>#DIV/0!</v>
      </c>
      <c r="DE162" s="48" t="e">
        <f t="shared" ca="1" si="198"/>
        <v>#DIV/0!</v>
      </c>
      <c r="DF162" s="48" t="e">
        <f t="shared" ca="1" si="199"/>
        <v>#DIV/0!</v>
      </c>
      <c r="DG162" s="48" t="e">
        <f t="shared" ca="1" si="200"/>
        <v>#DIV/0!</v>
      </c>
      <c r="DH162" s="48">
        <f ca="1">SUMIF(FCR!$BZ$4:$DB$500,DG162,FCR!$DE$4:$EG$500)</f>
        <v>0</v>
      </c>
      <c r="DI162" s="48" t="e">
        <f t="shared" ca="1" si="201"/>
        <v>#DIV/0!</v>
      </c>
      <c r="DJ162" s="48">
        <f ca="1">SUMIF(FCR!$BZ$4:$DB$142,DI162,FCR!$DE$4:$EG$142)</f>
        <v>0</v>
      </c>
      <c r="DK162" s="48" t="e">
        <f t="shared" ca="1" si="202"/>
        <v>#DIV/0!</v>
      </c>
      <c r="DL162" s="55" t="e">
        <f t="shared" ca="1" si="203"/>
        <v>#DIV/0!</v>
      </c>
      <c r="DM162" s="48" t="e">
        <f t="shared" ca="1" si="204"/>
        <v>#DIV/0!</v>
      </c>
      <c r="DN162" s="48">
        <f ca="1">SUMIF(FCR!$BZ$4:$DB$142,DM162,FCR!$DE$4:$EG$142)</f>
        <v>0</v>
      </c>
      <c r="DO162" s="53" t="e">
        <f t="shared" ca="1" si="205"/>
        <v>#DIV/0!</v>
      </c>
      <c r="DP162" s="55" t="e">
        <f t="shared" ca="1" si="206"/>
        <v>#DIV/0!</v>
      </c>
      <c r="DQ162" s="55" t="e">
        <f t="shared" ca="1" si="207"/>
        <v>#DIV/0!</v>
      </c>
      <c r="DR162" s="55"/>
      <c r="DS162" s="55" t="e">
        <f t="shared" ca="1" si="208"/>
        <v>#DIV/0!</v>
      </c>
      <c r="DT162" s="55" t="e">
        <f t="shared" ca="1" si="209"/>
        <v>#DIV/0!</v>
      </c>
      <c r="DU162" s="53">
        <f t="shared" ca="1" si="210"/>
        <v>0</v>
      </c>
      <c r="DV162" s="59" t="e">
        <f t="shared" ca="1" si="211"/>
        <v>#DIV/0!</v>
      </c>
    </row>
    <row r="163" spans="1:126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AD163" s="49" t="s">
        <v>337</v>
      </c>
      <c r="AE163" s="49">
        <f t="shared" ca="1" si="157"/>
        <v>0</v>
      </c>
      <c r="AF163" s="49">
        <f t="shared" ca="1" si="158"/>
        <v>0</v>
      </c>
      <c r="AG163" s="114">
        <f t="shared" ca="1" si="159"/>
        <v>0</v>
      </c>
      <c r="AH163" s="104">
        <f t="shared" ca="1" si="160"/>
        <v>0</v>
      </c>
      <c r="AI163" s="104">
        <f t="shared" ca="1" si="161"/>
        <v>0</v>
      </c>
      <c r="AJ163" s="104">
        <f t="shared" ca="1" si="162"/>
        <v>0</v>
      </c>
      <c r="AK163" s="104">
        <f t="shared" ca="1" si="163"/>
        <v>0</v>
      </c>
      <c r="AL163" s="104">
        <f t="shared" ca="1" si="164"/>
        <v>0</v>
      </c>
      <c r="AM163" s="104">
        <f t="shared" ca="1" si="165"/>
        <v>0</v>
      </c>
      <c r="AN163" s="104">
        <f t="shared" ca="1" si="166"/>
        <v>0</v>
      </c>
      <c r="AO163" s="104">
        <f t="shared" ca="1" si="167"/>
        <v>0</v>
      </c>
      <c r="AP163" s="104">
        <f t="shared" ca="1" si="168"/>
        <v>0</v>
      </c>
      <c r="AQ163" s="49">
        <f t="shared" ca="1" si="169"/>
        <v>0</v>
      </c>
      <c r="AR163" s="104">
        <f t="shared" ca="1" si="170"/>
        <v>0</v>
      </c>
      <c r="AS163" s="104">
        <f t="shared" ca="1" si="171"/>
        <v>0</v>
      </c>
      <c r="AT163" s="104">
        <f t="shared" ca="1" si="172"/>
        <v>0</v>
      </c>
      <c r="AU163" s="104">
        <f t="shared" ca="1" si="173"/>
        <v>0</v>
      </c>
      <c r="BF163" s="49">
        <f t="shared" ca="1" si="174"/>
        <v>0</v>
      </c>
      <c r="BG163" s="49">
        <f t="shared" ca="1" si="175"/>
        <v>0</v>
      </c>
      <c r="BH163" s="54" t="e">
        <f t="shared" ca="1" si="176"/>
        <v>#DIV/0!</v>
      </c>
      <c r="BI163" s="112" t="e">
        <f t="shared" ca="1" si="177"/>
        <v>#DIV/0!</v>
      </c>
      <c r="BK163" s="55" t="e">
        <f t="shared" ca="1" si="178"/>
        <v>#DIV/0!</v>
      </c>
      <c r="BL163" s="55" t="e">
        <f t="shared" ca="1" si="179"/>
        <v>#DIV/0!</v>
      </c>
      <c r="BM163" s="55" t="e">
        <f t="shared" ca="1" si="180"/>
        <v>#DIV/0!</v>
      </c>
      <c r="BN163" s="53">
        <f t="shared" ca="1" si="181"/>
        <v>0</v>
      </c>
      <c r="BO163" s="112" t="e">
        <f t="shared" ca="1" si="182"/>
        <v>#DIV/0!</v>
      </c>
      <c r="BR163" s="53" t="e">
        <f t="shared" ca="1" si="183"/>
        <v>#DIV/0!</v>
      </c>
      <c r="BS163" s="53">
        <f t="shared" ca="1" si="184"/>
        <v>0</v>
      </c>
      <c r="BT163" s="53">
        <f t="shared" ca="1" si="185"/>
        <v>0</v>
      </c>
      <c r="BU163" s="56" t="e">
        <f t="shared" ca="1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ca="1" si="189"/>
        <v>0</v>
      </c>
      <c r="CW163" s="53">
        <f t="shared" ca="1" si="190"/>
        <v>0</v>
      </c>
      <c r="CX163" s="58" t="e">
        <f t="shared" ca="1" si="191"/>
        <v>#DIV/0!</v>
      </c>
      <c r="CY163" s="53">
        <f t="shared" ca="1" si="192"/>
        <v>0</v>
      </c>
      <c r="CZ163" s="53">
        <f t="shared" ca="1" si="193"/>
        <v>0</v>
      </c>
      <c r="DA163" s="58" t="e">
        <f t="shared" ca="1" si="194"/>
        <v>#DIV/0!</v>
      </c>
      <c r="DB163" s="48" t="e">
        <f t="shared" ca="1" si="195"/>
        <v>#DIV/0!</v>
      </c>
      <c r="DC163" s="48" t="e">
        <f t="shared" ca="1" si="196"/>
        <v>#DIV/0!</v>
      </c>
      <c r="DD163" s="48" t="e">
        <f t="shared" ca="1" si="197"/>
        <v>#DIV/0!</v>
      </c>
      <c r="DE163" s="48" t="e">
        <f t="shared" ca="1" si="198"/>
        <v>#DIV/0!</v>
      </c>
      <c r="DF163" s="48" t="e">
        <f t="shared" ca="1" si="199"/>
        <v>#DIV/0!</v>
      </c>
      <c r="DG163" s="48" t="e">
        <f t="shared" ca="1" si="200"/>
        <v>#DIV/0!</v>
      </c>
      <c r="DH163" s="48">
        <f ca="1">SUMIF(FCR!$BZ$4:$DB$500,DG163,FCR!$DE$4:$EG$500)</f>
        <v>0</v>
      </c>
      <c r="DI163" s="48" t="e">
        <f t="shared" ca="1" si="201"/>
        <v>#DIV/0!</v>
      </c>
      <c r="DJ163" s="48">
        <f ca="1">SUMIF(FCR!$BZ$4:$DB$142,DI163,FCR!$DE$4:$EG$142)</f>
        <v>0</v>
      </c>
      <c r="DK163" s="48" t="e">
        <f t="shared" ca="1" si="202"/>
        <v>#DIV/0!</v>
      </c>
      <c r="DL163" s="55" t="e">
        <f t="shared" ca="1" si="203"/>
        <v>#DIV/0!</v>
      </c>
      <c r="DM163" s="48" t="e">
        <f t="shared" ca="1" si="204"/>
        <v>#DIV/0!</v>
      </c>
      <c r="DN163" s="48">
        <f ca="1">SUMIF(FCR!$BZ$4:$DB$142,DM163,FCR!$DE$4:$EG$142)</f>
        <v>0</v>
      </c>
      <c r="DO163" s="53" t="e">
        <f t="shared" ca="1" si="205"/>
        <v>#DIV/0!</v>
      </c>
      <c r="DP163" s="55" t="e">
        <f t="shared" ca="1" si="206"/>
        <v>#DIV/0!</v>
      </c>
      <c r="DQ163" s="55" t="e">
        <f t="shared" ca="1" si="207"/>
        <v>#DIV/0!</v>
      </c>
      <c r="DR163" s="55"/>
      <c r="DS163" s="55" t="e">
        <f t="shared" ca="1" si="208"/>
        <v>#DIV/0!</v>
      </c>
      <c r="DT163" s="55" t="e">
        <f t="shared" ca="1" si="209"/>
        <v>#DIV/0!</v>
      </c>
      <c r="DU163" s="53">
        <f t="shared" ca="1" si="210"/>
        <v>0</v>
      </c>
      <c r="DV163" s="59" t="e">
        <f t="shared" ca="1" si="211"/>
        <v>#DIV/0!</v>
      </c>
    </row>
    <row r="164" spans="1:126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AD164" s="49" t="s">
        <v>337</v>
      </c>
      <c r="AE164" s="49">
        <f t="shared" ca="1" si="157"/>
        <v>0</v>
      </c>
      <c r="AF164" s="49">
        <f t="shared" ca="1" si="158"/>
        <v>0</v>
      </c>
      <c r="AG164" s="114">
        <f t="shared" ca="1" si="159"/>
        <v>0</v>
      </c>
      <c r="AH164" s="104">
        <f t="shared" ca="1" si="160"/>
        <v>0</v>
      </c>
      <c r="AI164" s="104">
        <f t="shared" ca="1" si="161"/>
        <v>0</v>
      </c>
      <c r="AJ164" s="104">
        <f t="shared" ca="1" si="162"/>
        <v>0</v>
      </c>
      <c r="AK164" s="104">
        <f t="shared" ca="1" si="163"/>
        <v>0</v>
      </c>
      <c r="AL164" s="104">
        <f t="shared" ca="1" si="164"/>
        <v>0</v>
      </c>
      <c r="AM164" s="104">
        <f t="shared" ca="1" si="165"/>
        <v>0</v>
      </c>
      <c r="AN164" s="104">
        <f t="shared" ca="1" si="166"/>
        <v>0</v>
      </c>
      <c r="AO164" s="104">
        <f t="shared" ca="1" si="167"/>
        <v>0</v>
      </c>
      <c r="AP164" s="104">
        <f t="shared" ca="1" si="168"/>
        <v>0</v>
      </c>
      <c r="AQ164" s="49">
        <f t="shared" ca="1" si="169"/>
        <v>0</v>
      </c>
      <c r="AR164" s="104">
        <f t="shared" ca="1" si="170"/>
        <v>0</v>
      </c>
      <c r="AS164" s="104">
        <f t="shared" ca="1" si="171"/>
        <v>0</v>
      </c>
      <c r="AT164" s="104">
        <f t="shared" ca="1" si="172"/>
        <v>0</v>
      </c>
      <c r="AU164" s="104">
        <f t="shared" ca="1" si="173"/>
        <v>0</v>
      </c>
      <c r="BF164" s="49">
        <f t="shared" ca="1" si="174"/>
        <v>0</v>
      </c>
      <c r="BG164" s="49">
        <f t="shared" ca="1" si="175"/>
        <v>0</v>
      </c>
      <c r="BH164" s="54" t="e">
        <f t="shared" ca="1" si="176"/>
        <v>#DIV/0!</v>
      </c>
      <c r="BI164" s="112" t="e">
        <f t="shared" ca="1" si="177"/>
        <v>#DIV/0!</v>
      </c>
      <c r="BK164" s="55" t="e">
        <f t="shared" ca="1" si="178"/>
        <v>#DIV/0!</v>
      </c>
      <c r="BL164" s="55" t="e">
        <f t="shared" ca="1" si="179"/>
        <v>#DIV/0!</v>
      </c>
      <c r="BM164" s="55" t="e">
        <f t="shared" ca="1" si="180"/>
        <v>#DIV/0!</v>
      </c>
      <c r="BN164" s="53">
        <f t="shared" ca="1" si="181"/>
        <v>0</v>
      </c>
      <c r="BO164" s="112" t="e">
        <f t="shared" ca="1" si="182"/>
        <v>#DIV/0!</v>
      </c>
      <c r="BR164" s="53" t="e">
        <f t="shared" ca="1" si="183"/>
        <v>#DIV/0!</v>
      </c>
      <c r="BS164" s="53">
        <f t="shared" ca="1" si="184"/>
        <v>0</v>
      </c>
      <c r="BT164" s="53">
        <f t="shared" ca="1" si="185"/>
        <v>0</v>
      </c>
      <c r="BU164" s="56" t="e">
        <f t="shared" ca="1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ca="1" si="189"/>
        <v>0</v>
      </c>
      <c r="CW164" s="53">
        <f t="shared" ca="1" si="190"/>
        <v>0</v>
      </c>
      <c r="CX164" s="58" t="e">
        <f t="shared" ca="1" si="191"/>
        <v>#DIV/0!</v>
      </c>
      <c r="CY164" s="53">
        <f t="shared" ca="1" si="192"/>
        <v>0</v>
      </c>
      <c r="CZ164" s="53">
        <f t="shared" ca="1" si="193"/>
        <v>0</v>
      </c>
      <c r="DA164" s="58" t="e">
        <f t="shared" ca="1" si="194"/>
        <v>#DIV/0!</v>
      </c>
      <c r="DB164" s="48" t="e">
        <f t="shared" ca="1" si="195"/>
        <v>#DIV/0!</v>
      </c>
      <c r="DC164" s="48" t="e">
        <f t="shared" ca="1" si="196"/>
        <v>#DIV/0!</v>
      </c>
      <c r="DD164" s="48" t="e">
        <f t="shared" ca="1" si="197"/>
        <v>#DIV/0!</v>
      </c>
      <c r="DE164" s="48" t="e">
        <f t="shared" ca="1" si="198"/>
        <v>#DIV/0!</v>
      </c>
      <c r="DF164" s="48" t="e">
        <f t="shared" ca="1" si="199"/>
        <v>#DIV/0!</v>
      </c>
      <c r="DG164" s="48" t="e">
        <f t="shared" ca="1" si="200"/>
        <v>#DIV/0!</v>
      </c>
      <c r="DH164" s="48">
        <f ca="1">SUMIF(FCR!$BZ$4:$DB$500,DG164,FCR!$DE$4:$EG$500)</f>
        <v>0</v>
      </c>
      <c r="DI164" s="48" t="e">
        <f t="shared" ca="1" si="201"/>
        <v>#DIV/0!</v>
      </c>
      <c r="DJ164" s="48">
        <f ca="1">SUMIF(FCR!$BZ$4:$DB$142,DI164,FCR!$DE$4:$EG$142)</f>
        <v>0</v>
      </c>
      <c r="DK164" s="48" t="e">
        <f t="shared" ca="1" si="202"/>
        <v>#DIV/0!</v>
      </c>
      <c r="DL164" s="55" t="e">
        <f t="shared" ca="1" si="203"/>
        <v>#DIV/0!</v>
      </c>
      <c r="DM164" s="48" t="e">
        <f t="shared" ca="1" si="204"/>
        <v>#DIV/0!</v>
      </c>
      <c r="DN164" s="48">
        <f ca="1">SUMIF(FCR!$BZ$4:$DB$142,DM164,FCR!$DE$4:$EG$142)</f>
        <v>0</v>
      </c>
      <c r="DO164" s="53" t="e">
        <f t="shared" ca="1" si="205"/>
        <v>#DIV/0!</v>
      </c>
      <c r="DP164" s="55" t="e">
        <f t="shared" ca="1" si="206"/>
        <v>#DIV/0!</v>
      </c>
      <c r="DQ164" s="55" t="e">
        <f t="shared" ca="1" si="207"/>
        <v>#DIV/0!</v>
      </c>
      <c r="DR164" s="55"/>
      <c r="DS164" s="55" t="e">
        <f t="shared" ca="1" si="208"/>
        <v>#DIV/0!</v>
      </c>
      <c r="DT164" s="55" t="e">
        <f t="shared" ca="1" si="209"/>
        <v>#DIV/0!</v>
      </c>
      <c r="DU164" s="53">
        <f t="shared" ca="1" si="210"/>
        <v>0</v>
      </c>
      <c r="DV164" s="59" t="e">
        <f t="shared" ca="1" si="211"/>
        <v>#DIV/0!</v>
      </c>
    </row>
    <row r="165" spans="1:126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AD165" s="49" t="s">
        <v>337</v>
      </c>
      <c r="AE165" s="49">
        <f t="shared" ca="1" si="157"/>
        <v>0</v>
      </c>
      <c r="AF165" s="49">
        <f t="shared" ca="1" si="158"/>
        <v>0</v>
      </c>
      <c r="AG165" s="114">
        <f t="shared" ca="1" si="159"/>
        <v>0</v>
      </c>
      <c r="AH165" s="104">
        <f t="shared" ca="1" si="160"/>
        <v>0</v>
      </c>
      <c r="AI165" s="104">
        <f t="shared" ca="1" si="161"/>
        <v>0</v>
      </c>
      <c r="AJ165" s="104">
        <f t="shared" ca="1" si="162"/>
        <v>0</v>
      </c>
      <c r="AK165" s="104">
        <f t="shared" ca="1" si="163"/>
        <v>0</v>
      </c>
      <c r="AL165" s="104">
        <f t="shared" ca="1" si="164"/>
        <v>0</v>
      </c>
      <c r="AM165" s="104">
        <f t="shared" ca="1" si="165"/>
        <v>0</v>
      </c>
      <c r="AN165" s="104">
        <f t="shared" ca="1" si="166"/>
        <v>0</v>
      </c>
      <c r="AO165" s="104">
        <f t="shared" ca="1" si="167"/>
        <v>0</v>
      </c>
      <c r="AP165" s="104">
        <f t="shared" ca="1" si="168"/>
        <v>0</v>
      </c>
      <c r="AQ165" s="49">
        <f t="shared" ca="1" si="169"/>
        <v>0</v>
      </c>
      <c r="AR165" s="104">
        <f t="shared" ca="1" si="170"/>
        <v>0</v>
      </c>
      <c r="AS165" s="104">
        <f t="shared" ca="1" si="171"/>
        <v>0</v>
      </c>
      <c r="AT165" s="104">
        <f t="shared" ca="1" si="172"/>
        <v>0</v>
      </c>
      <c r="AU165" s="104">
        <f t="shared" ca="1" si="173"/>
        <v>0</v>
      </c>
      <c r="BF165" s="49">
        <f t="shared" ca="1" si="174"/>
        <v>0</v>
      </c>
      <c r="BG165" s="49">
        <f t="shared" ca="1" si="175"/>
        <v>0</v>
      </c>
      <c r="BH165" s="54" t="e">
        <f t="shared" ca="1" si="176"/>
        <v>#DIV/0!</v>
      </c>
      <c r="BI165" s="112" t="e">
        <f t="shared" ca="1" si="177"/>
        <v>#DIV/0!</v>
      </c>
      <c r="BK165" s="55" t="e">
        <f t="shared" ca="1" si="178"/>
        <v>#DIV/0!</v>
      </c>
      <c r="BL165" s="55" t="e">
        <f t="shared" ca="1" si="179"/>
        <v>#DIV/0!</v>
      </c>
      <c r="BM165" s="55" t="e">
        <f t="shared" ca="1" si="180"/>
        <v>#DIV/0!</v>
      </c>
      <c r="BN165" s="53">
        <f t="shared" ca="1" si="181"/>
        <v>0</v>
      </c>
      <c r="BO165" s="112" t="e">
        <f t="shared" ca="1" si="182"/>
        <v>#DIV/0!</v>
      </c>
      <c r="BR165" s="53" t="e">
        <f t="shared" ca="1" si="183"/>
        <v>#DIV/0!</v>
      </c>
      <c r="BS165" s="53">
        <f t="shared" ca="1" si="184"/>
        <v>0</v>
      </c>
      <c r="BT165" s="53">
        <f t="shared" ca="1" si="185"/>
        <v>0</v>
      </c>
      <c r="BU165" s="56" t="e">
        <f t="shared" ca="1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ca="1" si="189"/>
        <v>0</v>
      </c>
      <c r="CW165" s="53">
        <f t="shared" ca="1" si="190"/>
        <v>0</v>
      </c>
      <c r="CX165" s="58" t="e">
        <f t="shared" ca="1" si="191"/>
        <v>#DIV/0!</v>
      </c>
      <c r="CY165" s="53">
        <f t="shared" ca="1" si="192"/>
        <v>0</v>
      </c>
      <c r="CZ165" s="53">
        <f t="shared" ca="1" si="193"/>
        <v>0</v>
      </c>
      <c r="DA165" s="58" t="e">
        <f t="shared" ca="1" si="194"/>
        <v>#DIV/0!</v>
      </c>
      <c r="DB165" s="48" t="e">
        <f t="shared" ca="1" si="195"/>
        <v>#DIV/0!</v>
      </c>
      <c r="DC165" s="48" t="e">
        <f t="shared" ca="1" si="196"/>
        <v>#DIV/0!</v>
      </c>
      <c r="DD165" s="48" t="e">
        <f t="shared" ca="1" si="197"/>
        <v>#DIV/0!</v>
      </c>
      <c r="DE165" s="48" t="e">
        <f t="shared" ca="1" si="198"/>
        <v>#DIV/0!</v>
      </c>
      <c r="DF165" s="48" t="e">
        <f t="shared" ca="1" si="199"/>
        <v>#DIV/0!</v>
      </c>
      <c r="DG165" s="48" t="e">
        <f t="shared" ca="1" si="200"/>
        <v>#DIV/0!</v>
      </c>
      <c r="DH165" s="48">
        <f ca="1">SUMIF(FCR!$BZ$4:$DB$500,DG165,FCR!$DE$4:$EG$500)</f>
        <v>0</v>
      </c>
      <c r="DI165" s="48" t="e">
        <f t="shared" ca="1" si="201"/>
        <v>#DIV/0!</v>
      </c>
      <c r="DJ165" s="48">
        <f ca="1">SUMIF(FCR!$BZ$4:$DB$142,DI165,FCR!$DE$4:$EG$142)</f>
        <v>0</v>
      </c>
      <c r="DK165" s="48" t="e">
        <f t="shared" ca="1" si="202"/>
        <v>#DIV/0!</v>
      </c>
      <c r="DL165" s="55" t="e">
        <f t="shared" ca="1" si="203"/>
        <v>#DIV/0!</v>
      </c>
      <c r="DM165" s="48" t="e">
        <f t="shared" ca="1" si="204"/>
        <v>#DIV/0!</v>
      </c>
      <c r="DN165" s="48">
        <f ca="1">SUMIF(FCR!$BZ$4:$DB$142,DM165,FCR!$DE$4:$EG$142)</f>
        <v>0</v>
      </c>
      <c r="DO165" s="53" t="e">
        <f t="shared" ca="1" si="205"/>
        <v>#DIV/0!</v>
      </c>
      <c r="DP165" s="55" t="e">
        <f t="shared" ca="1" si="206"/>
        <v>#DIV/0!</v>
      </c>
      <c r="DQ165" s="55" t="e">
        <f t="shared" ca="1" si="207"/>
        <v>#DIV/0!</v>
      </c>
      <c r="DR165" s="55"/>
      <c r="DS165" s="55" t="e">
        <f t="shared" ca="1" si="208"/>
        <v>#DIV/0!</v>
      </c>
      <c r="DT165" s="55" t="e">
        <f t="shared" ca="1" si="209"/>
        <v>#DIV/0!</v>
      </c>
      <c r="DU165" s="53">
        <f t="shared" ca="1" si="210"/>
        <v>0</v>
      </c>
      <c r="DV165" s="59" t="e">
        <f t="shared" ca="1" si="211"/>
        <v>#DIV/0!</v>
      </c>
    </row>
    <row r="166" spans="1:126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AD166" s="49" t="s">
        <v>337</v>
      </c>
      <c r="AE166" s="49">
        <f t="shared" ca="1" si="157"/>
        <v>0</v>
      </c>
      <c r="AF166" s="49">
        <f t="shared" ca="1" si="158"/>
        <v>0</v>
      </c>
      <c r="AG166" s="114">
        <f t="shared" ca="1" si="159"/>
        <v>0</v>
      </c>
      <c r="AH166" s="104">
        <f t="shared" ca="1" si="160"/>
        <v>0</v>
      </c>
      <c r="AI166" s="104">
        <f t="shared" ca="1" si="161"/>
        <v>0</v>
      </c>
      <c r="AJ166" s="104">
        <f t="shared" ca="1" si="162"/>
        <v>0</v>
      </c>
      <c r="AK166" s="104">
        <f t="shared" ca="1" si="163"/>
        <v>0</v>
      </c>
      <c r="AL166" s="104">
        <f t="shared" ca="1" si="164"/>
        <v>0</v>
      </c>
      <c r="AM166" s="104">
        <f t="shared" ca="1" si="165"/>
        <v>0</v>
      </c>
      <c r="AN166" s="104">
        <f t="shared" ca="1" si="166"/>
        <v>0</v>
      </c>
      <c r="AO166" s="104">
        <f t="shared" ca="1" si="167"/>
        <v>0</v>
      </c>
      <c r="AP166" s="104">
        <f t="shared" ca="1" si="168"/>
        <v>0</v>
      </c>
      <c r="AQ166" s="49">
        <f t="shared" ca="1" si="169"/>
        <v>0</v>
      </c>
      <c r="AR166" s="104">
        <f t="shared" ca="1" si="170"/>
        <v>0</v>
      </c>
      <c r="AS166" s="104">
        <f t="shared" ca="1" si="171"/>
        <v>0</v>
      </c>
      <c r="AT166" s="104">
        <f t="shared" ca="1" si="172"/>
        <v>0</v>
      </c>
      <c r="AU166" s="104">
        <f t="shared" ca="1" si="173"/>
        <v>0</v>
      </c>
      <c r="BF166" s="49">
        <f t="shared" ca="1" si="174"/>
        <v>0</v>
      </c>
      <c r="BG166" s="49">
        <f t="shared" ca="1" si="175"/>
        <v>0</v>
      </c>
      <c r="BH166" s="54" t="e">
        <f t="shared" ca="1" si="176"/>
        <v>#DIV/0!</v>
      </c>
      <c r="BI166" s="112" t="e">
        <f t="shared" ca="1" si="177"/>
        <v>#DIV/0!</v>
      </c>
      <c r="BK166" s="55" t="e">
        <f t="shared" ca="1" si="178"/>
        <v>#DIV/0!</v>
      </c>
      <c r="BL166" s="55" t="e">
        <f t="shared" ca="1" si="179"/>
        <v>#DIV/0!</v>
      </c>
      <c r="BM166" s="55" t="e">
        <f t="shared" ca="1" si="180"/>
        <v>#DIV/0!</v>
      </c>
      <c r="BN166" s="53">
        <f t="shared" ca="1" si="181"/>
        <v>0</v>
      </c>
      <c r="BO166" s="112" t="e">
        <f t="shared" ca="1" si="182"/>
        <v>#DIV/0!</v>
      </c>
      <c r="BR166" s="53" t="e">
        <f t="shared" ca="1" si="183"/>
        <v>#DIV/0!</v>
      </c>
      <c r="BS166" s="53">
        <f t="shared" ca="1" si="184"/>
        <v>0</v>
      </c>
      <c r="BT166" s="53">
        <f t="shared" ca="1" si="185"/>
        <v>0</v>
      </c>
      <c r="BU166" s="56" t="e">
        <f t="shared" ca="1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ca="1" si="189"/>
        <v>0</v>
      </c>
      <c r="CW166" s="53">
        <f t="shared" ca="1" si="190"/>
        <v>0</v>
      </c>
      <c r="CX166" s="58" t="e">
        <f t="shared" ca="1" si="191"/>
        <v>#DIV/0!</v>
      </c>
      <c r="CY166" s="53">
        <f t="shared" ca="1" si="192"/>
        <v>0</v>
      </c>
      <c r="CZ166" s="53">
        <f t="shared" ca="1" si="193"/>
        <v>0</v>
      </c>
      <c r="DA166" s="58" t="e">
        <f t="shared" ca="1" si="194"/>
        <v>#DIV/0!</v>
      </c>
      <c r="DB166" s="48" t="e">
        <f t="shared" ca="1" si="195"/>
        <v>#DIV/0!</v>
      </c>
      <c r="DC166" s="48" t="e">
        <f t="shared" ca="1" si="196"/>
        <v>#DIV/0!</v>
      </c>
      <c r="DD166" s="48" t="e">
        <f t="shared" ca="1" si="197"/>
        <v>#DIV/0!</v>
      </c>
      <c r="DE166" s="48" t="e">
        <f t="shared" ca="1" si="198"/>
        <v>#DIV/0!</v>
      </c>
      <c r="DF166" s="48" t="e">
        <f t="shared" ca="1" si="199"/>
        <v>#DIV/0!</v>
      </c>
      <c r="DG166" s="48" t="e">
        <f t="shared" ca="1" si="200"/>
        <v>#DIV/0!</v>
      </c>
      <c r="DH166" s="48">
        <f ca="1">SUMIF(FCR!$BZ$4:$DB$500,DG166,FCR!$DE$4:$EG$500)</f>
        <v>0</v>
      </c>
      <c r="DI166" s="48" t="e">
        <f t="shared" ca="1" si="201"/>
        <v>#DIV/0!</v>
      </c>
      <c r="DJ166" s="48">
        <f ca="1">SUMIF(FCR!$BZ$4:$DB$142,DI166,FCR!$DE$4:$EG$142)</f>
        <v>0</v>
      </c>
      <c r="DK166" s="48" t="e">
        <f t="shared" ca="1" si="202"/>
        <v>#DIV/0!</v>
      </c>
      <c r="DL166" s="55" t="e">
        <f t="shared" ca="1" si="203"/>
        <v>#DIV/0!</v>
      </c>
      <c r="DM166" s="48" t="e">
        <f t="shared" ca="1" si="204"/>
        <v>#DIV/0!</v>
      </c>
      <c r="DN166" s="48">
        <f ca="1">SUMIF(FCR!$BZ$4:$DB$142,DM166,FCR!$DE$4:$EG$142)</f>
        <v>0</v>
      </c>
      <c r="DO166" s="53" t="e">
        <f t="shared" ca="1" si="205"/>
        <v>#DIV/0!</v>
      </c>
      <c r="DP166" s="55" t="e">
        <f t="shared" ca="1" si="206"/>
        <v>#DIV/0!</v>
      </c>
      <c r="DQ166" s="55" t="e">
        <f t="shared" ca="1" si="207"/>
        <v>#DIV/0!</v>
      </c>
      <c r="DR166" s="55"/>
      <c r="DS166" s="55" t="e">
        <f t="shared" ca="1" si="208"/>
        <v>#DIV/0!</v>
      </c>
      <c r="DT166" s="55" t="e">
        <f t="shared" ca="1" si="209"/>
        <v>#DIV/0!</v>
      </c>
      <c r="DU166" s="53">
        <f t="shared" ca="1" si="210"/>
        <v>0</v>
      </c>
      <c r="DV166" s="59" t="e">
        <f t="shared" ca="1" si="211"/>
        <v>#DIV/0!</v>
      </c>
    </row>
    <row r="167" spans="1:126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AD167" s="49" t="s">
        <v>337</v>
      </c>
      <c r="AE167" s="49">
        <f t="shared" ca="1" si="157"/>
        <v>0</v>
      </c>
      <c r="AF167" s="49">
        <f t="shared" ca="1" si="158"/>
        <v>0</v>
      </c>
      <c r="AG167" s="114">
        <f t="shared" ca="1" si="159"/>
        <v>0</v>
      </c>
      <c r="AH167" s="104">
        <f t="shared" ca="1" si="160"/>
        <v>0</v>
      </c>
      <c r="AI167" s="104">
        <f t="shared" ca="1" si="161"/>
        <v>0</v>
      </c>
      <c r="AJ167" s="104">
        <f t="shared" ca="1" si="162"/>
        <v>0</v>
      </c>
      <c r="AK167" s="104">
        <f t="shared" ca="1" si="163"/>
        <v>0</v>
      </c>
      <c r="AL167" s="104">
        <f t="shared" ca="1" si="164"/>
        <v>0</v>
      </c>
      <c r="AM167" s="104">
        <f t="shared" ca="1" si="165"/>
        <v>0</v>
      </c>
      <c r="AN167" s="104">
        <f t="shared" ca="1" si="166"/>
        <v>0</v>
      </c>
      <c r="AO167" s="104">
        <f t="shared" ca="1" si="167"/>
        <v>0</v>
      </c>
      <c r="AP167" s="104">
        <f t="shared" ca="1" si="168"/>
        <v>0</v>
      </c>
      <c r="AQ167" s="49">
        <f t="shared" ca="1" si="169"/>
        <v>0</v>
      </c>
      <c r="AR167" s="104">
        <f t="shared" ca="1" si="170"/>
        <v>0</v>
      </c>
      <c r="AS167" s="104">
        <f t="shared" ca="1" si="171"/>
        <v>0</v>
      </c>
      <c r="AT167" s="104">
        <f t="shared" ca="1" si="172"/>
        <v>0</v>
      </c>
      <c r="AU167" s="104">
        <f t="shared" ca="1" si="173"/>
        <v>0</v>
      </c>
      <c r="BF167" s="49">
        <f t="shared" ca="1" si="174"/>
        <v>0</v>
      </c>
      <c r="BG167" s="49">
        <f t="shared" ca="1" si="175"/>
        <v>0</v>
      </c>
      <c r="BH167" s="54" t="e">
        <f t="shared" ca="1" si="176"/>
        <v>#DIV/0!</v>
      </c>
      <c r="BI167" s="112" t="e">
        <f t="shared" ca="1" si="177"/>
        <v>#DIV/0!</v>
      </c>
      <c r="BK167" s="55" t="e">
        <f t="shared" ca="1" si="178"/>
        <v>#DIV/0!</v>
      </c>
      <c r="BL167" s="55" t="e">
        <f t="shared" ca="1" si="179"/>
        <v>#DIV/0!</v>
      </c>
      <c r="BM167" s="55" t="e">
        <f t="shared" ca="1" si="180"/>
        <v>#DIV/0!</v>
      </c>
      <c r="BN167" s="53">
        <f t="shared" ca="1" si="181"/>
        <v>0</v>
      </c>
      <c r="BO167" s="112" t="e">
        <f t="shared" ca="1" si="182"/>
        <v>#DIV/0!</v>
      </c>
      <c r="BR167" s="53" t="e">
        <f t="shared" ca="1" si="183"/>
        <v>#DIV/0!</v>
      </c>
      <c r="BS167" s="53">
        <f t="shared" ca="1" si="184"/>
        <v>0</v>
      </c>
      <c r="BT167" s="53">
        <f t="shared" ca="1" si="185"/>
        <v>0</v>
      </c>
      <c r="BU167" s="56" t="e">
        <f t="shared" ca="1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ca="1" si="189"/>
        <v>0</v>
      </c>
      <c r="CW167" s="53">
        <f t="shared" ca="1" si="190"/>
        <v>0</v>
      </c>
      <c r="CX167" s="58" t="e">
        <f t="shared" ca="1" si="191"/>
        <v>#DIV/0!</v>
      </c>
      <c r="CY167" s="53">
        <f t="shared" ca="1" si="192"/>
        <v>0</v>
      </c>
      <c r="CZ167" s="53">
        <f t="shared" ca="1" si="193"/>
        <v>0</v>
      </c>
      <c r="DA167" s="58" t="e">
        <f t="shared" ca="1" si="194"/>
        <v>#DIV/0!</v>
      </c>
      <c r="DB167" s="48" t="e">
        <f t="shared" ca="1" si="195"/>
        <v>#DIV/0!</v>
      </c>
      <c r="DC167" s="48" t="e">
        <f t="shared" ca="1" si="196"/>
        <v>#DIV/0!</v>
      </c>
      <c r="DD167" s="48" t="e">
        <f t="shared" ca="1" si="197"/>
        <v>#DIV/0!</v>
      </c>
      <c r="DE167" s="48" t="e">
        <f t="shared" ca="1" si="198"/>
        <v>#DIV/0!</v>
      </c>
      <c r="DF167" s="48" t="e">
        <f t="shared" ca="1" si="199"/>
        <v>#DIV/0!</v>
      </c>
      <c r="DG167" s="48" t="e">
        <f t="shared" ca="1" si="200"/>
        <v>#DIV/0!</v>
      </c>
      <c r="DH167" s="48">
        <f ca="1">SUMIF(FCR!$BZ$4:$DB$500,DG167,FCR!$DE$4:$EG$500)</f>
        <v>0</v>
      </c>
      <c r="DI167" s="48" t="e">
        <f t="shared" ca="1" si="201"/>
        <v>#DIV/0!</v>
      </c>
      <c r="DJ167" s="48">
        <f ca="1">SUMIF(FCR!$BZ$4:$DB$142,DI167,FCR!$DE$4:$EG$142)</f>
        <v>0</v>
      </c>
      <c r="DK167" s="48" t="e">
        <f t="shared" ca="1" si="202"/>
        <v>#DIV/0!</v>
      </c>
      <c r="DL167" s="55" t="e">
        <f t="shared" ca="1" si="203"/>
        <v>#DIV/0!</v>
      </c>
      <c r="DM167" s="48" t="e">
        <f t="shared" ca="1" si="204"/>
        <v>#DIV/0!</v>
      </c>
      <c r="DN167" s="48">
        <f ca="1">SUMIF(FCR!$BZ$4:$DB$142,DM167,FCR!$DE$4:$EG$142)</f>
        <v>0</v>
      </c>
      <c r="DO167" s="53" t="e">
        <f t="shared" ca="1" si="205"/>
        <v>#DIV/0!</v>
      </c>
      <c r="DP167" s="55" t="e">
        <f t="shared" ca="1" si="206"/>
        <v>#DIV/0!</v>
      </c>
      <c r="DQ167" s="55" t="e">
        <f t="shared" ca="1" si="207"/>
        <v>#DIV/0!</v>
      </c>
      <c r="DR167" s="55"/>
      <c r="DS167" s="55" t="e">
        <f t="shared" ca="1" si="208"/>
        <v>#DIV/0!</v>
      </c>
      <c r="DT167" s="55" t="e">
        <f t="shared" ca="1" si="209"/>
        <v>#DIV/0!</v>
      </c>
      <c r="DU167" s="53">
        <f t="shared" ca="1" si="210"/>
        <v>0</v>
      </c>
      <c r="DV167" s="59" t="e">
        <f t="shared" ca="1" si="211"/>
        <v>#DIV/0!</v>
      </c>
    </row>
    <row r="168" spans="1:126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AD168" s="49" t="s">
        <v>337</v>
      </c>
      <c r="AE168" s="49">
        <f t="shared" ca="1" si="157"/>
        <v>0</v>
      </c>
      <c r="AF168" s="49">
        <f t="shared" ca="1" si="158"/>
        <v>0</v>
      </c>
      <c r="AG168" s="114">
        <f t="shared" ca="1" si="159"/>
        <v>0</v>
      </c>
      <c r="AH168" s="104">
        <f t="shared" ca="1" si="160"/>
        <v>0</v>
      </c>
      <c r="AI168" s="104">
        <f t="shared" ca="1" si="161"/>
        <v>0</v>
      </c>
      <c r="AJ168" s="104">
        <f t="shared" ca="1" si="162"/>
        <v>0</v>
      </c>
      <c r="AK168" s="104">
        <f t="shared" ca="1" si="163"/>
        <v>0</v>
      </c>
      <c r="AL168" s="104">
        <f t="shared" ca="1" si="164"/>
        <v>0</v>
      </c>
      <c r="AM168" s="104">
        <f t="shared" ca="1" si="165"/>
        <v>0</v>
      </c>
      <c r="AN168" s="104">
        <f t="shared" ca="1" si="166"/>
        <v>0</v>
      </c>
      <c r="AO168" s="104">
        <f t="shared" ca="1" si="167"/>
        <v>0</v>
      </c>
      <c r="AP168" s="104">
        <f t="shared" ca="1" si="168"/>
        <v>0</v>
      </c>
      <c r="AQ168" s="49">
        <f t="shared" ca="1" si="169"/>
        <v>0</v>
      </c>
      <c r="AR168" s="104">
        <f t="shared" ca="1" si="170"/>
        <v>0</v>
      </c>
      <c r="AS168" s="104">
        <f t="shared" ca="1" si="171"/>
        <v>0</v>
      </c>
      <c r="AT168" s="104">
        <f t="shared" ca="1" si="172"/>
        <v>0</v>
      </c>
      <c r="AU168" s="104">
        <f t="shared" ca="1" si="173"/>
        <v>0</v>
      </c>
      <c r="BF168" s="49">
        <f t="shared" ca="1" si="174"/>
        <v>0</v>
      </c>
      <c r="BG168" s="49">
        <f t="shared" ca="1" si="175"/>
        <v>0</v>
      </c>
      <c r="BH168" s="54" t="e">
        <f t="shared" ca="1" si="176"/>
        <v>#DIV/0!</v>
      </c>
      <c r="BI168" s="112" t="e">
        <f t="shared" ca="1" si="177"/>
        <v>#DIV/0!</v>
      </c>
      <c r="BK168" s="55" t="e">
        <f t="shared" ca="1" si="178"/>
        <v>#DIV/0!</v>
      </c>
      <c r="BL168" s="55" t="e">
        <f t="shared" ca="1" si="179"/>
        <v>#DIV/0!</v>
      </c>
      <c r="BM168" s="55" t="e">
        <f t="shared" ca="1" si="180"/>
        <v>#DIV/0!</v>
      </c>
      <c r="BN168" s="53">
        <f t="shared" ca="1" si="181"/>
        <v>0</v>
      </c>
      <c r="BO168" s="112" t="e">
        <f t="shared" ca="1" si="182"/>
        <v>#DIV/0!</v>
      </c>
      <c r="BR168" s="53" t="e">
        <f t="shared" ca="1" si="183"/>
        <v>#DIV/0!</v>
      </c>
      <c r="BS168" s="53">
        <f t="shared" ca="1" si="184"/>
        <v>0</v>
      </c>
      <c r="BT168" s="53">
        <f t="shared" ca="1" si="185"/>
        <v>0</v>
      </c>
      <c r="BU168" s="56" t="e">
        <f t="shared" ca="1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ca="1" si="189"/>
        <v>0</v>
      </c>
      <c r="CW168" s="53">
        <f t="shared" ca="1" si="190"/>
        <v>0</v>
      </c>
      <c r="CX168" s="58" t="e">
        <f t="shared" ca="1" si="191"/>
        <v>#DIV/0!</v>
      </c>
      <c r="CY168" s="53">
        <f t="shared" ca="1" si="192"/>
        <v>0</v>
      </c>
      <c r="CZ168" s="53">
        <f t="shared" ca="1" si="193"/>
        <v>0</v>
      </c>
      <c r="DA168" s="58" t="e">
        <f t="shared" ca="1" si="194"/>
        <v>#DIV/0!</v>
      </c>
      <c r="DB168" s="48" t="e">
        <f t="shared" ca="1" si="195"/>
        <v>#DIV/0!</v>
      </c>
      <c r="DC168" s="48" t="e">
        <f t="shared" ca="1" si="196"/>
        <v>#DIV/0!</v>
      </c>
      <c r="DD168" s="48" t="e">
        <f t="shared" ca="1" si="197"/>
        <v>#DIV/0!</v>
      </c>
      <c r="DE168" s="48" t="e">
        <f t="shared" ca="1" si="198"/>
        <v>#DIV/0!</v>
      </c>
      <c r="DF168" s="48" t="e">
        <f t="shared" ca="1" si="199"/>
        <v>#DIV/0!</v>
      </c>
      <c r="DG168" s="48" t="e">
        <f t="shared" ca="1" si="200"/>
        <v>#DIV/0!</v>
      </c>
      <c r="DH168" s="48">
        <f ca="1">SUMIF(FCR!$BZ$4:$DB$500,DG168,FCR!$DE$4:$EG$500)</f>
        <v>0</v>
      </c>
      <c r="DI168" s="48" t="e">
        <f t="shared" ca="1" si="201"/>
        <v>#DIV/0!</v>
      </c>
      <c r="DJ168" s="48">
        <f ca="1">SUMIF(FCR!$BZ$4:$DB$142,DI168,FCR!$DE$4:$EG$142)</f>
        <v>0</v>
      </c>
      <c r="DK168" s="48" t="e">
        <f t="shared" ca="1" si="202"/>
        <v>#DIV/0!</v>
      </c>
      <c r="DL168" s="55" t="e">
        <f t="shared" ca="1" si="203"/>
        <v>#DIV/0!</v>
      </c>
      <c r="DM168" s="48" t="e">
        <f t="shared" ca="1" si="204"/>
        <v>#DIV/0!</v>
      </c>
      <c r="DN168" s="48">
        <f ca="1">SUMIF(FCR!$BZ$4:$DB$142,DM168,FCR!$DE$4:$EG$142)</f>
        <v>0</v>
      </c>
      <c r="DO168" s="53" t="e">
        <f t="shared" ca="1" si="205"/>
        <v>#DIV/0!</v>
      </c>
      <c r="DP168" s="55" t="e">
        <f t="shared" ca="1" si="206"/>
        <v>#DIV/0!</v>
      </c>
      <c r="DQ168" s="55" t="e">
        <f t="shared" ca="1" si="207"/>
        <v>#DIV/0!</v>
      </c>
      <c r="DR168" s="55"/>
      <c r="DS168" s="55" t="e">
        <f t="shared" ca="1" si="208"/>
        <v>#DIV/0!</v>
      </c>
      <c r="DT168" s="55" t="e">
        <f t="shared" ca="1" si="209"/>
        <v>#DIV/0!</v>
      </c>
      <c r="DU168" s="53">
        <f t="shared" ca="1" si="210"/>
        <v>0</v>
      </c>
      <c r="DV168" s="59" t="e">
        <f t="shared" ca="1" si="211"/>
        <v>#DIV/0!</v>
      </c>
    </row>
    <row r="169" spans="1:126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AD169" s="49" t="s">
        <v>337</v>
      </c>
      <c r="AE169" s="49">
        <f t="shared" ca="1" si="157"/>
        <v>0</v>
      </c>
      <c r="AF169" s="49">
        <f t="shared" ca="1" si="158"/>
        <v>0</v>
      </c>
      <c r="AG169" s="114">
        <f t="shared" ca="1" si="159"/>
        <v>0</v>
      </c>
      <c r="AH169" s="104">
        <f t="shared" ca="1" si="160"/>
        <v>0</v>
      </c>
      <c r="AI169" s="104">
        <f t="shared" ca="1" si="161"/>
        <v>0</v>
      </c>
      <c r="AJ169" s="104">
        <f t="shared" ca="1" si="162"/>
        <v>0</v>
      </c>
      <c r="AK169" s="104">
        <f t="shared" ca="1" si="163"/>
        <v>0</v>
      </c>
      <c r="AL169" s="104">
        <f t="shared" ca="1" si="164"/>
        <v>0</v>
      </c>
      <c r="AM169" s="104">
        <f t="shared" ca="1" si="165"/>
        <v>0</v>
      </c>
      <c r="AN169" s="104">
        <f t="shared" ca="1" si="166"/>
        <v>0</v>
      </c>
      <c r="AO169" s="104">
        <f t="shared" ca="1" si="167"/>
        <v>0</v>
      </c>
      <c r="AP169" s="104">
        <f t="shared" ca="1" si="168"/>
        <v>0</v>
      </c>
      <c r="AQ169" s="49">
        <f t="shared" ca="1" si="169"/>
        <v>0</v>
      </c>
      <c r="AR169" s="104">
        <f t="shared" ca="1" si="170"/>
        <v>0</v>
      </c>
      <c r="AS169" s="104">
        <f t="shared" ca="1" si="171"/>
        <v>0</v>
      </c>
      <c r="AT169" s="104">
        <f t="shared" ca="1" si="172"/>
        <v>0</v>
      </c>
      <c r="AU169" s="104">
        <f t="shared" ca="1" si="173"/>
        <v>0</v>
      </c>
      <c r="BF169" s="49">
        <f t="shared" ca="1" si="174"/>
        <v>0</v>
      </c>
      <c r="BG169" s="49">
        <f t="shared" ca="1" si="175"/>
        <v>0</v>
      </c>
      <c r="BH169" s="54" t="e">
        <f t="shared" ca="1" si="176"/>
        <v>#DIV/0!</v>
      </c>
      <c r="BI169" s="112" t="e">
        <f t="shared" ca="1" si="177"/>
        <v>#DIV/0!</v>
      </c>
      <c r="BK169" s="55" t="e">
        <f t="shared" ca="1" si="178"/>
        <v>#DIV/0!</v>
      </c>
      <c r="BL169" s="55" t="e">
        <f t="shared" ca="1" si="179"/>
        <v>#DIV/0!</v>
      </c>
      <c r="BM169" s="55" t="e">
        <f t="shared" ca="1" si="180"/>
        <v>#DIV/0!</v>
      </c>
      <c r="BN169" s="53">
        <f t="shared" ca="1" si="181"/>
        <v>0</v>
      </c>
      <c r="BO169" s="112" t="e">
        <f t="shared" ca="1" si="182"/>
        <v>#DIV/0!</v>
      </c>
      <c r="BR169" s="53" t="e">
        <f t="shared" ca="1" si="183"/>
        <v>#DIV/0!</v>
      </c>
      <c r="BS169" s="53">
        <f t="shared" ca="1" si="184"/>
        <v>0</v>
      </c>
      <c r="BT169" s="53">
        <f t="shared" ca="1" si="185"/>
        <v>0</v>
      </c>
      <c r="BU169" s="56" t="e">
        <f t="shared" ca="1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ca="1" si="189"/>
        <v>0</v>
      </c>
      <c r="CW169" s="53">
        <f t="shared" ca="1" si="190"/>
        <v>0</v>
      </c>
      <c r="CX169" s="58" t="e">
        <f t="shared" ca="1" si="191"/>
        <v>#DIV/0!</v>
      </c>
      <c r="CY169" s="53">
        <f t="shared" ca="1" si="192"/>
        <v>0</v>
      </c>
      <c r="CZ169" s="53">
        <f t="shared" ca="1" si="193"/>
        <v>0</v>
      </c>
      <c r="DA169" s="58" t="e">
        <f t="shared" ca="1" si="194"/>
        <v>#DIV/0!</v>
      </c>
      <c r="DB169" s="48" t="e">
        <f t="shared" ca="1" si="195"/>
        <v>#DIV/0!</v>
      </c>
      <c r="DC169" s="48" t="e">
        <f t="shared" ca="1" si="196"/>
        <v>#DIV/0!</v>
      </c>
      <c r="DD169" s="48" t="e">
        <f t="shared" ca="1" si="197"/>
        <v>#DIV/0!</v>
      </c>
      <c r="DE169" s="48" t="e">
        <f t="shared" ca="1" si="198"/>
        <v>#DIV/0!</v>
      </c>
      <c r="DF169" s="48" t="e">
        <f t="shared" ca="1" si="199"/>
        <v>#DIV/0!</v>
      </c>
      <c r="DG169" s="48" t="e">
        <f t="shared" ca="1" si="200"/>
        <v>#DIV/0!</v>
      </c>
      <c r="DH169" s="48">
        <f ca="1">SUMIF(FCR!$BZ$4:$DB$500,DG169,FCR!$DE$4:$EG$500)</f>
        <v>0</v>
      </c>
      <c r="DI169" s="48" t="e">
        <f t="shared" ca="1" si="201"/>
        <v>#DIV/0!</v>
      </c>
      <c r="DJ169" s="48">
        <f ca="1">SUMIF(FCR!$BZ$4:$DB$142,DI169,FCR!$DE$4:$EG$142)</f>
        <v>0</v>
      </c>
      <c r="DK169" s="48" t="e">
        <f t="shared" ca="1" si="202"/>
        <v>#DIV/0!</v>
      </c>
      <c r="DL169" s="55" t="e">
        <f t="shared" ca="1" si="203"/>
        <v>#DIV/0!</v>
      </c>
      <c r="DM169" s="48" t="e">
        <f t="shared" ca="1" si="204"/>
        <v>#DIV/0!</v>
      </c>
      <c r="DN169" s="48">
        <f ca="1">SUMIF(FCR!$BZ$4:$DB$142,DM169,FCR!$DE$4:$EG$142)</f>
        <v>0</v>
      </c>
      <c r="DO169" s="53" t="e">
        <f t="shared" ca="1" si="205"/>
        <v>#DIV/0!</v>
      </c>
      <c r="DP169" s="55" t="e">
        <f t="shared" ca="1" si="206"/>
        <v>#DIV/0!</v>
      </c>
      <c r="DQ169" s="55" t="e">
        <f t="shared" ca="1" si="207"/>
        <v>#DIV/0!</v>
      </c>
      <c r="DR169" s="55"/>
      <c r="DS169" s="55" t="e">
        <f t="shared" ca="1" si="208"/>
        <v>#DIV/0!</v>
      </c>
      <c r="DT169" s="55" t="e">
        <f t="shared" ca="1" si="209"/>
        <v>#DIV/0!</v>
      </c>
      <c r="DU169" s="53">
        <f t="shared" ca="1" si="210"/>
        <v>0</v>
      </c>
      <c r="DV169" s="59" t="e">
        <f t="shared" ca="1" si="211"/>
        <v>#DIV/0!</v>
      </c>
    </row>
    <row r="170" spans="1:126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AD170" s="49" t="s">
        <v>337</v>
      </c>
      <c r="AE170" s="49">
        <f t="shared" ca="1" si="157"/>
        <v>0</v>
      </c>
      <c r="AF170" s="49">
        <f t="shared" ca="1" si="158"/>
        <v>0</v>
      </c>
      <c r="AG170" s="114">
        <f t="shared" ca="1" si="159"/>
        <v>0</v>
      </c>
      <c r="AH170" s="104">
        <f t="shared" ca="1" si="160"/>
        <v>0</v>
      </c>
      <c r="AI170" s="104">
        <f t="shared" ca="1" si="161"/>
        <v>0</v>
      </c>
      <c r="AJ170" s="104">
        <f t="shared" ca="1" si="162"/>
        <v>0</v>
      </c>
      <c r="AK170" s="104">
        <f t="shared" ca="1" si="163"/>
        <v>0</v>
      </c>
      <c r="AL170" s="104">
        <f t="shared" ca="1" si="164"/>
        <v>0</v>
      </c>
      <c r="AM170" s="104">
        <f t="shared" ca="1" si="165"/>
        <v>0</v>
      </c>
      <c r="AN170" s="104">
        <f t="shared" ca="1" si="166"/>
        <v>0</v>
      </c>
      <c r="AO170" s="104">
        <f t="shared" ca="1" si="167"/>
        <v>0</v>
      </c>
      <c r="AP170" s="104">
        <f t="shared" ca="1" si="168"/>
        <v>0</v>
      </c>
      <c r="AQ170" s="49">
        <f t="shared" ca="1" si="169"/>
        <v>0</v>
      </c>
      <c r="AR170" s="104">
        <f t="shared" ca="1" si="170"/>
        <v>0</v>
      </c>
      <c r="AS170" s="104">
        <f t="shared" ca="1" si="171"/>
        <v>0</v>
      </c>
      <c r="AT170" s="104">
        <f t="shared" ca="1" si="172"/>
        <v>0</v>
      </c>
      <c r="AU170" s="104">
        <f t="shared" ca="1" si="173"/>
        <v>0</v>
      </c>
      <c r="BF170" s="49">
        <f t="shared" ca="1" si="174"/>
        <v>0</v>
      </c>
      <c r="BG170" s="49">
        <f t="shared" ca="1" si="175"/>
        <v>0</v>
      </c>
      <c r="BH170" s="54" t="e">
        <f t="shared" ca="1" si="176"/>
        <v>#DIV/0!</v>
      </c>
      <c r="BI170" s="112" t="e">
        <f t="shared" ca="1" si="177"/>
        <v>#DIV/0!</v>
      </c>
      <c r="BK170" s="55" t="e">
        <f t="shared" ca="1" si="178"/>
        <v>#DIV/0!</v>
      </c>
      <c r="BL170" s="55" t="e">
        <f t="shared" ca="1" si="179"/>
        <v>#DIV/0!</v>
      </c>
      <c r="BM170" s="55" t="e">
        <f t="shared" ca="1" si="180"/>
        <v>#DIV/0!</v>
      </c>
      <c r="BN170" s="53">
        <f t="shared" ca="1" si="181"/>
        <v>0</v>
      </c>
      <c r="BO170" s="112" t="e">
        <f t="shared" ca="1" si="182"/>
        <v>#DIV/0!</v>
      </c>
      <c r="BR170" s="53" t="e">
        <f t="shared" ca="1" si="183"/>
        <v>#DIV/0!</v>
      </c>
      <c r="BS170" s="53">
        <f t="shared" ca="1" si="184"/>
        <v>0</v>
      </c>
      <c r="BT170" s="53">
        <f t="shared" ca="1" si="185"/>
        <v>0</v>
      </c>
      <c r="BU170" s="56" t="e">
        <f t="shared" ca="1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ca="1" si="189"/>
        <v>0</v>
      </c>
      <c r="CW170" s="53">
        <f t="shared" ca="1" si="190"/>
        <v>0</v>
      </c>
      <c r="CX170" s="58" t="e">
        <f t="shared" ca="1" si="191"/>
        <v>#DIV/0!</v>
      </c>
      <c r="CY170" s="53">
        <f t="shared" ca="1" si="192"/>
        <v>0</v>
      </c>
      <c r="CZ170" s="53">
        <f t="shared" ca="1" si="193"/>
        <v>0</v>
      </c>
      <c r="DA170" s="58" t="e">
        <f t="shared" ca="1" si="194"/>
        <v>#DIV/0!</v>
      </c>
      <c r="DB170" s="48" t="e">
        <f t="shared" ca="1" si="195"/>
        <v>#DIV/0!</v>
      </c>
      <c r="DC170" s="48" t="e">
        <f t="shared" ca="1" si="196"/>
        <v>#DIV/0!</v>
      </c>
      <c r="DD170" s="48" t="e">
        <f t="shared" ca="1" si="197"/>
        <v>#DIV/0!</v>
      </c>
      <c r="DE170" s="48" t="e">
        <f t="shared" ca="1" si="198"/>
        <v>#DIV/0!</v>
      </c>
      <c r="DF170" s="48" t="e">
        <f t="shared" ca="1" si="199"/>
        <v>#DIV/0!</v>
      </c>
      <c r="DG170" s="48" t="e">
        <f t="shared" ca="1" si="200"/>
        <v>#DIV/0!</v>
      </c>
      <c r="DH170" s="48">
        <f ca="1">SUMIF(FCR!$BZ$4:$DB$500,DG170,FCR!$DE$4:$EG$500)</f>
        <v>0</v>
      </c>
      <c r="DI170" s="48" t="e">
        <f t="shared" ca="1" si="201"/>
        <v>#DIV/0!</v>
      </c>
      <c r="DJ170" s="48">
        <f ca="1">SUMIF(FCR!$BZ$4:$DB$142,DI170,FCR!$DE$4:$EG$142)</f>
        <v>0</v>
      </c>
      <c r="DK170" s="48" t="e">
        <f t="shared" ca="1" si="202"/>
        <v>#DIV/0!</v>
      </c>
      <c r="DL170" s="55" t="e">
        <f t="shared" ca="1" si="203"/>
        <v>#DIV/0!</v>
      </c>
      <c r="DM170" s="48" t="e">
        <f t="shared" ca="1" si="204"/>
        <v>#DIV/0!</v>
      </c>
      <c r="DN170" s="48">
        <f ca="1">SUMIF(FCR!$BZ$4:$DB$142,DM170,FCR!$DE$4:$EG$142)</f>
        <v>0</v>
      </c>
      <c r="DO170" s="53" t="e">
        <f t="shared" ca="1" si="205"/>
        <v>#DIV/0!</v>
      </c>
      <c r="DP170" s="55" t="e">
        <f t="shared" ca="1" si="206"/>
        <v>#DIV/0!</v>
      </c>
      <c r="DQ170" s="55" t="e">
        <f t="shared" ca="1" si="207"/>
        <v>#DIV/0!</v>
      </c>
      <c r="DR170" s="55"/>
      <c r="DS170" s="55" t="e">
        <f t="shared" ca="1" si="208"/>
        <v>#DIV/0!</v>
      </c>
      <c r="DT170" s="55" t="e">
        <f t="shared" ca="1" si="209"/>
        <v>#DIV/0!</v>
      </c>
      <c r="DU170" s="53">
        <f t="shared" ca="1" si="210"/>
        <v>0</v>
      </c>
      <c r="DV170" s="59" t="e">
        <f t="shared" ca="1" si="211"/>
        <v>#DIV/0!</v>
      </c>
    </row>
    <row r="171" spans="1:126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AD171" s="49" t="s">
        <v>337</v>
      </c>
      <c r="AE171" s="49">
        <f t="shared" ca="1" si="157"/>
        <v>0</v>
      </c>
      <c r="AF171" s="49">
        <f t="shared" ca="1" si="158"/>
        <v>0</v>
      </c>
      <c r="AG171" s="114">
        <f t="shared" ca="1" si="159"/>
        <v>0</v>
      </c>
      <c r="AH171" s="104">
        <f t="shared" ca="1" si="160"/>
        <v>0</v>
      </c>
      <c r="AI171" s="104">
        <f t="shared" ca="1" si="161"/>
        <v>0</v>
      </c>
      <c r="AJ171" s="104">
        <f t="shared" ca="1" si="162"/>
        <v>0</v>
      </c>
      <c r="AK171" s="104">
        <f t="shared" ca="1" si="163"/>
        <v>0</v>
      </c>
      <c r="AL171" s="104">
        <f t="shared" ca="1" si="164"/>
        <v>0</v>
      </c>
      <c r="AM171" s="104">
        <f t="shared" ca="1" si="165"/>
        <v>0</v>
      </c>
      <c r="AN171" s="104">
        <f t="shared" ca="1" si="166"/>
        <v>0</v>
      </c>
      <c r="AO171" s="104">
        <f t="shared" ca="1" si="167"/>
        <v>0</v>
      </c>
      <c r="AP171" s="104">
        <f t="shared" ca="1" si="168"/>
        <v>0</v>
      </c>
      <c r="AQ171" s="49">
        <f t="shared" ca="1" si="169"/>
        <v>0</v>
      </c>
      <c r="AR171" s="104">
        <f t="shared" ca="1" si="170"/>
        <v>0</v>
      </c>
      <c r="AS171" s="104">
        <f t="shared" ca="1" si="171"/>
        <v>0</v>
      </c>
      <c r="AT171" s="104">
        <f t="shared" ca="1" si="172"/>
        <v>0</v>
      </c>
      <c r="AU171" s="104">
        <f t="shared" ca="1" si="173"/>
        <v>0</v>
      </c>
      <c r="BF171" s="49">
        <f t="shared" ca="1" si="174"/>
        <v>0</v>
      </c>
      <c r="BG171" s="49">
        <f t="shared" ca="1" si="175"/>
        <v>0</v>
      </c>
      <c r="BH171" s="54" t="e">
        <f t="shared" ca="1" si="176"/>
        <v>#DIV/0!</v>
      </c>
      <c r="BI171" s="112" t="e">
        <f t="shared" ca="1" si="177"/>
        <v>#DIV/0!</v>
      </c>
      <c r="BK171" s="55" t="e">
        <f t="shared" ca="1" si="178"/>
        <v>#DIV/0!</v>
      </c>
      <c r="BL171" s="55" t="e">
        <f t="shared" ca="1" si="179"/>
        <v>#DIV/0!</v>
      </c>
      <c r="BM171" s="55" t="e">
        <f t="shared" ca="1" si="180"/>
        <v>#DIV/0!</v>
      </c>
      <c r="BN171" s="53">
        <f t="shared" ca="1" si="181"/>
        <v>0</v>
      </c>
      <c r="BO171" s="112" t="e">
        <f t="shared" ca="1" si="182"/>
        <v>#DIV/0!</v>
      </c>
      <c r="BR171" s="53" t="e">
        <f t="shared" ca="1" si="183"/>
        <v>#DIV/0!</v>
      </c>
      <c r="BS171" s="53">
        <f t="shared" ca="1" si="184"/>
        <v>0</v>
      </c>
      <c r="BT171" s="53">
        <f t="shared" ca="1" si="185"/>
        <v>0</v>
      </c>
      <c r="BU171" s="56" t="e">
        <f t="shared" ca="1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ca="1" si="189"/>
        <v>0</v>
      </c>
      <c r="CW171" s="53">
        <f t="shared" ca="1" si="190"/>
        <v>0</v>
      </c>
      <c r="CX171" s="58" t="e">
        <f t="shared" ca="1" si="191"/>
        <v>#DIV/0!</v>
      </c>
      <c r="CY171" s="53">
        <f t="shared" ca="1" si="192"/>
        <v>0</v>
      </c>
      <c r="CZ171" s="53">
        <f t="shared" ca="1" si="193"/>
        <v>0</v>
      </c>
      <c r="DA171" s="58" t="e">
        <f t="shared" ca="1" si="194"/>
        <v>#DIV/0!</v>
      </c>
      <c r="DB171" s="48" t="e">
        <f t="shared" ca="1" si="195"/>
        <v>#DIV/0!</v>
      </c>
      <c r="DC171" s="48" t="e">
        <f t="shared" ca="1" si="196"/>
        <v>#DIV/0!</v>
      </c>
      <c r="DD171" s="48" t="e">
        <f t="shared" ca="1" si="197"/>
        <v>#DIV/0!</v>
      </c>
      <c r="DE171" s="48" t="e">
        <f t="shared" ca="1" si="198"/>
        <v>#DIV/0!</v>
      </c>
      <c r="DF171" s="48" t="e">
        <f t="shared" ca="1" si="199"/>
        <v>#DIV/0!</v>
      </c>
      <c r="DG171" s="48" t="e">
        <f t="shared" ca="1" si="200"/>
        <v>#DIV/0!</v>
      </c>
      <c r="DH171" s="48">
        <f ca="1">SUMIF(FCR!$BZ$4:$DB$500,DG171,FCR!$DE$4:$EG$500)</f>
        <v>0</v>
      </c>
      <c r="DI171" s="48" t="e">
        <f t="shared" ca="1" si="201"/>
        <v>#DIV/0!</v>
      </c>
      <c r="DJ171" s="48">
        <f ca="1">SUMIF(FCR!$BZ$4:$DB$142,DI171,FCR!$DE$4:$EG$142)</f>
        <v>0</v>
      </c>
      <c r="DK171" s="48" t="e">
        <f t="shared" ca="1" si="202"/>
        <v>#DIV/0!</v>
      </c>
      <c r="DL171" s="55" t="e">
        <f t="shared" ca="1" si="203"/>
        <v>#DIV/0!</v>
      </c>
      <c r="DM171" s="48" t="e">
        <f t="shared" ca="1" si="204"/>
        <v>#DIV/0!</v>
      </c>
      <c r="DN171" s="48">
        <f ca="1">SUMIF(FCR!$BZ$4:$DB$142,DM171,FCR!$DE$4:$EG$142)</f>
        <v>0</v>
      </c>
      <c r="DO171" s="53" t="e">
        <f t="shared" ca="1" si="205"/>
        <v>#DIV/0!</v>
      </c>
      <c r="DP171" s="55" t="e">
        <f t="shared" ca="1" si="206"/>
        <v>#DIV/0!</v>
      </c>
      <c r="DQ171" s="55" t="e">
        <f t="shared" ca="1" si="207"/>
        <v>#DIV/0!</v>
      </c>
      <c r="DR171" s="55"/>
      <c r="DS171" s="55" t="e">
        <f t="shared" ca="1" si="208"/>
        <v>#DIV/0!</v>
      </c>
      <c r="DT171" s="55" t="e">
        <f t="shared" ca="1" si="209"/>
        <v>#DIV/0!</v>
      </c>
      <c r="DU171" s="53">
        <f t="shared" ca="1" si="210"/>
        <v>0</v>
      </c>
      <c r="DV171" s="59" t="e">
        <f t="shared" ca="1" si="211"/>
        <v>#DIV/0!</v>
      </c>
    </row>
    <row r="172" spans="1:126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AD172" s="49" t="s">
        <v>337</v>
      </c>
      <c r="AE172" s="49">
        <f t="shared" ca="1" si="157"/>
        <v>0</v>
      </c>
      <c r="AF172" s="49">
        <f t="shared" ca="1" si="158"/>
        <v>0</v>
      </c>
      <c r="AG172" s="114">
        <f t="shared" ca="1" si="159"/>
        <v>0</v>
      </c>
      <c r="AH172" s="104">
        <f t="shared" ca="1" si="160"/>
        <v>0</v>
      </c>
      <c r="AI172" s="104">
        <f t="shared" ca="1" si="161"/>
        <v>0</v>
      </c>
      <c r="AJ172" s="104">
        <f t="shared" ca="1" si="162"/>
        <v>0</v>
      </c>
      <c r="AK172" s="104">
        <f t="shared" ca="1" si="163"/>
        <v>0</v>
      </c>
      <c r="AL172" s="104">
        <f t="shared" ca="1" si="164"/>
        <v>0</v>
      </c>
      <c r="AM172" s="104">
        <f t="shared" ca="1" si="165"/>
        <v>0</v>
      </c>
      <c r="AN172" s="104">
        <f t="shared" ca="1" si="166"/>
        <v>0</v>
      </c>
      <c r="AO172" s="104">
        <f t="shared" ca="1" si="167"/>
        <v>0</v>
      </c>
      <c r="AP172" s="104">
        <f t="shared" ca="1" si="168"/>
        <v>0</v>
      </c>
      <c r="AQ172" s="49">
        <f t="shared" ca="1" si="169"/>
        <v>0</v>
      </c>
      <c r="AR172" s="104">
        <f t="shared" ca="1" si="170"/>
        <v>0</v>
      </c>
      <c r="AS172" s="104">
        <f t="shared" ca="1" si="171"/>
        <v>0</v>
      </c>
      <c r="AT172" s="104">
        <f t="shared" ca="1" si="172"/>
        <v>0</v>
      </c>
      <c r="AU172" s="104">
        <f t="shared" ca="1" si="173"/>
        <v>0</v>
      </c>
      <c r="BF172" s="49">
        <f t="shared" ca="1" si="174"/>
        <v>0</v>
      </c>
      <c r="BG172" s="49">
        <f t="shared" ca="1" si="175"/>
        <v>0</v>
      </c>
      <c r="BH172" s="54" t="e">
        <f t="shared" ca="1" si="176"/>
        <v>#DIV/0!</v>
      </c>
      <c r="BI172" s="112" t="e">
        <f t="shared" ca="1" si="177"/>
        <v>#DIV/0!</v>
      </c>
      <c r="BK172" s="55" t="e">
        <f t="shared" ca="1" si="178"/>
        <v>#DIV/0!</v>
      </c>
      <c r="BL172" s="55" t="e">
        <f t="shared" ca="1" si="179"/>
        <v>#DIV/0!</v>
      </c>
      <c r="BM172" s="55" t="e">
        <f t="shared" ca="1" si="180"/>
        <v>#DIV/0!</v>
      </c>
      <c r="BN172" s="53">
        <f t="shared" ca="1" si="181"/>
        <v>0</v>
      </c>
      <c r="BO172" s="112" t="e">
        <f t="shared" ca="1" si="182"/>
        <v>#DIV/0!</v>
      </c>
      <c r="BR172" s="53" t="e">
        <f t="shared" ca="1" si="183"/>
        <v>#DIV/0!</v>
      </c>
      <c r="BS172" s="53">
        <f t="shared" ca="1" si="184"/>
        <v>0</v>
      </c>
      <c r="BT172" s="53">
        <f t="shared" ca="1" si="185"/>
        <v>0</v>
      </c>
      <c r="BU172" s="56" t="e">
        <f t="shared" ca="1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ca="1" si="189"/>
        <v>0</v>
      </c>
      <c r="CW172" s="53">
        <f t="shared" ca="1" si="190"/>
        <v>0</v>
      </c>
      <c r="CX172" s="58" t="e">
        <f t="shared" ca="1" si="191"/>
        <v>#DIV/0!</v>
      </c>
      <c r="CY172" s="53">
        <f t="shared" ca="1" si="192"/>
        <v>0</v>
      </c>
      <c r="CZ172" s="53">
        <f t="shared" ca="1" si="193"/>
        <v>0</v>
      </c>
      <c r="DA172" s="58" t="e">
        <f t="shared" ca="1" si="194"/>
        <v>#DIV/0!</v>
      </c>
      <c r="DB172" s="48" t="e">
        <f t="shared" ca="1" si="195"/>
        <v>#DIV/0!</v>
      </c>
      <c r="DC172" s="48" t="e">
        <f t="shared" ca="1" si="196"/>
        <v>#DIV/0!</v>
      </c>
      <c r="DD172" s="48" t="e">
        <f t="shared" ca="1" si="197"/>
        <v>#DIV/0!</v>
      </c>
      <c r="DE172" s="48" t="e">
        <f t="shared" ca="1" si="198"/>
        <v>#DIV/0!</v>
      </c>
      <c r="DF172" s="48" t="e">
        <f t="shared" ca="1" si="199"/>
        <v>#DIV/0!</v>
      </c>
      <c r="DG172" s="48" t="e">
        <f t="shared" ca="1" si="200"/>
        <v>#DIV/0!</v>
      </c>
      <c r="DH172" s="48">
        <f ca="1">SUMIF(FCR!$BZ$4:$DB$500,DG172,FCR!$DE$4:$EG$500)</f>
        <v>0</v>
      </c>
      <c r="DI172" s="48" t="e">
        <f t="shared" ca="1" si="201"/>
        <v>#DIV/0!</v>
      </c>
      <c r="DJ172" s="48">
        <f ca="1">SUMIF(FCR!$BZ$4:$DB$142,DI172,FCR!$DE$4:$EG$142)</f>
        <v>0</v>
      </c>
      <c r="DK172" s="48" t="e">
        <f t="shared" ca="1" si="202"/>
        <v>#DIV/0!</v>
      </c>
      <c r="DL172" s="55" t="e">
        <f t="shared" ca="1" si="203"/>
        <v>#DIV/0!</v>
      </c>
      <c r="DM172" s="48" t="e">
        <f t="shared" ca="1" si="204"/>
        <v>#DIV/0!</v>
      </c>
      <c r="DN172" s="48">
        <f ca="1">SUMIF(FCR!$BZ$4:$DB$142,DM172,FCR!$DE$4:$EG$142)</f>
        <v>0</v>
      </c>
      <c r="DO172" s="53" t="e">
        <f t="shared" ca="1" si="205"/>
        <v>#DIV/0!</v>
      </c>
      <c r="DP172" s="55" t="e">
        <f t="shared" ca="1" si="206"/>
        <v>#DIV/0!</v>
      </c>
      <c r="DQ172" s="55" t="e">
        <f t="shared" ca="1" si="207"/>
        <v>#DIV/0!</v>
      </c>
      <c r="DR172" s="55"/>
      <c r="DS172" s="55" t="e">
        <f t="shared" ca="1" si="208"/>
        <v>#DIV/0!</v>
      </c>
      <c r="DT172" s="55" t="e">
        <f t="shared" ca="1" si="209"/>
        <v>#DIV/0!</v>
      </c>
      <c r="DU172" s="53">
        <f t="shared" ca="1" si="210"/>
        <v>0</v>
      </c>
      <c r="DV172" s="59" t="e">
        <f t="shared" ca="1" si="211"/>
        <v>#DIV/0!</v>
      </c>
    </row>
    <row r="173" spans="1:126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AD173" s="49" t="s">
        <v>337</v>
      </c>
      <c r="AE173" s="49">
        <f t="shared" ca="1" si="157"/>
        <v>0</v>
      </c>
      <c r="AF173" s="49">
        <f t="shared" ca="1" si="158"/>
        <v>0</v>
      </c>
      <c r="AG173" s="114">
        <f t="shared" ca="1" si="159"/>
        <v>0</v>
      </c>
      <c r="AH173" s="104">
        <f t="shared" ca="1" si="160"/>
        <v>0</v>
      </c>
      <c r="AI173" s="104">
        <f t="shared" ca="1" si="161"/>
        <v>0</v>
      </c>
      <c r="AJ173" s="104">
        <f t="shared" ca="1" si="162"/>
        <v>0</v>
      </c>
      <c r="AK173" s="104">
        <f t="shared" ca="1" si="163"/>
        <v>0</v>
      </c>
      <c r="AL173" s="104">
        <f t="shared" ca="1" si="164"/>
        <v>0</v>
      </c>
      <c r="AM173" s="104">
        <f t="shared" ca="1" si="165"/>
        <v>0</v>
      </c>
      <c r="AN173" s="104">
        <f t="shared" ca="1" si="166"/>
        <v>0</v>
      </c>
      <c r="AO173" s="104">
        <f t="shared" ca="1" si="167"/>
        <v>0</v>
      </c>
      <c r="AP173" s="104">
        <f t="shared" ca="1" si="168"/>
        <v>0</v>
      </c>
      <c r="AQ173" s="49">
        <f t="shared" ca="1" si="169"/>
        <v>0</v>
      </c>
      <c r="AR173" s="104">
        <f t="shared" ca="1" si="170"/>
        <v>0</v>
      </c>
      <c r="AS173" s="104">
        <f t="shared" ca="1" si="171"/>
        <v>0</v>
      </c>
      <c r="AT173" s="104">
        <f t="shared" ca="1" si="172"/>
        <v>0</v>
      </c>
      <c r="AU173" s="104">
        <f t="shared" ca="1" si="173"/>
        <v>0</v>
      </c>
      <c r="BF173" s="49">
        <f t="shared" ca="1" si="174"/>
        <v>0</v>
      </c>
      <c r="BG173" s="49">
        <f t="shared" ca="1" si="175"/>
        <v>0</v>
      </c>
      <c r="BH173" s="54" t="e">
        <f t="shared" ca="1" si="176"/>
        <v>#DIV/0!</v>
      </c>
      <c r="BI173" s="112" t="e">
        <f t="shared" ca="1" si="177"/>
        <v>#DIV/0!</v>
      </c>
      <c r="BK173" s="55" t="e">
        <f t="shared" ca="1" si="178"/>
        <v>#DIV/0!</v>
      </c>
      <c r="BL173" s="55" t="e">
        <f t="shared" ca="1" si="179"/>
        <v>#DIV/0!</v>
      </c>
      <c r="BM173" s="55" t="e">
        <f t="shared" ca="1" si="180"/>
        <v>#DIV/0!</v>
      </c>
      <c r="BN173" s="53">
        <f t="shared" ca="1" si="181"/>
        <v>0</v>
      </c>
      <c r="BO173" s="112" t="e">
        <f t="shared" ca="1" si="182"/>
        <v>#DIV/0!</v>
      </c>
      <c r="BR173" s="53" t="e">
        <f t="shared" ca="1" si="183"/>
        <v>#DIV/0!</v>
      </c>
      <c r="BS173" s="53">
        <f t="shared" ca="1" si="184"/>
        <v>0</v>
      </c>
      <c r="BT173" s="53">
        <f t="shared" ca="1" si="185"/>
        <v>0</v>
      </c>
      <c r="BU173" s="56" t="e">
        <f t="shared" ca="1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ca="1" si="189"/>
        <v>0</v>
      </c>
      <c r="CW173" s="53">
        <f t="shared" ca="1" si="190"/>
        <v>0</v>
      </c>
      <c r="CX173" s="58" t="e">
        <f t="shared" ca="1" si="191"/>
        <v>#DIV/0!</v>
      </c>
      <c r="CY173" s="53">
        <f t="shared" ca="1" si="192"/>
        <v>0</v>
      </c>
      <c r="CZ173" s="53">
        <f t="shared" ca="1" si="193"/>
        <v>0</v>
      </c>
      <c r="DA173" s="58" t="e">
        <f t="shared" ca="1" si="194"/>
        <v>#DIV/0!</v>
      </c>
      <c r="DB173" s="48" t="e">
        <f t="shared" ca="1" si="195"/>
        <v>#DIV/0!</v>
      </c>
      <c r="DC173" s="48" t="e">
        <f t="shared" ca="1" si="196"/>
        <v>#DIV/0!</v>
      </c>
      <c r="DD173" s="48" t="e">
        <f t="shared" ca="1" si="197"/>
        <v>#DIV/0!</v>
      </c>
      <c r="DE173" s="48" t="e">
        <f t="shared" ca="1" si="198"/>
        <v>#DIV/0!</v>
      </c>
      <c r="DF173" s="48" t="e">
        <f t="shared" ca="1" si="199"/>
        <v>#DIV/0!</v>
      </c>
      <c r="DG173" s="48" t="e">
        <f t="shared" ca="1" si="200"/>
        <v>#DIV/0!</v>
      </c>
      <c r="DH173" s="48">
        <f ca="1">SUMIF(FCR!$BZ$4:$DB$500,DG173,FCR!$DE$4:$EG$500)</f>
        <v>0</v>
      </c>
      <c r="DI173" s="48" t="e">
        <f t="shared" ca="1" si="201"/>
        <v>#DIV/0!</v>
      </c>
      <c r="DJ173" s="48">
        <f ca="1">SUMIF(FCR!$BZ$4:$DB$142,DI173,FCR!$DE$4:$EG$142)</f>
        <v>0</v>
      </c>
      <c r="DK173" s="48" t="e">
        <f t="shared" ca="1" si="202"/>
        <v>#DIV/0!</v>
      </c>
      <c r="DL173" s="55" t="e">
        <f t="shared" ca="1" si="203"/>
        <v>#DIV/0!</v>
      </c>
      <c r="DM173" s="48" t="e">
        <f t="shared" ca="1" si="204"/>
        <v>#DIV/0!</v>
      </c>
      <c r="DN173" s="48">
        <f ca="1">SUMIF(FCR!$BZ$4:$DB$142,DM173,FCR!$DE$4:$EG$142)</f>
        <v>0</v>
      </c>
      <c r="DO173" s="53" t="e">
        <f t="shared" ca="1" si="205"/>
        <v>#DIV/0!</v>
      </c>
      <c r="DP173" s="55" t="e">
        <f t="shared" ca="1" si="206"/>
        <v>#DIV/0!</v>
      </c>
      <c r="DQ173" s="55" t="e">
        <f t="shared" ca="1" si="207"/>
        <v>#DIV/0!</v>
      </c>
      <c r="DR173" s="55"/>
      <c r="DS173" s="55" t="e">
        <f t="shared" ca="1" si="208"/>
        <v>#DIV/0!</v>
      </c>
      <c r="DT173" s="55" t="e">
        <f t="shared" ca="1" si="209"/>
        <v>#DIV/0!</v>
      </c>
      <c r="DU173" s="53">
        <f t="shared" ca="1" si="210"/>
        <v>0</v>
      </c>
      <c r="DV173" s="59" t="e">
        <f t="shared" ca="1" si="211"/>
        <v>#DIV/0!</v>
      </c>
    </row>
    <row r="174" spans="1:126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AD174" s="49" t="s">
        <v>337</v>
      </c>
      <c r="AE174" s="49">
        <f t="shared" ca="1" si="157"/>
        <v>0</v>
      </c>
      <c r="AF174" s="49">
        <f t="shared" ca="1" si="158"/>
        <v>0</v>
      </c>
      <c r="AG174" s="114">
        <f t="shared" ca="1" si="159"/>
        <v>0</v>
      </c>
      <c r="AH174" s="104">
        <f t="shared" ca="1" si="160"/>
        <v>0</v>
      </c>
      <c r="AI174" s="104">
        <f t="shared" ca="1" si="161"/>
        <v>0</v>
      </c>
      <c r="AJ174" s="104">
        <f t="shared" ca="1" si="162"/>
        <v>0</v>
      </c>
      <c r="AK174" s="104">
        <f t="shared" ca="1" si="163"/>
        <v>0</v>
      </c>
      <c r="AL174" s="104">
        <f t="shared" ca="1" si="164"/>
        <v>0</v>
      </c>
      <c r="AM174" s="104">
        <f t="shared" ca="1" si="165"/>
        <v>0</v>
      </c>
      <c r="AN174" s="104">
        <f t="shared" ca="1" si="166"/>
        <v>0</v>
      </c>
      <c r="AO174" s="104">
        <f t="shared" ca="1" si="167"/>
        <v>0</v>
      </c>
      <c r="AP174" s="104">
        <f t="shared" ca="1" si="168"/>
        <v>0</v>
      </c>
      <c r="AQ174" s="49">
        <f t="shared" ca="1" si="169"/>
        <v>0</v>
      </c>
      <c r="AR174" s="104">
        <f t="shared" ca="1" si="170"/>
        <v>0</v>
      </c>
      <c r="AS174" s="104">
        <f t="shared" ca="1" si="171"/>
        <v>0</v>
      </c>
      <c r="AT174" s="104">
        <f t="shared" ca="1" si="172"/>
        <v>0</v>
      </c>
      <c r="AU174" s="104">
        <f t="shared" ca="1" si="173"/>
        <v>0</v>
      </c>
      <c r="BF174" s="49">
        <f t="shared" ca="1" si="174"/>
        <v>0</v>
      </c>
      <c r="BG174" s="49">
        <f t="shared" ca="1" si="175"/>
        <v>0</v>
      </c>
      <c r="BH174" s="54" t="e">
        <f t="shared" ca="1" si="176"/>
        <v>#DIV/0!</v>
      </c>
      <c r="BI174" s="112" t="e">
        <f t="shared" ca="1" si="177"/>
        <v>#DIV/0!</v>
      </c>
      <c r="BK174" s="55" t="e">
        <f t="shared" ca="1" si="178"/>
        <v>#DIV/0!</v>
      </c>
      <c r="BL174" s="55" t="e">
        <f t="shared" ca="1" si="179"/>
        <v>#DIV/0!</v>
      </c>
      <c r="BM174" s="55" t="e">
        <f t="shared" ca="1" si="180"/>
        <v>#DIV/0!</v>
      </c>
      <c r="BN174" s="53">
        <f t="shared" ca="1" si="181"/>
        <v>0</v>
      </c>
      <c r="BO174" s="112" t="e">
        <f t="shared" ca="1" si="182"/>
        <v>#DIV/0!</v>
      </c>
      <c r="BR174" s="53" t="e">
        <f t="shared" ca="1" si="183"/>
        <v>#DIV/0!</v>
      </c>
      <c r="BS174" s="53">
        <f t="shared" ca="1" si="184"/>
        <v>0</v>
      </c>
      <c r="BT174" s="53">
        <f t="shared" ca="1" si="185"/>
        <v>0</v>
      </c>
      <c r="BU174" s="56" t="e">
        <f t="shared" ca="1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ca="1" si="189"/>
        <v>0</v>
      </c>
      <c r="CW174" s="53">
        <f t="shared" ca="1" si="190"/>
        <v>0</v>
      </c>
      <c r="CX174" s="58" t="e">
        <f t="shared" ca="1" si="191"/>
        <v>#DIV/0!</v>
      </c>
      <c r="CY174" s="53">
        <f t="shared" ca="1" si="192"/>
        <v>0</v>
      </c>
      <c r="CZ174" s="53">
        <f t="shared" ca="1" si="193"/>
        <v>0</v>
      </c>
      <c r="DA174" s="58" t="e">
        <f t="shared" ca="1" si="194"/>
        <v>#DIV/0!</v>
      </c>
      <c r="DB174" s="48" t="e">
        <f t="shared" ca="1" si="195"/>
        <v>#DIV/0!</v>
      </c>
      <c r="DC174" s="48" t="e">
        <f t="shared" ca="1" si="196"/>
        <v>#DIV/0!</v>
      </c>
      <c r="DD174" s="48" t="e">
        <f t="shared" ca="1" si="197"/>
        <v>#DIV/0!</v>
      </c>
      <c r="DE174" s="48" t="e">
        <f t="shared" ca="1" si="198"/>
        <v>#DIV/0!</v>
      </c>
      <c r="DF174" s="48" t="e">
        <f t="shared" ca="1" si="199"/>
        <v>#DIV/0!</v>
      </c>
      <c r="DG174" s="48" t="e">
        <f t="shared" ca="1" si="200"/>
        <v>#DIV/0!</v>
      </c>
      <c r="DH174" s="48">
        <f ca="1">SUMIF(FCR!$BZ$4:$DB$500,DG174,FCR!$DE$4:$EG$500)</f>
        <v>0</v>
      </c>
      <c r="DI174" s="48" t="e">
        <f t="shared" ca="1" si="201"/>
        <v>#DIV/0!</v>
      </c>
      <c r="DJ174" s="48">
        <f ca="1">SUMIF(FCR!$BZ$4:$DB$142,DI174,FCR!$DE$4:$EG$142)</f>
        <v>0</v>
      </c>
      <c r="DK174" s="48" t="e">
        <f t="shared" ca="1" si="202"/>
        <v>#DIV/0!</v>
      </c>
      <c r="DL174" s="55" t="e">
        <f t="shared" ca="1" si="203"/>
        <v>#DIV/0!</v>
      </c>
      <c r="DM174" s="48" t="e">
        <f t="shared" ca="1" si="204"/>
        <v>#DIV/0!</v>
      </c>
      <c r="DN174" s="48">
        <f ca="1">SUMIF(FCR!$BZ$4:$DB$142,DM174,FCR!$DE$4:$EG$142)</f>
        <v>0</v>
      </c>
      <c r="DO174" s="53" t="e">
        <f t="shared" ca="1" si="205"/>
        <v>#DIV/0!</v>
      </c>
      <c r="DP174" s="55" t="e">
        <f t="shared" ca="1" si="206"/>
        <v>#DIV/0!</v>
      </c>
      <c r="DQ174" s="55" t="e">
        <f t="shared" ca="1" si="207"/>
        <v>#DIV/0!</v>
      </c>
      <c r="DR174" s="55"/>
      <c r="DS174" s="55" t="e">
        <f t="shared" ca="1" si="208"/>
        <v>#DIV/0!</v>
      </c>
      <c r="DT174" s="55" t="e">
        <f t="shared" ca="1" si="209"/>
        <v>#DIV/0!</v>
      </c>
      <c r="DU174" s="53">
        <f t="shared" ca="1" si="210"/>
        <v>0</v>
      </c>
      <c r="DV174" s="59" t="e">
        <f t="shared" ca="1" si="211"/>
        <v>#DIV/0!</v>
      </c>
    </row>
    <row r="175" spans="1:126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AD175" s="49" t="s">
        <v>337</v>
      </c>
      <c r="AE175" s="49">
        <f t="shared" ca="1" si="157"/>
        <v>0</v>
      </c>
      <c r="AF175" s="49">
        <f t="shared" ca="1" si="158"/>
        <v>0</v>
      </c>
      <c r="AG175" s="114">
        <f t="shared" ca="1" si="159"/>
        <v>0</v>
      </c>
      <c r="AH175" s="104">
        <f t="shared" ca="1" si="160"/>
        <v>0</v>
      </c>
      <c r="AI175" s="104">
        <f t="shared" ca="1" si="161"/>
        <v>0</v>
      </c>
      <c r="AJ175" s="104">
        <f t="shared" ca="1" si="162"/>
        <v>0</v>
      </c>
      <c r="AK175" s="104">
        <f t="shared" ca="1" si="163"/>
        <v>0</v>
      </c>
      <c r="AL175" s="104">
        <f t="shared" ca="1" si="164"/>
        <v>0</v>
      </c>
      <c r="AM175" s="104">
        <f t="shared" ca="1" si="165"/>
        <v>0</v>
      </c>
      <c r="AN175" s="104">
        <f t="shared" ca="1" si="166"/>
        <v>0</v>
      </c>
      <c r="AO175" s="104">
        <f t="shared" ca="1" si="167"/>
        <v>0</v>
      </c>
      <c r="AP175" s="104">
        <f t="shared" ca="1" si="168"/>
        <v>0</v>
      </c>
      <c r="AQ175" s="49">
        <f t="shared" ca="1" si="169"/>
        <v>0</v>
      </c>
      <c r="AR175" s="104">
        <f t="shared" ca="1" si="170"/>
        <v>0</v>
      </c>
      <c r="AS175" s="104">
        <f t="shared" ca="1" si="171"/>
        <v>0</v>
      </c>
      <c r="AT175" s="104">
        <f t="shared" ca="1" si="172"/>
        <v>0</v>
      </c>
      <c r="AU175" s="104">
        <f t="shared" ca="1" si="173"/>
        <v>0</v>
      </c>
      <c r="BF175" s="49">
        <f t="shared" ca="1" si="174"/>
        <v>0</v>
      </c>
      <c r="BG175" s="49">
        <f t="shared" ca="1" si="175"/>
        <v>0</v>
      </c>
      <c r="BH175" s="54" t="e">
        <f t="shared" ca="1" si="176"/>
        <v>#DIV/0!</v>
      </c>
      <c r="BI175" s="112" t="e">
        <f t="shared" ca="1" si="177"/>
        <v>#DIV/0!</v>
      </c>
      <c r="BK175" s="55" t="e">
        <f t="shared" ca="1" si="178"/>
        <v>#DIV/0!</v>
      </c>
      <c r="BL175" s="55" t="e">
        <f t="shared" ca="1" si="179"/>
        <v>#DIV/0!</v>
      </c>
      <c r="BM175" s="55" t="e">
        <f t="shared" ca="1" si="180"/>
        <v>#DIV/0!</v>
      </c>
      <c r="BN175" s="53">
        <f t="shared" ca="1" si="181"/>
        <v>0</v>
      </c>
      <c r="BO175" s="112" t="e">
        <f t="shared" ca="1" si="182"/>
        <v>#DIV/0!</v>
      </c>
      <c r="BR175" s="53" t="e">
        <f t="shared" ca="1" si="183"/>
        <v>#DIV/0!</v>
      </c>
      <c r="BS175" s="53">
        <f t="shared" ca="1" si="184"/>
        <v>0</v>
      </c>
      <c r="BT175" s="53">
        <f t="shared" ca="1" si="185"/>
        <v>0</v>
      </c>
      <c r="BU175" s="56" t="e">
        <f t="shared" ca="1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ca="1" si="189"/>
        <v>0</v>
      </c>
      <c r="CW175" s="53">
        <f t="shared" ca="1" si="190"/>
        <v>0</v>
      </c>
      <c r="CX175" s="58" t="e">
        <f t="shared" ca="1" si="191"/>
        <v>#DIV/0!</v>
      </c>
      <c r="CY175" s="53">
        <f t="shared" ca="1" si="192"/>
        <v>0</v>
      </c>
      <c r="CZ175" s="53">
        <f t="shared" ca="1" si="193"/>
        <v>0</v>
      </c>
      <c r="DA175" s="58" t="e">
        <f t="shared" ca="1" si="194"/>
        <v>#DIV/0!</v>
      </c>
      <c r="DB175" s="48" t="e">
        <f t="shared" ca="1" si="195"/>
        <v>#DIV/0!</v>
      </c>
      <c r="DC175" s="48" t="e">
        <f t="shared" ca="1" si="196"/>
        <v>#DIV/0!</v>
      </c>
      <c r="DD175" s="48" t="e">
        <f t="shared" ca="1" si="197"/>
        <v>#DIV/0!</v>
      </c>
      <c r="DE175" s="48" t="e">
        <f t="shared" ca="1" si="198"/>
        <v>#DIV/0!</v>
      </c>
      <c r="DF175" s="48" t="e">
        <f t="shared" ca="1" si="199"/>
        <v>#DIV/0!</v>
      </c>
      <c r="DG175" s="48" t="e">
        <f t="shared" ca="1" si="200"/>
        <v>#DIV/0!</v>
      </c>
      <c r="DH175" s="48">
        <f ca="1">SUMIF(FCR!$BZ$4:$DB$500,DG175,FCR!$DE$4:$EG$500)</f>
        <v>0</v>
      </c>
      <c r="DI175" s="48" t="e">
        <f t="shared" ca="1" si="201"/>
        <v>#DIV/0!</v>
      </c>
      <c r="DJ175" s="48">
        <f ca="1">SUMIF(FCR!$BZ$4:$DB$142,DI175,FCR!$DE$4:$EG$142)</f>
        <v>0</v>
      </c>
      <c r="DK175" s="48" t="e">
        <f t="shared" ca="1" si="202"/>
        <v>#DIV/0!</v>
      </c>
      <c r="DL175" s="55" t="e">
        <f t="shared" ca="1" si="203"/>
        <v>#DIV/0!</v>
      </c>
      <c r="DM175" s="48" t="e">
        <f t="shared" ca="1" si="204"/>
        <v>#DIV/0!</v>
      </c>
      <c r="DN175" s="48">
        <f ca="1">SUMIF(FCR!$BZ$4:$DB$142,DM175,FCR!$DE$4:$EG$142)</f>
        <v>0</v>
      </c>
      <c r="DO175" s="53" t="e">
        <f t="shared" ca="1" si="205"/>
        <v>#DIV/0!</v>
      </c>
      <c r="DP175" s="55" t="e">
        <f t="shared" ca="1" si="206"/>
        <v>#DIV/0!</v>
      </c>
      <c r="DQ175" s="55" t="e">
        <f t="shared" ca="1" si="207"/>
        <v>#DIV/0!</v>
      </c>
      <c r="DR175" s="55"/>
      <c r="DS175" s="55" t="e">
        <f t="shared" ca="1" si="208"/>
        <v>#DIV/0!</v>
      </c>
      <c r="DT175" s="55" t="e">
        <f t="shared" ca="1" si="209"/>
        <v>#DIV/0!</v>
      </c>
      <c r="DU175" s="53">
        <f t="shared" ca="1" si="210"/>
        <v>0</v>
      </c>
      <c r="DV175" s="59" t="e">
        <f t="shared" ca="1" si="211"/>
        <v>#DIV/0!</v>
      </c>
    </row>
    <row r="176" spans="1:126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AD176" s="49" t="s">
        <v>337</v>
      </c>
      <c r="AE176" s="49">
        <f t="shared" ca="1" si="157"/>
        <v>0</v>
      </c>
      <c r="AF176" s="49">
        <f t="shared" ca="1" si="158"/>
        <v>0</v>
      </c>
      <c r="AG176" s="114">
        <f t="shared" ca="1" si="159"/>
        <v>0</v>
      </c>
      <c r="AH176" s="104">
        <f t="shared" ca="1" si="160"/>
        <v>0</v>
      </c>
      <c r="AI176" s="104">
        <f t="shared" ca="1" si="161"/>
        <v>0</v>
      </c>
      <c r="AJ176" s="104">
        <f t="shared" ca="1" si="162"/>
        <v>0</v>
      </c>
      <c r="AK176" s="104">
        <f t="shared" ca="1" si="163"/>
        <v>0</v>
      </c>
      <c r="AL176" s="104">
        <f t="shared" ca="1" si="164"/>
        <v>0</v>
      </c>
      <c r="AM176" s="104">
        <f t="shared" ca="1" si="165"/>
        <v>0</v>
      </c>
      <c r="AN176" s="104">
        <f t="shared" ca="1" si="166"/>
        <v>0</v>
      </c>
      <c r="AO176" s="104">
        <f t="shared" ca="1" si="167"/>
        <v>0</v>
      </c>
      <c r="AP176" s="104">
        <f t="shared" ca="1" si="168"/>
        <v>0</v>
      </c>
      <c r="AQ176" s="49">
        <f t="shared" ca="1" si="169"/>
        <v>0</v>
      </c>
      <c r="AR176" s="104">
        <f t="shared" ca="1" si="170"/>
        <v>0</v>
      </c>
      <c r="AS176" s="104">
        <f t="shared" ca="1" si="171"/>
        <v>0</v>
      </c>
      <c r="AT176" s="104">
        <f t="shared" ca="1" si="172"/>
        <v>0</v>
      </c>
      <c r="AU176" s="104">
        <f t="shared" ca="1" si="173"/>
        <v>0</v>
      </c>
      <c r="BF176" s="49">
        <f t="shared" ca="1" si="174"/>
        <v>0</v>
      </c>
      <c r="BG176" s="49">
        <f t="shared" ca="1" si="175"/>
        <v>0</v>
      </c>
      <c r="BH176" s="54" t="e">
        <f t="shared" ca="1" si="176"/>
        <v>#DIV/0!</v>
      </c>
      <c r="BI176" s="112" t="e">
        <f t="shared" ca="1" si="177"/>
        <v>#DIV/0!</v>
      </c>
      <c r="BK176" s="55" t="e">
        <f t="shared" ca="1" si="178"/>
        <v>#DIV/0!</v>
      </c>
      <c r="BL176" s="55" t="e">
        <f t="shared" ca="1" si="179"/>
        <v>#DIV/0!</v>
      </c>
      <c r="BM176" s="55" t="e">
        <f t="shared" ca="1" si="180"/>
        <v>#DIV/0!</v>
      </c>
      <c r="BN176" s="53">
        <f t="shared" ca="1" si="181"/>
        <v>0</v>
      </c>
      <c r="BO176" s="112" t="e">
        <f t="shared" ca="1" si="182"/>
        <v>#DIV/0!</v>
      </c>
      <c r="BR176" s="53" t="e">
        <f t="shared" ca="1" si="183"/>
        <v>#DIV/0!</v>
      </c>
      <c r="BS176" s="53">
        <f t="shared" ca="1" si="184"/>
        <v>0</v>
      </c>
      <c r="BT176" s="53">
        <f t="shared" ca="1" si="185"/>
        <v>0</v>
      </c>
      <c r="BU176" s="56" t="e">
        <f t="shared" ca="1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ca="1" si="189"/>
        <v>0</v>
      </c>
      <c r="CW176" s="53">
        <f t="shared" ca="1" si="190"/>
        <v>0</v>
      </c>
      <c r="CX176" s="58" t="e">
        <f t="shared" ca="1" si="191"/>
        <v>#DIV/0!</v>
      </c>
      <c r="CY176" s="53">
        <f t="shared" ca="1" si="192"/>
        <v>0</v>
      </c>
      <c r="CZ176" s="53">
        <f t="shared" ca="1" si="193"/>
        <v>0</v>
      </c>
      <c r="DA176" s="58" t="e">
        <f t="shared" ca="1" si="194"/>
        <v>#DIV/0!</v>
      </c>
      <c r="DB176" s="48" t="e">
        <f t="shared" ca="1" si="195"/>
        <v>#DIV/0!</v>
      </c>
      <c r="DC176" s="48" t="e">
        <f t="shared" ca="1" si="196"/>
        <v>#DIV/0!</v>
      </c>
      <c r="DD176" s="48" t="e">
        <f t="shared" ca="1" si="197"/>
        <v>#DIV/0!</v>
      </c>
      <c r="DE176" s="48" t="e">
        <f t="shared" ca="1" si="198"/>
        <v>#DIV/0!</v>
      </c>
      <c r="DF176" s="48" t="e">
        <f t="shared" ca="1" si="199"/>
        <v>#DIV/0!</v>
      </c>
      <c r="DG176" s="48" t="e">
        <f t="shared" ca="1" si="200"/>
        <v>#DIV/0!</v>
      </c>
      <c r="DH176" s="48">
        <f ca="1">SUMIF(FCR!$BZ$4:$DB$500,DG176,FCR!$DE$4:$EG$500)</f>
        <v>0</v>
      </c>
      <c r="DI176" s="48" t="e">
        <f t="shared" ca="1" si="201"/>
        <v>#DIV/0!</v>
      </c>
      <c r="DJ176" s="48">
        <f ca="1">SUMIF(FCR!$BZ$4:$DB$142,DI176,FCR!$DE$4:$EG$142)</f>
        <v>0</v>
      </c>
      <c r="DK176" s="48" t="e">
        <f t="shared" ca="1" si="202"/>
        <v>#DIV/0!</v>
      </c>
      <c r="DL176" s="55" t="e">
        <f t="shared" ca="1" si="203"/>
        <v>#DIV/0!</v>
      </c>
      <c r="DM176" s="48" t="e">
        <f t="shared" ca="1" si="204"/>
        <v>#DIV/0!</v>
      </c>
      <c r="DN176" s="48">
        <f ca="1">SUMIF(FCR!$BZ$4:$DB$142,DM176,FCR!$DE$4:$EG$142)</f>
        <v>0</v>
      </c>
      <c r="DO176" s="53" t="e">
        <f t="shared" ca="1" si="205"/>
        <v>#DIV/0!</v>
      </c>
      <c r="DP176" s="55" t="e">
        <f t="shared" ca="1" si="206"/>
        <v>#DIV/0!</v>
      </c>
      <c r="DQ176" s="55" t="e">
        <f t="shared" ca="1" si="207"/>
        <v>#DIV/0!</v>
      </c>
      <c r="DR176" s="55"/>
      <c r="DS176" s="55" t="e">
        <f t="shared" ca="1" si="208"/>
        <v>#DIV/0!</v>
      </c>
      <c r="DT176" s="55" t="e">
        <f t="shared" ca="1" si="209"/>
        <v>#DIV/0!</v>
      </c>
      <c r="DU176" s="53">
        <f t="shared" ca="1" si="210"/>
        <v>0</v>
      </c>
      <c r="DV176" s="59" t="e">
        <f t="shared" ca="1" si="211"/>
        <v>#DIV/0!</v>
      </c>
    </row>
    <row r="177" spans="1:126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AD177" s="49" t="s">
        <v>337</v>
      </c>
      <c r="AE177" s="49">
        <f t="shared" ca="1" si="157"/>
        <v>0</v>
      </c>
      <c r="AF177" s="49">
        <f t="shared" ca="1" si="158"/>
        <v>0</v>
      </c>
      <c r="AG177" s="114">
        <f t="shared" ca="1" si="159"/>
        <v>0</v>
      </c>
      <c r="AH177" s="104">
        <f t="shared" ca="1" si="160"/>
        <v>0</v>
      </c>
      <c r="AI177" s="104">
        <f t="shared" ca="1" si="161"/>
        <v>0</v>
      </c>
      <c r="AJ177" s="104">
        <f t="shared" ca="1" si="162"/>
        <v>0</v>
      </c>
      <c r="AK177" s="104">
        <f t="shared" ca="1" si="163"/>
        <v>0</v>
      </c>
      <c r="AL177" s="104">
        <f t="shared" ca="1" si="164"/>
        <v>0</v>
      </c>
      <c r="AM177" s="104">
        <f t="shared" ca="1" si="165"/>
        <v>0</v>
      </c>
      <c r="AN177" s="104">
        <f t="shared" ca="1" si="166"/>
        <v>0</v>
      </c>
      <c r="AO177" s="104">
        <f t="shared" ca="1" si="167"/>
        <v>0</v>
      </c>
      <c r="AP177" s="104">
        <f t="shared" ca="1" si="168"/>
        <v>0</v>
      </c>
      <c r="AQ177" s="49">
        <f t="shared" ca="1" si="169"/>
        <v>0</v>
      </c>
      <c r="AR177" s="104">
        <f t="shared" ca="1" si="170"/>
        <v>0</v>
      </c>
      <c r="AS177" s="104">
        <f t="shared" ca="1" si="171"/>
        <v>0</v>
      </c>
      <c r="AT177" s="104">
        <f t="shared" ca="1" si="172"/>
        <v>0</v>
      </c>
      <c r="AU177" s="104">
        <f t="shared" ca="1" si="173"/>
        <v>0</v>
      </c>
      <c r="BF177" s="49">
        <f t="shared" ca="1" si="174"/>
        <v>0</v>
      </c>
      <c r="BG177" s="49">
        <f t="shared" ca="1" si="175"/>
        <v>0</v>
      </c>
      <c r="BH177" s="54" t="e">
        <f t="shared" ca="1" si="176"/>
        <v>#DIV/0!</v>
      </c>
      <c r="BI177" s="112" t="e">
        <f t="shared" ca="1" si="177"/>
        <v>#DIV/0!</v>
      </c>
      <c r="BK177" s="55" t="e">
        <f t="shared" ca="1" si="178"/>
        <v>#DIV/0!</v>
      </c>
      <c r="BL177" s="55" t="e">
        <f t="shared" ca="1" si="179"/>
        <v>#DIV/0!</v>
      </c>
      <c r="BM177" s="55" t="e">
        <f t="shared" ca="1" si="180"/>
        <v>#DIV/0!</v>
      </c>
      <c r="BN177" s="53">
        <f t="shared" ca="1" si="181"/>
        <v>0</v>
      </c>
      <c r="BO177" s="112" t="e">
        <f t="shared" ca="1" si="182"/>
        <v>#DIV/0!</v>
      </c>
      <c r="BR177" s="53" t="e">
        <f t="shared" ca="1" si="183"/>
        <v>#DIV/0!</v>
      </c>
      <c r="BS177" s="53">
        <f t="shared" ca="1" si="184"/>
        <v>0</v>
      </c>
      <c r="BT177" s="53">
        <f t="shared" ca="1" si="185"/>
        <v>0</v>
      </c>
      <c r="BU177" s="56" t="e">
        <f t="shared" ca="1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ca="1" si="189"/>
        <v>0</v>
      </c>
      <c r="CW177" s="53">
        <f t="shared" ca="1" si="190"/>
        <v>0</v>
      </c>
      <c r="CX177" s="58" t="e">
        <f t="shared" ca="1" si="191"/>
        <v>#DIV/0!</v>
      </c>
      <c r="CY177" s="53">
        <f t="shared" ca="1" si="192"/>
        <v>0</v>
      </c>
      <c r="CZ177" s="53">
        <f t="shared" ca="1" si="193"/>
        <v>0</v>
      </c>
      <c r="DA177" s="58" t="e">
        <f t="shared" ca="1" si="194"/>
        <v>#DIV/0!</v>
      </c>
      <c r="DB177" s="48" t="e">
        <f t="shared" ca="1" si="195"/>
        <v>#DIV/0!</v>
      </c>
      <c r="DC177" s="48" t="e">
        <f t="shared" ca="1" si="196"/>
        <v>#DIV/0!</v>
      </c>
      <c r="DD177" s="48" t="e">
        <f t="shared" ca="1" si="197"/>
        <v>#DIV/0!</v>
      </c>
      <c r="DE177" s="48" t="e">
        <f t="shared" ca="1" si="198"/>
        <v>#DIV/0!</v>
      </c>
      <c r="DF177" s="48" t="e">
        <f t="shared" ca="1" si="199"/>
        <v>#DIV/0!</v>
      </c>
      <c r="DG177" s="48" t="e">
        <f t="shared" ca="1" si="200"/>
        <v>#DIV/0!</v>
      </c>
      <c r="DH177" s="48">
        <f ca="1">SUMIF(FCR!$BZ$4:$DB$500,DG177,FCR!$DE$4:$EG$500)</f>
        <v>0</v>
      </c>
      <c r="DI177" s="48" t="e">
        <f t="shared" ca="1" si="201"/>
        <v>#DIV/0!</v>
      </c>
      <c r="DJ177" s="48">
        <f ca="1">SUMIF(FCR!$BZ$4:$DB$142,DI177,FCR!$DE$4:$EG$142)</f>
        <v>0</v>
      </c>
      <c r="DK177" s="48" t="e">
        <f t="shared" ca="1" si="202"/>
        <v>#DIV/0!</v>
      </c>
      <c r="DL177" s="55" t="e">
        <f t="shared" ca="1" si="203"/>
        <v>#DIV/0!</v>
      </c>
      <c r="DM177" s="48" t="e">
        <f t="shared" ca="1" si="204"/>
        <v>#DIV/0!</v>
      </c>
      <c r="DN177" s="48">
        <f ca="1">SUMIF(FCR!$BZ$4:$DB$142,DM177,FCR!$DE$4:$EG$142)</f>
        <v>0</v>
      </c>
      <c r="DO177" s="53" t="e">
        <f t="shared" ca="1" si="205"/>
        <v>#DIV/0!</v>
      </c>
      <c r="DP177" s="55" t="e">
        <f t="shared" ca="1" si="206"/>
        <v>#DIV/0!</v>
      </c>
      <c r="DQ177" s="55" t="e">
        <f t="shared" ca="1" si="207"/>
        <v>#DIV/0!</v>
      </c>
      <c r="DR177" s="55"/>
      <c r="DS177" s="55" t="e">
        <f t="shared" ca="1" si="208"/>
        <v>#DIV/0!</v>
      </c>
      <c r="DT177" s="55" t="e">
        <f t="shared" ca="1" si="209"/>
        <v>#DIV/0!</v>
      </c>
      <c r="DU177" s="53">
        <f t="shared" ca="1" si="210"/>
        <v>0</v>
      </c>
      <c r="DV177" s="59" t="e">
        <f t="shared" ca="1" si="211"/>
        <v>#DIV/0!</v>
      </c>
    </row>
    <row r="178" spans="1:126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AD178" s="49" t="s">
        <v>337</v>
      </c>
      <c r="AE178" s="49">
        <f t="shared" ca="1" si="157"/>
        <v>0</v>
      </c>
      <c r="AF178" s="49">
        <f t="shared" ca="1" si="158"/>
        <v>0</v>
      </c>
      <c r="AG178" s="114">
        <f t="shared" ca="1" si="159"/>
        <v>0</v>
      </c>
      <c r="AH178" s="104">
        <f t="shared" ca="1" si="160"/>
        <v>0</v>
      </c>
      <c r="AI178" s="104">
        <f t="shared" ca="1" si="161"/>
        <v>0</v>
      </c>
      <c r="AJ178" s="104">
        <f t="shared" ca="1" si="162"/>
        <v>0</v>
      </c>
      <c r="AK178" s="104">
        <f t="shared" ca="1" si="163"/>
        <v>0</v>
      </c>
      <c r="AL178" s="104">
        <f t="shared" ca="1" si="164"/>
        <v>0</v>
      </c>
      <c r="AM178" s="104">
        <f t="shared" ca="1" si="165"/>
        <v>0</v>
      </c>
      <c r="AN178" s="104">
        <f t="shared" ca="1" si="166"/>
        <v>0</v>
      </c>
      <c r="AO178" s="104">
        <f t="shared" ca="1" si="167"/>
        <v>0</v>
      </c>
      <c r="AP178" s="104">
        <f t="shared" ca="1" si="168"/>
        <v>0</v>
      </c>
      <c r="AQ178" s="49">
        <f t="shared" ca="1" si="169"/>
        <v>0</v>
      </c>
      <c r="AR178" s="104">
        <f t="shared" ca="1" si="170"/>
        <v>0</v>
      </c>
      <c r="AS178" s="104">
        <f t="shared" ca="1" si="171"/>
        <v>0</v>
      </c>
      <c r="AT178" s="104">
        <f t="shared" ca="1" si="172"/>
        <v>0</v>
      </c>
      <c r="AU178" s="104">
        <f t="shared" ca="1" si="173"/>
        <v>0</v>
      </c>
      <c r="BF178" s="49">
        <f t="shared" ca="1" si="174"/>
        <v>0</v>
      </c>
      <c r="BG178" s="49">
        <f t="shared" ca="1" si="175"/>
        <v>0</v>
      </c>
      <c r="BH178" s="54" t="e">
        <f t="shared" ca="1" si="176"/>
        <v>#DIV/0!</v>
      </c>
      <c r="BI178" s="112" t="e">
        <f t="shared" ca="1" si="177"/>
        <v>#DIV/0!</v>
      </c>
      <c r="BK178" s="55" t="e">
        <f t="shared" ca="1" si="178"/>
        <v>#DIV/0!</v>
      </c>
      <c r="BL178" s="55" t="e">
        <f t="shared" ca="1" si="179"/>
        <v>#DIV/0!</v>
      </c>
      <c r="BM178" s="55" t="e">
        <f t="shared" ca="1" si="180"/>
        <v>#DIV/0!</v>
      </c>
      <c r="BN178" s="53">
        <f t="shared" ca="1" si="181"/>
        <v>0</v>
      </c>
      <c r="BO178" s="112" t="e">
        <f t="shared" ca="1" si="182"/>
        <v>#DIV/0!</v>
      </c>
      <c r="BR178" s="53" t="e">
        <f t="shared" ca="1" si="183"/>
        <v>#DIV/0!</v>
      </c>
      <c r="BS178" s="53">
        <f t="shared" ca="1" si="184"/>
        <v>0</v>
      </c>
      <c r="BT178" s="53">
        <f t="shared" ca="1" si="185"/>
        <v>0</v>
      </c>
      <c r="BU178" s="56" t="e">
        <f t="shared" ca="1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ca="1" si="189"/>
        <v>0</v>
      </c>
      <c r="CW178" s="53">
        <f t="shared" ca="1" si="190"/>
        <v>0</v>
      </c>
      <c r="CX178" s="58" t="e">
        <f t="shared" ca="1" si="191"/>
        <v>#DIV/0!</v>
      </c>
      <c r="CY178" s="53">
        <f t="shared" ca="1" si="192"/>
        <v>0</v>
      </c>
      <c r="CZ178" s="53">
        <f t="shared" ca="1" si="193"/>
        <v>0</v>
      </c>
      <c r="DA178" s="58" t="e">
        <f t="shared" ca="1" si="194"/>
        <v>#DIV/0!</v>
      </c>
      <c r="DB178" s="48" t="e">
        <f t="shared" ca="1" si="195"/>
        <v>#DIV/0!</v>
      </c>
      <c r="DC178" s="48" t="e">
        <f t="shared" ca="1" si="196"/>
        <v>#DIV/0!</v>
      </c>
      <c r="DD178" s="48" t="e">
        <f t="shared" ca="1" si="197"/>
        <v>#DIV/0!</v>
      </c>
      <c r="DE178" s="48" t="e">
        <f t="shared" ca="1" si="198"/>
        <v>#DIV/0!</v>
      </c>
      <c r="DF178" s="48" t="e">
        <f t="shared" ca="1" si="199"/>
        <v>#DIV/0!</v>
      </c>
      <c r="DG178" s="48" t="e">
        <f t="shared" ca="1" si="200"/>
        <v>#DIV/0!</v>
      </c>
      <c r="DH178" s="48">
        <f ca="1">SUMIF(FCR!$BZ$4:$DB$500,DG178,FCR!$DE$4:$EG$500)</f>
        <v>0</v>
      </c>
      <c r="DI178" s="48" t="e">
        <f t="shared" ca="1" si="201"/>
        <v>#DIV/0!</v>
      </c>
      <c r="DJ178" s="48">
        <f ca="1">SUMIF(FCR!$BZ$4:$DB$142,DI178,FCR!$DE$4:$EG$142)</f>
        <v>0</v>
      </c>
      <c r="DK178" s="48" t="e">
        <f t="shared" ca="1" si="202"/>
        <v>#DIV/0!</v>
      </c>
      <c r="DL178" s="55" t="e">
        <f t="shared" ca="1" si="203"/>
        <v>#DIV/0!</v>
      </c>
      <c r="DM178" s="48" t="e">
        <f t="shared" ca="1" si="204"/>
        <v>#DIV/0!</v>
      </c>
      <c r="DN178" s="48">
        <f ca="1">SUMIF(FCR!$BZ$4:$DB$142,DM178,FCR!$DE$4:$EG$142)</f>
        <v>0</v>
      </c>
      <c r="DO178" s="53" t="e">
        <f t="shared" ca="1" si="205"/>
        <v>#DIV/0!</v>
      </c>
      <c r="DP178" s="55" t="e">
        <f t="shared" ca="1" si="206"/>
        <v>#DIV/0!</v>
      </c>
      <c r="DQ178" s="55" t="e">
        <f t="shared" ca="1" si="207"/>
        <v>#DIV/0!</v>
      </c>
      <c r="DR178" s="55"/>
      <c r="DS178" s="55" t="e">
        <f t="shared" ca="1" si="208"/>
        <v>#DIV/0!</v>
      </c>
      <c r="DT178" s="55" t="e">
        <f t="shared" ca="1" si="209"/>
        <v>#DIV/0!</v>
      </c>
      <c r="DU178" s="53">
        <f t="shared" ca="1" si="210"/>
        <v>0</v>
      </c>
      <c r="DV178" s="59" t="e">
        <f t="shared" ca="1" si="211"/>
        <v>#DIV/0!</v>
      </c>
    </row>
    <row r="179" spans="1:126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AD179" s="49" t="s">
        <v>337</v>
      </c>
      <c r="AE179" s="49">
        <f t="shared" ca="1" si="157"/>
        <v>0</v>
      </c>
      <c r="AF179" s="49">
        <f t="shared" ca="1" si="158"/>
        <v>0</v>
      </c>
      <c r="AG179" s="114">
        <f t="shared" ca="1" si="159"/>
        <v>0</v>
      </c>
      <c r="AH179" s="104">
        <f t="shared" ca="1" si="160"/>
        <v>0</v>
      </c>
      <c r="AI179" s="104">
        <f t="shared" ca="1" si="161"/>
        <v>0</v>
      </c>
      <c r="AJ179" s="104">
        <f t="shared" ca="1" si="162"/>
        <v>0</v>
      </c>
      <c r="AK179" s="104">
        <f t="shared" ca="1" si="163"/>
        <v>0</v>
      </c>
      <c r="AL179" s="104">
        <f t="shared" ca="1" si="164"/>
        <v>0</v>
      </c>
      <c r="AM179" s="104">
        <f t="shared" ca="1" si="165"/>
        <v>0</v>
      </c>
      <c r="AN179" s="104">
        <f t="shared" ca="1" si="166"/>
        <v>0</v>
      </c>
      <c r="AO179" s="104">
        <f t="shared" ca="1" si="167"/>
        <v>0</v>
      </c>
      <c r="AP179" s="104">
        <f t="shared" ca="1" si="168"/>
        <v>0</v>
      </c>
      <c r="AQ179" s="49">
        <f t="shared" ca="1" si="169"/>
        <v>0</v>
      </c>
      <c r="AR179" s="104">
        <f t="shared" ca="1" si="170"/>
        <v>0</v>
      </c>
      <c r="AS179" s="104">
        <f t="shared" ca="1" si="171"/>
        <v>0</v>
      </c>
      <c r="AT179" s="104">
        <f t="shared" ca="1" si="172"/>
        <v>0</v>
      </c>
      <c r="AU179" s="104">
        <f t="shared" ca="1" si="173"/>
        <v>0</v>
      </c>
      <c r="BF179" s="49">
        <f t="shared" ca="1" si="174"/>
        <v>0</v>
      </c>
      <c r="BG179" s="49">
        <f t="shared" ca="1" si="175"/>
        <v>0</v>
      </c>
      <c r="BH179" s="54" t="e">
        <f t="shared" ca="1" si="176"/>
        <v>#DIV/0!</v>
      </c>
      <c r="BI179" s="112" t="e">
        <f t="shared" ca="1" si="177"/>
        <v>#DIV/0!</v>
      </c>
      <c r="BK179" s="55" t="e">
        <f t="shared" ca="1" si="178"/>
        <v>#DIV/0!</v>
      </c>
      <c r="BL179" s="55" t="e">
        <f t="shared" ca="1" si="179"/>
        <v>#DIV/0!</v>
      </c>
      <c r="BM179" s="55" t="e">
        <f t="shared" ca="1" si="180"/>
        <v>#DIV/0!</v>
      </c>
      <c r="BN179" s="53">
        <f t="shared" ca="1" si="181"/>
        <v>0</v>
      </c>
      <c r="BO179" s="112" t="e">
        <f t="shared" ca="1" si="182"/>
        <v>#DIV/0!</v>
      </c>
      <c r="BR179" s="53" t="e">
        <f t="shared" ca="1" si="183"/>
        <v>#DIV/0!</v>
      </c>
      <c r="BS179" s="53">
        <f t="shared" ca="1" si="184"/>
        <v>0</v>
      </c>
      <c r="BT179" s="53">
        <f t="shared" ca="1" si="185"/>
        <v>0</v>
      </c>
      <c r="BU179" s="56" t="e">
        <f t="shared" ca="1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ca="1" si="189"/>
        <v>0</v>
      </c>
      <c r="CW179" s="53">
        <f t="shared" ca="1" si="190"/>
        <v>0</v>
      </c>
      <c r="CX179" s="58" t="e">
        <f t="shared" ca="1" si="191"/>
        <v>#DIV/0!</v>
      </c>
      <c r="CY179" s="53">
        <f t="shared" ca="1" si="192"/>
        <v>0</v>
      </c>
      <c r="CZ179" s="53">
        <f t="shared" ca="1" si="193"/>
        <v>0</v>
      </c>
      <c r="DA179" s="58" t="e">
        <f t="shared" ca="1" si="194"/>
        <v>#DIV/0!</v>
      </c>
      <c r="DB179" s="48" t="e">
        <f t="shared" ca="1" si="195"/>
        <v>#DIV/0!</v>
      </c>
      <c r="DC179" s="48" t="e">
        <f t="shared" ca="1" si="196"/>
        <v>#DIV/0!</v>
      </c>
      <c r="DD179" s="48" t="e">
        <f t="shared" ca="1" si="197"/>
        <v>#DIV/0!</v>
      </c>
      <c r="DE179" s="48" t="e">
        <f t="shared" ca="1" si="198"/>
        <v>#DIV/0!</v>
      </c>
      <c r="DF179" s="48" t="e">
        <f t="shared" ca="1" si="199"/>
        <v>#DIV/0!</v>
      </c>
      <c r="DG179" s="48" t="e">
        <f t="shared" ca="1" si="200"/>
        <v>#DIV/0!</v>
      </c>
      <c r="DH179" s="48">
        <f ca="1">SUMIF(FCR!$BZ$4:$DB$500,DG179,FCR!$DE$4:$EG$500)</f>
        <v>0</v>
      </c>
      <c r="DI179" s="48" t="e">
        <f t="shared" ca="1" si="201"/>
        <v>#DIV/0!</v>
      </c>
      <c r="DJ179" s="48">
        <f ca="1">SUMIF(FCR!$BZ$4:$DB$142,DI179,FCR!$DE$4:$EG$142)</f>
        <v>0</v>
      </c>
      <c r="DK179" s="48" t="e">
        <f t="shared" ca="1" si="202"/>
        <v>#DIV/0!</v>
      </c>
      <c r="DL179" s="55" t="e">
        <f t="shared" ca="1" si="203"/>
        <v>#DIV/0!</v>
      </c>
      <c r="DM179" s="48" t="e">
        <f t="shared" ca="1" si="204"/>
        <v>#DIV/0!</v>
      </c>
      <c r="DN179" s="48">
        <f ca="1">SUMIF(FCR!$BZ$4:$DB$142,DM179,FCR!$DE$4:$EG$142)</f>
        <v>0</v>
      </c>
      <c r="DO179" s="53" t="e">
        <f t="shared" ca="1" si="205"/>
        <v>#DIV/0!</v>
      </c>
      <c r="DP179" s="55" t="e">
        <f t="shared" ca="1" si="206"/>
        <v>#DIV/0!</v>
      </c>
      <c r="DQ179" s="55" t="e">
        <f t="shared" ca="1" si="207"/>
        <v>#DIV/0!</v>
      </c>
      <c r="DR179" s="55"/>
      <c r="DS179" s="55" t="e">
        <f t="shared" ca="1" si="208"/>
        <v>#DIV/0!</v>
      </c>
      <c r="DT179" s="55" t="e">
        <f t="shared" ca="1" si="209"/>
        <v>#DIV/0!</v>
      </c>
      <c r="DU179" s="53">
        <f t="shared" ca="1" si="210"/>
        <v>0</v>
      </c>
      <c r="DV179" s="59" t="e">
        <f t="shared" ca="1" si="211"/>
        <v>#DIV/0!</v>
      </c>
    </row>
    <row r="180" spans="1:126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AD180" s="49" t="s">
        <v>337</v>
      </c>
      <c r="AE180" s="49">
        <f t="shared" ca="1" si="157"/>
        <v>0</v>
      </c>
      <c r="AF180" s="49">
        <f t="shared" ca="1" si="158"/>
        <v>0</v>
      </c>
      <c r="AG180" s="114">
        <f t="shared" ca="1" si="159"/>
        <v>0</v>
      </c>
      <c r="AH180" s="104">
        <f t="shared" ca="1" si="160"/>
        <v>0</v>
      </c>
      <c r="AI180" s="104">
        <f t="shared" ca="1" si="161"/>
        <v>0</v>
      </c>
      <c r="AJ180" s="104">
        <f t="shared" ca="1" si="162"/>
        <v>0</v>
      </c>
      <c r="AK180" s="104">
        <f t="shared" ca="1" si="163"/>
        <v>0</v>
      </c>
      <c r="AL180" s="104">
        <f t="shared" ca="1" si="164"/>
        <v>0</v>
      </c>
      <c r="AM180" s="104">
        <f t="shared" ca="1" si="165"/>
        <v>0</v>
      </c>
      <c r="AN180" s="104">
        <f t="shared" ca="1" si="166"/>
        <v>0</v>
      </c>
      <c r="AO180" s="104">
        <f t="shared" ca="1" si="167"/>
        <v>0</v>
      </c>
      <c r="AP180" s="104">
        <f t="shared" ca="1" si="168"/>
        <v>0</v>
      </c>
      <c r="AQ180" s="49">
        <f t="shared" ca="1" si="169"/>
        <v>0</v>
      </c>
      <c r="AR180" s="104">
        <f t="shared" ca="1" si="170"/>
        <v>0</v>
      </c>
      <c r="AS180" s="104">
        <f t="shared" ca="1" si="171"/>
        <v>0</v>
      </c>
      <c r="AT180" s="104">
        <f t="shared" ca="1" si="172"/>
        <v>0</v>
      </c>
      <c r="AU180" s="104">
        <f t="shared" ca="1" si="173"/>
        <v>0</v>
      </c>
      <c r="BF180" s="49">
        <f t="shared" ca="1" si="174"/>
        <v>0</v>
      </c>
      <c r="BG180" s="49">
        <f t="shared" ca="1" si="175"/>
        <v>0</v>
      </c>
      <c r="BH180" s="54" t="e">
        <f t="shared" ca="1" si="176"/>
        <v>#DIV/0!</v>
      </c>
      <c r="BI180" s="112" t="e">
        <f t="shared" ca="1" si="177"/>
        <v>#DIV/0!</v>
      </c>
      <c r="BK180" s="55" t="e">
        <f t="shared" ca="1" si="178"/>
        <v>#DIV/0!</v>
      </c>
      <c r="BL180" s="55" t="e">
        <f t="shared" ca="1" si="179"/>
        <v>#DIV/0!</v>
      </c>
      <c r="BM180" s="55" t="e">
        <f t="shared" ca="1" si="180"/>
        <v>#DIV/0!</v>
      </c>
      <c r="BN180" s="53">
        <f t="shared" ca="1" si="181"/>
        <v>0</v>
      </c>
      <c r="BO180" s="112" t="e">
        <f t="shared" ca="1" si="182"/>
        <v>#DIV/0!</v>
      </c>
      <c r="BR180" s="53" t="e">
        <f t="shared" ca="1" si="183"/>
        <v>#DIV/0!</v>
      </c>
      <c r="BS180" s="53">
        <f t="shared" ca="1" si="184"/>
        <v>0</v>
      </c>
      <c r="BT180" s="53">
        <f t="shared" ca="1" si="185"/>
        <v>0</v>
      </c>
      <c r="BU180" s="56" t="e">
        <f t="shared" ca="1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ca="1" si="189"/>
        <v>0</v>
      </c>
      <c r="CW180" s="53">
        <f t="shared" ca="1" si="190"/>
        <v>0</v>
      </c>
      <c r="CX180" s="58" t="e">
        <f t="shared" ca="1" si="191"/>
        <v>#DIV/0!</v>
      </c>
      <c r="CY180" s="53">
        <f t="shared" ca="1" si="192"/>
        <v>0</v>
      </c>
      <c r="CZ180" s="53">
        <f t="shared" ca="1" si="193"/>
        <v>0</v>
      </c>
      <c r="DA180" s="58" t="e">
        <f t="shared" ca="1" si="194"/>
        <v>#DIV/0!</v>
      </c>
      <c r="DB180" s="48" t="e">
        <f t="shared" ca="1" si="195"/>
        <v>#DIV/0!</v>
      </c>
      <c r="DC180" s="48" t="e">
        <f t="shared" ca="1" si="196"/>
        <v>#DIV/0!</v>
      </c>
      <c r="DD180" s="48" t="e">
        <f t="shared" ca="1" si="197"/>
        <v>#DIV/0!</v>
      </c>
      <c r="DE180" s="48" t="e">
        <f t="shared" ca="1" si="198"/>
        <v>#DIV/0!</v>
      </c>
      <c r="DF180" s="48" t="e">
        <f t="shared" ca="1" si="199"/>
        <v>#DIV/0!</v>
      </c>
      <c r="DG180" s="48" t="e">
        <f t="shared" ca="1" si="200"/>
        <v>#DIV/0!</v>
      </c>
      <c r="DH180" s="48">
        <f ca="1">SUMIF(FCR!$BZ$4:$DB$500,DG180,FCR!$DE$4:$EG$500)</f>
        <v>0</v>
      </c>
      <c r="DI180" s="48" t="e">
        <f t="shared" ca="1" si="201"/>
        <v>#DIV/0!</v>
      </c>
      <c r="DJ180" s="48">
        <f ca="1">SUMIF(FCR!$BZ$4:$DB$142,DI180,FCR!$DE$4:$EG$142)</f>
        <v>0</v>
      </c>
      <c r="DK180" s="48" t="e">
        <f t="shared" ca="1" si="202"/>
        <v>#DIV/0!</v>
      </c>
      <c r="DL180" s="55" t="e">
        <f t="shared" ca="1" si="203"/>
        <v>#DIV/0!</v>
      </c>
      <c r="DM180" s="48" t="e">
        <f t="shared" ca="1" si="204"/>
        <v>#DIV/0!</v>
      </c>
      <c r="DN180" s="48">
        <f ca="1">SUMIF(FCR!$BZ$4:$DB$142,DM180,FCR!$DE$4:$EG$142)</f>
        <v>0</v>
      </c>
      <c r="DO180" s="53" t="e">
        <f t="shared" ca="1" si="205"/>
        <v>#DIV/0!</v>
      </c>
      <c r="DP180" s="55" t="e">
        <f t="shared" ca="1" si="206"/>
        <v>#DIV/0!</v>
      </c>
      <c r="DQ180" s="55" t="e">
        <f t="shared" ca="1" si="207"/>
        <v>#DIV/0!</v>
      </c>
      <c r="DR180" s="55"/>
      <c r="DS180" s="55" t="e">
        <f t="shared" ca="1" si="208"/>
        <v>#DIV/0!</v>
      </c>
      <c r="DT180" s="55" t="e">
        <f t="shared" ca="1" si="209"/>
        <v>#DIV/0!</v>
      </c>
      <c r="DU180" s="53">
        <f t="shared" ca="1" si="210"/>
        <v>0</v>
      </c>
      <c r="DV180" s="59" t="e">
        <f t="shared" ca="1" si="211"/>
        <v>#DIV/0!</v>
      </c>
    </row>
    <row r="181" spans="1:126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AD181" s="49" t="s">
        <v>337</v>
      </c>
      <c r="AE181" s="49">
        <f t="shared" ca="1" si="157"/>
        <v>0</v>
      </c>
      <c r="AF181" s="49">
        <f t="shared" ca="1" si="158"/>
        <v>0</v>
      </c>
      <c r="AG181" s="114">
        <f t="shared" ca="1" si="159"/>
        <v>0</v>
      </c>
      <c r="AH181" s="104">
        <f t="shared" ca="1" si="160"/>
        <v>0</v>
      </c>
      <c r="AI181" s="104">
        <f t="shared" ca="1" si="161"/>
        <v>0</v>
      </c>
      <c r="AJ181" s="104">
        <f t="shared" ca="1" si="162"/>
        <v>0</v>
      </c>
      <c r="AK181" s="104">
        <f t="shared" ca="1" si="163"/>
        <v>0</v>
      </c>
      <c r="AL181" s="104">
        <f t="shared" ca="1" si="164"/>
        <v>0</v>
      </c>
      <c r="AM181" s="104">
        <f t="shared" ca="1" si="165"/>
        <v>0</v>
      </c>
      <c r="AN181" s="104">
        <f t="shared" ca="1" si="166"/>
        <v>0</v>
      </c>
      <c r="AO181" s="104">
        <f t="shared" ca="1" si="167"/>
        <v>0</v>
      </c>
      <c r="AP181" s="104">
        <f t="shared" ca="1" si="168"/>
        <v>0</v>
      </c>
      <c r="AQ181" s="49">
        <f t="shared" ca="1" si="169"/>
        <v>0</v>
      </c>
      <c r="AR181" s="104">
        <f t="shared" ca="1" si="170"/>
        <v>0</v>
      </c>
      <c r="AS181" s="104">
        <f t="shared" ca="1" si="171"/>
        <v>0</v>
      </c>
      <c r="AT181" s="104">
        <f t="shared" ca="1" si="172"/>
        <v>0</v>
      </c>
      <c r="AU181" s="104">
        <f t="shared" ca="1" si="173"/>
        <v>0</v>
      </c>
      <c r="BF181" s="49">
        <f t="shared" ca="1" si="174"/>
        <v>0</v>
      </c>
      <c r="BG181" s="49">
        <f t="shared" ca="1" si="175"/>
        <v>0</v>
      </c>
      <c r="BH181" s="54" t="e">
        <f t="shared" ca="1" si="176"/>
        <v>#DIV/0!</v>
      </c>
      <c r="BI181" s="112" t="e">
        <f t="shared" ca="1" si="177"/>
        <v>#DIV/0!</v>
      </c>
      <c r="BK181" s="55" t="e">
        <f t="shared" ca="1" si="178"/>
        <v>#DIV/0!</v>
      </c>
      <c r="BL181" s="55" t="e">
        <f t="shared" ca="1" si="179"/>
        <v>#DIV/0!</v>
      </c>
      <c r="BM181" s="55" t="e">
        <f t="shared" ca="1" si="180"/>
        <v>#DIV/0!</v>
      </c>
      <c r="BN181" s="53">
        <f t="shared" ca="1" si="181"/>
        <v>0</v>
      </c>
      <c r="BO181" s="112" t="e">
        <f t="shared" ca="1" si="182"/>
        <v>#DIV/0!</v>
      </c>
      <c r="BR181" s="53" t="e">
        <f t="shared" ca="1" si="183"/>
        <v>#DIV/0!</v>
      </c>
      <c r="BS181" s="53">
        <f t="shared" ca="1" si="184"/>
        <v>0</v>
      </c>
      <c r="BT181" s="53">
        <f t="shared" ca="1" si="185"/>
        <v>0</v>
      </c>
      <c r="BU181" s="56" t="e">
        <f t="shared" ca="1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ca="1" si="189"/>
        <v>0</v>
      </c>
      <c r="CW181" s="53">
        <f t="shared" ca="1" si="190"/>
        <v>0</v>
      </c>
      <c r="CX181" s="58" t="e">
        <f t="shared" ca="1" si="191"/>
        <v>#DIV/0!</v>
      </c>
      <c r="CY181" s="53">
        <f t="shared" ca="1" si="192"/>
        <v>0</v>
      </c>
      <c r="CZ181" s="53">
        <f t="shared" ca="1" si="193"/>
        <v>0</v>
      </c>
      <c r="DA181" s="58" t="e">
        <f t="shared" ca="1" si="194"/>
        <v>#DIV/0!</v>
      </c>
      <c r="DB181" s="48" t="e">
        <f t="shared" ca="1" si="195"/>
        <v>#DIV/0!</v>
      </c>
      <c r="DC181" s="48" t="e">
        <f t="shared" ca="1" si="196"/>
        <v>#DIV/0!</v>
      </c>
      <c r="DD181" s="48" t="e">
        <f t="shared" ca="1" si="197"/>
        <v>#DIV/0!</v>
      </c>
      <c r="DE181" s="48" t="e">
        <f t="shared" ca="1" si="198"/>
        <v>#DIV/0!</v>
      </c>
      <c r="DF181" s="48" t="e">
        <f t="shared" ca="1" si="199"/>
        <v>#DIV/0!</v>
      </c>
      <c r="DG181" s="48" t="e">
        <f t="shared" ca="1" si="200"/>
        <v>#DIV/0!</v>
      </c>
      <c r="DH181" s="48">
        <f ca="1">SUMIF(FCR!$BZ$4:$DB$500,DG181,FCR!$DE$4:$EG$500)</f>
        <v>0</v>
      </c>
      <c r="DI181" s="48" t="e">
        <f t="shared" ca="1" si="201"/>
        <v>#DIV/0!</v>
      </c>
      <c r="DJ181" s="48">
        <f ca="1">SUMIF(FCR!$BZ$4:$DB$142,DI181,FCR!$DE$4:$EG$142)</f>
        <v>0</v>
      </c>
      <c r="DK181" s="48" t="e">
        <f t="shared" ca="1" si="202"/>
        <v>#DIV/0!</v>
      </c>
      <c r="DL181" s="55" t="e">
        <f t="shared" ca="1" si="203"/>
        <v>#DIV/0!</v>
      </c>
      <c r="DM181" s="48" t="e">
        <f t="shared" ca="1" si="204"/>
        <v>#DIV/0!</v>
      </c>
      <c r="DN181" s="48">
        <f ca="1">SUMIF(FCR!$BZ$4:$DB$142,DM181,FCR!$DE$4:$EG$142)</f>
        <v>0</v>
      </c>
      <c r="DO181" s="53" t="e">
        <f t="shared" ca="1" si="205"/>
        <v>#DIV/0!</v>
      </c>
      <c r="DP181" s="55" t="e">
        <f t="shared" ca="1" si="206"/>
        <v>#DIV/0!</v>
      </c>
      <c r="DQ181" s="55" t="e">
        <f t="shared" ca="1" si="207"/>
        <v>#DIV/0!</v>
      </c>
      <c r="DR181" s="55"/>
      <c r="DS181" s="55" t="e">
        <f t="shared" ca="1" si="208"/>
        <v>#DIV/0!</v>
      </c>
      <c r="DT181" s="55" t="e">
        <f t="shared" ca="1" si="209"/>
        <v>#DIV/0!</v>
      </c>
      <c r="DU181" s="53">
        <f t="shared" ca="1" si="210"/>
        <v>0</v>
      </c>
      <c r="DV181" s="59" t="e">
        <f t="shared" ca="1" si="211"/>
        <v>#DIV/0!</v>
      </c>
    </row>
    <row r="182" spans="1:126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AD182" s="49" t="s">
        <v>337</v>
      </c>
      <c r="AE182" s="49">
        <f t="shared" ca="1" si="157"/>
        <v>0</v>
      </c>
      <c r="AF182" s="49">
        <f t="shared" ca="1" si="158"/>
        <v>0</v>
      </c>
      <c r="AG182" s="114">
        <f t="shared" ca="1" si="159"/>
        <v>0</v>
      </c>
      <c r="AH182" s="104">
        <f t="shared" ca="1" si="160"/>
        <v>0</v>
      </c>
      <c r="AI182" s="104">
        <f t="shared" ca="1" si="161"/>
        <v>0</v>
      </c>
      <c r="AJ182" s="104">
        <f t="shared" ca="1" si="162"/>
        <v>0</v>
      </c>
      <c r="AK182" s="104">
        <f t="shared" ca="1" si="163"/>
        <v>0</v>
      </c>
      <c r="AL182" s="104">
        <f t="shared" ca="1" si="164"/>
        <v>0</v>
      </c>
      <c r="AM182" s="104">
        <f t="shared" ca="1" si="165"/>
        <v>0</v>
      </c>
      <c r="AN182" s="104">
        <f t="shared" ca="1" si="166"/>
        <v>0</v>
      </c>
      <c r="AO182" s="104">
        <f t="shared" ca="1" si="167"/>
        <v>0</v>
      </c>
      <c r="AP182" s="104">
        <f t="shared" ca="1" si="168"/>
        <v>0</v>
      </c>
      <c r="AQ182" s="49">
        <f t="shared" ca="1" si="169"/>
        <v>0</v>
      </c>
      <c r="AR182" s="104">
        <f t="shared" ca="1" si="170"/>
        <v>0</v>
      </c>
      <c r="AS182" s="104">
        <f t="shared" ca="1" si="171"/>
        <v>0</v>
      </c>
      <c r="AT182" s="104">
        <f t="shared" ca="1" si="172"/>
        <v>0</v>
      </c>
      <c r="AU182" s="104">
        <f t="shared" ca="1" si="173"/>
        <v>0</v>
      </c>
      <c r="BF182" s="49">
        <f t="shared" ca="1" si="174"/>
        <v>0</v>
      </c>
      <c r="BG182" s="49">
        <f t="shared" ca="1" si="175"/>
        <v>0</v>
      </c>
      <c r="BH182" s="54" t="e">
        <f t="shared" ca="1" si="176"/>
        <v>#DIV/0!</v>
      </c>
      <c r="BI182" s="112" t="e">
        <f t="shared" ca="1" si="177"/>
        <v>#DIV/0!</v>
      </c>
      <c r="BK182" s="55" t="e">
        <f t="shared" ca="1" si="178"/>
        <v>#DIV/0!</v>
      </c>
      <c r="BL182" s="55" t="e">
        <f t="shared" ca="1" si="179"/>
        <v>#DIV/0!</v>
      </c>
      <c r="BM182" s="55" t="e">
        <f t="shared" ca="1" si="180"/>
        <v>#DIV/0!</v>
      </c>
      <c r="BN182" s="53">
        <f t="shared" ca="1" si="181"/>
        <v>0</v>
      </c>
      <c r="BO182" s="112" t="e">
        <f t="shared" ca="1" si="182"/>
        <v>#DIV/0!</v>
      </c>
      <c r="BR182" s="53" t="e">
        <f t="shared" ca="1" si="183"/>
        <v>#DIV/0!</v>
      </c>
      <c r="BS182" s="53">
        <f t="shared" ca="1" si="184"/>
        <v>0</v>
      </c>
      <c r="BT182" s="53">
        <f t="shared" ca="1" si="185"/>
        <v>0</v>
      </c>
      <c r="BU182" s="56" t="e">
        <f t="shared" ca="1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ca="1" si="189"/>
        <v>0</v>
      </c>
      <c r="CW182" s="53">
        <f t="shared" ca="1" si="190"/>
        <v>0</v>
      </c>
      <c r="CX182" s="58" t="e">
        <f t="shared" ca="1" si="191"/>
        <v>#DIV/0!</v>
      </c>
      <c r="CY182" s="53">
        <f t="shared" ca="1" si="192"/>
        <v>0</v>
      </c>
      <c r="CZ182" s="53">
        <f t="shared" ca="1" si="193"/>
        <v>0</v>
      </c>
      <c r="DA182" s="58" t="e">
        <f t="shared" ca="1" si="194"/>
        <v>#DIV/0!</v>
      </c>
      <c r="DB182" s="48" t="e">
        <f t="shared" ca="1" si="195"/>
        <v>#DIV/0!</v>
      </c>
      <c r="DC182" s="48" t="e">
        <f t="shared" ca="1" si="196"/>
        <v>#DIV/0!</v>
      </c>
      <c r="DD182" s="48" t="e">
        <f t="shared" ca="1" si="197"/>
        <v>#DIV/0!</v>
      </c>
      <c r="DE182" s="48" t="e">
        <f t="shared" ca="1" si="198"/>
        <v>#DIV/0!</v>
      </c>
      <c r="DF182" s="48" t="e">
        <f t="shared" ca="1" si="199"/>
        <v>#DIV/0!</v>
      </c>
      <c r="DG182" s="48" t="e">
        <f t="shared" ca="1" si="200"/>
        <v>#DIV/0!</v>
      </c>
      <c r="DH182" s="48">
        <f ca="1">SUMIF(FCR!$BZ$4:$DB$500,DG182,FCR!$DE$4:$EG$500)</f>
        <v>0</v>
      </c>
      <c r="DI182" s="48" t="e">
        <f t="shared" ca="1" si="201"/>
        <v>#DIV/0!</v>
      </c>
      <c r="DJ182" s="48">
        <f ca="1">SUMIF(FCR!$BZ$4:$DB$142,DI182,FCR!$DE$4:$EG$142)</f>
        <v>0</v>
      </c>
      <c r="DK182" s="48" t="e">
        <f t="shared" ca="1" si="202"/>
        <v>#DIV/0!</v>
      </c>
      <c r="DL182" s="55" t="e">
        <f t="shared" ca="1" si="203"/>
        <v>#DIV/0!</v>
      </c>
      <c r="DM182" s="48" t="e">
        <f t="shared" ca="1" si="204"/>
        <v>#DIV/0!</v>
      </c>
      <c r="DN182" s="48">
        <f ca="1">SUMIF(FCR!$BZ$4:$DB$142,DM182,FCR!$DE$4:$EG$142)</f>
        <v>0</v>
      </c>
      <c r="DO182" s="53" t="e">
        <f t="shared" ca="1" si="205"/>
        <v>#DIV/0!</v>
      </c>
      <c r="DP182" s="55" t="e">
        <f t="shared" ca="1" si="206"/>
        <v>#DIV/0!</v>
      </c>
      <c r="DQ182" s="55" t="e">
        <f t="shared" ca="1" si="207"/>
        <v>#DIV/0!</v>
      </c>
      <c r="DR182" s="55"/>
      <c r="DS182" s="55" t="e">
        <f t="shared" ca="1" si="208"/>
        <v>#DIV/0!</v>
      </c>
      <c r="DT182" s="55" t="e">
        <f t="shared" ca="1" si="209"/>
        <v>#DIV/0!</v>
      </c>
      <c r="DU182" s="53">
        <f t="shared" ca="1" si="210"/>
        <v>0</v>
      </c>
      <c r="DV182" s="59" t="e">
        <f t="shared" ca="1" si="211"/>
        <v>#DIV/0!</v>
      </c>
    </row>
    <row r="183" spans="1:126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AD183" s="49" t="s">
        <v>337</v>
      </c>
      <c r="AE183" s="49">
        <f t="shared" ca="1" si="157"/>
        <v>0</v>
      </c>
      <c r="AF183" s="49">
        <f t="shared" ca="1" si="158"/>
        <v>0</v>
      </c>
      <c r="AG183" s="114">
        <f t="shared" ca="1" si="159"/>
        <v>0</v>
      </c>
      <c r="AH183" s="104">
        <f t="shared" ca="1" si="160"/>
        <v>0</v>
      </c>
      <c r="AI183" s="104">
        <f t="shared" ca="1" si="161"/>
        <v>0</v>
      </c>
      <c r="AJ183" s="104">
        <f t="shared" ca="1" si="162"/>
        <v>0</v>
      </c>
      <c r="AK183" s="104">
        <f t="shared" ca="1" si="163"/>
        <v>0</v>
      </c>
      <c r="AL183" s="104">
        <f t="shared" ca="1" si="164"/>
        <v>0</v>
      </c>
      <c r="AM183" s="104">
        <f t="shared" ca="1" si="165"/>
        <v>0</v>
      </c>
      <c r="AN183" s="104">
        <f t="shared" ca="1" si="166"/>
        <v>0</v>
      </c>
      <c r="AO183" s="104">
        <f t="shared" ca="1" si="167"/>
        <v>0</v>
      </c>
      <c r="AP183" s="104">
        <f t="shared" ca="1" si="168"/>
        <v>0</v>
      </c>
      <c r="AQ183" s="49">
        <f t="shared" ca="1" si="169"/>
        <v>0</v>
      </c>
      <c r="AR183" s="104">
        <f t="shared" ca="1" si="170"/>
        <v>0</v>
      </c>
      <c r="AS183" s="104">
        <f t="shared" ca="1" si="171"/>
        <v>0</v>
      </c>
      <c r="AT183" s="104">
        <f t="shared" ca="1" si="172"/>
        <v>0</v>
      </c>
      <c r="AU183" s="104">
        <f t="shared" ca="1" si="173"/>
        <v>0</v>
      </c>
      <c r="BF183" s="49">
        <f t="shared" ca="1" si="174"/>
        <v>0</v>
      </c>
      <c r="BG183" s="49">
        <f t="shared" ca="1" si="175"/>
        <v>0</v>
      </c>
      <c r="BH183" s="54" t="e">
        <f t="shared" ca="1" si="176"/>
        <v>#DIV/0!</v>
      </c>
      <c r="BI183" s="112" t="e">
        <f t="shared" ca="1" si="177"/>
        <v>#DIV/0!</v>
      </c>
      <c r="BK183" s="55" t="e">
        <f t="shared" ca="1" si="178"/>
        <v>#DIV/0!</v>
      </c>
      <c r="BL183" s="55" t="e">
        <f t="shared" ca="1" si="179"/>
        <v>#DIV/0!</v>
      </c>
      <c r="BM183" s="55" t="e">
        <f t="shared" ca="1" si="180"/>
        <v>#DIV/0!</v>
      </c>
      <c r="BN183" s="53">
        <f t="shared" ca="1" si="181"/>
        <v>0</v>
      </c>
      <c r="BO183" s="112" t="e">
        <f t="shared" ca="1" si="182"/>
        <v>#DIV/0!</v>
      </c>
      <c r="BR183" s="53" t="e">
        <f t="shared" ca="1" si="183"/>
        <v>#DIV/0!</v>
      </c>
      <c r="BS183" s="53">
        <f t="shared" ca="1" si="184"/>
        <v>0</v>
      </c>
      <c r="BT183" s="53">
        <f t="shared" ca="1" si="185"/>
        <v>0</v>
      </c>
      <c r="BU183" s="56" t="e">
        <f t="shared" ca="1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ca="1" si="189"/>
        <v>0</v>
      </c>
      <c r="CW183" s="53">
        <f t="shared" ca="1" si="190"/>
        <v>0</v>
      </c>
      <c r="CX183" s="58" t="e">
        <f t="shared" ca="1" si="191"/>
        <v>#DIV/0!</v>
      </c>
      <c r="CY183" s="53">
        <f t="shared" ca="1" si="192"/>
        <v>0</v>
      </c>
      <c r="CZ183" s="53">
        <f t="shared" ca="1" si="193"/>
        <v>0</v>
      </c>
      <c r="DA183" s="58" t="e">
        <f t="shared" ca="1" si="194"/>
        <v>#DIV/0!</v>
      </c>
      <c r="DB183" s="48" t="e">
        <f t="shared" ca="1" si="195"/>
        <v>#DIV/0!</v>
      </c>
      <c r="DC183" s="48" t="e">
        <f t="shared" ca="1" si="196"/>
        <v>#DIV/0!</v>
      </c>
      <c r="DD183" s="48" t="e">
        <f t="shared" ca="1" si="197"/>
        <v>#DIV/0!</v>
      </c>
      <c r="DE183" s="48" t="e">
        <f t="shared" ca="1" si="198"/>
        <v>#DIV/0!</v>
      </c>
      <c r="DF183" s="48" t="e">
        <f t="shared" ca="1" si="199"/>
        <v>#DIV/0!</v>
      </c>
      <c r="DG183" s="48" t="e">
        <f t="shared" ca="1" si="200"/>
        <v>#DIV/0!</v>
      </c>
      <c r="DH183" s="48">
        <f ca="1">SUMIF(FCR!$BZ$4:$DB$500,DG183,FCR!$DE$4:$EG$500)</f>
        <v>0</v>
      </c>
      <c r="DI183" s="48" t="e">
        <f t="shared" ca="1" si="201"/>
        <v>#DIV/0!</v>
      </c>
      <c r="DJ183" s="48">
        <f ca="1">SUMIF(FCR!$BZ$4:$DB$142,DI183,FCR!$DE$4:$EG$142)</f>
        <v>0</v>
      </c>
      <c r="DK183" s="48" t="e">
        <f t="shared" ca="1" si="202"/>
        <v>#DIV/0!</v>
      </c>
      <c r="DL183" s="55" t="e">
        <f t="shared" ca="1" si="203"/>
        <v>#DIV/0!</v>
      </c>
      <c r="DM183" s="48" t="e">
        <f t="shared" ca="1" si="204"/>
        <v>#DIV/0!</v>
      </c>
      <c r="DN183" s="48">
        <f ca="1">SUMIF(FCR!$BZ$4:$DB$142,DM183,FCR!$DE$4:$EG$142)</f>
        <v>0</v>
      </c>
      <c r="DO183" s="53" t="e">
        <f t="shared" ca="1" si="205"/>
        <v>#DIV/0!</v>
      </c>
      <c r="DP183" s="55" t="e">
        <f t="shared" ca="1" si="206"/>
        <v>#DIV/0!</v>
      </c>
      <c r="DQ183" s="55" t="e">
        <f t="shared" ca="1" si="207"/>
        <v>#DIV/0!</v>
      </c>
      <c r="DR183" s="55"/>
      <c r="DS183" s="55" t="e">
        <f t="shared" ca="1" si="208"/>
        <v>#DIV/0!</v>
      </c>
      <c r="DT183" s="55" t="e">
        <f t="shared" ca="1" si="209"/>
        <v>#DIV/0!</v>
      </c>
      <c r="DU183" s="53">
        <f t="shared" ca="1" si="210"/>
        <v>0</v>
      </c>
      <c r="DV183" s="59" t="e">
        <f t="shared" ca="1" si="211"/>
        <v>#DIV/0!</v>
      </c>
    </row>
    <row r="184" spans="1:126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AD184" s="49" t="s">
        <v>337</v>
      </c>
      <c r="AE184" s="49">
        <f t="shared" ca="1" si="157"/>
        <v>0</v>
      </c>
      <c r="AF184" s="49">
        <f t="shared" ca="1" si="158"/>
        <v>0</v>
      </c>
      <c r="AG184" s="114">
        <f t="shared" ca="1" si="159"/>
        <v>0</v>
      </c>
      <c r="AH184" s="104">
        <f t="shared" ca="1" si="160"/>
        <v>0</v>
      </c>
      <c r="AI184" s="104">
        <f t="shared" ca="1" si="161"/>
        <v>0</v>
      </c>
      <c r="AJ184" s="104">
        <f t="shared" ca="1" si="162"/>
        <v>0</v>
      </c>
      <c r="AK184" s="104">
        <f t="shared" ca="1" si="163"/>
        <v>0</v>
      </c>
      <c r="AL184" s="104">
        <f t="shared" ca="1" si="164"/>
        <v>0</v>
      </c>
      <c r="AM184" s="104">
        <f t="shared" ca="1" si="165"/>
        <v>0</v>
      </c>
      <c r="AN184" s="104">
        <f t="shared" ca="1" si="166"/>
        <v>0</v>
      </c>
      <c r="AO184" s="104">
        <f t="shared" ca="1" si="167"/>
        <v>0</v>
      </c>
      <c r="AP184" s="104">
        <f t="shared" ca="1" si="168"/>
        <v>0</v>
      </c>
      <c r="AQ184" s="49">
        <f t="shared" ca="1" si="169"/>
        <v>0</v>
      </c>
      <c r="AR184" s="104">
        <f t="shared" ca="1" si="170"/>
        <v>0</v>
      </c>
      <c r="AS184" s="104">
        <f t="shared" ca="1" si="171"/>
        <v>0</v>
      </c>
      <c r="AT184" s="104">
        <f t="shared" ca="1" si="172"/>
        <v>0</v>
      </c>
      <c r="AU184" s="104">
        <f t="shared" ca="1" si="173"/>
        <v>0</v>
      </c>
      <c r="BF184" s="49">
        <f t="shared" ca="1" si="174"/>
        <v>0</v>
      </c>
      <c r="BG184" s="49">
        <f t="shared" ca="1" si="175"/>
        <v>0</v>
      </c>
      <c r="BH184" s="54" t="e">
        <f t="shared" ca="1" si="176"/>
        <v>#DIV/0!</v>
      </c>
      <c r="BI184" s="112" t="e">
        <f t="shared" ca="1" si="177"/>
        <v>#DIV/0!</v>
      </c>
      <c r="BK184" s="55" t="e">
        <f t="shared" ca="1" si="178"/>
        <v>#DIV/0!</v>
      </c>
      <c r="BL184" s="55" t="e">
        <f t="shared" ca="1" si="179"/>
        <v>#DIV/0!</v>
      </c>
      <c r="BM184" s="55" t="e">
        <f t="shared" ca="1" si="180"/>
        <v>#DIV/0!</v>
      </c>
      <c r="BN184" s="53">
        <f t="shared" ca="1" si="181"/>
        <v>0</v>
      </c>
      <c r="BO184" s="112" t="e">
        <f t="shared" ca="1" si="182"/>
        <v>#DIV/0!</v>
      </c>
      <c r="BR184" s="53" t="e">
        <f t="shared" ca="1" si="183"/>
        <v>#DIV/0!</v>
      </c>
      <c r="BS184" s="53">
        <f t="shared" ca="1" si="184"/>
        <v>0</v>
      </c>
      <c r="BT184" s="53">
        <f t="shared" ca="1" si="185"/>
        <v>0</v>
      </c>
      <c r="BU184" s="56" t="e">
        <f t="shared" ca="1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ca="1" si="189"/>
        <v>0</v>
      </c>
      <c r="CW184" s="53">
        <f t="shared" ca="1" si="190"/>
        <v>0</v>
      </c>
      <c r="CX184" s="58" t="e">
        <f t="shared" ca="1" si="191"/>
        <v>#DIV/0!</v>
      </c>
      <c r="CY184" s="53">
        <f t="shared" ca="1" si="192"/>
        <v>0</v>
      </c>
      <c r="CZ184" s="53">
        <f t="shared" ca="1" si="193"/>
        <v>0</v>
      </c>
      <c r="DA184" s="58" t="e">
        <f t="shared" ca="1" si="194"/>
        <v>#DIV/0!</v>
      </c>
      <c r="DB184" s="48" t="e">
        <f t="shared" ca="1" si="195"/>
        <v>#DIV/0!</v>
      </c>
      <c r="DC184" s="48" t="e">
        <f t="shared" ca="1" si="196"/>
        <v>#DIV/0!</v>
      </c>
      <c r="DD184" s="48" t="e">
        <f t="shared" ca="1" si="197"/>
        <v>#DIV/0!</v>
      </c>
      <c r="DE184" s="48" t="e">
        <f t="shared" ca="1" si="198"/>
        <v>#DIV/0!</v>
      </c>
      <c r="DF184" s="48" t="e">
        <f t="shared" ca="1" si="199"/>
        <v>#DIV/0!</v>
      </c>
      <c r="DG184" s="48" t="e">
        <f t="shared" ca="1" si="200"/>
        <v>#DIV/0!</v>
      </c>
      <c r="DH184" s="48">
        <f ca="1">SUMIF(FCR!$BZ$4:$DB$500,DG184,FCR!$DE$4:$EG$500)</f>
        <v>0</v>
      </c>
      <c r="DI184" s="48" t="e">
        <f t="shared" ca="1" si="201"/>
        <v>#DIV/0!</v>
      </c>
      <c r="DJ184" s="48">
        <f ca="1">SUMIF(FCR!$BZ$4:$DB$142,DI184,FCR!$DE$4:$EG$142)</f>
        <v>0</v>
      </c>
      <c r="DK184" s="48" t="e">
        <f t="shared" ca="1" si="202"/>
        <v>#DIV/0!</v>
      </c>
      <c r="DL184" s="55" t="e">
        <f t="shared" ca="1" si="203"/>
        <v>#DIV/0!</v>
      </c>
      <c r="DM184" s="48" t="e">
        <f t="shared" ca="1" si="204"/>
        <v>#DIV/0!</v>
      </c>
      <c r="DN184" s="48">
        <f ca="1">SUMIF(FCR!$BZ$4:$DB$142,DM184,FCR!$DE$4:$EG$142)</f>
        <v>0</v>
      </c>
      <c r="DO184" s="53" t="e">
        <f t="shared" ca="1" si="205"/>
        <v>#DIV/0!</v>
      </c>
      <c r="DP184" s="55" t="e">
        <f t="shared" ca="1" si="206"/>
        <v>#DIV/0!</v>
      </c>
      <c r="DQ184" s="55" t="e">
        <f t="shared" ca="1" si="207"/>
        <v>#DIV/0!</v>
      </c>
      <c r="DR184" s="55"/>
      <c r="DS184" s="55" t="e">
        <f t="shared" ca="1" si="208"/>
        <v>#DIV/0!</v>
      </c>
      <c r="DT184" s="55" t="e">
        <f t="shared" ca="1" si="209"/>
        <v>#DIV/0!</v>
      </c>
      <c r="DU184" s="53">
        <f t="shared" ca="1" si="210"/>
        <v>0</v>
      </c>
      <c r="DV184" s="59" t="e">
        <f t="shared" ca="1" si="211"/>
        <v>#DIV/0!</v>
      </c>
    </row>
    <row r="185" spans="1:126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AD185" s="49" t="s">
        <v>337</v>
      </c>
      <c r="AE185" s="49">
        <f t="shared" ca="1" si="157"/>
        <v>0</v>
      </c>
      <c r="AF185" s="49">
        <f t="shared" ca="1" si="158"/>
        <v>0</v>
      </c>
      <c r="AG185" s="114">
        <f t="shared" ca="1" si="159"/>
        <v>0</v>
      </c>
      <c r="AH185" s="104">
        <f t="shared" ca="1" si="160"/>
        <v>0</v>
      </c>
      <c r="AI185" s="104">
        <f t="shared" ca="1" si="161"/>
        <v>0</v>
      </c>
      <c r="AJ185" s="104">
        <f t="shared" ca="1" si="162"/>
        <v>0</v>
      </c>
      <c r="AK185" s="104">
        <f t="shared" ca="1" si="163"/>
        <v>0</v>
      </c>
      <c r="AL185" s="104">
        <f t="shared" ca="1" si="164"/>
        <v>0</v>
      </c>
      <c r="AM185" s="104">
        <f t="shared" ca="1" si="165"/>
        <v>0</v>
      </c>
      <c r="AN185" s="104">
        <f t="shared" ca="1" si="166"/>
        <v>0</v>
      </c>
      <c r="AO185" s="104">
        <f t="shared" ca="1" si="167"/>
        <v>0</v>
      </c>
      <c r="AP185" s="104">
        <f t="shared" ca="1" si="168"/>
        <v>0</v>
      </c>
      <c r="AQ185" s="49">
        <f t="shared" ca="1" si="169"/>
        <v>0</v>
      </c>
      <c r="AR185" s="104">
        <f t="shared" ca="1" si="170"/>
        <v>0</v>
      </c>
      <c r="AS185" s="104">
        <f t="shared" ca="1" si="171"/>
        <v>0</v>
      </c>
      <c r="AT185" s="104">
        <f t="shared" ca="1" si="172"/>
        <v>0</v>
      </c>
      <c r="AU185" s="104">
        <f t="shared" ca="1" si="173"/>
        <v>0</v>
      </c>
      <c r="BF185" s="49">
        <f t="shared" ca="1" si="174"/>
        <v>0</v>
      </c>
      <c r="BG185" s="49">
        <f t="shared" ca="1" si="175"/>
        <v>0</v>
      </c>
      <c r="BH185" s="54" t="e">
        <f t="shared" ca="1" si="176"/>
        <v>#DIV/0!</v>
      </c>
      <c r="BI185" s="112" t="e">
        <f t="shared" ca="1" si="177"/>
        <v>#DIV/0!</v>
      </c>
      <c r="BK185" s="55" t="e">
        <f t="shared" ca="1" si="178"/>
        <v>#DIV/0!</v>
      </c>
      <c r="BL185" s="55" t="e">
        <f t="shared" ca="1" si="179"/>
        <v>#DIV/0!</v>
      </c>
      <c r="BM185" s="55" t="e">
        <f t="shared" ca="1" si="180"/>
        <v>#DIV/0!</v>
      </c>
      <c r="BN185" s="53">
        <f t="shared" ca="1" si="181"/>
        <v>0</v>
      </c>
      <c r="BO185" s="112" t="e">
        <f t="shared" ca="1" si="182"/>
        <v>#DIV/0!</v>
      </c>
      <c r="BR185" s="53" t="e">
        <f t="shared" ca="1" si="183"/>
        <v>#DIV/0!</v>
      </c>
      <c r="BS185" s="53">
        <f t="shared" ca="1" si="184"/>
        <v>0</v>
      </c>
      <c r="BT185" s="53">
        <f t="shared" ca="1" si="185"/>
        <v>0</v>
      </c>
      <c r="BU185" s="56" t="e">
        <f t="shared" ca="1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ca="1" si="189"/>
        <v>0</v>
      </c>
      <c r="CW185" s="53">
        <f t="shared" ca="1" si="190"/>
        <v>0</v>
      </c>
      <c r="CX185" s="58" t="e">
        <f t="shared" ca="1" si="191"/>
        <v>#DIV/0!</v>
      </c>
      <c r="CY185" s="53">
        <f t="shared" ca="1" si="192"/>
        <v>0</v>
      </c>
      <c r="CZ185" s="53">
        <f t="shared" ca="1" si="193"/>
        <v>0</v>
      </c>
      <c r="DA185" s="58" t="e">
        <f t="shared" ca="1" si="194"/>
        <v>#DIV/0!</v>
      </c>
      <c r="DB185" s="48" t="e">
        <f t="shared" ca="1" si="195"/>
        <v>#DIV/0!</v>
      </c>
      <c r="DC185" s="48" t="e">
        <f t="shared" ca="1" si="196"/>
        <v>#DIV/0!</v>
      </c>
      <c r="DD185" s="48" t="e">
        <f t="shared" ca="1" si="197"/>
        <v>#DIV/0!</v>
      </c>
      <c r="DE185" s="48" t="e">
        <f t="shared" ca="1" si="198"/>
        <v>#DIV/0!</v>
      </c>
      <c r="DF185" s="48" t="e">
        <f t="shared" ca="1" si="199"/>
        <v>#DIV/0!</v>
      </c>
      <c r="DG185" s="48" t="e">
        <f t="shared" ca="1" si="200"/>
        <v>#DIV/0!</v>
      </c>
      <c r="DH185" s="48">
        <f ca="1">SUMIF(FCR!$BZ$4:$DB$500,DG185,FCR!$DE$4:$EG$500)</f>
        <v>0</v>
      </c>
      <c r="DI185" s="48" t="e">
        <f t="shared" ca="1" si="201"/>
        <v>#DIV/0!</v>
      </c>
      <c r="DJ185" s="48">
        <f ca="1">SUMIF(FCR!$BZ$4:$DB$142,DI185,FCR!$DE$4:$EG$142)</f>
        <v>0</v>
      </c>
      <c r="DK185" s="48" t="e">
        <f t="shared" ca="1" si="202"/>
        <v>#DIV/0!</v>
      </c>
      <c r="DL185" s="55" t="e">
        <f t="shared" ca="1" si="203"/>
        <v>#DIV/0!</v>
      </c>
      <c r="DM185" s="48" t="e">
        <f t="shared" ca="1" si="204"/>
        <v>#DIV/0!</v>
      </c>
      <c r="DN185" s="48">
        <f ca="1">SUMIF(FCR!$BZ$4:$DB$142,DM185,FCR!$DE$4:$EG$142)</f>
        <v>0</v>
      </c>
      <c r="DO185" s="53" t="e">
        <f t="shared" ca="1" si="205"/>
        <v>#DIV/0!</v>
      </c>
      <c r="DP185" s="55" t="e">
        <f t="shared" ca="1" si="206"/>
        <v>#DIV/0!</v>
      </c>
      <c r="DQ185" s="55" t="e">
        <f t="shared" ca="1" si="207"/>
        <v>#DIV/0!</v>
      </c>
      <c r="DR185" s="55"/>
      <c r="DS185" s="55" t="e">
        <f t="shared" ca="1" si="208"/>
        <v>#DIV/0!</v>
      </c>
      <c r="DT185" s="55" t="e">
        <f t="shared" ca="1" si="209"/>
        <v>#DIV/0!</v>
      </c>
      <c r="DU185" s="53">
        <f t="shared" ca="1" si="210"/>
        <v>0</v>
      </c>
      <c r="DV185" s="59" t="e">
        <f t="shared" ca="1" si="211"/>
        <v>#DIV/0!</v>
      </c>
    </row>
    <row r="186" spans="1:126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AD186" s="49" t="s">
        <v>337</v>
      </c>
      <c r="AE186" s="49">
        <f t="shared" ca="1" si="157"/>
        <v>0</v>
      </c>
      <c r="AF186" s="49">
        <f t="shared" ca="1" si="158"/>
        <v>0</v>
      </c>
      <c r="AG186" s="114">
        <f t="shared" ca="1" si="159"/>
        <v>0</v>
      </c>
      <c r="AH186" s="104">
        <f t="shared" ca="1" si="160"/>
        <v>0</v>
      </c>
      <c r="AI186" s="104">
        <f t="shared" ca="1" si="161"/>
        <v>0</v>
      </c>
      <c r="AJ186" s="104">
        <f t="shared" ca="1" si="162"/>
        <v>0</v>
      </c>
      <c r="AK186" s="104">
        <f t="shared" ca="1" si="163"/>
        <v>0</v>
      </c>
      <c r="AL186" s="104">
        <f t="shared" ca="1" si="164"/>
        <v>0</v>
      </c>
      <c r="AM186" s="104">
        <f t="shared" ca="1" si="165"/>
        <v>0</v>
      </c>
      <c r="AN186" s="104">
        <f t="shared" ca="1" si="166"/>
        <v>0</v>
      </c>
      <c r="AO186" s="104">
        <f t="shared" ca="1" si="167"/>
        <v>0</v>
      </c>
      <c r="AP186" s="104">
        <f t="shared" ca="1" si="168"/>
        <v>0</v>
      </c>
      <c r="AQ186" s="49">
        <f t="shared" ca="1" si="169"/>
        <v>0</v>
      </c>
      <c r="AR186" s="104">
        <f t="shared" ca="1" si="170"/>
        <v>0</v>
      </c>
      <c r="AS186" s="104">
        <f t="shared" ca="1" si="171"/>
        <v>0</v>
      </c>
      <c r="AT186" s="104">
        <f t="shared" ca="1" si="172"/>
        <v>0</v>
      </c>
      <c r="AU186" s="104">
        <f t="shared" ca="1" si="173"/>
        <v>0</v>
      </c>
      <c r="BF186" s="49">
        <f t="shared" ca="1" si="174"/>
        <v>0</v>
      </c>
      <c r="BG186" s="49">
        <f t="shared" ca="1" si="175"/>
        <v>0</v>
      </c>
      <c r="BH186" s="54" t="e">
        <f t="shared" ca="1" si="176"/>
        <v>#DIV/0!</v>
      </c>
      <c r="BI186" s="112" t="e">
        <f t="shared" ca="1" si="177"/>
        <v>#DIV/0!</v>
      </c>
      <c r="BK186" s="55" t="e">
        <f t="shared" ca="1" si="178"/>
        <v>#DIV/0!</v>
      </c>
      <c r="BL186" s="55" t="e">
        <f t="shared" ca="1" si="179"/>
        <v>#DIV/0!</v>
      </c>
      <c r="BM186" s="55" t="e">
        <f t="shared" ca="1" si="180"/>
        <v>#DIV/0!</v>
      </c>
      <c r="BN186" s="53">
        <f t="shared" ca="1" si="181"/>
        <v>0</v>
      </c>
      <c r="BO186" s="112" t="e">
        <f t="shared" ca="1" si="182"/>
        <v>#DIV/0!</v>
      </c>
      <c r="BR186" s="53" t="e">
        <f t="shared" ca="1" si="183"/>
        <v>#DIV/0!</v>
      </c>
      <c r="BS186" s="53">
        <f t="shared" ca="1" si="184"/>
        <v>0</v>
      </c>
      <c r="BT186" s="53">
        <f t="shared" ca="1" si="185"/>
        <v>0</v>
      </c>
      <c r="BU186" s="56" t="e">
        <f t="shared" ca="1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ca="1" si="189"/>
        <v>0</v>
      </c>
      <c r="CW186" s="53">
        <f t="shared" ca="1" si="190"/>
        <v>0</v>
      </c>
      <c r="CX186" s="58" t="e">
        <f t="shared" ca="1" si="191"/>
        <v>#DIV/0!</v>
      </c>
      <c r="CY186" s="53">
        <f t="shared" ca="1" si="192"/>
        <v>0</v>
      </c>
      <c r="CZ186" s="53">
        <f t="shared" ca="1" si="193"/>
        <v>0</v>
      </c>
      <c r="DA186" s="58" t="e">
        <f t="shared" ca="1" si="194"/>
        <v>#DIV/0!</v>
      </c>
      <c r="DB186" s="48" t="e">
        <f t="shared" ca="1" si="195"/>
        <v>#DIV/0!</v>
      </c>
      <c r="DC186" s="48" t="e">
        <f t="shared" ca="1" si="196"/>
        <v>#DIV/0!</v>
      </c>
      <c r="DD186" s="48" t="e">
        <f t="shared" ca="1" si="197"/>
        <v>#DIV/0!</v>
      </c>
      <c r="DE186" s="48" t="e">
        <f t="shared" ca="1" si="198"/>
        <v>#DIV/0!</v>
      </c>
      <c r="DF186" s="48" t="e">
        <f t="shared" ca="1" si="199"/>
        <v>#DIV/0!</v>
      </c>
      <c r="DG186" s="48" t="e">
        <f t="shared" ca="1" si="200"/>
        <v>#DIV/0!</v>
      </c>
      <c r="DH186" s="48">
        <f ca="1">SUMIF(FCR!$BZ$4:$DB$500,DG186,FCR!$DE$4:$EG$500)</f>
        <v>0</v>
      </c>
      <c r="DI186" s="48" t="e">
        <f t="shared" ca="1" si="201"/>
        <v>#DIV/0!</v>
      </c>
      <c r="DJ186" s="48">
        <f ca="1">SUMIF(FCR!$BZ$4:$DB$142,DI186,FCR!$DE$4:$EG$142)</f>
        <v>0</v>
      </c>
      <c r="DK186" s="48" t="e">
        <f t="shared" ca="1" si="202"/>
        <v>#DIV/0!</v>
      </c>
      <c r="DL186" s="55" t="e">
        <f t="shared" ca="1" si="203"/>
        <v>#DIV/0!</v>
      </c>
      <c r="DM186" s="48" t="e">
        <f t="shared" ca="1" si="204"/>
        <v>#DIV/0!</v>
      </c>
      <c r="DN186" s="48">
        <f ca="1">SUMIF(FCR!$BZ$4:$DB$142,DM186,FCR!$DE$4:$EG$142)</f>
        <v>0</v>
      </c>
      <c r="DO186" s="53" t="e">
        <f t="shared" ca="1" si="205"/>
        <v>#DIV/0!</v>
      </c>
      <c r="DP186" s="55" t="e">
        <f t="shared" ca="1" si="206"/>
        <v>#DIV/0!</v>
      </c>
      <c r="DQ186" s="55" t="e">
        <f t="shared" ca="1" si="207"/>
        <v>#DIV/0!</v>
      </c>
      <c r="DR186" s="55"/>
      <c r="DS186" s="55" t="e">
        <f t="shared" ca="1" si="208"/>
        <v>#DIV/0!</v>
      </c>
      <c r="DT186" s="55" t="e">
        <f t="shared" ca="1" si="209"/>
        <v>#DIV/0!</v>
      </c>
      <c r="DU186" s="53">
        <f t="shared" ca="1" si="210"/>
        <v>0</v>
      </c>
      <c r="DV186" s="59" t="e">
        <f t="shared" ca="1" si="211"/>
        <v>#DIV/0!</v>
      </c>
    </row>
    <row r="187" spans="1:126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AD187" s="49" t="s">
        <v>337</v>
      </c>
      <c r="AE187" s="49">
        <f t="shared" ca="1" si="157"/>
        <v>0</v>
      </c>
      <c r="AF187" s="49">
        <f t="shared" ca="1" si="158"/>
        <v>0</v>
      </c>
      <c r="AG187" s="114">
        <f t="shared" ca="1" si="159"/>
        <v>0</v>
      </c>
      <c r="AH187" s="104">
        <f t="shared" ca="1" si="160"/>
        <v>0</v>
      </c>
      <c r="AI187" s="104">
        <f t="shared" ca="1" si="161"/>
        <v>0</v>
      </c>
      <c r="AJ187" s="104">
        <f t="shared" ca="1" si="162"/>
        <v>0</v>
      </c>
      <c r="AK187" s="104">
        <f t="shared" ca="1" si="163"/>
        <v>0</v>
      </c>
      <c r="AL187" s="104">
        <f t="shared" ca="1" si="164"/>
        <v>0</v>
      </c>
      <c r="AM187" s="104">
        <f t="shared" ca="1" si="165"/>
        <v>0</v>
      </c>
      <c r="AN187" s="104">
        <f t="shared" ca="1" si="166"/>
        <v>0</v>
      </c>
      <c r="AO187" s="104">
        <f t="shared" ca="1" si="167"/>
        <v>0</v>
      </c>
      <c r="AP187" s="104">
        <f t="shared" ca="1" si="168"/>
        <v>0</v>
      </c>
      <c r="AQ187" s="49">
        <f t="shared" ca="1" si="169"/>
        <v>0</v>
      </c>
      <c r="AR187" s="104">
        <f t="shared" ca="1" si="170"/>
        <v>0</v>
      </c>
      <c r="AS187" s="104">
        <f t="shared" ca="1" si="171"/>
        <v>0</v>
      </c>
      <c r="AT187" s="104">
        <f t="shared" ca="1" si="172"/>
        <v>0</v>
      </c>
      <c r="AU187" s="104">
        <f t="shared" ca="1" si="173"/>
        <v>0</v>
      </c>
      <c r="BF187" s="49">
        <f t="shared" ca="1" si="174"/>
        <v>0</v>
      </c>
      <c r="BG187" s="49">
        <f t="shared" ca="1" si="175"/>
        <v>0</v>
      </c>
      <c r="BH187" s="54" t="e">
        <f t="shared" ca="1" si="176"/>
        <v>#DIV/0!</v>
      </c>
      <c r="BI187" s="112" t="e">
        <f t="shared" ca="1" si="177"/>
        <v>#DIV/0!</v>
      </c>
      <c r="BK187" s="55" t="e">
        <f t="shared" ca="1" si="178"/>
        <v>#DIV/0!</v>
      </c>
      <c r="BL187" s="55" t="e">
        <f t="shared" ca="1" si="179"/>
        <v>#DIV/0!</v>
      </c>
      <c r="BM187" s="55" t="e">
        <f t="shared" ca="1" si="180"/>
        <v>#DIV/0!</v>
      </c>
      <c r="BN187" s="53">
        <f t="shared" ca="1" si="181"/>
        <v>0</v>
      </c>
      <c r="BO187" s="112" t="e">
        <f t="shared" ca="1" si="182"/>
        <v>#DIV/0!</v>
      </c>
      <c r="BR187" s="53" t="e">
        <f t="shared" ca="1" si="183"/>
        <v>#DIV/0!</v>
      </c>
      <c r="BS187" s="53">
        <f t="shared" ca="1" si="184"/>
        <v>0</v>
      </c>
      <c r="BT187" s="53">
        <f t="shared" ca="1" si="185"/>
        <v>0</v>
      </c>
      <c r="BU187" s="56" t="e">
        <f t="shared" ca="1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ca="1" si="189"/>
        <v>0</v>
      </c>
      <c r="CW187" s="53">
        <f t="shared" ca="1" si="190"/>
        <v>0</v>
      </c>
      <c r="CX187" s="58" t="e">
        <f t="shared" ca="1" si="191"/>
        <v>#DIV/0!</v>
      </c>
      <c r="CY187" s="53">
        <f t="shared" ca="1" si="192"/>
        <v>0</v>
      </c>
      <c r="CZ187" s="53">
        <f t="shared" ca="1" si="193"/>
        <v>0</v>
      </c>
      <c r="DA187" s="58" t="e">
        <f t="shared" ca="1" si="194"/>
        <v>#DIV/0!</v>
      </c>
      <c r="DB187" s="48" t="e">
        <f t="shared" ca="1" si="195"/>
        <v>#DIV/0!</v>
      </c>
      <c r="DC187" s="48" t="e">
        <f t="shared" ca="1" si="196"/>
        <v>#DIV/0!</v>
      </c>
      <c r="DD187" s="48" t="e">
        <f t="shared" ca="1" si="197"/>
        <v>#DIV/0!</v>
      </c>
      <c r="DE187" s="48" t="e">
        <f t="shared" ca="1" si="198"/>
        <v>#DIV/0!</v>
      </c>
      <c r="DF187" s="48" t="e">
        <f t="shared" ca="1" si="199"/>
        <v>#DIV/0!</v>
      </c>
      <c r="DG187" s="48" t="e">
        <f t="shared" ca="1" si="200"/>
        <v>#DIV/0!</v>
      </c>
      <c r="DH187" s="48">
        <f ca="1">SUMIF(FCR!$BZ$4:$DB$500,DG187,FCR!$DE$4:$EG$500)</f>
        <v>0</v>
      </c>
      <c r="DI187" s="48" t="e">
        <f t="shared" ca="1" si="201"/>
        <v>#DIV/0!</v>
      </c>
      <c r="DJ187" s="48">
        <f ca="1">SUMIF(FCR!$BZ$4:$DB$142,DI187,FCR!$DE$4:$EG$142)</f>
        <v>0</v>
      </c>
      <c r="DK187" s="48" t="e">
        <f t="shared" ca="1" si="202"/>
        <v>#DIV/0!</v>
      </c>
      <c r="DL187" s="55" t="e">
        <f t="shared" ca="1" si="203"/>
        <v>#DIV/0!</v>
      </c>
      <c r="DM187" s="48" t="e">
        <f t="shared" ca="1" si="204"/>
        <v>#DIV/0!</v>
      </c>
      <c r="DN187" s="48">
        <f ca="1">SUMIF(FCR!$BZ$4:$DB$142,DM187,FCR!$DE$4:$EG$142)</f>
        <v>0</v>
      </c>
      <c r="DO187" s="53" t="e">
        <f t="shared" ca="1" si="205"/>
        <v>#DIV/0!</v>
      </c>
      <c r="DP187" s="55" t="e">
        <f t="shared" ca="1" si="206"/>
        <v>#DIV/0!</v>
      </c>
      <c r="DQ187" s="55" t="e">
        <f t="shared" ca="1" si="207"/>
        <v>#DIV/0!</v>
      </c>
      <c r="DR187" s="55"/>
      <c r="DS187" s="55" t="e">
        <f t="shared" ca="1" si="208"/>
        <v>#DIV/0!</v>
      </c>
      <c r="DT187" s="55" t="e">
        <f t="shared" ca="1" si="209"/>
        <v>#DIV/0!</v>
      </c>
      <c r="DU187" s="53">
        <f t="shared" ca="1" si="210"/>
        <v>0</v>
      </c>
      <c r="DV187" s="59" t="e">
        <f t="shared" ca="1" si="211"/>
        <v>#DIV/0!</v>
      </c>
    </row>
    <row r="188" spans="1:126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AD188" s="49" t="s">
        <v>337</v>
      </c>
      <c r="AE188" s="49">
        <f t="shared" ca="1" si="157"/>
        <v>0</v>
      </c>
      <c r="AF188" s="49">
        <f t="shared" ca="1" si="158"/>
        <v>0</v>
      </c>
      <c r="AG188" s="114">
        <f t="shared" ca="1" si="159"/>
        <v>0</v>
      </c>
      <c r="AH188" s="104">
        <f t="shared" ca="1" si="160"/>
        <v>0</v>
      </c>
      <c r="AI188" s="104">
        <f t="shared" ca="1" si="161"/>
        <v>0</v>
      </c>
      <c r="AJ188" s="104">
        <f t="shared" ca="1" si="162"/>
        <v>0</v>
      </c>
      <c r="AK188" s="104">
        <f t="shared" ca="1" si="163"/>
        <v>0</v>
      </c>
      <c r="AL188" s="104">
        <f t="shared" ca="1" si="164"/>
        <v>0</v>
      </c>
      <c r="AM188" s="104">
        <f t="shared" ca="1" si="165"/>
        <v>0</v>
      </c>
      <c r="AN188" s="104">
        <f t="shared" ca="1" si="166"/>
        <v>0</v>
      </c>
      <c r="AO188" s="104">
        <f t="shared" ca="1" si="167"/>
        <v>0</v>
      </c>
      <c r="AP188" s="104">
        <f t="shared" ca="1" si="168"/>
        <v>0</v>
      </c>
      <c r="AQ188" s="49">
        <f t="shared" ca="1" si="169"/>
        <v>0</v>
      </c>
      <c r="AR188" s="104">
        <f t="shared" ca="1" si="170"/>
        <v>0</v>
      </c>
      <c r="AS188" s="104">
        <f t="shared" ca="1" si="171"/>
        <v>0</v>
      </c>
      <c r="AT188" s="104">
        <f t="shared" ca="1" si="172"/>
        <v>0</v>
      </c>
      <c r="AU188" s="104">
        <f t="shared" ca="1" si="173"/>
        <v>0</v>
      </c>
      <c r="BF188" s="49">
        <f t="shared" ca="1" si="174"/>
        <v>0</v>
      </c>
      <c r="BG188" s="49">
        <f t="shared" ca="1" si="175"/>
        <v>0</v>
      </c>
      <c r="BH188" s="54" t="e">
        <f t="shared" ca="1" si="176"/>
        <v>#DIV/0!</v>
      </c>
      <c r="BI188" s="112" t="e">
        <f t="shared" ca="1" si="177"/>
        <v>#DIV/0!</v>
      </c>
      <c r="BK188" s="55" t="e">
        <f t="shared" ca="1" si="178"/>
        <v>#DIV/0!</v>
      </c>
      <c r="BL188" s="55" t="e">
        <f t="shared" ca="1" si="179"/>
        <v>#DIV/0!</v>
      </c>
      <c r="BM188" s="55" t="e">
        <f t="shared" ca="1" si="180"/>
        <v>#DIV/0!</v>
      </c>
      <c r="BN188" s="53">
        <f t="shared" ca="1" si="181"/>
        <v>0</v>
      </c>
      <c r="BO188" s="112" t="e">
        <f t="shared" ca="1" si="182"/>
        <v>#DIV/0!</v>
      </c>
      <c r="BR188" s="53" t="e">
        <f t="shared" ca="1" si="183"/>
        <v>#DIV/0!</v>
      </c>
      <c r="BS188" s="53">
        <f t="shared" ca="1" si="184"/>
        <v>0</v>
      </c>
      <c r="BT188" s="53">
        <f t="shared" ca="1" si="185"/>
        <v>0</v>
      </c>
      <c r="BU188" s="56" t="e">
        <f t="shared" ca="1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ca="1" si="189"/>
        <v>0</v>
      </c>
      <c r="CW188" s="53">
        <f t="shared" ca="1" si="190"/>
        <v>0</v>
      </c>
      <c r="CX188" s="58" t="e">
        <f t="shared" ca="1" si="191"/>
        <v>#DIV/0!</v>
      </c>
      <c r="CY188" s="53">
        <f t="shared" ca="1" si="192"/>
        <v>0</v>
      </c>
      <c r="CZ188" s="53">
        <f t="shared" ca="1" si="193"/>
        <v>0</v>
      </c>
      <c r="DA188" s="58" t="e">
        <f t="shared" ca="1" si="194"/>
        <v>#DIV/0!</v>
      </c>
      <c r="DB188" s="48" t="e">
        <f t="shared" ca="1" si="195"/>
        <v>#DIV/0!</v>
      </c>
      <c r="DC188" s="48" t="e">
        <f t="shared" ca="1" si="196"/>
        <v>#DIV/0!</v>
      </c>
      <c r="DD188" s="48" t="e">
        <f t="shared" ca="1" si="197"/>
        <v>#DIV/0!</v>
      </c>
      <c r="DE188" s="48" t="e">
        <f t="shared" ca="1" si="198"/>
        <v>#DIV/0!</v>
      </c>
      <c r="DF188" s="48" t="e">
        <f t="shared" ca="1" si="199"/>
        <v>#DIV/0!</v>
      </c>
      <c r="DG188" s="48" t="e">
        <f t="shared" ca="1" si="200"/>
        <v>#DIV/0!</v>
      </c>
      <c r="DH188" s="48">
        <f ca="1">SUMIF(FCR!$BZ$4:$DB$500,DG188,FCR!$DE$4:$EG$500)</f>
        <v>0</v>
      </c>
      <c r="DI188" s="48" t="e">
        <f t="shared" ca="1" si="201"/>
        <v>#DIV/0!</v>
      </c>
      <c r="DJ188" s="48">
        <f ca="1">SUMIF(FCR!$BZ$4:$DB$142,DI188,FCR!$DE$4:$EG$142)</f>
        <v>0</v>
      </c>
      <c r="DK188" s="48" t="e">
        <f t="shared" ca="1" si="202"/>
        <v>#DIV/0!</v>
      </c>
      <c r="DL188" s="55" t="e">
        <f t="shared" ca="1" si="203"/>
        <v>#DIV/0!</v>
      </c>
      <c r="DM188" s="48" t="e">
        <f t="shared" ca="1" si="204"/>
        <v>#DIV/0!</v>
      </c>
      <c r="DN188" s="48">
        <f ca="1">SUMIF(FCR!$BZ$4:$DB$142,DM188,FCR!$DE$4:$EG$142)</f>
        <v>0</v>
      </c>
      <c r="DO188" s="53" t="e">
        <f t="shared" ca="1" si="205"/>
        <v>#DIV/0!</v>
      </c>
      <c r="DP188" s="55" t="e">
        <f t="shared" ca="1" si="206"/>
        <v>#DIV/0!</v>
      </c>
      <c r="DQ188" s="55" t="e">
        <f t="shared" ca="1" si="207"/>
        <v>#DIV/0!</v>
      </c>
      <c r="DR188" s="55"/>
      <c r="DS188" s="55" t="e">
        <f t="shared" ca="1" si="208"/>
        <v>#DIV/0!</v>
      </c>
      <c r="DT188" s="55" t="e">
        <f t="shared" ca="1" si="209"/>
        <v>#DIV/0!</v>
      </c>
      <c r="DU188" s="53">
        <f t="shared" ca="1" si="210"/>
        <v>0</v>
      </c>
      <c r="DV188" s="59" t="e">
        <f t="shared" ca="1" si="211"/>
        <v>#DIV/0!</v>
      </c>
    </row>
    <row r="189" spans="1:126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AD189" s="49" t="s">
        <v>337</v>
      </c>
      <c r="AE189" s="49">
        <f t="shared" ca="1" si="157"/>
        <v>0</v>
      </c>
      <c r="AF189" s="49">
        <f t="shared" ca="1" si="158"/>
        <v>0</v>
      </c>
      <c r="AG189" s="114">
        <f t="shared" ca="1" si="159"/>
        <v>0</v>
      </c>
      <c r="AH189" s="104">
        <f t="shared" ca="1" si="160"/>
        <v>0</v>
      </c>
      <c r="AI189" s="104">
        <f t="shared" ca="1" si="161"/>
        <v>0</v>
      </c>
      <c r="AJ189" s="104">
        <f t="shared" ca="1" si="162"/>
        <v>0</v>
      </c>
      <c r="AK189" s="104">
        <f t="shared" ca="1" si="163"/>
        <v>0</v>
      </c>
      <c r="AL189" s="104">
        <f t="shared" ca="1" si="164"/>
        <v>0</v>
      </c>
      <c r="AM189" s="104">
        <f t="shared" ca="1" si="165"/>
        <v>0</v>
      </c>
      <c r="AN189" s="104">
        <f t="shared" ca="1" si="166"/>
        <v>0</v>
      </c>
      <c r="AO189" s="104">
        <f t="shared" ca="1" si="167"/>
        <v>0</v>
      </c>
      <c r="AP189" s="104">
        <f t="shared" ca="1" si="168"/>
        <v>0</v>
      </c>
      <c r="AQ189" s="49">
        <f t="shared" ca="1" si="169"/>
        <v>0</v>
      </c>
      <c r="AR189" s="104">
        <f t="shared" ca="1" si="170"/>
        <v>0</v>
      </c>
      <c r="AS189" s="104">
        <f t="shared" ca="1" si="171"/>
        <v>0</v>
      </c>
      <c r="AT189" s="104">
        <f t="shared" ca="1" si="172"/>
        <v>0</v>
      </c>
      <c r="AU189" s="104">
        <f t="shared" ca="1" si="173"/>
        <v>0</v>
      </c>
      <c r="BF189" s="49">
        <f t="shared" ca="1" si="174"/>
        <v>0</v>
      </c>
      <c r="BG189" s="49">
        <f t="shared" ca="1" si="175"/>
        <v>0</v>
      </c>
      <c r="BH189" s="54" t="e">
        <f t="shared" ca="1" si="176"/>
        <v>#DIV/0!</v>
      </c>
      <c r="BI189" s="112" t="e">
        <f t="shared" ca="1" si="177"/>
        <v>#DIV/0!</v>
      </c>
      <c r="BK189" s="55" t="e">
        <f t="shared" ca="1" si="178"/>
        <v>#DIV/0!</v>
      </c>
      <c r="BL189" s="55" t="e">
        <f t="shared" ca="1" si="179"/>
        <v>#DIV/0!</v>
      </c>
      <c r="BM189" s="55" t="e">
        <f t="shared" ca="1" si="180"/>
        <v>#DIV/0!</v>
      </c>
      <c r="BN189" s="53">
        <f t="shared" ca="1" si="181"/>
        <v>0</v>
      </c>
      <c r="BO189" s="112" t="e">
        <f t="shared" ca="1" si="182"/>
        <v>#DIV/0!</v>
      </c>
      <c r="BR189" s="53" t="e">
        <f t="shared" ca="1" si="183"/>
        <v>#DIV/0!</v>
      </c>
      <c r="BS189" s="53">
        <f t="shared" ca="1" si="184"/>
        <v>0</v>
      </c>
      <c r="BT189" s="53">
        <f t="shared" ca="1" si="185"/>
        <v>0</v>
      </c>
      <c r="BU189" s="56" t="e">
        <f t="shared" ca="1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ca="1" si="189"/>
        <v>0</v>
      </c>
      <c r="CW189" s="53">
        <f t="shared" ca="1" si="190"/>
        <v>0</v>
      </c>
      <c r="CX189" s="58" t="e">
        <f t="shared" ca="1" si="191"/>
        <v>#DIV/0!</v>
      </c>
      <c r="CY189" s="53">
        <f t="shared" ca="1" si="192"/>
        <v>0</v>
      </c>
      <c r="CZ189" s="53">
        <f t="shared" ca="1" si="193"/>
        <v>0</v>
      </c>
      <c r="DA189" s="58" t="e">
        <f t="shared" ca="1" si="194"/>
        <v>#DIV/0!</v>
      </c>
      <c r="DB189" s="48" t="e">
        <f t="shared" ca="1" si="195"/>
        <v>#DIV/0!</v>
      </c>
      <c r="DC189" s="48" t="e">
        <f t="shared" ca="1" si="196"/>
        <v>#DIV/0!</v>
      </c>
      <c r="DD189" s="48" t="e">
        <f t="shared" ca="1" si="197"/>
        <v>#DIV/0!</v>
      </c>
      <c r="DE189" s="48" t="e">
        <f t="shared" ca="1" si="198"/>
        <v>#DIV/0!</v>
      </c>
      <c r="DF189" s="48" t="e">
        <f t="shared" ca="1" si="199"/>
        <v>#DIV/0!</v>
      </c>
      <c r="DG189" s="48" t="e">
        <f t="shared" ca="1" si="200"/>
        <v>#DIV/0!</v>
      </c>
      <c r="DH189" s="48">
        <f ca="1">SUMIF(FCR!$BZ$4:$DB$500,DG189,FCR!$DE$4:$EG$500)</f>
        <v>0</v>
      </c>
      <c r="DI189" s="48" t="e">
        <f t="shared" ca="1" si="201"/>
        <v>#DIV/0!</v>
      </c>
      <c r="DJ189" s="48">
        <f ca="1">SUMIF(FCR!$BZ$4:$DB$142,DI189,FCR!$DE$4:$EG$142)</f>
        <v>0</v>
      </c>
      <c r="DK189" s="48" t="e">
        <f t="shared" ca="1" si="202"/>
        <v>#DIV/0!</v>
      </c>
      <c r="DL189" s="55" t="e">
        <f t="shared" ca="1" si="203"/>
        <v>#DIV/0!</v>
      </c>
      <c r="DM189" s="48" t="e">
        <f t="shared" ca="1" si="204"/>
        <v>#DIV/0!</v>
      </c>
      <c r="DN189" s="48">
        <f ca="1">SUMIF(FCR!$BZ$4:$DB$142,DM189,FCR!$DE$4:$EG$142)</f>
        <v>0</v>
      </c>
      <c r="DO189" s="53" t="e">
        <f t="shared" ca="1" si="205"/>
        <v>#DIV/0!</v>
      </c>
      <c r="DP189" s="55" t="e">
        <f t="shared" ca="1" si="206"/>
        <v>#DIV/0!</v>
      </c>
      <c r="DQ189" s="55" t="e">
        <f t="shared" ca="1" si="207"/>
        <v>#DIV/0!</v>
      </c>
      <c r="DR189" s="55"/>
      <c r="DS189" s="55" t="e">
        <f t="shared" ca="1" si="208"/>
        <v>#DIV/0!</v>
      </c>
      <c r="DT189" s="55" t="e">
        <f t="shared" ca="1" si="209"/>
        <v>#DIV/0!</v>
      </c>
      <c r="DU189" s="53">
        <f t="shared" ca="1" si="210"/>
        <v>0</v>
      </c>
      <c r="DV189" s="59" t="e">
        <f t="shared" ca="1" si="211"/>
        <v>#DIV/0!</v>
      </c>
    </row>
    <row r="190" spans="1:126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AD190" s="49" t="s">
        <v>337</v>
      </c>
      <c r="AE190" s="49">
        <f t="shared" ca="1" si="157"/>
        <v>0</v>
      </c>
      <c r="AF190" s="49">
        <f t="shared" ca="1" si="158"/>
        <v>0</v>
      </c>
      <c r="AG190" s="114">
        <f t="shared" ca="1" si="159"/>
        <v>0</v>
      </c>
      <c r="AH190" s="104">
        <f t="shared" ca="1" si="160"/>
        <v>0</v>
      </c>
      <c r="AI190" s="104">
        <f t="shared" ca="1" si="161"/>
        <v>0</v>
      </c>
      <c r="AJ190" s="104">
        <f t="shared" ca="1" si="162"/>
        <v>0</v>
      </c>
      <c r="AK190" s="104">
        <f t="shared" ca="1" si="163"/>
        <v>0</v>
      </c>
      <c r="AL190" s="104">
        <f t="shared" ca="1" si="164"/>
        <v>0</v>
      </c>
      <c r="AM190" s="104">
        <f t="shared" ca="1" si="165"/>
        <v>0</v>
      </c>
      <c r="AN190" s="104">
        <f t="shared" ca="1" si="166"/>
        <v>0</v>
      </c>
      <c r="AO190" s="104">
        <f t="shared" ca="1" si="167"/>
        <v>0</v>
      </c>
      <c r="AP190" s="104">
        <f t="shared" ca="1" si="168"/>
        <v>0</v>
      </c>
      <c r="AQ190" s="49">
        <f t="shared" ca="1" si="169"/>
        <v>0</v>
      </c>
      <c r="AR190" s="104">
        <f t="shared" ca="1" si="170"/>
        <v>0</v>
      </c>
      <c r="AS190" s="104">
        <f t="shared" ca="1" si="171"/>
        <v>0</v>
      </c>
      <c r="AT190" s="104">
        <f t="shared" ca="1" si="172"/>
        <v>0</v>
      </c>
      <c r="AU190" s="104">
        <f t="shared" ca="1" si="173"/>
        <v>0</v>
      </c>
      <c r="BF190" s="49">
        <f t="shared" ca="1" si="174"/>
        <v>0</v>
      </c>
      <c r="BG190" s="49">
        <f t="shared" ca="1" si="175"/>
        <v>0</v>
      </c>
      <c r="BH190" s="54" t="e">
        <f t="shared" ca="1" si="176"/>
        <v>#DIV/0!</v>
      </c>
      <c r="BI190" s="112" t="e">
        <f t="shared" ca="1" si="177"/>
        <v>#DIV/0!</v>
      </c>
      <c r="BK190" s="55" t="e">
        <f t="shared" ca="1" si="178"/>
        <v>#DIV/0!</v>
      </c>
      <c r="BL190" s="55" t="e">
        <f t="shared" ca="1" si="179"/>
        <v>#DIV/0!</v>
      </c>
      <c r="BM190" s="55" t="e">
        <f t="shared" ca="1" si="180"/>
        <v>#DIV/0!</v>
      </c>
      <c r="BN190" s="53">
        <f t="shared" ca="1" si="181"/>
        <v>0</v>
      </c>
      <c r="BO190" s="112" t="e">
        <f t="shared" ca="1" si="182"/>
        <v>#DIV/0!</v>
      </c>
      <c r="BR190" s="53" t="e">
        <f t="shared" ca="1" si="183"/>
        <v>#DIV/0!</v>
      </c>
      <c r="BS190" s="53">
        <f t="shared" ca="1" si="184"/>
        <v>0</v>
      </c>
      <c r="BT190" s="53">
        <f t="shared" ca="1" si="185"/>
        <v>0</v>
      </c>
      <c r="BU190" s="56" t="e">
        <f t="shared" ca="1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ca="1" si="189"/>
        <v>0</v>
      </c>
      <c r="CW190" s="53">
        <f t="shared" ca="1" si="190"/>
        <v>0</v>
      </c>
      <c r="CX190" s="58" t="e">
        <f t="shared" ca="1" si="191"/>
        <v>#DIV/0!</v>
      </c>
      <c r="CY190" s="53">
        <f t="shared" ca="1" si="192"/>
        <v>0</v>
      </c>
      <c r="CZ190" s="53">
        <f t="shared" ca="1" si="193"/>
        <v>0</v>
      </c>
      <c r="DA190" s="58" t="e">
        <f t="shared" ca="1" si="194"/>
        <v>#DIV/0!</v>
      </c>
      <c r="DB190" s="48" t="e">
        <f t="shared" ca="1" si="195"/>
        <v>#DIV/0!</v>
      </c>
      <c r="DC190" s="48" t="e">
        <f t="shared" ca="1" si="196"/>
        <v>#DIV/0!</v>
      </c>
      <c r="DD190" s="48" t="e">
        <f t="shared" ca="1" si="197"/>
        <v>#DIV/0!</v>
      </c>
      <c r="DE190" s="48" t="e">
        <f t="shared" ca="1" si="198"/>
        <v>#DIV/0!</v>
      </c>
      <c r="DF190" s="48" t="e">
        <f t="shared" ca="1" si="199"/>
        <v>#DIV/0!</v>
      </c>
      <c r="DG190" s="48" t="e">
        <f t="shared" ca="1" si="200"/>
        <v>#DIV/0!</v>
      </c>
      <c r="DH190" s="48">
        <f ca="1">SUMIF(FCR!$BZ$4:$DB$500,DG190,FCR!$DE$4:$EG$500)</f>
        <v>0</v>
      </c>
      <c r="DI190" s="48" t="e">
        <f t="shared" ca="1" si="201"/>
        <v>#DIV/0!</v>
      </c>
      <c r="DJ190" s="48">
        <f ca="1">SUMIF(FCR!$BZ$4:$DB$142,DI190,FCR!$DE$4:$EG$142)</f>
        <v>0</v>
      </c>
      <c r="DK190" s="48" t="e">
        <f t="shared" ca="1" si="202"/>
        <v>#DIV/0!</v>
      </c>
      <c r="DL190" s="55" t="e">
        <f t="shared" ca="1" si="203"/>
        <v>#DIV/0!</v>
      </c>
      <c r="DM190" s="48" t="e">
        <f t="shared" ca="1" si="204"/>
        <v>#DIV/0!</v>
      </c>
      <c r="DN190" s="48">
        <f ca="1">SUMIF(FCR!$BZ$4:$DB$142,DM190,FCR!$DE$4:$EG$142)</f>
        <v>0</v>
      </c>
      <c r="DO190" s="53" t="e">
        <f t="shared" ca="1" si="205"/>
        <v>#DIV/0!</v>
      </c>
      <c r="DP190" s="55" t="e">
        <f t="shared" ca="1" si="206"/>
        <v>#DIV/0!</v>
      </c>
      <c r="DQ190" s="55" t="e">
        <f t="shared" ca="1" si="207"/>
        <v>#DIV/0!</v>
      </c>
      <c r="DR190" s="55"/>
      <c r="DS190" s="55" t="e">
        <f t="shared" ca="1" si="208"/>
        <v>#DIV/0!</v>
      </c>
      <c r="DT190" s="55" t="e">
        <f t="shared" ca="1" si="209"/>
        <v>#DIV/0!</v>
      </c>
      <c r="DU190" s="53">
        <f t="shared" ca="1" si="210"/>
        <v>0</v>
      </c>
      <c r="DV190" s="59" t="e">
        <f t="shared" ca="1" si="211"/>
        <v>#DIV/0!</v>
      </c>
    </row>
    <row r="191" spans="1:126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AD191" s="49" t="s">
        <v>337</v>
      </c>
      <c r="AE191" s="49">
        <f t="shared" ca="1" si="157"/>
        <v>0</v>
      </c>
      <c r="AF191" s="49">
        <f t="shared" ca="1" si="158"/>
        <v>0</v>
      </c>
      <c r="AG191" s="114">
        <f t="shared" ca="1" si="159"/>
        <v>0</v>
      </c>
      <c r="AH191" s="104">
        <f t="shared" ca="1" si="160"/>
        <v>0</v>
      </c>
      <c r="AI191" s="104">
        <f t="shared" ca="1" si="161"/>
        <v>0</v>
      </c>
      <c r="AJ191" s="104">
        <f t="shared" ca="1" si="162"/>
        <v>0</v>
      </c>
      <c r="AK191" s="104">
        <f t="shared" ca="1" si="163"/>
        <v>0</v>
      </c>
      <c r="AL191" s="104">
        <f t="shared" ca="1" si="164"/>
        <v>0</v>
      </c>
      <c r="AM191" s="104">
        <f t="shared" ca="1" si="165"/>
        <v>0</v>
      </c>
      <c r="AN191" s="104">
        <f t="shared" ca="1" si="166"/>
        <v>0</v>
      </c>
      <c r="AO191" s="104">
        <f t="shared" ca="1" si="167"/>
        <v>0</v>
      </c>
      <c r="AP191" s="104">
        <f t="shared" ca="1" si="168"/>
        <v>0</v>
      </c>
      <c r="AQ191" s="49">
        <f t="shared" ca="1" si="169"/>
        <v>0</v>
      </c>
      <c r="AR191" s="104">
        <f t="shared" ca="1" si="170"/>
        <v>0</v>
      </c>
      <c r="AS191" s="104">
        <f t="shared" ca="1" si="171"/>
        <v>0</v>
      </c>
      <c r="AT191" s="104">
        <f t="shared" ca="1" si="172"/>
        <v>0</v>
      </c>
      <c r="AU191" s="104">
        <f t="shared" ca="1" si="173"/>
        <v>0</v>
      </c>
      <c r="BF191" s="49">
        <f t="shared" ca="1" si="174"/>
        <v>0</v>
      </c>
      <c r="BG191" s="49">
        <f t="shared" ca="1" si="175"/>
        <v>0</v>
      </c>
      <c r="BH191" s="54" t="e">
        <f t="shared" ca="1" si="176"/>
        <v>#DIV/0!</v>
      </c>
      <c r="BI191" s="112" t="e">
        <f t="shared" ca="1" si="177"/>
        <v>#DIV/0!</v>
      </c>
      <c r="BK191" s="55" t="e">
        <f t="shared" ca="1" si="178"/>
        <v>#DIV/0!</v>
      </c>
      <c r="BL191" s="55" t="e">
        <f t="shared" ca="1" si="179"/>
        <v>#DIV/0!</v>
      </c>
      <c r="BM191" s="55" t="e">
        <f t="shared" ca="1" si="180"/>
        <v>#DIV/0!</v>
      </c>
      <c r="BN191" s="53">
        <f t="shared" ca="1" si="181"/>
        <v>0</v>
      </c>
      <c r="BO191" s="112" t="e">
        <f t="shared" ca="1" si="182"/>
        <v>#DIV/0!</v>
      </c>
      <c r="BR191" s="53" t="e">
        <f t="shared" ca="1" si="183"/>
        <v>#DIV/0!</v>
      </c>
      <c r="BS191" s="53">
        <f t="shared" ca="1" si="184"/>
        <v>0</v>
      </c>
      <c r="BT191" s="53">
        <f t="shared" ca="1" si="185"/>
        <v>0</v>
      </c>
      <c r="BU191" s="56" t="e">
        <f t="shared" ca="1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ca="1" si="189"/>
        <v>0</v>
      </c>
      <c r="CW191" s="53">
        <f t="shared" ca="1" si="190"/>
        <v>0</v>
      </c>
      <c r="CX191" s="58" t="e">
        <f t="shared" ca="1" si="191"/>
        <v>#DIV/0!</v>
      </c>
      <c r="CY191" s="53">
        <f t="shared" ca="1" si="192"/>
        <v>0</v>
      </c>
      <c r="CZ191" s="53">
        <f t="shared" ca="1" si="193"/>
        <v>0</v>
      </c>
      <c r="DA191" s="58" t="e">
        <f t="shared" ca="1" si="194"/>
        <v>#DIV/0!</v>
      </c>
      <c r="DB191" s="48" t="e">
        <f t="shared" ca="1" si="195"/>
        <v>#DIV/0!</v>
      </c>
      <c r="DC191" s="48" t="e">
        <f t="shared" ca="1" si="196"/>
        <v>#DIV/0!</v>
      </c>
      <c r="DD191" s="48" t="e">
        <f t="shared" ca="1" si="197"/>
        <v>#DIV/0!</v>
      </c>
      <c r="DE191" s="48" t="e">
        <f t="shared" ca="1" si="198"/>
        <v>#DIV/0!</v>
      </c>
      <c r="DF191" s="48" t="e">
        <f t="shared" ca="1" si="199"/>
        <v>#DIV/0!</v>
      </c>
      <c r="DG191" s="48" t="e">
        <f t="shared" ca="1" si="200"/>
        <v>#DIV/0!</v>
      </c>
      <c r="DH191" s="48">
        <f ca="1">SUMIF(FCR!$BZ$4:$DB$500,DG191,FCR!$DE$4:$EG$500)</f>
        <v>0</v>
      </c>
      <c r="DI191" s="48" t="e">
        <f t="shared" ca="1" si="201"/>
        <v>#DIV/0!</v>
      </c>
      <c r="DJ191" s="48">
        <f ca="1">SUMIF(FCR!$BZ$4:$DB$142,DI191,FCR!$DE$4:$EG$142)</f>
        <v>0</v>
      </c>
      <c r="DK191" s="48" t="e">
        <f t="shared" ca="1" si="202"/>
        <v>#DIV/0!</v>
      </c>
      <c r="DL191" s="55" t="e">
        <f t="shared" ca="1" si="203"/>
        <v>#DIV/0!</v>
      </c>
      <c r="DM191" s="48" t="e">
        <f t="shared" ca="1" si="204"/>
        <v>#DIV/0!</v>
      </c>
      <c r="DN191" s="48">
        <f ca="1">SUMIF(FCR!$BZ$4:$DB$142,DM191,FCR!$DE$4:$EG$142)</f>
        <v>0</v>
      </c>
      <c r="DO191" s="53" t="e">
        <f t="shared" ca="1" si="205"/>
        <v>#DIV/0!</v>
      </c>
      <c r="DP191" s="55" t="e">
        <f t="shared" ca="1" si="206"/>
        <v>#DIV/0!</v>
      </c>
      <c r="DQ191" s="55" t="e">
        <f t="shared" ca="1" si="207"/>
        <v>#DIV/0!</v>
      </c>
      <c r="DR191" s="55"/>
      <c r="DS191" s="55" t="e">
        <f t="shared" ca="1" si="208"/>
        <v>#DIV/0!</v>
      </c>
      <c r="DT191" s="55" t="e">
        <f t="shared" ca="1" si="209"/>
        <v>#DIV/0!</v>
      </c>
      <c r="DU191" s="53">
        <f t="shared" ca="1" si="210"/>
        <v>0</v>
      </c>
      <c r="DV191" s="59" t="e">
        <f t="shared" ca="1" si="211"/>
        <v>#DIV/0!</v>
      </c>
    </row>
    <row r="192" spans="1:126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AD192" s="49" t="s">
        <v>337</v>
      </c>
      <c r="AE192" s="49">
        <f t="shared" ca="1" si="157"/>
        <v>0</v>
      </c>
      <c r="AF192" s="49">
        <f t="shared" ca="1" si="158"/>
        <v>0</v>
      </c>
      <c r="AG192" s="114">
        <f t="shared" ca="1" si="159"/>
        <v>0</v>
      </c>
      <c r="AH192" s="104">
        <f t="shared" ca="1" si="160"/>
        <v>0</v>
      </c>
      <c r="AI192" s="104">
        <f t="shared" ca="1" si="161"/>
        <v>0</v>
      </c>
      <c r="AJ192" s="104">
        <f t="shared" ca="1" si="162"/>
        <v>0</v>
      </c>
      <c r="AK192" s="104">
        <f t="shared" ca="1" si="163"/>
        <v>0</v>
      </c>
      <c r="AL192" s="104">
        <f t="shared" ca="1" si="164"/>
        <v>0</v>
      </c>
      <c r="AM192" s="104">
        <f t="shared" ca="1" si="165"/>
        <v>0</v>
      </c>
      <c r="AN192" s="104">
        <f t="shared" ca="1" si="166"/>
        <v>0</v>
      </c>
      <c r="AO192" s="104">
        <f t="shared" ca="1" si="167"/>
        <v>0</v>
      </c>
      <c r="AP192" s="104">
        <f t="shared" ca="1" si="168"/>
        <v>0</v>
      </c>
      <c r="AQ192" s="49">
        <f t="shared" ca="1" si="169"/>
        <v>0</v>
      </c>
      <c r="AR192" s="104">
        <f t="shared" ca="1" si="170"/>
        <v>0</v>
      </c>
      <c r="AS192" s="104">
        <f t="shared" ca="1" si="171"/>
        <v>0</v>
      </c>
      <c r="AT192" s="104">
        <f t="shared" ca="1" si="172"/>
        <v>0</v>
      </c>
      <c r="AU192" s="104">
        <f t="shared" ca="1" si="173"/>
        <v>0</v>
      </c>
      <c r="BF192" s="49">
        <f t="shared" ca="1" si="174"/>
        <v>0</v>
      </c>
      <c r="BG192" s="49">
        <f t="shared" ca="1" si="175"/>
        <v>0</v>
      </c>
      <c r="BH192" s="54" t="e">
        <f t="shared" ca="1" si="176"/>
        <v>#DIV/0!</v>
      </c>
      <c r="BI192" s="112" t="e">
        <f t="shared" ca="1" si="177"/>
        <v>#DIV/0!</v>
      </c>
      <c r="BK192" s="55" t="e">
        <f t="shared" ca="1" si="178"/>
        <v>#DIV/0!</v>
      </c>
      <c r="BL192" s="55" t="e">
        <f t="shared" ca="1" si="179"/>
        <v>#DIV/0!</v>
      </c>
      <c r="BM192" s="55" t="e">
        <f t="shared" ca="1" si="180"/>
        <v>#DIV/0!</v>
      </c>
      <c r="BN192" s="53">
        <f t="shared" ca="1" si="181"/>
        <v>0</v>
      </c>
      <c r="BO192" s="112" t="e">
        <f t="shared" ca="1" si="182"/>
        <v>#DIV/0!</v>
      </c>
      <c r="BR192" s="53" t="e">
        <f t="shared" ca="1" si="183"/>
        <v>#DIV/0!</v>
      </c>
      <c r="BS192" s="53">
        <f t="shared" ca="1" si="184"/>
        <v>0</v>
      </c>
      <c r="BT192" s="53">
        <f t="shared" ca="1" si="185"/>
        <v>0</v>
      </c>
      <c r="BU192" s="56" t="e">
        <f t="shared" ca="1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ca="1" si="189"/>
        <v>0</v>
      </c>
      <c r="CW192" s="53">
        <f t="shared" ca="1" si="190"/>
        <v>0</v>
      </c>
      <c r="CX192" s="58" t="e">
        <f t="shared" ca="1" si="191"/>
        <v>#DIV/0!</v>
      </c>
      <c r="CY192" s="53">
        <f t="shared" ca="1" si="192"/>
        <v>0</v>
      </c>
      <c r="CZ192" s="53">
        <f t="shared" ca="1" si="193"/>
        <v>0</v>
      </c>
      <c r="DA192" s="58" t="e">
        <f t="shared" ca="1" si="194"/>
        <v>#DIV/0!</v>
      </c>
      <c r="DB192" s="48" t="e">
        <f t="shared" ca="1" si="195"/>
        <v>#DIV/0!</v>
      </c>
      <c r="DC192" s="48" t="e">
        <f t="shared" ca="1" si="196"/>
        <v>#DIV/0!</v>
      </c>
      <c r="DD192" s="48" t="e">
        <f t="shared" ca="1" si="197"/>
        <v>#DIV/0!</v>
      </c>
      <c r="DE192" s="48" t="e">
        <f t="shared" ca="1" si="198"/>
        <v>#DIV/0!</v>
      </c>
      <c r="DF192" s="48" t="e">
        <f t="shared" ca="1" si="199"/>
        <v>#DIV/0!</v>
      </c>
      <c r="DG192" s="48" t="e">
        <f t="shared" ca="1" si="200"/>
        <v>#DIV/0!</v>
      </c>
      <c r="DH192" s="48">
        <f ca="1">SUMIF(FCR!$BZ$4:$DB$500,DG192,FCR!$DE$4:$EG$500)</f>
        <v>0</v>
      </c>
      <c r="DI192" s="48" t="e">
        <f t="shared" ca="1" si="201"/>
        <v>#DIV/0!</v>
      </c>
      <c r="DJ192" s="48">
        <f ca="1">SUMIF(FCR!$BZ$4:$DB$142,DI192,FCR!$DE$4:$EG$142)</f>
        <v>0</v>
      </c>
      <c r="DK192" s="48" t="e">
        <f t="shared" ca="1" si="202"/>
        <v>#DIV/0!</v>
      </c>
      <c r="DL192" s="55" t="e">
        <f t="shared" ca="1" si="203"/>
        <v>#DIV/0!</v>
      </c>
      <c r="DM192" s="48" t="e">
        <f t="shared" ca="1" si="204"/>
        <v>#DIV/0!</v>
      </c>
      <c r="DN192" s="48">
        <f ca="1">SUMIF(FCR!$BZ$4:$DB$142,DM192,FCR!$DE$4:$EG$142)</f>
        <v>0</v>
      </c>
      <c r="DO192" s="53" t="e">
        <f t="shared" ca="1" si="205"/>
        <v>#DIV/0!</v>
      </c>
      <c r="DP192" s="55" t="e">
        <f t="shared" ca="1" si="206"/>
        <v>#DIV/0!</v>
      </c>
      <c r="DQ192" s="55" t="e">
        <f t="shared" ca="1" si="207"/>
        <v>#DIV/0!</v>
      </c>
      <c r="DR192" s="55"/>
      <c r="DS192" s="55" t="e">
        <f t="shared" ca="1" si="208"/>
        <v>#DIV/0!</v>
      </c>
      <c r="DT192" s="55" t="e">
        <f t="shared" ca="1" si="209"/>
        <v>#DIV/0!</v>
      </c>
      <c r="DU192" s="53">
        <f t="shared" ca="1" si="210"/>
        <v>0</v>
      </c>
      <c r="DV192" s="59" t="e">
        <f t="shared" ca="1" si="211"/>
        <v>#DIV/0!</v>
      </c>
    </row>
    <row r="193" spans="1:126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AD193" s="49" t="s">
        <v>337</v>
      </c>
      <c r="AE193" s="49">
        <f t="shared" ca="1" si="157"/>
        <v>0</v>
      </c>
      <c r="AF193" s="49">
        <f t="shared" ca="1" si="158"/>
        <v>0</v>
      </c>
      <c r="AG193" s="114">
        <f t="shared" ca="1" si="159"/>
        <v>0</v>
      </c>
      <c r="AH193" s="104">
        <f t="shared" ca="1" si="160"/>
        <v>0</v>
      </c>
      <c r="AI193" s="104">
        <f t="shared" ca="1" si="161"/>
        <v>0</v>
      </c>
      <c r="AJ193" s="104">
        <f t="shared" ca="1" si="162"/>
        <v>0</v>
      </c>
      <c r="AK193" s="104">
        <f t="shared" ca="1" si="163"/>
        <v>0</v>
      </c>
      <c r="AL193" s="104">
        <f t="shared" ca="1" si="164"/>
        <v>0</v>
      </c>
      <c r="AM193" s="104">
        <f t="shared" ca="1" si="165"/>
        <v>0</v>
      </c>
      <c r="AN193" s="104">
        <f t="shared" ca="1" si="166"/>
        <v>0</v>
      </c>
      <c r="AO193" s="104">
        <f t="shared" ca="1" si="167"/>
        <v>0</v>
      </c>
      <c r="AP193" s="104">
        <f t="shared" ca="1" si="168"/>
        <v>0</v>
      </c>
      <c r="AQ193" s="49">
        <f t="shared" ca="1" si="169"/>
        <v>0</v>
      </c>
      <c r="AR193" s="104">
        <f t="shared" ca="1" si="170"/>
        <v>0</v>
      </c>
      <c r="AS193" s="104">
        <f t="shared" ca="1" si="171"/>
        <v>0</v>
      </c>
      <c r="AT193" s="104">
        <f t="shared" ca="1" si="172"/>
        <v>0</v>
      </c>
      <c r="AU193" s="104">
        <f t="shared" ca="1" si="173"/>
        <v>0</v>
      </c>
      <c r="BF193" s="49">
        <f t="shared" ca="1" si="174"/>
        <v>0</v>
      </c>
      <c r="BG193" s="49">
        <f t="shared" ca="1" si="175"/>
        <v>0</v>
      </c>
      <c r="BH193" s="54" t="e">
        <f t="shared" ca="1" si="176"/>
        <v>#DIV/0!</v>
      </c>
      <c r="BI193" s="112" t="e">
        <f t="shared" ca="1" si="177"/>
        <v>#DIV/0!</v>
      </c>
      <c r="BK193" s="55" t="e">
        <f t="shared" ca="1" si="178"/>
        <v>#DIV/0!</v>
      </c>
      <c r="BL193" s="55" t="e">
        <f t="shared" ca="1" si="179"/>
        <v>#DIV/0!</v>
      </c>
      <c r="BM193" s="55" t="e">
        <f t="shared" ca="1" si="180"/>
        <v>#DIV/0!</v>
      </c>
      <c r="BN193" s="53">
        <f t="shared" ca="1" si="181"/>
        <v>0</v>
      </c>
      <c r="BO193" s="112" t="e">
        <f t="shared" ca="1" si="182"/>
        <v>#DIV/0!</v>
      </c>
      <c r="BR193" s="53" t="e">
        <f t="shared" ca="1" si="183"/>
        <v>#DIV/0!</v>
      </c>
      <c r="BS193" s="53">
        <f t="shared" ca="1" si="184"/>
        <v>0</v>
      </c>
      <c r="BT193" s="53">
        <f t="shared" ca="1" si="185"/>
        <v>0</v>
      </c>
      <c r="BU193" s="56" t="e">
        <f t="shared" ca="1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ca="1" si="189"/>
        <v>0</v>
      </c>
      <c r="CW193" s="53">
        <f t="shared" ca="1" si="190"/>
        <v>0</v>
      </c>
      <c r="CX193" s="58" t="e">
        <f t="shared" ca="1" si="191"/>
        <v>#DIV/0!</v>
      </c>
      <c r="CY193" s="53">
        <f t="shared" ca="1" si="192"/>
        <v>0</v>
      </c>
      <c r="CZ193" s="53">
        <f t="shared" ca="1" si="193"/>
        <v>0</v>
      </c>
      <c r="DA193" s="58" t="e">
        <f t="shared" ca="1" si="194"/>
        <v>#DIV/0!</v>
      </c>
      <c r="DB193" s="48" t="e">
        <f t="shared" ca="1" si="195"/>
        <v>#DIV/0!</v>
      </c>
      <c r="DC193" s="48" t="e">
        <f t="shared" ca="1" si="196"/>
        <v>#DIV/0!</v>
      </c>
      <c r="DD193" s="48" t="e">
        <f t="shared" ca="1" si="197"/>
        <v>#DIV/0!</v>
      </c>
      <c r="DE193" s="48" t="e">
        <f t="shared" ca="1" si="198"/>
        <v>#DIV/0!</v>
      </c>
      <c r="DF193" s="48" t="e">
        <f t="shared" ca="1" si="199"/>
        <v>#DIV/0!</v>
      </c>
      <c r="DG193" s="48" t="e">
        <f t="shared" ca="1" si="200"/>
        <v>#DIV/0!</v>
      </c>
      <c r="DH193" s="48">
        <f ca="1">SUMIF(FCR!$BZ$4:$DB$500,DG193,FCR!$DE$4:$EG$500)</f>
        <v>0</v>
      </c>
      <c r="DI193" s="48" t="e">
        <f t="shared" ca="1" si="201"/>
        <v>#DIV/0!</v>
      </c>
      <c r="DJ193" s="48">
        <f ca="1">SUMIF(FCR!$BZ$4:$DB$142,DI193,FCR!$DE$4:$EG$142)</f>
        <v>0</v>
      </c>
      <c r="DK193" s="48" t="e">
        <f t="shared" ca="1" si="202"/>
        <v>#DIV/0!</v>
      </c>
      <c r="DL193" s="55" t="e">
        <f t="shared" ca="1" si="203"/>
        <v>#DIV/0!</v>
      </c>
      <c r="DM193" s="48" t="e">
        <f t="shared" ca="1" si="204"/>
        <v>#DIV/0!</v>
      </c>
      <c r="DN193" s="48">
        <f ca="1">SUMIF(FCR!$BZ$4:$DB$142,DM193,FCR!$DE$4:$EG$142)</f>
        <v>0</v>
      </c>
      <c r="DO193" s="53" t="e">
        <f t="shared" ca="1" si="205"/>
        <v>#DIV/0!</v>
      </c>
      <c r="DP193" s="55" t="e">
        <f t="shared" ca="1" si="206"/>
        <v>#DIV/0!</v>
      </c>
      <c r="DQ193" s="55" t="e">
        <f t="shared" ca="1" si="207"/>
        <v>#DIV/0!</v>
      </c>
      <c r="DR193" s="55"/>
      <c r="DS193" s="55" t="e">
        <f t="shared" ca="1" si="208"/>
        <v>#DIV/0!</v>
      </c>
      <c r="DT193" s="55" t="e">
        <f t="shared" ca="1" si="209"/>
        <v>#DIV/0!</v>
      </c>
      <c r="DU193" s="53">
        <f t="shared" ca="1" si="210"/>
        <v>0</v>
      </c>
      <c r="DV193" s="59" t="e">
        <f t="shared" ca="1" si="211"/>
        <v>#DIV/0!</v>
      </c>
    </row>
    <row r="194" spans="1:126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AD194" s="49" t="s">
        <v>337</v>
      </c>
      <c r="AE194" s="49">
        <f t="shared" ca="1" si="157"/>
        <v>0</v>
      </c>
      <c r="AF194" s="49">
        <f t="shared" ca="1" si="158"/>
        <v>0</v>
      </c>
      <c r="AG194" s="114">
        <f t="shared" ca="1" si="159"/>
        <v>0</v>
      </c>
      <c r="AH194" s="104">
        <f t="shared" ca="1" si="160"/>
        <v>0</v>
      </c>
      <c r="AI194" s="104">
        <f t="shared" ca="1" si="161"/>
        <v>0</v>
      </c>
      <c r="AJ194" s="104">
        <f t="shared" ca="1" si="162"/>
        <v>0</v>
      </c>
      <c r="AK194" s="104">
        <f t="shared" ca="1" si="163"/>
        <v>0</v>
      </c>
      <c r="AL194" s="104">
        <f t="shared" ca="1" si="164"/>
        <v>0</v>
      </c>
      <c r="AM194" s="104">
        <f t="shared" ca="1" si="165"/>
        <v>0</v>
      </c>
      <c r="AN194" s="104">
        <f t="shared" ca="1" si="166"/>
        <v>0</v>
      </c>
      <c r="AO194" s="104">
        <f t="shared" ca="1" si="167"/>
        <v>0</v>
      </c>
      <c r="AP194" s="104">
        <f t="shared" ca="1" si="168"/>
        <v>0</v>
      </c>
      <c r="AQ194" s="49">
        <f t="shared" ca="1" si="169"/>
        <v>0</v>
      </c>
      <c r="AR194" s="104">
        <f t="shared" ca="1" si="170"/>
        <v>0</v>
      </c>
      <c r="AS194" s="104">
        <f t="shared" ca="1" si="171"/>
        <v>0</v>
      </c>
      <c r="AT194" s="104">
        <f t="shared" ca="1" si="172"/>
        <v>0</v>
      </c>
      <c r="AU194" s="104">
        <f t="shared" ca="1" si="173"/>
        <v>0</v>
      </c>
      <c r="BF194" s="49">
        <f t="shared" ca="1" si="174"/>
        <v>0</v>
      </c>
      <c r="BG194" s="49">
        <f t="shared" ca="1" si="175"/>
        <v>0</v>
      </c>
      <c r="BH194" s="54" t="e">
        <f t="shared" ca="1" si="176"/>
        <v>#DIV/0!</v>
      </c>
      <c r="BI194" s="112" t="e">
        <f t="shared" ca="1" si="177"/>
        <v>#DIV/0!</v>
      </c>
      <c r="BK194" s="55" t="e">
        <f t="shared" ca="1" si="178"/>
        <v>#DIV/0!</v>
      </c>
      <c r="BL194" s="55" t="e">
        <f t="shared" ca="1" si="179"/>
        <v>#DIV/0!</v>
      </c>
      <c r="BM194" s="55" t="e">
        <f t="shared" ca="1" si="180"/>
        <v>#DIV/0!</v>
      </c>
      <c r="BN194" s="53">
        <f t="shared" ca="1" si="181"/>
        <v>0</v>
      </c>
      <c r="BO194" s="112" t="e">
        <f t="shared" ca="1" si="182"/>
        <v>#DIV/0!</v>
      </c>
      <c r="BR194" s="53" t="e">
        <f t="shared" ca="1" si="183"/>
        <v>#DIV/0!</v>
      </c>
      <c r="BS194" s="53">
        <f t="shared" ca="1" si="184"/>
        <v>0</v>
      </c>
      <c r="BT194" s="53">
        <f t="shared" ca="1" si="185"/>
        <v>0</v>
      </c>
      <c r="BU194" s="56" t="e">
        <f t="shared" ca="1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ca="1" si="189"/>
        <v>0</v>
      </c>
      <c r="CW194" s="53">
        <f t="shared" ca="1" si="190"/>
        <v>0</v>
      </c>
      <c r="CX194" s="58" t="e">
        <f t="shared" ca="1" si="191"/>
        <v>#DIV/0!</v>
      </c>
      <c r="CY194" s="53">
        <f t="shared" ca="1" si="192"/>
        <v>0</v>
      </c>
      <c r="CZ194" s="53">
        <f t="shared" ca="1" si="193"/>
        <v>0</v>
      </c>
      <c r="DA194" s="58" t="e">
        <f t="shared" ca="1" si="194"/>
        <v>#DIV/0!</v>
      </c>
      <c r="DB194" s="48" t="e">
        <f t="shared" ca="1" si="195"/>
        <v>#DIV/0!</v>
      </c>
      <c r="DC194" s="48" t="e">
        <f t="shared" ca="1" si="196"/>
        <v>#DIV/0!</v>
      </c>
      <c r="DD194" s="48" t="e">
        <f t="shared" ca="1" si="197"/>
        <v>#DIV/0!</v>
      </c>
      <c r="DE194" s="48" t="e">
        <f t="shared" ca="1" si="198"/>
        <v>#DIV/0!</v>
      </c>
      <c r="DF194" s="48" t="e">
        <f t="shared" ca="1" si="199"/>
        <v>#DIV/0!</v>
      </c>
      <c r="DG194" s="48" t="e">
        <f t="shared" ca="1" si="200"/>
        <v>#DIV/0!</v>
      </c>
      <c r="DH194" s="48">
        <f ca="1">SUMIF(FCR!$BZ$4:$DB$500,DG194,FCR!$DE$4:$EG$500)</f>
        <v>0</v>
      </c>
      <c r="DI194" s="48" t="e">
        <f t="shared" ca="1" si="201"/>
        <v>#DIV/0!</v>
      </c>
      <c r="DJ194" s="48">
        <f ca="1">SUMIF(FCR!$BZ$4:$DB$142,DI194,FCR!$DE$4:$EG$142)</f>
        <v>0</v>
      </c>
      <c r="DK194" s="48" t="e">
        <f t="shared" ca="1" si="202"/>
        <v>#DIV/0!</v>
      </c>
      <c r="DL194" s="55" t="e">
        <f t="shared" ca="1" si="203"/>
        <v>#DIV/0!</v>
      </c>
      <c r="DM194" s="48" t="e">
        <f t="shared" ca="1" si="204"/>
        <v>#DIV/0!</v>
      </c>
      <c r="DN194" s="48">
        <f ca="1">SUMIF(FCR!$BZ$4:$DB$142,DM194,FCR!$DE$4:$EG$142)</f>
        <v>0</v>
      </c>
      <c r="DO194" s="53" t="e">
        <f t="shared" ca="1" si="205"/>
        <v>#DIV/0!</v>
      </c>
      <c r="DP194" s="55" t="e">
        <f t="shared" ca="1" si="206"/>
        <v>#DIV/0!</v>
      </c>
      <c r="DQ194" s="55" t="e">
        <f t="shared" ca="1" si="207"/>
        <v>#DIV/0!</v>
      </c>
      <c r="DR194" s="55"/>
      <c r="DS194" s="55" t="e">
        <f t="shared" ca="1" si="208"/>
        <v>#DIV/0!</v>
      </c>
      <c r="DT194" s="55" t="e">
        <f t="shared" ca="1" si="209"/>
        <v>#DIV/0!</v>
      </c>
      <c r="DU194" s="53">
        <f t="shared" ca="1" si="210"/>
        <v>0</v>
      </c>
      <c r="DV194" s="59" t="e">
        <f t="shared" ca="1" si="211"/>
        <v>#DIV/0!</v>
      </c>
    </row>
    <row r="195" spans="1:126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AD195" s="49" t="s">
        <v>337</v>
      </c>
      <c r="AE195" s="49">
        <f t="shared" ca="1" si="157"/>
        <v>0</v>
      </c>
      <c r="AF195" s="49">
        <f t="shared" ca="1" si="158"/>
        <v>0</v>
      </c>
      <c r="AG195" s="114">
        <f t="shared" ca="1" si="159"/>
        <v>0</v>
      </c>
      <c r="AH195" s="104">
        <f t="shared" ca="1" si="160"/>
        <v>0</v>
      </c>
      <c r="AI195" s="104">
        <f t="shared" ca="1" si="161"/>
        <v>0</v>
      </c>
      <c r="AJ195" s="104">
        <f t="shared" ca="1" si="162"/>
        <v>0</v>
      </c>
      <c r="AK195" s="104">
        <f t="shared" ca="1" si="163"/>
        <v>0</v>
      </c>
      <c r="AL195" s="104">
        <f t="shared" ca="1" si="164"/>
        <v>0</v>
      </c>
      <c r="AM195" s="104">
        <f t="shared" ca="1" si="165"/>
        <v>0</v>
      </c>
      <c r="AN195" s="104">
        <f t="shared" ca="1" si="166"/>
        <v>0</v>
      </c>
      <c r="AO195" s="104">
        <f t="shared" ca="1" si="167"/>
        <v>0</v>
      </c>
      <c r="AP195" s="104">
        <f t="shared" ca="1" si="168"/>
        <v>0</v>
      </c>
      <c r="AQ195" s="49">
        <f t="shared" ca="1" si="169"/>
        <v>0</v>
      </c>
      <c r="AR195" s="104">
        <f t="shared" ca="1" si="170"/>
        <v>0</v>
      </c>
      <c r="AS195" s="104">
        <f t="shared" ca="1" si="171"/>
        <v>0</v>
      </c>
      <c r="AT195" s="104">
        <f t="shared" ca="1" si="172"/>
        <v>0</v>
      </c>
      <c r="AU195" s="104">
        <f t="shared" ca="1" si="173"/>
        <v>0</v>
      </c>
      <c r="BF195" s="49">
        <f t="shared" ca="1" si="174"/>
        <v>0</v>
      </c>
      <c r="BG195" s="49">
        <f t="shared" ca="1" si="175"/>
        <v>0</v>
      </c>
      <c r="BH195" s="54" t="e">
        <f t="shared" ca="1" si="176"/>
        <v>#DIV/0!</v>
      </c>
      <c r="BI195" s="112" t="e">
        <f t="shared" ca="1" si="177"/>
        <v>#DIV/0!</v>
      </c>
      <c r="BK195" s="55" t="e">
        <f t="shared" ca="1" si="178"/>
        <v>#DIV/0!</v>
      </c>
      <c r="BL195" s="55" t="e">
        <f t="shared" ca="1" si="179"/>
        <v>#DIV/0!</v>
      </c>
      <c r="BM195" s="55" t="e">
        <f t="shared" ca="1" si="180"/>
        <v>#DIV/0!</v>
      </c>
      <c r="BN195" s="53">
        <f t="shared" ca="1" si="181"/>
        <v>0</v>
      </c>
      <c r="BO195" s="112" t="e">
        <f t="shared" ca="1" si="182"/>
        <v>#DIV/0!</v>
      </c>
      <c r="BR195" s="53" t="e">
        <f t="shared" ca="1" si="183"/>
        <v>#DIV/0!</v>
      </c>
      <c r="BS195" s="53">
        <f t="shared" ca="1" si="184"/>
        <v>0</v>
      </c>
      <c r="BT195" s="53">
        <f t="shared" ca="1" si="185"/>
        <v>0</v>
      </c>
      <c r="BU195" s="56" t="e">
        <f t="shared" ca="1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ca="1" si="189"/>
        <v>0</v>
      </c>
      <c r="CW195" s="53">
        <f t="shared" ca="1" si="190"/>
        <v>0</v>
      </c>
      <c r="CX195" s="58" t="e">
        <f t="shared" ca="1" si="191"/>
        <v>#DIV/0!</v>
      </c>
      <c r="CY195" s="53">
        <f t="shared" ca="1" si="192"/>
        <v>0</v>
      </c>
      <c r="CZ195" s="53">
        <f t="shared" ca="1" si="193"/>
        <v>0</v>
      </c>
      <c r="DA195" s="58" t="e">
        <f t="shared" ca="1" si="194"/>
        <v>#DIV/0!</v>
      </c>
      <c r="DB195" s="48" t="e">
        <f t="shared" ca="1" si="195"/>
        <v>#DIV/0!</v>
      </c>
      <c r="DC195" s="48" t="e">
        <f t="shared" ca="1" si="196"/>
        <v>#DIV/0!</v>
      </c>
      <c r="DD195" s="48" t="e">
        <f t="shared" ca="1" si="197"/>
        <v>#DIV/0!</v>
      </c>
      <c r="DE195" s="48" t="e">
        <f t="shared" ca="1" si="198"/>
        <v>#DIV/0!</v>
      </c>
      <c r="DF195" s="48" t="e">
        <f t="shared" ca="1" si="199"/>
        <v>#DIV/0!</v>
      </c>
      <c r="DG195" s="48" t="e">
        <f t="shared" ca="1" si="200"/>
        <v>#DIV/0!</v>
      </c>
      <c r="DH195" s="48">
        <f ca="1">SUMIF(FCR!$BZ$4:$DB$500,DG195,FCR!$DE$4:$EG$500)</f>
        <v>0</v>
      </c>
      <c r="DI195" s="48" t="e">
        <f t="shared" ca="1" si="201"/>
        <v>#DIV/0!</v>
      </c>
      <c r="DJ195" s="48">
        <f ca="1">SUMIF(FCR!$BZ$4:$DB$142,DI195,FCR!$DE$4:$EG$142)</f>
        <v>0</v>
      </c>
      <c r="DK195" s="48" t="e">
        <f t="shared" ca="1" si="202"/>
        <v>#DIV/0!</v>
      </c>
      <c r="DL195" s="55" t="e">
        <f t="shared" ca="1" si="203"/>
        <v>#DIV/0!</v>
      </c>
      <c r="DM195" s="48" t="e">
        <f t="shared" ca="1" si="204"/>
        <v>#DIV/0!</v>
      </c>
      <c r="DN195" s="48">
        <f ca="1">SUMIF(FCR!$BZ$4:$DB$142,DM195,FCR!$DE$4:$EG$142)</f>
        <v>0</v>
      </c>
      <c r="DO195" s="53" t="e">
        <f t="shared" ca="1" si="205"/>
        <v>#DIV/0!</v>
      </c>
      <c r="DP195" s="55" t="e">
        <f t="shared" ca="1" si="206"/>
        <v>#DIV/0!</v>
      </c>
      <c r="DQ195" s="55" t="e">
        <f t="shared" ca="1" si="207"/>
        <v>#DIV/0!</v>
      </c>
      <c r="DR195" s="55"/>
      <c r="DS195" s="55" t="e">
        <f t="shared" ca="1" si="208"/>
        <v>#DIV/0!</v>
      </c>
      <c r="DT195" s="55" t="e">
        <f t="shared" ca="1" si="209"/>
        <v>#DIV/0!</v>
      </c>
      <c r="DU195" s="53">
        <f t="shared" ca="1" si="210"/>
        <v>0</v>
      </c>
      <c r="DV195" s="59" t="e">
        <f t="shared" ca="1" si="211"/>
        <v>#DIV/0!</v>
      </c>
    </row>
    <row r="196" spans="1:126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AD196" s="49" t="s">
        <v>337</v>
      </c>
      <c r="AE196" s="49">
        <f t="shared" ca="1" si="157"/>
        <v>0</v>
      </c>
      <c r="AF196" s="49">
        <f t="shared" ca="1" si="158"/>
        <v>0</v>
      </c>
      <c r="AG196" s="114">
        <f t="shared" ca="1" si="159"/>
        <v>0</v>
      </c>
      <c r="AH196" s="104">
        <f t="shared" ca="1" si="160"/>
        <v>0</v>
      </c>
      <c r="AI196" s="104">
        <f t="shared" ca="1" si="161"/>
        <v>0</v>
      </c>
      <c r="AJ196" s="104">
        <f t="shared" ca="1" si="162"/>
        <v>0</v>
      </c>
      <c r="AK196" s="104">
        <f t="shared" ca="1" si="163"/>
        <v>0</v>
      </c>
      <c r="AL196" s="104">
        <f t="shared" ca="1" si="164"/>
        <v>0</v>
      </c>
      <c r="AM196" s="104">
        <f t="shared" ca="1" si="165"/>
        <v>0</v>
      </c>
      <c r="AN196" s="104">
        <f t="shared" ca="1" si="166"/>
        <v>0</v>
      </c>
      <c r="AO196" s="104">
        <f t="shared" ca="1" si="167"/>
        <v>0</v>
      </c>
      <c r="AP196" s="104">
        <f t="shared" ca="1" si="168"/>
        <v>0</v>
      </c>
      <c r="AQ196" s="49">
        <f t="shared" ca="1" si="169"/>
        <v>0</v>
      </c>
      <c r="AR196" s="104">
        <f t="shared" ca="1" si="170"/>
        <v>0</v>
      </c>
      <c r="AS196" s="104">
        <f t="shared" ca="1" si="171"/>
        <v>0</v>
      </c>
      <c r="AT196" s="104">
        <f t="shared" ca="1" si="172"/>
        <v>0</v>
      </c>
      <c r="AU196" s="104">
        <f t="shared" ca="1" si="173"/>
        <v>0</v>
      </c>
      <c r="BF196" s="49">
        <f t="shared" ca="1" si="174"/>
        <v>0</v>
      </c>
      <c r="BG196" s="49">
        <f t="shared" ca="1" si="175"/>
        <v>0</v>
      </c>
      <c r="BH196" s="54" t="e">
        <f t="shared" ca="1" si="176"/>
        <v>#DIV/0!</v>
      </c>
      <c r="BI196" s="112" t="e">
        <f t="shared" ca="1" si="177"/>
        <v>#DIV/0!</v>
      </c>
      <c r="BK196" s="55" t="e">
        <f t="shared" ca="1" si="178"/>
        <v>#DIV/0!</v>
      </c>
      <c r="BL196" s="55" t="e">
        <f t="shared" ca="1" si="179"/>
        <v>#DIV/0!</v>
      </c>
      <c r="BM196" s="55" t="e">
        <f t="shared" ca="1" si="180"/>
        <v>#DIV/0!</v>
      </c>
      <c r="BN196" s="53">
        <f t="shared" ca="1" si="181"/>
        <v>0</v>
      </c>
      <c r="BO196" s="112" t="e">
        <f t="shared" ca="1" si="182"/>
        <v>#DIV/0!</v>
      </c>
      <c r="BR196" s="53" t="e">
        <f t="shared" ca="1" si="183"/>
        <v>#DIV/0!</v>
      </c>
      <c r="BS196" s="53">
        <f t="shared" ca="1" si="184"/>
        <v>0</v>
      </c>
      <c r="BT196" s="53">
        <f t="shared" ca="1" si="185"/>
        <v>0</v>
      </c>
      <c r="BU196" s="56" t="e">
        <f t="shared" ca="1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ca="1" si="189"/>
        <v>0</v>
      </c>
      <c r="CW196" s="53">
        <f t="shared" ca="1" si="190"/>
        <v>0</v>
      </c>
      <c r="CX196" s="58" t="e">
        <f t="shared" ca="1" si="191"/>
        <v>#DIV/0!</v>
      </c>
      <c r="CY196" s="53">
        <f t="shared" ca="1" si="192"/>
        <v>0</v>
      </c>
      <c r="CZ196" s="53">
        <f t="shared" ca="1" si="193"/>
        <v>0</v>
      </c>
      <c r="DA196" s="58" t="e">
        <f t="shared" ca="1" si="194"/>
        <v>#DIV/0!</v>
      </c>
      <c r="DB196" s="48" t="e">
        <f t="shared" ca="1" si="195"/>
        <v>#DIV/0!</v>
      </c>
      <c r="DC196" s="48" t="e">
        <f t="shared" ca="1" si="196"/>
        <v>#DIV/0!</v>
      </c>
      <c r="DD196" s="48" t="e">
        <f t="shared" ca="1" si="197"/>
        <v>#DIV/0!</v>
      </c>
      <c r="DE196" s="48" t="e">
        <f t="shared" ca="1" si="198"/>
        <v>#DIV/0!</v>
      </c>
      <c r="DF196" s="48" t="e">
        <f t="shared" ca="1" si="199"/>
        <v>#DIV/0!</v>
      </c>
      <c r="DG196" s="48" t="e">
        <f t="shared" ca="1" si="200"/>
        <v>#DIV/0!</v>
      </c>
      <c r="DH196" s="48">
        <f ca="1">SUMIF(FCR!$BZ$4:$DB$500,DG196,FCR!$DE$4:$EG$500)</f>
        <v>0</v>
      </c>
      <c r="DI196" s="48" t="e">
        <f t="shared" ca="1" si="201"/>
        <v>#DIV/0!</v>
      </c>
      <c r="DJ196" s="48">
        <f ca="1">SUMIF(FCR!$BZ$4:$DB$142,DI196,FCR!$DE$4:$EG$142)</f>
        <v>0</v>
      </c>
      <c r="DK196" s="48" t="e">
        <f t="shared" ca="1" si="202"/>
        <v>#DIV/0!</v>
      </c>
      <c r="DL196" s="55" t="e">
        <f t="shared" ca="1" si="203"/>
        <v>#DIV/0!</v>
      </c>
      <c r="DM196" s="48" t="e">
        <f t="shared" ca="1" si="204"/>
        <v>#DIV/0!</v>
      </c>
      <c r="DN196" s="48">
        <f ca="1">SUMIF(FCR!$BZ$4:$DB$142,DM196,FCR!$DE$4:$EG$142)</f>
        <v>0</v>
      </c>
      <c r="DO196" s="53" t="e">
        <f t="shared" ca="1" si="205"/>
        <v>#DIV/0!</v>
      </c>
      <c r="DP196" s="55" t="e">
        <f t="shared" ca="1" si="206"/>
        <v>#DIV/0!</v>
      </c>
      <c r="DQ196" s="55" t="e">
        <f t="shared" ca="1" si="207"/>
        <v>#DIV/0!</v>
      </c>
      <c r="DR196" s="55"/>
      <c r="DS196" s="55" t="e">
        <f t="shared" ca="1" si="208"/>
        <v>#DIV/0!</v>
      </c>
      <c r="DT196" s="55" t="e">
        <f t="shared" ca="1" si="209"/>
        <v>#DIV/0!</v>
      </c>
      <c r="DU196" s="53">
        <f t="shared" ca="1" si="210"/>
        <v>0</v>
      </c>
      <c r="DV196" s="59" t="e">
        <f t="shared" ca="1" si="211"/>
        <v>#DIV/0!</v>
      </c>
    </row>
    <row r="197" spans="1:126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AD197" s="49" t="s">
        <v>337</v>
      </c>
      <c r="AE197" s="49">
        <f t="shared" ca="1" si="157"/>
        <v>0</v>
      </c>
      <c r="AF197" s="49">
        <f t="shared" ca="1" si="158"/>
        <v>0</v>
      </c>
      <c r="AG197" s="114">
        <f t="shared" ca="1" si="159"/>
        <v>0</v>
      </c>
      <c r="AH197" s="104">
        <f t="shared" ca="1" si="160"/>
        <v>0</v>
      </c>
      <c r="AI197" s="104">
        <f t="shared" ca="1" si="161"/>
        <v>0</v>
      </c>
      <c r="AJ197" s="104">
        <f t="shared" ca="1" si="162"/>
        <v>0</v>
      </c>
      <c r="AK197" s="104">
        <f t="shared" ca="1" si="163"/>
        <v>0</v>
      </c>
      <c r="AL197" s="104">
        <f t="shared" ca="1" si="164"/>
        <v>0</v>
      </c>
      <c r="AM197" s="104">
        <f t="shared" ca="1" si="165"/>
        <v>0</v>
      </c>
      <c r="AN197" s="104">
        <f t="shared" ca="1" si="166"/>
        <v>0</v>
      </c>
      <c r="AO197" s="104">
        <f t="shared" ca="1" si="167"/>
        <v>0</v>
      </c>
      <c r="AP197" s="104">
        <f t="shared" ca="1" si="168"/>
        <v>0</v>
      </c>
      <c r="AQ197" s="49">
        <f t="shared" ca="1" si="169"/>
        <v>0</v>
      </c>
      <c r="AR197" s="104">
        <f t="shared" ca="1" si="170"/>
        <v>0</v>
      </c>
      <c r="AS197" s="104">
        <f t="shared" ca="1" si="171"/>
        <v>0</v>
      </c>
      <c r="AT197" s="104">
        <f t="shared" ca="1" si="172"/>
        <v>0</v>
      </c>
      <c r="AU197" s="104">
        <f t="shared" ca="1" si="173"/>
        <v>0</v>
      </c>
      <c r="BF197" s="49">
        <f t="shared" ca="1" si="174"/>
        <v>0</v>
      </c>
      <c r="BG197" s="49">
        <f t="shared" ca="1" si="175"/>
        <v>0</v>
      </c>
      <c r="BH197" s="54" t="e">
        <f t="shared" ca="1" si="176"/>
        <v>#DIV/0!</v>
      </c>
      <c r="BI197" s="112" t="e">
        <f t="shared" ca="1" si="177"/>
        <v>#DIV/0!</v>
      </c>
      <c r="BK197" s="55" t="e">
        <f t="shared" ca="1" si="178"/>
        <v>#DIV/0!</v>
      </c>
      <c r="BL197" s="55" t="e">
        <f t="shared" ca="1" si="179"/>
        <v>#DIV/0!</v>
      </c>
      <c r="BM197" s="55" t="e">
        <f t="shared" ca="1" si="180"/>
        <v>#DIV/0!</v>
      </c>
      <c r="BN197" s="53">
        <f t="shared" ca="1" si="181"/>
        <v>0</v>
      </c>
      <c r="BO197" s="112" t="e">
        <f t="shared" ca="1" si="182"/>
        <v>#DIV/0!</v>
      </c>
      <c r="BR197" s="53" t="e">
        <f t="shared" ca="1" si="183"/>
        <v>#DIV/0!</v>
      </c>
      <c r="BS197" s="53">
        <f t="shared" ca="1" si="184"/>
        <v>0</v>
      </c>
      <c r="BT197" s="53">
        <f t="shared" ca="1" si="185"/>
        <v>0</v>
      </c>
      <c r="BU197" s="56" t="e">
        <f t="shared" ca="1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ca="1" si="189"/>
        <v>0</v>
      </c>
      <c r="CW197" s="53">
        <f t="shared" ca="1" si="190"/>
        <v>0</v>
      </c>
      <c r="CX197" s="58" t="e">
        <f t="shared" ca="1" si="191"/>
        <v>#DIV/0!</v>
      </c>
      <c r="CY197" s="53">
        <f t="shared" ca="1" si="192"/>
        <v>0</v>
      </c>
      <c r="CZ197" s="53">
        <f t="shared" ca="1" si="193"/>
        <v>0</v>
      </c>
      <c r="DA197" s="58" t="e">
        <f t="shared" ca="1" si="194"/>
        <v>#DIV/0!</v>
      </c>
      <c r="DB197" s="48" t="e">
        <f t="shared" ca="1" si="195"/>
        <v>#DIV/0!</v>
      </c>
      <c r="DC197" s="48" t="e">
        <f t="shared" ca="1" si="196"/>
        <v>#DIV/0!</v>
      </c>
      <c r="DD197" s="48" t="e">
        <f t="shared" ca="1" si="197"/>
        <v>#DIV/0!</v>
      </c>
      <c r="DE197" s="48" t="e">
        <f t="shared" ca="1" si="198"/>
        <v>#DIV/0!</v>
      </c>
      <c r="DF197" s="48" t="e">
        <f t="shared" ca="1" si="199"/>
        <v>#DIV/0!</v>
      </c>
      <c r="DG197" s="48" t="e">
        <f t="shared" ca="1" si="200"/>
        <v>#DIV/0!</v>
      </c>
      <c r="DH197" s="48">
        <f ca="1">SUMIF(FCR!$BZ$4:$DB$500,DG197,FCR!$DE$4:$EG$500)</f>
        <v>0</v>
      </c>
      <c r="DI197" s="48" t="e">
        <f t="shared" ca="1" si="201"/>
        <v>#DIV/0!</v>
      </c>
      <c r="DJ197" s="48">
        <f ca="1">SUMIF(FCR!$BZ$4:$DB$142,DI197,FCR!$DE$4:$EG$142)</f>
        <v>0</v>
      </c>
      <c r="DK197" s="48" t="e">
        <f t="shared" ca="1" si="202"/>
        <v>#DIV/0!</v>
      </c>
      <c r="DL197" s="55" t="e">
        <f t="shared" ca="1" si="203"/>
        <v>#DIV/0!</v>
      </c>
      <c r="DM197" s="48" t="e">
        <f t="shared" ca="1" si="204"/>
        <v>#DIV/0!</v>
      </c>
      <c r="DN197" s="48">
        <f ca="1">SUMIF(FCR!$BZ$4:$DB$142,DM197,FCR!$DE$4:$EG$142)</f>
        <v>0</v>
      </c>
      <c r="DO197" s="53" t="e">
        <f t="shared" ca="1" si="205"/>
        <v>#DIV/0!</v>
      </c>
      <c r="DP197" s="55" t="e">
        <f t="shared" ca="1" si="206"/>
        <v>#DIV/0!</v>
      </c>
      <c r="DQ197" s="55" t="e">
        <f t="shared" ca="1" si="207"/>
        <v>#DIV/0!</v>
      </c>
      <c r="DR197" s="55"/>
      <c r="DS197" s="55" t="e">
        <f t="shared" ca="1" si="208"/>
        <v>#DIV/0!</v>
      </c>
      <c r="DT197" s="55" t="e">
        <f t="shared" ca="1" si="209"/>
        <v>#DIV/0!</v>
      </c>
      <c r="DU197" s="53">
        <f t="shared" ca="1" si="210"/>
        <v>0</v>
      </c>
      <c r="DV197" s="59" t="e">
        <f t="shared" ca="1" si="211"/>
        <v>#DIV/0!</v>
      </c>
    </row>
    <row r="198" spans="1:126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AD198" s="49" t="s">
        <v>337</v>
      </c>
      <c r="AE198" s="49">
        <f t="shared" ref="AE198:AE200" ca="1" si="212">+A198</f>
        <v>0</v>
      </c>
      <c r="AF198" s="49">
        <f t="shared" ca="1" si="158"/>
        <v>0</v>
      </c>
      <c r="AG198" s="114">
        <f t="shared" ca="1" si="159"/>
        <v>0</v>
      </c>
      <c r="AH198" s="104">
        <f t="shared" ca="1" si="160"/>
        <v>0</v>
      </c>
      <c r="AI198" s="104">
        <f t="shared" ca="1" si="161"/>
        <v>0</v>
      </c>
      <c r="AJ198" s="104">
        <f t="shared" ca="1" si="162"/>
        <v>0</v>
      </c>
      <c r="AK198" s="104">
        <f t="shared" ca="1" si="163"/>
        <v>0</v>
      </c>
      <c r="AL198" s="104">
        <f t="shared" ca="1" si="164"/>
        <v>0</v>
      </c>
      <c r="AM198" s="104">
        <f t="shared" ca="1" si="165"/>
        <v>0</v>
      </c>
      <c r="AN198" s="104">
        <f t="shared" ca="1" si="166"/>
        <v>0</v>
      </c>
      <c r="AO198" s="104">
        <f t="shared" ca="1" si="167"/>
        <v>0</v>
      </c>
      <c r="AP198" s="104">
        <f t="shared" ca="1" si="168"/>
        <v>0</v>
      </c>
      <c r="AQ198" s="49">
        <f t="shared" ca="1" si="169"/>
        <v>0</v>
      </c>
      <c r="AR198" s="104">
        <f t="shared" ca="1" si="170"/>
        <v>0</v>
      </c>
      <c r="AS198" s="104">
        <f t="shared" ca="1" si="171"/>
        <v>0</v>
      </c>
      <c r="AT198" s="104">
        <f t="shared" ca="1" si="172"/>
        <v>0</v>
      </c>
      <c r="AU198" s="104">
        <f t="shared" ca="1" si="173"/>
        <v>0</v>
      </c>
      <c r="BF198" s="49">
        <f t="shared" ca="1" si="174"/>
        <v>0</v>
      </c>
      <c r="BG198" s="49">
        <f t="shared" ca="1" si="175"/>
        <v>0</v>
      </c>
      <c r="BH198" s="54" t="e">
        <f t="shared" ca="1" si="176"/>
        <v>#DIV/0!</v>
      </c>
      <c r="BI198" s="112" t="e">
        <f t="shared" ca="1" si="177"/>
        <v>#DIV/0!</v>
      </c>
      <c r="BK198" s="55" t="e">
        <f t="shared" ca="1" si="178"/>
        <v>#DIV/0!</v>
      </c>
      <c r="BL198" s="55" t="e">
        <f t="shared" ca="1" si="179"/>
        <v>#DIV/0!</v>
      </c>
      <c r="BM198" s="55" t="e">
        <f t="shared" ca="1" si="180"/>
        <v>#DIV/0!</v>
      </c>
      <c r="BN198" s="53">
        <f t="shared" ca="1" si="181"/>
        <v>0</v>
      </c>
      <c r="BO198" s="112" t="e">
        <f t="shared" ca="1" si="182"/>
        <v>#DIV/0!</v>
      </c>
      <c r="BR198" s="53" t="e">
        <f t="shared" ca="1" si="183"/>
        <v>#DIV/0!</v>
      </c>
      <c r="BS198" s="53">
        <f t="shared" ca="1" si="184"/>
        <v>0</v>
      </c>
      <c r="BT198" s="53">
        <f t="shared" ca="1" si="185"/>
        <v>0</v>
      </c>
      <c r="BU198" s="56" t="e">
        <f t="shared" ca="1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ca="1" si="189"/>
        <v>0</v>
      </c>
      <c r="CW198" s="53">
        <f t="shared" ca="1" si="190"/>
        <v>0</v>
      </c>
      <c r="CX198" s="58" t="e">
        <f t="shared" ca="1" si="191"/>
        <v>#DIV/0!</v>
      </c>
      <c r="CY198" s="53">
        <f t="shared" ca="1" si="192"/>
        <v>0</v>
      </c>
      <c r="CZ198" s="53">
        <f t="shared" ca="1" si="193"/>
        <v>0</v>
      </c>
      <c r="DA198" s="58" t="e">
        <f t="shared" ca="1" si="194"/>
        <v>#DIV/0!</v>
      </c>
      <c r="DB198" s="48" t="e">
        <f t="shared" ca="1" si="195"/>
        <v>#DIV/0!</v>
      </c>
      <c r="DC198" s="48" t="e">
        <f t="shared" ca="1" si="196"/>
        <v>#DIV/0!</v>
      </c>
      <c r="DD198" s="48" t="e">
        <f t="shared" ca="1" si="197"/>
        <v>#DIV/0!</v>
      </c>
      <c r="DE198" s="48" t="e">
        <f t="shared" ca="1" si="198"/>
        <v>#DIV/0!</v>
      </c>
      <c r="DF198" s="48" t="e">
        <f t="shared" ca="1" si="199"/>
        <v>#DIV/0!</v>
      </c>
      <c r="DG198" s="48" t="e">
        <f t="shared" ca="1" si="200"/>
        <v>#DIV/0!</v>
      </c>
      <c r="DH198" s="48">
        <f ca="1">SUMIF(FCR!$BZ$4:$DB$500,DG198,FCR!$DE$4:$EG$500)</f>
        <v>0</v>
      </c>
      <c r="DI198" s="48" t="e">
        <f t="shared" ca="1" si="201"/>
        <v>#DIV/0!</v>
      </c>
      <c r="DJ198" s="48">
        <f ca="1">SUMIF(FCR!$BZ$4:$DB$142,DI198,FCR!$DE$4:$EG$142)</f>
        <v>0</v>
      </c>
      <c r="DK198" s="48" t="e">
        <f t="shared" ca="1" si="202"/>
        <v>#DIV/0!</v>
      </c>
      <c r="DL198" s="55" t="e">
        <f t="shared" ca="1" si="203"/>
        <v>#DIV/0!</v>
      </c>
      <c r="DM198" s="48" t="e">
        <f t="shared" ca="1" si="204"/>
        <v>#DIV/0!</v>
      </c>
      <c r="DN198" s="48">
        <f ca="1">SUMIF(FCR!$BZ$4:$DB$142,DM198,FCR!$DE$4:$EG$142)</f>
        <v>0</v>
      </c>
      <c r="DO198" s="53" t="e">
        <f t="shared" ca="1" si="205"/>
        <v>#DIV/0!</v>
      </c>
      <c r="DP198" s="55" t="e">
        <f t="shared" ca="1" si="206"/>
        <v>#DIV/0!</v>
      </c>
      <c r="DQ198" s="55" t="e">
        <f t="shared" ca="1" si="207"/>
        <v>#DIV/0!</v>
      </c>
      <c r="DR198" s="55"/>
      <c r="DS198" s="55" t="e">
        <f t="shared" ca="1" si="208"/>
        <v>#DIV/0!</v>
      </c>
      <c r="DT198" s="55" t="e">
        <f t="shared" ca="1" si="209"/>
        <v>#DIV/0!</v>
      </c>
      <c r="DU198" s="53">
        <f t="shared" ca="1" si="210"/>
        <v>0</v>
      </c>
      <c r="DV198" s="59" t="e">
        <f t="shared" ca="1" si="211"/>
        <v>#DIV/0!</v>
      </c>
    </row>
    <row r="199" spans="1:126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AD199" s="49" t="s">
        <v>337</v>
      </c>
      <c r="AE199" s="49">
        <f t="shared" ca="1" si="212"/>
        <v>0</v>
      </c>
      <c r="AF199" s="49">
        <f t="shared" ca="1" si="158"/>
        <v>0</v>
      </c>
      <c r="AG199" s="114">
        <f t="shared" ca="1" si="159"/>
        <v>0</v>
      </c>
      <c r="AH199" s="104">
        <f t="shared" ca="1" si="160"/>
        <v>0</v>
      </c>
      <c r="AI199" s="104">
        <f t="shared" ca="1" si="161"/>
        <v>0</v>
      </c>
      <c r="AJ199" s="104">
        <f t="shared" ca="1" si="162"/>
        <v>0</v>
      </c>
      <c r="AK199" s="104">
        <f t="shared" ca="1" si="163"/>
        <v>0</v>
      </c>
      <c r="AL199" s="104">
        <f t="shared" ca="1" si="164"/>
        <v>0</v>
      </c>
      <c r="AM199" s="104">
        <f t="shared" ca="1" si="165"/>
        <v>0</v>
      </c>
      <c r="AN199" s="104">
        <f t="shared" ca="1" si="166"/>
        <v>0</v>
      </c>
      <c r="AO199" s="104">
        <f t="shared" ca="1" si="167"/>
        <v>0</v>
      </c>
      <c r="AP199" s="104">
        <f t="shared" ca="1" si="168"/>
        <v>0</v>
      </c>
      <c r="AQ199" s="49">
        <f t="shared" ca="1" si="169"/>
        <v>0</v>
      </c>
      <c r="AR199" s="104">
        <f t="shared" ca="1" si="170"/>
        <v>0</v>
      </c>
      <c r="AS199" s="104">
        <f t="shared" ca="1" si="171"/>
        <v>0</v>
      </c>
      <c r="AT199" s="104">
        <f t="shared" ca="1" si="172"/>
        <v>0</v>
      </c>
      <c r="AU199" s="104">
        <f t="shared" ca="1" si="173"/>
        <v>0</v>
      </c>
      <c r="BF199" s="49">
        <f t="shared" ca="1" si="174"/>
        <v>0</v>
      </c>
      <c r="BG199" s="49">
        <f t="shared" ca="1" si="175"/>
        <v>0</v>
      </c>
      <c r="BH199" s="54" t="e">
        <f t="shared" ca="1" si="176"/>
        <v>#DIV/0!</v>
      </c>
      <c r="BI199" s="112" t="e">
        <f t="shared" ca="1" si="177"/>
        <v>#DIV/0!</v>
      </c>
      <c r="BK199" s="55" t="e">
        <f t="shared" ca="1" si="178"/>
        <v>#DIV/0!</v>
      </c>
      <c r="BL199" s="55" t="e">
        <f t="shared" ca="1" si="179"/>
        <v>#DIV/0!</v>
      </c>
      <c r="BM199" s="55" t="e">
        <f t="shared" ca="1" si="180"/>
        <v>#DIV/0!</v>
      </c>
      <c r="BN199" s="53">
        <f t="shared" ca="1" si="181"/>
        <v>0</v>
      </c>
      <c r="BO199" s="112" t="e">
        <f t="shared" ca="1" si="182"/>
        <v>#DIV/0!</v>
      </c>
      <c r="BR199" s="53" t="e">
        <f t="shared" ca="1" si="183"/>
        <v>#DIV/0!</v>
      </c>
      <c r="BS199" s="53">
        <f t="shared" ca="1" si="184"/>
        <v>0</v>
      </c>
      <c r="BT199" s="53">
        <f t="shared" ca="1" si="185"/>
        <v>0</v>
      </c>
      <c r="BU199" s="56" t="e">
        <f t="shared" ca="1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ca="1" si="189"/>
        <v>0</v>
      </c>
      <c r="CW199" s="53">
        <f t="shared" ca="1" si="190"/>
        <v>0</v>
      </c>
      <c r="CX199" s="58" t="e">
        <f t="shared" ca="1" si="191"/>
        <v>#DIV/0!</v>
      </c>
      <c r="CY199" s="53">
        <f t="shared" ca="1" si="192"/>
        <v>0</v>
      </c>
      <c r="CZ199" s="53">
        <f t="shared" ca="1" si="193"/>
        <v>0</v>
      </c>
      <c r="DA199" s="58" t="e">
        <f t="shared" ca="1" si="194"/>
        <v>#DIV/0!</v>
      </c>
      <c r="DB199" s="48" t="e">
        <f t="shared" ca="1" si="195"/>
        <v>#DIV/0!</v>
      </c>
      <c r="DC199" s="48" t="e">
        <f t="shared" ca="1" si="196"/>
        <v>#DIV/0!</v>
      </c>
      <c r="DD199" s="48" t="e">
        <f t="shared" ca="1" si="197"/>
        <v>#DIV/0!</v>
      </c>
      <c r="DE199" s="48" t="e">
        <f t="shared" ca="1" si="198"/>
        <v>#DIV/0!</v>
      </c>
      <c r="DF199" s="48" t="e">
        <f t="shared" ca="1" si="199"/>
        <v>#DIV/0!</v>
      </c>
      <c r="DG199" s="48" t="e">
        <f t="shared" ca="1" si="200"/>
        <v>#DIV/0!</v>
      </c>
      <c r="DH199" s="48">
        <f ca="1">SUMIF(FCR!$BZ$4:$DB$500,DG199,FCR!$DE$4:$EG$500)</f>
        <v>0</v>
      </c>
      <c r="DI199" s="48" t="e">
        <f t="shared" ca="1" si="201"/>
        <v>#DIV/0!</v>
      </c>
      <c r="DJ199" s="48">
        <f ca="1">SUMIF(FCR!$BZ$4:$DB$142,DI199,FCR!$DE$4:$EG$142)</f>
        <v>0</v>
      </c>
      <c r="DK199" s="48" t="e">
        <f t="shared" ca="1" si="202"/>
        <v>#DIV/0!</v>
      </c>
      <c r="DL199" s="55" t="e">
        <f t="shared" ca="1" si="203"/>
        <v>#DIV/0!</v>
      </c>
      <c r="DM199" s="48" t="e">
        <f t="shared" ca="1" si="204"/>
        <v>#DIV/0!</v>
      </c>
      <c r="DN199" s="48">
        <f ca="1">SUMIF(FCR!$BZ$4:$DB$142,DM199,FCR!$DE$4:$EG$142)</f>
        <v>0</v>
      </c>
      <c r="DO199" s="53" t="e">
        <f t="shared" ca="1" si="205"/>
        <v>#DIV/0!</v>
      </c>
      <c r="DP199" s="55" t="e">
        <f t="shared" ca="1" si="206"/>
        <v>#DIV/0!</v>
      </c>
      <c r="DQ199" s="55" t="e">
        <f t="shared" ca="1" si="207"/>
        <v>#DIV/0!</v>
      </c>
      <c r="DR199" s="55"/>
      <c r="DS199" s="55" t="e">
        <f t="shared" ca="1" si="208"/>
        <v>#DIV/0!</v>
      </c>
      <c r="DT199" s="55" t="e">
        <f t="shared" ca="1" si="209"/>
        <v>#DIV/0!</v>
      </c>
      <c r="DU199" s="53">
        <f t="shared" ca="1" si="210"/>
        <v>0</v>
      </c>
      <c r="DV199" s="59" t="e">
        <f t="shared" ca="1" si="211"/>
        <v>#DIV/0!</v>
      </c>
    </row>
    <row r="200" spans="1:126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AD200" s="49" t="s">
        <v>337</v>
      </c>
      <c r="AE200" s="49">
        <f t="shared" ca="1" si="212"/>
        <v>0</v>
      </c>
      <c r="AF200" s="49">
        <f t="shared" ca="1" si="158"/>
        <v>0</v>
      </c>
      <c r="AG200" s="114">
        <f t="shared" ca="1" si="159"/>
        <v>0</v>
      </c>
      <c r="AH200" s="104">
        <f t="shared" ca="1" si="160"/>
        <v>0</v>
      </c>
      <c r="AI200" s="104">
        <f t="shared" ca="1" si="161"/>
        <v>0</v>
      </c>
      <c r="AJ200" s="104">
        <f t="shared" ca="1" si="162"/>
        <v>0</v>
      </c>
      <c r="AK200" s="104">
        <f t="shared" ca="1" si="163"/>
        <v>0</v>
      </c>
      <c r="AL200" s="104">
        <f t="shared" ca="1" si="164"/>
        <v>0</v>
      </c>
      <c r="AM200" s="104">
        <f t="shared" ca="1" si="165"/>
        <v>0</v>
      </c>
      <c r="AN200" s="104">
        <f t="shared" ca="1" si="166"/>
        <v>0</v>
      </c>
      <c r="AO200" s="104">
        <f t="shared" ca="1" si="167"/>
        <v>0</v>
      </c>
      <c r="AP200" s="104">
        <f t="shared" ca="1" si="168"/>
        <v>0</v>
      </c>
      <c r="AQ200" s="49">
        <f t="shared" ca="1" si="169"/>
        <v>0</v>
      </c>
      <c r="AR200" s="104">
        <f t="shared" ca="1" si="170"/>
        <v>0</v>
      </c>
      <c r="AS200" s="104">
        <f t="shared" ca="1" si="171"/>
        <v>0</v>
      </c>
      <c r="AT200" s="104">
        <f t="shared" ca="1" si="172"/>
        <v>0</v>
      </c>
      <c r="AU200" s="104">
        <f t="shared" ca="1" si="173"/>
        <v>0</v>
      </c>
      <c r="BF200" s="49">
        <f t="shared" ca="1" si="174"/>
        <v>0</v>
      </c>
      <c r="BG200" s="49">
        <f t="shared" ca="1" si="175"/>
        <v>0</v>
      </c>
      <c r="BH200" s="54" t="e">
        <f t="shared" ca="1" si="176"/>
        <v>#DIV/0!</v>
      </c>
      <c r="BI200" s="112" t="e">
        <f t="shared" ca="1" si="177"/>
        <v>#DIV/0!</v>
      </c>
      <c r="BK200" s="55" t="e">
        <f t="shared" ca="1" si="178"/>
        <v>#DIV/0!</v>
      </c>
      <c r="BL200" s="55" t="e">
        <f t="shared" ca="1" si="179"/>
        <v>#DIV/0!</v>
      </c>
      <c r="BM200" s="55" t="e">
        <f t="shared" ca="1" si="180"/>
        <v>#DIV/0!</v>
      </c>
      <c r="BN200" s="53">
        <f t="shared" ca="1" si="181"/>
        <v>0</v>
      </c>
      <c r="BO200" s="112" t="e">
        <f t="shared" ca="1" si="182"/>
        <v>#DIV/0!</v>
      </c>
      <c r="BR200" s="53" t="e">
        <f t="shared" ca="1" si="183"/>
        <v>#DIV/0!</v>
      </c>
      <c r="BS200" s="53">
        <f t="shared" ca="1" si="184"/>
        <v>0</v>
      </c>
      <c r="BT200" s="53">
        <f t="shared" ca="1" si="185"/>
        <v>0</v>
      </c>
      <c r="BU200" s="56" t="e">
        <f t="shared" ca="1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ca="1" si="189"/>
        <v>0</v>
      </c>
      <c r="CW200" s="53">
        <f t="shared" ca="1" si="190"/>
        <v>0</v>
      </c>
      <c r="CX200" s="58" t="e">
        <f t="shared" ca="1" si="191"/>
        <v>#DIV/0!</v>
      </c>
      <c r="CY200" s="53">
        <f t="shared" ca="1" si="192"/>
        <v>0</v>
      </c>
      <c r="CZ200" s="53">
        <f t="shared" ca="1" si="193"/>
        <v>0</v>
      </c>
      <c r="DA200" s="58" t="e">
        <f t="shared" ca="1" si="194"/>
        <v>#DIV/0!</v>
      </c>
      <c r="DB200" s="48" t="e">
        <f t="shared" ca="1" si="195"/>
        <v>#DIV/0!</v>
      </c>
      <c r="DC200" s="48" t="e">
        <f t="shared" ca="1" si="196"/>
        <v>#DIV/0!</v>
      </c>
      <c r="DD200" s="48" t="e">
        <f t="shared" ca="1" si="197"/>
        <v>#DIV/0!</v>
      </c>
      <c r="DE200" s="48" t="e">
        <f t="shared" ca="1" si="198"/>
        <v>#DIV/0!</v>
      </c>
      <c r="DF200" s="48" t="e">
        <f t="shared" ca="1" si="199"/>
        <v>#DIV/0!</v>
      </c>
      <c r="DG200" s="48" t="e">
        <f t="shared" ca="1" si="200"/>
        <v>#DIV/0!</v>
      </c>
      <c r="DH200" s="48">
        <f ca="1">SUMIF(FCR!$BZ$4:$DB$500,DG200,FCR!$DE$4:$EG$500)</f>
        <v>0</v>
      </c>
      <c r="DI200" s="48" t="e">
        <f t="shared" ca="1" si="201"/>
        <v>#DIV/0!</v>
      </c>
      <c r="DJ200" s="48">
        <f ca="1">SUMIF(FCR!$BZ$4:$DB$142,DI200,FCR!$DE$4:$EG$142)</f>
        <v>0</v>
      </c>
      <c r="DK200" s="48" t="e">
        <f t="shared" ca="1" si="202"/>
        <v>#DIV/0!</v>
      </c>
      <c r="DL200" s="55" t="e">
        <f t="shared" ca="1" si="203"/>
        <v>#DIV/0!</v>
      </c>
      <c r="DM200" s="48" t="e">
        <f t="shared" ca="1" si="204"/>
        <v>#DIV/0!</v>
      </c>
      <c r="DN200" s="48">
        <f ca="1">SUMIF(FCR!$BZ$4:$DB$142,DM200,FCR!$DE$4:$EG$142)</f>
        <v>0</v>
      </c>
      <c r="DO200" s="53" t="e">
        <f t="shared" ca="1" si="205"/>
        <v>#DIV/0!</v>
      </c>
      <c r="DP200" s="55" t="e">
        <f t="shared" ca="1" si="206"/>
        <v>#DIV/0!</v>
      </c>
      <c r="DQ200" s="55" t="e">
        <f t="shared" ca="1" si="207"/>
        <v>#DIV/0!</v>
      </c>
      <c r="DR200" s="55"/>
      <c r="DS200" s="55" t="e">
        <f t="shared" ca="1" si="208"/>
        <v>#DIV/0!</v>
      </c>
      <c r="DT200" s="55" t="e">
        <f t="shared" ca="1" si="209"/>
        <v>#DIV/0!</v>
      </c>
      <c r="DU200" s="53">
        <f t="shared" ca="1" si="210"/>
        <v>0</v>
      </c>
      <c r="DV200" s="59" t="e">
        <f t="shared" ca="1" si="211"/>
        <v>#DIV/0!</v>
      </c>
    </row>
  </sheetData>
  <mergeCells count="32">
    <mergeCell ref="B1:B2"/>
    <mergeCell ref="C1:C2"/>
    <mergeCell ref="D1:D2"/>
    <mergeCell ref="CN2:CO2"/>
    <mergeCell ref="CP2:CQ2"/>
    <mergeCell ref="L2:L3"/>
    <mergeCell ref="M2:M3"/>
    <mergeCell ref="N2:N3"/>
    <mergeCell ref="O2:O3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DD1:DF1"/>
    <mergeCell ref="BX2:BY2"/>
    <mergeCell ref="BZ2:CA2"/>
    <mergeCell ref="CB2:CC2"/>
    <mergeCell ref="CD2:CE2"/>
    <mergeCell ref="CR2:CS2"/>
    <mergeCell ref="CT2:CU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2" t="s">
        <v>14</v>
      </c>
      <c r="B1" s="153" t="s">
        <v>15</v>
      </c>
      <c r="C1" s="154" t="s">
        <v>16</v>
      </c>
      <c r="D1" s="152" t="s">
        <v>321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3" t="s">
        <v>21</v>
      </c>
      <c r="AS1" s="143"/>
      <c r="AT1" s="143"/>
      <c r="AU1" s="143"/>
      <c r="AV1" s="143"/>
      <c r="AW1" s="143" t="s">
        <v>22</v>
      </c>
      <c r="AX1" s="143"/>
      <c r="AY1" s="143"/>
      <c r="AZ1" s="143"/>
      <c r="BA1" s="143"/>
      <c r="BB1" s="143"/>
      <c r="BC1" s="146" t="s">
        <v>23</v>
      </c>
      <c r="BD1" s="143" t="s">
        <v>24</v>
      </c>
      <c r="BE1" s="143" t="s">
        <v>25</v>
      </c>
      <c r="BF1" s="147" t="s">
        <v>26</v>
      </c>
      <c r="BG1" s="148" t="s">
        <v>27</v>
      </c>
      <c r="BH1" s="143" t="s">
        <v>28</v>
      </c>
      <c r="BI1" s="143" t="s">
        <v>29</v>
      </c>
      <c r="BJ1" s="143" t="s">
        <v>30</v>
      </c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5" t="s">
        <v>39</v>
      </c>
      <c r="CQ1" s="145"/>
      <c r="CR1" s="145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2"/>
      <c r="B2" s="153"/>
      <c r="C2" s="154"/>
      <c r="D2" s="152"/>
      <c r="E2" s="107" t="s">
        <v>56</v>
      </c>
      <c r="F2" s="106" t="s">
        <v>319</v>
      </c>
      <c r="G2" s="107" t="s">
        <v>316</v>
      </c>
      <c r="H2" s="107" t="s">
        <v>317</v>
      </c>
      <c r="I2" s="107" t="s">
        <v>318</v>
      </c>
      <c r="J2" s="107" t="s">
        <v>320</v>
      </c>
      <c r="K2" s="144" t="s">
        <v>18</v>
      </c>
      <c r="L2" s="144" t="s">
        <v>19</v>
      </c>
      <c r="M2" s="146" t="s">
        <v>17</v>
      </c>
      <c r="N2" s="143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326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6"/>
      <c r="BD2" s="143"/>
      <c r="BE2" s="143"/>
      <c r="BF2" s="147"/>
      <c r="BG2" s="148"/>
      <c r="BH2" s="143"/>
      <c r="BI2" s="143"/>
      <c r="BJ2" s="146" t="s">
        <v>86</v>
      </c>
      <c r="BK2" s="146"/>
      <c r="BL2" s="146" t="s">
        <v>87</v>
      </c>
      <c r="BM2" s="146"/>
      <c r="BN2" s="146" t="s">
        <v>88</v>
      </c>
      <c r="BO2" s="146"/>
      <c r="BP2" s="146" t="s">
        <v>89</v>
      </c>
      <c r="BQ2" s="146"/>
      <c r="BR2" s="146" t="s">
        <v>90</v>
      </c>
      <c r="BS2" s="146"/>
      <c r="BT2" s="149" t="s">
        <v>91</v>
      </c>
      <c r="BU2" s="146"/>
      <c r="BV2" s="149" t="s">
        <v>92</v>
      </c>
      <c r="BW2" s="146"/>
      <c r="BX2" s="149">
        <v>962</v>
      </c>
      <c r="BY2" s="146"/>
      <c r="BZ2" s="146">
        <v>972</v>
      </c>
      <c r="CA2" s="146"/>
      <c r="CB2" s="146">
        <v>972</v>
      </c>
      <c r="CC2" s="146"/>
      <c r="CD2" s="146">
        <v>982</v>
      </c>
      <c r="CE2" s="146"/>
      <c r="CF2" s="150" t="s">
        <v>93</v>
      </c>
      <c r="CG2" s="150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4"/>
      <c r="L3" s="144"/>
      <c r="M3" s="146"/>
      <c r="N3" s="143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322</v>
      </c>
      <c r="B5" s="123" t="s">
        <v>100</v>
      </c>
      <c r="C5" s="114" t="s">
        <v>323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327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322</v>
      </c>
      <c r="B6" s="123" t="s">
        <v>101</v>
      </c>
      <c r="C6" s="114" t="s">
        <v>323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327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5" t="s">
        <v>104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6" t="s">
        <v>105</v>
      </c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46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 ca="1">+ADDRESS(4,28,4)&amp;":"&amp;ADDRESS(Z1+4,28+Z3,4)</f>
        <v>AB4:AD50</v>
      </c>
      <c r="AB2" s="3" t="s">
        <v>2</v>
      </c>
    </row>
    <row r="3" spans="1:36" ht="14.25">
      <c r="A3" s="1"/>
      <c r="B3" s="11"/>
      <c r="C3" s="1"/>
      <c r="D3" s="1"/>
      <c r="Z3" s="1">
        <v>2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>
        <v>254</v>
      </c>
      <c r="AD4" s="12">
        <v>2554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410</v>
      </c>
      <c r="AB5" s="2" t="s">
        <v>411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412</v>
      </c>
      <c r="AB6" s="2" t="s">
        <v>413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414</v>
      </c>
      <c r="AB7" s="2" t="s">
        <v>415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416</v>
      </c>
      <c r="AB8" s="2" t="s">
        <v>417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418</v>
      </c>
      <c r="AB9" s="2" t="s">
        <v>419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420</v>
      </c>
      <c r="AB10" s="2" t="s">
        <v>421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422</v>
      </c>
      <c r="AB11" s="2" t="s">
        <v>423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424</v>
      </c>
      <c r="AB12" s="2" t="s">
        <v>425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426</v>
      </c>
      <c r="AB13" s="2" t="s">
        <v>427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428</v>
      </c>
      <c r="AB14" s="2" t="s">
        <v>429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430</v>
      </c>
      <c r="AB15" s="2" t="s">
        <v>431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432</v>
      </c>
      <c r="AB16" s="2" t="s">
        <v>433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434</v>
      </c>
      <c r="AB17" s="2" t="s">
        <v>435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436</v>
      </c>
      <c r="AB18" s="2" t="s">
        <v>437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438</v>
      </c>
      <c r="AB19" s="2" t="s">
        <v>439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440</v>
      </c>
      <c r="AB20" s="2" t="s">
        <v>441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442</v>
      </c>
      <c r="AB21" s="2" t="s">
        <v>443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444</v>
      </c>
      <c r="AB22" s="2" t="s">
        <v>445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446</v>
      </c>
      <c r="AB23" s="2" t="s">
        <v>447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448</v>
      </c>
      <c r="AB24" s="2" t="s">
        <v>449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450</v>
      </c>
      <c r="AB25" s="2" t="s">
        <v>451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452</v>
      </c>
      <c r="AB26" s="2" t="s">
        <v>453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454</v>
      </c>
      <c r="AB27" s="2" t="s">
        <v>455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456</v>
      </c>
      <c r="AB28" s="2" t="s">
        <v>457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458</v>
      </c>
      <c r="AB29" s="2" t="s">
        <v>459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460</v>
      </c>
      <c r="AB30" s="2" t="s">
        <v>461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462</v>
      </c>
      <c r="AB31" s="2" t="s">
        <v>463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464</v>
      </c>
      <c r="AB32" s="2" t="s">
        <v>465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466</v>
      </c>
      <c r="AB33" s="2" t="s">
        <v>467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468</v>
      </c>
      <c r="AB34" s="2" t="s">
        <v>469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470</v>
      </c>
      <c r="AB35" s="2" t="s">
        <v>471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472</v>
      </c>
      <c r="AB36" s="2" t="s">
        <v>473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474</v>
      </c>
      <c r="AB37" s="2" t="s">
        <v>475</v>
      </c>
      <c r="AC37" s="17">
        <v>0</v>
      </c>
      <c r="AD37" s="2">
        <v>0</v>
      </c>
    </row>
    <row r="38" spans="1:36" ht="15.75" customHeight="1">
      <c r="A38" s="1"/>
      <c r="B38" s="11"/>
      <c r="C38" s="1"/>
      <c r="D38" s="1"/>
      <c r="AA38" s="2" t="s">
        <v>476</v>
      </c>
      <c r="AB38" s="2" t="s">
        <v>477</v>
      </c>
      <c r="AC38" s="17">
        <v>0</v>
      </c>
      <c r="AD38" s="2">
        <v>0</v>
      </c>
    </row>
    <row r="39" spans="1:36" ht="15.75" customHeight="1">
      <c r="A39" s="1"/>
      <c r="B39" s="11"/>
      <c r="C39" s="1"/>
      <c r="D39" s="1"/>
      <c r="AA39" s="2" t="s">
        <v>478</v>
      </c>
      <c r="AB39" s="2" t="s">
        <v>479</v>
      </c>
      <c r="AC39" s="17">
        <v>0</v>
      </c>
      <c r="AD39" s="2">
        <v>0</v>
      </c>
    </row>
    <row r="40" spans="1:36" ht="15.75" customHeight="1">
      <c r="A40" s="1"/>
      <c r="B40" s="11"/>
      <c r="C40" s="1"/>
      <c r="D40" s="1"/>
      <c r="AA40" s="2" t="s">
        <v>480</v>
      </c>
      <c r="AB40" s="2" t="s">
        <v>481</v>
      </c>
      <c r="AC40" s="17">
        <v>0</v>
      </c>
      <c r="AD40" s="2">
        <v>0</v>
      </c>
    </row>
    <row r="41" spans="1:36" ht="15.75" customHeight="1">
      <c r="A41" s="1"/>
      <c r="B41" s="11"/>
      <c r="C41" s="1"/>
      <c r="D41" s="1"/>
      <c r="AA41" s="2" t="s">
        <v>482</v>
      </c>
      <c r="AB41" s="2" t="s">
        <v>483</v>
      </c>
      <c r="AC41" s="17">
        <v>0</v>
      </c>
      <c r="AD41" s="2">
        <v>0</v>
      </c>
    </row>
    <row r="42" spans="1:36" ht="15.75" customHeight="1">
      <c r="A42" s="1"/>
      <c r="B42" s="11"/>
      <c r="C42" s="1"/>
      <c r="D42" s="1"/>
      <c r="AA42" s="2" t="s">
        <v>484</v>
      </c>
      <c r="AB42" s="2" t="s">
        <v>485</v>
      </c>
      <c r="AC42" s="17">
        <v>0</v>
      </c>
      <c r="AD42" s="2">
        <v>0</v>
      </c>
    </row>
    <row r="43" spans="1:36" ht="15.75" customHeight="1">
      <c r="A43" s="1"/>
      <c r="B43" s="11"/>
      <c r="C43" s="1"/>
      <c r="D43" s="1"/>
      <c r="AA43" s="2" t="s">
        <v>486</v>
      </c>
      <c r="AB43" s="2" t="s">
        <v>487</v>
      </c>
      <c r="AC43" s="17">
        <v>0</v>
      </c>
      <c r="AD43" s="2">
        <v>0</v>
      </c>
    </row>
    <row r="44" spans="1:36" ht="15.75" customHeight="1">
      <c r="A44" s="1"/>
      <c r="B44" s="11"/>
      <c r="C44" s="1"/>
      <c r="D44" s="1"/>
      <c r="AA44" s="2" t="s">
        <v>488</v>
      </c>
      <c r="AB44" s="2" t="s">
        <v>489</v>
      </c>
      <c r="AC44" s="17">
        <v>0</v>
      </c>
      <c r="AD44" s="2">
        <v>0</v>
      </c>
    </row>
    <row r="45" spans="1:36" ht="15.75" customHeight="1">
      <c r="A45" s="1"/>
      <c r="B45" s="11"/>
      <c r="C45" s="1"/>
      <c r="D45" s="1"/>
      <c r="AA45" s="2" t="s">
        <v>490</v>
      </c>
      <c r="AB45" s="2" t="s">
        <v>491</v>
      </c>
      <c r="AC45" s="17">
        <v>0</v>
      </c>
      <c r="AD45" s="2">
        <v>0</v>
      </c>
    </row>
    <row r="46" spans="1:36" ht="15.75" customHeight="1">
      <c r="A46" s="1"/>
      <c r="B46" s="11"/>
      <c r="C46" s="1"/>
      <c r="D46" s="1"/>
      <c r="AA46" s="2" t="s">
        <v>492</v>
      </c>
      <c r="AB46" s="2" t="s">
        <v>493</v>
      </c>
      <c r="AC46" s="17">
        <v>0</v>
      </c>
      <c r="AD46" s="2">
        <v>0</v>
      </c>
    </row>
    <row r="47" spans="1:36" ht="15.75" customHeight="1">
      <c r="A47" s="1"/>
      <c r="B47" s="11"/>
      <c r="C47" s="1"/>
      <c r="D47" s="1"/>
      <c r="AA47" s="2" t="s">
        <v>494</v>
      </c>
      <c r="AB47" s="2" t="s">
        <v>495</v>
      </c>
      <c r="AC47" s="17">
        <v>0</v>
      </c>
      <c r="AD47" s="2">
        <v>0</v>
      </c>
    </row>
    <row r="48" spans="1:36" ht="15.75" customHeight="1">
      <c r="A48" s="1"/>
      <c r="B48" s="11"/>
      <c r="C48" s="1"/>
      <c r="D48" s="1"/>
      <c r="AA48" s="2" t="s">
        <v>496</v>
      </c>
      <c r="AB48" s="2" t="s">
        <v>497</v>
      </c>
      <c r="AC48" s="17">
        <v>0</v>
      </c>
      <c r="AD48" s="2">
        <v>0</v>
      </c>
    </row>
    <row r="49" spans="1:30" ht="15.75" customHeight="1">
      <c r="A49" s="1"/>
      <c r="B49" s="11"/>
      <c r="C49" s="1"/>
      <c r="D49" s="1"/>
      <c r="AA49" s="2" t="s">
        <v>498</v>
      </c>
      <c r="AB49" s="2" t="s">
        <v>499</v>
      </c>
      <c r="AC49" s="17">
        <v>0</v>
      </c>
      <c r="AD49" s="2">
        <v>0</v>
      </c>
    </row>
    <row r="50" spans="1:30" ht="15.75" customHeight="1">
      <c r="A50" s="1"/>
      <c r="B50" s="11"/>
      <c r="C50" s="1"/>
      <c r="D50" s="1"/>
      <c r="AA50" s="2" t="s">
        <v>500</v>
      </c>
      <c r="AB50" s="2" t="s">
        <v>501</v>
      </c>
      <c r="AC50" s="17">
        <v>0</v>
      </c>
      <c r="AD50" s="2">
        <v>0</v>
      </c>
    </row>
    <row r="51" spans="1:30" ht="15.75" customHeight="1">
      <c r="A51" s="1"/>
      <c r="B51" s="11"/>
      <c r="C51" s="1"/>
      <c r="D51" s="1"/>
    </row>
    <row r="52" spans="1:30" ht="15.75" customHeight="1">
      <c r="A52" s="1"/>
      <c r="B52" s="11"/>
      <c r="C52" s="1"/>
      <c r="D52" s="1"/>
    </row>
    <row r="53" spans="1:30" ht="15.75" customHeight="1">
      <c r="A53" s="1"/>
      <c r="B53" s="11"/>
      <c r="C53" s="1"/>
      <c r="D53" s="1"/>
    </row>
    <row r="54" spans="1:30" ht="15.75" customHeight="1">
      <c r="A54" s="1"/>
      <c r="B54" s="11"/>
      <c r="C54" s="1"/>
      <c r="D54" s="1"/>
    </row>
    <row r="55" spans="1:30" ht="15.75" customHeight="1">
      <c r="A55" s="1"/>
      <c r="B55" s="11"/>
      <c r="C55" s="1"/>
      <c r="D55" s="1"/>
    </row>
    <row r="56" spans="1:30" ht="15.75" customHeight="1">
      <c r="A56" s="1"/>
      <c r="B56" s="11"/>
      <c r="C56" s="1"/>
      <c r="D56" s="1"/>
    </row>
    <row r="57" spans="1:30" ht="15.75" customHeight="1">
      <c r="A57" s="1"/>
      <c r="B57" s="11"/>
      <c r="C57" s="1"/>
      <c r="D57" s="1"/>
    </row>
    <row r="58" spans="1:30" ht="15.75" customHeight="1">
      <c r="A58" s="1"/>
      <c r="B58" s="11"/>
      <c r="C58" s="1"/>
      <c r="D58" s="1"/>
    </row>
    <row r="59" spans="1:30" ht="15.75" customHeight="1">
      <c r="A59" s="1"/>
      <c r="B59" s="11"/>
      <c r="C59" s="1"/>
      <c r="D59" s="1"/>
    </row>
    <row r="60" spans="1:30" ht="15.75" customHeight="1">
      <c r="A60" s="1"/>
      <c r="B60" s="11"/>
      <c r="C60" s="1"/>
      <c r="D60" s="1"/>
    </row>
    <row r="61" spans="1:30" ht="15.75" customHeight="1">
      <c r="A61" s="1"/>
      <c r="B61" s="11"/>
      <c r="C61" s="1"/>
      <c r="D61" s="1"/>
    </row>
    <row r="62" spans="1:30" ht="15.75" customHeight="1">
      <c r="A62" s="1"/>
      <c r="B62" s="11"/>
      <c r="C62" s="1"/>
      <c r="D62" s="1"/>
    </row>
    <row r="63" spans="1:30" ht="15.75" customHeight="1">
      <c r="A63" s="1"/>
      <c r="B63" s="11"/>
      <c r="C63" s="1"/>
      <c r="D63" s="1"/>
    </row>
    <row r="64" spans="1:30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tabSelected="1" workbookViewId="0">
      <selection activeCell="A5" sqref="A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336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335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opLeftCell="E1" zoomScale="115" zoomScaleNormal="115" workbookViewId="0">
      <selection activeCell="H10" sqref="H10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91.5703125" style="135" customWidth="1"/>
    <col min="13" max="16384" width="9.140625" style="135"/>
  </cols>
  <sheetData>
    <row r="1" spans="1:12" ht="102.75" customHeight="1">
      <c r="A1" s="141" t="s">
        <v>407</v>
      </c>
      <c r="B1" s="133" t="s">
        <v>374</v>
      </c>
      <c r="C1" s="133"/>
      <c r="D1" s="133" t="s">
        <v>342</v>
      </c>
      <c r="E1" s="133" t="s">
        <v>343</v>
      </c>
      <c r="F1" s="133"/>
      <c r="G1" s="133" t="s">
        <v>345</v>
      </c>
      <c r="H1" s="133" t="s">
        <v>346</v>
      </c>
      <c r="I1" s="133" t="s">
        <v>345</v>
      </c>
      <c r="J1" s="133" t="s">
        <v>346</v>
      </c>
      <c r="K1" s="133" t="s">
        <v>372</v>
      </c>
      <c r="L1" s="134" t="s">
        <v>406</v>
      </c>
    </row>
    <row r="2" spans="1:12" ht="138.75" customHeight="1">
      <c r="A2" s="135">
        <f ca="1">(VALUE(LEFT(A1,2)))</f>
        <v>0</v>
      </c>
      <c r="B2" s="135">
        <v>2020</v>
      </c>
      <c r="C2" s="136">
        <f ca="1">++DATE(B2,1,1)</f>
        <v>43831</v>
      </c>
      <c r="D2" s="136">
        <f ca="1">+WEEKDAY(DATE(B2,1,1),1)</f>
        <v>4</v>
      </c>
      <c r="E2" s="136">
        <f ca="1">+C2-D2+1</f>
        <v>43828</v>
      </c>
      <c r="F2" s="133" t="s">
        <v>344</v>
      </c>
      <c r="G2" s="136">
        <f ca="1">+E2+A2*7</f>
        <v>43828</v>
      </c>
      <c r="H2" s="136">
        <f ca="1">+G2-7</f>
        <v>43821</v>
      </c>
      <c r="I2" s="138" t="str">
        <f ca="1">+IF(A2&gt;0,$B$1&amp;YEAR(G2)&amp;"-"&amp;MONTH(G2)&amp;"-"&amp;DAY(G2)&amp;$B$1,+IF(A4&gt;0,$B$1&amp;YEAR(G4)&amp;"-"&amp;MONTH(G4)&amp;"-"&amp;DAY(G4)&amp;$B$1,$B$1&amp;YEAR(G6)&amp;"-"&amp;MONTH(G6)&amp;"-"&amp;DAY(G6)&amp;$B$1))</f>
        <v>"2020-8-31"</v>
      </c>
      <c r="J2" s="138" t="str">
        <f ca="1">+IF(A2&gt;0,$B$1&amp;YEAR(H2)&amp;"-"&amp;MONTH(H2)&amp;"-"&amp;DAY(H2)&amp;$B$1,+IF(A4&gt;0,$B$1&amp;YEAR(H4)&amp;"-"&amp;MONTH(H4)&amp;"-"&amp;DAY(H4)&amp;$B$1,$B$1&amp;YEAR(H6)&amp;"-"&amp;MONTH(H6)&amp;"-"&amp;DAY(H6)&amp;$B$1))</f>
        <v>"2020-8-1"</v>
      </c>
      <c r="K2" s="137" t="s">
        <v>322</v>
      </c>
      <c r="L2" s="133" t="str">
        <f ca="1">SUBSTITUTE(SUBSTITUTE(+SUBSTITUTE(L1,"para_ngay_bat_dau",$J$2),"para_ngay_ket_thuc",$I$2),"para_cong_ty",$K$2)</f>
        <v>SELECT * FROM (SELECT *, CONCAT(bang_ton_dau.cong_ty,"-", bang_ton_dau.trai,"-", bang_ton_dau.chuong) AS ma FROM (SELECT data_thit.cong_ty, data_thit.trai, data_thit.chuong, data_thit.ngay_dong, SUM(data_thit.so_luong_nhap)-SUM(data_thit.chet) -SUM(data_thit.loai)-SUM(data_thit.ban) AS ton_dau FROM data_thit WHERE data_thit.ngay&lt;"2020-8-1" AND data_thit.cong_ty=103 AND (data_thit.ngay_dong =0 OR  data_thit.ngay_dong &lt;"2020-8-1"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SUM(data_thit.so_luong_xuat_kho)    , SUM(data_thit.chet) + SUM(data_thit.loai) , SUM(data_thit.ban)    , SUM(data_thit.kg_ban)  , SUM(data_thit.chuyen_den)  , SUM(data_thit.chuyen_di)  FROM data_thit WHERE cong_ty  = 103 AND data_thit.ngay &gt;= "2020-8-1" AND data_thit.ngay &lt;= "2020-8-31" GROUP BY data_thit.cong_ty , data_thit.trai , data_thit.chuong ) AS bang_dien_bien_tuan ) AS bang_dien_bien_tuan_vba ON bang_ton_dau_vba.ma = bang_dien_bien_tuan_vba.ma</v>
      </c>
    </row>
    <row r="3" spans="1:12">
      <c r="A3" s="135" t="s">
        <v>373</v>
      </c>
      <c r="D3" s="136"/>
      <c r="G3" s="135" t="s">
        <v>376</v>
      </c>
      <c r="H3" s="133" t="s">
        <v>375</v>
      </c>
    </row>
    <row r="4" spans="1:12">
      <c r="A4" s="135">
        <f ca="1">+VALUE(RIGHT(A1,2))</f>
        <v>8</v>
      </c>
      <c r="D4" s="136"/>
      <c r="G4" s="136">
        <f ca="1">++DATE(B2,A4+1,1)-1</f>
        <v>44074</v>
      </c>
      <c r="H4" s="136">
        <f ca="1">+DATE(B2,A4,1)</f>
        <v>44044</v>
      </c>
    </row>
    <row r="5" spans="1:12">
      <c r="D5" s="136"/>
      <c r="G5" s="135" t="s">
        <v>377</v>
      </c>
      <c r="H5" s="133" t="s">
        <v>378</v>
      </c>
    </row>
    <row r="6" spans="1:12">
      <c r="D6" s="136"/>
      <c r="G6" s="136">
        <f ca="1">++DATE(B2+1,1,1)-1</f>
        <v>44196</v>
      </c>
      <c r="H6" s="136">
        <f ca="1">+DATE(B2,1,1)</f>
        <v>43831</v>
      </c>
    </row>
    <row r="16" spans="1:12">
      <c r="A16" s="135" t="s">
        <v>347</v>
      </c>
      <c r="D16" s="136"/>
    </row>
    <row r="17" spans="1:5">
      <c r="A17" s="135" t="s">
        <v>348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R250"/>
  <sheetViews>
    <sheetView workbookViewId="0">
      <selection activeCell="E12" sqref="E12"/>
    </sheetView>
  </sheetViews>
  <sheetFormatPr defaultRowHeight="15"/>
  <cols>
    <col min="1" max="1" width="9.140625" style="131"/>
    <col min="2" max="2" width="17.28515625" style="131" customWidth="1"/>
    <col min="3" max="3" width="9.140625" style="131"/>
    <col min="4" max="4" width="11.28515625" style="131" customWidth="1"/>
    <col min="5" max="5" width="9.140625" style="131"/>
    <col min="6" max="6" width="12.140625" style="131" customWidth="1"/>
    <col min="7" max="10" width="9.140625" style="131"/>
    <col min="11" max="11" width="19.7109375" style="131" customWidth="1"/>
    <col min="12" max="12" width="11.140625" style="131" customWidth="1"/>
    <col min="13" max="13" width="19.5703125" style="131" customWidth="1"/>
    <col min="14" max="14" width="13.42578125" style="131" customWidth="1"/>
    <col min="15" max="16" width="9.140625" style="131"/>
    <col min="17" max="17" width="14" style="131" customWidth="1"/>
    <col min="18" max="18" width="9.140625" style="131"/>
    <col min="19" max="19" width="24.42578125" style="131" customWidth="1"/>
    <col min="28" max="30" width="9.140625" style="131"/>
    <col min="31" max="31" width="12.5703125" style="140" customWidth="1"/>
    <col min="32" max="33" width="9.140625" style="140"/>
    <col min="34" max="34" width="7.5703125" style="131" customWidth="1"/>
    <col min="35" max="35" width="7.140625" style="131" customWidth="1"/>
    <col min="36" max="36" width="10.7109375" style="131" customWidth="1"/>
    <col min="37" max="37" width="9.5703125" style="140" bestFit="1" customWidth="1"/>
    <col min="38" max="38" width="11.5703125" style="140" bestFit="1" customWidth="1"/>
    <col min="39" max="39" width="9.140625" style="131"/>
    <col min="40" max="40" width="11.5703125" style="140" bestFit="1" customWidth="1"/>
    <col min="41" max="42" width="9.28515625" style="140" bestFit="1" customWidth="1"/>
    <col min="43" max="43" width="9.5703125" style="140" bestFit="1" customWidth="1"/>
    <col min="44" max="44" width="9.140625" style="131"/>
  </cols>
  <sheetData>
    <row r="1" spans="1:44" s="130" customFormat="1" ht="66.75" customHeight="1">
      <c r="A1" s="132" t="s">
        <v>311</v>
      </c>
      <c r="B1" s="132" t="s">
        <v>310</v>
      </c>
      <c r="C1" s="132" t="s">
        <v>312</v>
      </c>
      <c r="D1" s="132" t="s">
        <v>369</v>
      </c>
      <c r="E1" s="132" t="s">
        <v>370</v>
      </c>
      <c r="F1" s="132" t="s">
        <v>309</v>
      </c>
      <c r="G1" s="132" t="s">
        <v>311</v>
      </c>
      <c r="H1" s="132" t="s">
        <v>310</v>
      </c>
      <c r="I1" s="132" t="s">
        <v>312</v>
      </c>
      <c r="J1" s="132" t="s">
        <v>313</v>
      </c>
      <c r="K1" s="132" t="s">
        <v>349</v>
      </c>
      <c r="L1" s="132" t="s">
        <v>350</v>
      </c>
      <c r="M1" s="132" t="s">
        <v>351</v>
      </c>
      <c r="N1" s="132" t="s">
        <v>352</v>
      </c>
      <c r="O1" s="132" t="s">
        <v>353</v>
      </c>
      <c r="P1" s="132" t="s">
        <v>354</v>
      </c>
      <c r="Q1" s="132" t="s">
        <v>355</v>
      </c>
      <c r="R1" s="132" t="s">
        <v>356</v>
      </c>
      <c r="S1" s="132" t="s">
        <v>309</v>
      </c>
      <c r="AA1" s="130" t="str">
        <f ca="1">++ADDRESS(1,28,4)&amp;":"&amp;ADDRESS(COUNTA(B1:B200),28+16,4)</f>
        <v>AB1:AR10</v>
      </c>
      <c r="AB1" s="132" t="s">
        <v>14</v>
      </c>
      <c r="AC1" s="132" t="s">
        <v>15</v>
      </c>
      <c r="AD1" s="132" t="s">
        <v>16</v>
      </c>
      <c r="AE1" s="139" t="s">
        <v>357</v>
      </c>
      <c r="AF1" s="139" t="s">
        <v>358</v>
      </c>
      <c r="AG1" s="139" t="s">
        <v>366</v>
      </c>
      <c r="AH1" s="132" t="s">
        <v>359</v>
      </c>
      <c r="AI1" s="132" t="s">
        <v>404</v>
      </c>
      <c r="AJ1" s="132" t="s">
        <v>405</v>
      </c>
      <c r="AK1" s="139" t="s">
        <v>360</v>
      </c>
      <c r="AL1" s="139" t="s">
        <v>367</v>
      </c>
      <c r="AM1" s="132" t="s">
        <v>361</v>
      </c>
      <c r="AN1" s="139" t="s">
        <v>362</v>
      </c>
      <c r="AO1" s="139" t="s">
        <v>363</v>
      </c>
      <c r="AP1" s="139" t="s">
        <v>364</v>
      </c>
      <c r="AQ1" s="139" t="s">
        <v>365</v>
      </c>
      <c r="AR1" s="132" t="s">
        <v>368</v>
      </c>
    </row>
    <row r="2" spans="1:44">
      <c r="A2" t="s">
        <v>322</v>
      </c>
      <c r="B2" t="s">
        <v>379</v>
      </c>
      <c r="C2" t="s">
        <v>380</v>
      </c>
      <c r="D2" s="105"/>
      <c r="E2">
        <v>982</v>
      </c>
      <c r="F2" t="s">
        <v>381</v>
      </c>
      <c r="G2" t="s">
        <v>322</v>
      </c>
      <c r="H2" t="s">
        <v>379</v>
      </c>
      <c r="I2" t="s">
        <v>380</v>
      </c>
      <c r="J2" t="s">
        <v>408</v>
      </c>
      <c r="K2">
        <v>0</v>
      </c>
      <c r="L2">
        <v>0</v>
      </c>
      <c r="M2">
        <v>5760</v>
      </c>
      <c r="N2">
        <v>0</v>
      </c>
      <c r="O2">
        <v>800</v>
      </c>
      <c r="P2">
        <v>92000</v>
      </c>
      <c r="Q2">
        <v>0</v>
      </c>
      <c r="R2">
        <v>0</v>
      </c>
      <c r="S2" t="s">
        <v>381</v>
      </c>
      <c r="AB2" s="131" t="str">
        <f ca="1">+A2</f>
        <v>103</v>
      </c>
      <c r="AC2" s="131" t="str">
        <f ca="1">+B2</f>
        <v>1.Gia bình</v>
      </c>
      <c r="AD2" s="131" t="str">
        <f ca="1">+C2</f>
        <v>11.Thịt 11</v>
      </c>
      <c r="AE2" s="140">
        <f ca="1">+E2</f>
        <v>982</v>
      </c>
      <c r="AF2" s="140">
        <f ca="1">+K2</f>
        <v>0</v>
      </c>
      <c r="AG2" s="140">
        <f ca="1">+L2</f>
        <v>0</v>
      </c>
      <c r="AH2" s="131">
        <f ca="1">+Q2</f>
        <v>0</v>
      </c>
      <c r="AI2" s="131">
        <f ca="1">+N2</f>
        <v>0</v>
      </c>
      <c r="AJ2" s="131">
        <f ca="1">IFERROR(+AI2/AF2*100,0)</f>
        <v>0</v>
      </c>
      <c r="AK2" s="140">
        <f ca="1">+O2</f>
        <v>800</v>
      </c>
      <c r="AL2" s="140">
        <f ca="1">+P2</f>
        <v>92000</v>
      </c>
      <c r="AM2" s="131">
        <v>0</v>
      </c>
      <c r="AN2" s="140">
        <f ca="1">+M2</f>
        <v>5760</v>
      </c>
      <c r="AO2" s="140">
        <v>0</v>
      </c>
      <c r="AP2" s="140">
        <f ca="1">+R2</f>
        <v>0</v>
      </c>
      <c r="AQ2" s="140">
        <f ca="1">+AE2+AF2+AH2-AI2-AK2-AM2-AP2</f>
        <v>182</v>
      </c>
      <c r="AR2" s="131">
        <v>0</v>
      </c>
    </row>
    <row r="3" spans="1:44">
      <c r="A3" t="s">
        <v>322</v>
      </c>
      <c r="B3" t="s">
        <v>379</v>
      </c>
      <c r="C3" t="s">
        <v>382</v>
      </c>
      <c r="D3" s="105"/>
      <c r="E3">
        <v>982</v>
      </c>
      <c r="F3" t="s">
        <v>383</v>
      </c>
      <c r="G3" t="s">
        <v>322</v>
      </c>
      <c r="H3" t="s">
        <v>379</v>
      </c>
      <c r="I3" t="s">
        <v>382</v>
      </c>
      <c r="J3" t="s">
        <v>384</v>
      </c>
      <c r="K3">
        <v>0</v>
      </c>
      <c r="L3">
        <v>0</v>
      </c>
      <c r="M3">
        <v>53568</v>
      </c>
      <c r="N3">
        <v>0</v>
      </c>
      <c r="O3">
        <v>0</v>
      </c>
      <c r="P3">
        <v>0</v>
      </c>
      <c r="Q3">
        <v>0</v>
      </c>
      <c r="R3">
        <v>0</v>
      </c>
      <c r="S3" t="s">
        <v>383</v>
      </c>
      <c r="AB3" s="131" t="str">
        <f t="shared" ref="AB3:AB66" ca="1" si="0">+A3</f>
        <v>103</v>
      </c>
      <c r="AC3" s="131" t="str">
        <f t="shared" ref="AC3:AC66" ca="1" si="1">+B3</f>
        <v>1.Gia bình</v>
      </c>
      <c r="AD3" s="131" t="str">
        <f t="shared" ref="AD3:AD66" ca="1" si="2">+C3</f>
        <v>13.Thịt 13</v>
      </c>
      <c r="AE3" s="140">
        <f t="shared" ref="AE3:AE66" ca="1" si="3">+E3</f>
        <v>982</v>
      </c>
      <c r="AF3" s="140">
        <f t="shared" ref="AF3:AF66" ca="1" si="4">+K3</f>
        <v>0</v>
      </c>
      <c r="AG3" s="140">
        <f t="shared" ref="AG3:AG66" ca="1" si="5">+L3</f>
        <v>0</v>
      </c>
      <c r="AH3" s="131">
        <f t="shared" ref="AH3:AH66" ca="1" si="6">+Q3</f>
        <v>0</v>
      </c>
      <c r="AI3" s="131">
        <f t="shared" ref="AI3:AI66" ca="1" si="7">+N3</f>
        <v>0</v>
      </c>
      <c r="AJ3" s="131">
        <f t="shared" ref="AJ3:AJ66" ca="1" si="8">IFERROR(+AI3/AF3*100,0)</f>
        <v>0</v>
      </c>
      <c r="AK3" s="140">
        <f t="shared" ref="AK3:AK66" ca="1" si="9">+O3</f>
        <v>0</v>
      </c>
      <c r="AL3" s="140">
        <f t="shared" ref="AL3:AL66" ca="1" si="10">+P3</f>
        <v>0</v>
      </c>
      <c r="AM3" s="131">
        <v>0</v>
      </c>
      <c r="AN3" s="140">
        <f t="shared" ref="AN3:AN66" ca="1" si="11">+M3</f>
        <v>53568</v>
      </c>
      <c r="AO3" s="140">
        <v>0</v>
      </c>
      <c r="AP3" s="140">
        <f t="shared" ref="AP3:AP66" ca="1" si="12">+R3</f>
        <v>0</v>
      </c>
      <c r="AQ3" s="140">
        <f t="shared" ref="AQ3:AQ66" ca="1" si="13">+AE3+AF3+AH3-AI3-AK3-AM3-AP3</f>
        <v>982</v>
      </c>
      <c r="AR3" s="131">
        <v>0</v>
      </c>
    </row>
    <row r="4" spans="1:44">
      <c r="A4" t="s">
        <v>322</v>
      </c>
      <c r="B4" t="s">
        <v>379</v>
      </c>
      <c r="C4" t="s">
        <v>385</v>
      </c>
      <c r="D4" s="105"/>
      <c r="E4">
        <v>982</v>
      </c>
      <c r="F4" t="s">
        <v>386</v>
      </c>
      <c r="G4" t="s">
        <v>322</v>
      </c>
      <c r="H4" t="s">
        <v>379</v>
      </c>
      <c r="I4" t="s">
        <v>385</v>
      </c>
      <c r="J4" t="s">
        <v>387</v>
      </c>
      <c r="K4">
        <v>0</v>
      </c>
      <c r="L4">
        <v>0</v>
      </c>
      <c r="M4">
        <v>53568</v>
      </c>
      <c r="N4">
        <v>0</v>
      </c>
      <c r="O4">
        <v>0</v>
      </c>
      <c r="P4">
        <v>0</v>
      </c>
      <c r="Q4">
        <v>0</v>
      </c>
      <c r="R4">
        <v>0</v>
      </c>
      <c r="S4" t="s">
        <v>386</v>
      </c>
      <c r="AB4" s="131" t="str">
        <f t="shared" ca="1" si="0"/>
        <v>103</v>
      </c>
      <c r="AC4" s="131" t="str">
        <f t="shared" ca="1" si="1"/>
        <v>1.Gia bình</v>
      </c>
      <c r="AD4" s="131" t="str">
        <f t="shared" ca="1" si="2"/>
        <v>14.Thịt 14</v>
      </c>
      <c r="AE4" s="140">
        <f t="shared" ca="1" si="3"/>
        <v>982</v>
      </c>
      <c r="AF4" s="140">
        <f t="shared" ca="1" si="4"/>
        <v>0</v>
      </c>
      <c r="AG4" s="140">
        <f t="shared" ca="1" si="5"/>
        <v>0</v>
      </c>
      <c r="AH4" s="131">
        <f t="shared" ca="1" si="6"/>
        <v>0</v>
      </c>
      <c r="AI4" s="131">
        <f t="shared" ca="1" si="7"/>
        <v>0</v>
      </c>
      <c r="AJ4" s="131">
        <f t="shared" ca="1" si="8"/>
        <v>0</v>
      </c>
      <c r="AK4" s="140">
        <f t="shared" ca="1" si="9"/>
        <v>0</v>
      </c>
      <c r="AL4" s="140">
        <f t="shared" ca="1" si="10"/>
        <v>0</v>
      </c>
      <c r="AM4" s="131">
        <v>0</v>
      </c>
      <c r="AN4" s="140">
        <f t="shared" ca="1" si="11"/>
        <v>53568</v>
      </c>
      <c r="AO4" s="140">
        <v>0</v>
      </c>
      <c r="AP4" s="140">
        <f t="shared" ca="1" si="12"/>
        <v>0</v>
      </c>
      <c r="AQ4" s="140">
        <f t="shared" ca="1" si="13"/>
        <v>982</v>
      </c>
      <c r="AR4" s="131">
        <v>0</v>
      </c>
    </row>
    <row r="5" spans="1:44">
      <c r="A5" t="s">
        <v>322</v>
      </c>
      <c r="B5" t="s">
        <v>379</v>
      </c>
      <c r="C5" t="s">
        <v>388</v>
      </c>
      <c r="D5" s="105"/>
      <c r="E5">
        <v>982</v>
      </c>
      <c r="F5" t="s">
        <v>389</v>
      </c>
      <c r="G5" t="s">
        <v>322</v>
      </c>
      <c r="H5" t="s">
        <v>379</v>
      </c>
      <c r="I5" t="s">
        <v>388</v>
      </c>
      <c r="J5" t="s">
        <v>390</v>
      </c>
      <c r="K5">
        <v>0</v>
      </c>
      <c r="L5">
        <v>0</v>
      </c>
      <c r="M5">
        <v>53568</v>
      </c>
      <c r="N5">
        <v>0</v>
      </c>
      <c r="O5">
        <v>0</v>
      </c>
      <c r="P5">
        <v>0</v>
      </c>
      <c r="Q5">
        <v>0</v>
      </c>
      <c r="R5">
        <v>0</v>
      </c>
      <c r="S5" t="s">
        <v>389</v>
      </c>
      <c r="AB5" s="131" t="str">
        <f t="shared" ca="1" si="0"/>
        <v>103</v>
      </c>
      <c r="AC5" s="131" t="str">
        <f t="shared" ca="1" si="1"/>
        <v>1.Gia bình</v>
      </c>
      <c r="AD5" s="131" t="str">
        <f t="shared" ca="1" si="2"/>
        <v>15.Thịt 15</v>
      </c>
      <c r="AE5" s="140">
        <f t="shared" ca="1" si="3"/>
        <v>982</v>
      </c>
      <c r="AF5" s="140">
        <f t="shared" ca="1" si="4"/>
        <v>0</v>
      </c>
      <c r="AG5" s="140">
        <f t="shared" ca="1" si="5"/>
        <v>0</v>
      </c>
      <c r="AH5" s="131">
        <f t="shared" ca="1" si="6"/>
        <v>0</v>
      </c>
      <c r="AI5" s="131">
        <f t="shared" ca="1" si="7"/>
        <v>0</v>
      </c>
      <c r="AJ5" s="131">
        <f t="shared" ca="1" si="8"/>
        <v>0</v>
      </c>
      <c r="AK5" s="140">
        <f t="shared" ca="1" si="9"/>
        <v>0</v>
      </c>
      <c r="AL5" s="140">
        <f t="shared" ca="1" si="10"/>
        <v>0</v>
      </c>
      <c r="AM5" s="131">
        <v>0</v>
      </c>
      <c r="AN5" s="140">
        <f t="shared" ca="1" si="11"/>
        <v>53568</v>
      </c>
      <c r="AO5" s="140">
        <v>0</v>
      </c>
      <c r="AP5" s="140">
        <f t="shared" ca="1" si="12"/>
        <v>0</v>
      </c>
      <c r="AQ5" s="140">
        <f t="shared" ca="1" si="13"/>
        <v>982</v>
      </c>
      <c r="AR5" s="131">
        <v>0</v>
      </c>
    </row>
    <row r="6" spans="1:44">
      <c r="A6" t="s">
        <v>322</v>
      </c>
      <c r="B6" t="s">
        <v>393</v>
      </c>
      <c r="C6" t="s">
        <v>394</v>
      </c>
      <c r="D6" s="105"/>
      <c r="E6">
        <v>1970</v>
      </c>
      <c r="F6" t="s">
        <v>395</v>
      </c>
      <c r="G6" t="s">
        <v>322</v>
      </c>
      <c r="H6" t="s">
        <v>393</v>
      </c>
      <c r="I6" t="s">
        <v>394</v>
      </c>
      <c r="J6" t="s">
        <v>409</v>
      </c>
      <c r="K6">
        <v>0</v>
      </c>
      <c r="L6">
        <v>0</v>
      </c>
      <c r="M6">
        <v>50086</v>
      </c>
      <c r="N6">
        <v>0</v>
      </c>
      <c r="O6">
        <v>1500</v>
      </c>
      <c r="P6">
        <v>172500</v>
      </c>
      <c r="Q6">
        <v>0</v>
      </c>
      <c r="R6">
        <v>0</v>
      </c>
      <c r="S6" t="s">
        <v>395</v>
      </c>
      <c r="AB6" s="131" t="str">
        <f t="shared" ca="1" si="0"/>
        <v>103</v>
      </c>
      <c r="AC6" s="131" t="str">
        <f t="shared" ca="1" si="1"/>
        <v>2.Lương Tài</v>
      </c>
      <c r="AD6" s="131" t="str">
        <f t="shared" ca="1" si="2"/>
        <v>12.Thịt 12</v>
      </c>
      <c r="AE6" s="140">
        <f t="shared" ca="1" si="3"/>
        <v>1970</v>
      </c>
      <c r="AF6" s="140">
        <f t="shared" ca="1" si="4"/>
        <v>0</v>
      </c>
      <c r="AG6" s="140">
        <f t="shared" ca="1" si="5"/>
        <v>0</v>
      </c>
      <c r="AH6" s="131">
        <f t="shared" ca="1" si="6"/>
        <v>0</v>
      </c>
      <c r="AI6" s="131">
        <f t="shared" ca="1" si="7"/>
        <v>0</v>
      </c>
      <c r="AJ6" s="131">
        <f t="shared" ca="1" si="8"/>
        <v>0</v>
      </c>
      <c r="AK6" s="140">
        <f t="shared" ca="1" si="9"/>
        <v>1500</v>
      </c>
      <c r="AL6" s="140">
        <f t="shared" ca="1" si="10"/>
        <v>172500</v>
      </c>
      <c r="AM6" s="131">
        <v>0</v>
      </c>
      <c r="AN6" s="140">
        <f t="shared" ca="1" si="11"/>
        <v>50086</v>
      </c>
      <c r="AO6" s="140">
        <v>0</v>
      </c>
      <c r="AP6" s="140">
        <f t="shared" ca="1" si="12"/>
        <v>0</v>
      </c>
      <c r="AQ6" s="140">
        <f t="shared" ca="1" si="13"/>
        <v>470</v>
      </c>
      <c r="AR6" s="131">
        <v>0</v>
      </c>
    </row>
    <row r="7" spans="1:44">
      <c r="A7" t="s">
        <v>322</v>
      </c>
      <c r="B7" t="s">
        <v>393</v>
      </c>
      <c r="C7" t="s">
        <v>382</v>
      </c>
      <c r="D7" s="105"/>
      <c r="E7">
        <v>1991</v>
      </c>
      <c r="F7" t="s">
        <v>396</v>
      </c>
      <c r="G7" t="s">
        <v>322</v>
      </c>
      <c r="H7" t="s">
        <v>393</v>
      </c>
      <c r="I7" t="s">
        <v>382</v>
      </c>
      <c r="J7" t="s">
        <v>397</v>
      </c>
      <c r="K7">
        <v>0</v>
      </c>
      <c r="L7">
        <v>0</v>
      </c>
      <c r="M7">
        <v>108624</v>
      </c>
      <c r="N7">
        <v>0</v>
      </c>
      <c r="O7">
        <v>0</v>
      </c>
      <c r="P7">
        <v>0</v>
      </c>
      <c r="Q7">
        <v>0</v>
      </c>
      <c r="R7">
        <v>0</v>
      </c>
      <c r="S7" t="s">
        <v>396</v>
      </c>
      <c r="AB7" s="131" t="str">
        <f t="shared" ca="1" si="0"/>
        <v>103</v>
      </c>
      <c r="AC7" s="131" t="str">
        <f t="shared" ca="1" si="1"/>
        <v>2.Lương Tài</v>
      </c>
      <c r="AD7" s="131" t="str">
        <f t="shared" ca="1" si="2"/>
        <v>13.Thịt 13</v>
      </c>
      <c r="AE7" s="140">
        <f t="shared" ca="1" si="3"/>
        <v>1991</v>
      </c>
      <c r="AF7" s="140">
        <f t="shared" ca="1" si="4"/>
        <v>0</v>
      </c>
      <c r="AG7" s="140">
        <f t="shared" ca="1" si="5"/>
        <v>0</v>
      </c>
      <c r="AH7" s="131">
        <f t="shared" ca="1" si="6"/>
        <v>0</v>
      </c>
      <c r="AI7" s="131">
        <f t="shared" ca="1" si="7"/>
        <v>0</v>
      </c>
      <c r="AJ7" s="131">
        <f t="shared" ca="1" si="8"/>
        <v>0</v>
      </c>
      <c r="AK7" s="140">
        <f t="shared" ca="1" si="9"/>
        <v>0</v>
      </c>
      <c r="AL7" s="140">
        <f t="shared" ca="1" si="10"/>
        <v>0</v>
      </c>
      <c r="AM7" s="131">
        <v>0</v>
      </c>
      <c r="AN7" s="140">
        <f t="shared" ca="1" si="11"/>
        <v>108624</v>
      </c>
      <c r="AO7" s="140">
        <v>0</v>
      </c>
      <c r="AP7" s="140">
        <f t="shared" ca="1" si="12"/>
        <v>0</v>
      </c>
      <c r="AQ7" s="140">
        <f t="shared" ca="1" si="13"/>
        <v>1991</v>
      </c>
      <c r="AR7" s="131">
        <v>0</v>
      </c>
    </row>
    <row r="8" spans="1:44">
      <c r="A8" t="s">
        <v>322</v>
      </c>
      <c r="B8" t="s">
        <v>393</v>
      </c>
      <c r="C8" t="s">
        <v>385</v>
      </c>
      <c r="D8" s="105"/>
      <c r="E8">
        <v>1991</v>
      </c>
      <c r="F8" t="s">
        <v>398</v>
      </c>
      <c r="G8" t="s">
        <v>322</v>
      </c>
      <c r="H8" t="s">
        <v>393</v>
      </c>
      <c r="I8" t="s">
        <v>385</v>
      </c>
      <c r="J8" t="s">
        <v>399</v>
      </c>
      <c r="K8">
        <v>0</v>
      </c>
      <c r="L8">
        <v>0</v>
      </c>
      <c r="M8">
        <v>108162</v>
      </c>
      <c r="N8">
        <v>21</v>
      </c>
      <c r="O8">
        <v>0</v>
      </c>
      <c r="P8">
        <v>0</v>
      </c>
      <c r="Q8">
        <v>0</v>
      </c>
      <c r="R8">
        <v>0</v>
      </c>
      <c r="S8" t="s">
        <v>398</v>
      </c>
      <c r="AB8" s="131" t="str">
        <f t="shared" ca="1" si="0"/>
        <v>103</v>
      </c>
      <c r="AC8" s="131" t="str">
        <f t="shared" ca="1" si="1"/>
        <v>2.Lương Tài</v>
      </c>
      <c r="AD8" s="131" t="str">
        <f t="shared" ca="1" si="2"/>
        <v>14.Thịt 14</v>
      </c>
      <c r="AE8" s="140">
        <f t="shared" ca="1" si="3"/>
        <v>1991</v>
      </c>
      <c r="AF8" s="140">
        <f t="shared" ca="1" si="4"/>
        <v>0</v>
      </c>
      <c r="AG8" s="140">
        <f t="shared" ca="1" si="5"/>
        <v>0</v>
      </c>
      <c r="AH8" s="131">
        <f t="shared" ca="1" si="6"/>
        <v>0</v>
      </c>
      <c r="AI8" s="131">
        <f t="shared" ca="1" si="7"/>
        <v>21</v>
      </c>
      <c r="AJ8" s="131">
        <f t="shared" ca="1" si="8"/>
        <v>0</v>
      </c>
      <c r="AK8" s="140">
        <f t="shared" ca="1" si="9"/>
        <v>0</v>
      </c>
      <c r="AL8" s="140">
        <f t="shared" ca="1" si="10"/>
        <v>0</v>
      </c>
      <c r="AM8" s="131">
        <v>0</v>
      </c>
      <c r="AN8" s="140">
        <f t="shared" ca="1" si="11"/>
        <v>108162</v>
      </c>
      <c r="AO8" s="140">
        <v>0</v>
      </c>
      <c r="AP8" s="140">
        <f t="shared" ca="1" si="12"/>
        <v>0</v>
      </c>
      <c r="AQ8" s="140">
        <f t="shared" ca="1" si="13"/>
        <v>1970</v>
      </c>
      <c r="AR8" s="131">
        <v>0</v>
      </c>
    </row>
    <row r="9" spans="1:44">
      <c r="A9" t="s">
        <v>322</v>
      </c>
      <c r="B9" t="s">
        <v>393</v>
      </c>
      <c r="C9" t="s">
        <v>388</v>
      </c>
      <c r="D9" s="105"/>
      <c r="E9">
        <v>1991</v>
      </c>
      <c r="F9" t="s">
        <v>400</v>
      </c>
      <c r="G9" t="s">
        <v>322</v>
      </c>
      <c r="H9" t="s">
        <v>393</v>
      </c>
      <c r="I9" t="s">
        <v>388</v>
      </c>
      <c r="J9" t="s">
        <v>401</v>
      </c>
      <c r="K9">
        <v>0</v>
      </c>
      <c r="L9">
        <v>0</v>
      </c>
      <c r="M9">
        <v>108624</v>
      </c>
      <c r="N9">
        <v>0</v>
      </c>
      <c r="O9">
        <v>0</v>
      </c>
      <c r="P9">
        <v>0</v>
      </c>
      <c r="Q9">
        <v>0</v>
      </c>
      <c r="R9">
        <v>0</v>
      </c>
      <c r="S9" t="s">
        <v>400</v>
      </c>
      <c r="AB9" s="131" t="str">
        <f t="shared" ca="1" si="0"/>
        <v>103</v>
      </c>
      <c r="AC9" s="131" t="str">
        <f t="shared" ca="1" si="1"/>
        <v>2.Lương Tài</v>
      </c>
      <c r="AD9" s="131" t="str">
        <f t="shared" ca="1" si="2"/>
        <v>15.Thịt 15</v>
      </c>
      <c r="AE9" s="140">
        <f t="shared" ca="1" si="3"/>
        <v>1991</v>
      </c>
      <c r="AF9" s="140">
        <f t="shared" ca="1" si="4"/>
        <v>0</v>
      </c>
      <c r="AG9" s="140">
        <f t="shared" ca="1" si="5"/>
        <v>0</v>
      </c>
      <c r="AH9" s="131">
        <f t="shared" ca="1" si="6"/>
        <v>0</v>
      </c>
      <c r="AI9" s="131">
        <f t="shared" ca="1" si="7"/>
        <v>0</v>
      </c>
      <c r="AJ9" s="131">
        <f t="shared" ca="1" si="8"/>
        <v>0</v>
      </c>
      <c r="AK9" s="140">
        <f t="shared" ca="1" si="9"/>
        <v>0</v>
      </c>
      <c r="AL9" s="140">
        <f t="shared" ca="1" si="10"/>
        <v>0</v>
      </c>
      <c r="AM9" s="131">
        <v>0</v>
      </c>
      <c r="AN9" s="140">
        <f t="shared" ca="1" si="11"/>
        <v>108624</v>
      </c>
      <c r="AO9" s="140">
        <v>0</v>
      </c>
      <c r="AP9" s="140">
        <f t="shared" ca="1" si="12"/>
        <v>0</v>
      </c>
      <c r="AQ9" s="140">
        <f t="shared" ca="1" si="13"/>
        <v>1991</v>
      </c>
      <c r="AR9" s="131">
        <v>0</v>
      </c>
    </row>
    <row r="10" spans="1:44">
      <c r="A10" t="s">
        <v>322</v>
      </c>
      <c r="B10" t="s">
        <v>402</v>
      </c>
      <c r="C10" t="s">
        <v>402</v>
      </c>
      <c r="D10" s="105"/>
      <c r="E10">
        <v>0</v>
      </c>
      <c r="F10" t="s">
        <v>403</v>
      </c>
      <c r="G10"/>
      <c r="H10"/>
      <c r="I10"/>
      <c r="J10"/>
      <c r="K10"/>
      <c r="L10"/>
      <c r="M10"/>
      <c r="N10"/>
      <c r="O10"/>
      <c r="P10"/>
      <c r="Q10"/>
      <c r="R10"/>
      <c r="S10"/>
      <c r="AB10" s="131" t="str">
        <f t="shared" ca="1" si="0"/>
        <v>103</v>
      </c>
      <c r="AC10" s="131" t="str">
        <f t="shared" ca="1" si="1"/>
        <v>KH</v>
      </c>
      <c r="AD10" s="131" t="str">
        <f t="shared" ca="1" si="2"/>
        <v>KH</v>
      </c>
      <c r="AE10" s="140">
        <f t="shared" ca="1" si="3"/>
        <v>0</v>
      </c>
      <c r="AF10" s="140">
        <f t="shared" ca="1" si="4"/>
        <v>0</v>
      </c>
      <c r="AG10" s="140">
        <f t="shared" ca="1" si="5"/>
        <v>0</v>
      </c>
      <c r="AH10" s="131">
        <f t="shared" ca="1" si="6"/>
        <v>0</v>
      </c>
      <c r="AI10" s="131">
        <f t="shared" ca="1" si="7"/>
        <v>0</v>
      </c>
      <c r="AJ10" s="131">
        <f t="shared" ca="1" si="8"/>
        <v>0</v>
      </c>
      <c r="AK10" s="140">
        <f t="shared" ca="1" si="9"/>
        <v>0</v>
      </c>
      <c r="AL10" s="140">
        <f t="shared" ca="1" si="10"/>
        <v>0</v>
      </c>
      <c r="AM10" s="131">
        <v>0</v>
      </c>
      <c r="AN10" s="140">
        <f t="shared" ca="1" si="11"/>
        <v>0</v>
      </c>
      <c r="AO10" s="140">
        <v>0</v>
      </c>
      <c r="AP10" s="140">
        <f t="shared" ca="1" si="12"/>
        <v>0</v>
      </c>
      <c r="AQ10" s="140">
        <f t="shared" ca="1" si="13"/>
        <v>0</v>
      </c>
      <c r="AR10" s="131">
        <v>0</v>
      </c>
    </row>
    <row r="11" spans="1:4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AB11" s="131">
        <f t="shared" ca="1" si="0"/>
        <v>0</v>
      </c>
      <c r="AC11" s="131">
        <f t="shared" ca="1" si="1"/>
        <v>0</v>
      </c>
      <c r="AD11" s="131">
        <f t="shared" ca="1" si="2"/>
        <v>0</v>
      </c>
      <c r="AE11" s="140">
        <f t="shared" ca="1" si="3"/>
        <v>0</v>
      </c>
      <c r="AF11" s="140">
        <f t="shared" ca="1" si="4"/>
        <v>0</v>
      </c>
      <c r="AG11" s="140">
        <f t="shared" ca="1" si="5"/>
        <v>0</v>
      </c>
      <c r="AH11" s="131">
        <f t="shared" ca="1" si="6"/>
        <v>0</v>
      </c>
      <c r="AI11" s="131">
        <f t="shared" ca="1" si="7"/>
        <v>0</v>
      </c>
      <c r="AJ11" s="131">
        <f t="shared" ca="1" si="8"/>
        <v>0</v>
      </c>
      <c r="AK11" s="140">
        <f t="shared" ca="1" si="9"/>
        <v>0</v>
      </c>
      <c r="AL11" s="140">
        <f t="shared" ca="1" si="10"/>
        <v>0</v>
      </c>
      <c r="AM11" s="131">
        <v>0</v>
      </c>
      <c r="AN11" s="140">
        <f t="shared" ca="1" si="11"/>
        <v>0</v>
      </c>
      <c r="AO11" s="140">
        <v>0</v>
      </c>
      <c r="AP11" s="140">
        <f t="shared" ca="1" si="12"/>
        <v>0</v>
      </c>
      <c r="AQ11" s="140">
        <f t="shared" ca="1" si="13"/>
        <v>0</v>
      </c>
      <c r="AR11" s="131">
        <v>0</v>
      </c>
    </row>
    <row r="12" spans="1:4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AB12" s="131">
        <f t="shared" ca="1" si="0"/>
        <v>0</v>
      </c>
      <c r="AC12" s="131">
        <f t="shared" ca="1" si="1"/>
        <v>0</v>
      </c>
      <c r="AD12" s="131">
        <f t="shared" ca="1" si="2"/>
        <v>0</v>
      </c>
      <c r="AE12" s="140">
        <f t="shared" ca="1" si="3"/>
        <v>0</v>
      </c>
      <c r="AF12" s="140">
        <f t="shared" ca="1" si="4"/>
        <v>0</v>
      </c>
      <c r="AG12" s="140">
        <f t="shared" ca="1" si="5"/>
        <v>0</v>
      </c>
      <c r="AH12" s="131">
        <f t="shared" ca="1" si="6"/>
        <v>0</v>
      </c>
      <c r="AI12" s="131">
        <f t="shared" ca="1" si="7"/>
        <v>0</v>
      </c>
      <c r="AJ12" s="131">
        <f t="shared" ca="1" si="8"/>
        <v>0</v>
      </c>
      <c r="AK12" s="140">
        <f t="shared" ca="1" si="9"/>
        <v>0</v>
      </c>
      <c r="AL12" s="140">
        <f t="shared" ca="1" si="10"/>
        <v>0</v>
      </c>
      <c r="AM12" s="131">
        <v>0</v>
      </c>
      <c r="AN12" s="140">
        <f t="shared" ca="1" si="11"/>
        <v>0</v>
      </c>
      <c r="AO12" s="140">
        <v>0</v>
      </c>
      <c r="AP12" s="140">
        <f t="shared" ca="1" si="12"/>
        <v>0</v>
      </c>
      <c r="AQ12" s="140">
        <f t="shared" ca="1" si="13"/>
        <v>0</v>
      </c>
      <c r="AR12" s="131">
        <v>0</v>
      </c>
    </row>
    <row r="13" spans="1:4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AB13" s="131">
        <f t="shared" ca="1" si="0"/>
        <v>0</v>
      </c>
      <c r="AC13" s="131">
        <f t="shared" ca="1" si="1"/>
        <v>0</v>
      </c>
      <c r="AD13" s="131">
        <f t="shared" ca="1" si="2"/>
        <v>0</v>
      </c>
      <c r="AE13" s="140">
        <f t="shared" ca="1" si="3"/>
        <v>0</v>
      </c>
      <c r="AF13" s="140">
        <f t="shared" ca="1" si="4"/>
        <v>0</v>
      </c>
      <c r="AG13" s="140">
        <f t="shared" ca="1" si="5"/>
        <v>0</v>
      </c>
      <c r="AH13" s="131">
        <f t="shared" ca="1" si="6"/>
        <v>0</v>
      </c>
      <c r="AI13" s="131">
        <f t="shared" ca="1" si="7"/>
        <v>0</v>
      </c>
      <c r="AJ13" s="131">
        <f t="shared" ca="1" si="8"/>
        <v>0</v>
      </c>
      <c r="AK13" s="140">
        <f t="shared" ca="1" si="9"/>
        <v>0</v>
      </c>
      <c r="AL13" s="140">
        <f t="shared" ca="1" si="10"/>
        <v>0</v>
      </c>
      <c r="AM13" s="131">
        <v>0</v>
      </c>
      <c r="AN13" s="140">
        <f t="shared" ca="1" si="11"/>
        <v>0</v>
      </c>
      <c r="AO13" s="140">
        <v>0</v>
      </c>
      <c r="AP13" s="140">
        <f t="shared" ca="1" si="12"/>
        <v>0</v>
      </c>
      <c r="AQ13" s="140">
        <f t="shared" ca="1" si="13"/>
        <v>0</v>
      </c>
      <c r="AR13" s="131">
        <v>0</v>
      </c>
    </row>
    <row r="14" spans="1:4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AB14" s="131">
        <f t="shared" ca="1" si="0"/>
        <v>0</v>
      </c>
      <c r="AC14" s="131">
        <f t="shared" ca="1" si="1"/>
        <v>0</v>
      </c>
      <c r="AD14" s="131">
        <f t="shared" ca="1" si="2"/>
        <v>0</v>
      </c>
      <c r="AE14" s="140">
        <f t="shared" ca="1" si="3"/>
        <v>0</v>
      </c>
      <c r="AF14" s="140">
        <f t="shared" ca="1" si="4"/>
        <v>0</v>
      </c>
      <c r="AG14" s="140">
        <f t="shared" ca="1" si="5"/>
        <v>0</v>
      </c>
      <c r="AH14" s="131">
        <f t="shared" ca="1" si="6"/>
        <v>0</v>
      </c>
      <c r="AI14" s="131">
        <f t="shared" ca="1" si="7"/>
        <v>0</v>
      </c>
      <c r="AJ14" s="131">
        <f t="shared" ca="1" si="8"/>
        <v>0</v>
      </c>
      <c r="AK14" s="140">
        <f t="shared" ca="1" si="9"/>
        <v>0</v>
      </c>
      <c r="AL14" s="140">
        <f t="shared" ca="1" si="10"/>
        <v>0</v>
      </c>
      <c r="AM14" s="131">
        <v>0</v>
      </c>
      <c r="AN14" s="140">
        <f t="shared" ca="1" si="11"/>
        <v>0</v>
      </c>
      <c r="AO14" s="140">
        <v>0</v>
      </c>
      <c r="AP14" s="140">
        <f t="shared" ca="1" si="12"/>
        <v>0</v>
      </c>
      <c r="AQ14" s="140">
        <f t="shared" ca="1" si="13"/>
        <v>0</v>
      </c>
      <c r="AR14" s="131">
        <v>0</v>
      </c>
    </row>
    <row r="15" spans="1:4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AB15" s="131">
        <f t="shared" ca="1" si="0"/>
        <v>0</v>
      </c>
      <c r="AC15" s="131">
        <f t="shared" ca="1" si="1"/>
        <v>0</v>
      </c>
      <c r="AD15" s="131">
        <f t="shared" ca="1" si="2"/>
        <v>0</v>
      </c>
      <c r="AE15" s="140">
        <f t="shared" ca="1" si="3"/>
        <v>0</v>
      </c>
      <c r="AF15" s="140">
        <f t="shared" ca="1" si="4"/>
        <v>0</v>
      </c>
      <c r="AG15" s="140">
        <f t="shared" ca="1" si="5"/>
        <v>0</v>
      </c>
      <c r="AH15" s="131">
        <f t="shared" ca="1" si="6"/>
        <v>0</v>
      </c>
      <c r="AI15" s="131">
        <f t="shared" ca="1" si="7"/>
        <v>0</v>
      </c>
      <c r="AJ15" s="131">
        <f t="shared" ca="1" si="8"/>
        <v>0</v>
      </c>
      <c r="AK15" s="140">
        <f t="shared" ca="1" si="9"/>
        <v>0</v>
      </c>
      <c r="AL15" s="140">
        <f t="shared" ca="1" si="10"/>
        <v>0</v>
      </c>
      <c r="AM15" s="131">
        <v>0</v>
      </c>
      <c r="AN15" s="140">
        <f t="shared" ca="1" si="11"/>
        <v>0</v>
      </c>
      <c r="AO15" s="140">
        <v>0</v>
      </c>
      <c r="AP15" s="140">
        <f t="shared" ca="1" si="12"/>
        <v>0</v>
      </c>
      <c r="AQ15" s="140">
        <f t="shared" ca="1" si="13"/>
        <v>0</v>
      </c>
      <c r="AR15" s="131">
        <v>0</v>
      </c>
    </row>
    <row r="16" spans="1:4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AB16" s="131">
        <f t="shared" ca="1" si="0"/>
        <v>0</v>
      </c>
      <c r="AC16" s="131">
        <f t="shared" ca="1" si="1"/>
        <v>0</v>
      </c>
      <c r="AD16" s="131">
        <f t="shared" ca="1" si="2"/>
        <v>0</v>
      </c>
      <c r="AE16" s="140">
        <f t="shared" ca="1" si="3"/>
        <v>0</v>
      </c>
      <c r="AF16" s="140">
        <f t="shared" ca="1" si="4"/>
        <v>0</v>
      </c>
      <c r="AG16" s="140">
        <f t="shared" ca="1" si="5"/>
        <v>0</v>
      </c>
      <c r="AH16" s="131">
        <f t="shared" ca="1" si="6"/>
        <v>0</v>
      </c>
      <c r="AI16" s="131">
        <f t="shared" ca="1" si="7"/>
        <v>0</v>
      </c>
      <c r="AJ16" s="131">
        <f t="shared" ca="1" si="8"/>
        <v>0</v>
      </c>
      <c r="AK16" s="140">
        <f t="shared" ca="1" si="9"/>
        <v>0</v>
      </c>
      <c r="AL16" s="140">
        <f t="shared" ca="1" si="10"/>
        <v>0</v>
      </c>
      <c r="AM16" s="131">
        <v>0</v>
      </c>
      <c r="AN16" s="140">
        <f t="shared" ca="1" si="11"/>
        <v>0</v>
      </c>
      <c r="AO16" s="140">
        <v>0</v>
      </c>
      <c r="AP16" s="140">
        <f t="shared" ca="1" si="12"/>
        <v>0</v>
      </c>
      <c r="AQ16" s="140">
        <f t="shared" ca="1" si="13"/>
        <v>0</v>
      </c>
      <c r="AR16" s="131">
        <v>0</v>
      </c>
    </row>
    <row r="17" spans="1:4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AB17" s="131">
        <f t="shared" ca="1" si="0"/>
        <v>0</v>
      </c>
      <c r="AC17" s="131">
        <f t="shared" ca="1" si="1"/>
        <v>0</v>
      </c>
      <c r="AD17" s="131">
        <f t="shared" ca="1" si="2"/>
        <v>0</v>
      </c>
      <c r="AE17" s="140">
        <f t="shared" ca="1" si="3"/>
        <v>0</v>
      </c>
      <c r="AF17" s="140">
        <f t="shared" ca="1" si="4"/>
        <v>0</v>
      </c>
      <c r="AG17" s="140">
        <f t="shared" ca="1" si="5"/>
        <v>0</v>
      </c>
      <c r="AH17" s="131">
        <f t="shared" ca="1" si="6"/>
        <v>0</v>
      </c>
      <c r="AI17" s="131">
        <f t="shared" ca="1" si="7"/>
        <v>0</v>
      </c>
      <c r="AJ17" s="131">
        <f t="shared" ca="1" si="8"/>
        <v>0</v>
      </c>
      <c r="AK17" s="140">
        <f t="shared" ca="1" si="9"/>
        <v>0</v>
      </c>
      <c r="AL17" s="140">
        <f t="shared" ca="1" si="10"/>
        <v>0</v>
      </c>
      <c r="AM17" s="131">
        <v>0</v>
      </c>
      <c r="AN17" s="140">
        <f t="shared" ca="1" si="11"/>
        <v>0</v>
      </c>
      <c r="AO17" s="140">
        <v>0</v>
      </c>
      <c r="AP17" s="140">
        <f t="shared" ca="1" si="12"/>
        <v>0</v>
      </c>
      <c r="AQ17" s="140">
        <f t="shared" ca="1" si="13"/>
        <v>0</v>
      </c>
      <c r="AR17" s="131">
        <v>0</v>
      </c>
    </row>
    <row r="18" spans="1:4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AB18" s="131">
        <f t="shared" ca="1" si="0"/>
        <v>0</v>
      </c>
      <c r="AC18" s="131">
        <f t="shared" ca="1" si="1"/>
        <v>0</v>
      </c>
      <c r="AD18" s="131">
        <f t="shared" ca="1" si="2"/>
        <v>0</v>
      </c>
      <c r="AE18" s="140">
        <f t="shared" ca="1" si="3"/>
        <v>0</v>
      </c>
      <c r="AF18" s="140">
        <f t="shared" ca="1" si="4"/>
        <v>0</v>
      </c>
      <c r="AG18" s="140">
        <f t="shared" ca="1" si="5"/>
        <v>0</v>
      </c>
      <c r="AH18" s="131">
        <f t="shared" ca="1" si="6"/>
        <v>0</v>
      </c>
      <c r="AI18" s="131">
        <f t="shared" ca="1" si="7"/>
        <v>0</v>
      </c>
      <c r="AJ18" s="131">
        <f t="shared" ca="1" si="8"/>
        <v>0</v>
      </c>
      <c r="AK18" s="140">
        <f t="shared" ca="1" si="9"/>
        <v>0</v>
      </c>
      <c r="AL18" s="140">
        <f t="shared" ca="1" si="10"/>
        <v>0</v>
      </c>
      <c r="AM18" s="131">
        <v>0</v>
      </c>
      <c r="AN18" s="140">
        <f t="shared" ca="1" si="11"/>
        <v>0</v>
      </c>
      <c r="AO18" s="140">
        <v>0</v>
      </c>
      <c r="AP18" s="140">
        <f t="shared" ca="1" si="12"/>
        <v>0</v>
      </c>
      <c r="AQ18" s="140">
        <f t="shared" ca="1" si="13"/>
        <v>0</v>
      </c>
      <c r="AR18" s="131">
        <v>0</v>
      </c>
    </row>
    <row r="19" spans="1:4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AB19" s="131">
        <f t="shared" ca="1" si="0"/>
        <v>0</v>
      </c>
      <c r="AC19" s="131">
        <f t="shared" ca="1" si="1"/>
        <v>0</v>
      </c>
      <c r="AD19" s="131">
        <f t="shared" ca="1" si="2"/>
        <v>0</v>
      </c>
      <c r="AE19" s="140">
        <f t="shared" ca="1" si="3"/>
        <v>0</v>
      </c>
      <c r="AF19" s="140">
        <f t="shared" ca="1" si="4"/>
        <v>0</v>
      </c>
      <c r="AG19" s="140">
        <f t="shared" ca="1" si="5"/>
        <v>0</v>
      </c>
      <c r="AH19" s="131">
        <f t="shared" ca="1" si="6"/>
        <v>0</v>
      </c>
      <c r="AI19" s="131">
        <f t="shared" ca="1" si="7"/>
        <v>0</v>
      </c>
      <c r="AJ19" s="131">
        <f t="shared" ca="1" si="8"/>
        <v>0</v>
      </c>
      <c r="AK19" s="140">
        <f t="shared" ca="1" si="9"/>
        <v>0</v>
      </c>
      <c r="AL19" s="140">
        <f t="shared" ca="1" si="10"/>
        <v>0</v>
      </c>
      <c r="AM19" s="131">
        <v>0</v>
      </c>
      <c r="AN19" s="140">
        <f t="shared" ca="1" si="11"/>
        <v>0</v>
      </c>
      <c r="AO19" s="140">
        <v>0</v>
      </c>
      <c r="AP19" s="140">
        <f t="shared" ca="1" si="12"/>
        <v>0</v>
      </c>
      <c r="AQ19" s="140">
        <f t="shared" ca="1" si="13"/>
        <v>0</v>
      </c>
      <c r="AR19" s="131">
        <v>0</v>
      </c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AB20" s="131">
        <f t="shared" ca="1" si="0"/>
        <v>0</v>
      </c>
      <c r="AC20" s="131">
        <f t="shared" ca="1" si="1"/>
        <v>0</v>
      </c>
      <c r="AD20" s="131">
        <f t="shared" ca="1" si="2"/>
        <v>0</v>
      </c>
      <c r="AE20" s="140">
        <f t="shared" ca="1" si="3"/>
        <v>0</v>
      </c>
      <c r="AF20" s="140">
        <f t="shared" ca="1" si="4"/>
        <v>0</v>
      </c>
      <c r="AG20" s="140">
        <f t="shared" ca="1" si="5"/>
        <v>0</v>
      </c>
      <c r="AH20" s="131">
        <f t="shared" ca="1" si="6"/>
        <v>0</v>
      </c>
      <c r="AI20" s="131">
        <f t="shared" ca="1" si="7"/>
        <v>0</v>
      </c>
      <c r="AJ20" s="131">
        <f t="shared" ca="1" si="8"/>
        <v>0</v>
      </c>
      <c r="AK20" s="140">
        <f t="shared" ca="1" si="9"/>
        <v>0</v>
      </c>
      <c r="AL20" s="140">
        <f t="shared" ca="1" si="10"/>
        <v>0</v>
      </c>
      <c r="AM20" s="131">
        <v>0</v>
      </c>
      <c r="AN20" s="140">
        <f t="shared" ca="1" si="11"/>
        <v>0</v>
      </c>
      <c r="AO20" s="140">
        <v>0</v>
      </c>
      <c r="AP20" s="140">
        <f t="shared" ca="1" si="12"/>
        <v>0</v>
      </c>
      <c r="AQ20" s="140">
        <f t="shared" ca="1" si="13"/>
        <v>0</v>
      </c>
      <c r="AR20" s="131">
        <v>0</v>
      </c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AB21" s="131">
        <f t="shared" ca="1" si="0"/>
        <v>0</v>
      </c>
      <c r="AC21" s="131">
        <f t="shared" ca="1" si="1"/>
        <v>0</v>
      </c>
      <c r="AD21" s="131">
        <f t="shared" ca="1" si="2"/>
        <v>0</v>
      </c>
      <c r="AE21" s="140">
        <f t="shared" ca="1" si="3"/>
        <v>0</v>
      </c>
      <c r="AF21" s="140">
        <f t="shared" ca="1" si="4"/>
        <v>0</v>
      </c>
      <c r="AG21" s="140">
        <f t="shared" ca="1" si="5"/>
        <v>0</v>
      </c>
      <c r="AH21" s="131">
        <f t="shared" ca="1" si="6"/>
        <v>0</v>
      </c>
      <c r="AI21" s="131">
        <f t="shared" ca="1" si="7"/>
        <v>0</v>
      </c>
      <c r="AJ21" s="131">
        <f t="shared" ca="1" si="8"/>
        <v>0</v>
      </c>
      <c r="AK21" s="140">
        <f t="shared" ca="1" si="9"/>
        <v>0</v>
      </c>
      <c r="AL21" s="140">
        <f t="shared" ca="1" si="10"/>
        <v>0</v>
      </c>
      <c r="AM21" s="131">
        <v>0</v>
      </c>
      <c r="AN21" s="140">
        <f t="shared" ca="1" si="11"/>
        <v>0</v>
      </c>
      <c r="AO21" s="140">
        <v>0</v>
      </c>
      <c r="AP21" s="140">
        <f t="shared" ca="1" si="12"/>
        <v>0</v>
      </c>
      <c r="AQ21" s="140">
        <f t="shared" ca="1" si="13"/>
        <v>0</v>
      </c>
      <c r="AR21" s="131">
        <v>0</v>
      </c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AB22" s="131">
        <f t="shared" ca="1" si="0"/>
        <v>0</v>
      </c>
      <c r="AC22" s="131">
        <f t="shared" ca="1" si="1"/>
        <v>0</v>
      </c>
      <c r="AD22" s="131">
        <f t="shared" ca="1" si="2"/>
        <v>0</v>
      </c>
      <c r="AE22" s="140">
        <f t="shared" ca="1" si="3"/>
        <v>0</v>
      </c>
      <c r="AF22" s="140">
        <f t="shared" ca="1" si="4"/>
        <v>0</v>
      </c>
      <c r="AG22" s="140">
        <f t="shared" ca="1" si="5"/>
        <v>0</v>
      </c>
      <c r="AH22" s="131">
        <f t="shared" ca="1" si="6"/>
        <v>0</v>
      </c>
      <c r="AI22" s="131">
        <f t="shared" ca="1" si="7"/>
        <v>0</v>
      </c>
      <c r="AJ22" s="131">
        <f t="shared" ca="1" si="8"/>
        <v>0</v>
      </c>
      <c r="AK22" s="140">
        <f t="shared" ca="1" si="9"/>
        <v>0</v>
      </c>
      <c r="AL22" s="140">
        <f t="shared" ca="1" si="10"/>
        <v>0</v>
      </c>
      <c r="AM22" s="131">
        <v>0</v>
      </c>
      <c r="AN22" s="140">
        <f t="shared" ca="1" si="11"/>
        <v>0</v>
      </c>
      <c r="AO22" s="140">
        <v>0</v>
      </c>
      <c r="AP22" s="140">
        <f t="shared" ca="1" si="12"/>
        <v>0</v>
      </c>
      <c r="AQ22" s="140">
        <f t="shared" ca="1" si="13"/>
        <v>0</v>
      </c>
      <c r="AR22" s="131">
        <v>0</v>
      </c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AB23" s="131">
        <f t="shared" ca="1" si="0"/>
        <v>0</v>
      </c>
      <c r="AC23" s="131">
        <f t="shared" ca="1" si="1"/>
        <v>0</v>
      </c>
      <c r="AD23" s="131">
        <f t="shared" ca="1" si="2"/>
        <v>0</v>
      </c>
      <c r="AE23" s="140">
        <f t="shared" ca="1" si="3"/>
        <v>0</v>
      </c>
      <c r="AF23" s="140">
        <f t="shared" ca="1" si="4"/>
        <v>0</v>
      </c>
      <c r="AG23" s="140">
        <f t="shared" ca="1" si="5"/>
        <v>0</v>
      </c>
      <c r="AH23" s="131">
        <f t="shared" ca="1" si="6"/>
        <v>0</v>
      </c>
      <c r="AI23" s="131">
        <f t="shared" ca="1" si="7"/>
        <v>0</v>
      </c>
      <c r="AJ23" s="131">
        <f t="shared" ca="1" si="8"/>
        <v>0</v>
      </c>
      <c r="AK23" s="140">
        <f t="shared" ca="1" si="9"/>
        <v>0</v>
      </c>
      <c r="AL23" s="140">
        <f t="shared" ca="1" si="10"/>
        <v>0</v>
      </c>
      <c r="AM23" s="131">
        <v>0</v>
      </c>
      <c r="AN23" s="140">
        <f t="shared" ca="1" si="11"/>
        <v>0</v>
      </c>
      <c r="AO23" s="140">
        <v>0</v>
      </c>
      <c r="AP23" s="140">
        <f t="shared" ca="1" si="12"/>
        <v>0</v>
      </c>
      <c r="AQ23" s="140">
        <f t="shared" ca="1" si="13"/>
        <v>0</v>
      </c>
      <c r="AR23" s="131">
        <v>0</v>
      </c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AB24" s="131">
        <f t="shared" ca="1" si="0"/>
        <v>0</v>
      </c>
      <c r="AC24" s="131">
        <f t="shared" ca="1" si="1"/>
        <v>0</v>
      </c>
      <c r="AD24" s="131">
        <f t="shared" ca="1" si="2"/>
        <v>0</v>
      </c>
      <c r="AE24" s="140">
        <f t="shared" ca="1" si="3"/>
        <v>0</v>
      </c>
      <c r="AF24" s="140">
        <f t="shared" ca="1" si="4"/>
        <v>0</v>
      </c>
      <c r="AG24" s="140">
        <f t="shared" ca="1" si="5"/>
        <v>0</v>
      </c>
      <c r="AH24" s="131">
        <f t="shared" ca="1" si="6"/>
        <v>0</v>
      </c>
      <c r="AI24" s="131">
        <f t="shared" ca="1" si="7"/>
        <v>0</v>
      </c>
      <c r="AJ24" s="131">
        <f t="shared" ca="1" si="8"/>
        <v>0</v>
      </c>
      <c r="AK24" s="140">
        <f t="shared" ca="1" si="9"/>
        <v>0</v>
      </c>
      <c r="AL24" s="140">
        <f t="shared" ca="1" si="10"/>
        <v>0</v>
      </c>
      <c r="AM24" s="131">
        <v>0</v>
      </c>
      <c r="AN24" s="140">
        <f t="shared" ca="1" si="11"/>
        <v>0</v>
      </c>
      <c r="AO24" s="140">
        <v>0</v>
      </c>
      <c r="AP24" s="140">
        <f t="shared" ca="1" si="12"/>
        <v>0</v>
      </c>
      <c r="AQ24" s="140">
        <f t="shared" ca="1" si="13"/>
        <v>0</v>
      </c>
      <c r="AR24" s="131">
        <v>0</v>
      </c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AB25" s="131">
        <f t="shared" ca="1" si="0"/>
        <v>0</v>
      </c>
      <c r="AC25" s="131">
        <f t="shared" ca="1" si="1"/>
        <v>0</v>
      </c>
      <c r="AD25" s="131">
        <f t="shared" ca="1" si="2"/>
        <v>0</v>
      </c>
      <c r="AE25" s="140">
        <f t="shared" ca="1" si="3"/>
        <v>0</v>
      </c>
      <c r="AF25" s="140">
        <f t="shared" ca="1" si="4"/>
        <v>0</v>
      </c>
      <c r="AG25" s="140">
        <f t="shared" ca="1" si="5"/>
        <v>0</v>
      </c>
      <c r="AH25" s="131">
        <f t="shared" ca="1" si="6"/>
        <v>0</v>
      </c>
      <c r="AI25" s="131">
        <f t="shared" ca="1" si="7"/>
        <v>0</v>
      </c>
      <c r="AJ25" s="131">
        <f t="shared" ca="1" si="8"/>
        <v>0</v>
      </c>
      <c r="AK25" s="140">
        <f t="shared" ca="1" si="9"/>
        <v>0</v>
      </c>
      <c r="AL25" s="140">
        <f t="shared" ca="1" si="10"/>
        <v>0</v>
      </c>
      <c r="AM25" s="131">
        <v>0</v>
      </c>
      <c r="AN25" s="140">
        <f t="shared" ca="1" si="11"/>
        <v>0</v>
      </c>
      <c r="AO25" s="140">
        <v>0</v>
      </c>
      <c r="AP25" s="140">
        <f t="shared" ca="1" si="12"/>
        <v>0</v>
      </c>
      <c r="AQ25" s="140">
        <f t="shared" ca="1" si="13"/>
        <v>0</v>
      </c>
      <c r="AR25" s="131">
        <v>0</v>
      </c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AB26" s="131">
        <f t="shared" ca="1" si="0"/>
        <v>0</v>
      </c>
      <c r="AC26" s="131">
        <f t="shared" ca="1" si="1"/>
        <v>0</v>
      </c>
      <c r="AD26" s="131">
        <f t="shared" ca="1" si="2"/>
        <v>0</v>
      </c>
      <c r="AE26" s="140">
        <f t="shared" ca="1" si="3"/>
        <v>0</v>
      </c>
      <c r="AF26" s="140">
        <f t="shared" ca="1" si="4"/>
        <v>0</v>
      </c>
      <c r="AG26" s="140">
        <f t="shared" ca="1" si="5"/>
        <v>0</v>
      </c>
      <c r="AH26" s="131">
        <f t="shared" ca="1" si="6"/>
        <v>0</v>
      </c>
      <c r="AI26" s="131">
        <f t="shared" ca="1" si="7"/>
        <v>0</v>
      </c>
      <c r="AJ26" s="131">
        <f t="shared" ca="1" si="8"/>
        <v>0</v>
      </c>
      <c r="AK26" s="140">
        <f t="shared" ca="1" si="9"/>
        <v>0</v>
      </c>
      <c r="AL26" s="140">
        <f t="shared" ca="1" si="10"/>
        <v>0</v>
      </c>
      <c r="AM26" s="131">
        <v>0</v>
      </c>
      <c r="AN26" s="140">
        <f t="shared" ca="1" si="11"/>
        <v>0</v>
      </c>
      <c r="AO26" s="140">
        <v>0</v>
      </c>
      <c r="AP26" s="140">
        <f t="shared" ca="1" si="12"/>
        <v>0</v>
      </c>
      <c r="AQ26" s="140">
        <f t="shared" ca="1" si="13"/>
        <v>0</v>
      </c>
      <c r="AR26" s="131">
        <v>0</v>
      </c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AB27" s="131">
        <f t="shared" ca="1" si="0"/>
        <v>0</v>
      </c>
      <c r="AC27" s="131">
        <f t="shared" ca="1" si="1"/>
        <v>0</v>
      </c>
      <c r="AD27" s="131">
        <f t="shared" ca="1" si="2"/>
        <v>0</v>
      </c>
      <c r="AE27" s="140">
        <f t="shared" ca="1" si="3"/>
        <v>0</v>
      </c>
      <c r="AF27" s="140">
        <f t="shared" ca="1" si="4"/>
        <v>0</v>
      </c>
      <c r="AG27" s="140">
        <f t="shared" ca="1" si="5"/>
        <v>0</v>
      </c>
      <c r="AH27" s="131">
        <f t="shared" ca="1" si="6"/>
        <v>0</v>
      </c>
      <c r="AI27" s="131">
        <f t="shared" ca="1" si="7"/>
        <v>0</v>
      </c>
      <c r="AJ27" s="131">
        <f t="shared" ca="1" si="8"/>
        <v>0</v>
      </c>
      <c r="AK27" s="140">
        <f t="shared" ca="1" si="9"/>
        <v>0</v>
      </c>
      <c r="AL27" s="140">
        <f t="shared" ca="1" si="10"/>
        <v>0</v>
      </c>
      <c r="AM27" s="131">
        <v>0</v>
      </c>
      <c r="AN27" s="140">
        <f t="shared" ca="1" si="11"/>
        <v>0</v>
      </c>
      <c r="AO27" s="140">
        <v>0</v>
      </c>
      <c r="AP27" s="140">
        <f t="shared" ca="1" si="12"/>
        <v>0</v>
      </c>
      <c r="AQ27" s="140">
        <f t="shared" ca="1" si="13"/>
        <v>0</v>
      </c>
      <c r="AR27" s="131">
        <v>0</v>
      </c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AB28" s="131">
        <f t="shared" ca="1" si="0"/>
        <v>0</v>
      </c>
      <c r="AC28" s="131">
        <f t="shared" ca="1" si="1"/>
        <v>0</v>
      </c>
      <c r="AD28" s="131">
        <f t="shared" ca="1" si="2"/>
        <v>0</v>
      </c>
      <c r="AE28" s="140">
        <f t="shared" ca="1" si="3"/>
        <v>0</v>
      </c>
      <c r="AF28" s="140">
        <f t="shared" ca="1" si="4"/>
        <v>0</v>
      </c>
      <c r="AG28" s="140">
        <f t="shared" ca="1" si="5"/>
        <v>0</v>
      </c>
      <c r="AH28" s="131">
        <f t="shared" ca="1" si="6"/>
        <v>0</v>
      </c>
      <c r="AI28" s="131">
        <f t="shared" ca="1" si="7"/>
        <v>0</v>
      </c>
      <c r="AJ28" s="131">
        <f t="shared" ca="1" si="8"/>
        <v>0</v>
      </c>
      <c r="AK28" s="140">
        <f t="shared" ca="1" si="9"/>
        <v>0</v>
      </c>
      <c r="AL28" s="140">
        <f t="shared" ca="1" si="10"/>
        <v>0</v>
      </c>
      <c r="AM28" s="131">
        <v>0</v>
      </c>
      <c r="AN28" s="140">
        <f t="shared" ca="1" si="11"/>
        <v>0</v>
      </c>
      <c r="AO28" s="140">
        <v>0</v>
      </c>
      <c r="AP28" s="140">
        <f t="shared" ca="1" si="12"/>
        <v>0</v>
      </c>
      <c r="AQ28" s="140">
        <f t="shared" ca="1" si="13"/>
        <v>0</v>
      </c>
      <c r="AR28" s="131">
        <v>0</v>
      </c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AB29" s="131">
        <f t="shared" ca="1" si="0"/>
        <v>0</v>
      </c>
      <c r="AC29" s="131">
        <f t="shared" ca="1" si="1"/>
        <v>0</v>
      </c>
      <c r="AD29" s="131">
        <f t="shared" ca="1" si="2"/>
        <v>0</v>
      </c>
      <c r="AE29" s="140">
        <f t="shared" ca="1" si="3"/>
        <v>0</v>
      </c>
      <c r="AF29" s="140">
        <f t="shared" ca="1" si="4"/>
        <v>0</v>
      </c>
      <c r="AG29" s="140">
        <f t="shared" ca="1" si="5"/>
        <v>0</v>
      </c>
      <c r="AH29" s="131">
        <f t="shared" ca="1" si="6"/>
        <v>0</v>
      </c>
      <c r="AI29" s="131">
        <f t="shared" ca="1" si="7"/>
        <v>0</v>
      </c>
      <c r="AJ29" s="131">
        <f t="shared" ca="1" si="8"/>
        <v>0</v>
      </c>
      <c r="AK29" s="140">
        <f t="shared" ca="1" si="9"/>
        <v>0</v>
      </c>
      <c r="AL29" s="140">
        <f t="shared" ca="1" si="10"/>
        <v>0</v>
      </c>
      <c r="AM29" s="131">
        <v>0</v>
      </c>
      <c r="AN29" s="140">
        <f t="shared" ca="1" si="11"/>
        <v>0</v>
      </c>
      <c r="AO29" s="140">
        <v>0</v>
      </c>
      <c r="AP29" s="140">
        <f t="shared" ca="1" si="12"/>
        <v>0</v>
      </c>
      <c r="AQ29" s="140">
        <f t="shared" ca="1" si="13"/>
        <v>0</v>
      </c>
      <c r="AR29" s="131">
        <v>0</v>
      </c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AB30" s="131">
        <f t="shared" ca="1" si="0"/>
        <v>0</v>
      </c>
      <c r="AC30" s="131">
        <f t="shared" ca="1" si="1"/>
        <v>0</v>
      </c>
      <c r="AD30" s="131">
        <f t="shared" ca="1" si="2"/>
        <v>0</v>
      </c>
      <c r="AE30" s="140">
        <f t="shared" ca="1" si="3"/>
        <v>0</v>
      </c>
      <c r="AF30" s="140">
        <f t="shared" ca="1" si="4"/>
        <v>0</v>
      </c>
      <c r="AG30" s="140">
        <f t="shared" ca="1" si="5"/>
        <v>0</v>
      </c>
      <c r="AH30" s="131">
        <f t="shared" ca="1" si="6"/>
        <v>0</v>
      </c>
      <c r="AI30" s="131">
        <f t="shared" ca="1" si="7"/>
        <v>0</v>
      </c>
      <c r="AJ30" s="131">
        <f t="shared" ca="1" si="8"/>
        <v>0</v>
      </c>
      <c r="AK30" s="140">
        <f t="shared" ca="1" si="9"/>
        <v>0</v>
      </c>
      <c r="AL30" s="140">
        <f t="shared" ca="1" si="10"/>
        <v>0</v>
      </c>
      <c r="AM30" s="131">
        <v>0</v>
      </c>
      <c r="AN30" s="140">
        <f t="shared" ca="1" si="11"/>
        <v>0</v>
      </c>
      <c r="AO30" s="140">
        <v>0</v>
      </c>
      <c r="AP30" s="140">
        <f t="shared" ca="1" si="12"/>
        <v>0</v>
      </c>
      <c r="AQ30" s="140">
        <f t="shared" ca="1" si="13"/>
        <v>0</v>
      </c>
      <c r="AR30" s="131">
        <v>0</v>
      </c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AB31" s="131">
        <f t="shared" ca="1" si="0"/>
        <v>0</v>
      </c>
      <c r="AC31" s="131">
        <f t="shared" ca="1" si="1"/>
        <v>0</v>
      </c>
      <c r="AD31" s="131">
        <f t="shared" ca="1" si="2"/>
        <v>0</v>
      </c>
      <c r="AE31" s="140">
        <f t="shared" ca="1" si="3"/>
        <v>0</v>
      </c>
      <c r="AF31" s="140">
        <f t="shared" ca="1" si="4"/>
        <v>0</v>
      </c>
      <c r="AG31" s="140">
        <f t="shared" ca="1" si="5"/>
        <v>0</v>
      </c>
      <c r="AH31" s="131">
        <f t="shared" ca="1" si="6"/>
        <v>0</v>
      </c>
      <c r="AI31" s="131">
        <f t="shared" ca="1" si="7"/>
        <v>0</v>
      </c>
      <c r="AJ31" s="131">
        <f t="shared" ca="1" si="8"/>
        <v>0</v>
      </c>
      <c r="AK31" s="140">
        <f t="shared" ca="1" si="9"/>
        <v>0</v>
      </c>
      <c r="AL31" s="140">
        <f t="shared" ca="1" si="10"/>
        <v>0</v>
      </c>
      <c r="AM31" s="131">
        <v>0</v>
      </c>
      <c r="AN31" s="140">
        <f t="shared" ca="1" si="11"/>
        <v>0</v>
      </c>
      <c r="AO31" s="140">
        <v>0</v>
      </c>
      <c r="AP31" s="140">
        <f t="shared" ca="1" si="12"/>
        <v>0</v>
      </c>
      <c r="AQ31" s="140">
        <f t="shared" ca="1" si="13"/>
        <v>0</v>
      </c>
      <c r="AR31" s="131">
        <v>0</v>
      </c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AB32" s="131">
        <f t="shared" ca="1" si="0"/>
        <v>0</v>
      </c>
      <c r="AC32" s="131">
        <f t="shared" ca="1" si="1"/>
        <v>0</v>
      </c>
      <c r="AD32" s="131">
        <f t="shared" ca="1" si="2"/>
        <v>0</v>
      </c>
      <c r="AE32" s="140">
        <f t="shared" ca="1" si="3"/>
        <v>0</v>
      </c>
      <c r="AF32" s="140">
        <f t="shared" ca="1" si="4"/>
        <v>0</v>
      </c>
      <c r="AG32" s="140">
        <f t="shared" ca="1" si="5"/>
        <v>0</v>
      </c>
      <c r="AH32" s="131">
        <f t="shared" ca="1" si="6"/>
        <v>0</v>
      </c>
      <c r="AI32" s="131">
        <f t="shared" ca="1" si="7"/>
        <v>0</v>
      </c>
      <c r="AJ32" s="131">
        <f t="shared" ca="1" si="8"/>
        <v>0</v>
      </c>
      <c r="AK32" s="140">
        <f t="shared" ca="1" si="9"/>
        <v>0</v>
      </c>
      <c r="AL32" s="140">
        <f t="shared" ca="1" si="10"/>
        <v>0</v>
      </c>
      <c r="AM32" s="131">
        <v>0</v>
      </c>
      <c r="AN32" s="140">
        <f t="shared" ca="1" si="11"/>
        <v>0</v>
      </c>
      <c r="AO32" s="140">
        <v>0</v>
      </c>
      <c r="AP32" s="140">
        <f t="shared" ca="1" si="12"/>
        <v>0</v>
      </c>
      <c r="AQ32" s="140">
        <f t="shared" ca="1" si="13"/>
        <v>0</v>
      </c>
      <c r="AR32" s="131">
        <v>0</v>
      </c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AB33" s="131">
        <f t="shared" ca="1" si="0"/>
        <v>0</v>
      </c>
      <c r="AC33" s="131">
        <f t="shared" ca="1" si="1"/>
        <v>0</v>
      </c>
      <c r="AD33" s="131">
        <f t="shared" ca="1" si="2"/>
        <v>0</v>
      </c>
      <c r="AE33" s="140">
        <f t="shared" ca="1" si="3"/>
        <v>0</v>
      </c>
      <c r="AF33" s="140">
        <f t="shared" ca="1" si="4"/>
        <v>0</v>
      </c>
      <c r="AG33" s="140">
        <f t="shared" ca="1" si="5"/>
        <v>0</v>
      </c>
      <c r="AH33" s="131">
        <f t="shared" ca="1" si="6"/>
        <v>0</v>
      </c>
      <c r="AI33" s="131">
        <f t="shared" ca="1" si="7"/>
        <v>0</v>
      </c>
      <c r="AJ33" s="131">
        <f t="shared" ca="1" si="8"/>
        <v>0</v>
      </c>
      <c r="AK33" s="140">
        <f t="shared" ca="1" si="9"/>
        <v>0</v>
      </c>
      <c r="AL33" s="140">
        <f t="shared" ca="1" si="10"/>
        <v>0</v>
      </c>
      <c r="AM33" s="131">
        <v>0</v>
      </c>
      <c r="AN33" s="140">
        <f t="shared" ca="1" si="11"/>
        <v>0</v>
      </c>
      <c r="AO33" s="140">
        <v>0</v>
      </c>
      <c r="AP33" s="140">
        <f t="shared" ca="1" si="12"/>
        <v>0</v>
      </c>
      <c r="AQ33" s="140">
        <f t="shared" ca="1" si="13"/>
        <v>0</v>
      </c>
      <c r="AR33" s="131">
        <v>0</v>
      </c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AB34" s="131">
        <f t="shared" ca="1" si="0"/>
        <v>0</v>
      </c>
      <c r="AC34" s="131">
        <f t="shared" ca="1" si="1"/>
        <v>0</v>
      </c>
      <c r="AD34" s="131">
        <f t="shared" ca="1" si="2"/>
        <v>0</v>
      </c>
      <c r="AE34" s="140">
        <f t="shared" ca="1" si="3"/>
        <v>0</v>
      </c>
      <c r="AF34" s="140">
        <f t="shared" ca="1" si="4"/>
        <v>0</v>
      </c>
      <c r="AG34" s="140">
        <f t="shared" ca="1" si="5"/>
        <v>0</v>
      </c>
      <c r="AH34" s="131">
        <f t="shared" ca="1" si="6"/>
        <v>0</v>
      </c>
      <c r="AI34" s="131">
        <f t="shared" ca="1" si="7"/>
        <v>0</v>
      </c>
      <c r="AJ34" s="131">
        <f t="shared" ca="1" si="8"/>
        <v>0</v>
      </c>
      <c r="AK34" s="140">
        <f t="shared" ca="1" si="9"/>
        <v>0</v>
      </c>
      <c r="AL34" s="140">
        <f t="shared" ca="1" si="10"/>
        <v>0</v>
      </c>
      <c r="AM34" s="131">
        <v>0</v>
      </c>
      <c r="AN34" s="140">
        <f t="shared" ca="1" si="11"/>
        <v>0</v>
      </c>
      <c r="AO34" s="140">
        <v>0</v>
      </c>
      <c r="AP34" s="140">
        <f t="shared" ca="1" si="12"/>
        <v>0</v>
      </c>
      <c r="AQ34" s="140">
        <f t="shared" ca="1" si="13"/>
        <v>0</v>
      </c>
      <c r="AR34" s="131">
        <v>0</v>
      </c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AB35" s="131">
        <f t="shared" ca="1" si="0"/>
        <v>0</v>
      </c>
      <c r="AC35" s="131">
        <f t="shared" ca="1" si="1"/>
        <v>0</v>
      </c>
      <c r="AD35" s="131">
        <f t="shared" ca="1" si="2"/>
        <v>0</v>
      </c>
      <c r="AE35" s="140">
        <f t="shared" ca="1" si="3"/>
        <v>0</v>
      </c>
      <c r="AF35" s="140">
        <f t="shared" ca="1" si="4"/>
        <v>0</v>
      </c>
      <c r="AG35" s="140">
        <f t="shared" ca="1" si="5"/>
        <v>0</v>
      </c>
      <c r="AH35" s="131">
        <f t="shared" ca="1" si="6"/>
        <v>0</v>
      </c>
      <c r="AI35" s="131">
        <f t="shared" ca="1" si="7"/>
        <v>0</v>
      </c>
      <c r="AJ35" s="131">
        <f t="shared" ca="1" si="8"/>
        <v>0</v>
      </c>
      <c r="AK35" s="140">
        <f t="shared" ca="1" si="9"/>
        <v>0</v>
      </c>
      <c r="AL35" s="140">
        <f t="shared" ca="1" si="10"/>
        <v>0</v>
      </c>
      <c r="AM35" s="131">
        <v>0</v>
      </c>
      <c r="AN35" s="140">
        <f t="shared" ca="1" si="11"/>
        <v>0</v>
      </c>
      <c r="AO35" s="140">
        <v>0</v>
      </c>
      <c r="AP35" s="140">
        <f t="shared" ca="1" si="12"/>
        <v>0</v>
      </c>
      <c r="AQ35" s="140">
        <f t="shared" ca="1" si="13"/>
        <v>0</v>
      </c>
      <c r="AR35" s="131">
        <v>0</v>
      </c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AB36" s="131">
        <f t="shared" ca="1" si="0"/>
        <v>0</v>
      </c>
      <c r="AC36" s="131">
        <f t="shared" ca="1" si="1"/>
        <v>0</v>
      </c>
      <c r="AD36" s="131">
        <f t="shared" ca="1" si="2"/>
        <v>0</v>
      </c>
      <c r="AE36" s="140">
        <f t="shared" ca="1" si="3"/>
        <v>0</v>
      </c>
      <c r="AF36" s="140">
        <f t="shared" ca="1" si="4"/>
        <v>0</v>
      </c>
      <c r="AG36" s="140">
        <f t="shared" ca="1" si="5"/>
        <v>0</v>
      </c>
      <c r="AH36" s="131">
        <f t="shared" ca="1" si="6"/>
        <v>0</v>
      </c>
      <c r="AI36" s="131">
        <f t="shared" ca="1" si="7"/>
        <v>0</v>
      </c>
      <c r="AJ36" s="131">
        <f t="shared" ca="1" si="8"/>
        <v>0</v>
      </c>
      <c r="AK36" s="140">
        <f t="shared" ca="1" si="9"/>
        <v>0</v>
      </c>
      <c r="AL36" s="140">
        <f t="shared" ca="1" si="10"/>
        <v>0</v>
      </c>
      <c r="AM36" s="131">
        <v>0</v>
      </c>
      <c r="AN36" s="140">
        <f t="shared" ca="1" si="11"/>
        <v>0</v>
      </c>
      <c r="AO36" s="140">
        <v>0</v>
      </c>
      <c r="AP36" s="140">
        <f t="shared" ca="1" si="12"/>
        <v>0</v>
      </c>
      <c r="AQ36" s="140">
        <f t="shared" ca="1" si="13"/>
        <v>0</v>
      </c>
      <c r="AR36" s="131">
        <v>0</v>
      </c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AB37" s="131">
        <f t="shared" ca="1" si="0"/>
        <v>0</v>
      </c>
      <c r="AC37" s="131">
        <f t="shared" ca="1" si="1"/>
        <v>0</v>
      </c>
      <c r="AD37" s="131">
        <f t="shared" ca="1" si="2"/>
        <v>0</v>
      </c>
      <c r="AE37" s="140">
        <f t="shared" ca="1" si="3"/>
        <v>0</v>
      </c>
      <c r="AF37" s="140">
        <f t="shared" ca="1" si="4"/>
        <v>0</v>
      </c>
      <c r="AG37" s="140">
        <f t="shared" ca="1" si="5"/>
        <v>0</v>
      </c>
      <c r="AH37" s="131">
        <f t="shared" ca="1" si="6"/>
        <v>0</v>
      </c>
      <c r="AI37" s="131">
        <f t="shared" ca="1" si="7"/>
        <v>0</v>
      </c>
      <c r="AJ37" s="131">
        <f t="shared" ca="1" si="8"/>
        <v>0</v>
      </c>
      <c r="AK37" s="140">
        <f t="shared" ca="1" si="9"/>
        <v>0</v>
      </c>
      <c r="AL37" s="140">
        <f t="shared" ca="1" si="10"/>
        <v>0</v>
      </c>
      <c r="AM37" s="131">
        <v>0</v>
      </c>
      <c r="AN37" s="140">
        <f t="shared" ca="1" si="11"/>
        <v>0</v>
      </c>
      <c r="AO37" s="140">
        <v>0</v>
      </c>
      <c r="AP37" s="140">
        <f t="shared" ca="1" si="12"/>
        <v>0</v>
      </c>
      <c r="AQ37" s="140">
        <f t="shared" ca="1" si="13"/>
        <v>0</v>
      </c>
      <c r="AR37" s="131">
        <v>0</v>
      </c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AB38" s="131">
        <f t="shared" ca="1" si="0"/>
        <v>0</v>
      </c>
      <c r="AC38" s="131">
        <f t="shared" ca="1" si="1"/>
        <v>0</v>
      </c>
      <c r="AD38" s="131">
        <f t="shared" ca="1" si="2"/>
        <v>0</v>
      </c>
      <c r="AE38" s="140">
        <f t="shared" ca="1" si="3"/>
        <v>0</v>
      </c>
      <c r="AF38" s="140">
        <f t="shared" ca="1" si="4"/>
        <v>0</v>
      </c>
      <c r="AG38" s="140">
        <f t="shared" ca="1" si="5"/>
        <v>0</v>
      </c>
      <c r="AH38" s="131">
        <f t="shared" ca="1" si="6"/>
        <v>0</v>
      </c>
      <c r="AI38" s="131">
        <f t="shared" ca="1" si="7"/>
        <v>0</v>
      </c>
      <c r="AJ38" s="131">
        <f t="shared" ca="1" si="8"/>
        <v>0</v>
      </c>
      <c r="AK38" s="140">
        <f t="shared" ca="1" si="9"/>
        <v>0</v>
      </c>
      <c r="AL38" s="140">
        <f t="shared" ca="1" si="10"/>
        <v>0</v>
      </c>
      <c r="AM38" s="131">
        <v>0</v>
      </c>
      <c r="AN38" s="140">
        <f t="shared" ca="1" si="11"/>
        <v>0</v>
      </c>
      <c r="AO38" s="140">
        <v>0</v>
      </c>
      <c r="AP38" s="140">
        <f t="shared" ca="1" si="12"/>
        <v>0</v>
      </c>
      <c r="AQ38" s="140">
        <f t="shared" ca="1" si="13"/>
        <v>0</v>
      </c>
      <c r="AR38" s="131">
        <v>0</v>
      </c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AB39" s="131">
        <f t="shared" ca="1" si="0"/>
        <v>0</v>
      </c>
      <c r="AC39" s="131">
        <f t="shared" ca="1" si="1"/>
        <v>0</v>
      </c>
      <c r="AD39" s="131">
        <f t="shared" ca="1" si="2"/>
        <v>0</v>
      </c>
      <c r="AE39" s="140">
        <f t="shared" ca="1" si="3"/>
        <v>0</v>
      </c>
      <c r="AF39" s="140">
        <f t="shared" ca="1" si="4"/>
        <v>0</v>
      </c>
      <c r="AG39" s="140">
        <f t="shared" ca="1" si="5"/>
        <v>0</v>
      </c>
      <c r="AH39" s="131">
        <f t="shared" ca="1" si="6"/>
        <v>0</v>
      </c>
      <c r="AI39" s="131">
        <f t="shared" ca="1" si="7"/>
        <v>0</v>
      </c>
      <c r="AJ39" s="131">
        <f t="shared" ca="1" si="8"/>
        <v>0</v>
      </c>
      <c r="AK39" s="140">
        <f t="shared" ca="1" si="9"/>
        <v>0</v>
      </c>
      <c r="AL39" s="140">
        <f t="shared" ca="1" si="10"/>
        <v>0</v>
      </c>
      <c r="AM39" s="131">
        <v>0</v>
      </c>
      <c r="AN39" s="140">
        <f t="shared" ca="1" si="11"/>
        <v>0</v>
      </c>
      <c r="AO39" s="140">
        <v>0</v>
      </c>
      <c r="AP39" s="140">
        <f t="shared" ca="1" si="12"/>
        <v>0</v>
      </c>
      <c r="AQ39" s="140">
        <f t="shared" ca="1" si="13"/>
        <v>0</v>
      </c>
      <c r="AR39" s="131">
        <v>0</v>
      </c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AB40" s="131">
        <f t="shared" ca="1" si="0"/>
        <v>0</v>
      </c>
      <c r="AC40" s="131">
        <f t="shared" ca="1" si="1"/>
        <v>0</v>
      </c>
      <c r="AD40" s="131">
        <f t="shared" ca="1" si="2"/>
        <v>0</v>
      </c>
      <c r="AE40" s="140">
        <f t="shared" ca="1" si="3"/>
        <v>0</v>
      </c>
      <c r="AF40" s="140">
        <f t="shared" ca="1" si="4"/>
        <v>0</v>
      </c>
      <c r="AG40" s="140">
        <f t="shared" ca="1" si="5"/>
        <v>0</v>
      </c>
      <c r="AH40" s="131">
        <f t="shared" ca="1" si="6"/>
        <v>0</v>
      </c>
      <c r="AI40" s="131">
        <f t="shared" ca="1" si="7"/>
        <v>0</v>
      </c>
      <c r="AJ40" s="131">
        <f t="shared" ca="1" si="8"/>
        <v>0</v>
      </c>
      <c r="AK40" s="140">
        <f t="shared" ca="1" si="9"/>
        <v>0</v>
      </c>
      <c r="AL40" s="140">
        <f t="shared" ca="1" si="10"/>
        <v>0</v>
      </c>
      <c r="AM40" s="131">
        <v>0</v>
      </c>
      <c r="AN40" s="140">
        <f t="shared" ca="1" si="11"/>
        <v>0</v>
      </c>
      <c r="AO40" s="140">
        <v>0</v>
      </c>
      <c r="AP40" s="140">
        <f t="shared" ca="1" si="12"/>
        <v>0</v>
      </c>
      <c r="AQ40" s="140">
        <f t="shared" ca="1" si="13"/>
        <v>0</v>
      </c>
      <c r="AR40" s="131">
        <v>0</v>
      </c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AB41" s="131">
        <f t="shared" ca="1" si="0"/>
        <v>0</v>
      </c>
      <c r="AC41" s="131">
        <f t="shared" ca="1" si="1"/>
        <v>0</v>
      </c>
      <c r="AD41" s="131">
        <f t="shared" ca="1" si="2"/>
        <v>0</v>
      </c>
      <c r="AE41" s="140">
        <f t="shared" ca="1" si="3"/>
        <v>0</v>
      </c>
      <c r="AF41" s="140">
        <f t="shared" ca="1" si="4"/>
        <v>0</v>
      </c>
      <c r="AG41" s="140">
        <f t="shared" ca="1" si="5"/>
        <v>0</v>
      </c>
      <c r="AH41" s="131">
        <f t="shared" ca="1" si="6"/>
        <v>0</v>
      </c>
      <c r="AI41" s="131">
        <f t="shared" ca="1" si="7"/>
        <v>0</v>
      </c>
      <c r="AJ41" s="131">
        <f t="shared" ca="1" si="8"/>
        <v>0</v>
      </c>
      <c r="AK41" s="140">
        <f t="shared" ca="1" si="9"/>
        <v>0</v>
      </c>
      <c r="AL41" s="140">
        <f t="shared" ca="1" si="10"/>
        <v>0</v>
      </c>
      <c r="AM41" s="131">
        <v>0</v>
      </c>
      <c r="AN41" s="140">
        <f t="shared" ca="1" si="11"/>
        <v>0</v>
      </c>
      <c r="AO41" s="140">
        <v>0</v>
      </c>
      <c r="AP41" s="140">
        <f t="shared" ca="1" si="12"/>
        <v>0</v>
      </c>
      <c r="AQ41" s="140">
        <f t="shared" ca="1" si="13"/>
        <v>0</v>
      </c>
      <c r="AR41" s="131">
        <v>0</v>
      </c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AB42" s="131">
        <f t="shared" ca="1" si="0"/>
        <v>0</v>
      </c>
      <c r="AC42" s="131">
        <f t="shared" ca="1" si="1"/>
        <v>0</v>
      </c>
      <c r="AD42" s="131">
        <f t="shared" ca="1" si="2"/>
        <v>0</v>
      </c>
      <c r="AE42" s="140">
        <f t="shared" ca="1" si="3"/>
        <v>0</v>
      </c>
      <c r="AF42" s="140">
        <f t="shared" ca="1" si="4"/>
        <v>0</v>
      </c>
      <c r="AG42" s="140">
        <f t="shared" ca="1" si="5"/>
        <v>0</v>
      </c>
      <c r="AH42" s="131">
        <f t="shared" ca="1" si="6"/>
        <v>0</v>
      </c>
      <c r="AI42" s="131">
        <f t="shared" ca="1" si="7"/>
        <v>0</v>
      </c>
      <c r="AJ42" s="131">
        <f t="shared" ca="1" si="8"/>
        <v>0</v>
      </c>
      <c r="AK42" s="140">
        <f t="shared" ca="1" si="9"/>
        <v>0</v>
      </c>
      <c r="AL42" s="140">
        <f t="shared" ca="1" si="10"/>
        <v>0</v>
      </c>
      <c r="AM42" s="131">
        <v>0</v>
      </c>
      <c r="AN42" s="140">
        <f t="shared" ca="1" si="11"/>
        <v>0</v>
      </c>
      <c r="AO42" s="140">
        <v>0</v>
      </c>
      <c r="AP42" s="140">
        <f t="shared" ca="1" si="12"/>
        <v>0</v>
      </c>
      <c r="AQ42" s="140">
        <f t="shared" ca="1" si="13"/>
        <v>0</v>
      </c>
      <c r="AR42" s="131">
        <v>0</v>
      </c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AB43" s="131">
        <f t="shared" ca="1" si="0"/>
        <v>0</v>
      </c>
      <c r="AC43" s="131">
        <f t="shared" ca="1" si="1"/>
        <v>0</v>
      </c>
      <c r="AD43" s="131">
        <f t="shared" ca="1" si="2"/>
        <v>0</v>
      </c>
      <c r="AE43" s="140">
        <f t="shared" ca="1" si="3"/>
        <v>0</v>
      </c>
      <c r="AF43" s="140">
        <f t="shared" ca="1" si="4"/>
        <v>0</v>
      </c>
      <c r="AG43" s="140">
        <f t="shared" ca="1" si="5"/>
        <v>0</v>
      </c>
      <c r="AH43" s="131">
        <f t="shared" ca="1" si="6"/>
        <v>0</v>
      </c>
      <c r="AI43" s="131">
        <f t="shared" ca="1" si="7"/>
        <v>0</v>
      </c>
      <c r="AJ43" s="131">
        <f t="shared" ca="1" si="8"/>
        <v>0</v>
      </c>
      <c r="AK43" s="140">
        <f t="shared" ca="1" si="9"/>
        <v>0</v>
      </c>
      <c r="AL43" s="140">
        <f t="shared" ca="1" si="10"/>
        <v>0</v>
      </c>
      <c r="AM43" s="131">
        <v>0</v>
      </c>
      <c r="AN43" s="140">
        <f t="shared" ca="1" si="11"/>
        <v>0</v>
      </c>
      <c r="AO43" s="140">
        <v>0</v>
      </c>
      <c r="AP43" s="140">
        <f t="shared" ca="1" si="12"/>
        <v>0</v>
      </c>
      <c r="AQ43" s="140">
        <f t="shared" ca="1" si="13"/>
        <v>0</v>
      </c>
      <c r="AR43" s="131">
        <v>0</v>
      </c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AB44" s="131">
        <f t="shared" ca="1" si="0"/>
        <v>0</v>
      </c>
      <c r="AC44" s="131">
        <f t="shared" ca="1" si="1"/>
        <v>0</v>
      </c>
      <c r="AD44" s="131">
        <f t="shared" ca="1" si="2"/>
        <v>0</v>
      </c>
      <c r="AE44" s="140">
        <f t="shared" ca="1" si="3"/>
        <v>0</v>
      </c>
      <c r="AF44" s="140">
        <f t="shared" ca="1" si="4"/>
        <v>0</v>
      </c>
      <c r="AG44" s="140">
        <f t="shared" ca="1" si="5"/>
        <v>0</v>
      </c>
      <c r="AH44" s="131">
        <f t="shared" ca="1" si="6"/>
        <v>0</v>
      </c>
      <c r="AI44" s="131">
        <f t="shared" ca="1" si="7"/>
        <v>0</v>
      </c>
      <c r="AJ44" s="131">
        <f t="shared" ca="1" si="8"/>
        <v>0</v>
      </c>
      <c r="AK44" s="140">
        <f t="shared" ca="1" si="9"/>
        <v>0</v>
      </c>
      <c r="AL44" s="140">
        <f t="shared" ca="1" si="10"/>
        <v>0</v>
      </c>
      <c r="AM44" s="131">
        <v>0</v>
      </c>
      <c r="AN44" s="140">
        <f t="shared" ca="1" si="11"/>
        <v>0</v>
      </c>
      <c r="AO44" s="140">
        <v>0</v>
      </c>
      <c r="AP44" s="140">
        <f t="shared" ca="1" si="12"/>
        <v>0</v>
      </c>
      <c r="AQ44" s="140">
        <f t="shared" ca="1" si="13"/>
        <v>0</v>
      </c>
      <c r="AR44" s="131">
        <v>0</v>
      </c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AB45" s="131">
        <f t="shared" ca="1" si="0"/>
        <v>0</v>
      </c>
      <c r="AC45" s="131">
        <f t="shared" ca="1" si="1"/>
        <v>0</v>
      </c>
      <c r="AD45" s="131">
        <f t="shared" ca="1" si="2"/>
        <v>0</v>
      </c>
      <c r="AE45" s="140">
        <f t="shared" ca="1" si="3"/>
        <v>0</v>
      </c>
      <c r="AF45" s="140">
        <f t="shared" ca="1" si="4"/>
        <v>0</v>
      </c>
      <c r="AG45" s="140">
        <f t="shared" ca="1" si="5"/>
        <v>0</v>
      </c>
      <c r="AH45" s="131">
        <f t="shared" ca="1" si="6"/>
        <v>0</v>
      </c>
      <c r="AI45" s="131">
        <f t="shared" ca="1" si="7"/>
        <v>0</v>
      </c>
      <c r="AJ45" s="131">
        <f t="shared" ca="1" si="8"/>
        <v>0</v>
      </c>
      <c r="AK45" s="140">
        <f t="shared" ca="1" si="9"/>
        <v>0</v>
      </c>
      <c r="AL45" s="140">
        <f t="shared" ca="1" si="10"/>
        <v>0</v>
      </c>
      <c r="AM45" s="131">
        <v>0</v>
      </c>
      <c r="AN45" s="140">
        <f t="shared" ca="1" si="11"/>
        <v>0</v>
      </c>
      <c r="AO45" s="140">
        <v>0</v>
      </c>
      <c r="AP45" s="140">
        <f t="shared" ca="1" si="12"/>
        <v>0</v>
      </c>
      <c r="AQ45" s="140">
        <f t="shared" ca="1" si="13"/>
        <v>0</v>
      </c>
      <c r="AR45" s="131">
        <v>0</v>
      </c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AB46" s="131">
        <f t="shared" ca="1" si="0"/>
        <v>0</v>
      </c>
      <c r="AC46" s="131">
        <f t="shared" ca="1" si="1"/>
        <v>0</v>
      </c>
      <c r="AD46" s="131">
        <f t="shared" ca="1" si="2"/>
        <v>0</v>
      </c>
      <c r="AE46" s="140">
        <f t="shared" ca="1" si="3"/>
        <v>0</v>
      </c>
      <c r="AF46" s="140">
        <f t="shared" ca="1" si="4"/>
        <v>0</v>
      </c>
      <c r="AG46" s="140">
        <f t="shared" ca="1" si="5"/>
        <v>0</v>
      </c>
      <c r="AH46" s="131">
        <f t="shared" ca="1" si="6"/>
        <v>0</v>
      </c>
      <c r="AI46" s="131">
        <f t="shared" ca="1" si="7"/>
        <v>0</v>
      </c>
      <c r="AJ46" s="131">
        <f t="shared" ca="1" si="8"/>
        <v>0</v>
      </c>
      <c r="AK46" s="140">
        <f t="shared" ca="1" si="9"/>
        <v>0</v>
      </c>
      <c r="AL46" s="140">
        <f t="shared" ca="1" si="10"/>
        <v>0</v>
      </c>
      <c r="AM46" s="131">
        <v>0</v>
      </c>
      <c r="AN46" s="140">
        <f t="shared" ca="1" si="11"/>
        <v>0</v>
      </c>
      <c r="AO46" s="140">
        <v>0</v>
      </c>
      <c r="AP46" s="140">
        <f t="shared" ca="1" si="12"/>
        <v>0</v>
      </c>
      <c r="AQ46" s="140">
        <f t="shared" ca="1" si="13"/>
        <v>0</v>
      </c>
      <c r="AR46" s="131">
        <v>0</v>
      </c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AB47" s="131">
        <f t="shared" ca="1" si="0"/>
        <v>0</v>
      </c>
      <c r="AC47" s="131">
        <f t="shared" ca="1" si="1"/>
        <v>0</v>
      </c>
      <c r="AD47" s="131">
        <f t="shared" ca="1" si="2"/>
        <v>0</v>
      </c>
      <c r="AE47" s="140">
        <f t="shared" ca="1" si="3"/>
        <v>0</v>
      </c>
      <c r="AF47" s="140">
        <f t="shared" ca="1" si="4"/>
        <v>0</v>
      </c>
      <c r="AG47" s="140">
        <f t="shared" ca="1" si="5"/>
        <v>0</v>
      </c>
      <c r="AH47" s="131">
        <f t="shared" ca="1" si="6"/>
        <v>0</v>
      </c>
      <c r="AI47" s="131">
        <f t="shared" ca="1" si="7"/>
        <v>0</v>
      </c>
      <c r="AJ47" s="131">
        <f t="shared" ca="1" si="8"/>
        <v>0</v>
      </c>
      <c r="AK47" s="140">
        <f t="shared" ca="1" si="9"/>
        <v>0</v>
      </c>
      <c r="AL47" s="140">
        <f t="shared" ca="1" si="10"/>
        <v>0</v>
      </c>
      <c r="AM47" s="131">
        <v>0</v>
      </c>
      <c r="AN47" s="140">
        <f t="shared" ca="1" si="11"/>
        <v>0</v>
      </c>
      <c r="AO47" s="140">
        <v>0</v>
      </c>
      <c r="AP47" s="140">
        <f t="shared" ca="1" si="12"/>
        <v>0</v>
      </c>
      <c r="AQ47" s="140">
        <f t="shared" ca="1" si="13"/>
        <v>0</v>
      </c>
      <c r="AR47" s="131">
        <v>0</v>
      </c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AB48" s="131">
        <f t="shared" ca="1" si="0"/>
        <v>0</v>
      </c>
      <c r="AC48" s="131">
        <f t="shared" ca="1" si="1"/>
        <v>0</v>
      </c>
      <c r="AD48" s="131">
        <f t="shared" ca="1" si="2"/>
        <v>0</v>
      </c>
      <c r="AE48" s="140">
        <f t="shared" ca="1" si="3"/>
        <v>0</v>
      </c>
      <c r="AF48" s="140">
        <f t="shared" ca="1" si="4"/>
        <v>0</v>
      </c>
      <c r="AG48" s="140">
        <f t="shared" ca="1" si="5"/>
        <v>0</v>
      </c>
      <c r="AH48" s="131">
        <f t="shared" ca="1" si="6"/>
        <v>0</v>
      </c>
      <c r="AI48" s="131">
        <f t="shared" ca="1" si="7"/>
        <v>0</v>
      </c>
      <c r="AJ48" s="131">
        <f t="shared" ca="1" si="8"/>
        <v>0</v>
      </c>
      <c r="AK48" s="140">
        <f t="shared" ca="1" si="9"/>
        <v>0</v>
      </c>
      <c r="AL48" s="140">
        <f t="shared" ca="1" si="10"/>
        <v>0</v>
      </c>
      <c r="AM48" s="131">
        <v>0</v>
      </c>
      <c r="AN48" s="140">
        <f t="shared" ca="1" si="11"/>
        <v>0</v>
      </c>
      <c r="AO48" s="140">
        <v>0</v>
      </c>
      <c r="AP48" s="140">
        <f t="shared" ca="1" si="12"/>
        <v>0</v>
      </c>
      <c r="AQ48" s="140">
        <f t="shared" ca="1" si="13"/>
        <v>0</v>
      </c>
      <c r="AR48" s="131">
        <v>0</v>
      </c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AB49" s="131">
        <f t="shared" ca="1" si="0"/>
        <v>0</v>
      </c>
      <c r="AC49" s="131">
        <f t="shared" ca="1" si="1"/>
        <v>0</v>
      </c>
      <c r="AD49" s="131">
        <f t="shared" ca="1" si="2"/>
        <v>0</v>
      </c>
      <c r="AE49" s="140">
        <f t="shared" ca="1" si="3"/>
        <v>0</v>
      </c>
      <c r="AF49" s="140">
        <f t="shared" ca="1" si="4"/>
        <v>0</v>
      </c>
      <c r="AG49" s="140">
        <f t="shared" ca="1" si="5"/>
        <v>0</v>
      </c>
      <c r="AH49" s="131">
        <f t="shared" ca="1" si="6"/>
        <v>0</v>
      </c>
      <c r="AI49" s="131">
        <f t="shared" ca="1" si="7"/>
        <v>0</v>
      </c>
      <c r="AJ49" s="131">
        <f t="shared" ca="1" si="8"/>
        <v>0</v>
      </c>
      <c r="AK49" s="140">
        <f t="shared" ca="1" si="9"/>
        <v>0</v>
      </c>
      <c r="AL49" s="140">
        <f t="shared" ca="1" si="10"/>
        <v>0</v>
      </c>
      <c r="AM49" s="131">
        <v>0</v>
      </c>
      <c r="AN49" s="140">
        <f t="shared" ca="1" si="11"/>
        <v>0</v>
      </c>
      <c r="AO49" s="140">
        <v>0</v>
      </c>
      <c r="AP49" s="140">
        <f t="shared" ca="1" si="12"/>
        <v>0</v>
      </c>
      <c r="AQ49" s="140">
        <f t="shared" ca="1" si="13"/>
        <v>0</v>
      </c>
      <c r="AR49" s="131">
        <v>0</v>
      </c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AB50" s="131">
        <f t="shared" ca="1" si="0"/>
        <v>0</v>
      </c>
      <c r="AC50" s="131">
        <f t="shared" ca="1" si="1"/>
        <v>0</v>
      </c>
      <c r="AD50" s="131">
        <f t="shared" ca="1" si="2"/>
        <v>0</v>
      </c>
      <c r="AE50" s="140">
        <f t="shared" ca="1" si="3"/>
        <v>0</v>
      </c>
      <c r="AF50" s="140">
        <f t="shared" ca="1" si="4"/>
        <v>0</v>
      </c>
      <c r="AG50" s="140">
        <f t="shared" ca="1" si="5"/>
        <v>0</v>
      </c>
      <c r="AH50" s="131">
        <f t="shared" ca="1" si="6"/>
        <v>0</v>
      </c>
      <c r="AI50" s="131">
        <f t="shared" ca="1" si="7"/>
        <v>0</v>
      </c>
      <c r="AJ50" s="131">
        <f t="shared" ca="1" si="8"/>
        <v>0</v>
      </c>
      <c r="AK50" s="140">
        <f t="shared" ca="1" si="9"/>
        <v>0</v>
      </c>
      <c r="AL50" s="140">
        <f t="shared" ca="1" si="10"/>
        <v>0</v>
      </c>
      <c r="AM50" s="131">
        <v>0</v>
      </c>
      <c r="AN50" s="140">
        <f t="shared" ca="1" si="11"/>
        <v>0</v>
      </c>
      <c r="AO50" s="140">
        <v>0</v>
      </c>
      <c r="AP50" s="140">
        <f t="shared" ca="1" si="12"/>
        <v>0</v>
      </c>
      <c r="AQ50" s="140">
        <f t="shared" ca="1" si="13"/>
        <v>0</v>
      </c>
      <c r="AR50" s="131">
        <v>0</v>
      </c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AB51" s="131">
        <f t="shared" ca="1" si="0"/>
        <v>0</v>
      </c>
      <c r="AC51" s="131">
        <f t="shared" ca="1" si="1"/>
        <v>0</v>
      </c>
      <c r="AD51" s="131">
        <f t="shared" ca="1" si="2"/>
        <v>0</v>
      </c>
      <c r="AE51" s="140">
        <f t="shared" ca="1" si="3"/>
        <v>0</v>
      </c>
      <c r="AF51" s="140">
        <f t="shared" ca="1" si="4"/>
        <v>0</v>
      </c>
      <c r="AG51" s="140">
        <f t="shared" ca="1" si="5"/>
        <v>0</v>
      </c>
      <c r="AH51" s="131">
        <f t="shared" ca="1" si="6"/>
        <v>0</v>
      </c>
      <c r="AI51" s="131">
        <f t="shared" ca="1" si="7"/>
        <v>0</v>
      </c>
      <c r="AJ51" s="131">
        <f t="shared" ca="1" si="8"/>
        <v>0</v>
      </c>
      <c r="AK51" s="140">
        <f t="shared" ca="1" si="9"/>
        <v>0</v>
      </c>
      <c r="AL51" s="140">
        <f t="shared" ca="1" si="10"/>
        <v>0</v>
      </c>
      <c r="AM51" s="131">
        <v>0</v>
      </c>
      <c r="AN51" s="140">
        <f t="shared" ca="1" si="11"/>
        <v>0</v>
      </c>
      <c r="AO51" s="140">
        <v>0</v>
      </c>
      <c r="AP51" s="140">
        <f t="shared" ca="1" si="12"/>
        <v>0</v>
      </c>
      <c r="AQ51" s="140">
        <f t="shared" ca="1" si="13"/>
        <v>0</v>
      </c>
      <c r="AR51" s="131">
        <v>0</v>
      </c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AB52" s="131">
        <f t="shared" ca="1" si="0"/>
        <v>0</v>
      </c>
      <c r="AC52" s="131">
        <f t="shared" ca="1" si="1"/>
        <v>0</v>
      </c>
      <c r="AD52" s="131">
        <f t="shared" ca="1" si="2"/>
        <v>0</v>
      </c>
      <c r="AE52" s="140">
        <f t="shared" ca="1" si="3"/>
        <v>0</v>
      </c>
      <c r="AF52" s="140">
        <f t="shared" ca="1" si="4"/>
        <v>0</v>
      </c>
      <c r="AG52" s="140">
        <f t="shared" ca="1" si="5"/>
        <v>0</v>
      </c>
      <c r="AH52" s="131">
        <f t="shared" ca="1" si="6"/>
        <v>0</v>
      </c>
      <c r="AI52" s="131">
        <f t="shared" ca="1" si="7"/>
        <v>0</v>
      </c>
      <c r="AJ52" s="131">
        <f t="shared" ca="1" si="8"/>
        <v>0</v>
      </c>
      <c r="AK52" s="140">
        <f t="shared" ca="1" si="9"/>
        <v>0</v>
      </c>
      <c r="AL52" s="140">
        <f t="shared" ca="1" si="10"/>
        <v>0</v>
      </c>
      <c r="AM52" s="131">
        <v>0</v>
      </c>
      <c r="AN52" s="140">
        <f t="shared" ca="1" si="11"/>
        <v>0</v>
      </c>
      <c r="AO52" s="140">
        <v>0</v>
      </c>
      <c r="AP52" s="140">
        <f t="shared" ca="1" si="12"/>
        <v>0</v>
      </c>
      <c r="AQ52" s="140">
        <f t="shared" ca="1" si="13"/>
        <v>0</v>
      </c>
      <c r="AR52" s="131">
        <v>0</v>
      </c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AB53" s="131">
        <f t="shared" ca="1" si="0"/>
        <v>0</v>
      </c>
      <c r="AC53" s="131">
        <f t="shared" ca="1" si="1"/>
        <v>0</v>
      </c>
      <c r="AD53" s="131">
        <f t="shared" ca="1" si="2"/>
        <v>0</v>
      </c>
      <c r="AE53" s="140">
        <f t="shared" ca="1" si="3"/>
        <v>0</v>
      </c>
      <c r="AF53" s="140">
        <f t="shared" ca="1" si="4"/>
        <v>0</v>
      </c>
      <c r="AG53" s="140">
        <f t="shared" ca="1" si="5"/>
        <v>0</v>
      </c>
      <c r="AH53" s="131">
        <f t="shared" ca="1" si="6"/>
        <v>0</v>
      </c>
      <c r="AI53" s="131">
        <f t="shared" ca="1" si="7"/>
        <v>0</v>
      </c>
      <c r="AJ53" s="131">
        <f t="shared" ca="1" si="8"/>
        <v>0</v>
      </c>
      <c r="AK53" s="140">
        <f t="shared" ca="1" si="9"/>
        <v>0</v>
      </c>
      <c r="AL53" s="140">
        <f t="shared" ca="1" si="10"/>
        <v>0</v>
      </c>
      <c r="AM53" s="131">
        <v>0</v>
      </c>
      <c r="AN53" s="140">
        <f t="shared" ca="1" si="11"/>
        <v>0</v>
      </c>
      <c r="AO53" s="140">
        <v>0</v>
      </c>
      <c r="AP53" s="140">
        <f t="shared" ca="1" si="12"/>
        <v>0</v>
      </c>
      <c r="AQ53" s="140">
        <f t="shared" ca="1" si="13"/>
        <v>0</v>
      </c>
      <c r="AR53" s="131">
        <v>0</v>
      </c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AB54" s="131">
        <f t="shared" ca="1" si="0"/>
        <v>0</v>
      </c>
      <c r="AC54" s="131">
        <f t="shared" ca="1" si="1"/>
        <v>0</v>
      </c>
      <c r="AD54" s="131">
        <f t="shared" ca="1" si="2"/>
        <v>0</v>
      </c>
      <c r="AE54" s="140">
        <f t="shared" ca="1" si="3"/>
        <v>0</v>
      </c>
      <c r="AF54" s="140">
        <f t="shared" ca="1" si="4"/>
        <v>0</v>
      </c>
      <c r="AG54" s="140">
        <f t="shared" ca="1" si="5"/>
        <v>0</v>
      </c>
      <c r="AH54" s="131">
        <f t="shared" ca="1" si="6"/>
        <v>0</v>
      </c>
      <c r="AI54" s="131">
        <f t="shared" ca="1" si="7"/>
        <v>0</v>
      </c>
      <c r="AJ54" s="131">
        <f t="shared" ca="1" si="8"/>
        <v>0</v>
      </c>
      <c r="AK54" s="140">
        <f t="shared" ca="1" si="9"/>
        <v>0</v>
      </c>
      <c r="AL54" s="140">
        <f t="shared" ca="1" si="10"/>
        <v>0</v>
      </c>
      <c r="AM54" s="131">
        <v>0</v>
      </c>
      <c r="AN54" s="140">
        <f t="shared" ca="1" si="11"/>
        <v>0</v>
      </c>
      <c r="AO54" s="140">
        <v>0</v>
      </c>
      <c r="AP54" s="140">
        <f t="shared" ca="1" si="12"/>
        <v>0</v>
      </c>
      <c r="AQ54" s="140">
        <f t="shared" ca="1" si="13"/>
        <v>0</v>
      </c>
      <c r="AR54" s="131">
        <v>0</v>
      </c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AB55" s="131">
        <f t="shared" ca="1" si="0"/>
        <v>0</v>
      </c>
      <c r="AC55" s="131">
        <f t="shared" ca="1" si="1"/>
        <v>0</v>
      </c>
      <c r="AD55" s="131">
        <f t="shared" ca="1" si="2"/>
        <v>0</v>
      </c>
      <c r="AE55" s="140">
        <f t="shared" ca="1" si="3"/>
        <v>0</v>
      </c>
      <c r="AF55" s="140">
        <f t="shared" ca="1" si="4"/>
        <v>0</v>
      </c>
      <c r="AG55" s="140">
        <f t="shared" ca="1" si="5"/>
        <v>0</v>
      </c>
      <c r="AH55" s="131">
        <f t="shared" ca="1" si="6"/>
        <v>0</v>
      </c>
      <c r="AI55" s="131">
        <f t="shared" ca="1" si="7"/>
        <v>0</v>
      </c>
      <c r="AJ55" s="131">
        <f t="shared" ca="1" si="8"/>
        <v>0</v>
      </c>
      <c r="AK55" s="140">
        <f t="shared" ca="1" si="9"/>
        <v>0</v>
      </c>
      <c r="AL55" s="140">
        <f t="shared" ca="1" si="10"/>
        <v>0</v>
      </c>
      <c r="AM55" s="131">
        <v>0</v>
      </c>
      <c r="AN55" s="140">
        <f t="shared" ca="1" si="11"/>
        <v>0</v>
      </c>
      <c r="AO55" s="140">
        <v>0</v>
      </c>
      <c r="AP55" s="140">
        <f t="shared" ca="1" si="12"/>
        <v>0</v>
      </c>
      <c r="AQ55" s="140">
        <f t="shared" ca="1" si="13"/>
        <v>0</v>
      </c>
      <c r="AR55" s="131">
        <v>0</v>
      </c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AB56" s="131">
        <f t="shared" ca="1" si="0"/>
        <v>0</v>
      </c>
      <c r="AC56" s="131">
        <f t="shared" ca="1" si="1"/>
        <v>0</v>
      </c>
      <c r="AD56" s="131">
        <f t="shared" ca="1" si="2"/>
        <v>0</v>
      </c>
      <c r="AE56" s="140">
        <f t="shared" ca="1" si="3"/>
        <v>0</v>
      </c>
      <c r="AF56" s="140">
        <f t="shared" ca="1" si="4"/>
        <v>0</v>
      </c>
      <c r="AG56" s="140">
        <f t="shared" ca="1" si="5"/>
        <v>0</v>
      </c>
      <c r="AH56" s="131">
        <f t="shared" ca="1" si="6"/>
        <v>0</v>
      </c>
      <c r="AI56" s="131">
        <f t="shared" ca="1" si="7"/>
        <v>0</v>
      </c>
      <c r="AJ56" s="131">
        <f t="shared" ca="1" si="8"/>
        <v>0</v>
      </c>
      <c r="AK56" s="140">
        <f t="shared" ca="1" si="9"/>
        <v>0</v>
      </c>
      <c r="AL56" s="140">
        <f t="shared" ca="1" si="10"/>
        <v>0</v>
      </c>
      <c r="AM56" s="131">
        <v>0</v>
      </c>
      <c r="AN56" s="140">
        <f t="shared" ca="1" si="11"/>
        <v>0</v>
      </c>
      <c r="AO56" s="140">
        <v>0</v>
      </c>
      <c r="AP56" s="140">
        <f t="shared" ca="1" si="12"/>
        <v>0</v>
      </c>
      <c r="AQ56" s="140">
        <f t="shared" ca="1" si="13"/>
        <v>0</v>
      </c>
      <c r="AR56" s="131">
        <v>0</v>
      </c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AB57" s="131">
        <f t="shared" ca="1" si="0"/>
        <v>0</v>
      </c>
      <c r="AC57" s="131">
        <f t="shared" ca="1" si="1"/>
        <v>0</v>
      </c>
      <c r="AD57" s="131">
        <f t="shared" ca="1" si="2"/>
        <v>0</v>
      </c>
      <c r="AE57" s="140">
        <f t="shared" ca="1" si="3"/>
        <v>0</v>
      </c>
      <c r="AF57" s="140">
        <f t="shared" ca="1" si="4"/>
        <v>0</v>
      </c>
      <c r="AG57" s="140">
        <f t="shared" ca="1" si="5"/>
        <v>0</v>
      </c>
      <c r="AH57" s="131">
        <f t="shared" ca="1" si="6"/>
        <v>0</v>
      </c>
      <c r="AI57" s="131">
        <f t="shared" ca="1" si="7"/>
        <v>0</v>
      </c>
      <c r="AJ57" s="131">
        <f t="shared" ca="1" si="8"/>
        <v>0</v>
      </c>
      <c r="AK57" s="140">
        <f t="shared" ca="1" si="9"/>
        <v>0</v>
      </c>
      <c r="AL57" s="140">
        <f t="shared" ca="1" si="10"/>
        <v>0</v>
      </c>
      <c r="AM57" s="131">
        <v>0</v>
      </c>
      <c r="AN57" s="140">
        <f t="shared" ca="1" si="11"/>
        <v>0</v>
      </c>
      <c r="AO57" s="140">
        <v>0</v>
      </c>
      <c r="AP57" s="140">
        <f t="shared" ca="1" si="12"/>
        <v>0</v>
      </c>
      <c r="AQ57" s="140">
        <f t="shared" ca="1" si="13"/>
        <v>0</v>
      </c>
      <c r="AR57" s="131">
        <v>0</v>
      </c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AB58" s="131">
        <f t="shared" ca="1" si="0"/>
        <v>0</v>
      </c>
      <c r="AC58" s="131">
        <f t="shared" ca="1" si="1"/>
        <v>0</v>
      </c>
      <c r="AD58" s="131">
        <f t="shared" ca="1" si="2"/>
        <v>0</v>
      </c>
      <c r="AE58" s="140">
        <f t="shared" ca="1" si="3"/>
        <v>0</v>
      </c>
      <c r="AF58" s="140">
        <f t="shared" ca="1" si="4"/>
        <v>0</v>
      </c>
      <c r="AG58" s="140">
        <f t="shared" ca="1" si="5"/>
        <v>0</v>
      </c>
      <c r="AH58" s="131">
        <f t="shared" ca="1" si="6"/>
        <v>0</v>
      </c>
      <c r="AI58" s="131">
        <f t="shared" ca="1" si="7"/>
        <v>0</v>
      </c>
      <c r="AJ58" s="131">
        <f t="shared" ca="1" si="8"/>
        <v>0</v>
      </c>
      <c r="AK58" s="140">
        <f t="shared" ca="1" si="9"/>
        <v>0</v>
      </c>
      <c r="AL58" s="140">
        <f t="shared" ca="1" si="10"/>
        <v>0</v>
      </c>
      <c r="AM58" s="131">
        <v>0</v>
      </c>
      <c r="AN58" s="140">
        <f t="shared" ca="1" si="11"/>
        <v>0</v>
      </c>
      <c r="AO58" s="140">
        <v>0</v>
      </c>
      <c r="AP58" s="140">
        <f t="shared" ca="1" si="12"/>
        <v>0</v>
      </c>
      <c r="AQ58" s="140">
        <f t="shared" ca="1" si="13"/>
        <v>0</v>
      </c>
      <c r="AR58" s="131">
        <v>0</v>
      </c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AB59" s="131">
        <f t="shared" ca="1" si="0"/>
        <v>0</v>
      </c>
      <c r="AC59" s="131">
        <f t="shared" ca="1" si="1"/>
        <v>0</v>
      </c>
      <c r="AD59" s="131">
        <f t="shared" ca="1" si="2"/>
        <v>0</v>
      </c>
      <c r="AE59" s="140">
        <f t="shared" ca="1" si="3"/>
        <v>0</v>
      </c>
      <c r="AF59" s="140">
        <f t="shared" ca="1" si="4"/>
        <v>0</v>
      </c>
      <c r="AG59" s="140">
        <f t="shared" ca="1" si="5"/>
        <v>0</v>
      </c>
      <c r="AH59" s="131">
        <f t="shared" ca="1" si="6"/>
        <v>0</v>
      </c>
      <c r="AI59" s="131">
        <f t="shared" ca="1" si="7"/>
        <v>0</v>
      </c>
      <c r="AJ59" s="131">
        <f t="shared" ca="1" si="8"/>
        <v>0</v>
      </c>
      <c r="AK59" s="140">
        <f t="shared" ca="1" si="9"/>
        <v>0</v>
      </c>
      <c r="AL59" s="140">
        <f t="shared" ca="1" si="10"/>
        <v>0</v>
      </c>
      <c r="AM59" s="131">
        <v>0</v>
      </c>
      <c r="AN59" s="140">
        <f t="shared" ca="1" si="11"/>
        <v>0</v>
      </c>
      <c r="AO59" s="140">
        <v>0</v>
      </c>
      <c r="AP59" s="140">
        <f t="shared" ca="1" si="12"/>
        <v>0</v>
      </c>
      <c r="AQ59" s="140">
        <f t="shared" ca="1" si="13"/>
        <v>0</v>
      </c>
      <c r="AR59" s="131">
        <v>0</v>
      </c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AB60" s="131">
        <f t="shared" ca="1" si="0"/>
        <v>0</v>
      </c>
      <c r="AC60" s="131">
        <f t="shared" ca="1" si="1"/>
        <v>0</v>
      </c>
      <c r="AD60" s="131">
        <f t="shared" ca="1" si="2"/>
        <v>0</v>
      </c>
      <c r="AE60" s="140">
        <f t="shared" ca="1" si="3"/>
        <v>0</v>
      </c>
      <c r="AF60" s="140">
        <f t="shared" ca="1" si="4"/>
        <v>0</v>
      </c>
      <c r="AG60" s="140">
        <f t="shared" ca="1" si="5"/>
        <v>0</v>
      </c>
      <c r="AH60" s="131">
        <f t="shared" ca="1" si="6"/>
        <v>0</v>
      </c>
      <c r="AI60" s="131">
        <f t="shared" ca="1" si="7"/>
        <v>0</v>
      </c>
      <c r="AJ60" s="131">
        <f t="shared" ca="1" si="8"/>
        <v>0</v>
      </c>
      <c r="AK60" s="140">
        <f t="shared" ca="1" si="9"/>
        <v>0</v>
      </c>
      <c r="AL60" s="140">
        <f t="shared" ca="1" si="10"/>
        <v>0</v>
      </c>
      <c r="AM60" s="131">
        <v>0</v>
      </c>
      <c r="AN60" s="140">
        <f t="shared" ca="1" si="11"/>
        <v>0</v>
      </c>
      <c r="AO60" s="140">
        <v>0</v>
      </c>
      <c r="AP60" s="140">
        <f t="shared" ca="1" si="12"/>
        <v>0</v>
      </c>
      <c r="AQ60" s="140">
        <f t="shared" ca="1" si="13"/>
        <v>0</v>
      </c>
      <c r="AR60" s="131">
        <v>0</v>
      </c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AB61" s="131">
        <f t="shared" ca="1" si="0"/>
        <v>0</v>
      </c>
      <c r="AC61" s="131">
        <f t="shared" ca="1" si="1"/>
        <v>0</v>
      </c>
      <c r="AD61" s="131">
        <f t="shared" ca="1" si="2"/>
        <v>0</v>
      </c>
      <c r="AE61" s="140">
        <f t="shared" ca="1" si="3"/>
        <v>0</v>
      </c>
      <c r="AF61" s="140">
        <f t="shared" ca="1" si="4"/>
        <v>0</v>
      </c>
      <c r="AG61" s="140">
        <f t="shared" ca="1" si="5"/>
        <v>0</v>
      </c>
      <c r="AH61" s="131">
        <f t="shared" ca="1" si="6"/>
        <v>0</v>
      </c>
      <c r="AI61" s="131">
        <f t="shared" ca="1" si="7"/>
        <v>0</v>
      </c>
      <c r="AJ61" s="131">
        <f t="shared" ca="1" si="8"/>
        <v>0</v>
      </c>
      <c r="AK61" s="140">
        <f t="shared" ca="1" si="9"/>
        <v>0</v>
      </c>
      <c r="AL61" s="140">
        <f t="shared" ca="1" si="10"/>
        <v>0</v>
      </c>
      <c r="AM61" s="131">
        <v>0</v>
      </c>
      <c r="AN61" s="140">
        <f t="shared" ca="1" si="11"/>
        <v>0</v>
      </c>
      <c r="AO61" s="140">
        <v>0</v>
      </c>
      <c r="AP61" s="140">
        <f t="shared" ca="1" si="12"/>
        <v>0</v>
      </c>
      <c r="AQ61" s="140">
        <f t="shared" ca="1" si="13"/>
        <v>0</v>
      </c>
      <c r="AR61" s="131">
        <v>0</v>
      </c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AB62" s="131">
        <f t="shared" ca="1" si="0"/>
        <v>0</v>
      </c>
      <c r="AC62" s="131">
        <f t="shared" ca="1" si="1"/>
        <v>0</v>
      </c>
      <c r="AD62" s="131">
        <f t="shared" ca="1" si="2"/>
        <v>0</v>
      </c>
      <c r="AE62" s="140">
        <f t="shared" ca="1" si="3"/>
        <v>0</v>
      </c>
      <c r="AF62" s="140">
        <f t="shared" ca="1" si="4"/>
        <v>0</v>
      </c>
      <c r="AG62" s="140">
        <f t="shared" ca="1" si="5"/>
        <v>0</v>
      </c>
      <c r="AH62" s="131">
        <f t="shared" ca="1" si="6"/>
        <v>0</v>
      </c>
      <c r="AI62" s="131">
        <f t="shared" ca="1" si="7"/>
        <v>0</v>
      </c>
      <c r="AJ62" s="131">
        <f t="shared" ca="1" si="8"/>
        <v>0</v>
      </c>
      <c r="AK62" s="140">
        <f t="shared" ca="1" si="9"/>
        <v>0</v>
      </c>
      <c r="AL62" s="140">
        <f t="shared" ca="1" si="10"/>
        <v>0</v>
      </c>
      <c r="AM62" s="131">
        <v>0</v>
      </c>
      <c r="AN62" s="140">
        <f t="shared" ca="1" si="11"/>
        <v>0</v>
      </c>
      <c r="AO62" s="140">
        <v>0</v>
      </c>
      <c r="AP62" s="140">
        <f t="shared" ca="1" si="12"/>
        <v>0</v>
      </c>
      <c r="AQ62" s="140">
        <f t="shared" ca="1" si="13"/>
        <v>0</v>
      </c>
      <c r="AR62" s="131">
        <v>0</v>
      </c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AB63" s="131">
        <f t="shared" ca="1" si="0"/>
        <v>0</v>
      </c>
      <c r="AC63" s="131">
        <f t="shared" ca="1" si="1"/>
        <v>0</v>
      </c>
      <c r="AD63" s="131">
        <f t="shared" ca="1" si="2"/>
        <v>0</v>
      </c>
      <c r="AE63" s="140">
        <f t="shared" ca="1" si="3"/>
        <v>0</v>
      </c>
      <c r="AF63" s="140">
        <f t="shared" ca="1" si="4"/>
        <v>0</v>
      </c>
      <c r="AG63" s="140">
        <f t="shared" ca="1" si="5"/>
        <v>0</v>
      </c>
      <c r="AH63" s="131">
        <f t="shared" ca="1" si="6"/>
        <v>0</v>
      </c>
      <c r="AI63" s="131">
        <f t="shared" ca="1" si="7"/>
        <v>0</v>
      </c>
      <c r="AJ63" s="131">
        <f t="shared" ca="1" si="8"/>
        <v>0</v>
      </c>
      <c r="AK63" s="140">
        <f t="shared" ca="1" si="9"/>
        <v>0</v>
      </c>
      <c r="AL63" s="140">
        <f t="shared" ca="1" si="10"/>
        <v>0</v>
      </c>
      <c r="AM63" s="131">
        <v>0</v>
      </c>
      <c r="AN63" s="140">
        <f t="shared" ca="1" si="11"/>
        <v>0</v>
      </c>
      <c r="AO63" s="140">
        <v>0</v>
      </c>
      <c r="AP63" s="140">
        <f t="shared" ca="1" si="12"/>
        <v>0</v>
      </c>
      <c r="AQ63" s="140">
        <f t="shared" ca="1" si="13"/>
        <v>0</v>
      </c>
      <c r="AR63" s="131">
        <v>0</v>
      </c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AB64" s="131">
        <f t="shared" ca="1" si="0"/>
        <v>0</v>
      </c>
      <c r="AC64" s="131">
        <f t="shared" ca="1" si="1"/>
        <v>0</v>
      </c>
      <c r="AD64" s="131">
        <f t="shared" ca="1" si="2"/>
        <v>0</v>
      </c>
      <c r="AE64" s="140">
        <f t="shared" ca="1" si="3"/>
        <v>0</v>
      </c>
      <c r="AF64" s="140">
        <f t="shared" ca="1" si="4"/>
        <v>0</v>
      </c>
      <c r="AG64" s="140">
        <f t="shared" ca="1" si="5"/>
        <v>0</v>
      </c>
      <c r="AH64" s="131">
        <f t="shared" ca="1" si="6"/>
        <v>0</v>
      </c>
      <c r="AI64" s="131">
        <f t="shared" ca="1" si="7"/>
        <v>0</v>
      </c>
      <c r="AJ64" s="131">
        <f t="shared" ca="1" si="8"/>
        <v>0</v>
      </c>
      <c r="AK64" s="140">
        <f t="shared" ca="1" si="9"/>
        <v>0</v>
      </c>
      <c r="AL64" s="140">
        <f t="shared" ca="1" si="10"/>
        <v>0</v>
      </c>
      <c r="AM64" s="131">
        <v>0</v>
      </c>
      <c r="AN64" s="140">
        <f t="shared" ca="1" si="11"/>
        <v>0</v>
      </c>
      <c r="AO64" s="140">
        <v>0</v>
      </c>
      <c r="AP64" s="140">
        <f t="shared" ca="1" si="12"/>
        <v>0</v>
      </c>
      <c r="AQ64" s="140">
        <f t="shared" ca="1" si="13"/>
        <v>0</v>
      </c>
      <c r="AR64" s="131">
        <v>0</v>
      </c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AB65" s="131">
        <f t="shared" ca="1" si="0"/>
        <v>0</v>
      </c>
      <c r="AC65" s="131">
        <f t="shared" ca="1" si="1"/>
        <v>0</v>
      </c>
      <c r="AD65" s="131">
        <f t="shared" ca="1" si="2"/>
        <v>0</v>
      </c>
      <c r="AE65" s="140">
        <f t="shared" ca="1" si="3"/>
        <v>0</v>
      </c>
      <c r="AF65" s="140">
        <f t="shared" ca="1" si="4"/>
        <v>0</v>
      </c>
      <c r="AG65" s="140">
        <f t="shared" ca="1" si="5"/>
        <v>0</v>
      </c>
      <c r="AH65" s="131">
        <f t="shared" ca="1" si="6"/>
        <v>0</v>
      </c>
      <c r="AI65" s="131">
        <f t="shared" ca="1" si="7"/>
        <v>0</v>
      </c>
      <c r="AJ65" s="131">
        <f t="shared" ca="1" si="8"/>
        <v>0</v>
      </c>
      <c r="AK65" s="140">
        <f t="shared" ca="1" si="9"/>
        <v>0</v>
      </c>
      <c r="AL65" s="140">
        <f t="shared" ca="1" si="10"/>
        <v>0</v>
      </c>
      <c r="AM65" s="131">
        <v>0</v>
      </c>
      <c r="AN65" s="140">
        <f t="shared" ca="1" si="11"/>
        <v>0</v>
      </c>
      <c r="AO65" s="140">
        <v>0</v>
      </c>
      <c r="AP65" s="140">
        <f t="shared" ca="1" si="12"/>
        <v>0</v>
      </c>
      <c r="AQ65" s="140">
        <f t="shared" ca="1" si="13"/>
        <v>0</v>
      </c>
      <c r="AR65" s="131">
        <v>0</v>
      </c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AB66" s="131">
        <f t="shared" ca="1" si="0"/>
        <v>0</v>
      </c>
      <c r="AC66" s="131">
        <f t="shared" ca="1" si="1"/>
        <v>0</v>
      </c>
      <c r="AD66" s="131">
        <f t="shared" ca="1" si="2"/>
        <v>0</v>
      </c>
      <c r="AE66" s="140">
        <f t="shared" ca="1" si="3"/>
        <v>0</v>
      </c>
      <c r="AF66" s="140">
        <f t="shared" ca="1" si="4"/>
        <v>0</v>
      </c>
      <c r="AG66" s="140">
        <f t="shared" ca="1" si="5"/>
        <v>0</v>
      </c>
      <c r="AH66" s="131">
        <f t="shared" ca="1" si="6"/>
        <v>0</v>
      </c>
      <c r="AI66" s="131">
        <f t="shared" ca="1" si="7"/>
        <v>0</v>
      </c>
      <c r="AJ66" s="131">
        <f t="shared" ca="1" si="8"/>
        <v>0</v>
      </c>
      <c r="AK66" s="140">
        <f t="shared" ca="1" si="9"/>
        <v>0</v>
      </c>
      <c r="AL66" s="140">
        <f t="shared" ca="1" si="10"/>
        <v>0</v>
      </c>
      <c r="AM66" s="131">
        <v>0</v>
      </c>
      <c r="AN66" s="140">
        <f t="shared" ca="1" si="11"/>
        <v>0</v>
      </c>
      <c r="AO66" s="140">
        <v>0</v>
      </c>
      <c r="AP66" s="140">
        <f t="shared" ca="1" si="12"/>
        <v>0</v>
      </c>
      <c r="AQ66" s="140">
        <f t="shared" ca="1" si="13"/>
        <v>0</v>
      </c>
      <c r="AR66" s="131">
        <v>0</v>
      </c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AB67" s="131">
        <f t="shared" ref="AB67:AB130" ca="1" si="14">+A67</f>
        <v>0</v>
      </c>
      <c r="AC67" s="131">
        <f t="shared" ref="AC67:AC130" ca="1" si="15">+B67</f>
        <v>0</v>
      </c>
      <c r="AD67" s="131">
        <f t="shared" ref="AD67:AD130" ca="1" si="16">+C67</f>
        <v>0</v>
      </c>
      <c r="AE67" s="140">
        <f t="shared" ref="AE67:AE130" ca="1" si="17">+E67</f>
        <v>0</v>
      </c>
      <c r="AF67" s="140">
        <f t="shared" ref="AF67:AF130" ca="1" si="18">+K67</f>
        <v>0</v>
      </c>
      <c r="AG67" s="140">
        <f t="shared" ref="AG67:AG130" ca="1" si="19">+L67</f>
        <v>0</v>
      </c>
      <c r="AH67" s="131">
        <f t="shared" ref="AH67:AH130" ca="1" si="20">+Q67</f>
        <v>0</v>
      </c>
      <c r="AI67" s="131">
        <f t="shared" ref="AI67:AI130" ca="1" si="21">+N67</f>
        <v>0</v>
      </c>
      <c r="AJ67" s="131">
        <f t="shared" ref="AJ67:AJ130" ca="1" si="22">IFERROR(+AI67/AF67*100,0)</f>
        <v>0</v>
      </c>
      <c r="AK67" s="140">
        <f t="shared" ref="AK67:AK130" ca="1" si="23">+O67</f>
        <v>0</v>
      </c>
      <c r="AL67" s="140">
        <f t="shared" ref="AL67:AL130" ca="1" si="24">+P67</f>
        <v>0</v>
      </c>
      <c r="AM67" s="131">
        <v>0</v>
      </c>
      <c r="AN67" s="140">
        <f t="shared" ref="AN67:AN130" ca="1" si="25">+M67</f>
        <v>0</v>
      </c>
      <c r="AO67" s="140">
        <v>0</v>
      </c>
      <c r="AP67" s="140">
        <f t="shared" ref="AP67:AP130" ca="1" si="26">+R67</f>
        <v>0</v>
      </c>
      <c r="AQ67" s="140">
        <f t="shared" ref="AQ67:AQ130" ca="1" si="27">+AE67+AF67+AH67-AI67-AK67-AM67-AP67</f>
        <v>0</v>
      </c>
      <c r="AR67" s="131">
        <v>0</v>
      </c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AB68" s="131">
        <f t="shared" ca="1" si="14"/>
        <v>0</v>
      </c>
      <c r="AC68" s="131">
        <f t="shared" ca="1" si="15"/>
        <v>0</v>
      </c>
      <c r="AD68" s="131">
        <f t="shared" ca="1" si="16"/>
        <v>0</v>
      </c>
      <c r="AE68" s="140">
        <f t="shared" ca="1" si="17"/>
        <v>0</v>
      </c>
      <c r="AF68" s="140">
        <f t="shared" ca="1" si="18"/>
        <v>0</v>
      </c>
      <c r="AG68" s="140">
        <f t="shared" ca="1" si="19"/>
        <v>0</v>
      </c>
      <c r="AH68" s="131">
        <f t="shared" ca="1" si="20"/>
        <v>0</v>
      </c>
      <c r="AI68" s="131">
        <f t="shared" ca="1" si="21"/>
        <v>0</v>
      </c>
      <c r="AJ68" s="131">
        <f t="shared" ca="1" si="22"/>
        <v>0</v>
      </c>
      <c r="AK68" s="140">
        <f t="shared" ca="1" si="23"/>
        <v>0</v>
      </c>
      <c r="AL68" s="140">
        <f t="shared" ca="1" si="24"/>
        <v>0</v>
      </c>
      <c r="AM68" s="131">
        <v>0</v>
      </c>
      <c r="AN68" s="140">
        <f t="shared" ca="1" si="25"/>
        <v>0</v>
      </c>
      <c r="AO68" s="140">
        <v>0</v>
      </c>
      <c r="AP68" s="140">
        <f t="shared" ca="1" si="26"/>
        <v>0</v>
      </c>
      <c r="AQ68" s="140">
        <f t="shared" ca="1" si="27"/>
        <v>0</v>
      </c>
      <c r="AR68" s="131">
        <v>0</v>
      </c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AB69" s="131">
        <f t="shared" ca="1" si="14"/>
        <v>0</v>
      </c>
      <c r="AC69" s="131">
        <f t="shared" ca="1" si="15"/>
        <v>0</v>
      </c>
      <c r="AD69" s="131">
        <f t="shared" ca="1" si="16"/>
        <v>0</v>
      </c>
      <c r="AE69" s="140">
        <f t="shared" ca="1" si="17"/>
        <v>0</v>
      </c>
      <c r="AF69" s="140">
        <f t="shared" ca="1" si="18"/>
        <v>0</v>
      </c>
      <c r="AG69" s="140">
        <f t="shared" ca="1" si="19"/>
        <v>0</v>
      </c>
      <c r="AH69" s="131">
        <f t="shared" ca="1" si="20"/>
        <v>0</v>
      </c>
      <c r="AI69" s="131">
        <f t="shared" ca="1" si="21"/>
        <v>0</v>
      </c>
      <c r="AJ69" s="131">
        <f t="shared" ca="1" si="22"/>
        <v>0</v>
      </c>
      <c r="AK69" s="140">
        <f t="shared" ca="1" si="23"/>
        <v>0</v>
      </c>
      <c r="AL69" s="140">
        <f t="shared" ca="1" si="24"/>
        <v>0</v>
      </c>
      <c r="AM69" s="131">
        <v>0</v>
      </c>
      <c r="AN69" s="140">
        <f t="shared" ca="1" si="25"/>
        <v>0</v>
      </c>
      <c r="AO69" s="140">
        <v>0</v>
      </c>
      <c r="AP69" s="140">
        <f t="shared" ca="1" si="26"/>
        <v>0</v>
      </c>
      <c r="AQ69" s="140">
        <f t="shared" ca="1" si="27"/>
        <v>0</v>
      </c>
      <c r="AR69" s="131">
        <v>0</v>
      </c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AB70" s="131">
        <f t="shared" ca="1" si="14"/>
        <v>0</v>
      </c>
      <c r="AC70" s="131">
        <f t="shared" ca="1" si="15"/>
        <v>0</v>
      </c>
      <c r="AD70" s="131">
        <f t="shared" ca="1" si="16"/>
        <v>0</v>
      </c>
      <c r="AE70" s="140">
        <f t="shared" ca="1" si="17"/>
        <v>0</v>
      </c>
      <c r="AF70" s="140">
        <f t="shared" ca="1" si="18"/>
        <v>0</v>
      </c>
      <c r="AG70" s="140">
        <f t="shared" ca="1" si="19"/>
        <v>0</v>
      </c>
      <c r="AH70" s="131">
        <f t="shared" ca="1" si="20"/>
        <v>0</v>
      </c>
      <c r="AI70" s="131">
        <f t="shared" ca="1" si="21"/>
        <v>0</v>
      </c>
      <c r="AJ70" s="131">
        <f t="shared" ca="1" si="22"/>
        <v>0</v>
      </c>
      <c r="AK70" s="140">
        <f t="shared" ca="1" si="23"/>
        <v>0</v>
      </c>
      <c r="AL70" s="140">
        <f t="shared" ca="1" si="24"/>
        <v>0</v>
      </c>
      <c r="AM70" s="131">
        <v>0</v>
      </c>
      <c r="AN70" s="140">
        <f t="shared" ca="1" si="25"/>
        <v>0</v>
      </c>
      <c r="AO70" s="140">
        <v>0</v>
      </c>
      <c r="AP70" s="140">
        <f t="shared" ca="1" si="26"/>
        <v>0</v>
      </c>
      <c r="AQ70" s="140">
        <f t="shared" ca="1" si="27"/>
        <v>0</v>
      </c>
      <c r="AR70" s="131">
        <v>0</v>
      </c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AB71" s="131">
        <f t="shared" ca="1" si="14"/>
        <v>0</v>
      </c>
      <c r="AC71" s="131">
        <f t="shared" ca="1" si="15"/>
        <v>0</v>
      </c>
      <c r="AD71" s="131">
        <f t="shared" ca="1" si="16"/>
        <v>0</v>
      </c>
      <c r="AE71" s="140">
        <f t="shared" ca="1" si="17"/>
        <v>0</v>
      </c>
      <c r="AF71" s="140">
        <f t="shared" ca="1" si="18"/>
        <v>0</v>
      </c>
      <c r="AG71" s="140">
        <f t="shared" ca="1" si="19"/>
        <v>0</v>
      </c>
      <c r="AH71" s="131">
        <f t="shared" ca="1" si="20"/>
        <v>0</v>
      </c>
      <c r="AI71" s="131">
        <f t="shared" ca="1" si="21"/>
        <v>0</v>
      </c>
      <c r="AJ71" s="131">
        <f t="shared" ca="1" si="22"/>
        <v>0</v>
      </c>
      <c r="AK71" s="140">
        <f t="shared" ca="1" si="23"/>
        <v>0</v>
      </c>
      <c r="AL71" s="140">
        <f t="shared" ca="1" si="24"/>
        <v>0</v>
      </c>
      <c r="AM71" s="131">
        <v>0</v>
      </c>
      <c r="AN71" s="140">
        <f t="shared" ca="1" si="25"/>
        <v>0</v>
      </c>
      <c r="AO71" s="140">
        <v>0</v>
      </c>
      <c r="AP71" s="140">
        <f t="shared" ca="1" si="26"/>
        <v>0</v>
      </c>
      <c r="AQ71" s="140">
        <f t="shared" ca="1" si="27"/>
        <v>0</v>
      </c>
      <c r="AR71" s="131">
        <v>0</v>
      </c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AB72" s="131">
        <f t="shared" ca="1" si="14"/>
        <v>0</v>
      </c>
      <c r="AC72" s="131">
        <f t="shared" ca="1" si="15"/>
        <v>0</v>
      </c>
      <c r="AD72" s="131">
        <f t="shared" ca="1" si="16"/>
        <v>0</v>
      </c>
      <c r="AE72" s="140">
        <f t="shared" ca="1" si="17"/>
        <v>0</v>
      </c>
      <c r="AF72" s="140">
        <f t="shared" ca="1" si="18"/>
        <v>0</v>
      </c>
      <c r="AG72" s="140">
        <f t="shared" ca="1" si="19"/>
        <v>0</v>
      </c>
      <c r="AH72" s="131">
        <f t="shared" ca="1" si="20"/>
        <v>0</v>
      </c>
      <c r="AI72" s="131">
        <f t="shared" ca="1" si="21"/>
        <v>0</v>
      </c>
      <c r="AJ72" s="131">
        <f t="shared" ca="1" si="22"/>
        <v>0</v>
      </c>
      <c r="AK72" s="140">
        <f t="shared" ca="1" si="23"/>
        <v>0</v>
      </c>
      <c r="AL72" s="140">
        <f t="shared" ca="1" si="24"/>
        <v>0</v>
      </c>
      <c r="AM72" s="131">
        <v>0</v>
      </c>
      <c r="AN72" s="140">
        <f t="shared" ca="1" si="25"/>
        <v>0</v>
      </c>
      <c r="AO72" s="140">
        <v>0</v>
      </c>
      <c r="AP72" s="140">
        <f t="shared" ca="1" si="26"/>
        <v>0</v>
      </c>
      <c r="AQ72" s="140">
        <f t="shared" ca="1" si="27"/>
        <v>0</v>
      </c>
      <c r="AR72" s="131">
        <v>0</v>
      </c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AB73" s="131">
        <f t="shared" ca="1" si="14"/>
        <v>0</v>
      </c>
      <c r="AC73" s="131">
        <f t="shared" ca="1" si="15"/>
        <v>0</v>
      </c>
      <c r="AD73" s="131">
        <f t="shared" ca="1" si="16"/>
        <v>0</v>
      </c>
      <c r="AE73" s="140">
        <f t="shared" ca="1" si="17"/>
        <v>0</v>
      </c>
      <c r="AF73" s="140">
        <f t="shared" ca="1" si="18"/>
        <v>0</v>
      </c>
      <c r="AG73" s="140">
        <f t="shared" ca="1" si="19"/>
        <v>0</v>
      </c>
      <c r="AH73" s="131">
        <f t="shared" ca="1" si="20"/>
        <v>0</v>
      </c>
      <c r="AI73" s="131">
        <f t="shared" ca="1" si="21"/>
        <v>0</v>
      </c>
      <c r="AJ73" s="131">
        <f t="shared" ca="1" si="22"/>
        <v>0</v>
      </c>
      <c r="AK73" s="140">
        <f t="shared" ca="1" si="23"/>
        <v>0</v>
      </c>
      <c r="AL73" s="140">
        <f t="shared" ca="1" si="24"/>
        <v>0</v>
      </c>
      <c r="AM73" s="131">
        <v>0</v>
      </c>
      <c r="AN73" s="140">
        <f t="shared" ca="1" si="25"/>
        <v>0</v>
      </c>
      <c r="AO73" s="140">
        <v>0</v>
      </c>
      <c r="AP73" s="140">
        <f t="shared" ca="1" si="26"/>
        <v>0</v>
      </c>
      <c r="AQ73" s="140">
        <f t="shared" ca="1" si="27"/>
        <v>0</v>
      </c>
      <c r="AR73" s="131">
        <v>0</v>
      </c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AB74" s="131">
        <f t="shared" ca="1" si="14"/>
        <v>0</v>
      </c>
      <c r="AC74" s="131">
        <f t="shared" ca="1" si="15"/>
        <v>0</v>
      </c>
      <c r="AD74" s="131">
        <f t="shared" ca="1" si="16"/>
        <v>0</v>
      </c>
      <c r="AE74" s="140">
        <f t="shared" ca="1" si="17"/>
        <v>0</v>
      </c>
      <c r="AF74" s="140">
        <f t="shared" ca="1" si="18"/>
        <v>0</v>
      </c>
      <c r="AG74" s="140">
        <f t="shared" ca="1" si="19"/>
        <v>0</v>
      </c>
      <c r="AH74" s="131">
        <f t="shared" ca="1" si="20"/>
        <v>0</v>
      </c>
      <c r="AI74" s="131">
        <f t="shared" ca="1" si="21"/>
        <v>0</v>
      </c>
      <c r="AJ74" s="131">
        <f t="shared" ca="1" si="22"/>
        <v>0</v>
      </c>
      <c r="AK74" s="140">
        <f t="shared" ca="1" si="23"/>
        <v>0</v>
      </c>
      <c r="AL74" s="140">
        <f t="shared" ca="1" si="24"/>
        <v>0</v>
      </c>
      <c r="AM74" s="131">
        <v>0</v>
      </c>
      <c r="AN74" s="140">
        <f t="shared" ca="1" si="25"/>
        <v>0</v>
      </c>
      <c r="AO74" s="140">
        <v>0</v>
      </c>
      <c r="AP74" s="140">
        <f t="shared" ca="1" si="26"/>
        <v>0</v>
      </c>
      <c r="AQ74" s="140">
        <f t="shared" ca="1" si="27"/>
        <v>0</v>
      </c>
      <c r="AR74" s="131">
        <v>0</v>
      </c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AB75" s="131">
        <f t="shared" ca="1" si="14"/>
        <v>0</v>
      </c>
      <c r="AC75" s="131">
        <f t="shared" ca="1" si="15"/>
        <v>0</v>
      </c>
      <c r="AD75" s="131">
        <f t="shared" ca="1" si="16"/>
        <v>0</v>
      </c>
      <c r="AE75" s="140">
        <f t="shared" ca="1" si="17"/>
        <v>0</v>
      </c>
      <c r="AF75" s="140">
        <f t="shared" ca="1" si="18"/>
        <v>0</v>
      </c>
      <c r="AG75" s="140">
        <f t="shared" ca="1" si="19"/>
        <v>0</v>
      </c>
      <c r="AH75" s="131">
        <f t="shared" ca="1" si="20"/>
        <v>0</v>
      </c>
      <c r="AI75" s="131">
        <f t="shared" ca="1" si="21"/>
        <v>0</v>
      </c>
      <c r="AJ75" s="131">
        <f t="shared" ca="1" si="22"/>
        <v>0</v>
      </c>
      <c r="AK75" s="140">
        <f t="shared" ca="1" si="23"/>
        <v>0</v>
      </c>
      <c r="AL75" s="140">
        <f t="shared" ca="1" si="24"/>
        <v>0</v>
      </c>
      <c r="AM75" s="131">
        <v>0</v>
      </c>
      <c r="AN75" s="140">
        <f t="shared" ca="1" si="25"/>
        <v>0</v>
      </c>
      <c r="AO75" s="140">
        <v>0</v>
      </c>
      <c r="AP75" s="140">
        <f t="shared" ca="1" si="26"/>
        <v>0</v>
      </c>
      <c r="AQ75" s="140">
        <f t="shared" ca="1" si="27"/>
        <v>0</v>
      </c>
      <c r="AR75" s="131">
        <v>0</v>
      </c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AB76" s="131">
        <f t="shared" ca="1" si="14"/>
        <v>0</v>
      </c>
      <c r="AC76" s="131">
        <f t="shared" ca="1" si="15"/>
        <v>0</v>
      </c>
      <c r="AD76" s="131">
        <f t="shared" ca="1" si="16"/>
        <v>0</v>
      </c>
      <c r="AE76" s="140">
        <f t="shared" ca="1" si="17"/>
        <v>0</v>
      </c>
      <c r="AF76" s="140">
        <f t="shared" ca="1" si="18"/>
        <v>0</v>
      </c>
      <c r="AG76" s="140">
        <f t="shared" ca="1" si="19"/>
        <v>0</v>
      </c>
      <c r="AH76" s="131">
        <f t="shared" ca="1" si="20"/>
        <v>0</v>
      </c>
      <c r="AI76" s="131">
        <f t="shared" ca="1" si="21"/>
        <v>0</v>
      </c>
      <c r="AJ76" s="131">
        <f t="shared" ca="1" si="22"/>
        <v>0</v>
      </c>
      <c r="AK76" s="140">
        <f t="shared" ca="1" si="23"/>
        <v>0</v>
      </c>
      <c r="AL76" s="140">
        <f t="shared" ca="1" si="24"/>
        <v>0</v>
      </c>
      <c r="AM76" s="131">
        <v>0</v>
      </c>
      <c r="AN76" s="140">
        <f t="shared" ca="1" si="25"/>
        <v>0</v>
      </c>
      <c r="AO76" s="140">
        <v>0</v>
      </c>
      <c r="AP76" s="140">
        <f t="shared" ca="1" si="26"/>
        <v>0</v>
      </c>
      <c r="AQ76" s="140">
        <f t="shared" ca="1" si="27"/>
        <v>0</v>
      </c>
      <c r="AR76" s="131">
        <v>0</v>
      </c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AB77" s="131">
        <f t="shared" ca="1" si="14"/>
        <v>0</v>
      </c>
      <c r="AC77" s="131">
        <f t="shared" ca="1" si="15"/>
        <v>0</v>
      </c>
      <c r="AD77" s="131">
        <f t="shared" ca="1" si="16"/>
        <v>0</v>
      </c>
      <c r="AE77" s="140">
        <f t="shared" ca="1" si="17"/>
        <v>0</v>
      </c>
      <c r="AF77" s="140">
        <f t="shared" ca="1" si="18"/>
        <v>0</v>
      </c>
      <c r="AG77" s="140">
        <f t="shared" ca="1" si="19"/>
        <v>0</v>
      </c>
      <c r="AH77" s="131">
        <f t="shared" ca="1" si="20"/>
        <v>0</v>
      </c>
      <c r="AI77" s="131">
        <f t="shared" ca="1" si="21"/>
        <v>0</v>
      </c>
      <c r="AJ77" s="131">
        <f t="shared" ca="1" si="22"/>
        <v>0</v>
      </c>
      <c r="AK77" s="140">
        <f t="shared" ca="1" si="23"/>
        <v>0</v>
      </c>
      <c r="AL77" s="140">
        <f t="shared" ca="1" si="24"/>
        <v>0</v>
      </c>
      <c r="AM77" s="131">
        <v>0</v>
      </c>
      <c r="AN77" s="140">
        <f t="shared" ca="1" si="25"/>
        <v>0</v>
      </c>
      <c r="AO77" s="140">
        <v>0</v>
      </c>
      <c r="AP77" s="140">
        <f t="shared" ca="1" si="26"/>
        <v>0</v>
      </c>
      <c r="AQ77" s="140">
        <f t="shared" ca="1" si="27"/>
        <v>0</v>
      </c>
      <c r="AR77" s="131">
        <v>0</v>
      </c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AB78" s="131">
        <f t="shared" ca="1" si="14"/>
        <v>0</v>
      </c>
      <c r="AC78" s="131">
        <f t="shared" ca="1" si="15"/>
        <v>0</v>
      </c>
      <c r="AD78" s="131">
        <f t="shared" ca="1" si="16"/>
        <v>0</v>
      </c>
      <c r="AE78" s="140">
        <f t="shared" ca="1" si="17"/>
        <v>0</v>
      </c>
      <c r="AF78" s="140">
        <f t="shared" ca="1" si="18"/>
        <v>0</v>
      </c>
      <c r="AG78" s="140">
        <f t="shared" ca="1" si="19"/>
        <v>0</v>
      </c>
      <c r="AH78" s="131">
        <f t="shared" ca="1" si="20"/>
        <v>0</v>
      </c>
      <c r="AI78" s="131">
        <f t="shared" ca="1" si="21"/>
        <v>0</v>
      </c>
      <c r="AJ78" s="131">
        <f t="shared" ca="1" si="22"/>
        <v>0</v>
      </c>
      <c r="AK78" s="140">
        <f t="shared" ca="1" si="23"/>
        <v>0</v>
      </c>
      <c r="AL78" s="140">
        <f t="shared" ca="1" si="24"/>
        <v>0</v>
      </c>
      <c r="AM78" s="131">
        <v>0</v>
      </c>
      <c r="AN78" s="140">
        <f t="shared" ca="1" si="25"/>
        <v>0</v>
      </c>
      <c r="AO78" s="140">
        <v>0</v>
      </c>
      <c r="AP78" s="140">
        <f t="shared" ca="1" si="26"/>
        <v>0</v>
      </c>
      <c r="AQ78" s="140">
        <f t="shared" ca="1" si="27"/>
        <v>0</v>
      </c>
      <c r="AR78" s="131">
        <v>0</v>
      </c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AB79" s="131">
        <f t="shared" ca="1" si="14"/>
        <v>0</v>
      </c>
      <c r="AC79" s="131">
        <f t="shared" ca="1" si="15"/>
        <v>0</v>
      </c>
      <c r="AD79" s="131">
        <f t="shared" ca="1" si="16"/>
        <v>0</v>
      </c>
      <c r="AE79" s="140">
        <f t="shared" ca="1" si="17"/>
        <v>0</v>
      </c>
      <c r="AF79" s="140">
        <f t="shared" ca="1" si="18"/>
        <v>0</v>
      </c>
      <c r="AG79" s="140">
        <f t="shared" ca="1" si="19"/>
        <v>0</v>
      </c>
      <c r="AH79" s="131">
        <f t="shared" ca="1" si="20"/>
        <v>0</v>
      </c>
      <c r="AI79" s="131">
        <f t="shared" ca="1" si="21"/>
        <v>0</v>
      </c>
      <c r="AJ79" s="131">
        <f t="shared" ca="1" si="22"/>
        <v>0</v>
      </c>
      <c r="AK79" s="140">
        <f t="shared" ca="1" si="23"/>
        <v>0</v>
      </c>
      <c r="AL79" s="140">
        <f t="shared" ca="1" si="24"/>
        <v>0</v>
      </c>
      <c r="AM79" s="131">
        <v>0</v>
      </c>
      <c r="AN79" s="140">
        <f t="shared" ca="1" si="25"/>
        <v>0</v>
      </c>
      <c r="AO79" s="140">
        <v>0</v>
      </c>
      <c r="AP79" s="140">
        <f t="shared" ca="1" si="26"/>
        <v>0</v>
      </c>
      <c r="AQ79" s="140">
        <f t="shared" ca="1" si="27"/>
        <v>0</v>
      </c>
      <c r="AR79" s="131">
        <v>0</v>
      </c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AB80" s="131">
        <f t="shared" ca="1" si="14"/>
        <v>0</v>
      </c>
      <c r="AC80" s="131">
        <f t="shared" ca="1" si="15"/>
        <v>0</v>
      </c>
      <c r="AD80" s="131">
        <f t="shared" ca="1" si="16"/>
        <v>0</v>
      </c>
      <c r="AE80" s="140">
        <f t="shared" ca="1" si="17"/>
        <v>0</v>
      </c>
      <c r="AF80" s="140">
        <f t="shared" ca="1" si="18"/>
        <v>0</v>
      </c>
      <c r="AG80" s="140">
        <f t="shared" ca="1" si="19"/>
        <v>0</v>
      </c>
      <c r="AH80" s="131">
        <f t="shared" ca="1" si="20"/>
        <v>0</v>
      </c>
      <c r="AI80" s="131">
        <f t="shared" ca="1" si="21"/>
        <v>0</v>
      </c>
      <c r="AJ80" s="131">
        <f t="shared" ca="1" si="22"/>
        <v>0</v>
      </c>
      <c r="AK80" s="140">
        <f t="shared" ca="1" si="23"/>
        <v>0</v>
      </c>
      <c r="AL80" s="140">
        <f t="shared" ca="1" si="24"/>
        <v>0</v>
      </c>
      <c r="AM80" s="131">
        <v>0</v>
      </c>
      <c r="AN80" s="140">
        <f t="shared" ca="1" si="25"/>
        <v>0</v>
      </c>
      <c r="AO80" s="140">
        <v>0</v>
      </c>
      <c r="AP80" s="140">
        <f t="shared" ca="1" si="26"/>
        <v>0</v>
      </c>
      <c r="AQ80" s="140">
        <f t="shared" ca="1" si="27"/>
        <v>0</v>
      </c>
      <c r="AR80" s="131">
        <v>0</v>
      </c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AB81" s="131">
        <f t="shared" ca="1" si="14"/>
        <v>0</v>
      </c>
      <c r="AC81" s="131">
        <f t="shared" ca="1" si="15"/>
        <v>0</v>
      </c>
      <c r="AD81" s="131">
        <f t="shared" ca="1" si="16"/>
        <v>0</v>
      </c>
      <c r="AE81" s="140">
        <f t="shared" ca="1" si="17"/>
        <v>0</v>
      </c>
      <c r="AF81" s="140">
        <f t="shared" ca="1" si="18"/>
        <v>0</v>
      </c>
      <c r="AG81" s="140">
        <f t="shared" ca="1" si="19"/>
        <v>0</v>
      </c>
      <c r="AH81" s="131">
        <f t="shared" ca="1" si="20"/>
        <v>0</v>
      </c>
      <c r="AI81" s="131">
        <f t="shared" ca="1" si="21"/>
        <v>0</v>
      </c>
      <c r="AJ81" s="131">
        <f t="shared" ca="1" si="22"/>
        <v>0</v>
      </c>
      <c r="AK81" s="140">
        <f t="shared" ca="1" si="23"/>
        <v>0</v>
      </c>
      <c r="AL81" s="140">
        <f t="shared" ca="1" si="24"/>
        <v>0</v>
      </c>
      <c r="AM81" s="131">
        <v>0</v>
      </c>
      <c r="AN81" s="140">
        <f t="shared" ca="1" si="25"/>
        <v>0</v>
      </c>
      <c r="AO81" s="140">
        <v>0</v>
      </c>
      <c r="AP81" s="140">
        <f t="shared" ca="1" si="26"/>
        <v>0</v>
      </c>
      <c r="AQ81" s="140">
        <f t="shared" ca="1" si="27"/>
        <v>0</v>
      </c>
      <c r="AR81" s="131">
        <v>0</v>
      </c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AB82" s="131">
        <f t="shared" ca="1" si="14"/>
        <v>0</v>
      </c>
      <c r="AC82" s="131">
        <f t="shared" ca="1" si="15"/>
        <v>0</v>
      </c>
      <c r="AD82" s="131">
        <f t="shared" ca="1" si="16"/>
        <v>0</v>
      </c>
      <c r="AE82" s="140">
        <f t="shared" ca="1" si="17"/>
        <v>0</v>
      </c>
      <c r="AF82" s="140">
        <f t="shared" ca="1" si="18"/>
        <v>0</v>
      </c>
      <c r="AG82" s="140">
        <f t="shared" ca="1" si="19"/>
        <v>0</v>
      </c>
      <c r="AH82" s="131">
        <f t="shared" ca="1" si="20"/>
        <v>0</v>
      </c>
      <c r="AI82" s="131">
        <f t="shared" ca="1" si="21"/>
        <v>0</v>
      </c>
      <c r="AJ82" s="131">
        <f t="shared" ca="1" si="22"/>
        <v>0</v>
      </c>
      <c r="AK82" s="140">
        <f t="shared" ca="1" si="23"/>
        <v>0</v>
      </c>
      <c r="AL82" s="140">
        <f t="shared" ca="1" si="24"/>
        <v>0</v>
      </c>
      <c r="AM82" s="131">
        <v>0</v>
      </c>
      <c r="AN82" s="140">
        <f t="shared" ca="1" si="25"/>
        <v>0</v>
      </c>
      <c r="AO82" s="140">
        <v>0</v>
      </c>
      <c r="AP82" s="140">
        <f t="shared" ca="1" si="26"/>
        <v>0</v>
      </c>
      <c r="AQ82" s="140">
        <f t="shared" ca="1" si="27"/>
        <v>0</v>
      </c>
      <c r="AR82" s="131">
        <v>0</v>
      </c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AB83" s="131">
        <f t="shared" ca="1" si="14"/>
        <v>0</v>
      </c>
      <c r="AC83" s="131">
        <f t="shared" ca="1" si="15"/>
        <v>0</v>
      </c>
      <c r="AD83" s="131">
        <f t="shared" ca="1" si="16"/>
        <v>0</v>
      </c>
      <c r="AE83" s="140">
        <f t="shared" ca="1" si="17"/>
        <v>0</v>
      </c>
      <c r="AF83" s="140">
        <f t="shared" ca="1" si="18"/>
        <v>0</v>
      </c>
      <c r="AG83" s="140">
        <f t="shared" ca="1" si="19"/>
        <v>0</v>
      </c>
      <c r="AH83" s="131">
        <f t="shared" ca="1" si="20"/>
        <v>0</v>
      </c>
      <c r="AI83" s="131">
        <f t="shared" ca="1" si="21"/>
        <v>0</v>
      </c>
      <c r="AJ83" s="131">
        <f t="shared" ca="1" si="22"/>
        <v>0</v>
      </c>
      <c r="AK83" s="140">
        <f t="shared" ca="1" si="23"/>
        <v>0</v>
      </c>
      <c r="AL83" s="140">
        <f t="shared" ca="1" si="24"/>
        <v>0</v>
      </c>
      <c r="AM83" s="131">
        <v>0</v>
      </c>
      <c r="AN83" s="140">
        <f t="shared" ca="1" si="25"/>
        <v>0</v>
      </c>
      <c r="AO83" s="140">
        <v>0</v>
      </c>
      <c r="AP83" s="140">
        <f t="shared" ca="1" si="26"/>
        <v>0</v>
      </c>
      <c r="AQ83" s="140">
        <f t="shared" ca="1" si="27"/>
        <v>0</v>
      </c>
      <c r="AR83" s="131">
        <v>0</v>
      </c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AB84" s="131">
        <f t="shared" ca="1" si="14"/>
        <v>0</v>
      </c>
      <c r="AC84" s="131">
        <f t="shared" ca="1" si="15"/>
        <v>0</v>
      </c>
      <c r="AD84" s="131">
        <f t="shared" ca="1" si="16"/>
        <v>0</v>
      </c>
      <c r="AE84" s="140">
        <f t="shared" ca="1" si="17"/>
        <v>0</v>
      </c>
      <c r="AF84" s="140">
        <f t="shared" ca="1" si="18"/>
        <v>0</v>
      </c>
      <c r="AG84" s="140">
        <f t="shared" ca="1" si="19"/>
        <v>0</v>
      </c>
      <c r="AH84" s="131">
        <f t="shared" ca="1" si="20"/>
        <v>0</v>
      </c>
      <c r="AI84" s="131">
        <f t="shared" ca="1" si="21"/>
        <v>0</v>
      </c>
      <c r="AJ84" s="131">
        <f t="shared" ca="1" si="22"/>
        <v>0</v>
      </c>
      <c r="AK84" s="140">
        <f t="shared" ca="1" si="23"/>
        <v>0</v>
      </c>
      <c r="AL84" s="140">
        <f t="shared" ca="1" si="24"/>
        <v>0</v>
      </c>
      <c r="AM84" s="131">
        <v>0</v>
      </c>
      <c r="AN84" s="140">
        <f t="shared" ca="1" si="25"/>
        <v>0</v>
      </c>
      <c r="AO84" s="140">
        <v>0</v>
      </c>
      <c r="AP84" s="140">
        <f t="shared" ca="1" si="26"/>
        <v>0</v>
      </c>
      <c r="AQ84" s="140">
        <f t="shared" ca="1" si="27"/>
        <v>0</v>
      </c>
      <c r="AR84" s="131">
        <v>0</v>
      </c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AB85" s="131">
        <f t="shared" ca="1" si="14"/>
        <v>0</v>
      </c>
      <c r="AC85" s="131">
        <f t="shared" ca="1" si="15"/>
        <v>0</v>
      </c>
      <c r="AD85" s="131">
        <f t="shared" ca="1" si="16"/>
        <v>0</v>
      </c>
      <c r="AE85" s="140">
        <f t="shared" ca="1" si="17"/>
        <v>0</v>
      </c>
      <c r="AF85" s="140">
        <f t="shared" ca="1" si="18"/>
        <v>0</v>
      </c>
      <c r="AG85" s="140">
        <f t="shared" ca="1" si="19"/>
        <v>0</v>
      </c>
      <c r="AH85" s="131">
        <f t="shared" ca="1" si="20"/>
        <v>0</v>
      </c>
      <c r="AI85" s="131">
        <f t="shared" ca="1" si="21"/>
        <v>0</v>
      </c>
      <c r="AJ85" s="131">
        <f t="shared" ca="1" si="22"/>
        <v>0</v>
      </c>
      <c r="AK85" s="140">
        <f t="shared" ca="1" si="23"/>
        <v>0</v>
      </c>
      <c r="AL85" s="140">
        <f t="shared" ca="1" si="24"/>
        <v>0</v>
      </c>
      <c r="AM85" s="131">
        <v>0</v>
      </c>
      <c r="AN85" s="140">
        <f t="shared" ca="1" si="25"/>
        <v>0</v>
      </c>
      <c r="AO85" s="140">
        <v>0</v>
      </c>
      <c r="AP85" s="140">
        <f t="shared" ca="1" si="26"/>
        <v>0</v>
      </c>
      <c r="AQ85" s="140">
        <f t="shared" ca="1" si="27"/>
        <v>0</v>
      </c>
      <c r="AR85" s="131">
        <v>0</v>
      </c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AB86" s="131">
        <f t="shared" ca="1" si="14"/>
        <v>0</v>
      </c>
      <c r="AC86" s="131">
        <f t="shared" ca="1" si="15"/>
        <v>0</v>
      </c>
      <c r="AD86" s="131">
        <f t="shared" ca="1" si="16"/>
        <v>0</v>
      </c>
      <c r="AE86" s="140">
        <f t="shared" ca="1" si="17"/>
        <v>0</v>
      </c>
      <c r="AF86" s="140">
        <f t="shared" ca="1" si="18"/>
        <v>0</v>
      </c>
      <c r="AG86" s="140">
        <f t="shared" ca="1" si="19"/>
        <v>0</v>
      </c>
      <c r="AH86" s="131">
        <f t="shared" ca="1" si="20"/>
        <v>0</v>
      </c>
      <c r="AI86" s="131">
        <f t="shared" ca="1" si="21"/>
        <v>0</v>
      </c>
      <c r="AJ86" s="131">
        <f t="shared" ca="1" si="22"/>
        <v>0</v>
      </c>
      <c r="AK86" s="140">
        <f t="shared" ca="1" si="23"/>
        <v>0</v>
      </c>
      <c r="AL86" s="140">
        <f t="shared" ca="1" si="24"/>
        <v>0</v>
      </c>
      <c r="AM86" s="131">
        <v>0</v>
      </c>
      <c r="AN86" s="140">
        <f t="shared" ca="1" si="25"/>
        <v>0</v>
      </c>
      <c r="AO86" s="140">
        <v>0</v>
      </c>
      <c r="AP86" s="140">
        <f t="shared" ca="1" si="26"/>
        <v>0</v>
      </c>
      <c r="AQ86" s="140">
        <f t="shared" ca="1" si="27"/>
        <v>0</v>
      </c>
      <c r="AR86" s="131">
        <v>0</v>
      </c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AB87" s="131">
        <f t="shared" ca="1" si="14"/>
        <v>0</v>
      </c>
      <c r="AC87" s="131">
        <f t="shared" ca="1" si="15"/>
        <v>0</v>
      </c>
      <c r="AD87" s="131">
        <f t="shared" ca="1" si="16"/>
        <v>0</v>
      </c>
      <c r="AE87" s="140">
        <f t="shared" ca="1" si="17"/>
        <v>0</v>
      </c>
      <c r="AF87" s="140">
        <f t="shared" ca="1" si="18"/>
        <v>0</v>
      </c>
      <c r="AG87" s="140">
        <f t="shared" ca="1" si="19"/>
        <v>0</v>
      </c>
      <c r="AH87" s="131">
        <f t="shared" ca="1" si="20"/>
        <v>0</v>
      </c>
      <c r="AI87" s="131">
        <f t="shared" ca="1" si="21"/>
        <v>0</v>
      </c>
      <c r="AJ87" s="131">
        <f t="shared" ca="1" si="22"/>
        <v>0</v>
      </c>
      <c r="AK87" s="140">
        <f t="shared" ca="1" si="23"/>
        <v>0</v>
      </c>
      <c r="AL87" s="140">
        <f t="shared" ca="1" si="24"/>
        <v>0</v>
      </c>
      <c r="AM87" s="131">
        <v>0</v>
      </c>
      <c r="AN87" s="140">
        <f t="shared" ca="1" si="25"/>
        <v>0</v>
      </c>
      <c r="AO87" s="140">
        <v>0</v>
      </c>
      <c r="AP87" s="140">
        <f t="shared" ca="1" si="26"/>
        <v>0</v>
      </c>
      <c r="AQ87" s="140">
        <f t="shared" ca="1" si="27"/>
        <v>0</v>
      </c>
      <c r="AR87" s="131">
        <v>0</v>
      </c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AB88" s="131">
        <f t="shared" ca="1" si="14"/>
        <v>0</v>
      </c>
      <c r="AC88" s="131">
        <f t="shared" ca="1" si="15"/>
        <v>0</v>
      </c>
      <c r="AD88" s="131">
        <f t="shared" ca="1" si="16"/>
        <v>0</v>
      </c>
      <c r="AE88" s="140">
        <f t="shared" ca="1" si="17"/>
        <v>0</v>
      </c>
      <c r="AF88" s="140">
        <f t="shared" ca="1" si="18"/>
        <v>0</v>
      </c>
      <c r="AG88" s="140">
        <f t="shared" ca="1" si="19"/>
        <v>0</v>
      </c>
      <c r="AH88" s="131">
        <f t="shared" ca="1" si="20"/>
        <v>0</v>
      </c>
      <c r="AI88" s="131">
        <f t="shared" ca="1" si="21"/>
        <v>0</v>
      </c>
      <c r="AJ88" s="131">
        <f t="shared" ca="1" si="22"/>
        <v>0</v>
      </c>
      <c r="AK88" s="140">
        <f t="shared" ca="1" si="23"/>
        <v>0</v>
      </c>
      <c r="AL88" s="140">
        <f t="shared" ca="1" si="24"/>
        <v>0</v>
      </c>
      <c r="AM88" s="131">
        <v>0</v>
      </c>
      <c r="AN88" s="140">
        <f t="shared" ca="1" si="25"/>
        <v>0</v>
      </c>
      <c r="AO88" s="140">
        <v>0</v>
      </c>
      <c r="AP88" s="140">
        <f t="shared" ca="1" si="26"/>
        <v>0</v>
      </c>
      <c r="AQ88" s="140">
        <f t="shared" ca="1" si="27"/>
        <v>0</v>
      </c>
      <c r="AR88" s="131">
        <v>0</v>
      </c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AB89" s="131">
        <f t="shared" ca="1" si="14"/>
        <v>0</v>
      </c>
      <c r="AC89" s="131">
        <f t="shared" ca="1" si="15"/>
        <v>0</v>
      </c>
      <c r="AD89" s="131">
        <f t="shared" ca="1" si="16"/>
        <v>0</v>
      </c>
      <c r="AE89" s="140">
        <f t="shared" ca="1" si="17"/>
        <v>0</v>
      </c>
      <c r="AF89" s="140">
        <f t="shared" ca="1" si="18"/>
        <v>0</v>
      </c>
      <c r="AG89" s="140">
        <f t="shared" ca="1" si="19"/>
        <v>0</v>
      </c>
      <c r="AH89" s="131">
        <f t="shared" ca="1" si="20"/>
        <v>0</v>
      </c>
      <c r="AI89" s="131">
        <f t="shared" ca="1" si="21"/>
        <v>0</v>
      </c>
      <c r="AJ89" s="131">
        <f t="shared" ca="1" si="22"/>
        <v>0</v>
      </c>
      <c r="AK89" s="140">
        <f t="shared" ca="1" si="23"/>
        <v>0</v>
      </c>
      <c r="AL89" s="140">
        <f t="shared" ca="1" si="24"/>
        <v>0</v>
      </c>
      <c r="AM89" s="131">
        <v>0</v>
      </c>
      <c r="AN89" s="140">
        <f t="shared" ca="1" si="25"/>
        <v>0</v>
      </c>
      <c r="AO89" s="140">
        <v>0</v>
      </c>
      <c r="AP89" s="140">
        <f t="shared" ca="1" si="26"/>
        <v>0</v>
      </c>
      <c r="AQ89" s="140">
        <f t="shared" ca="1" si="27"/>
        <v>0</v>
      </c>
      <c r="AR89" s="131">
        <v>0</v>
      </c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AB90" s="131">
        <f t="shared" ca="1" si="14"/>
        <v>0</v>
      </c>
      <c r="AC90" s="131">
        <f t="shared" ca="1" si="15"/>
        <v>0</v>
      </c>
      <c r="AD90" s="131">
        <f t="shared" ca="1" si="16"/>
        <v>0</v>
      </c>
      <c r="AE90" s="140">
        <f t="shared" ca="1" si="17"/>
        <v>0</v>
      </c>
      <c r="AF90" s="140">
        <f t="shared" ca="1" si="18"/>
        <v>0</v>
      </c>
      <c r="AG90" s="140">
        <f t="shared" ca="1" si="19"/>
        <v>0</v>
      </c>
      <c r="AH90" s="131">
        <f t="shared" ca="1" si="20"/>
        <v>0</v>
      </c>
      <c r="AI90" s="131">
        <f t="shared" ca="1" si="21"/>
        <v>0</v>
      </c>
      <c r="AJ90" s="131">
        <f t="shared" ca="1" si="22"/>
        <v>0</v>
      </c>
      <c r="AK90" s="140">
        <f t="shared" ca="1" si="23"/>
        <v>0</v>
      </c>
      <c r="AL90" s="140">
        <f t="shared" ca="1" si="24"/>
        <v>0</v>
      </c>
      <c r="AM90" s="131">
        <v>0</v>
      </c>
      <c r="AN90" s="140">
        <f t="shared" ca="1" si="25"/>
        <v>0</v>
      </c>
      <c r="AO90" s="140">
        <v>0</v>
      </c>
      <c r="AP90" s="140">
        <f t="shared" ca="1" si="26"/>
        <v>0</v>
      </c>
      <c r="AQ90" s="140">
        <f t="shared" ca="1" si="27"/>
        <v>0</v>
      </c>
      <c r="AR90" s="131">
        <v>0</v>
      </c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AB91" s="131">
        <f t="shared" ca="1" si="14"/>
        <v>0</v>
      </c>
      <c r="AC91" s="131">
        <f t="shared" ca="1" si="15"/>
        <v>0</v>
      </c>
      <c r="AD91" s="131">
        <f t="shared" ca="1" si="16"/>
        <v>0</v>
      </c>
      <c r="AE91" s="140">
        <f t="shared" ca="1" si="17"/>
        <v>0</v>
      </c>
      <c r="AF91" s="140">
        <f t="shared" ca="1" si="18"/>
        <v>0</v>
      </c>
      <c r="AG91" s="140">
        <f t="shared" ca="1" si="19"/>
        <v>0</v>
      </c>
      <c r="AH91" s="131">
        <f t="shared" ca="1" si="20"/>
        <v>0</v>
      </c>
      <c r="AI91" s="131">
        <f t="shared" ca="1" si="21"/>
        <v>0</v>
      </c>
      <c r="AJ91" s="131">
        <f t="shared" ca="1" si="22"/>
        <v>0</v>
      </c>
      <c r="AK91" s="140">
        <f t="shared" ca="1" si="23"/>
        <v>0</v>
      </c>
      <c r="AL91" s="140">
        <f t="shared" ca="1" si="24"/>
        <v>0</v>
      </c>
      <c r="AM91" s="131">
        <v>0</v>
      </c>
      <c r="AN91" s="140">
        <f t="shared" ca="1" si="25"/>
        <v>0</v>
      </c>
      <c r="AO91" s="140">
        <v>0</v>
      </c>
      <c r="AP91" s="140">
        <f t="shared" ca="1" si="26"/>
        <v>0</v>
      </c>
      <c r="AQ91" s="140">
        <f t="shared" ca="1" si="27"/>
        <v>0</v>
      </c>
      <c r="AR91" s="131">
        <v>0</v>
      </c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AB92" s="131">
        <f t="shared" ca="1" si="14"/>
        <v>0</v>
      </c>
      <c r="AC92" s="131">
        <f t="shared" ca="1" si="15"/>
        <v>0</v>
      </c>
      <c r="AD92" s="131">
        <f t="shared" ca="1" si="16"/>
        <v>0</v>
      </c>
      <c r="AE92" s="140">
        <f t="shared" ca="1" si="17"/>
        <v>0</v>
      </c>
      <c r="AF92" s="140">
        <f t="shared" ca="1" si="18"/>
        <v>0</v>
      </c>
      <c r="AG92" s="140">
        <f t="shared" ca="1" si="19"/>
        <v>0</v>
      </c>
      <c r="AH92" s="131">
        <f t="shared" ca="1" si="20"/>
        <v>0</v>
      </c>
      <c r="AI92" s="131">
        <f t="shared" ca="1" si="21"/>
        <v>0</v>
      </c>
      <c r="AJ92" s="131">
        <f t="shared" ca="1" si="22"/>
        <v>0</v>
      </c>
      <c r="AK92" s="140">
        <f t="shared" ca="1" si="23"/>
        <v>0</v>
      </c>
      <c r="AL92" s="140">
        <f t="shared" ca="1" si="24"/>
        <v>0</v>
      </c>
      <c r="AM92" s="131">
        <v>0</v>
      </c>
      <c r="AN92" s="140">
        <f t="shared" ca="1" si="25"/>
        <v>0</v>
      </c>
      <c r="AO92" s="140">
        <v>0</v>
      </c>
      <c r="AP92" s="140">
        <f t="shared" ca="1" si="26"/>
        <v>0</v>
      </c>
      <c r="AQ92" s="140">
        <f t="shared" ca="1" si="27"/>
        <v>0</v>
      </c>
      <c r="AR92" s="131">
        <v>0</v>
      </c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AB93" s="131">
        <f t="shared" ca="1" si="14"/>
        <v>0</v>
      </c>
      <c r="AC93" s="131">
        <f t="shared" ca="1" si="15"/>
        <v>0</v>
      </c>
      <c r="AD93" s="131">
        <f t="shared" ca="1" si="16"/>
        <v>0</v>
      </c>
      <c r="AE93" s="140">
        <f t="shared" ca="1" si="17"/>
        <v>0</v>
      </c>
      <c r="AF93" s="140">
        <f t="shared" ca="1" si="18"/>
        <v>0</v>
      </c>
      <c r="AG93" s="140">
        <f t="shared" ca="1" si="19"/>
        <v>0</v>
      </c>
      <c r="AH93" s="131">
        <f t="shared" ca="1" si="20"/>
        <v>0</v>
      </c>
      <c r="AI93" s="131">
        <f t="shared" ca="1" si="21"/>
        <v>0</v>
      </c>
      <c r="AJ93" s="131">
        <f t="shared" ca="1" si="22"/>
        <v>0</v>
      </c>
      <c r="AK93" s="140">
        <f t="shared" ca="1" si="23"/>
        <v>0</v>
      </c>
      <c r="AL93" s="140">
        <f t="shared" ca="1" si="24"/>
        <v>0</v>
      </c>
      <c r="AM93" s="131">
        <v>0</v>
      </c>
      <c r="AN93" s="140">
        <f t="shared" ca="1" si="25"/>
        <v>0</v>
      </c>
      <c r="AO93" s="140">
        <v>0</v>
      </c>
      <c r="AP93" s="140">
        <f t="shared" ca="1" si="26"/>
        <v>0</v>
      </c>
      <c r="AQ93" s="140">
        <f t="shared" ca="1" si="27"/>
        <v>0</v>
      </c>
      <c r="AR93" s="131">
        <v>0</v>
      </c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AB94" s="131">
        <f t="shared" ca="1" si="14"/>
        <v>0</v>
      </c>
      <c r="AC94" s="131">
        <f t="shared" ca="1" si="15"/>
        <v>0</v>
      </c>
      <c r="AD94" s="131">
        <f t="shared" ca="1" si="16"/>
        <v>0</v>
      </c>
      <c r="AE94" s="140">
        <f t="shared" ca="1" si="17"/>
        <v>0</v>
      </c>
      <c r="AF94" s="140">
        <f t="shared" ca="1" si="18"/>
        <v>0</v>
      </c>
      <c r="AG94" s="140">
        <f t="shared" ca="1" si="19"/>
        <v>0</v>
      </c>
      <c r="AH94" s="131">
        <f t="shared" ca="1" si="20"/>
        <v>0</v>
      </c>
      <c r="AI94" s="131">
        <f t="shared" ca="1" si="21"/>
        <v>0</v>
      </c>
      <c r="AJ94" s="131">
        <f t="shared" ca="1" si="22"/>
        <v>0</v>
      </c>
      <c r="AK94" s="140">
        <f t="shared" ca="1" si="23"/>
        <v>0</v>
      </c>
      <c r="AL94" s="140">
        <f t="shared" ca="1" si="24"/>
        <v>0</v>
      </c>
      <c r="AM94" s="131">
        <v>0</v>
      </c>
      <c r="AN94" s="140">
        <f t="shared" ca="1" si="25"/>
        <v>0</v>
      </c>
      <c r="AO94" s="140">
        <v>0</v>
      </c>
      <c r="AP94" s="140">
        <f t="shared" ca="1" si="26"/>
        <v>0</v>
      </c>
      <c r="AQ94" s="140">
        <f t="shared" ca="1" si="27"/>
        <v>0</v>
      </c>
      <c r="AR94" s="131">
        <v>0</v>
      </c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AB95" s="131">
        <f t="shared" ca="1" si="14"/>
        <v>0</v>
      </c>
      <c r="AC95" s="131">
        <f t="shared" ca="1" si="15"/>
        <v>0</v>
      </c>
      <c r="AD95" s="131">
        <f t="shared" ca="1" si="16"/>
        <v>0</v>
      </c>
      <c r="AE95" s="140">
        <f t="shared" ca="1" si="17"/>
        <v>0</v>
      </c>
      <c r="AF95" s="140">
        <f t="shared" ca="1" si="18"/>
        <v>0</v>
      </c>
      <c r="AG95" s="140">
        <f t="shared" ca="1" si="19"/>
        <v>0</v>
      </c>
      <c r="AH95" s="131">
        <f t="shared" ca="1" si="20"/>
        <v>0</v>
      </c>
      <c r="AI95" s="131">
        <f t="shared" ca="1" si="21"/>
        <v>0</v>
      </c>
      <c r="AJ95" s="131">
        <f t="shared" ca="1" si="22"/>
        <v>0</v>
      </c>
      <c r="AK95" s="140">
        <f t="shared" ca="1" si="23"/>
        <v>0</v>
      </c>
      <c r="AL95" s="140">
        <f t="shared" ca="1" si="24"/>
        <v>0</v>
      </c>
      <c r="AM95" s="131">
        <v>0</v>
      </c>
      <c r="AN95" s="140">
        <f t="shared" ca="1" si="25"/>
        <v>0</v>
      </c>
      <c r="AO95" s="140">
        <v>0</v>
      </c>
      <c r="AP95" s="140">
        <f t="shared" ca="1" si="26"/>
        <v>0</v>
      </c>
      <c r="AQ95" s="140">
        <f t="shared" ca="1" si="27"/>
        <v>0</v>
      </c>
      <c r="AR95" s="131">
        <v>0</v>
      </c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AB96" s="131">
        <f t="shared" ca="1" si="14"/>
        <v>0</v>
      </c>
      <c r="AC96" s="131">
        <f t="shared" ca="1" si="15"/>
        <v>0</v>
      </c>
      <c r="AD96" s="131">
        <f t="shared" ca="1" si="16"/>
        <v>0</v>
      </c>
      <c r="AE96" s="140">
        <f t="shared" ca="1" si="17"/>
        <v>0</v>
      </c>
      <c r="AF96" s="140">
        <f t="shared" ca="1" si="18"/>
        <v>0</v>
      </c>
      <c r="AG96" s="140">
        <f t="shared" ca="1" si="19"/>
        <v>0</v>
      </c>
      <c r="AH96" s="131">
        <f t="shared" ca="1" si="20"/>
        <v>0</v>
      </c>
      <c r="AI96" s="131">
        <f t="shared" ca="1" si="21"/>
        <v>0</v>
      </c>
      <c r="AJ96" s="131">
        <f t="shared" ca="1" si="22"/>
        <v>0</v>
      </c>
      <c r="AK96" s="140">
        <f t="shared" ca="1" si="23"/>
        <v>0</v>
      </c>
      <c r="AL96" s="140">
        <f t="shared" ca="1" si="24"/>
        <v>0</v>
      </c>
      <c r="AM96" s="131">
        <v>0</v>
      </c>
      <c r="AN96" s="140">
        <f t="shared" ca="1" si="25"/>
        <v>0</v>
      </c>
      <c r="AO96" s="140">
        <v>0</v>
      </c>
      <c r="AP96" s="140">
        <f t="shared" ca="1" si="26"/>
        <v>0</v>
      </c>
      <c r="AQ96" s="140">
        <f t="shared" ca="1" si="27"/>
        <v>0</v>
      </c>
      <c r="AR96" s="131">
        <v>0</v>
      </c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AB97" s="131">
        <f t="shared" ca="1" si="14"/>
        <v>0</v>
      </c>
      <c r="AC97" s="131">
        <f t="shared" ca="1" si="15"/>
        <v>0</v>
      </c>
      <c r="AD97" s="131">
        <f t="shared" ca="1" si="16"/>
        <v>0</v>
      </c>
      <c r="AE97" s="140">
        <f t="shared" ca="1" si="17"/>
        <v>0</v>
      </c>
      <c r="AF97" s="140">
        <f t="shared" ca="1" si="18"/>
        <v>0</v>
      </c>
      <c r="AG97" s="140">
        <f t="shared" ca="1" si="19"/>
        <v>0</v>
      </c>
      <c r="AH97" s="131">
        <f t="shared" ca="1" si="20"/>
        <v>0</v>
      </c>
      <c r="AI97" s="131">
        <f t="shared" ca="1" si="21"/>
        <v>0</v>
      </c>
      <c r="AJ97" s="131">
        <f t="shared" ca="1" si="22"/>
        <v>0</v>
      </c>
      <c r="AK97" s="140">
        <f t="shared" ca="1" si="23"/>
        <v>0</v>
      </c>
      <c r="AL97" s="140">
        <f t="shared" ca="1" si="24"/>
        <v>0</v>
      </c>
      <c r="AM97" s="131">
        <v>0</v>
      </c>
      <c r="AN97" s="140">
        <f t="shared" ca="1" si="25"/>
        <v>0</v>
      </c>
      <c r="AO97" s="140">
        <v>0</v>
      </c>
      <c r="AP97" s="140">
        <f t="shared" ca="1" si="26"/>
        <v>0</v>
      </c>
      <c r="AQ97" s="140">
        <f t="shared" ca="1" si="27"/>
        <v>0</v>
      </c>
      <c r="AR97" s="131">
        <v>0</v>
      </c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AB98" s="131">
        <f t="shared" ca="1" si="14"/>
        <v>0</v>
      </c>
      <c r="AC98" s="131">
        <f t="shared" ca="1" si="15"/>
        <v>0</v>
      </c>
      <c r="AD98" s="131">
        <f t="shared" ca="1" si="16"/>
        <v>0</v>
      </c>
      <c r="AE98" s="140">
        <f t="shared" ca="1" si="17"/>
        <v>0</v>
      </c>
      <c r="AF98" s="140">
        <f t="shared" ca="1" si="18"/>
        <v>0</v>
      </c>
      <c r="AG98" s="140">
        <f t="shared" ca="1" si="19"/>
        <v>0</v>
      </c>
      <c r="AH98" s="131">
        <f t="shared" ca="1" si="20"/>
        <v>0</v>
      </c>
      <c r="AI98" s="131">
        <f t="shared" ca="1" si="21"/>
        <v>0</v>
      </c>
      <c r="AJ98" s="131">
        <f t="shared" ca="1" si="22"/>
        <v>0</v>
      </c>
      <c r="AK98" s="140">
        <f t="shared" ca="1" si="23"/>
        <v>0</v>
      </c>
      <c r="AL98" s="140">
        <f t="shared" ca="1" si="24"/>
        <v>0</v>
      </c>
      <c r="AM98" s="131">
        <v>0</v>
      </c>
      <c r="AN98" s="140">
        <f t="shared" ca="1" si="25"/>
        <v>0</v>
      </c>
      <c r="AO98" s="140">
        <v>0</v>
      </c>
      <c r="AP98" s="140">
        <f t="shared" ca="1" si="26"/>
        <v>0</v>
      </c>
      <c r="AQ98" s="140">
        <f t="shared" ca="1" si="27"/>
        <v>0</v>
      </c>
      <c r="AR98" s="131">
        <v>0</v>
      </c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AB99" s="131">
        <f t="shared" ca="1" si="14"/>
        <v>0</v>
      </c>
      <c r="AC99" s="131">
        <f t="shared" ca="1" si="15"/>
        <v>0</v>
      </c>
      <c r="AD99" s="131">
        <f t="shared" ca="1" si="16"/>
        <v>0</v>
      </c>
      <c r="AE99" s="140">
        <f t="shared" ca="1" si="17"/>
        <v>0</v>
      </c>
      <c r="AF99" s="140">
        <f t="shared" ca="1" si="18"/>
        <v>0</v>
      </c>
      <c r="AG99" s="140">
        <f t="shared" ca="1" si="19"/>
        <v>0</v>
      </c>
      <c r="AH99" s="131">
        <f t="shared" ca="1" si="20"/>
        <v>0</v>
      </c>
      <c r="AI99" s="131">
        <f t="shared" ca="1" si="21"/>
        <v>0</v>
      </c>
      <c r="AJ99" s="131">
        <f t="shared" ca="1" si="22"/>
        <v>0</v>
      </c>
      <c r="AK99" s="140">
        <f t="shared" ca="1" si="23"/>
        <v>0</v>
      </c>
      <c r="AL99" s="140">
        <f t="shared" ca="1" si="24"/>
        <v>0</v>
      </c>
      <c r="AM99" s="131">
        <v>0</v>
      </c>
      <c r="AN99" s="140">
        <f t="shared" ca="1" si="25"/>
        <v>0</v>
      </c>
      <c r="AO99" s="140">
        <v>0</v>
      </c>
      <c r="AP99" s="140">
        <f t="shared" ca="1" si="26"/>
        <v>0</v>
      </c>
      <c r="AQ99" s="140">
        <f t="shared" ca="1" si="27"/>
        <v>0</v>
      </c>
      <c r="AR99" s="131">
        <v>0</v>
      </c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AB100" s="131">
        <f t="shared" ca="1" si="14"/>
        <v>0</v>
      </c>
      <c r="AC100" s="131">
        <f t="shared" ca="1" si="15"/>
        <v>0</v>
      </c>
      <c r="AD100" s="131">
        <f t="shared" ca="1" si="16"/>
        <v>0</v>
      </c>
      <c r="AE100" s="140">
        <f t="shared" ca="1" si="17"/>
        <v>0</v>
      </c>
      <c r="AF100" s="140">
        <f t="shared" ca="1" si="18"/>
        <v>0</v>
      </c>
      <c r="AG100" s="140">
        <f t="shared" ca="1" si="19"/>
        <v>0</v>
      </c>
      <c r="AH100" s="131">
        <f t="shared" ca="1" si="20"/>
        <v>0</v>
      </c>
      <c r="AI100" s="131">
        <f t="shared" ca="1" si="21"/>
        <v>0</v>
      </c>
      <c r="AJ100" s="131">
        <f t="shared" ca="1" si="22"/>
        <v>0</v>
      </c>
      <c r="AK100" s="140">
        <f t="shared" ca="1" si="23"/>
        <v>0</v>
      </c>
      <c r="AL100" s="140">
        <f t="shared" ca="1" si="24"/>
        <v>0</v>
      </c>
      <c r="AM100" s="131">
        <v>0</v>
      </c>
      <c r="AN100" s="140">
        <f t="shared" ca="1" si="25"/>
        <v>0</v>
      </c>
      <c r="AO100" s="140">
        <v>0</v>
      </c>
      <c r="AP100" s="140">
        <f t="shared" ca="1" si="26"/>
        <v>0</v>
      </c>
      <c r="AQ100" s="140">
        <f t="shared" ca="1" si="27"/>
        <v>0</v>
      </c>
      <c r="AR100" s="131">
        <v>0</v>
      </c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AB101" s="131">
        <f t="shared" ca="1" si="14"/>
        <v>0</v>
      </c>
      <c r="AC101" s="131">
        <f t="shared" ca="1" si="15"/>
        <v>0</v>
      </c>
      <c r="AD101" s="131">
        <f t="shared" ca="1" si="16"/>
        <v>0</v>
      </c>
      <c r="AE101" s="140">
        <f t="shared" ca="1" si="17"/>
        <v>0</v>
      </c>
      <c r="AF101" s="140">
        <f t="shared" ca="1" si="18"/>
        <v>0</v>
      </c>
      <c r="AG101" s="140">
        <f t="shared" ca="1" si="19"/>
        <v>0</v>
      </c>
      <c r="AH101" s="131">
        <f t="shared" ca="1" si="20"/>
        <v>0</v>
      </c>
      <c r="AI101" s="131">
        <f t="shared" ca="1" si="21"/>
        <v>0</v>
      </c>
      <c r="AJ101" s="131">
        <f t="shared" ca="1" si="22"/>
        <v>0</v>
      </c>
      <c r="AK101" s="140">
        <f t="shared" ca="1" si="23"/>
        <v>0</v>
      </c>
      <c r="AL101" s="140">
        <f t="shared" ca="1" si="24"/>
        <v>0</v>
      </c>
      <c r="AM101" s="131">
        <v>0</v>
      </c>
      <c r="AN101" s="140">
        <f t="shared" ca="1" si="25"/>
        <v>0</v>
      </c>
      <c r="AO101" s="140">
        <v>0</v>
      </c>
      <c r="AP101" s="140">
        <f t="shared" ca="1" si="26"/>
        <v>0</v>
      </c>
      <c r="AQ101" s="140">
        <f t="shared" ca="1" si="27"/>
        <v>0</v>
      </c>
      <c r="AR101" s="131">
        <v>0</v>
      </c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AB102" s="131">
        <f t="shared" ca="1" si="14"/>
        <v>0</v>
      </c>
      <c r="AC102" s="131">
        <f t="shared" ca="1" si="15"/>
        <v>0</v>
      </c>
      <c r="AD102" s="131">
        <f t="shared" ca="1" si="16"/>
        <v>0</v>
      </c>
      <c r="AE102" s="140">
        <f t="shared" ca="1" si="17"/>
        <v>0</v>
      </c>
      <c r="AF102" s="140">
        <f t="shared" ca="1" si="18"/>
        <v>0</v>
      </c>
      <c r="AG102" s="140">
        <f t="shared" ca="1" si="19"/>
        <v>0</v>
      </c>
      <c r="AH102" s="131">
        <f t="shared" ca="1" si="20"/>
        <v>0</v>
      </c>
      <c r="AI102" s="131">
        <f t="shared" ca="1" si="21"/>
        <v>0</v>
      </c>
      <c r="AJ102" s="131">
        <f t="shared" ca="1" si="22"/>
        <v>0</v>
      </c>
      <c r="AK102" s="140">
        <f t="shared" ca="1" si="23"/>
        <v>0</v>
      </c>
      <c r="AL102" s="140">
        <f t="shared" ca="1" si="24"/>
        <v>0</v>
      </c>
      <c r="AM102" s="131">
        <v>0</v>
      </c>
      <c r="AN102" s="140">
        <f t="shared" ca="1" si="25"/>
        <v>0</v>
      </c>
      <c r="AO102" s="140">
        <v>0</v>
      </c>
      <c r="AP102" s="140">
        <f t="shared" ca="1" si="26"/>
        <v>0</v>
      </c>
      <c r="AQ102" s="140">
        <f t="shared" ca="1" si="27"/>
        <v>0</v>
      </c>
      <c r="AR102" s="131">
        <v>0</v>
      </c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AB103" s="131">
        <f t="shared" ca="1" si="14"/>
        <v>0</v>
      </c>
      <c r="AC103" s="131">
        <f t="shared" ca="1" si="15"/>
        <v>0</v>
      </c>
      <c r="AD103" s="131">
        <f t="shared" ca="1" si="16"/>
        <v>0</v>
      </c>
      <c r="AE103" s="140">
        <f t="shared" ca="1" si="17"/>
        <v>0</v>
      </c>
      <c r="AF103" s="140">
        <f t="shared" ca="1" si="18"/>
        <v>0</v>
      </c>
      <c r="AG103" s="140">
        <f t="shared" ca="1" si="19"/>
        <v>0</v>
      </c>
      <c r="AH103" s="131">
        <f t="shared" ca="1" si="20"/>
        <v>0</v>
      </c>
      <c r="AI103" s="131">
        <f t="shared" ca="1" si="21"/>
        <v>0</v>
      </c>
      <c r="AJ103" s="131">
        <f t="shared" ca="1" si="22"/>
        <v>0</v>
      </c>
      <c r="AK103" s="140">
        <f t="shared" ca="1" si="23"/>
        <v>0</v>
      </c>
      <c r="AL103" s="140">
        <f t="shared" ca="1" si="24"/>
        <v>0</v>
      </c>
      <c r="AM103" s="131">
        <v>0</v>
      </c>
      <c r="AN103" s="140">
        <f t="shared" ca="1" si="25"/>
        <v>0</v>
      </c>
      <c r="AO103" s="140">
        <v>0</v>
      </c>
      <c r="AP103" s="140">
        <f t="shared" ca="1" si="26"/>
        <v>0</v>
      </c>
      <c r="AQ103" s="140">
        <f t="shared" ca="1" si="27"/>
        <v>0</v>
      </c>
      <c r="AR103" s="131">
        <v>0</v>
      </c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AB104" s="131">
        <f t="shared" ca="1" si="14"/>
        <v>0</v>
      </c>
      <c r="AC104" s="131">
        <f t="shared" ca="1" si="15"/>
        <v>0</v>
      </c>
      <c r="AD104" s="131">
        <f t="shared" ca="1" si="16"/>
        <v>0</v>
      </c>
      <c r="AE104" s="140">
        <f t="shared" ca="1" si="17"/>
        <v>0</v>
      </c>
      <c r="AF104" s="140">
        <f t="shared" ca="1" si="18"/>
        <v>0</v>
      </c>
      <c r="AG104" s="140">
        <f t="shared" ca="1" si="19"/>
        <v>0</v>
      </c>
      <c r="AH104" s="131">
        <f t="shared" ca="1" si="20"/>
        <v>0</v>
      </c>
      <c r="AI104" s="131">
        <f t="shared" ca="1" si="21"/>
        <v>0</v>
      </c>
      <c r="AJ104" s="131">
        <f t="shared" ca="1" si="22"/>
        <v>0</v>
      </c>
      <c r="AK104" s="140">
        <f t="shared" ca="1" si="23"/>
        <v>0</v>
      </c>
      <c r="AL104" s="140">
        <f t="shared" ca="1" si="24"/>
        <v>0</v>
      </c>
      <c r="AM104" s="131">
        <v>0</v>
      </c>
      <c r="AN104" s="140">
        <f t="shared" ca="1" si="25"/>
        <v>0</v>
      </c>
      <c r="AO104" s="140">
        <v>0</v>
      </c>
      <c r="AP104" s="140">
        <f t="shared" ca="1" si="26"/>
        <v>0</v>
      </c>
      <c r="AQ104" s="140">
        <f t="shared" ca="1" si="27"/>
        <v>0</v>
      </c>
      <c r="AR104" s="131">
        <v>0</v>
      </c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AB105" s="131">
        <f t="shared" ca="1" si="14"/>
        <v>0</v>
      </c>
      <c r="AC105" s="131">
        <f t="shared" ca="1" si="15"/>
        <v>0</v>
      </c>
      <c r="AD105" s="131">
        <f t="shared" ca="1" si="16"/>
        <v>0</v>
      </c>
      <c r="AE105" s="140">
        <f t="shared" ca="1" si="17"/>
        <v>0</v>
      </c>
      <c r="AF105" s="140">
        <f t="shared" ca="1" si="18"/>
        <v>0</v>
      </c>
      <c r="AG105" s="140">
        <f t="shared" ca="1" si="19"/>
        <v>0</v>
      </c>
      <c r="AH105" s="131">
        <f t="shared" ca="1" si="20"/>
        <v>0</v>
      </c>
      <c r="AI105" s="131">
        <f t="shared" ca="1" si="21"/>
        <v>0</v>
      </c>
      <c r="AJ105" s="131">
        <f t="shared" ca="1" si="22"/>
        <v>0</v>
      </c>
      <c r="AK105" s="140">
        <f t="shared" ca="1" si="23"/>
        <v>0</v>
      </c>
      <c r="AL105" s="140">
        <f t="shared" ca="1" si="24"/>
        <v>0</v>
      </c>
      <c r="AM105" s="131">
        <v>0</v>
      </c>
      <c r="AN105" s="140">
        <f t="shared" ca="1" si="25"/>
        <v>0</v>
      </c>
      <c r="AO105" s="140">
        <v>0</v>
      </c>
      <c r="AP105" s="140">
        <f t="shared" ca="1" si="26"/>
        <v>0</v>
      </c>
      <c r="AQ105" s="140">
        <f t="shared" ca="1" si="27"/>
        <v>0</v>
      </c>
      <c r="AR105" s="131">
        <v>0</v>
      </c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AB106" s="131">
        <f t="shared" ca="1" si="14"/>
        <v>0</v>
      </c>
      <c r="AC106" s="131">
        <f t="shared" ca="1" si="15"/>
        <v>0</v>
      </c>
      <c r="AD106" s="131">
        <f t="shared" ca="1" si="16"/>
        <v>0</v>
      </c>
      <c r="AE106" s="140">
        <f t="shared" ca="1" si="17"/>
        <v>0</v>
      </c>
      <c r="AF106" s="140">
        <f t="shared" ca="1" si="18"/>
        <v>0</v>
      </c>
      <c r="AG106" s="140">
        <f t="shared" ca="1" si="19"/>
        <v>0</v>
      </c>
      <c r="AH106" s="131">
        <f t="shared" ca="1" si="20"/>
        <v>0</v>
      </c>
      <c r="AI106" s="131">
        <f t="shared" ca="1" si="21"/>
        <v>0</v>
      </c>
      <c r="AJ106" s="131">
        <f t="shared" ca="1" si="22"/>
        <v>0</v>
      </c>
      <c r="AK106" s="140">
        <f t="shared" ca="1" si="23"/>
        <v>0</v>
      </c>
      <c r="AL106" s="140">
        <f t="shared" ca="1" si="24"/>
        <v>0</v>
      </c>
      <c r="AM106" s="131">
        <v>0</v>
      </c>
      <c r="AN106" s="140">
        <f t="shared" ca="1" si="25"/>
        <v>0</v>
      </c>
      <c r="AO106" s="140">
        <v>0</v>
      </c>
      <c r="AP106" s="140">
        <f t="shared" ca="1" si="26"/>
        <v>0</v>
      </c>
      <c r="AQ106" s="140">
        <f t="shared" ca="1" si="27"/>
        <v>0</v>
      </c>
      <c r="AR106" s="131">
        <v>0</v>
      </c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AB107" s="131">
        <f t="shared" ca="1" si="14"/>
        <v>0</v>
      </c>
      <c r="AC107" s="131">
        <f t="shared" ca="1" si="15"/>
        <v>0</v>
      </c>
      <c r="AD107" s="131">
        <f t="shared" ca="1" si="16"/>
        <v>0</v>
      </c>
      <c r="AE107" s="140">
        <f t="shared" ca="1" si="17"/>
        <v>0</v>
      </c>
      <c r="AF107" s="140">
        <f t="shared" ca="1" si="18"/>
        <v>0</v>
      </c>
      <c r="AG107" s="140">
        <f t="shared" ca="1" si="19"/>
        <v>0</v>
      </c>
      <c r="AH107" s="131">
        <f t="shared" ca="1" si="20"/>
        <v>0</v>
      </c>
      <c r="AI107" s="131">
        <f t="shared" ca="1" si="21"/>
        <v>0</v>
      </c>
      <c r="AJ107" s="131">
        <f t="shared" ca="1" si="22"/>
        <v>0</v>
      </c>
      <c r="AK107" s="140">
        <f t="shared" ca="1" si="23"/>
        <v>0</v>
      </c>
      <c r="AL107" s="140">
        <f t="shared" ca="1" si="24"/>
        <v>0</v>
      </c>
      <c r="AM107" s="131">
        <v>0</v>
      </c>
      <c r="AN107" s="140">
        <f t="shared" ca="1" si="25"/>
        <v>0</v>
      </c>
      <c r="AO107" s="140">
        <v>0</v>
      </c>
      <c r="AP107" s="140">
        <f t="shared" ca="1" si="26"/>
        <v>0</v>
      </c>
      <c r="AQ107" s="140">
        <f t="shared" ca="1" si="27"/>
        <v>0</v>
      </c>
      <c r="AR107" s="131">
        <v>0</v>
      </c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AB108" s="131">
        <f t="shared" ca="1" si="14"/>
        <v>0</v>
      </c>
      <c r="AC108" s="131">
        <f t="shared" ca="1" si="15"/>
        <v>0</v>
      </c>
      <c r="AD108" s="131">
        <f t="shared" ca="1" si="16"/>
        <v>0</v>
      </c>
      <c r="AE108" s="140">
        <f t="shared" ca="1" si="17"/>
        <v>0</v>
      </c>
      <c r="AF108" s="140">
        <f t="shared" ca="1" si="18"/>
        <v>0</v>
      </c>
      <c r="AG108" s="140">
        <f t="shared" ca="1" si="19"/>
        <v>0</v>
      </c>
      <c r="AH108" s="131">
        <f t="shared" ca="1" si="20"/>
        <v>0</v>
      </c>
      <c r="AI108" s="131">
        <f t="shared" ca="1" si="21"/>
        <v>0</v>
      </c>
      <c r="AJ108" s="131">
        <f t="shared" ca="1" si="22"/>
        <v>0</v>
      </c>
      <c r="AK108" s="140">
        <f t="shared" ca="1" si="23"/>
        <v>0</v>
      </c>
      <c r="AL108" s="140">
        <f t="shared" ca="1" si="24"/>
        <v>0</v>
      </c>
      <c r="AM108" s="131">
        <v>0</v>
      </c>
      <c r="AN108" s="140">
        <f t="shared" ca="1" si="25"/>
        <v>0</v>
      </c>
      <c r="AO108" s="140">
        <v>0</v>
      </c>
      <c r="AP108" s="140">
        <f t="shared" ca="1" si="26"/>
        <v>0</v>
      </c>
      <c r="AQ108" s="140">
        <f t="shared" ca="1" si="27"/>
        <v>0</v>
      </c>
      <c r="AR108" s="131">
        <v>0</v>
      </c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AB109" s="131">
        <f t="shared" ca="1" si="14"/>
        <v>0</v>
      </c>
      <c r="AC109" s="131">
        <f t="shared" ca="1" si="15"/>
        <v>0</v>
      </c>
      <c r="AD109" s="131">
        <f t="shared" ca="1" si="16"/>
        <v>0</v>
      </c>
      <c r="AE109" s="140">
        <f t="shared" ca="1" si="17"/>
        <v>0</v>
      </c>
      <c r="AF109" s="140">
        <f t="shared" ca="1" si="18"/>
        <v>0</v>
      </c>
      <c r="AG109" s="140">
        <f t="shared" ca="1" si="19"/>
        <v>0</v>
      </c>
      <c r="AH109" s="131">
        <f t="shared" ca="1" si="20"/>
        <v>0</v>
      </c>
      <c r="AI109" s="131">
        <f t="shared" ca="1" si="21"/>
        <v>0</v>
      </c>
      <c r="AJ109" s="131">
        <f t="shared" ca="1" si="22"/>
        <v>0</v>
      </c>
      <c r="AK109" s="140">
        <f t="shared" ca="1" si="23"/>
        <v>0</v>
      </c>
      <c r="AL109" s="140">
        <f t="shared" ca="1" si="24"/>
        <v>0</v>
      </c>
      <c r="AM109" s="131">
        <v>0</v>
      </c>
      <c r="AN109" s="140">
        <f t="shared" ca="1" si="25"/>
        <v>0</v>
      </c>
      <c r="AO109" s="140">
        <v>0</v>
      </c>
      <c r="AP109" s="140">
        <f t="shared" ca="1" si="26"/>
        <v>0</v>
      </c>
      <c r="AQ109" s="140">
        <f t="shared" ca="1" si="27"/>
        <v>0</v>
      </c>
      <c r="AR109" s="131">
        <v>0</v>
      </c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AB110" s="131">
        <f t="shared" ca="1" si="14"/>
        <v>0</v>
      </c>
      <c r="AC110" s="131">
        <f t="shared" ca="1" si="15"/>
        <v>0</v>
      </c>
      <c r="AD110" s="131">
        <f t="shared" ca="1" si="16"/>
        <v>0</v>
      </c>
      <c r="AE110" s="140">
        <f t="shared" ca="1" si="17"/>
        <v>0</v>
      </c>
      <c r="AF110" s="140">
        <f t="shared" ca="1" si="18"/>
        <v>0</v>
      </c>
      <c r="AG110" s="140">
        <f t="shared" ca="1" si="19"/>
        <v>0</v>
      </c>
      <c r="AH110" s="131">
        <f t="shared" ca="1" si="20"/>
        <v>0</v>
      </c>
      <c r="AI110" s="131">
        <f t="shared" ca="1" si="21"/>
        <v>0</v>
      </c>
      <c r="AJ110" s="131">
        <f t="shared" ca="1" si="22"/>
        <v>0</v>
      </c>
      <c r="AK110" s="140">
        <f t="shared" ca="1" si="23"/>
        <v>0</v>
      </c>
      <c r="AL110" s="140">
        <f t="shared" ca="1" si="24"/>
        <v>0</v>
      </c>
      <c r="AM110" s="131">
        <v>0</v>
      </c>
      <c r="AN110" s="140">
        <f t="shared" ca="1" si="25"/>
        <v>0</v>
      </c>
      <c r="AO110" s="140">
        <v>0</v>
      </c>
      <c r="AP110" s="140">
        <f t="shared" ca="1" si="26"/>
        <v>0</v>
      </c>
      <c r="AQ110" s="140">
        <f t="shared" ca="1" si="27"/>
        <v>0</v>
      </c>
      <c r="AR110" s="131">
        <v>0</v>
      </c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AB111" s="131">
        <f t="shared" ca="1" si="14"/>
        <v>0</v>
      </c>
      <c r="AC111" s="131">
        <f t="shared" ca="1" si="15"/>
        <v>0</v>
      </c>
      <c r="AD111" s="131">
        <f t="shared" ca="1" si="16"/>
        <v>0</v>
      </c>
      <c r="AE111" s="140">
        <f t="shared" ca="1" si="17"/>
        <v>0</v>
      </c>
      <c r="AF111" s="140">
        <f t="shared" ca="1" si="18"/>
        <v>0</v>
      </c>
      <c r="AG111" s="140">
        <f t="shared" ca="1" si="19"/>
        <v>0</v>
      </c>
      <c r="AH111" s="131">
        <f t="shared" ca="1" si="20"/>
        <v>0</v>
      </c>
      <c r="AI111" s="131">
        <f t="shared" ca="1" si="21"/>
        <v>0</v>
      </c>
      <c r="AJ111" s="131">
        <f t="shared" ca="1" si="22"/>
        <v>0</v>
      </c>
      <c r="AK111" s="140">
        <f t="shared" ca="1" si="23"/>
        <v>0</v>
      </c>
      <c r="AL111" s="140">
        <f t="shared" ca="1" si="24"/>
        <v>0</v>
      </c>
      <c r="AM111" s="131">
        <v>0</v>
      </c>
      <c r="AN111" s="140">
        <f t="shared" ca="1" si="25"/>
        <v>0</v>
      </c>
      <c r="AO111" s="140">
        <v>0</v>
      </c>
      <c r="AP111" s="140">
        <f t="shared" ca="1" si="26"/>
        <v>0</v>
      </c>
      <c r="AQ111" s="140">
        <f t="shared" ca="1" si="27"/>
        <v>0</v>
      </c>
      <c r="AR111" s="131">
        <v>0</v>
      </c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AB112" s="131">
        <f t="shared" ca="1" si="14"/>
        <v>0</v>
      </c>
      <c r="AC112" s="131">
        <f t="shared" ca="1" si="15"/>
        <v>0</v>
      </c>
      <c r="AD112" s="131">
        <f t="shared" ca="1" si="16"/>
        <v>0</v>
      </c>
      <c r="AE112" s="140">
        <f t="shared" ca="1" si="17"/>
        <v>0</v>
      </c>
      <c r="AF112" s="140">
        <f t="shared" ca="1" si="18"/>
        <v>0</v>
      </c>
      <c r="AG112" s="140">
        <f t="shared" ca="1" si="19"/>
        <v>0</v>
      </c>
      <c r="AH112" s="131">
        <f t="shared" ca="1" si="20"/>
        <v>0</v>
      </c>
      <c r="AI112" s="131">
        <f t="shared" ca="1" si="21"/>
        <v>0</v>
      </c>
      <c r="AJ112" s="131">
        <f t="shared" ca="1" si="22"/>
        <v>0</v>
      </c>
      <c r="AK112" s="140">
        <f t="shared" ca="1" si="23"/>
        <v>0</v>
      </c>
      <c r="AL112" s="140">
        <f t="shared" ca="1" si="24"/>
        <v>0</v>
      </c>
      <c r="AM112" s="131">
        <v>0</v>
      </c>
      <c r="AN112" s="140">
        <f t="shared" ca="1" si="25"/>
        <v>0</v>
      </c>
      <c r="AO112" s="140">
        <v>0</v>
      </c>
      <c r="AP112" s="140">
        <f t="shared" ca="1" si="26"/>
        <v>0</v>
      </c>
      <c r="AQ112" s="140">
        <f t="shared" ca="1" si="27"/>
        <v>0</v>
      </c>
      <c r="AR112" s="131">
        <v>0</v>
      </c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AB113" s="131">
        <f t="shared" ca="1" si="14"/>
        <v>0</v>
      </c>
      <c r="AC113" s="131">
        <f t="shared" ca="1" si="15"/>
        <v>0</v>
      </c>
      <c r="AD113" s="131">
        <f t="shared" ca="1" si="16"/>
        <v>0</v>
      </c>
      <c r="AE113" s="140">
        <f t="shared" ca="1" si="17"/>
        <v>0</v>
      </c>
      <c r="AF113" s="140">
        <f t="shared" ca="1" si="18"/>
        <v>0</v>
      </c>
      <c r="AG113" s="140">
        <f t="shared" ca="1" si="19"/>
        <v>0</v>
      </c>
      <c r="AH113" s="131">
        <f t="shared" ca="1" si="20"/>
        <v>0</v>
      </c>
      <c r="AI113" s="131">
        <f t="shared" ca="1" si="21"/>
        <v>0</v>
      </c>
      <c r="AJ113" s="131">
        <f t="shared" ca="1" si="22"/>
        <v>0</v>
      </c>
      <c r="AK113" s="140">
        <f t="shared" ca="1" si="23"/>
        <v>0</v>
      </c>
      <c r="AL113" s="140">
        <f t="shared" ca="1" si="24"/>
        <v>0</v>
      </c>
      <c r="AM113" s="131">
        <v>0</v>
      </c>
      <c r="AN113" s="140">
        <f t="shared" ca="1" si="25"/>
        <v>0</v>
      </c>
      <c r="AO113" s="140">
        <v>0</v>
      </c>
      <c r="AP113" s="140">
        <f t="shared" ca="1" si="26"/>
        <v>0</v>
      </c>
      <c r="AQ113" s="140">
        <f t="shared" ca="1" si="27"/>
        <v>0</v>
      </c>
      <c r="AR113" s="131">
        <v>0</v>
      </c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AB114" s="131">
        <f t="shared" ca="1" si="14"/>
        <v>0</v>
      </c>
      <c r="AC114" s="131">
        <f t="shared" ca="1" si="15"/>
        <v>0</v>
      </c>
      <c r="AD114" s="131">
        <f t="shared" ca="1" si="16"/>
        <v>0</v>
      </c>
      <c r="AE114" s="140">
        <f t="shared" ca="1" si="17"/>
        <v>0</v>
      </c>
      <c r="AF114" s="140">
        <f t="shared" ca="1" si="18"/>
        <v>0</v>
      </c>
      <c r="AG114" s="140">
        <f t="shared" ca="1" si="19"/>
        <v>0</v>
      </c>
      <c r="AH114" s="131">
        <f t="shared" ca="1" si="20"/>
        <v>0</v>
      </c>
      <c r="AI114" s="131">
        <f t="shared" ca="1" si="21"/>
        <v>0</v>
      </c>
      <c r="AJ114" s="131">
        <f t="shared" ca="1" si="22"/>
        <v>0</v>
      </c>
      <c r="AK114" s="140">
        <f t="shared" ca="1" si="23"/>
        <v>0</v>
      </c>
      <c r="AL114" s="140">
        <f t="shared" ca="1" si="24"/>
        <v>0</v>
      </c>
      <c r="AM114" s="131">
        <v>0</v>
      </c>
      <c r="AN114" s="140">
        <f t="shared" ca="1" si="25"/>
        <v>0</v>
      </c>
      <c r="AO114" s="140">
        <v>0</v>
      </c>
      <c r="AP114" s="140">
        <f t="shared" ca="1" si="26"/>
        <v>0</v>
      </c>
      <c r="AQ114" s="140">
        <f t="shared" ca="1" si="27"/>
        <v>0</v>
      </c>
      <c r="AR114" s="131">
        <v>0</v>
      </c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AB115" s="131">
        <f t="shared" ca="1" si="14"/>
        <v>0</v>
      </c>
      <c r="AC115" s="131">
        <f t="shared" ca="1" si="15"/>
        <v>0</v>
      </c>
      <c r="AD115" s="131">
        <f t="shared" ca="1" si="16"/>
        <v>0</v>
      </c>
      <c r="AE115" s="140">
        <f t="shared" ca="1" si="17"/>
        <v>0</v>
      </c>
      <c r="AF115" s="140">
        <f t="shared" ca="1" si="18"/>
        <v>0</v>
      </c>
      <c r="AG115" s="140">
        <f t="shared" ca="1" si="19"/>
        <v>0</v>
      </c>
      <c r="AH115" s="131">
        <f t="shared" ca="1" si="20"/>
        <v>0</v>
      </c>
      <c r="AI115" s="131">
        <f t="shared" ca="1" si="21"/>
        <v>0</v>
      </c>
      <c r="AJ115" s="131">
        <f t="shared" ca="1" si="22"/>
        <v>0</v>
      </c>
      <c r="AK115" s="140">
        <f t="shared" ca="1" si="23"/>
        <v>0</v>
      </c>
      <c r="AL115" s="140">
        <f t="shared" ca="1" si="24"/>
        <v>0</v>
      </c>
      <c r="AM115" s="131">
        <v>0</v>
      </c>
      <c r="AN115" s="140">
        <f t="shared" ca="1" si="25"/>
        <v>0</v>
      </c>
      <c r="AO115" s="140">
        <v>0</v>
      </c>
      <c r="AP115" s="140">
        <f t="shared" ca="1" si="26"/>
        <v>0</v>
      </c>
      <c r="AQ115" s="140">
        <f t="shared" ca="1" si="27"/>
        <v>0</v>
      </c>
      <c r="AR115" s="131">
        <v>0</v>
      </c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AB116" s="131">
        <f t="shared" ca="1" si="14"/>
        <v>0</v>
      </c>
      <c r="AC116" s="131">
        <f t="shared" ca="1" si="15"/>
        <v>0</v>
      </c>
      <c r="AD116" s="131">
        <f t="shared" ca="1" si="16"/>
        <v>0</v>
      </c>
      <c r="AE116" s="140">
        <f t="shared" ca="1" si="17"/>
        <v>0</v>
      </c>
      <c r="AF116" s="140">
        <f t="shared" ca="1" si="18"/>
        <v>0</v>
      </c>
      <c r="AG116" s="140">
        <f t="shared" ca="1" si="19"/>
        <v>0</v>
      </c>
      <c r="AH116" s="131">
        <f t="shared" ca="1" si="20"/>
        <v>0</v>
      </c>
      <c r="AI116" s="131">
        <f t="shared" ca="1" si="21"/>
        <v>0</v>
      </c>
      <c r="AJ116" s="131">
        <f t="shared" ca="1" si="22"/>
        <v>0</v>
      </c>
      <c r="AK116" s="140">
        <f t="shared" ca="1" si="23"/>
        <v>0</v>
      </c>
      <c r="AL116" s="140">
        <f t="shared" ca="1" si="24"/>
        <v>0</v>
      </c>
      <c r="AM116" s="131">
        <v>0</v>
      </c>
      <c r="AN116" s="140">
        <f t="shared" ca="1" si="25"/>
        <v>0</v>
      </c>
      <c r="AO116" s="140">
        <v>0</v>
      </c>
      <c r="AP116" s="140">
        <f t="shared" ca="1" si="26"/>
        <v>0</v>
      </c>
      <c r="AQ116" s="140">
        <f t="shared" ca="1" si="27"/>
        <v>0</v>
      </c>
      <c r="AR116" s="131">
        <v>0</v>
      </c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AB117" s="131">
        <f t="shared" ca="1" si="14"/>
        <v>0</v>
      </c>
      <c r="AC117" s="131">
        <f t="shared" ca="1" si="15"/>
        <v>0</v>
      </c>
      <c r="AD117" s="131">
        <f t="shared" ca="1" si="16"/>
        <v>0</v>
      </c>
      <c r="AE117" s="140">
        <f t="shared" ca="1" si="17"/>
        <v>0</v>
      </c>
      <c r="AF117" s="140">
        <f t="shared" ca="1" si="18"/>
        <v>0</v>
      </c>
      <c r="AG117" s="140">
        <f t="shared" ca="1" si="19"/>
        <v>0</v>
      </c>
      <c r="AH117" s="131">
        <f t="shared" ca="1" si="20"/>
        <v>0</v>
      </c>
      <c r="AI117" s="131">
        <f t="shared" ca="1" si="21"/>
        <v>0</v>
      </c>
      <c r="AJ117" s="131">
        <f t="shared" ca="1" si="22"/>
        <v>0</v>
      </c>
      <c r="AK117" s="140">
        <f t="shared" ca="1" si="23"/>
        <v>0</v>
      </c>
      <c r="AL117" s="140">
        <f t="shared" ca="1" si="24"/>
        <v>0</v>
      </c>
      <c r="AM117" s="131">
        <v>0</v>
      </c>
      <c r="AN117" s="140">
        <f t="shared" ca="1" si="25"/>
        <v>0</v>
      </c>
      <c r="AO117" s="140">
        <v>0</v>
      </c>
      <c r="AP117" s="140">
        <f t="shared" ca="1" si="26"/>
        <v>0</v>
      </c>
      <c r="AQ117" s="140">
        <f t="shared" ca="1" si="27"/>
        <v>0</v>
      </c>
      <c r="AR117" s="131">
        <v>0</v>
      </c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AB118" s="131">
        <f t="shared" ca="1" si="14"/>
        <v>0</v>
      </c>
      <c r="AC118" s="131">
        <f t="shared" ca="1" si="15"/>
        <v>0</v>
      </c>
      <c r="AD118" s="131">
        <f t="shared" ca="1" si="16"/>
        <v>0</v>
      </c>
      <c r="AE118" s="140">
        <f t="shared" ca="1" si="17"/>
        <v>0</v>
      </c>
      <c r="AF118" s="140">
        <f t="shared" ca="1" si="18"/>
        <v>0</v>
      </c>
      <c r="AG118" s="140">
        <f t="shared" ca="1" si="19"/>
        <v>0</v>
      </c>
      <c r="AH118" s="131">
        <f t="shared" ca="1" si="20"/>
        <v>0</v>
      </c>
      <c r="AI118" s="131">
        <f t="shared" ca="1" si="21"/>
        <v>0</v>
      </c>
      <c r="AJ118" s="131">
        <f t="shared" ca="1" si="22"/>
        <v>0</v>
      </c>
      <c r="AK118" s="140">
        <f t="shared" ca="1" si="23"/>
        <v>0</v>
      </c>
      <c r="AL118" s="140">
        <f t="shared" ca="1" si="24"/>
        <v>0</v>
      </c>
      <c r="AM118" s="131">
        <v>0</v>
      </c>
      <c r="AN118" s="140">
        <f t="shared" ca="1" si="25"/>
        <v>0</v>
      </c>
      <c r="AO118" s="140">
        <v>0</v>
      </c>
      <c r="AP118" s="140">
        <f t="shared" ca="1" si="26"/>
        <v>0</v>
      </c>
      <c r="AQ118" s="140">
        <f t="shared" ca="1" si="27"/>
        <v>0</v>
      </c>
      <c r="AR118" s="131">
        <v>0</v>
      </c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AB119" s="131">
        <f t="shared" ca="1" si="14"/>
        <v>0</v>
      </c>
      <c r="AC119" s="131">
        <f t="shared" ca="1" si="15"/>
        <v>0</v>
      </c>
      <c r="AD119" s="131">
        <f t="shared" ca="1" si="16"/>
        <v>0</v>
      </c>
      <c r="AE119" s="140">
        <f t="shared" ca="1" si="17"/>
        <v>0</v>
      </c>
      <c r="AF119" s="140">
        <f t="shared" ca="1" si="18"/>
        <v>0</v>
      </c>
      <c r="AG119" s="140">
        <f t="shared" ca="1" si="19"/>
        <v>0</v>
      </c>
      <c r="AH119" s="131">
        <f t="shared" ca="1" si="20"/>
        <v>0</v>
      </c>
      <c r="AI119" s="131">
        <f t="shared" ca="1" si="21"/>
        <v>0</v>
      </c>
      <c r="AJ119" s="131">
        <f t="shared" ca="1" si="22"/>
        <v>0</v>
      </c>
      <c r="AK119" s="140">
        <f t="shared" ca="1" si="23"/>
        <v>0</v>
      </c>
      <c r="AL119" s="140">
        <f t="shared" ca="1" si="24"/>
        <v>0</v>
      </c>
      <c r="AM119" s="131">
        <v>0</v>
      </c>
      <c r="AN119" s="140">
        <f t="shared" ca="1" si="25"/>
        <v>0</v>
      </c>
      <c r="AO119" s="140">
        <v>0</v>
      </c>
      <c r="AP119" s="140">
        <f t="shared" ca="1" si="26"/>
        <v>0</v>
      </c>
      <c r="AQ119" s="140">
        <f t="shared" ca="1" si="27"/>
        <v>0</v>
      </c>
      <c r="AR119" s="131">
        <v>0</v>
      </c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AB120" s="131">
        <f t="shared" ca="1" si="14"/>
        <v>0</v>
      </c>
      <c r="AC120" s="131">
        <f t="shared" ca="1" si="15"/>
        <v>0</v>
      </c>
      <c r="AD120" s="131">
        <f t="shared" ca="1" si="16"/>
        <v>0</v>
      </c>
      <c r="AE120" s="140">
        <f t="shared" ca="1" si="17"/>
        <v>0</v>
      </c>
      <c r="AF120" s="140">
        <f t="shared" ca="1" si="18"/>
        <v>0</v>
      </c>
      <c r="AG120" s="140">
        <f t="shared" ca="1" si="19"/>
        <v>0</v>
      </c>
      <c r="AH120" s="131">
        <f t="shared" ca="1" si="20"/>
        <v>0</v>
      </c>
      <c r="AI120" s="131">
        <f t="shared" ca="1" si="21"/>
        <v>0</v>
      </c>
      <c r="AJ120" s="131">
        <f t="shared" ca="1" si="22"/>
        <v>0</v>
      </c>
      <c r="AK120" s="140">
        <f t="shared" ca="1" si="23"/>
        <v>0</v>
      </c>
      <c r="AL120" s="140">
        <f t="shared" ca="1" si="24"/>
        <v>0</v>
      </c>
      <c r="AM120" s="131">
        <v>0</v>
      </c>
      <c r="AN120" s="140">
        <f t="shared" ca="1" si="25"/>
        <v>0</v>
      </c>
      <c r="AO120" s="140">
        <v>0</v>
      </c>
      <c r="AP120" s="140">
        <f t="shared" ca="1" si="26"/>
        <v>0</v>
      </c>
      <c r="AQ120" s="140">
        <f t="shared" ca="1" si="27"/>
        <v>0</v>
      </c>
      <c r="AR120" s="131">
        <v>0</v>
      </c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AB121" s="131">
        <f t="shared" ca="1" si="14"/>
        <v>0</v>
      </c>
      <c r="AC121" s="131">
        <f t="shared" ca="1" si="15"/>
        <v>0</v>
      </c>
      <c r="AD121" s="131">
        <f t="shared" ca="1" si="16"/>
        <v>0</v>
      </c>
      <c r="AE121" s="140">
        <f t="shared" ca="1" si="17"/>
        <v>0</v>
      </c>
      <c r="AF121" s="140">
        <f t="shared" ca="1" si="18"/>
        <v>0</v>
      </c>
      <c r="AG121" s="140">
        <f t="shared" ca="1" si="19"/>
        <v>0</v>
      </c>
      <c r="AH121" s="131">
        <f t="shared" ca="1" si="20"/>
        <v>0</v>
      </c>
      <c r="AI121" s="131">
        <f t="shared" ca="1" si="21"/>
        <v>0</v>
      </c>
      <c r="AJ121" s="131">
        <f t="shared" ca="1" si="22"/>
        <v>0</v>
      </c>
      <c r="AK121" s="140">
        <f t="shared" ca="1" si="23"/>
        <v>0</v>
      </c>
      <c r="AL121" s="140">
        <f t="shared" ca="1" si="24"/>
        <v>0</v>
      </c>
      <c r="AM121" s="131">
        <v>0</v>
      </c>
      <c r="AN121" s="140">
        <f t="shared" ca="1" si="25"/>
        <v>0</v>
      </c>
      <c r="AO121" s="140">
        <v>0</v>
      </c>
      <c r="AP121" s="140">
        <f t="shared" ca="1" si="26"/>
        <v>0</v>
      </c>
      <c r="AQ121" s="140">
        <f t="shared" ca="1" si="27"/>
        <v>0</v>
      </c>
      <c r="AR121" s="131">
        <v>0</v>
      </c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AB122" s="131">
        <f t="shared" ca="1" si="14"/>
        <v>0</v>
      </c>
      <c r="AC122" s="131">
        <f t="shared" ca="1" si="15"/>
        <v>0</v>
      </c>
      <c r="AD122" s="131">
        <f t="shared" ca="1" si="16"/>
        <v>0</v>
      </c>
      <c r="AE122" s="140">
        <f t="shared" ca="1" si="17"/>
        <v>0</v>
      </c>
      <c r="AF122" s="140">
        <f t="shared" ca="1" si="18"/>
        <v>0</v>
      </c>
      <c r="AG122" s="140">
        <f t="shared" ca="1" si="19"/>
        <v>0</v>
      </c>
      <c r="AH122" s="131">
        <f t="shared" ca="1" si="20"/>
        <v>0</v>
      </c>
      <c r="AI122" s="131">
        <f t="shared" ca="1" si="21"/>
        <v>0</v>
      </c>
      <c r="AJ122" s="131">
        <f t="shared" ca="1" si="22"/>
        <v>0</v>
      </c>
      <c r="AK122" s="140">
        <f t="shared" ca="1" si="23"/>
        <v>0</v>
      </c>
      <c r="AL122" s="140">
        <f t="shared" ca="1" si="24"/>
        <v>0</v>
      </c>
      <c r="AM122" s="131">
        <v>0</v>
      </c>
      <c r="AN122" s="140">
        <f t="shared" ca="1" si="25"/>
        <v>0</v>
      </c>
      <c r="AO122" s="140">
        <v>0</v>
      </c>
      <c r="AP122" s="140">
        <f t="shared" ca="1" si="26"/>
        <v>0</v>
      </c>
      <c r="AQ122" s="140">
        <f t="shared" ca="1" si="27"/>
        <v>0</v>
      </c>
      <c r="AR122" s="131">
        <v>0</v>
      </c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AB123" s="131">
        <f t="shared" ca="1" si="14"/>
        <v>0</v>
      </c>
      <c r="AC123" s="131">
        <f t="shared" ca="1" si="15"/>
        <v>0</v>
      </c>
      <c r="AD123" s="131">
        <f t="shared" ca="1" si="16"/>
        <v>0</v>
      </c>
      <c r="AE123" s="140">
        <f t="shared" ca="1" si="17"/>
        <v>0</v>
      </c>
      <c r="AF123" s="140">
        <f t="shared" ca="1" si="18"/>
        <v>0</v>
      </c>
      <c r="AG123" s="140">
        <f t="shared" ca="1" si="19"/>
        <v>0</v>
      </c>
      <c r="AH123" s="131">
        <f t="shared" ca="1" si="20"/>
        <v>0</v>
      </c>
      <c r="AI123" s="131">
        <f t="shared" ca="1" si="21"/>
        <v>0</v>
      </c>
      <c r="AJ123" s="131">
        <f t="shared" ca="1" si="22"/>
        <v>0</v>
      </c>
      <c r="AK123" s="140">
        <f t="shared" ca="1" si="23"/>
        <v>0</v>
      </c>
      <c r="AL123" s="140">
        <f t="shared" ca="1" si="24"/>
        <v>0</v>
      </c>
      <c r="AM123" s="131">
        <v>0</v>
      </c>
      <c r="AN123" s="140">
        <f t="shared" ca="1" si="25"/>
        <v>0</v>
      </c>
      <c r="AO123" s="140">
        <v>0</v>
      </c>
      <c r="AP123" s="140">
        <f t="shared" ca="1" si="26"/>
        <v>0</v>
      </c>
      <c r="AQ123" s="140">
        <f t="shared" ca="1" si="27"/>
        <v>0</v>
      </c>
      <c r="AR123" s="131">
        <v>0</v>
      </c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AB124" s="131">
        <f t="shared" ca="1" si="14"/>
        <v>0</v>
      </c>
      <c r="AC124" s="131">
        <f t="shared" ca="1" si="15"/>
        <v>0</v>
      </c>
      <c r="AD124" s="131">
        <f t="shared" ca="1" si="16"/>
        <v>0</v>
      </c>
      <c r="AE124" s="140">
        <f t="shared" ca="1" si="17"/>
        <v>0</v>
      </c>
      <c r="AF124" s="140">
        <f t="shared" ca="1" si="18"/>
        <v>0</v>
      </c>
      <c r="AG124" s="140">
        <f t="shared" ca="1" si="19"/>
        <v>0</v>
      </c>
      <c r="AH124" s="131">
        <f t="shared" ca="1" si="20"/>
        <v>0</v>
      </c>
      <c r="AI124" s="131">
        <f t="shared" ca="1" si="21"/>
        <v>0</v>
      </c>
      <c r="AJ124" s="131">
        <f t="shared" ca="1" si="22"/>
        <v>0</v>
      </c>
      <c r="AK124" s="140">
        <f t="shared" ca="1" si="23"/>
        <v>0</v>
      </c>
      <c r="AL124" s="140">
        <f t="shared" ca="1" si="24"/>
        <v>0</v>
      </c>
      <c r="AM124" s="131">
        <v>0</v>
      </c>
      <c r="AN124" s="140">
        <f t="shared" ca="1" si="25"/>
        <v>0</v>
      </c>
      <c r="AO124" s="140">
        <v>0</v>
      </c>
      <c r="AP124" s="140">
        <f t="shared" ca="1" si="26"/>
        <v>0</v>
      </c>
      <c r="AQ124" s="140">
        <f t="shared" ca="1" si="27"/>
        <v>0</v>
      </c>
      <c r="AR124" s="131">
        <v>0</v>
      </c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AB125" s="131">
        <f t="shared" ca="1" si="14"/>
        <v>0</v>
      </c>
      <c r="AC125" s="131">
        <f t="shared" ca="1" si="15"/>
        <v>0</v>
      </c>
      <c r="AD125" s="131">
        <f t="shared" ca="1" si="16"/>
        <v>0</v>
      </c>
      <c r="AE125" s="140">
        <f t="shared" ca="1" si="17"/>
        <v>0</v>
      </c>
      <c r="AF125" s="140">
        <f t="shared" ca="1" si="18"/>
        <v>0</v>
      </c>
      <c r="AG125" s="140">
        <f t="shared" ca="1" si="19"/>
        <v>0</v>
      </c>
      <c r="AH125" s="131">
        <f t="shared" ca="1" si="20"/>
        <v>0</v>
      </c>
      <c r="AI125" s="131">
        <f t="shared" ca="1" si="21"/>
        <v>0</v>
      </c>
      <c r="AJ125" s="131">
        <f t="shared" ca="1" si="22"/>
        <v>0</v>
      </c>
      <c r="AK125" s="140">
        <f t="shared" ca="1" si="23"/>
        <v>0</v>
      </c>
      <c r="AL125" s="140">
        <f t="shared" ca="1" si="24"/>
        <v>0</v>
      </c>
      <c r="AM125" s="131">
        <v>0</v>
      </c>
      <c r="AN125" s="140">
        <f t="shared" ca="1" si="25"/>
        <v>0</v>
      </c>
      <c r="AO125" s="140">
        <v>0</v>
      </c>
      <c r="AP125" s="140">
        <f t="shared" ca="1" si="26"/>
        <v>0</v>
      </c>
      <c r="AQ125" s="140">
        <f t="shared" ca="1" si="27"/>
        <v>0</v>
      </c>
      <c r="AR125" s="131">
        <v>0</v>
      </c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AB126" s="131">
        <f t="shared" ca="1" si="14"/>
        <v>0</v>
      </c>
      <c r="AC126" s="131">
        <f t="shared" ca="1" si="15"/>
        <v>0</v>
      </c>
      <c r="AD126" s="131">
        <f t="shared" ca="1" si="16"/>
        <v>0</v>
      </c>
      <c r="AE126" s="140">
        <f t="shared" ca="1" si="17"/>
        <v>0</v>
      </c>
      <c r="AF126" s="140">
        <f t="shared" ca="1" si="18"/>
        <v>0</v>
      </c>
      <c r="AG126" s="140">
        <f t="shared" ca="1" si="19"/>
        <v>0</v>
      </c>
      <c r="AH126" s="131">
        <f t="shared" ca="1" si="20"/>
        <v>0</v>
      </c>
      <c r="AI126" s="131">
        <f t="shared" ca="1" si="21"/>
        <v>0</v>
      </c>
      <c r="AJ126" s="131">
        <f t="shared" ca="1" si="22"/>
        <v>0</v>
      </c>
      <c r="AK126" s="140">
        <f t="shared" ca="1" si="23"/>
        <v>0</v>
      </c>
      <c r="AL126" s="140">
        <f t="shared" ca="1" si="24"/>
        <v>0</v>
      </c>
      <c r="AM126" s="131">
        <v>0</v>
      </c>
      <c r="AN126" s="140">
        <f t="shared" ca="1" si="25"/>
        <v>0</v>
      </c>
      <c r="AO126" s="140">
        <v>0</v>
      </c>
      <c r="AP126" s="140">
        <f t="shared" ca="1" si="26"/>
        <v>0</v>
      </c>
      <c r="AQ126" s="140">
        <f t="shared" ca="1" si="27"/>
        <v>0</v>
      </c>
      <c r="AR126" s="131">
        <v>0</v>
      </c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AB127" s="131">
        <f t="shared" ca="1" si="14"/>
        <v>0</v>
      </c>
      <c r="AC127" s="131">
        <f t="shared" ca="1" si="15"/>
        <v>0</v>
      </c>
      <c r="AD127" s="131">
        <f t="shared" ca="1" si="16"/>
        <v>0</v>
      </c>
      <c r="AE127" s="140">
        <f t="shared" ca="1" si="17"/>
        <v>0</v>
      </c>
      <c r="AF127" s="140">
        <f t="shared" ca="1" si="18"/>
        <v>0</v>
      </c>
      <c r="AG127" s="140">
        <f t="shared" ca="1" si="19"/>
        <v>0</v>
      </c>
      <c r="AH127" s="131">
        <f t="shared" ca="1" si="20"/>
        <v>0</v>
      </c>
      <c r="AI127" s="131">
        <f t="shared" ca="1" si="21"/>
        <v>0</v>
      </c>
      <c r="AJ127" s="131">
        <f t="shared" ca="1" si="22"/>
        <v>0</v>
      </c>
      <c r="AK127" s="140">
        <f t="shared" ca="1" si="23"/>
        <v>0</v>
      </c>
      <c r="AL127" s="140">
        <f t="shared" ca="1" si="24"/>
        <v>0</v>
      </c>
      <c r="AM127" s="131">
        <v>0</v>
      </c>
      <c r="AN127" s="140">
        <f t="shared" ca="1" si="25"/>
        <v>0</v>
      </c>
      <c r="AO127" s="140">
        <v>0</v>
      </c>
      <c r="AP127" s="140">
        <f t="shared" ca="1" si="26"/>
        <v>0</v>
      </c>
      <c r="AQ127" s="140">
        <f t="shared" ca="1" si="27"/>
        <v>0</v>
      </c>
      <c r="AR127" s="131">
        <v>0</v>
      </c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AB128" s="131">
        <f t="shared" ca="1" si="14"/>
        <v>0</v>
      </c>
      <c r="AC128" s="131">
        <f t="shared" ca="1" si="15"/>
        <v>0</v>
      </c>
      <c r="AD128" s="131">
        <f t="shared" ca="1" si="16"/>
        <v>0</v>
      </c>
      <c r="AE128" s="140">
        <f t="shared" ca="1" si="17"/>
        <v>0</v>
      </c>
      <c r="AF128" s="140">
        <f t="shared" ca="1" si="18"/>
        <v>0</v>
      </c>
      <c r="AG128" s="140">
        <f t="shared" ca="1" si="19"/>
        <v>0</v>
      </c>
      <c r="AH128" s="131">
        <f t="shared" ca="1" si="20"/>
        <v>0</v>
      </c>
      <c r="AI128" s="131">
        <f t="shared" ca="1" si="21"/>
        <v>0</v>
      </c>
      <c r="AJ128" s="131">
        <f t="shared" ca="1" si="22"/>
        <v>0</v>
      </c>
      <c r="AK128" s="140">
        <f t="shared" ca="1" si="23"/>
        <v>0</v>
      </c>
      <c r="AL128" s="140">
        <f t="shared" ca="1" si="24"/>
        <v>0</v>
      </c>
      <c r="AM128" s="131">
        <v>0</v>
      </c>
      <c r="AN128" s="140">
        <f t="shared" ca="1" si="25"/>
        <v>0</v>
      </c>
      <c r="AO128" s="140">
        <v>0</v>
      </c>
      <c r="AP128" s="140">
        <f t="shared" ca="1" si="26"/>
        <v>0</v>
      </c>
      <c r="AQ128" s="140">
        <f t="shared" ca="1" si="27"/>
        <v>0</v>
      </c>
      <c r="AR128" s="131">
        <v>0</v>
      </c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AB129" s="131">
        <f t="shared" ca="1" si="14"/>
        <v>0</v>
      </c>
      <c r="AC129" s="131">
        <f t="shared" ca="1" si="15"/>
        <v>0</v>
      </c>
      <c r="AD129" s="131">
        <f t="shared" ca="1" si="16"/>
        <v>0</v>
      </c>
      <c r="AE129" s="140">
        <f t="shared" ca="1" si="17"/>
        <v>0</v>
      </c>
      <c r="AF129" s="140">
        <f t="shared" ca="1" si="18"/>
        <v>0</v>
      </c>
      <c r="AG129" s="140">
        <f t="shared" ca="1" si="19"/>
        <v>0</v>
      </c>
      <c r="AH129" s="131">
        <f t="shared" ca="1" si="20"/>
        <v>0</v>
      </c>
      <c r="AI129" s="131">
        <f t="shared" ca="1" si="21"/>
        <v>0</v>
      </c>
      <c r="AJ129" s="131">
        <f t="shared" ca="1" si="22"/>
        <v>0</v>
      </c>
      <c r="AK129" s="140">
        <f t="shared" ca="1" si="23"/>
        <v>0</v>
      </c>
      <c r="AL129" s="140">
        <f t="shared" ca="1" si="24"/>
        <v>0</v>
      </c>
      <c r="AM129" s="131">
        <v>0</v>
      </c>
      <c r="AN129" s="140">
        <f t="shared" ca="1" si="25"/>
        <v>0</v>
      </c>
      <c r="AO129" s="140">
        <v>0</v>
      </c>
      <c r="AP129" s="140">
        <f t="shared" ca="1" si="26"/>
        <v>0</v>
      </c>
      <c r="AQ129" s="140">
        <f t="shared" ca="1" si="27"/>
        <v>0</v>
      </c>
      <c r="AR129" s="131">
        <v>0</v>
      </c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AB130" s="131">
        <f t="shared" ca="1" si="14"/>
        <v>0</v>
      </c>
      <c r="AC130" s="131">
        <f t="shared" ca="1" si="15"/>
        <v>0</v>
      </c>
      <c r="AD130" s="131">
        <f t="shared" ca="1" si="16"/>
        <v>0</v>
      </c>
      <c r="AE130" s="140">
        <f t="shared" ca="1" si="17"/>
        <v>0</v>
      </c>
      <c r="AF130" s="140">
        <f t="shared" ca="1" si="18"/>
        <v>0</v>
      </c>
      <c r="AG130" s="140">
        <f t="shared" ca="1" si="19"/>
        <v>0</v>
      </c>
      <c r="AH130" s="131">
        <f t="shared" ca="1" si="20"/>
        <v>0</v>
      </c>
      <c r="AI130" s="131">
        <f t="shared" ca="1" si="21"/>
        <v>0</v>
      </c>
      <c r="AJ130" s="131">
        <f t="shared" ca="1" si="22"/>
        <v>0</v>
      </c>
      <c r="AK130" s="140">
        <f t="shared" ca="1" si="23"/>
        <v>0</v>
      </c>
      <c r="AL130" s="140">
        <f t="shared" ca="1" si="24"/>
        <v>0</v>
      </c>
      <c r="AM130" s="131">
        <v>0</v>
      </c>
      <c r="AN130" s="140">
        <f t="shared" ca="1" si="25"/>
        <v>0</v>
      </c>
      <c r="AO130" s="140">
        <v>0</v>
      </c>
      <c r="AP130" s="140">
        <f t="shared" ca="1" si="26"/>
        <v>0</v>
      </c>
      <c r="AQ130" s="140">
        <f t="shared" ca="1" si="27"/>
        <v>0</v>
      </c>
      <c r="AR130" s="131">
        <v>0</v>
      </c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AB131" s="131">
        <f t="shared" ref="AB131:AB194" ca="1" si="28">+A131</f>
        <v>0</v>
      </c>
      <c r="AC131" s="131">
        <f t="shared" ref="AC131:AC194" ca="1" si="29">+B131</f>
        <v>0</v>
      </c>
      <c r="AD131" s="131">
        <f t="shared" ref="AD131:AD194" ca="1" si="30">+C131</f>
        <v>0</v>
      </c>
      <c r="AE131" s="140">
        <f t="shared" ref="AE131:AE194" ca="1" si="31">+E131</f>
        <v>0</v>
      </c>
      <c r="AF131" s="140">
        <f t="shared" ref="AF131:AF194" ca="1" si="32">+K131</f>
        <v>0</v>
      </c>
      <c r="AG131" s="140">
        <f t="shared" ref="AG131:AG194" ca="1" si="33">+L131</f>
        <v>0</v>
      </c>
      <c r="AH131" s="131">
        <f t="shared" ref="AH131:AH194" ca="1" si="34">+Q131</f>
        <v>0</v>
      </c>
      <c r="AI131" s="131">
        <f t="shared" ref="AI131:AI194" ca="1" si="35">+N131</f>
        <v>0</v>
      </c>
      <c r="AJ131" s="131">
        <f t="shared" ref="AJ131:AJ194" ca="1" si="36">IFERROR(+AI131/AF131*100,0)</f>
        <v>0</v>
      </c>
      <c r="AK131" s="140">
        <f t="shared" ref="AK131:AK194" ca="1" si="37">+O131</f>
        <v>0</v>
      </c>
      <c r="AL131" s="140">
        <f t="shared" ref="AL131:AL194" ca="1" si="38">+P131</f>
        <v>0</v>
      </c>
      <c r="AM131" s="131">
        <v>0</v>
      </c>
      <c r="AN131" s="140">
        <f t="shared" ref="AN131:AN194" ca="1" si="39">+M131</f>
        <v>0</v>
      </c>
      <c r="AO131" s="140">
        <v>0</v>
      </c>
      <c r="AP131" s="140">
        <f t="shared" ref="AP131:AP194" ca="1" si="40">+R131</f>
        <v>0</v>
      </c>
      <c r="AQ131" s="140">
        <f t="shared" ref="AQ131:AQ194" ca="1" si="41">+AE131+AF131+AH131-AI131-AK131-AM131-AP131</f>
        <v>0</v>
      </c>
      <c r="AR131" s="131">
        <v>0</v>
      </c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AB132" s="131">
        <f t="shared" ca="1" si="28"/>
        <v>0</v>
      </c>
      <c r="AC132" s="131">
        <f t="shared" ca="1" si="29"/>
        <v>0</v>
      </c>
      <c r="AD132" s="131">
        <f t="shared" ca="1" si="30"/>
        <v>0</v>
      </c>
      <c r="AE132" s="140">
        <f t="shared" ca="1" si="31"/>
        <v>0</v>
      </c>
      <c r="AF132" s="140">
        <f t="shared" ca="1" si="32"/>
        <v>0</v>
      </c>
      <c r="AG132" s="140">
        <f t="shared" ca="1" si="33"/>
        <v>0</v>
      </c>
      <c r="AH132" s="131">
        <f t="shared" ca="1" si="34"/>
        <v>0</v>
      </c>
      <c r="AI132" s="131">
        <f t="shared" ca="1" si="35"/>
        <v>0</v>
      </c>
      <c r="AJ132" s="131">
        <f t="shared" ca="1" si="36"/>
        <v>0</v>
      </c>
      <c r="AK132" s="140">
        <f t="shared" ca="1" si="37"/>
        <v>0</v>
      </c>
      <c r="AL132" s="140">
        <f t="shared" ca="1" si="38"/>
        <v>0</v>
      </c>
      <c r="AM132" s="131">
        <v>0</v>
      </c>
      <c r="AN132" s="140">
        <f t="shared" ca="1" si="39"/>
        <v>0</v>
      </c>
      <c r="AO132" s="140">
        <v>0</v>
      </c>
      <c r="AP132" s="140">
        <f t="shared" ca="1" si="40"/>
        <v>0</v>
      </c>
      <c r="AQ132" s="140">
        <f t="shared" ca="1" si="41"/>
        <v>0</v>
      </c>
      <c r="AR132" s="131">
        <v>0</v>
      </c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AB133" s="131">
        <f t="shared" ca="1" si="28"/>
        <v>0</v>
      </c>
      <c r="AC133" s="131">
        <f t="shared" ca="1" si="29"/>
        <v>0</v>
      </c>
      <c r="AD133" s="131">
        <f t="shared" ca="1" si="30"/>
        <v>0</v>
      </c>
      <c r="AE133" s="140">
        <f t="shared" ca="1" si="31"/>
        <v>0</v>
      </c>
      <c r="AF133" s="140">
        <f t="shared" ca="1" si="32"/>
        <v>0</v>
      </c>
      <c r="AG133" s="140">
        <f t="shared" ca="1" si="33"/>
        <v>0</v>
      </c>
      <c r="AH133" s="131">
        <f t="shared" ca="1" si="34"/>
        <v>0</v>
      </c>
      <c r="AI133" s="131">
        <f t="shared" ca="1" si="35"/>
        <v>0</v>
      </c>
      <c r="AJ133" s="131">
        <f t="shared" ca="1" si="36"/>
        <v>0</v>
      </c>
      <c r="AK133" s="140">
        <f t="shared" ca="1" si="37"/>
        <v>0</v>
      </c>
      <c r="AL133" s="140">
        <f t="shared" ca="1" si="38"/>
        <v>0</v>
      </c>
      <c r="AM133" s="131">
        <v>0</v>
      </c>
      <c r="AN133" s="140">
        <f t="shared" ca="1" si="39"/>
        <v>0</v>
      </c>
      <c r="AO133" s="140">
        <v>0</v>
      </c>
      <c r="AP133" s="140">
        <f t="shared" ca="1" si="40"/>
        <v>0</v>
      </c>
      <c r="AQ133" s="140">
        <f t="shared" ca="1" si="41"/>
        <v>0</v>
      </c>
      <c r="AR133" s="131">
        <v>0</v>
      </c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AB134" s="131">
        <f t="shared" ca="1" si="28"/>
        <v>0</v>
      </c>
      <c r="AC134" s="131">
        <f t="shared" ca="1" si="29"/>
        <v>0</v>
      </c>
      <c r="AD134" s="131">
        <f t="shared" ca="1" si="30"/>
        <v>0</v>
      </c>
      <c r="AE134" s="140">
        <f t="shared" ca="1" si="31"/>
        <v>0</v>
      </c>
      <c r="AF134" s="140">
        <f t="shared" ca="1" si="32"/>
        <v>0</v>
      </c>
      <c r="AG134" s="140">
        <f t="shared" ca="1" si="33"/>
        <v>0</v>
      </c>
      <c r="AH134" s="131">
        <f t="shared" ca="1" si="34"/>
        <v>0</v>
      </c>
      <c r="AI134" s="131">
        <f t="shared" ca="1" si="35"/>
        <v>0</v>
      </c>
      <c r="AJ134" s="131">
        <f t="shared" ca="1" si="36"/>
        <v>0</v>
      </c>
      <c r="AK134" s="140">
        <f t="shared" ca="1" si="37"/>
        <v>0</v>
      </c>
      <c r="AL134" s="140">
        <f t="shared" ca="1" si="38"/>
        <v>0</v>
      </c>
      <c r="AM134" s="131">
        <v>0</v>
      </c>
      <c r="AN134" s="140">
        <f t="shared" ca="1" si="39"/>
        <v>0</v>
      </c>
      <c r="AO134" s="140">
        <v>0</v>
      </c>
      <c r="AP134" s="140">
        <f t="shared" ca="1" si="40"/>
        <v>0</v>
      </c>
      <c r="AQ134" s="140">
        <f t="shared" ca="1" si="41"/>
        <v>0</v>
      </c>
      <c r="AR134" s="131">
        <v>0</v>
      </c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AB135" s="131">
        <f t="shared" ca="1" si="28"/>
        <v>0</v>
      </c>
      <c r="AC135" s="131">
        <f t="shared" ca="1" si="29"/>
        <v>0</v>
      </c>
      <c r="AD135" s="131">
        <f t="shared" ca="1" si="30"/>
        <v>0</v>
      </c>
      <c r="AE135" s="140">
        <f t="shared" ca="1" si="31"/>
        <v>0</v>
      </c>
      <c r="AF135" s="140">
        <f t="shared" ca="1" si="32"/>
        <v>0</v>
      </c>
      <c r="AG135" s="140">
        <f t="shared" ca="1" si="33"/>
        <v>0</v>
      </c>
      <c r="AH135" s="131">
        <f t="shared" ca="1" si="34"/>
        <v>0</v>
      </c>
      <c r="AI135" s="131">
        <f t="shared" ca="1" si="35"/>
        <v>0</v>
      </c>
      <c r="AJ135" s="131">
        <f t="shared" ca="1" si="36"/>
        <v>0</v>
      </c>
      <c r="AK135" s="140">
        <f t="shared" ca="1" si="37"/>
        <v>0</v>
      </c>
      <c r="AL135" s="140">
        <f t="shared" ca="1" si="38"/>
        <v>0</v>
      </c>
      <c r="AM135" s="131">
        <v>0</v>
      </c>
      <c r="AN135" s="140">
        <f t="shared" ca="1" si="39"/>
        <v>0</v>
      </c>
      <c r="AO135" s="140">
        <v>0</v>
      </c>
      <c r="AP135" s="140">
        <f t="shared" ca="1" si="40"/>
        <v>0</v>
      </c>
      <c r="AQ135" s="140">
        <f t="shared" ca="1" si="41"/>
        <v>0</v>
      </c>
      <c r="AR135" s="131">
        <v>0</v>
      </c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AB136" s="131">
        <f t="shared" ca="1" si="28"/>
        <v>0</v>
      </c>
      <c r="AC136" s="131">
        <f t="shared" ca="1" si="29"/>
        <v>0</v>
      </c>
      <c r="AD136" s="131">
        <f t="shared" ca="1" si="30"/>
        <v>0</v>
      </c>
      <c r="AE136" s="140">
        <f t="shared" ca="1" si="31"/>
        <v>0</v>
      </c>
      <c r="AF136" s="140">
        <f t="shared" ca="1" si="32"/>
        <v>0</v>
      </c>
      <c r="AG136" s="140">
        <f t="shared" ca="1" si="33"/>
        <v>0</v>
      </c>
      <c r="AH136" s="131">
        <f t="shared" ca="1" si="34"/>
        <v>0</v>
      </c>
      <c r="AI136" s="131">
        <f t="shared" ca="1" si="35"/>
        <v>0</v>
      </c>
      <c r="AJ136" s="131">
        <f t="shared" ca="1" si="36"/>
        <v>0</v>
      </c>
      <c r="AK136" s="140">
        <f t="shared" ca="1" si="37"/>
        <v>0</v>
      </c>
      <c r="AL136" s="140">
        <f t="shared" ca="1" si="38"/>
        <v>0</v>
      </c>
      <c r="AM136" s="131">
        <v>0</v>
      </c>
      <c r="AN136" s="140">
        <f t="shared" ca="1" si="39"/>
        <v>0</v>
      </c>
      <c r="AO136" s="140">
        <v>0</v>
      </c>
      <c r="AP136" s="140">
        <f t="shared" ca="1" si="40"/>
        <v>0</v>
      </c>
      <c r="AQ136" s="140">
        <f t="shared" ca="1" si="41"/>
        <v>0</v>
      </c>
      <c r="AR136" s="131">
        <v>0</v>
      </c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AB137" s="131">
        <f t="shared" ca="1" si="28"/>
        <v>0</v>
      </c>
      <c r="AC137" s="131">
        <f t="shared" ca="1" si="29"/>
        <v>0</v>
      </c>
      <c r="AD137" s="131">
        <f t="shared" ca="1" si="30"/>
        <v>0</v>
      </c>
      <c r="AE137" s="140">
        <f t="shared" ca="1" si="31"/>
        <v>0</v>
      </c>
      <c r="AF137" s="140">
        <f t="shared" ca="1" si="32"/>
        <v>0</v>
      </c>
      <c r="AG137" s="140">
        <f t="shared" ca="1" si="33"/>
        <v>0</v>
      </c>
      <c r="AH137" s="131">
        <f t="shared" ca="1" si="34"/>
        <v>0</v>
      </c>
      <c r="AI137" s="131">
        <f t="shared" ca="1" si="35"/>
        <v>0</v>
      </c>
      <c r="AJ137" s="131">
        <f t="shared" ca="1" si="36"/>
        <v>0</v>
      </c>
      <c r="AK137" s="140">
        <f t="shared" ca="1" si="37"/>
        <v>0</v>
      </c>
      <c r="AL137" s="140">
        <f t="shared" ca="1" si="38"/>
        <v>0</v>
      </c>
      <c r="AM137" s="131">
        <v>0</v>
      </c>
      <c r="AN137" s="140">
        <f t="shared" ca="1" si="39"/>
        <v>0</v>
      </c>
      <c r="AO137" s="140">
        <v>0</v>
      </c>
      <c r="AP137" s="140">
        <f t="shared" ca="1" si="40"/>
        <v>0</v>
      </c>
      <c r="AQ137" s="140">
        <f t="shared" ca="1" si="41"/>
        <v>0</v>
      </c>
      <c r="AR137" s="131">
        <v>0</v>
      </c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AB138" s="131">
        <f t="shared" ca="1" si="28"/>
        <v>0</v>
      </c>
      <c r="AC138" s="131">
        <f t="shared" ca="1" si="29"/>
        <v>0</v>
      </c>
      <c r="AD138" s="131">
        <f t="shared" ca="1" si="30"/>
        <v>0</v>
      </c>
      <c r="AE138" s="140">
        <f t="shared" ca="1" si="31"/>
        <v>0</v>
      </c>
      <c r="AF138" s="140">
        <f t="shared" ca="1" si="32"/>
        <v>0</v>
      </c>
      <c r="AG138" s="140">
        <f t="shared" ca="1" si="33"/>
        <v>0</v>
      </c>
      <c r="AH138" s="131">
        <f t="shared" ca="1" si="34"/>
        <v>0</v>
      </c>
      <c r="AI138" s="131">
        <f t="shared" ca="1" si="35"/>
        <v>0</v>
      </c>
      <c r="AJ138" s="131">
        <f t="shared" ca="1" si="36"/>
        <v>0</v>
      </c>
      <c r="AK138" s="140">
        <f t="shared" ca="1" si="37"/>
        <v>0</v>
      </c>
      <c r="AL138" s="140">
        <f t="shared" ca="1" si="38"/>
        <v>0</v>
      </c>
      <c r="AM138" s="131">
        <v>0</v>
      </c>
      <c r="AN138" s="140">
        <f t="shared" ca="1" si="39"/>
        <v>0</v>
      </c>
      <c r="AO138" s="140">
        <v>0</v>
      </c>
      <c r="AP138" s="140">
        <f t="shared" ca="1" si="40"/>
        <v>0</v>
      </c>
      <c r="AQ138" s="140">
        <f t="shared" ca="1" si="41"/>
        <v>0</v>
      </c>
      <c r="AR138" s="131">
        <v>0</v>
      </c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AB139" s="131">
        <f t="shared" ca="1" si="28"/>
        <v>0</v>
      </c>
      <c r="AC139" s="131">
        <f t="shared" ca="1" si="29"/>
        <v>0</v>
      </c>
      <c r="AD139" s="131">
        <f t="shared" ca="1" si="30"/>
        <v>0</v>
      </c>
      <c r="AE139" s="140">
        <f t="shared" ca="1" si="31"/>
        <v>0</v>
      </c>
      <c r="AF139" s="140">
        <f t="shared" ca="1" si="32"/>
        <v>0</v>
      </c>
      <c r="AG139" s="140">
        <f t="shared" ca="1" si="33"/>
        <v>0</v>
      </c>
      <c r="AH139" s="131">
        <f t="shared" ca="1" si="34"/>
        <v>0</v>
      </c>
      <c r="AI139" s="131">
        <f t="shared" ca="1" si="35"/>
        <v>0</v>
      </c>
      <c r="AJ139" s="131">
        <f t="shared" ca="1" si="36"/>
        <v>0</v>
      </c>
      <c r="AK139" s="140">
        <f t="shared" ca="1" si="37"/>
        <v>0</v>
      </c>
      <c r="AL139" s="140">
        <f t="shared" ca="1" si="38"/>
        <v>0</v>
      </c>
      <c r="AM139" s="131">
        <v>0</v>
      </c>
      <c r="AN139" s="140">
        <f t="shared" ca="1" si="39"/>
        <v>0</v>
      </c>
      <c r="AO139" s="140">
        <v>0</v>
      </c>
      <c r="AP139" s="140">
        <f t="shared" ca="1" si="40"/>
        <v>0</v>
      </c>
      <c r="AQ139" s="140">
        <f t="shared" ca="1" si="41"/>
        <v>0</v>
      </c>
      <c r="AR139" s="131">
        <v>0</v>
      </c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AB140" s="131">
        <f t="shared" ca="1" si="28"/>
        <v>0</v>
      </c>
      <c r="AC140" s="131">
        <f t="shared" ca="1" si="29"/>
        <v>0</v>
      </c>
      <c r="AD140" s="131">
        <f t="shared" ca="1" si="30"/>
        <v>0</v>
      </c>
      <c r="AE140" s="140">
        <f t="shared" ca="1" si="31"/>
        <v>0</v>
      </c>
      <c r="AF140" s="140">
        <f t="shared" ca="1" si="32"/>
        <v>0</v>
      </c>
      <c r="AG140" s="140">
        <f t="shared" ca="1" si="33"/>
        <v>0</v>
      </c>
      <c r="AH140" s="131">
        <f t="shared" ca="1" si="34"/>
        <v>0</v>
      </c>
      <c r="AI140" s="131">
        <f t="shared" ca="1" si="35"/>
        <v>0</v>
      </c>
      <c r="AJ140" s="131">
        <f t="shared" ca="1" si="36"/>
        <v>0</v>
      </c>
      <c r="AK140" s="140">
        <f t="shared" ca="1" si="37"/>
        <v>0</v>
      </c>
      <c r="AL140" s="140">
        <f t="shared" ca="1" si="38"/>
        <v>0</v>
      </c>
      <c r="AM140" s="131">
        <v>0</v>
      </c>
      <c r="AN140" s="140">
        <f t="shared" ca="1" si="39"/>
        <v>0</v>
      </c>
      <c r="AO140" s="140">
        <v>0</v>
      </c>
      <c r="AP140" s="140">
        <f t="shared" ca="1" si="40"/>
        <v>0</v>
      </c>
      <c r="AQ140" s="140">
        <f t="shared" ca="1" si="41"/>
        <v>0</v>
      </c>
      <c r="AR140" s="131">
        <v>0</v>
      </c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AB141" s="131">
        <f t="shared" ca="1" si="28"/>
        <v>0</v>
      </c>
      <c r="AC141" s="131">
        <f t="shared" ca="1" si="29"/>
        <v>0</v>
      </c>
      <c r="AD141" s="131">
        <f t="shared" ca="1" si="30"/>
        <v>0</v>
      </c>
      <c r="AE141" s="140">
        <f t="shared" ca="1" si="31"/>
        <v>0</v>
      </c>
      <c r="AF141" s="140">
        <f t="shared" ca="1" si="32"/>
        <v>0</v>
      </c>
      <c r="AG141" s="140">
        <f t="shared" ca="1" si="33"/>
        <v>0</v>
      </c>
      <c r="AH141" s="131">
        <f t="shared" ca="1" si="34"/>
        <v>0</v>
      </c>
      <c r="AI141" s="131">
        <f t="shared" ca="1" si="35"/>
        <v>0</v>
      </c>
      <c r="AJ141" s="131">
        <f t="shared" ca="1" si="36"/>
        <v>0</v>
      </c>
      <c r="AK141" s="140">
        <f t="shared" ca="1" si="37"/>
        <v>0</v>
      </c>
      <c r="AL141" s="140">
        <f t="shared" ca="1" si="38"/>
        <v>0</v>
      </c>
      <c r="AM141" s="131">
        <v>0</v>
      </c>
      <c r="AN141" s="140">
        <f t="shared" ca="1" si="39"/>
        <v>0</v>
      </c>
      <c r="AO141" s="140">
        <v>0</v>
      </c>
      <c r="AP141" s="140">
        <f t="shared" ca="1" si="40"/>
        <v>0</v>
      </c>
      <c r="AQ141" s="140">
        <f t="shared" ca="1" si="41"/>
        <v>0</v>
      </c>
      <c r="AR141" s="131">
        <v>0</v>
      </c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AB142" s="131">
        <f t="shared" ca="1" si="28"/>
        <v>0</v>
      </c>
      <c r="AC142" s="131">
        <f t="shared" ca="1" si="29"/>
        <v>0</v>
      </c>
      <c r="AD142" s="131">
        <f t="shared" ca="1" si="30"/>
        <v>0</v>
      </c>
      <c r="AE142" s="140">
        <f t="shared" ca="1" si="31"/>
        <v>0</v>
      </c>
      <c r="AF142" s="140">
        <f t="shared" ca="1" si="32"/>
        <v>0</v>
      </c>
      <c r="AG142" s="140">
        <f t="shared" ca="1" si="33"/>
        <v>0</v>
      </c>
      <c r="AH142" s="131">
        <f t="shared" ca="1" si="34"/>
        <v>0</v>
      </c>
      <c r="AI142" s="131">
        <f t="shared" ca="1" si="35"/>
        <v>0</v>
      </c>
      <c r="AJ142" s="131">
        <f t="shared" ca="1" si="36"/>
        <v>0</v>
      </c>
      <c r="AK142" s="140">
        <f t="shared" ca="1" si="37"/>
        <v>0</v>
      </c>
      <c r="AL142" s="140">
        <f t="shared" ca="1" si="38"/>
        <v>0</v>
      </c>
      <c r="AM142" s="131">
        <v>0</v>
      </c>
      <c r="AN142" s="140">
        <f t="shared" ca="1" si="39"/>
        <v>0</v>
      </c>
      <c r="AO142" s="140">
        <v>0</v>
      </c>
      <c r="AP142" s="140">
        <f t="shared" ca="1" si="40"/>
        <v>0</v>
      </c>
      <c r="AQ142" s="140">
        <f t="shared" ca="1" si="41"/>
        <v>0</v>
      </c>
      <c r="AR142" s="131">
        <v>0</v>
      </c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AB143" s="131">
        <f t="shared" ca="1" si="28"/>
        <v>0</v>
      </c>
      <c r="AC143" s="131">
        <f t="shared" ca="1" si="29"/>
        <v>0</v>
      </c>
      <c r="AD143" s="131">
        <f t="shared" ca="1" si="30"/>
        <v>0</v>
      </c>
      <c r="AE143" s="140">
        <f t="shared" ca="1" si="31"/>
        <v>0</v>
      </c>
      <c r="AF143" s="140">
        <f t="shared" ca="1" si="32"/>
        <v>0</v>
      </c>
      <c r="AG143" s="140">
        <f t="shared" ca="1" si="33"/>
        <v>0</v>
      </c>
      <c r="AH143" s="131">
        <f t="shared" ca="1" si="34"/>
        <v>0</v>
      </c>
      <c r="AI143" s="131">
        <f t="shared" ca="1" si="35"/>
        <v>0</v>
      </c>
      <c r="AJ143" s="131">
        <f t="shared" ca="1" si="36"/>
        <v>0</v>
      </c>
      <c r="AK143" s="140">
        <f t="shared" ca="1" si="37"/>
        <v>0</v>
      </c>
      <c r="AL143" s="140">
        <f t="shared" ca="1" si="38"/>
        <v>0</v>
      </c>
      <c r="AM143" s="131">
        <v>0</v>
      </c>
      <c r="AN143" s="140">
        <f t="shared" ca="1" si="39"/>
        <v>0</v>
      </c>
      <c r="AO143" s="140">
        <v>0</v>
      </c>
      <c r="AP143" s="140">
        <f t="shared" ca="1" si="40"/>
        <v>0</v>
      </c>
      <c r="AQ143" s="140">
        <f t="shared" ca="1" si="41"/>
        <v>0</v>
      </c>
      <c r="AR143" s="131">
        <v>0</v>
      </c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AB144" s="131">
        <f t="shared" ca="1" si="28"/>
        <v>0</v>
      </c>
      <c r="AC144" s="131">
        <f t="shared" ca="1" si="29"/>
        <v>0</v>
      </c>
      <c r="AD144" s="131">
        <f t="shared" ca="1" si="30"/>
        <v>0</v>
      </c>
      <c r="AE144" s="140">
        <f t="shared" ca="1" si="31"/>
        <v>0</v>
      </c>
      <c r="AF144" s="140">
        <f t="shared" ca="1" si="32"/>
        <v>0</v>
      </c>
      <c r="AG144" s="140">
        <f t="shared" ca="1" si="33"/>
        <v>0</v>
      </c>
      <c r="AH144" s="131">
        <f t="shared" ca="1" si="34"/>
        <v>0</v>
      </c>
      <c r="AI144" s="131">
        <f t="shared" ca="1" si="35"/>
        <v>0</v>
      </c>
      <c r="AJ144" s="131">
        <f t="shared" ca="1" si="36"/>
        <v>0</v>
      </c>
      <c r="AK144" s="140">
        <f t="shared" ca="1" si="37"/>
        <v>0</v>
      </c>
      <c r="AL144" s="140">
        <f t="shared" ca="1" si="38"/>
        <v>0</v>
      </c>
      <c r="AM144" s="131">
        <v>0</v>
      </c>
      <c r="AN144" s="140">
        <f t="shared" ca="1" si="39"/>
        <v>0</v>
      </c>
      <c r="AO144" s="140">
        <v>0</v>
      </c>
      <c r="AP144" s="140">
        <f t="shared" ca="1" si="40"/>
        <v>0</v>
      </c>
      <c r="AQ144" s="140">
        <f t="shared" ca="1" si="41"/>
        <v>0</v>
      </c>
      <c r="AR144" s="131">
        <v>0</v>
      </c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AB145" s="131">
        <f t="shared" ca="1" si="28"/>
        <v>0</v>
      </c>
      <c r="AC145" s="131">
        <f t="shared" ca="1" si="29"/>
        <v>0</v>
      </c>
      <c r="AD145" s="131">
        <f t="shared" ca="1" si="30"/>
        <v>0</v>
      </c>
      <c r="AE145" s="140">
        <f t="shared" ca="1" si="31"/>
        <v>0</v>
      </c>
      <c r="AF145" s="140">
        <f t="shared" ca="1" si="32"/>
        <v>0</v>
      </c>
      <c r="AG145" s="140">
        <f t="shared" ca="1" si="33"/>
        <v>0</v>
      </c>
      <c r="AH145" s="131">
        <f t="shared" ca="1" si="34"/>
        <v>0</v>
      </c>
      <c r="AI145" s="131">
        <f t="shared" ca="1" si="35"/>
        <v>0</v>
      </c>
      <c r="AJ145" s="131">
        <f t="shared" ca="1" si="36"/>
        <v>0</v>
      </c>
      <c r="AK145" s="140">
        <f t="shared" ca="1" si="37"/>
        <v>0</v>
      </c>
      <c r="AL145" s="140">
        <f t="shared" ca="1" si="38"/>
        <v>0</v>
      </c>
      <c r="AM145" s="131">
        <v>0</v>
      </c>
      <c r="AN145" s="140">
        <f t="shared" ca="1" si="39"/>
        <v>0</v>
      </c>
      <c r="AO145" s="140">
        <v>0</v>
      </c>
      <c r="AP145" s="140">
        <f t="shared" ca="1" si="40"/>
        <v>0</v>
      </c>
      <c r="AQ145" s="140">
        <f t="shared" ca="1" si="41"/>
        <v>0</v>
      </c>
      <c r="AR145" s="131">
        <v>0</v>
      </c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AB146" s="131">
        <f t="shared" ca="1" si="28"/>
        <v>0</v>
      </c>
      <c r="AC146" s="131">
        <f t="shared" ca="1" si="29"/>
        <v>0</v>
      </c>
      <c r="AD146" s="131">
        <f t="shared" ca="1" si="30"/>
        <v>0</v>
      </c>
      <c r="AE146" s="140">
        <f t="shared" ca="1" si="31"/>
        <v>0</v>
      </c>
      <c r="AF146" s="140">
        <f t="shared" ca="1" si="32"/>
        <v>0</v>
      </c>
      <c r="AG146" s="140">
        <f t="shared" ca="1" si="33"/>
        <v>0</v>
      </c>
      <c r="AH146" s="131">
        <f t="shared" ca="1" si="34"/>
        <v>0</v>
      </c>
      <c r="AI146" s="131">
        <f t="shared" ca="1" si="35"/>
        <v>0</v>
      </c>
      <c r="AJ146" s="131">
        <f t="shared" ca="1" si="36"/>
        <v>0</v>
      </c>
      <c r="AK146" s="140">
        <f t="shared" ca="1" si="37"/>
        <v>0</v>
      </c>
      <c r="AL146" s="140">
        <f t="shared" ca="1" si="38"/>
        <v>0</v>
      </c>
      <c r="AM146" s="131">
        <v>0</v>
      </c>
      <c r="AN146" s="140">
        <f t="shared" ca="1" si="39"/>
        <v>0</v>
      </c>
      <c r="AO146" s="140">
        <v>0</v>
      </c>
      <c r="AP146" s="140">
        <f t="shared" ca="1" si="40"/>
        <v>0</v>
      </c>
      <c r="AQ146" s="140">
        <f t="shared" ca="1" si="41"/>
        <v>0</v>
      </c>
      <c r="AR146" s="131">
        <v>0</v>
      </c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AB147" s="131">
        <f t="shared" ca="1" si="28"/>
        <v>0</v>
      </c>
      <c r="AC147" s="131">
        <f t="shared" ca="1" si="29"/>
        <v>0</v>
      </c>
      <c r="AD147" s="131">
        <f t="shared" ca="1" si="30"/>
        <v>0</v>
      </c>
      <c r="AE147" s="140">
        <f t="shared" ca="1" si="31"/>
        <v>0</v>
      </c>
      <c r="AF147" s="140">
        <f t="shared" ca="1" si="32"/>
        <v>0</v>
      </c>
      <c r="AG147" s="140">
        <f t="shared" ca="1" si="33"/>
        <v>0</v>
      </c>
      <c r="AH147" s="131">
        <f t="shared" ca="1" si="34"/>
        <v>0</v>
      </c>
      <c r="AI147" s="131">
        <f t="shared" ca="1" si="35"/>
        <v>0</v>
      </c>
      <c r="AJ147" s="131">
        <f t="shared" ca="1" si="36"/>
        <v>0</v>
      </c>
      <c r="AK147" s="140">
        <f t="shared" ca="1" si="37"/>
        <v>0</v>
      </c>
      <c r="AL147" s="140">
        <f t="shared" ca="1" si="38"/>
        <v>0</v>
      </c>
      <c r="AM147" s="131">
        <v>0</v>
      </c>
      <c r="AN147" s="140">
        <f t="shared" ca="1" si="39"/>
        <v>0</v>
      </c>
      <c r="AO147" s="140">
        <v>0</v>
      </c>
      <c r="AP147" s="140">
        <f t="shared" ca="1" si="40"/>
        <v>0</v>
      </c>
      <c r="AQ147" s="140">
        <f t="shared" ca="1" si="41"/>
        <v>0</v>
      </c>
      <c r="AR147" s="131">
        <v>0</v>
      </c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AB148" s="131">
        <f t="shared" ca="1" si="28"/>
        <v>0</v>
      </c>
      <c r="AC148" s="131">
        <f t="shared" ca="1" si="29"/>
        <v>0</v>
      </c>
      <c r="AD148" s="131">
        <f t="shared" ca="1" si="30"/>
        <v>0</v>
      </c>
      <c r="AE148" s="140">
        <f t="shared" ca="1" si="31"/>
        <v>0</v>
      </c>
      <c r="AF148" s="140">
        <f t="shared" ca="1" si="32"/>
        <v>0</v>
      </c>
      <c r="AG148" s="140">
        <f t="shared" ca="1" si="33"/>
        <v>0</v>
      </c>
      <c r="AH148" s="131">
        <f t="shared" ca="1" si="34"/>
        <v>0</v>
      </c>
      <c r="AI148" s="131">
        <f t="shared" ca="1" si="35"/>
        <v>0</v>
      </c>
      <c r="AJ148" s="131">
        <f t="shared" ca="1" si="36"/>
        <v>0</v>
      </c>
      <c r="AK148" s="140">
        <f t="shared" ca="1" si="37"/>
        <v>0</v>
      </c>
      <c r="AL148" s="140">
        <f t="shared" ca="1" si="38"/>
        <v>0</v>
      </c>
      <c r="AM148" s="131">
        <v>0</v>
      </c>
      <c r="AN148" s="140">
        <f t="shared" ca="1" si="39"/>
        <v>0</v>
      </c>
      <c r="AO148" s="140">
        <v>0</v>
      </c>
      <c r="AP148" s="140">
        <f t="shared" ca="1" si="40"/>
        <v>0</v>
      </c>
      <c r="AQ148" s="140">
        <f t="shared" ca="1" si="41"/>
        <v>0</v>
      </c>
      <c r="AR148" s="131">
        <v>0</v>
      </c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AB149" s="131">
        <f t="shared" ca="1" si="28"/>
        <v>0</v>
      </c>
      <c r="AC149" s="131">
        <f t="shared" ca="1" si="29"/>
        <v>0</v>
      </c>
      <c r="AD149" s="131">
        <f t="shared" ca="1" si="30"/>
        <v>0</v>
      </c>
      <c r="AE149" s="140">
        <f t="shared" ca="1" si="31"/>
        <v>0</v>
      </c>
      <c r="AF149" s="140">
        <f t="shared" ca="1" si="32"/>
        <v>0</v>
      </c>
      <c r="AG149" s="140">
        <f t="shared" ca="1" si="33"/>
        <v>0</v>
      </c>
      <c r="AH149" s="131">
        <f t="shared" ca="1" si="34"/>
        <v>0</v>
      </c>
      <c r="AI149" s="131">
        <f t="shared" ca="1" si="35"/>
        <v>0</v>
      </c>
      <c r="AJ149" s="131">
        <f t="shared" ca="1" si="36"/>
        <v>0</v>
      </c>
      <c r="AK149" s="140">
        <f t="shared" ca="1" si="37"/>
        <v>0</v>
      </c>
      <c r="AL149" s="140">
        <f t="shared" ca="1" si="38"/>
        <v>0</v>
      </c>
      <c r="AM149" s="131">
        <v>0</v>
      </c>
      <c r="AN149" s="140">
        <f t="shared" ca="1" si="39"/>
        <v>0</v>
      </c>
      <c r="AO149" s="140">
        <v>0</v>
      </c>
      <c r="AP149" s="140">
        <f t="shared" ca="1" si="40"/>
        <v>0</v>
      </c>
      <c r="AQ149" s="140">
        <f t="shared" ca="1" si="41"/>
        <v>0</v>
      </c>
      <c r="AR149" s="131">
        <v>0</v>
      </c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AB150" s="131">
        <f t="shared" ca="1" si="28"/>
        <v>0</v>
      </c>
      <c r="AC150" s="131">
        <f t="shared" ca="1" si="29"/>
        <v>0</v>
      </c>
      <c r="AD150" s="131">
        <f t="shared" ca="1" si="30"/>
        <v>0</v>
      </c>
      <c r="AE150" s="140">
        <f t="shared" ca="1" si="31"/>
        <v>0</v>
      </c>
      <c r="AF150" s="140">
        <f t="shared" ca="1" si="32"/>
        <v>0</v>
      </c>
      <c r="AG150" s="140">
        <f t="shared" ca="1" si="33"/>
        <v>0</v>
      </c>
      <c r="AH150" s="131">
        <f t="shared" ca="1" si="34"/>
        <v>0</v>
      </c>
      <c r="AI150" s="131">
        <f t="shared" ca="1" si="35"/>
        <v>0</v>
      </c>
      <c r="AJ150" s="131">
        <f t="shared" ca="1" si="36"/>
        <v>0</v>
      </c>
      <c r="AK150" s="140">
        <f t="shared" ca="1" si="37"/>
        <v>0</v>
      </c>
      <c r="AL150" s="140">
        <f t="shared" ca="1" si="38"/>
        <v>0</v>
      </c>
      <c r="AM150" s="131">
        <v>0</v>
      </c>
      <c r="AN150" s="140">
        <f t="shared" ca="1" si="39"/>
        <v>0</v>
      </c>
      <c r="AO150" s="140">
        <v>0</v>
      </c>
      <c r="AP150" s="140">
        <f t="shared" ca="1" si="40"/>
        <v>0</v>
      </c>
      <c r="AQ150" s="140">
        <f t="shared" ca="1" si="41"/>
        <v>0</v>
      </c>
      <c r="AR150" s="131">
        <v>0</v>
      </c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AB151" s="131">
        <f t="shared" ca="1" si="28"/>
        <v>0</v>
      </c>
      <c r="AC151" s="131">
        <f t="shared" ca="1" si="29"/>
        <v>0</v>
      </c>
      <c r="AD151" s="131">
        <f t="shared" ca="1" si="30"/>
        <v>0</v>
      </c>
      <c r="AE151" s="140">
        <f t="shared" ca="1" si="31"/>
        <v>0</v>
      </c>
      <c r="AF151" s="140">
        <f t="shared" ca="1" si="32"/>
        <v>0</v>
      </c>
      <c r="AG151" s="140">
        <f t="shared" ca="1" si="33"/>
        <v>0</v>
      </c>
      <c r="AH151" s="131">
        <f t="shared" ca="1" si="34"/>
        <v>0</v>
      </c>
      <c r="AI151" s="131">
        <f t="shared" ca="1" si="35"/>
        <v>0</v>
      </c>
      <c r="AJ151" s="131">
        <f t="shared" ca="1" si="36"/>
        <v>0</v>
      </c>
      <c r="AK151" s="140">
        <f t="shared" ca="1" si="37"/>
        <v>0</v>
      </c>
      <c r="AL151" s="140">
        <f t="shared" ca="1" si="38"/>
        <v>0</v>
      </c>
      <c r="AM151" s="131">
        <v>0</v>
      </c>
      <c r="AN151" s="140">
        <f t="shared" ca="1" si="39"/>
        <v>0</v>
      </c>
      <c r="AO151" s="140">
        <v>0</v>
      </c>
      <c r="AP151" s="140">
        <f t="shared" ca="1" si="40"/>
        <v>0</v>
      </c>
      <c r="AQ151" s="140">
        <f t="shared" ca="1" si="41"/>
        <v>0</v>
      </c>
      <c r="AR151" s="131">
        <v>0</v>
      </c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AB152" s="131">
        <f t="shared" ca="1" si="28"/>
        <v>0</v>
      </c>
      <c r="AC152" s="131">
        <f t="shared" ca="1" si="29"/>
        <v>0</v>
      </c>
      <c r="AD152" s="131">
        <f t="shared" ca="1" si="30"/>
        <v>0</v>
      </c>
      <c r="AE152" s="140">
        <f t="shared" ca="1" si="31"/>
        <v>0</v>
      </c>
      <c r="AF152" s="140">
        <f t="shared" ca="1" si="32"/>
        <v>0</v>
      </c>
      <c r="AG152" s="140">
        <f t="shared" ca="1" si="33"/>
        <v>0</v>
      </c>
      <c r="AH152" s="131">
        <f t="shared" ca="1" si="34"/>
        <v>0</v>
      </c>
      <c r="AI152" s="131">
        <f t="shared" ca="1" si="35"/>
        <v>0</v>
      </c>
      <c r="AJ152" s="131">
        <f t="shared" ca="1" si="36"/>
        <v>0</v>
      </c>
      <c r="AK152" s="140">
        <f t="shared" ca="1" si="37"/>
        <v>0</v>
      </c>
      <c r="AL152" s="140">
        <f t="shared" ca="1" si="38"/>
        <v>0</v>
      </c>
      <c r="AM152" s="131">
        <v>0</v>
      </c>
      <c r="AN152" s="140">
        <f t="shared" ca="1" si="39"/>
        <v>0</v>
      </c>
      <c r="AO152" s="140">
        <v>0</v>
      </c>
      <c r="AP152" s="140">
        <f t="shared" ca="1" si="40"/>
        <v>0</v>
      </c>
      <c r="AQ152" s="140">
        <f t="shared" ca="1" si="41"/>
        <v>0</v>
      </c>
      <c r="AR152" s="131">
        <v>0</v>
      </c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AB153" s="131">
        <f t="shared" ca="1" si="28"/>
        <v>0</v>
      </c>
      <c r="AC153" s="131">
        <f t="shared" ca="1" si="29"/>
        <v>0</v>
      </c>
      <c r="AD153" s="131">
        <f t="shared" ca="1" si="30"/>
        <v>0</v>
      </c>
      <c r="AE153" s="140">
        <f t="shared" ca="1" si="31"/>
        <v>0</v>
      </c>
      <c r="AF153" s="140">
        <f t="shared" ca="1" si="32"/>
        <v>0</v>
      </c>
      <c r="AG153" s="140">
        <f t="shared" ca="1" si="33"/>
        <v>0</v>
      </c>
      <c r="AH153" s="131">
        <f t="shared" ca="1" si="34"/>
        <v>0</v>
      </c>
      <c r="AI153" s="131">
        <f t="shared" ca="1" si="35"/>
        <v>0</v>
      </c>
      <c r="AJ153" s="131">
        <f t="shared" ca="1" si="36"/>
        <v>0</v>
      </c>
      <c r="AK153" s="140">
        <f t="shared" ca="1" si="37"/>
        <v>0</v>
      </c>
      <c r="AL153" s="140">
        <f t="shared" ca="1" si="38"/>
        <v>0</v>
      </c>
      <c r="AM153" s="131">
        <v>0</v>
      </c>
      <c r="AN153" s="140">
        <f t="shared" ca="1" si="39"/>
        <v>0</v>
      </c>
      <c r="AO153" s="140">
        <v>0</v>
      </c>
      <c r="AP153" s="140">
        <f t="shared" ca="1" si="40"/>
        <v>0</v>
      </c>
      <c r="AQ153" s="140">
        <f t="shared" ca="1" si="41"/>
        <v>0</v>
      </c>
      <c r="AR153" s="131">
        <v>0</v>
      </c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AB154" s="131">
        <f t="shared" ca="1" si="28"/>
        <v>0</v>
      </c>
      <c r="AC154" s="131">
        <f t="shared" ca="1" si="29"/>
        <v>0</v>
      </c>
      <c r="AD154" s="131">
        <f t="shared" ca="1" si="30"/>
        <v>0</v>
      </c>
      <c r="AE154" s="140">
        <f t="shared" ca="1" si="31"/>
        <v>0</v>
      </c>
      <c r="AF154" s="140">
        <f t="shared" ca="1" si="32"/>
        <v>0</v>
      </c>
      <c r="AG154" s="140">
        <f t="shared" ca="1" si="33"/>
        <v>0</v>
      </c>
      <c r="AH154" s="131">
        <f t="shared" ca="1" si="34"/>
        <v>0</v>
      </c>
      <c r="AI154" s="131">
        <f t="shared" ca="1" si="35"/>
        <v>0</v>
      </c>
      <c r="AJ154" s="131">
        <f t="shared" ca="1" si="36"/>
        <v>0</v>
      </c>
      <c r="AK154" s="140">
        <f t="shared" ca="1" si="37"/>
        <v>0</v>
      </c>
      <c r="AL154" s="140">
        <f t="shared" ca="1" si="38"/>
        <v>0</v>
      </c>
      <c r="AM154" s="131">
        <v>0</v>
      </c>
      <c r="AN154" s="140">
        <f t="shared" ca="1" si="39"/>
        <v>0</v>
      </c>
      <c r="AO154" s="140">
        <v>0</v>
      </c>
      <c r="AP154" s="140">
        <f t="shared" ca="1" si="40"/>
        <v>0</v>
      </c>
      <c r="AQ154" s="140">
        <f t="shared" ca="1" si="41"/>
        <v>0</v>
      </c>
      <c r="AR154" s="131">
        <v>0</v>
      </c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AB155" s="131">
        <f t="shared" ca="1" si="28"/>
        <v>0</v>
      </c>
      <c r="AC155" s="131">
        <f t="shared" ca="1" si="29"/>
        <v>0</v>
      </c>
      <c r="AD155" s="131">
        <f t="shared" ca="1" si="30"/>
        <v>0</v>
      </c>
      <c r="AE155" s="140">
        <f t="shared" ca="1" si="31"/>
        <v>0</v>
      </c>
      <c r="AF155" s="140">
        <f t="shared" ca="1" si="32"/>
        <v>0</v>
      </c>
      <c r="AG155" s="140">
        <f t="shared" ca="1" si="33"/>
        <v>0</v>
      </c>
      <c r="AH155" s="131">
        <f t="shared" ca="1" si="34"/>
        <v>0</v>
      </c>
      <c r="AI155" s="131">
        <f t="shared" ca="1" si="35"/>
        <v>0</v>
      </c>
      <c r="AJ155" s="131">
        <f t="shared" ca="1" si="36"/>
        <v>0</v>
      </c>
      <c r="AK155" s="140">
        <f t="shared" ca="1" si="37"/>
        <v>0</v>
      </c>
      <c r="AL155" s="140">
        <f t="shared" ca="1" si="38"/>
        <v>0</v>
      </c>
      <c r="AM155" s="131">
        <v>0</v>
      </c>
      <c r="AN155" s="140">
        <f t="shared" ca="1" si="39"/>
        <v>0</v>
      </c>
      <c r="AO155" s="140">
        <v>0</v>
      </c>
      <c r="AP155" s="140">
        <f t="shared" ca="1" si="40"/>
        <v>0</v>
      </c>
      <c r="AQ155" s="140">
        <f t="shared" ca="1" si="41"/>
        <v>0</v>
      </c>
      <c r="AR155" s="131">
        <v>0</v>
      </c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AB156" s="131">
        <f t="shared" ca="1" si="28"/>
        <v>0</v>
      </c>
      <c r="AC156" s="131">
        <f t="shared" ca="1" si="29"/>
        <v>0</v>
      </c>
      <c r="AD156" s="131">
        <f t="shared" ca="1" si="30"/>
        <v>0</v>
      </c>
      <c r="AE156" s="140">
        <f t="shared" ca="1" si="31"/>
        <v>0</v>
      </c>
      <c r="AF156" s="140">
        <f t="shared" ca="1" si="32"/>
        <v>0</v>
      </c>
      <c r="AG156" s="140">
        <f t="shared" ca="1" si="33"/>
        <v>0</v>
      </c>
      <c r="AH156" s="131">
        <f t="shared" ca="1" si="34"/>
        <v>0</v>
      </c>
      <c r="AI156" s="131">
        <f t="shared" ca="1" si="35"/>
        <v>0</v>
      </c>
      <c r="AJ156" s="131">
        <f t="shared" ca="1" si="36"/>
        <v>0</v>
      </c>
      <c r="AK156" s="140">
        <f t="shared" ca="1" si="37"/>
        <v>0</v>
      </c>
      <c r="AL156" s="140">
        <f t="shared" ca="1" si="38"/>
        <v>0</v>
      </c>
      <c r="AM156" s="131">
        <v>0</v>
      </c>
      <c r="AN156" s="140">
        <f t="shared" ca="1" si="39"/>
        <v>0</v>
      </c>
      <c r="AO156" s="140">
        <v>0</v>
      </c>
      <c r="AP156" s="140">
        <f t="shared" ca="1" si="40"/>
        <v>0</v>
      </c>
      <c r="AQ156" s="140">
        <f t="shared" ca="1" si="41"/>
        <v>0</v>
      </c>
      <c r="AR156" s="131">
        <v>0</v>
      </c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AB157" s="131">
        <f t="shared" ca="1" si="28"/>
        <v>0</v>
      </c>
      <c r="AC157" s="131">
        <f t="shared" ca="1" si="29"/>
        <v>0</v>
      </c>
      <c r="AD157" s="131">
        <f t="shared" ca="1" si="30"/>
        <v>0</v>
      </c>
      <c r="AE157" s="140">
        <f t="shared" ca="1" si="31"/>
        <v>0</v>
      </c>
      <c r="AF157" s="140">
        <f t="shared" ca="1" si="32"/>
        <v>0</v>
      </c>
      <c r="AG157" s="140">
        <f t="shared" ca="1" si="33"/>
        <v>0</v>
      </c>
      <c r="AH157" s="131">
        <f t="shared" ca="1" si="34"/>
        <v>0</v>
      </c>
      <c r="AI157" s="131">
        <f t="shared" ca="1" si="35"/>
        <v>0</v>
      </c>
      <c r="AJ157" s="131">
        <f t="shared" ca="1" si="36"/>
        <v>0</v>
      </c>
      <c r="AK157" s="140">
        <f t="shared" ca="1" si="37"/>
        <v>0</v>
      </c>
      <c r="AL157" s="140">
        <f t="shared" ca="1" si="38"/>
        <v>0</v>
      </c>
      <c r="AM157" s="131">
        <v>0</v>
      </c>
      <c r="AN157" s="140">
        <f t="shared" ca="1" si="39"/>
        <v>0</v>
      </c>
      <c r="AO157" s="140">
        <v>0</v>
      </c>
      <c r="AP157" s="140">
        <f t="shared" ca="1" si="40"/>
        <v>0</v>
      </c>
      <c r="AQ157" s="140">
        <f t="shared" ca="1" si="41"/>
        <v>0</v>
      </c>
      <c r="AR157" s="131">
        <v>0</v>
      </c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AB158" s="131">
        <f t="shared" ca="1" si="28"/>
        <v>0</v>
      </c>
      <c r="AC158" s="131">
        <f t="shared" ca="1" si="29"/>
        <v>0</v>
      </c>
      <c r="AD158" s="131">
        <f t="shared" ca="1" si="30"/>
        <v>0</v>
      </c>
      <c r="AE158" s="140">
        <f t="shared" ca="1" si="31"/>
        <v>0</v>
      </c>
      <c r="AF158" s="140">
        <f t="shared" ca="1" si="32"/>
        <v>0</v>
      </c>
      <c r="AG158" s="140">
        <f t="shared" ca="1" si="33"/>
        <v>0</v>
      </c>
      <c r="AH158" s="131">
        <f t="shared" ca="1" si="34"/>
        <v>0</v>
      </c>
      <c r="AI158" s="131">
        <f t="shared" ca="1" si="35"/>
        <v>0</v>
      </c>
      <c r="AJ158" s="131">
        <f t="shared" ca="1" si="36"/>
        <v>0</v>
      </c>
      <c r="AK158" s="140">
        <f t="shared" ca="1" si="37"/>
        <v>0</v>
      </c>
      <c r="AL158" s="140">
        <f t="shared" ca="1" si="38"/>
        <v>0</v>
      </c>
      <c r="AM158" s="131">
        <v>0</v>
      </c>
      <c r="AN158" s="140">
        <f t="shared" ca="1" si="39"/>
        <v>0</v>
      </c>
      <c r="AO158" s="140">
        <v>0</v>
      </c>
      <c r="AP158" s="140">
        <f t="shared" ca="1" si="40"/>
        <v>0</v>
      </c>
      <c r="AQ158" s="140">
        <f t="shared" ca="1" si="41"/>
        <v>0</v>
      </c>
      <c r="AR158" s="131">
        <v>0</v>
      </c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AB159" s="131">
        <f t="shared" ca="1" si="28"/>
        <v>0</v>
      </c>
      <c r="AC159" s="131">
        <f t="shared" ca="1" si="29"/>
        <v>0</v>
      </c>
      <c r="AD159" s="131">
        <f t="shared" ca="1" si="30"/>
        <v>0</v>
      </c>
      <c r="AE159" s="140">
        <f t="shared" ca="1" si="31"/>
        <v>0</v>
      </c>
      <c r="AF159" s="140">
        <f t="shared" ca="1" si="32"/>
        <v>0</v>
      </c>
      <c r="AG159" s="140">
        <f t="shared" ca="1" si="33"/>
        <v>0</v>
      </c>
      <c r="AH159" s="131">
        <f t="shared" ca="1" si="34"/>
        <v>0</v>
      </c>
      <c r="AI159" s="131">
        <f t="shared" ca="1" si="35"/>
        <v>0</v>
      </c>
      <c r="AJ159" s="131">
        <f t="shared" ca="1" si="36"/>
        <v>0</v>
      </c>
      <c r="AK159" s="140">
        <f t="shared" ca="1" si="37"/>
        <v>0</v>
      </c>
      <c r="AL159" s="140">
        <f t="shared" ca="1" si="38"/>
        <v>0</v>
      </c>
      <c r="AM159" s="131">
        <v>0</v>
      </c>
      <c r="AN159" s="140">
        <f t="shared" ca="1" si="39"/>
        <v>0</v>
      </c>
      <c r="AO159" s="140">
        <v>0</v>
      </c>
      <c r="AP159" s="140">
        <f t="shared" ca="1" si="40"/>
        <v>0</v>
      </c>
      <c r="AQ159" s="140">
        <f t="shared" ca="1" si="41"/>
        <v>0</v>
      </c>
      <c r="AR159" s="131">
        <v>0</v>
      </c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AB160" s="131">
        <f t="shared" ca="1" si="28"/>
        <v>0</v>
      </c>
      <c r="AC160" s="131">
        <f t="shared" ca="1" si="29"/>
        <v>0</v>
      </c>
      <c r="AD160" s="131">
        <f t="shared" ca="1" si="30"/>
        <v>0</v>
      </c>
      <c r="AE160" s="140">
        <f t="shared" ca="1" si="31"/>
        <v>0</v>
      </c>
      <c r="AF160" s="140">
        <f t="shared" ca="1" si="32"/>
        <v>0</v>
      </c>
      <c r="AG160" s="140">
        <f t="shared" ca="1" si="33"/>
        <v>0</v>
      </c>
      <c r="AH160" s="131">
        <f t="shared" ca="1" si="34"/>
        <v>0</v>
      </c>
      <c r="AI160" s="131">
        <f t="shared" ca="1" si="35"/>
        <v>0</v>
      </c>
      <c r="AJ160" s="131">
        <f t="shared" ca="1" si="36"/>
        <v>0</v>
      </c>
      <c r="AK160" s="140">
        <f t="shared" ca="1" si="37"/>
        <v>0</v>
      </c>
      <c r="AL160" s="140">
        <f t="shared" ca="1" si="38"/>
        <v>0</v>
      </c>
      <c r="AM160" s="131">
        <v>0</v>
      </c>
      <c r="AN160" s="140">
        <f t="shared" ca="1" si="39"/>
        <v>0</v>
      </c>
      <c r="AO160" s="140">
        <v>0</v>
      </c>
      <c r="AP160" s="140">
        <f t="shared" ca="1" si="40"/>
        <v>0</v>
      </c>
      <c r="AQ160" s="140">
        <f t="shared" ca="1" si="41"/>
        <v>0</v>
      </c>
      <c r="AR160" s="131">
        <v>0</v>
      </c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AB161" s="131">
        <f t="shared" ca="1" si="28"/>
        <v>0</v>
      </c>
      <c r="AC161" s="131">
        <f t="shared" ca="1" si="29"/>
        <v>0</v>
      </c>
      <c r="AD161" s="131">
        <f t="shared" ca="1" si="30"/>
        <v>0</v>
      </c>
      <c r="AE161" s="140">
        <f t="shared" ca="1" si="31"/>
        <v>0</v>
      </c>
      <c r="AF161" s="140">
        <f t="shared" ca="1" si="32"/>
        <v>0</v>
      </c>
      <c r="AG161" s="140">
        <f t="shared" ca="1" si="33"/>
        <v>0</v>
      </c>
      <c r="AH161" s="131">
        <f t="shared" ca="1" si="34"/>
        <v>0</v>
      </c>
      <c r="AI161" s="131">
        <f t="shared" ca="1" si="35"/>
        <v>0</v>
      </c>
      <c r="AJ161" s="131">
        <f t="shared" ca="1" si="36"/>
        <v>0</v>
      </c>
      <c r="AK161" s="140">
        <f t="shared" ca="1" si="37"/>
        <v>0</v>
      </c>
      <c r="AL161" s="140">
        <f t="shared" ca="1" si="38"/>
        <v>0</v>
      </c>
      <c r="AM161" s="131">
        <v>0</v>
      </c>
      <c r="AN161" s="140">
        <f t="shared" ca="1" si="39"/>
        <v>0</v>
      </c>
      <c r="AO161" s="140">
        <v>0</v>
      </c>
      <c r="AP161" s="140">
        <f t="shared" ca="1" si="40"/>
        <v>0</v>
      </c>
      <c r="AQ161" s="140">
        <f t="shared" ca="1" si="41"/>
        <v>0</v>
      </c>
      <c r="AR161" s="131">
        <v>0</v>
      </c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AB162" s="131">
        <f t="shared" ca="1" si="28"/>
        <v>0</v>
      </c>
      <c r="AC162" s="131">
        <f t="shared" ca="1" si="29"/>
        <v>0</v>
      </c>
      <c r="AD162" s="131">
        <f t="shared" ca="1" si="30"/>
        <v>0</v>
      </c>
      <c r="AE162" s="140">
        <f t="shared" ca="1" si="31"/>
        <v>0</v>
      </c>
      <c r="AF162" s="140">
        <f t="shared" ca="1" si="32"/>
        <v>0</v>
      </c>
      <c r="AG162" s="140">
        <f t="shared" ca="1" si="33"/>
        <v>0</v>
      </c>
      <c r="AH162" s="131">
        <f t="shared" ca="1" si="34"/>
        <v>0</v>
      </c>
      <c r="AI162" s="131">
        <f t="shared" ca="1" si="35"/>
        <v>0</v>
      </c>
      <c r="AJ162" s="131">
        <f t="shared" ca="1" si="36"/>
        <v>0</v>
      </c>
      <c r="AK162" s="140">
        <f t="shared" ca="1" si="37"/>
        <v>0</v>
      </c>
      <c r="AL162" s="140">
        <f t="shared" ca="1" si="38"/>
        <v>0</v>
      </c>
      <c r="AM162" s="131">
        <v>0</v>
      </c>
      <c r="AN162" s="140">
        <f t="shared" ca="1" si="39"/>
        <v>0</v>
      </c>
      <c r="AO162" s="140">
        <v>0</v>
      </c>
      <c r="AP162" s="140">
        <f t="shared" ca="1" si="40"/>
        <v>0</v>
      </c>
      <c r="AQ162" s="140">
        <f t="shared" ca="1" si="41"/>
        <v>0</v>
      </c>
      <c r="AR162" s="131">
        <v>0</v>
      </c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AB163" s="131">
        <f t="shared" ca="1" si="28"/>
        <v>0</v>
      </c>
      <c r="AC163" s="131">
        <f t="shared" ca="1" si="29"/>
        <v>0</v>
      </c>
      <c r="AD163" s="131">
        <f t="shared" ca="1" si="30"/>
        <v>0</v>
      </c>
      <c r="AE163" s="140">
        <f t="shared" ca="1" si="31"/>
        <v>0</v>
      </c>
      <c r="AF163" s="140">
        <f t="shared" ca="1" si="32"/>
        <v>0</v>
      </c>
      <c r="AG163" s="140">
        <f t="shared" ca="1" si="33"/>
        <v>0</v>
      </c>
      <c r="AH163" s="131">
        <f t="shared" ca="1" si="34"/>
        <v>0</v>
      </c>
      <c r="AI163" s="131">
        <f t="shared" ca="1" si="35"/>
        <v>0</v>
      </c>
      <c r="AJ163" s="131">
        <f t="shared" ca="1" si="36"/>
        <v>0</v>
      </c>
      <c r="AK163" s="140">
        <f t="shared" ca="1" si="37"/>
        <v>0</v>
      </c>
      <c r="AL163" s="140">
        <f t="shared" ca="1" si="38"/>
        <v>0</v>
      </c>
      <c r="AM163" s="131">
        <v>0</v>
      </c>
      <c r="AN163" s="140">
        <f t="shared" ca="1" si="39"/>
        <v>0</v>
      </c>
      <c r="AO163" s="140">
        <v>0</v>
      </c>
      <c r="AP163" s="140">
        <f t="shared" ca="1" si="40"/>
        <v>0</v>
      </c>
      <c r="AQ163" s="140">
        <f t="shared" ca="1" si="41"/>
        <v>0</v>
      </c>
      <c r="AR163" s="131">
        <v>0</v>
      </c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AB164" s="131">
        <f t="shared" ca="1" si="28"/>
        <v>0</v>
      </c>
      <c r="AC164" s="131">
        <f t="shared" ca="1" si="29"/>
        <v>0</v>
      </c>
      <c r="AD164" s="131">
        <f t="shared" ca="1" si="30"/>
        <v>0</v>
      </c>
      <c r="AE164" s="140">
        <f t="shared" ca="1" si="31"/>
        <v>0</v>
      </c>
      <c r="AF164" s="140">
        <f t="shared" ca="1" si="32"/>
        <v>0</v>
      </c>
      <c r="AG164" s="140">
        <f t="shared" ca="1" si="33"/>
        <v>0</v>
      </c>
      <c r="AH164" s="131">
        <f t="shared" ca="1" si="34"/>
        <v>0</v>
      </c>
      <c r="AI164" s="131">
        <f t="shared" ca="1" si="35"/>
        <v>0</v>
      </c>
      <c r="AJ164" s="131">
        <f t="shared" ca="1" si="36"/>
        <v>0</v>
      </c>
      <c r="AK164" s="140">
        <f t="shared" ca="1" si="37"/>
        <v>0</v>
      </c>
      <c r="AL164" s="140">
        <f t="shared" ca="1" si="38"/>
        <v>0</v>
      </c>
      <c r="AM164" s="131">
        <v>0</v>
      </c>
      <c r="AN164" s="140">
        <f t="shared" ca="1" si="39"/>
        <v>0</v>
      </c>
      <c r="AO164" s="140">
        <v>0</v>
      </c>
      <c r="AP164" s="140">
        <f t="shared" ca="1" si="40"/>
        <v>0</v>
      </c>
      <c r="AQ164" s="140">
        <f t="shared" ca="1" si="41"/>
        <v>0</v>
      </c>
      <c r="AR164" s="131">
        <v>0</v>
      </c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AB165" s="131">
        <f t="shared" ca="1" si="28"/>
        <v>0</v>
      </c>
      <c r="AC165" s="131">
        <f t="shared" ca="1" si="29"/>
        <v>0</v>
      </c>
      <c r="AD165" s="131">
        <f t="shared" ca="1" si="30"/>
        <v>0</v>
      </c>
      <c r="AE165" s="140">
        <f t="shared" ca="1" si="31"/>
        <v>0</v>
      </c>
      <c r="AF165" s="140">
        <f t="shared" ca="1" si="32"/>
        <v>0</v>
      </c>
      <c r="AG165" s="140">
        <f t="shared" ca="1" si="33"/>
        <v>0</v>
      </c>
      <c r="AH165" s="131">
        <f t="shared" ca="1" si="34"/>
        <v>0</v>
      </c>
      <c r="AI165" s="131">
        <f t="shared" ca="1" si="35"/>
        <v>0</v>
      </c>
      <c r="AJ165" s="131">
        <f t="shared" ca="1" si="36"/>
        <v>0</v>
      </c>
      <c r="AK165" s="140">
        <f t="shared" ca="1" si="37"/>
        <v>0</v>
      </c>
      <c r="AL165" s="140">
        <f t="shared" ca="1" si="38"/>
        <v>0</v>
      </c>
      <c r="AM165" s="131">
        <v>0</v>
      </c>
      <c r="AN165" s="140">
        <f t="shared" ca="1" si="39"/>
        <v>0</v>
      </c>
      <c r="AO165" s="140">
        <v>0</v>
      </c>
      <c r="AP165" s="140">
        <f t="shared" ca="1" si="40"/>
        <v>0</v>
      </c>
      <c r="AQ165" s="140">
        <f t="shared" ca="1" si="41"/>
        <v>0</v>
      </c>
      <c r="AR165" s="131">
        <v>0</v>
      </c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AB166" s="131">
        <f t="shared" ca="1" si="28"/>
        <v>0</v>
      </c>
      <c r="AC166" s="131">
        <f t="shared" ca="1" si="29"/>
        <v>0</v>
      </c>
      <c r="AD166" s="131">
        <f t="shared" ca="1" si="30"/>
        <v>0</v>
      </c>
      <c r="AE166" s="140">
        <f t="shared" ca="1" si="31"/>
        <v>0</v>
      </c>
      <c r="AF166" s="140">
        <f t="shared" ca="1" si="32"/>
        <v>0</v>
      </c>
      <c r="AG166" s="140">
        <f t="shared" ca="1" si="33"/>
        <v>0</v>
      </c>
      <c r="AH166" s="131">
        <f t="shared" ca="1" si="34"/>
        <v>0</v>
      </c>
      <c r="AI166" s="131">
        <f t="shared" ca="1" si="35"/>
        <v>0</v>
      </c>
      <c r="AJ166" s="131">
        <f t="shared" ca="1" si="36"/>
        <v>0</v>
      </c>
      <c r="AK166" s="140">
        <f t="shared" ca="1" si="37"/>
        <v>0</v>
      </c>
      <c r="AL166" s="140">
        <f t="shared" ca="1" si="38"/>
        <v>0</v>
      </c>
      <c r="AM166" s="131">
        <v>0</v>
      </c>
      <c r="AN166" s="140">
        <f t="shared" ca="1" si="39"/>
        <v>0</v>
      </c>
      <c r="AO166" s="140">
        <v>0</v>
      </c>
      <c r="AP166" s="140">
        <f t="shared" ca="1" si="40"/>
        <v>0</v>
      </c>
      <c r="AQ166" s="140">
        <f t="shared" ca="1" si="41"/>
        <v>0</v>
      </c>
      <c r="AR166" s="131">
        <v>0</v>
      </c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AB167" s="131">
        <f t="shared" ca="1" si="28"/>
        <v>0</v>
      </c>
      <c r="AC167" s="131">
        <f t="shared" ca="1" si="29"/>
        <v>0</v>
      </c>
      <c r="AD167" s="131">
        <f t="shared" ca="1" si="30"/>
        <v>0</v>
      </c>
      <c r="AE167" s="140">
        <f t="shared" ca="1" si="31"/>
        <v>0</v>
      </c>
      <c r="AF167" s="140">
        <f t="shared" ca="1" si="32"/>
        <v>0</v>
      </c>
      <c r="AG167" s="140">
        <f t="shared" ca="1" si="33"/>
        <v>0</v>
      </c>
      <c r="AH167" s="131">
        <f t="shared" ca="1" si="34"/>
        <v>0</v>
      </c>
      <c r="AI167" s="131">
        <f t="shared" ca="1" si="35"/>
        <v>0</v>
      </c>
      <c r="AJ167" s="131">
        <f t="shared" ca="1" si="36"/>
        <v>0</v>
      </c>
      <c r="AK167" s="140">
        <f t="shared" ca="1" si="37"/>
        <v>0</v>
      </c>
      <c r="AL167" s="140">
        <f t="shared" ca="1" si="38"/>
        <v>0</v>
      </c>
      <c r="AM167" s="131">
        <v>0</v>
      </c>
      <c r="AN167" s="140">
        <f t="shared" ca="1" si="39"/>
        <v>0</v>
      </c>
      <c r="AO167" s="140">
        <v>0</v>
      </c>
      <c r="AP167" s="140">
        <f t="shared" ca="1" si="40"/>
        <v>0</v>
      </c>
      <c r="AQ167" s="140">
        <f t="shared" ca="1" si="41"/>
        <v>0</v>
      </c>
      <c r="AR167" s="131">
        <v>0</v>
      </c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AB168" s="131">
        <f t="shared" ca="1" si="28"/>
        <v>0</v>
      </c>
      <c r="AC168" s="131">
        <f t="shared" ca="1" si="29"/>
        <v>0</v>
      </c>
      <c r="AD168" s="131">
        <f t="shared" ca="1" si="30"/>
        <v>0</v>
      </c>
      <c r="AE168" s="140">
        <f t="shared" ca="1" si="31"/>
        <v>0</v>
      </c>
      <c r="AF168" s="140">
        <f t="shared" ca="1" si="32"/>
        <v>0</v>
      </c>
      <c r="AG168" s="140">
        <f t="shared" ca="1" si="33"/>
        <v>0</v>
      </c>
      <c r="AH168" s="131">
        <f t="shared" ca="1" si="34"/>
        <v>0</v>
      </c>
      <c r="AI168" s="131">
        <f t="shared" ca="1" si="35"/>
        <v>0</v>
      </c>
      <c r="AJ168" s="131">
        <f t="shared" ca="1" si="36"/>
        <v>0</v>
      </c>
      <c r="AK168" s="140">
        <f t="shared" ca="1" si="37"/>
        <v>0</v>
      </c>
      <c r="AL168" s="140">
        <f t="shared" ca="1" si="38"/>
        <v>0</v>
      </c>
      <c r="AM168" s="131">
        <v>0</v>
      </c>
      <c r="AN168" s="140">
        <f t="shared" ca="1" si="39"/>
        <v>0</v>
      </c>
      <c r="AO168" s="140">
        <v>0</v>
      </c>
      <c r="AP168" s="140">
        <f t="shared" ca="1" si="40"/>
        <v>0</v>
      </c>
      <c r="AQ168" s="140">
        <f t="shared" ca="1" si="41"/>
        <v>0</v>
      </c>
      <c r="AR168" s="131">
        <v>0</v>
      </c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AB169" s="131">
        <f t="shared" ca="1" si="28"/>
        <v>0</v>
      </c>
      <c r="AC169" s="131">
        <f t="shared" ca="1" si="29"/>
        <v>0</v>
      </c>
      <c r="AD169" s="131">
        <f t="shared" ca="1" si="30"/>
        <v>0</v>
      </c>
      <c r="AE169" s="140">
        <f t="shared" ca="1" si="31"/>
        <v>0</v>
      </c>
      <c r="AF169" s="140">
        <f t="shared" ca="1" si="32"/>
        <v>0</v>
      </c>
      <c r="AG169" s="140">
        <f t="shared" ca="1" si="33"/>
        <v>0</v>
      </c>
      <c r="AH169" s="131">
        <f t="shared" ca="1" si="34"/>
        <v>0</v>
      </c>
      <c r="AI169" s="131">
        <f t="shared" ca="1" si="35"/>
        <v>0</v>
      </c>
      <c r="AJ169" s="131">
        <f t="shared" ca="1" si="36"/>
        <v>0</v>
      </c>
      <c r="AK169" s="140">
        <f t="shared" ca="1" si="37"/>
        <v>0</v>
      </c>
      <c r="AL169" s="140">
        <f t="shared" ca="1" si="38"/>
        <v>0</v>
      </c>
      <c r="AM169" s="131">
        <v>0</v>
      </c>
      <c r="AN169" s="140">
        <f t="shared" ca="1" si="39"/>
        <v>0</v>
      </c>
      <c r="AO169" s="140">
        <v>0</v>
      </c>
      <c r="AP169" s="140">
        <f t="shared" ca="1" si="40"/>
        <v>0</v>
      </c>
      <c r="AQ169" s="140">
        <f t="shared" ca="1" si="41"/>
        <v>0</v>
      </c>
      <c r="AR169" s="131">
        <v>0</v>
      </c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AB170" s="131">
        <f t="shared" ca="1" si="28"/>
        <v>0</v>
      </c>
      <c r="AC170" s="131">
        <f t="shared" ca="1" si="29"/>
        <v>0</v>
      </c>
      <c r="AD170" s="131">
        <f t="shared" ca="1" si="30"/>
        <v>0</v>
      </c>
      <c r="AE170" s="140">
        <f t="shared" ca="1" si="31"/>
        <v>0</v>
      </c>
      <c r="AF170" s="140">
        <f t="shared" ca="1" si="32"/>
        <v>0</v>
      </c>
      <c r="AG170" s="140">
        <f t="shared" ca="1" si="33"/>
        <v>0</v>
      </c>
      <c r="AH170" s="131">
        <f t="shared" ca="1" si="34"/>
        <v>0</v>
      </c>
      <c r="AI170" s="131">
        <f t="shared" ca="1" si="35"/>
        <v>0</v>
      </c>
      <c r="AJ170" s="131">
        <f t="shared" ca="1" si="36"/>
        <v>0</v>
      </c>
      <c r="AK170" s="140">
        <f t="shared" ca="1" si="37"/>
        <v>0</v>
      </c>
      <c r="AL170" s="140">
        <f t="shared" ca="1" si="38"/>
        <v>0</v>
      </c>
      <c r="AM170" s="131">
        <v>0</v>
      </c>
      <c r="AN170" s="140">
        <f t="shared" ca="1" si="39"/>
        <v>0</v>
      </c>
      <c r="AO170" s="140">
        <v>0</v>
      </c>
      <c r="AP170" s="140">
        <f t="shared" ca="1" si="40"/>
        <v>0</v>
      </c>
      <c r="AQ170" s="140">
        <f t="shared" ca="1" si="41"/>
        <v>0</v>
      </c>
      <c r="AR170" s="131">
        <v>0</v>
      </c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AB171" s="131">
        <f t="shared" ca="1" si="28"/>
        <v>0</v>
      </c>
      <c r="AC171" s="131">
        <f t="shared" ca="1" si="29"/>
        <v>0</v>
      </c>
      <c r="AD171" s="131">
        <f t="shared" ca="1" si="30"/>
        <v>0</v>
      </c>
      <c r="AE171" s="140">
        <f t="shared" ca="1" si="31"/>
        <v>0</v>
      </c>
      <c r="AF171" s="140">
        <f t="shared" ca="1" si="32"/>
        <v>0</v>
      </c>
      <c r="AG171" s="140">
        <f t="shared" ca="1" si="33"/>
        <v>0</v>
      </c>
      <c r="AH171" s="131">
        <f t="shared" ca="1" si="34"/>
        <v>0</v>
      </c>
      <c r="AI171" s="131">
        <f t="shared" ca="1" si="35"/>
        <v>0</v>
      </c>
      <c r="AJ171" s="131">
        <f t="shared" ca="1" si="36"/>
        <v>0</v>
      </c>
      <c r="AK171" s="140">
        <f t="shared" ca="1" si="37"/>
        <v>0</v>
      </c>
      <c r="AL171" s="140">
        <f t="shared" ca="1" si="38"/>
        <v>0</v>
      </c>
      <c r="AM171" s="131">
        <v>0</v>
      </c>
      <c r="AN171" s="140">
        <f t="shared" ca="1" si="39"/>
        <v>0</v>
      </c>
      <c r="AO171" s="140">
        <v>0</v>
      </c>
      <c r="AP171" s="140">
        <f t="shared" ca="1" si="40"/>
        <v>0</v>
      </c>
      <c r="AQ171" s="140">
        <f t="shared" ca="1" si="41"/>
        <v>0</v>
      </c>
      <c r="AR171" s="131">
        <v>0</v>
      </c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AB172" s="131">
        <f t="shared" ca="1" si="28"/>
        <v>0</v>
      </c>
      <c r="AC172" s="131">
        <f t="shared" ca="1" si="29"/>
        <v>0</v>
      </c>
      <c r="AD172" s="131">
        <f t="shared" ca="1" si="30"/>
        <v>0</v>
      </c>
      <c r="AE172" s="140">
        <f t="shared" ca="1" si="31"/>
        <v>0</v>
      </c>
      <c r="AF172" s="140">
        <f t="shared" ca="1" si="32"/>
        <v>0</v>
      </c>
      <c r="AG172" s="140">
        <f t="shared" ca="1" si="33"/>
        <v>0</v>
      </c>
      <c r="AH172" s="131">
        <f t="shared" ca="1" si="34"/>
        <v>0</v>
      </c>
      <c r="AI172" s="131">
        <f t="shared" ca="1" si="35"/>
        <v>0</v>
      </c>
      <c r="AJ172" s="131">
        <f t="shared" ca="1" si="36"/>
        <v>0</v>
      </c>
      <c r="AK172" s="140">
        <f t="shared" ca="1" si="37"/>
        <v>0</v>
      </c>
      <c r="AL172" s="140">
        <f t="shared" ca="1" si="38"/>
        <v>0</v>
      </c>
      <c r="AM172" s="131">
        <v>0</v>
      </c>
      <c r="AN172" s="140">
        <f t="shared" ca="1" si="39"/>
        <v>0</v>
      </c>
      <c r="AO172" s="140">
        <v>0</v>
      </c>
      <c r="AP172" s="140">
        <f t="shared" ca="1" si="40"/>
        <v>0</v>
      </c>
      <c r="AQ172" s="140">
        <f t="shared" ca="1" si="41"/>
        <v>0</v>
      </c>
      <c r="AR172" s="131">
        <v>0</v>
      </c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AB173" s="131">
        <f t="shared" ca="1" si="28"/>
        <v>0</v>
      </c>
      <c r="AC173" s="131">
        <f t="shared" ca="1" si="29"/>
        <v>0</v>
      </c>
      <c r="AD173" s="131">
        <f t="shared" ca="1" si="30"/>
        <v>0</v>
      </c>
      <c r="AE173" s="140">
        <f t="shared" ca="1" si="31"/>
        <v>0</v>
      </c>
      <c r="AF173" s="140">
        <f t="shared" ca="1" si="32"/>
        <v>0</v>
      </c>
      <c r="AG173" s="140">
        <f t="shared" ca="1" si="33"/>
        <v>0</v>
      </c>
      <c r="AH173" s="131">
        <f t="shared" ca="1" si="34"/>
        <v>0</v>
      </c>
      <c r="AI173" s="131">
        <f t="shared" ca="1" si="35"/>
        <v>0</v>
      </c>
      <c r="AJ173" s="131">
        <f t="shared" ca="1" si="36"/>
        <v>0</v>
      </c>
      <c r="AK173" s="140">
        <f t="shared" ca="1" si="37"/>
        <v>0</v>
      </c>
      <c r="AL173" s="140">
        <f t="shared" ca="1" si="38"/>
        <v>0</v>
      </c>
      <c r="AM173" s="131">
        <v>0</v>
      </c>
      <c r="AN173" s="140">
        <f t="shared" ca="1" si="39"/>
        <v>0</v>
      </c>
      <c r="AO173" s="140">
        <v>0</v>
      </c>
      <c r="AP173" s="140">
        <f t="shared" ca="1" si="40"/>
        <v>0</v>
      </c>
      <c r="AQ173" s="140">
        <f t="shared" ca="1" si="41"/>
        <v>0</v>
      </c>
      <c r="AR173" s="131">
        <v>0</v>
      </c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AB174" s="131">
        <f t="shared" ca="1" si="28"/>
        <v>0</v>
      </c>
      <c r="AC174" s="131">
        <f t="shared" ca="1" si="29"/>
        <v>0</v>
      </c>
      <c r="AD174" s="131">
        <f t="shared" ca="1" si="30"/>
        <v>0</v>
      </c>
      <c r="AE174" s="140">
        <f t="shared" ca="1" si="31"/>
        <v>0</v>
      </c>
      <c r="AF174" s="140">
        <f t="shared" ca="1" si="32"/>
        <v>0</v>
      </c>
      <c r="AG174" s="140">
        <f t="shared" ca="1" si="33"/>
        <v>0</v>
      </c>
      <c r="AH174" s="131">
        <f t="shared" ca="1" si="34"/>
        <v>0</v>
      </c>
      <c r="AI174" s="131">
        <f t="shared" ca="1" si="35"/>
        <v>0</v>
      </c>
      <c r="AJ174" s="131">
        <f t="shared" ca="1" si="36"/>
        <v>0</v>
      </c>
      <c r="AK174" s="140">
        <f t="shared" ca="1" si="37"/>
        <v>0</v>
      </c>
      <c r="AL174" s="140">
        <f t="shared" ca="1" si="38"/>
        <v>0</v>
      </c>
      <c r="AM174" s="131">
        <v>0</v>
      </c>
      <c r="AN174" s="140">
        <f t="shared" ca="1" si="39"/>
        <v>0</v>
      </c>
      <c r="AO174" s="140">
        <v>0</v>
      </c>
      <c r="AP174" s="140">
        <f t="shared" ca="1" si="40"/>
        <v>0</v>
      </c>
      <c r="AQ174" s="140">
        <f t="shared" ca="1" si="41"/>
        <v>0</v>
      </c>
      <c r="AR174" s="131">
        <v>0</v>
      </c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AB175" s="131">
        <f t="shared" ca="1" si="28"/>
        <v>0</v>
      </c>
      <c r="AC175" s="131">
        <f t="shared" ca="1" si="29"/>
        <v>0</v>
      </c>
      <c r="AD175" s="131">
        <f t="shared" ca="1" si="30"/>
        <v>0</v>
      </c>
      <c r="AE175" s="140">
        <f t="shared" ca="1" si="31"/>
        <v>0</v>
      </c>
      <c r="AF175" s="140">
        <f t="shared" ca="1" si="32"/>
        <v>0</v>
      </c>
      <c r="AG175" s="140">
        <f t="shared" ca="1" si="33"/>
        <v>0</v>
      </c>
      <c r="AH175" s="131">
        <f t="shared" ca="1" si="34"/>
        <v>0</v>
      </c>
      <c r="AI175" s="131">
        <f t="shared" ca="1" si="35"/>
        <v>0</v>
      </c>
      <c r="AJ175" s="131">
        <f t="shared" ca="1" si="36"/>
        <v>0</v>
      </c>
      <c r="AK175" s="140">
        <f t="shared" ca="1" si="37"/>
        <v>0</v>
      </c>
      <c r="AL175" s="140">
        <f t="shared" ca="1" si="38"/>
        <v>0</v>
      </c>
      <c r="AM175" s="131">
        <v>0</v>
      </c>
      <c r="AN175" s="140">
        <f t="shared" ca="1" si="39"/>
        <v>0</v>
      </c>
      <c r="AO175" s="140">
        <v>0</v>
      </c>
      <c r="AP175" s="140">
        <f t="shared" ca="1" si="40"/>
        <v>0</v>
      </c>
      <c r="AQ175" s="140">
        <f t="shared" ca="1" si="41"/>
        <v>0</v>
      </c>
      <c r="AR175" s="131">
        <v>0</v>
      </c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AB176" s="131">
        <f t="shared" ca="1" si="28"/>
        <v>0</v>
      </c>
      <c r="AC176" s="131">
        <f t="shared" ca="1" si="29"/>
        <v>0</v>
      </c>
      <c r="AD176" s="131">
        <f t="shared" ca="1" si="30"/>
        <v>0</v>
      </c>
      <c r="AE176" s="140">
        <f t="shared" ca="1" si="31"/>
        <v>0</v>
      </c>
      <c r="AF176" s="140">
        <f t="shared" ca="1" si="32"/>
        <v>0</v>
      </c>
      <c r="AG176" s="140">
        <f t="shared" ca="1" si="33"/>
        <v>0</v>
      </c>
      <c r="AH176" s="131">
        <f t="shared" ca="1" si="34"/>
        <v>0</v>
      </c>
      <c r="AI176" s="131">
        <f t="shared" ca="1" si="35"/>
        <v>0</v>
      </c>
      <c r="AJ176" s="131">
        <f t="shared" ca="1" si="36"/>
        <v>0</v>
      </c>
      <c r="AK176" s="140">
        <f t="shared" ca="1" si="37"/>
        <v>0</v>
      </c>
      <c r="AL176" s="140">
        <f t="shared" ca="1" si="38"/>
        <v>0</v>
      </c>
      <c r="AM176" s="131">
        <v>0</v>
      </c>
      <c r="AN176" s="140">
        <f t="shared" ca="1" si="39"/>
        <v>0</v>
      </c>
      <c r="AO176" s="140">
        <v>0</v>
      </c>
      <c r="AP176" s="140">
        <f t="shared" ca="1" si="40"/>
        <v>0</v>
      </c>
      <c r="AQ176" s="140">
        <f t="shared" ca="1" si="41"/>
        <v>0</v>
      </c>
      <c r="AR176" s="131">
        <v>0</v>
      </c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AB177" s="131">
        <f t="shared" ca="1" si="28"/>
        <v>0</v>
      </c>
      <c r="AC177" s="131">
        <f t="shared" ca="1" si="29"/>
        <v>0</v>
      </c>
      <c r="AD177" s="131">
        <f t="shared" ca="1" si="30"/>
        <v>0</v>
      </c>
      <c r="AE177" s="140">
        <f t="shared" ca="1" si="31"/>
        <v>0</v>
      </c>
      <c r="AF177" s="140">
        <f t="shared" ca="1" si="32"/>
        <v>0</v>
      </c>
      <c r="AG177" s="140">
        <f t="shared" ca="1" si="33"/>
        <v>0</v>
      </c>
      <c r="AH177" s="131">
        <f t="shared" ca="1" si="34"/>
        <v>0</v>
      </c>
      <c r="AI177" s="131">
        <f t="shared" ca="1" si="35"/>
        <v>0</v>
      </c>
      <c r="AJ177" s="131">
        <f t="shared" ca="1" si="36"/>
        <v>0</v>
      </c>
      <c r="AK177" s="140">
        <f t="shared" ca="1" si="37"/>
        <v>0</v>
      </c>
      <c r="AL177" s="140">
        <f t="shared" ca="1" si="38"/>
        <v>0</v>
      </c>
      <c r="AM177" s="131">
        <v>0</v>
      </c>
      <c r="AN177" s="140">
        <f t="shared" ca="1" si="39"/>
        <v>0</v>
      </c>
      <c r="AO177" s="140">
        <v>0</v>
      </c>
      <c r="AP177" s="140">
        <f t="shared" ca="1" si="40"/>
        <v>0</v>
      </c>
      <c r="AQ177" s="140">
        <f t="shared" ca="1" si="41"/>
        <v>0</v>
      </c>
      <c r="AR177" s="131">
        <v>0</v>
      </c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AB178" s="131">
        <f t="shared" ca="1" si="28"/>
        <v>0</v>
      </c>
      <c r="AC178" s="131">
        <f t="shared" ca="1" si="29"/>
        <v>0</v>
      </c>
      <c r="AD178" s="131">
        <f t="shared" ca="1" si="30"/>
        <v>0</v>
      </c>
      <c r="AE178" s="140">
        <f t="shared" ca="1" si="31"/>
        <v>0</v>
      </c>
      <c r="AF178" s="140">
        <f t="shared" ca="1" si="32"/>
        <v>0</v>
      </c>
      <c r="AG178" s="140">
        <f t="shared" ca="1" si="33"/>
        <v>0</v>
      </c>
      <c r="AH178" s="131">
        <f t="shared" ca="1" si="34"/>
        <v>0</v>
      </c>
      <c r="AI178" s="131">
        <f t="shared" ca="1" si="35"/>
        <v>0</v>
      </c>
      <c r="AJ178" s="131">
        <f t="shared" ca="1" si="36"/>
        <v>0</v>
      </c>
      <c r="AK178" s="140">
        <f t="shared" ca="1" si="37"/>
        <v>0</v>
      </c>
      <c r="AL178" s="140">
        <f t="shared" ca="1" si="38"/>
        <v>0</v>
      </c>
      <c r="AM178" s="131">
        <v>0</v>
      </c>
      <c r="AN178" s="140">
        <f t="shared" ca="1" si="39"/>
        <v>0</v>
      </c>
      <c r="AO178" s="140">
        <v>0</v>
      </c>
      <c r="AP178" s="140">
        <f t="shared" ca="1" si="40"/>
        <v>0</v>
      </c>
      <c r="AQ178" s="140">
        <f t="shared" ca="1" si="41"/>
        <v>0</v>
      </c>
      <c r="AR178" s="131">
        <v>0</v>
      </c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AB179" s="131">
        <f t="shared" ca="1" si="28"/>
        <v>0</v>
      </c>
      <c r="AC179" s="131">
        <f t="shared" ca="1" si="29"/>
        <v>0</v>
      </c>
      <c r="AD179" s="131">
        <f t="shared" ca="1" si="30"/>
        <v>0</v>
      </c>
      <c r="AE179" s="140">
        <f t="shared" ca="1" si="31"/>
        <v>0</v>
      </c>
      <c r="AF179" s="140">
        <f t="shared" ca="1" si="32"/>
        <v>0</v>
      </c>
      <c r="AG179" s="140">
        <f t="shared" ca="1" si="33"/>
        <v>0</v>
      </c>
      <c r="AH179" s="131">
        <f t="shared" ca="1" si="34"/>
        <v>0</v>
      </c>
      <c r="AI179" s="131">
        <f t="shared" ca="1" si="35"/>
        <v>0</v>
      </c>
      <c r="AJ179" s="131">
        <f t="shared" ca="1" si="36"/>
        <v>0</v>
      </c>
      <c r="AK179" s="140">
        <f t="shared" ca="1" si="37"/>
        <v>0</v>
      </c>
      <c r="AL179" s="140">
        <f t="shared" ca="1" si="38"/>
        <v>0</v>
      </c>
      <c r="AM179" s="131">
        <v>0</v>
      </c>
      <c r="AN179" s="140">
        <f t="shared" ca="1" si="39"/>
        <v>0</v>
      </c>
      <c r="AO179" s="140">
        <v>0</v>
      </c>
      <c r="AP179" s="140">
        <f t="shared" ca="1" si="40"/>
        <v>0</v>
      </c>
      <c r="AQ179" s="140">
        <f t="shared" ca="1" si="41"/>
        <v>0</v>
      </c>
      <c r="AR179" s="131">
        <v>0</v>
      </c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AB180" s="131">
        <f t="shared" ca="1" si="28"/>
        <v>0</v>
      </c>
      <c r="AC180" s="131">
        <f t="shared" ca="1" si="29"/>
        <v>0</v>
      </c>
      <c r="AD180" s="131">
        <f t="shared" ca="1" si="30"/>
        <v>0</v>
      </c>
      <c r="AE180" s="140">
        <f t="shared" ca="1" si="31"/>
        <v>0</v>
      </c>
      <c r="AF180" s="140">
        <f t="shared" ca="1" si="32"/>
        <v>0</v>
      </c>
      <c r="AG180" s="140">
        <f t="shared" ca="1" si="33"/>
        <v>0</v>
      </c>
      <c r="AH180" s="131">
        <f t="shared" ca="1" si="34"/>
        <v>0</v>
      </c>
      <c r="AI180" s="131">
        <f t="shared" ca="1" si="35"/>
        <v>0</v>
      </c>
      <c r="AJ180" s="131">
        <f t="shared" ca="1" si="36"/>
        <v>0</v>
      </c>
      <c r="AK180" s="140">
        <f t="shared" ca="1" si="37"/>
        <v>0</v>
      </c>
      <c r="AL180" s="140">
        <f t="shared" ca="1" si="38"/>
        <v>0</v>
      </c>
      <c r="AM180" s="131">
        <v>0</v>
      </c>
      <c r="AN180" s="140">
        <f t="shared" ca="1" si="39"/>
        <v>0</v>
      </c>
      <c r="AO180" s="140">
        <v>0</v>
      </c>
      <c r="AP180" s="140">
        <f t="shared" ca="1" si="40"/>
        <v>0</v>
      </c>
      <c r="AQ180" s="140">
        <f t="shared" ca="1" si="41"/>
        <v>0</v>
      </c>
      <c r="AR180" s="131">
        <v>0</v>
      </c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AB181" s="131">
        <f t="shared" ca="1" si="28"/>
        <v>0</v>
      </c>
      <c r="AC181" s="131">
        <f t="shared" ca="1" si="29"/>
        <v>0</v>
      </c>
      <c r="AD181" s="131">
        <f t="shared" ca="1" si="30"/>
        <v>0</v>
      </c>
      <c r="AE181" s="140">
        <f t="shared" ca="1" si="31"/>
        <v>0</v>
      </c>
      <c r="AF181" s="140">
        <f t="shared" ca="1" si="32"/>
        <v>0</v>
      </c>
      <c r="AG181" s="140">
        <f t="shared" ca="1" si="33"/>
        <v>0</v>
      </c>
      <c r="AH181" s="131">
        <f t="shared" ca="1" si="34"/>
        <v>0</v>
      </c>
      <c r="AI181" s="131">
        <f t="shared" ca="1" si="35"/>
        <v>0</v>
      </c>
      <c r="AJ181" s="131">
        <f t="shared" ca="1" si="36"/>
        <v>0</v>
      </c>
      <c r="AK181" s="140">
        <f t="shared" ca="1" si="37"/>
        <v>0</v>
      </c>
      <c r="AL181" s="140">
        <f t="shared" ca="1" si="38"/>
        <v>0</v>
      </c>
      <c r="AM181" s="131">
        <v>0</v>
      </c>
      <c r="AN181" s="140">
        <f t="shared" ca="1" si="39"/>
        <v>0</v>
      </c>
      <c r="AO181" s="140">
        <v>0</v>
      </c>
      <c r="AP181" s="140">
        <f t="shared" ca="1" si="40"/>
        <v>0</v>
      </c>
      <c r="AQ181" s="140">
        <f t="shared" ca="1" si="41"/>
        <v>0</v>
      </c>
      <c r="AR181" s="131">
        <v>0</v>
      </c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AB182" s="131">
        <f t="shared" ca="1" si="28"/>
        <v>0</v>
      </c>
      <c r="AC182" s="131">
        <f t="shared" ca="1" si="29"/>
        <v>0</v>
      </c>
      <c r="AD182" s="131">
        <f t="shared" ca="1" si="30"/>
        <v>0</v>
      </c>
      <c r="AE182" s="140">
        <f t="shared" ca="1" si="31"/>
        <v>0</v>
      </c>
      <c r="AF182" s="140">
        <f t="shared" ca="1" si="32"/>
        <v>0</v>
      </c>
      <c r="AG182" s="140">
        <f t="shared" ca="1" si="33"/>
        <v>0</v>
      </c>
      <c r="AH182" s="131">
        <f t="shared" ca="1" si="34"/>
        <v>0</v>
      </c>
      <c r="AI182" s="131">
        <f t="shared" ca="1" si="35"/>
        <v>0</v>
      </c>
      <c r="AJ182" s="131">
        <f t="shared" ca="1" si="36"/>
        <v>0</v>
      </c>
      <c r="AK182" s="140">
        <f t="shared" ca="1" si="37"/>
        <v>0</v>
      </c>
      <c r="AL182" s="140">
        <f t="shared" ca="1" si="38"/>
        <v>0</v>
      </c>
      <c r="AM182" s="131">
        <v>0</v>
      </c>
      <c r="AN182" s="140">
        <f t="shared" ca="1" si="39"/>
        <v>0</v>
      </c>
      <c r="AO182" s="140">
        <v>0</v>
      </c>
      <c r="AP182" s="140">
        <f t="shared" ca="1" si="40"/>
        <v>0</v>
      </c>
      <c r="AQ182" s="140">
        <f t="shared" ca="1" si="41"/>
        <v>0</v>
      </c>
      <c r="AR182" s="131">
        <v>0</v>
      </c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AB183" s="131">
        <f t="shared" ca="1" si="28"/>
        <v>0</v>
      </c>
      <c r="AC183" s="131">
        <f t="shared" ca="1" si="29"/>
        <v>0</v>
      </c>
      <c r="AD183" s="131">
        <f t="shared" ca="1" si="30"/>
        <v>0</v>
      </c>
      <c r="AE183" s="140">
        <f t="shared" ca="1" si="31"/>
        <v>0</v>
      </c>
      <c r="AF183" s="140">
        <f t="shared" ca="1" si="32"/>
        <v>0</v>
      </c>
      <c r="AG183" s="140">
        <f t="shared" ca="1" si="33"/>
        <v>0</v>
      </c>
      <c r="AH183" s="131">
        <f t="shared" ca="1" si="34"/>
        <v>0</v>
      </c>
      <c r="AI183" s="131">
        <f t="shared" ca="1" si="35"/>
        <v>0</v>
      </c>
      <c r="AJ183" s="131">
        <f t="shared" ca="1" si="36"/>
        <v>0</v>
      </c>
      <c r="AK183" s="140">
        <f t="shared" ca="1" si="37"/>
        <v>0</v>
      </c>
      <c r="AL183" s="140">
        <f t="shared" ca="1" si="38"/>
        <v>0</v>
      </c>
      <c r="AM183" s="131">
        <v>0</v>
      </c>
      <c r="AN183" s="140">
        <f t="shared" ca="1" si="39"/>
        <v>0</v>
      </c>
      <c r="AO183" s="140">
        <v>0</v>
      </c>
      <c r="AP183" s="140">
        <f t="shared" ca="1" si="40"/>
        <v>0</v>
      </c>
      <c r="AQ183" s="140">
        <f t="shared" ca="1" si="41"/>
        <v>0</v>
      </c>
      <c r="AR183" s="131">
        <v>0</v>
      </c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AB184" s="131">
        <f t="shared" ca="1" si="28"/>
        <v>0</v>
      </c>
      <c r="AC184" s="131">
        <f t="shared" ca="1" si="29"/>
        <v>0</v>
      </c>
      <c r="AD184" s="131">
        <f t="shared" ca="1" si="30"/>
        <v>0</v>
      </c>
      <c r="AE184" s="140">
        <f t="shared" ca="1" si="31"/>
        <v>0</v>
      </c>
      <c r="AF184" s="140">
        <f t="shared" ca="1" si="32"/>
        <v>0</v>
      </c>
      <c r="AG184" s="140">
        <f t="shared" ca="1" si="33"/>
        <v>0</v>
      </c>
      <c r="AH184" s="131">
        <f t="shared" ca="1" si="34"/>
        <v>0</v>
      </c>
      <c r="AI184" s="131">
        <f t="shared" ca="1" si="35"/>
        <v>0</v>
      </c>
      <c r="AJ184" s="131">
        <f t="shared" ca="1" si="36"/>
        <v>0</v>
      </c>
      <c r="AK184" s="140">
        <f t="shared" ca="1" si="37"/>
        <v>0</v>
      </c>
      <c r="AL184" s="140">
        <f t="shared" ca="1" si="38"/>
        <v>0</v>
      </c>
      <c r="AM184" s="131">
        <v>0</v>
      </c>
      <c r="AN184" s="140">
        <f t="shared" ca="1" si="39"/>
        <v>0</v>
      </c>
      <c r="AO184" s="140">
        <v>0</v>
      </c>
      <c r="AP184" s="140">
        <f t="shared" ca="1" si="40"/>
        <v>0</v>
      </c>
      <c r="AQ184" s="140">
        <f t="shared" ca="1" si="41"/>
        <v>0</v>
      </c>
      <c r="AR184" s="131">
        <v>0</v>
      </c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AB185" s="131">
        <f t="shared" ca="1" si="28"/>
        <v>0</v>
      </c>
      <c r="AC185" s="131">
        <f t="shared" ca="1" si="29"/>
        <v>0</v>
      </c>
      <c r="AD185" s="131">
        <f t="shared" ca="1" si="30"/>
        <v>0</v>
      </c>
      <c r="AE185" s="140">
        <f t="shared" ca="1" si="31"/>
        <v>0</v>
      </c>
      <c r="AF185" s="140">
        <f t="shared" ca="1" si="32"/>
        <v>0</v>
      </c>
      <c r="AG185" s="140">
        <f t="shared" ca="1" si="33"/>
        <v>0</v>
      </c>
      <c r="AH185" s="131">
        <f t="shared" ca="1" si="34"/>
        <v>0</v>
      </c>
      <c r="AI185" s="131">
        <f t="shared" ca="1" si="35"/>
        <v>0</v>
      </c>
      <c r="AJ185" s="131">
        <f t="shared" ca="1" si="36"/>
        <v>0</v>
      </c>
      <c r="AK185" s="140">
        <f t="shared" ca="1" si="37"/>
        <v>0</v>
      </c>
      <c r="AL185" s="140">
        <f t="shared" ca="1" si="38"/>
        <v>0</v>
      </c>
      <c r="AM185" s="131">
        <v>0</v>
      </c>
      <c r="AN185" s="140">
        <f t="shared" ca="1" si="39"/>
        <v>0</v>
      </c>
      <c r="AO185" s="140">
        <v>0</v>
      </c>
      <c r="AP185" s="140">
        <f t="shared" ca="1" si="40"/>
        <v>0</v>
      </c>
      <c r="AQ185" s="140">
        <f t="shared" ca="1" si="41"/>
        <v>0</v>
      </c>
      <c r="AR185" s="131">
        <v>0</v>
      </c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AB186" s="131">
        <f t="shared" ca="1" si="28"/>
        <v>0</v>
      </c>
      <c r="AC186" s="131">
        <f t="shared" ca="1" si="29"/>
        <v>0</v>
      </c>
      <c r="AD186" s="131">
        <f t="shared" ca="1" si="30"/>
        <v>0</v>
      </c>
      <c r="AE186" s="140">
        <f t="shared" ca="1" si="31"/>
        <v>0</v>
      </c>
      <c r="AF186" s="140">
        <f t="shared" ca="1" si="32"/>
        <v>0</v>
      </c>
      <c r="AG186" s="140">
        <f t="shared" ca="1" si="33"/>
        <v>0</v>
      </c>
      <c r="AH186" s="131">
        <f t="shared" ca="1" si="34"/>
        <v>0</v>
      </c>
      <c r="AI186" s="131">
        <f t="shared" ca="1" si="35"/>
        <v>0</v>
      </c>
      <c r="AJ186" s="131">
        <f t="shared" ca="1" si="36"/>
        <v>0</v>
      </c>
      <c r="AK186" s="140">
        <f t="shared" ca="1" si="37"/>
        <v>0</v>
      </c>
      <c r="AL186" s="140">
        <f t="shared" ca="1" si="38"/>
        <v>0</v>
      </c>
      <c r="AM186" s="131">
        <v>0</v>
      </c>
      <c r="AN186" s="140">
        <f t="shared" ca="1" si="39"/>
        <v>0</v>
      </c>
      <c r="AO186" s="140">
        <v>0</v>
      </c>
      <c r="AP186" s="140">
        <f t="shared" ca="1" si="40"/>
        <v>0</v>
      </c>
      <c r="AQ186" s="140">
        <f t="shared" ca="1" si="41"/>
        <v>0</v>
      </c>
      <c r="AR186" s="131">
        <v>0</v>
      </c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AB187" s="131">
        <f t="shared" ca="1" si="28"/>
        <v>0</v>
      </c>
      <c r="AC187" s="131">
        <f t="shared" ca="1" si="29"/>
        <v>0</v>
      </c>
      <c r="AD187" s="131">
        <f t="shared" ca="1" si="30"/>
        <v>0</v>
      </c>
      <c r="AE187" s="140">
        <f t="shared" ca="1" si="31"/>
        <v>0</v>
      </c>
      <c r="AF187" s="140">
        <f t="shared" ca="1" si="32"/>
        <v>0</v>
      </c>
      <c r="AG187" s="140">
        <f t="shared" ca="1" si="33"/>
        <v>0</v>
      </c>
      <c r="AH187" s="131">
        <f t="shared" ca="1" si="34"/>
        <v>0</v>
      </c>
      <c r="AI187" s="131">
        <f t="shared" ca="1" si="35"/>
        <v>0</v>
      </c>
      <c r="AJ187" s="131">
        <f t="shared" ca="1" si="36"/>
        <v>0</v>
      </c>
      <c r="AK187" s="140">
        <f t="shared" ca="1" si="37"/>
        <v>0</v>
      </c>
      <c r="AL187" s="140">
        <f t="shared" ca="1" si="38"/>
        <v>0</v>
      </c>
      <c r="AM187" s="131">
        <v>0</v>
      </c>
      <c r="AN187" s="140">
        <f t="shared" ca="1" si="39"/>
        <v>0</v>
      </c>
      <c r="AO187" s="140">
        <v>0</v>
      </c>
      <c r="AP187" s="140">
        <f t="shared" ca="1" si="40"/>
        <v>0</v>
      </c>
      <c r="AQ187" s="140">
        <f t="shared" ca="1" si="41"/>
        <v>0</v>
      </c>
      <c r="AR187" s="131">
        <v>0</v>
      </c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AB188" s="131">
        <f t="shared" ca="1" si="28"/>
        <v>0</v>
      </c>
      <c r="AC188" s="131">
        <f t="shared" ca="1" si="29"/>
        <v>0</v>
      </c>
      <c r="AD188" s="131">
        <f t="shared" ca="1" si="30"/>
        <v>0</v>
      </c>
      <c r="AE188" s="140">
        <f t="shared" ca="1" si="31"/>
        <v>0</v>
      </c>
      <c r="AF188" s="140">
        <f t="shared" ca="1" si="32"/>
        <v>0</v>
      </c>
      <c r="AG188" s="140">
        <f t="shared" ca="1" si="33"/>
        <v>0</v>
      </c>
      <c r="AH188" s="131">
        <f t="shared" ca="1" si="34"/>
        <v>0</v>
      </c>
      <c r="AI188" s="131">
        <f t="shared" ca="1" si="35"/>
        <v>0</v>
      </c>
      <c r="AJ188" s="131">
        <f t="shared" ca="1" si="36"/>
        <v>0</v>
      </c>
      <c r="AK188" s="140">
        <f t="shared" ca="1" si="37"/>
        <v>0</v>
      </c>
      <c r="AL188" s="140">
        <f t="shared" ca="1" si="38"/>
        <v>0</v>
      </c>
      <c r="AM188" s="131">
        <v>0</v>
      </c>
      <c r="AN188" s="140">
        <f t="shared" ca="1" si="39"/>
        <v>0</v>
      </c>
      <c r="AO188" s="140">
        <v>0</v>
      </c>
      <c r="AP188" s="140">
        <f t="shared" ca="1" si="40"/>
        <v>0</v>
      </c>
      <c r="AQ188" s="140">
        <f t="shared" ca="1" si="41"/>
        <v>0</v>
      </c>
      <c r="AR188" s="131">
        <v>0</v>
      </c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AB189" s="131">
        <f t="shared" ca="1" si="28"/>
        <v>0</v>
      </c>
      <c r="AC189" s="131">
        <f t="shared" ca="1" si="29"/>
        <v>0</v>
      </c>
      <c r="AD189" s="131">
        <f t="shared" ca="1" si="30"/>
        <v>0</v>
      </c>
      <c r="AE189" s="140">
        <f t="shared" ca="1" si="31"/>
        <v>0</v>
      </c>
      <c r="AF189" s="140">
        <f t="shared" ca="1" si="32"/>
        <v>0</v>
      </c>
      <c r="AG189" s="140">
        <f t="shared" ca="1" si="33"/>
        <v>0</v>
      </c>
      <c r="AH189" s="131">
        <f t="shared" ca="1" si="34"/>
        <v>0</v>
      </c>
      <c r="AI189" s="131">
        <f t="shared" ca="1" si="35"/>
        <v>0</v>
      </c>
      <c r="AJ189" s="131">
        <f t="shared" ca="1" si="36"/>
        <v>0</v>
      </c>
      <c r="AK189" s="140">
        <f t="shared" ca="1" si="37"/>
        <v>0</v>
      </c>
      <c r="AL189" s="140">
        <f t="shared" ca="1" si="38"/>
        <v>0</v>
      </c>
      <c r="AM189" s="131">
        <v>0</v>
      </c>
      <c r="AN189" s="140">
        <f t="shared" ca="1" si="39"/>
        <v>0</v>
      </c>
      <c r="AO189" s="140">
        <v>0</v>
      </c>
      <c r="AP189" s="140">
        <f t="shared" ca="1" si="40"/>
        <v>0</v>
      </c>
      <c r="AQ189" s="140">
        <f t="shared" ca="1" si="41"/>
        <v>0</v>
      </c>
      <c r="AR189" s="131">
        <v>0</v>
      </c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AB190" s="131">
        <f t="shared" ca="1" si="28"/>
        <v>0</v>
      </c>
      <c r="AC190" s="131">
        <f t="shared" ca="1" si="29"/>
        <v>0</v>
      </c>
      <c r="AD190" s="131">
        <f t="shared" ca="1" si="30"/>
        <v>0</v>
      </c>
      <c r="AE190" s="140">
        <f t="shared" ca="1" si="31"/>
        <v>0</v>
      </c>
      <c r="AF190" s="140">
        <f t="shared" ca="1" si="32"/>
        <v>0</v>
      </c>
      <c r="AG190" s="140">
        <f t="shared" ca="1" si="33"/>
        <v>0</v>
      </c>
      <c r="AH190" s="131">
        <f t="shared" ca="1" si="34"/>
        <v>0</v>
      </c>
      <c r="AI190" s="131">
        <f t="shared" ca="1" si="35"/>
        <v>0</v>
      </c>
      <c r="AJ190" s="131">
        <f t="shared" ca="1" si="36"/>
        <v>0</v>
      </c>
      <c r="AK190" s="140">
        <f t="shared" ca="1" si="37"/>
        <v>0</v>
      </c>
      <c r="AL190" s="140">
        <f t="shared" ca="1" si="38"/>
        <v>0</v>
      </c>
      <c r="AM190" s="131">
        <v>0</v>
      </c>
      <c r="AN190" s="140">
        <f t="shared" ca="1" si="39"/>
        <v>0</v>
      </c>
      <c r="AO190" s="140">
        <v>0</v>
      </c>
      <c r="AP190" s="140">
        <f t="shared" ca="1" si="40"/>
        <v>0</v>
      </c>
      <c r="AQ190" s="140">
        <f t="shared" ca="1" si="41"/>
        <v>0</v>
      </c>
      <c r="AR190" s="131">
        <v>0</v>
      </c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AB191" s="131">
        <f t="shared" ca="1" si="28"/>
        <v>0</v>
      </c>
      <c r="AC191" s="131">
        <f t="shared" ca="1" si="29"/>
        <v>0</v>
      </c>
      <c r="AD191" s="131">
        <f t="shared" ca="1" si="30"/>
        <v>0</v>
      </c>
      <c r="AE191" s="140">
        <f t="shared" ca="1" si="31"/>
        <v>0</v>
      </c>
      <c r="AF191" s="140">
        <f t="shared" ca="1" si="32"/>
        <v>0</v>
      </c>
      <c r="AG191" s="140">
        <f t="shared" ca="1" si="33"/>
        <v>0</v>
      </c>
      <c r="AH191" s="131">
        <f t="shared" ca="1" si="34"/>
        <v>0</v>
      </c>
      <c r="AI191" s="131">
        <f t="shared" ca="1" si="35"/>
        <v>0</v>
      </c>
      <c r="AJ191" s="131">
        <f t="shared" ca="1" si="36"/>
        <v>0</v>
      </c>
      <c r="AK191" s="140">
        <f t="shared" ca="1" si="37"/>
        <v>0</v>
      </c>
      <c r="AL191" s="140">
        <f t="shared" ca="1" si="38"/>
        <v>0</v>
      </c>
      <c r="AM191" s="131">
        <v>0</v>
      </c>
      <c r="AN191" s="140">
        <f t="shared" ca="1" si="39"/>
        <v>0</v>
      </c>
      <c r="AO191" s="140">
        <v>0</v>
      </c>
      <c r="AP191" s="140">
        <f t="shared" ca="1" si="40"/>
        <v>0</v>
      </c>
      <c r="AQ191" s="140">
        <f t="shared" ca="1" si="41"/>
        <v>0</v>
      </c>
      <c r="AR191" s="131">
        <v>0</v>
      </c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AB192" s="131">
        <f t="shared" ca="1" si="28"/>
        <v>0</v>
      </c>
      <c r="AC192" s="131">
        <f t="shared" ca="1" si="29"/>
        <v>0</v>
      </c>
      <c r="AD192" s="131">
        <f t="shared" ca="1" si="30"/>
        <v>0</v>
      </c>
      <c r="AE192" s="140">
        <f t="shared" ca="1" si="31"/>
        <v>0</v>
      </c>
      <c r="AF192" s="140">
        <f t="shared" ca="1" si="32"/>
        <v>0</v>
      </c>
      <c r="AG192" s="140">
        <f t="shared" ca="1" si="33"/>
        <v>0</v>
      </c>
      <c r="AH192" s="131">
        <f t="shared" ca="1" si="34"/>
        <v>0</v>
      </c>
      <c r="AI192" s="131">
        <f t="shared" ca="1" si="35"/>
        <v>0</v>
      </c>
      <c r="AJ192" s="131">
        <f t="shared" ca="1" si="36"/>
        <v>0</v>
      </c>
      <c r="AK192" s="140">
        <f t="shared" ca="1" si="37"/>
        <v>0</v>
      </c>
      <c r="AL192" s="140">
        <f t="shared" ca="1" si="38"/>
        <v>0</v>
      </c>
      <c r="AM192" s="131">
        <v>0</v>
      </c>
      <c r="AN192" s="140">
        <f t="shared" ca="1" si="39"/>
        <v>0</v>
      </c>
      <c r="AO192" s="140">
        <v>0</v>
      </c>
      <c r="AP192" s="140">
        <f t="shared" ca="1" si="40"/>
        <v>0</v>
      </c>
      <c r="AQ192" s="140">
        <f t="shared" ca="1" si="41"/>
        <v>0</v>
      </c>
      <c r="AR192" s="131">
        <v>0</v>
      </c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AB193" s="131">
        <f t="shared" ca="1" si="28"/>
        <v>0</v>
      </c>
      <c r="AC193" s="131">
        <f t="shared" ca="1" si="29"/>
        <v>0</v>
      </c>
      <c r="AD193" s="131">
        <f t="shared" ca="1" si="30"/>
        <v>0</v>
      </c>
      <c r="AE193" s="140">
        <f t="shared" ca="1" si="31"/>
        <v>0</v>
      </c>
      <c r="AF193" s="140">
        <f t="shared" ca="1" si="32"/>
        <v>0</v>
      </c>
      <c r="AG193" s="140">
        <f t="shared" ca="1" si="33"/>
        <v>0</v>
      </c>
      <c r="AH193" s="131">
        <f t="shared" ca="1" si="34"/>
        <v>0</v>
      </c>
      <c r="AI193" s="131">
        <f t="shared" ca="1" si="35"/>
        <v>0</v>
      </c>
      <c r="AJ193" s="131">
        <f t="shared" ca="1" si="36"/>
        <v>0</v>
      </c>
      <c r="AK193" s="140">
        <f t="shared" ca="1" si="37"/>
        <v>0</v>
      </c>
      <c r="AL193" s="140">
        <f t="shared" ca="1" si="38"/>
        <v>0</v>
      </c>
      <c r="AM193" s="131">
        <v>0</v>
      </c>
      <c r="AN193" s="140">
        <f t="shared" ca="1" si="39"/>
        <v>0</v>
      </c>
      <c r="AO193" s="140">
        <v>0</v>
      </c>
      <c r="AP193" s="140">
        <f t="shared" ca="1" si="40"/>
        <v>0</v>
      </c>
      <c r="AQ193" s="140">
        <f t="shared" ca="1" si="41"/>
        <v>0</v>
      </c>
      <c r="AR193" s="131">
        <v>0</v>
      </c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AB194" s="131">
        <f t="shared" ca="1" si="28"/>
        <v>0</v>
      </c>
      <c r="AC194" s="131">
        <f t="shared" ca="1" si="29"/>
        <v>0</v>
      </c>
      <c r="AD194" s="131">
        <f t="shared" ca="1" si="30"/>
        <v>0</v>
      </c>
      <c r="AE194" s="140">
        <f t="shared" ca="1" si="31"/>
        <v>0</v>
      </c>
      <c r="AF194" s="140">
        <f t="shared" ca="1" si="32"/>
        <v>0</v>
      </c>
      <c r="AG194" s="140">
        <f t="shared" ca="1" si="33"/>
        <v>0</v>
      </c>
      <c r="AH194" s="131">
        <f t="shared" ca="1" si="34"/>
        <v>0</v>
      </c>
      <c r="AI194" s="131">
        <f t="shared" ca="1" si="35"/>
        <v>0</v>
      </c>
      <c r="AJ194" s="131">
        <f t="shared" ca="1" si="36"/>
        <v>0</v>
      </c>
      <c r="AK194" s="140">
        <f t="shared" ca="1" si="37"/>
        <v>0</v>
      </c>
      <c r="AL194" s="140">
        <f t="shared" ca="1" si="38"/>
        <v>0</v>
      </c>
      <c r="AM194" s="131">
        <v>0</v>
      </c>
      <c r="AN194" s="140">
        <f t="shared" ca="1" si="39"/>
        <v>0</v>
      </c>
      <c r="AO194" s="140">
        <v>0</v>
      </c>
      <c r="AP194" s="140">
        <f t="shared" ca="1" si="40"/>
        <v>0</v>
      </c>
      <c r="AQ194" s="140">
        <f t="shared" ca="1" si="41"/>
        <v>0</v>
      </c>
      <c r="AR194" s="131">
        <v>0</v>
      </c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AB195" s="131">
        <f t="shared" ref="AB195:AB250" ca="1" si="42">+A195</f>
        <v>0</v>
      </c>
      <c r="AC195" s="131">
        <f t="shared" ref="AC195:AC250" ca="1" si="43">+B195</f>
        <v>0</v>
      </c>
      <c r="AD195" s="131">
        <f t="shared" ref="AD195:AD250" ca="1" si="44">+C195</f>
        <v>0</v>
      </c>
      <c r="AE195" s="140">
        <f t="shared" ref="AE195:AE250" ca="1" si="45">+E195</f>
        <v>0</v>
      </c>
      <c r="AF195" s="140">
        <f t="shared" ref="AF195:AF250" ca="1" si="46">+K195</f>
        <v>0</v>
      </c>
      <c r="AG195" s="140">
        <f t="shared" ref="AG195:AG250" ca="1" si="47">+L195</f>
        <v>0</v>
      </c>
      <c r="AH195" s="131">
        <f t="shared" ref="AH195:AH250" ca="1" si="48">+Q195</f>
        <v>0</v>
      </c>
      <c r="AI195" s="131">
        <f t="shared" ref="AI195:AI250" ca="1" si="49">+N195</f>
        <v>0</v>
      </c>
      <c r="AJ195" s="131">
        <f t="shared" ref="AJ195:AJ250" ca="1" si="50">IFERROR(+AI195/AF195*100,0)</f>
        <v>0</v>
      </c>
      <c r="AK195" s="140">
        <f t="shared" ref="AK195:AK250" ca="1" si="51">+O195</f>
        <v>0</v>
      </c>
      <c r="AL195" s="140">
        <f t="shared" ref="AL195:AL250" ca="1" si="52">+P195</f>
        <v>0</v>
      </c>
      <c r="AM195" s="131">
        <v>0</v>
      </c>
      <c r="AN195" s="140">
        <f t="shared" ref="AN195:AN250" ca="1" si="53">+M195</f>
        <v>0</v>
      </c>
      <c r="AO195" s="140">
        <v>0</v>
      </c>
      <c r="AP195" s="140">
        <f t="shared" ref="AP195:AP250" ca="1" si="54">+R195</f>
        <v>0</v>
      </c>
      <c r="AQ195" s="140">
        <f t="shared" ref="AQ195:AQ250" ca="1" si="55">+AE195+AF195+AH195-AI195-AK195-AM195-AP195</f>
        <v>0</v>
      </c>
      <c r="AR195" s="131">
        <v>0</v>
      </c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AB196" s="131">
        <f t="shared" ca="1" si="42"/>
        <v>0</v>
      </c>
      <c r="AC196" s="131">
        <f t="shared" ca="1" si="43"/>
        <v>0</v>
      </c>
      <c r="AD196" s="131">
        <f t="shared" ca="1" si="44"/>
        <v>0</v>
      </c>
      <c r="AE196" s="140">
        <f t="shared" ca="1" si="45"/>
        <v>0</v>
      </c>
      <c r="AF196" s="140">
        <f t="shared" ca="1" si="46"/>
        <v>0</v>
      </c>
      <c r="AG196" s="140">
        <f t="shared" ca="1" si="47"/>
        <v>0</v>
      </c>
      <c r="AH196" s="131">
        <f t="shared" ca="1" si="48"/>
        <v>0</v>
      </c>
      <c r="AI196" s="131">
        <f t="shared" ca="1" si="49"/>
        <v>0</v>
      </c>
      <c r="AJ196" s="131">
        <f t="shared" ca="1" si="50"/>
        <v>0</v>
      </c>
      <c r="AK196" s="140">
        <f t="shared" ca="1" si="51"/>
        <v>0</v>
      </c>
      <c r="AL196" s="140">
        <f t="shared" ca="1" si="52"/>
        <v>0</v>
      </c>
      <c r="AM196" s="131">
        <v>0</v>
      </c>
      <c r="AN196" s="140">
        <f t="shared" ca="1" si="53"/>
        <v>0</v>
      </c>
      <c r="AO196" s="140">
        <v>0</v>
      </c>
      <c r="AP196" s="140">
        <f t="shared" ca="1" si="54"/>
        <v>0</v>
      </c>
      <c r="AQ196" s="140">
        <f t="shared" ca="1" si="55"/>
        <v>0</v>
      </c>
      <c r="AR196" s="131">
        <v>0</v>
      </c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AB197" s="131">
        <f t="shared" ca="1" si="42"/>
        <v>0</v>
      </c>
      <c r="AC197" s="131">
        <f t="shared" ca="1" si="43"/>
        <v>0</v>
      </c>
      <c r="AD197" s="131">
        <f t="shared" ca="1" si="44"/>
        <v>0</v>
      </c>
      <c r="AE197" s="140">
        <f t="shared" ca="1" si="45"/>
        <v>0</v>
      </c>
      <c r="AF197" s="140">
        <f t="shared" ca="1" si="46"/>
        <v>0</v>
      </c>
      <c r="AG197" s="140">
        <f t="shared" ca="1" si="47"/>
        <v>0</v>
      </c>
      <c r="AH197" s="131">
        <f t="shared" ca="1" si="48"/>
        <v>0</v>
      </c>
      <c r="AI197" s="131">
        <f t="shared" ca="1" si="49"/>
        <v>0</v>
      </c>
      <c r="AJ197" s="131">
        <f t="shared" ca="1" si="50"/>
        <v>0</v>
      </c>
      <c r="AK197" s="140">
        <f t="shared" ca="1" si="51"/>
        <v>0</v>
      </c>
      <c r="AL197" s="140">
        <f t="shared" ca="1" si="52"/>
        <v>0</v>
      </c>
      <c r="AM197" s="131">
        <v>0</v>
      </c>
      <c r="AN197" s="140">
        <f t="shared" ca="1" si="53"/>
        <v>0</v>
      </c>
      <c r="AO197" s="140">
        <v>0</v>
      </c>
      <c r="AP197" s="140">
        <f t="shared" ca="1" si="54"/>
        <v>0</v>
      </c>
      <c r="AQ197" s="140">
        <f t="shared" ca="1" si="55"/>
        <v>0</v>
      </c>
      <c r="AR197" s="131">
        <v>0</v>
      </c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AB198" s="131">
        <f t="shared" ca="1" si="42"/>
        <v>0</v>
      </c>
      <c r="AC198" s="131">
        <f t="shared" ca="1" si="43"/>
        <v>0</v>
      </c>
      <c r="AD198" s="131">
        <f t="shared" ca="1" si="44"/>
        <v>0</v>
      </c>
      <c r="AE198" s="140">
        <f t="shared" ca="1" si="45"/>
        <v>0</v>
      </c>
      <c r="AF198" s="140">
        <f t="shared" ca="1" si="46"/>
        <v>0</v>
      </c>
      <c r="AG198" s="140">
        <f t="shared" ca="1" si="47"/>
        <v>0</v>
      </c>
      <c r="AH198" s="131">
        <f t="shared" ca="1" si="48"/>
        <v>0</v>
      </c>
      <c r="AI198" s="131">
        <f t="shared" ca="1" si="49"/>
        <v>0</v>
      </c>
      <c r="AJ198" s="131">
        <f t="shared" ca="1" si="50"/>
        <v>0</v>
      </c>
      <c r="AK198" s="140">
        <f t="shared" ca="1" si="51"/>
        <v>0</v>
      </c>
      <c r="AL198" s="140">
        <f t="shared" ca="1" si="52"/>
        <v>0</v>
      </c>
      <c r="AM198" s="131">
        <v>0</v>
      </c>
      <c r="AN198" s="140">
        <f t="shared" ca="1" si="53"/>
        <v>0</v>
      </c>
      <c r="AO198" s="140">
        <v>0</v>
      </c>
      <c r="AP198" s="140">
        <f t="shared" ca="1" si="54"/>
        <v>0</v>
      </c>
      <c r="AQ198" s="140">
        <f t="shared" ca="1" si="55"/>
        <v>0</v>
      </c>
      <c r="AR198" s="131">
        <v>0</v>
      </c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AB199" s="131">
        <f t="shared" ca="1" si="42"/>
        <v>0</v>
      </c>
      <c r="AC199" s="131">
        <f t="shared" ca="1" si="43"/>
        <v>0</v>
      </c>
      <c r="AD199" s="131">
        <f t="shared" ca="1" si="44"/>
        <v>0</v>
      </c>
      <c r="AE199" s="140">
        <f t="shared" ca="1" si="45"/>
        <v>0</v>
      </c>
      <c r="AF199" s="140">
        <f t="shared" ca="1" si="46"/>
        <v>0</v>
      </c>
      <c r="AG199" s="140">
        <f t="shared" ca="1" si="47"/>
        <v>0</v>
      </c>
      <c r="AH199" s="131">
        <f t="shared" ca="1" si="48"/>
        <v>0</v>
      </c>
      <c r="AI199" s="131">
        <f t="shared" ca="1" si="49"/>
        <v>0</v>
      </c>
      <c r="AJ199" s="131">
        <f t="shared" ca="1" si="50"/>
        <v>0</v>
      </c>
      <c r="AK199" s="140">
        <f t="shared" ca="1" si="51"/>
        <v>0</v>
      </c>
      <c r="AL199" s="140">
        <f t="shared" ca="1" si="52"/>
        <v>0</v>
      </c>
      <c r="AM199" s="131">
        <v>0</v>
      </c>
      <c r="AN199" s="140">
        <f t="shared" ca="1" si="53"/>
        <v>0</v>
      </c>
      <c r="AO199" s="140">
        <v>0</v>
      </c>
      <c r="AP199" s="140">
        <f t="shared" ca="1" si="54"/>
        <v>0</v>
      </c>
      <c r="AQ199" s="140">
        <f t="shared" ca="1" si="55"/>
        <v>0</v>
      </c>
      <c r="AR199" s="131">
        <v>0</v>
      </c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AB200" s="131">
        <f t="shared" ca="1" si="42"/>
        <v>0</v>
      </c>
      <c r="AC200" s="131">
        <f t="shared" ca="1" si="43"/>
        <v>0</v>
      </c>
      <c r="AD200" s="131">
        <f t="shared" ca="1" si="44"/>
        <v>0</v>
      </c>
      <c r="AE200" s="140">
        <f t="shared" ca="1" si="45"/>
        <v>0</v>
      </c>
      <c r="AF200" s="140">
        <f t="shared" ca="1" si="46"/>
        <v>0</v>
      </c>
      <c r="AG200" s="140">
        <f t="shared" ca="1" si="47"/>
        <v>0</v>
      </c>
      <c r="AH200" s="131">
        <f t="shared" ca="1" si="48"/>
        <v>0</v>
      </c>
      <c r="AI200" s="131">
        <f t="shared" ca="1" si="49"/>
        <v>0</v>
      </c>
      <c r="AJ200" s="131">
        <f t="shared" ca="1" si="50"/>
        <v>0</v>
      </c>
      <c r="AK200" s="140">
        <f t="shared" ca="1" si="51"/>
        <v>0</v>
      </c>
      <c r="AL200" s="140">
        <f t="shared" ca="1" si="52"/>
        <v>0</v>
      </c>
      <c r="AM200" s="131">
        <v>0</v>
      </c>
      <c r="AN200" s="140">
        <f t="shared" ca="1" si="53"/>
        <v>0</v>
      </c>
      <c r="AO200" s="140">
        <v>0</v>
      </c>
      <c r="AP200" s="140">
        <f t="shared" ca="1" si="54"/>
        <v>0</v>
      </c>
      <c r="AQ200" s="140">
        <f t="shared" ca="1" si="55"/>
        <v>0</v>
      </c>
      <c r="AR200" s="131">
        <v>0</v>
      </c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AB201" s="131">
        <f t="shared" ca="1" si="42"/>
        <v>0</v>
      </c>
      <c r="AC201" s="131">
        <f t="shared" ca="1" si="43"/>
        <v>0</v>
      </c>
      <c r="AD201" s="131">
        <f t="shared" ca="1" si="44"/>
        <v>0</v>
      </c>
      <c r="AE201" s="140">
        <f t="shared" ca="1" si="45"/>
        <v>0</v>
      </c>
      <c r="AF201" s="140">
        <f t="shared" ca="1" si="46"/>
        <v>0</v>
      </c>
      <c r="AG201" s="140">
        <f t="shared" ca="1" si="47"/>
        <v>0</v>
      </c>
      <c r="AH201" s="131">
        <f t="shared" ca="1" si="48"/>
        <v>0</v>
      </c>
      <c r="AI201" s="131">
        <f t="shared" ca="1" si="49"/>
        <v>0</v>
      </c>
      <c r="AJ201" s="131">
        <f t="shared" ca="1" si="50"/>
        <v>0</v>
      </c>
      <c r="AK201" s="140">
        <f t="shared" ca="1" si="51"/>
        <v>0</v>
      </c>
      <c r="AL201" s="140">
        <f t="shared" ca="1" si="52"/>
        <v>0</v>
      </c>
      <c r="AM201" s="131">
        <v>0</v>
      </c>
      <c r="AN201" s="140">
        <f t="shared" ca="1" si="53"/>
        <v>0</v>
      </c>
      <c r="AO201" s="140">
        <v>0</v>
      </c>
      <c r="AP201" s="140">
        <f t="shared" ca="1" si="54"/>
        <v>0</v>
      </c>
      <c r="AQ201" s="140">
        <f t="shared" ca="1" si="55"/>
        <v>0</v>
      </c>
      <c r="AR201" s="131">
        <v>0</v>
      </c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AB202" s="131">
        <f t="shared" ca="1" si="42"/>
        <v>0</v>
      </c>
      <c r="AC202" s="131">
        <f t="shared" ca="1" si="43"/>
        <v>0</v>
      </c>
      <c r="AD202" s="131">
        <f t="shared" ca="1" si="44"/>
        <v>0</v>
      </c>
      <c r="AE202" s="140">
        <f t="shared" ca="1" si="45"/>
        <v>0</v>
      </c>
      <c r="AF202" s="140">
        <f t="shared" ca="1" si="46"/>
        <v>0</v>
      </c>
      <c r="AG202" s="140">
        <f t="shared" ca="1" si="47"/>
        <v>0</v>
      </c>
      <c r="AH202" s="131">
        <f t="shared" ca="1" si="48"/>
        <v>0</v>
      </c>
      <c r="AI202" s="131">
        <f t="shared" ca="1" si="49"/>
        <v>0</v>
      </c>
      <c r="AJ202" s="131">
        <f t="shared" ca="1" si="50"/>
        <v>0</v>
      </c>
      <c r="AK202" s="140">
        <f t="shared" ca="1" si="51"/>
        <v>0</v>
      </c>
      <c r="AL202" s="140">
        <f t="shared" ca="1" si="52"/>
        <v>0</v>
      </c>
      <c r="AM202" s="131">
        <v>0</v>
      </c>
      <c r="AN202" s="140">
        <f t="shared" ca="1" si="53"/>
        <v>0</v>
      </c>
      <c r="AO202" s="140">
        <v>0</v>
      </c>
      <c r="AP202" s="140">
        <f t="shared" ca="1" si="54"/>
        <v>0</v>
      </c>
      <c r="AQ202" s="140">
        <f t="shared" ca="1" si="55"/>
        <v>0</v>
      </c>
      <c r="AR202" s="131">
        <v>0</v>
      </c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AB203" s="131">
        <f t="shared" ca="1" si="42"/>
        <v>0</v>
      </c>
      <c r="AC203" s="131">
        <f t="shared" ca="1" si="43"/>
        <v>0</v>
      </c>
      <c r="AD203" s="131">
        <f t="shared" ca="1" si="44"/>
        <v>0</v>
      </c>
      <c r="AE203" s="140">
        <f t="shared" ca="1" si="45"/>
        <v>0</v>
      </c>
      <c r="AF203" s="140">
        <f t="shared" ca="1" si="46"/>
        <v>0</v>
      </c>
      <c r="AG203" s="140">
        <f t="shared" ca="1" si="47"/>
        <v>0</v>
      </c>
      <c r="AH203" s="131">
        <f t="shared" ca="1" si="48"/>
        <v>0</v>
      </c>
      <c r="AI203" s="131">
        <f t="shared" ca="1" si="49"/>
        <v>0</v>
      </c>
      <c r="AJ203" s="131">
        <f t="shared" ca="1" si="50"/>
        <v>0</v>
      </c>
      <c r="AK203" s="140">
        <f t="shared" ca="1" si="51"/>
        <v>0</v>
      </c>
      <c r="AL203" s="140">
        <f t="shared" ca="1" si="52"/>
        <v>0</v>
      </c>
      <c r="AM203" s="131">
        <v>0</v>
      </c>
      <c r="AN203" s="140">
        <f t="shared" ca="1" si="53"/>
        <v>0</v>
      </c>
      <c r="AO203" s="140">
        <v>0</v>
      </c>
      <c r="AP203" s="140">
        <f t="shared" ca="1" si="54"/>
        <v>0</v>
      </c>
      <c r="AQ203" s="140">
        <f t="shared" ca="1" si="55"/>
        <v>0</v>
      </c>
      <c r="AR203" s="131">
        <v>0</v>
      </c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AB204" s="131">
        <f t="shared" ca="1" si="42"/>
        <v>0</v>
      </c>
      <c r="AC204" s="131">
        <f t="shared" ca="1" si="43"/>
        <v>0</v>
      </c>
      <c r="AD204" s="131">
        <f t="shared" ca="1" si="44"/>
        <v>0</v>
      </c>
      <c r="AE204" s="140">
        <f t="shared" ca="1" si="45"/>
        <v>0</v>
      </c>
      <c r="AF204" s="140">
        <f t="shared" ca="1" si="46"/>
        <v>0</v>
      </c>
      <c r="AG204" s="140">
        <f t="shared" ca="1" si="47"/>
        <v>0</v>
      </c>
      <c r="AH204" s="131">
        <f t="shared" ca="1" si="48"/>
        <v>0</v>
      </c>
      <c r="AI204" s="131">
        <f t="shared" ca="1" si="49"/>
        <v>0</v>
      </c>
      <c r="AJ204" s="131">
        <f t="shared" ca="1" si="50"/>
        <v>0</v>
      </c>
      <c r="AK204" s="140">
        <f t="shared" ca="1" si="51"/>
        <v>0</v>
      </c>
      <c r="AL204" s="140">
        <f t="shared" ca="1" si="52"/>
        <v>0</v>
      </c>
      <c r="AM204" s="131">
        <v>0</v>
      </c>
      <c r="AN204" s="140">
        <f t="shared" ca="1" si="53"/>
        <v>0</v>
      </c>
      <c r="AO204" s="140">
        <v>0</v>
      </c>
      <c r="AP204" s="140">
        <f t="shared" ca="1" si="54"/>
        <v>0</v>
      </c>
      <c r="AQ204" s="140">
        <f t="shared" ca="1" si="55"/>
        <v>0</v>
      </c>
      <c r="AR204" s="131">
        <v>0</v>
      </c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AB205" s="131">
        <f t="shared" ca="1" si="42"/>
        <v>0</v>
      </c>
      <c r="AC205" s="131">
        <f t="shared" ca="1" si="43"/>
        <v>0</v>
      </c>
      <c r="AD205" s="131">
        <f t="shared" ca="1" si="44"/>
        <v>0</v>
      </c>
      <c r="AE205" s="140">
        <f t="shared" ca="1" si="45"/>
        <v>0</v>
      </c>
      <c r="AF205" s="140">
        <f t="shared" ca="1" si="46"/>
        <v>0</v>
      </c>
      <c r="AG205" s="140">
        <f t="shared" ca="1" si="47"/>
        <v>0</v>
      </c>
      <c r="AH205" s="131">
        <f t="shared" ca="1" si="48"/>
        <v>0</v>
      </c>
      <c r="AI205" s="131">
        <f t="shared" ca="1" si="49"/>
        <v>0</v>
      </c>
      <c r="AJ205" s="131">
        <f t="shared" ca="1" si="50"/>
        <v>0</v>
      </c>
      <c r="AK205" s="140">
        <f t="shared" ca="1" si="51"/>
        <v>0</v>
      </c>
      <c r="AL205" s="140">
        <f t="shared" ca="1" si="52"/>
        <v>0</v>
      </c>
      <c r="AM205" s="131">
        <v>0</v>
      </c>
      <c r="AN205" s="140">
        <f t="shared" ca="1" si="53"/>
        <v>0</v>
      </c>
      <c r="AO205" s="140">
        <v>0</v>
      </c>
      <c r="AP205" s="140">
        <f t="shared" ca="1" si="54"/>
        <v>0</v>
      </c>
      <c r="AQ205" s="140">
        <f t="shared" ca="1" si="55"/>
        <v>0</v>
      </c>
      <c r="AR205" s="131">
        <v>0</v>
      </c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AB206" s="131">
        <f t="shared" ca="1" si="42"/>
        <v>0</v>
      </c>
      <c r="AC206" s="131">
        <f t="shared" ca="1" si="43"/>
        <v>0</v>
      </c>
      <c r="AD206" s="131">
        <f t="shared" ca="1" si="44"/>
        <v>0</v>
      </c>
      <c r="AE206" s="140">
        <f t="shared" ca="1" si="45"/>
        <v>0</v>
      </c>
      <c r="AF206" s="140">
        <f t="shared" ca="1" si="46"/>
        <v>0</v>
      </c>
      <c r="AG206" s="140">
        <f t="shared" ca="1" si="47"/>
        <v>0</v>
      </c>
      <c r="AH206" s="131">
        <f t="shared" ca="1" si="48"/>
        <v>0</v>
      </c>
      <c r="AI206" s="131">
        <f t="shared" ca="1" si="49"/>
        <v>0</v>
      </c>
      <c r="AJ206" s="131">
        <f t="shared" ca="1" si="50"/>
        <v>0</v>
      </c>
      <c r="AK206" s="140">
        <f t="shared" ca="1" si="51"/>
        <v>0</v>
      </c>
      <c r="AL206" s="140">
        <f t="shared" ca="1" si="52"/>
        <v>0</v>
      </c>
      <c r="AM206" s="131">
        <v>0</v>
      </c>
      <c r="AN206" s="140">
        <f t="shared" ca="1" si="53"/>
        <v>0</v>
      </c>
      <c r="AO206" s="140">
        <v>0</v>
      </c>
      <c r="AP206" s="140">
        <f t="shared" ca="1" si="54"/>
        <v>0</v>
      </c>
      <c r="AQ206" s="140">
        <f t="shared" ca="1" si="55"/>
        <v>0</v>
      </c>
      <c r="AR206" s="131">
        <v>0</v>
      </c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AB207" s="131">
        <f t="shared" ca="1" si="42"/>
        <v>0</v>
      </c>
      <c r="AC207" s="131">
        <f t="shared" ca="1" si="43"/>
        <v>0</v>
      </c>
      <c r="AD207" s="131">
        <f t="shared" ca="1" si="44"/>
        <v>0</v>
      </c>
      <c r="AE207" s="140">
        <f t="shared" ca="1" si="45"/>
        <v>0</v>
      </c>
      <c r="AF207" s="140">
        <f t="shared" ca="1" si="46"/>
        <v>0</v>
      </c>
      <c r="AG207" s="140">
        <f t="shared" ca="1" si="47"/>
        <v>0</v>
      </c>
      <c r="AH207" s="131">
        <f t="shared" ca="1" si="48"/>
        <v>0</v>
      </c>
      <c r="AI207" s="131">
        <f t="shared" ca="1" si="49"/>
        <v>0</v>
      </c>
      <c r="AJ207" s="131">
        <f t="shared" ca="1" si="50"/>
        <v>0</v>
      </c>
      <c r="AK207" s="140">
        <f t="shared" ca="1" si="51"/>
        <v>0</v>
      </c>
      <c r="AL207" s="140">
        <f t="shared" ca="1" si="52"/>
        <v>0</v>
      </c>
      <c r="AM207" s="131">
        <v>0</v>
      </c>
      <c r="AN207" s="140">
        <f t="shared" ca="1" si="53"/>
        <v>0</v>
      </c>
      <c r="AO207" s="140">
        <v>0</v>
      </c>
      <c r="AP207" s="140">
        <f t="shared" ca="1" si="54"/>
        <v>0</v>
      </c>
      <c r="AQ207" s="140">
        <f t="shared" ca="1" si="55"/>
        <v>0</v>
      </c>
      <c r="AR207" s="131">
        <v>0</v>
      </c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AB208" s="131">
        <f t="shared" ca="1" si="42"/>
        <v>0</v>
      </c>
      <c r="AC208" s="131">
        <f t="shared" ca="1" si="43"/>
        <v>0</v>
      </c>
      <c r="AD208" s="131">
        <f t="shared" ca="1" si="44"/>
        <v>0</v>
      </c>
      <c r="AE208" s="140">
        <f t="shared" ca="1" si="45"/>
        <v>0</v>
      </c>
      <c r="AF208" s="140">
        <f t="shared" ca="1" si="46"/>
        <v>0</v>
      </c>
      <c r="AG208" s="140">
        <f t="shared" ca="1" si="47"/>
        <v>0</v>
      </c>
      <c r="AH208" s="131">
        <f t="shared" ca="1" si="48"/>
        <v>0</v>
      </c>
      <c r="AI208" s="131">
        <f t="shared" ca="1" si="49"/>
        <v>0</v>
      </c>
      <c r="AJ208" s="131">
        <f t="shared" ca="1" si="50"/>
        <v>0</v>
      </c>
      <c r="AK208" s="140">
        <f t="shared" ca="1" si="51"/>
        <v>0</v>
      </c>
      <c r="AL208" s="140">
        <f t="shared" ca="1" si="52"/>
        <v>0</v>
      </c>
      <c r="AM208" s="131">
        <v>0</v>
      </c>
      <c r="AN208" s="140">
        <f t="shared" ca="1" si="53"/>
        <v>0</v>
      </c>
      <c r="AO208" s="140">
        <v>0</v>
      </c>
      <c r="AP208" s="140">
        <f t="shared" ca="1" si="54"/>
        <v>0</v>
      </c>
      <c r="AQ208" s="140">
        <f t="shared" ca="1" si="55"/>
        <v>0</v>
      </c>
      <c r="AR208" s="131">
        <v>0</v>
      </c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AB209" s="131">
        <f t="shared" ca="1" si="42"/>
        <v>0</v>
      </c>
      <c r="AC209" s="131">
        <f t="shared" ca="1" si="43"/>
        <v>0</v>
      </c>
      <c r="AD209" s="131">
        <f t="shared" ca="1" si="44"/>
        <v>0</v>
      </c>
      <c r="AE209" s="140">
        <f t="shared" ca="1" si="45"/>
        <v>0</v>
      </c>
      <c r="AF209" s="140">
        <f t="shared" ca="1" si="46"/>
        <v>0</v>
      </c>
      <c r="AG209" s="140">
        <f t="shared" ca="1" si="47"/>
        <v>0</v>
      </c>
      <c r="AH209" s="131">
        <f t="shared" ca="1" si="48"/>
        <v>0</v>
      </c>
      <c r="AI209" s="131">
        <f t="shared" ca="1" si="49"/>
        <v>0</v>
      </c>
      <c r="AJ209" s="131">
        <f t="shared" ca="1" si="50"/>
        <v>0</v>
      </c>
      <c r="AK209" s="140">
        <f t="shared" ca="1" si="51"/>
        <v>0</v>
      </c>
      <c r="AL209" s="140">
        <f t="shared" ca="1" si="52"/>
        <v>0</v>
      </c>
      <c r="AM209" s="131">
        <v>0</v>
      </c>
      <c r="AN209" s="140">
        <f t="shared" ca="1" si="53"/>
        <v>0</v>
      </c>
      <c r="AO209" s="140">
        <v>0</v>
      </c>
      <c r="AP209" s="140">
        <f t="shared" ca="1" si="54"/>
        <v>0</v>
      </c>
      <c r="AQ209" s="140">
        <f t="shared" ca="1" si="55"/>
        <v>0</v>
      </c>
      <c r="AR209" s="131">
        <v>0</v>
      </c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AB210" s="131">
        <f t="shared" ca="1" si="42"/>
        <v>0</v>
      </c>
      <c r="AC210" s="131">
        <f t="shared" ca="1" si="43"/>
        <v>0</v>
      </c>
      <c r="AD210" s="131">
        <f t="shared" ca="1" si="44"/>
        <v>0</v>
      </c>
      <c r="AE210" s="140">
        <f t="shared" ca="1" si="45"/>
        <v>0</v>
      </c>
      <c r="AF210" s="140">
        <f t="shared" ca="1" si="46"/>
        <v>0</v>
      </c>
      <c r="AG210" s="140">
        <f t="shared" ca="1" si="47"/>
        <v>0</v>
      </c>
      <c r="AH210" s="131">
        <f t="shared" ca="1" si="48"/>
        <v>0</v>
      </c>
      <c r="AI210" s="131">
        <f t="shared" ca="1" si="49"/>
        <v>0</v>
      </c>
      <c r="AJ210" s="131">
        <f t="shared" ca="1" si="50"/>
        <v>0</v>
      </c>
      <c r="AK210" s="140">
        <f t="shared" ca="1" si="51"/>
        <v>0</v>
      </c>
      <c r="AL210" s="140">
        <f t="shared" ca="1" si="52"/>
        <v>0</v>
      </c>
      <c r="AM210" s="131">
        <v>0</v>
      </c>
      <c r="AN210" s="140">
        <f t="shared" ca="1" si="53"/>
        <v>0</v>
      </c>
      <c r="AO210" s="140">
        <v>0</v>
      </c>
      <c r="AP210" s="140">
        <f t="shared" ca="1" si="54"/>
        <v>0</v>
      </c>
      <c r="AQ210" s="140">
        <f t="shared" ca="1" si="55"/>
        <v>0</v>
      </c>
      <c r="AR210" s="131">
        <v>0</v>
      </c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AB211" s="131">
        <f t="shared" ca="1" si="42"/>
        <v>0</v>
      </c>
      <c r="AC211" s="131">
        <f t="shared" ca="1" si="43"/>
        <v>0</v>
      </c>
      <c r="AD211" s="131">
        <f t="shared" ca="1" si="44"/>
        <v>0</v>
      </c>
      <c r="AE211" s="140">
        <f t="shared" ca="1" si="45"/>
        <v>0</v>
      </c>
      <c r="AF211" s="140">
        <f t="shared" ca="1" si="46"/>
        <v>0</v>
      </c>
      <c r="AG211" s="140">
        <f t="shared" ca="1" si="47"/>
        <v>0</v>
      </c>
      <c r="AH211" s="131">
        <f t="shared" ca="1" si="48"/>
        <v>0</v>
      </c>
      <c r="AI211" s="131">
        <f t="shared" ca="1" si="49"/>
        <v>0</v>
      </c>
      <c r="AJ211" s="131">
        <f t="shared" ca="1" si="50"/>
        <v>0</v>
      </c>
      <c r="AK211" s="140">
        <f t="shared" ca="1" si="51"/>
        <v>0</v>
      </c>
      <c r="AL211" s="140">
        <f t="shared" ca="1" si="52"/>
        <v>0</v>
      </c>
      <c r="AM211" s="131">
        <v>0</v>
      </c>
      <c r="AN211" s="140">
        <f t="shared" ca="1" si="53"/>
        <v>0</v>
      </c>
      <c r="AO211" s="140">
        <v>0</v>
      </c>
      <c r="AP211" s="140">
        <f t="shared" ca="1" si="54"/>
        <v>0</v>
      </c>
      <c r="AQ211" s="140">
        <f t="shared" ca="1" si="55"/>
        <v>0</v>
      </c>
      <c r="AR211" s="131">
        <v>0</v>
      </c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AB212" s="131">
        <f t="shared" ca="1" si="42"/>
        <v>0</v>
      </c>
      <c r="AC212" s="131">
        <f t="shared" ca="1" si="43"/>
        <v>0</v>
      </c>
      <c r="AD212" s="131">
        <f t="shared" ca="1" si="44"/>
        <v>0</v>
      </c>
      <c r="AE212" s="140">
        <f t="shared" ca="1" si="45"/>
        <v>0</v>
      </c>
      <c r="AF212" s="140">
        <f t="shared" ca="1" si="46"/>
        <v>0</v>
      </c>
      <c r="AG212" s="140">
        <f t="shared" ca="1" si="47"/>
        <v>0</v>
      </c>
      <c r="AH212" s="131">
        <f t="shared" ca="1" si="48"/>
        <v>0</v>
      </c>
      <c r="AI212" s="131">
        <f t="shared" ca="1" si="49"/>
        <v>0</v>
      </c>
      <c r="AJ212" s="131">
        <f t="shared" ca="1" si="50"/>
        <v>0</v>
      </c>
      <c r="AK212" s="140">
        <f t="shared" ca="1" si="51"/>
        <v>0</v>
      </c>
      <c r="AL212" s="140">
        <f t="shared" ca="1" si="52"/>
        <v>0</v>
      </c>
      <c r="AM212" s="131">
        <v>0</v>
      </c>
      <c r="AN212" s="140">
        <f t="shared" ca="1" si="53"/>
        <v>0</v>
      </c>
      <c r="AO212" s="140">
        <v>0</v>
      </c>
      <c r="AP212" s="140">
        <f t="shared" ca="1" si="54"/>
        <v>0</v>
      </c>
      <c r="AQ212" s="140">
        <f t="shared" ca="1" si="55"/>
        <v>0</v>
      </c>
      <c r="AR212" s="131">
        <v>0</v>
      </c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AB213" s="131">
        <f t="shared" ca="1" si="42"/>
        <v>0</v>
      </c>
      <c r="AC213" s="131">
        <f t="shared" ca="1" si="43"/>
        <v>0</v>
      </c>
      <c r="AD213" s="131">
        <f t="shared" ca="1" si="44"/>
        <v>0</v>
      </c>
      <c r="AE213" s="140">
        <f t="shared" ca="1" si="45"/>
        <v>0</v>
      </c>
      <c r="AF213" s="140">
        <f t="shared" ca="1" si="46"/>
        <v>0</v>
      </c>
      <c r="AG213" s="140">
        <f t="shared" ca="1" si="47"/>
        <v>0</v>
      </c>
      <c r="AH213" s="131">
        <f t="shared" ca="1" si="48"/>
        <v>0</v>
      </c>
      <c r="AI213" s="131">
        <f t="shared" ca="1" si="49"/>
        <v>0</v>
      </c>
      <c r="AJ213" s="131">
        <f t="shared" ca="1" si="50"/>
        <v>0</v>
      </c>
      <c r="AK213" s="140">
        <f t="shared" ca="1" si="51"/>
        <v>0</v>
      </c>
      <c r="AL213" s="140">
        <f t="shared" ca="1" si="52"/>
        <v>0</v>
      </c>
      <c r="AM213" s="131">
        <v>0</v>
      </c>
      <c r="AN213" s="140">
        <f t="shared" ca="1" si="53"/>
        <v>0</v>
      </c>
      <c r="AO213" s="140">
        <v>0</v>
      </c>
      <c r="AP213" s="140">
        <f t="shared" ca="1" si="54"/>
        <v>0</v>
      </c>
      <c r="AQ213" s="140">
        <f t="shared" ca="1" si="55"/>
        <v>0</v>
      </c>
      <c r="AR213" s="131">
        <v>0</v>
      </c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AB214" s="131">
        <f t="shared" ca="1" si="42"/>
        <v>0</v>
      </c>
      <c r="AC214" s="131">
        <f t="shared" ca="1" si="43"/>
        <v>0</v>
      </c>
      <c r="AD214" s="131">
        <f t="shared" ca="1" si="44"/>
        <v>0</v>
      </c>
      <c r="AE214" s="140">
        <f t="shared" ca="1" si="45"/>
        <v>0</v>
      </c>
      <c r="AF214" s="140">
        <f t="shared" ca="1" si="46"/>
        <v>0</v>
      </c>
      <c r="AG214" s="140">
        <f t="shared" ca="1" si="47"/>
        <v>0</v>
      </c>
      <c r="AH214" s="131">
        <f t="shared" ca="1" si="48"/>
        <v>0</v>
      </c>
      <c r="AI214" s="131">
        <f t="shared" ca="1" si="49"/>
        <v>0</v>
      </c>
      <c r="AJ214" s="131">
        <f t="shared" ca="1" si="50"/>
        <v>0</v>
      </c>
      <c r="AK214" s="140">
        <f t="shared" ca="1" si="51"/>
        <v>0</v>
      </c>
      <c r="AL214" s="140">
        <f t="shared" ca="1" si="52"/>
        <v>0</v>
      </c>
      <c r="AM214" s="131">
        <v>0</v>
      </c>
      <c r="AN214" s="140">
        <f t="shared" ca="1" si="53"/>
        <v>0</v>
      </c>
      <c r="AO214" s="140">
        <v>0</v>
      </c>
      <c r="AP214" s="140">
        <f t="shared" ca="1" si="54"/>
        <v>0</v>
      </c>
      <c r="AQ214" s="140">
        <f t="shared" ca="1" si="55"/>
        <v>0</v>
      </c>
      <c r="AR214" s="131">
        <v>0</v>
      </c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AB215" s="131">
        <f t="shared" ca="1" si="42"/>
        <v>0</v>
      </c>
      <c r="AC215" s="131">
        <f t="shared" ca="1" si="43"/>
        <v>0</v>
      </c>
      <c r="AD215" s="131">
        <f t="shared" ca="1" si="44"/>
        <v>0</v>
      </c>
      <c r="AE215" s="140">
        <f t="shared" ca="1" si="45"/>
        <v>0</v>
      </c>
      <c r="AF215" s="140">
        <f t="shared" ca="1" si="46"/>
        <v>0</v>
      </c>
      <c r="AG215" s="140">
        <f t="shared" ca="1" si="47"/>
        <v>0</v>
      </c>
      <c r="AH215" s="131">
        <f t="shared" ca="1" si="48"/>
        <v>0</v>
      </c>
      <c r="AI215" s="131">
        <f t="shared" ca="1" si="49"/>
        <v>0</v>
      </c>
      <c r="AJ215" s="131">
        <f t="shared" ca="1" si="50"/>
        <v>0</v>
      </c>
      <c r="AK215" s="140">
        <f t="shared" ca="1" si="51"/>
        <v>0</v>
      </c>
      <c r="AL215" s="140">
        <f t="shared" ca="1" si="52"/>
        <v>0</v>
      </c>
      <c r="AM215" s="131">
        <v>0</v>
      </c>
      <c r="AN215" s="140">
        <f t="shared" ca="1" si="53"/>
        <v>0</v>
      </c>
      <c r="AO215" s="140">
        <v>0</v>
      </c>
      <c r="AP215" s="140">
        <f t="shared" ca="1" si="54"/>
        <v>0</v>
      </c>
      <c r="AQ215" s="140">
        <f t="shared" ca="1" si="55"/>
        <v>0</v>
      </c>
      <c r="AR215" s="131">
        <v>0</v>
      </c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AB216" s="131">
        <f t="shared" ca="1" si="42"/>
        <v>0</v>
      </c>
      <c r="AC216" s="131">
        <f t="shared" ca="1" si="43"/>
        <v>0</v>
      </c>
      <c r="AD216" s="131">
        <f t="shared" ca="1" si="44"/>
        <v>0</v>
      </c>
      <c r="AE216" s="140">
        <f t="shared" ca="1" si="45"/>
        <v>0</v>
      </c>
      <c r="AF216" s="140">
        <f t="shared" ca="1" si="46"/>
        <v>0</v>
      </c>
      <c r="AG216" s="140">
        <f t="shared" ca="1" si="47"/>
        <v>0</v>
      </c>
      <c r="AH216" s="131">
        <f t="shared" ca="1" si="48"/>
        <v>0</v>
      </c>
      <c r="AI216" s="131">
        <f t="shared" ca="1" si="49"/>
        <v>0</v>
      </c>
      <c r="AJ216" s="131">
        <f t="shared" ca="1" si="50"/>
        <v>0</v>
      </c>
      <c r="AK216" s="140">
        <f t="shared" ca="1" si="51"/>
        <v>0</v>
      </c>
      <c r="AL216" s="140">
        <f t="shared" ca="1" si="52"/>
        <v>0</v>
      </c>
      <c r="AM216" s="131">
        <v>0</v>
      </c>
      <c r="AN216" s="140">
        <f t="shared" ca="1" si="53"/>
        <v>0</v>
      </c>
      <c r="AO216" s="140">
        <v>0</v>
      </c>
      <c r="AP216" s="140">
        <f t="shared" ca="1" si="54"/>
        <v>0</v>
      </c>
      <c r="AQ216" s="140">
        <f t="shared" ca="1" si="55"/>
        <v>0</v>
      </c>
      <c r="AR216" s="131">
        <v>0</v>
      </c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AB217" s="131">
        <f t="shared" ca="1" si="42"/>
        <v>0</v>
      </c>
      <c r="AC217" s="131">
        <f t="shared" ca="1" si="43"/>
        <v>0</v>
      </c>
      <c r="AD217" s="131">
        <f t="shared" ca="1" si="44"/>
        <v>0</v>
      </c>
      <c r="AE217" s="140">
        <f t="shared" ca="1" si="45"/>
        <v>0</v>
      </c>
      <c r="AF217" s="140">
        <f t="shared" ca="1" si="46"/>
        <v>0</v>
      </c>
      <c r="AG217" s="140">
        <f t="shared" ca="1" si="47"/>
        <v>0</v>
      </c>
      <c r="AH217" s="131">
        <f t="shared" ca="1" si="48"/>
        <v>0</v>
      </c>
      <c r="AI217" s="131">
        <f t="shared" ca="1" si="49"/>
        <v>0</v>
      </c>
      <c r="AJ217" s="131">
        <f t="shared" ca="1" si="50"/>
        <v>0</v>
      </c>
      <c r="AK217" s="140">
        <f t="shared" ca="1" si="51"/>
        <v>0</v>
      </c>
      <c r="AL217" s="140">
        <f t="shared" ca="1" si="52"/>
        <v>0</v>
      </c>
      <c r="AM217" s="131">
        <v>0</v>
      </c>
      <c r="AN217" s="140">
        <f t="shared" ca="1" si="53"/>
        <v>0</v>
      </c>
      <c r="AO217" s="140">
        <v>0</v>
      </c>
      <c r="AP217" s="140">
        <f t="shared" ca="1" si="54"/>
        <v>0</v>
      </c>
      <c r="AQ217" s="140">
        <f t="shared" ca="1" si="55"/>
        <v>0</v>
      </c>
      <c r="AR217" s="131">
        <v>0</v>
      </c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AB218" s="131">
        <f t="shared" ca="1" si="42"/>
        <v>0</v>
      </c>
      <c r="AC218" s="131">
        <f t="shared" ca="1" si="43"/>
        <v>0</v>
      </c>
      <c r="AD218" s="131">
        <f t="shared" ca="1" si="44"/>
        <v>0</v>
      </c>
      <c r="AE218" s="140">
        <f t="shared" ca="1" si="45"/>
        <v>0</v>
      </c>
      <c r="AF218" s="140">
        <f t="shared" ca="1" si="46"/>
        <v>0</v>
      </c>
      <c r="AG218" s="140">
        <f t="shared" ca="1" si="47"/>
        <v>0</v>
      </c>
      <c r="AH218" s="131">
        <f t="shared" ca="1" si="48"/>
        <v>0</v>
      </c>
      <c r="AI218" s="131">
        <f t="shared" ca="1" si="49"/>
        <v>0</v>
      </c>
      <c r="AJ218" s="131">
        <f t="shared" ca="1" si="50"/>
        <v>0</v>
      </c>
      <c r="AK218" s="140">
        <f t="shared" ca="1" si="51"/>
        <v>0</v>
      </c>
      <c r="AL218" s="140">
        <f t="shared" ca="1" si="52"/>
        <v>0</v>
      </c>
      <c r="AM218" s="131">
        <v>0</v>
      </c>
      <c r="AN218" s="140">
        <f t="shared" ca="1" si="53"/>
        <v>0</v>
      </c>
      <c r="AO218" s="140">
        <v>0</v>
      </c>
      <c r="AP218" s="140">
        <f t="shared" ca="1" si="54"/>
        <v>0</v>
      </c>
      <c r="AQ218" s="140">
        <f t="shared" ca="1" si="55"/>
        <v>0</v>
      </c>
      <c r="AR218" s="131">
        <v>0</v>
      </c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AB219" s="131">
        <f t="shared" ca="1" si="42"/>
        <v>0</v>
      </c>
      <c r="AC219" s="131">
        <f t="shared" ca="1" si="43"/>
        <v>0</v>
      </c>
      <c r="AD219" s="131">
        <f t="shared" ca="1" si="44"/>
        <v>0</v>
      </c>
      <c r="AE219" s="140">
        <f t="shared" ca="1" si="45"/>
        <v>0</v>
      </c>
      <c r="AF219" s="140">
        <f t="shared" ca="1" si="46"/>
        <v>0</v>
      </c>
      <c r="AG219" s="140">
        <f t="shared" ca="1" si="47"/>
        <v>0</v>
      </c>
      <c r="AH219" s="131">
        <f t="shared" ca="1" si="48"/>
        <v>0</v>
      </c>
      <c r="AI219" s="131">
        <f t="shared" ca="1" si="49"/>
        <v>0</v>
      </c>
      <c r="AJ219" s="131">
        <f t="shared" ca="1" si="50"/>
        <v>0</v>
      </c>
      <c r="AK219" s="140">
        <f t="shared" ca="1" si="51"/>
        <v>0</v>
      </c>
      <c r="AL219" s="140">
        <f t="shared" ca="1" si="52"/>
        <v>0</v>
      </c>
      <c r="AM219" s="131">
        <v>0</v>
      </c>
      <c r="AN219" s="140">
        <f t="shared" ca="1" si="53"/>
        <v>0</v>
      </c>
      <c r="AO219" s="140">
        <v>0</v>
      </c>
      <c r="AP219" s="140">
        <f t="shared" ca="1" si="54"/>
        <v>0</v>
      </c>
      <c r="AQ219" s="140">
        <f t="shared" ca="1" si="55"/>
        <v>0</v>
      </c>
      <c r="AR219" s="131">
        <v>0</v>
      </c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AB220" s="131">
        <f t="shared" ca="1" si="42"/>
        <v>0</v>
      </c>
      <c r="AC220" s="131">
        <f t="shared" ca="1" si="43"/>
        <v>0</v>
      </c>
      <c r="AD220" s="131">
        <f t="shared" ca="1" si="44"/>
        <v>0</v>
      </c>
      <c r="AE220" s="140">
        <f t="shared" ca="1" si="45"/>
        <v>0</v>
      </c>
      <c r="AF220" s="140">
        <f t="shared" ca="1" si="46"/>
        <v>0</v>
      </c>
      <c r="AG220" s="140">
        <f t="shared" ca="1" si="47"/>
        <v>0</v>
      </c>
      <c r="AH220" s="131">
        <f t="shared" ca="1" si="48"/>
        <v>0</v>
      </c>
      <c r="AI220" s="131">
        <f t="shared" ca="1" si="49"/>
        <v>0</v>
      </c>
      <c r="AJ220" s="131">
        <f t="shared" ca="1" si="50"/>
        <v>0</v>
      </c>
      <c r="AK220" s="140">
        <f t="shared" ca="1" si="51"/>
        <v>0</v>
      </c>
      <c r="AL220" s="140">
        <f t="shared" ca="1" si="52"/>
        <v>0</v>
      </c>
      <c r="AM220" s="131">
        <v>0</v>
      </c>
      <c r="AN220" s="140">
        <f t="shared" ca="1" si="53"/>
        <v>0</v>
      </c>
      <c r="AO220" s="140">
        <v>0</v>
      </c>
      <c r="AP220" s="140">
        <f t="shared" ca="1" si="54"/>
        <v>0</v>
      </c>
      <c r="AQ220" s="140">
        <f t="shared" ca="1" si="55"/>
        <v>0</v>
      </c>
      <c r="AR220" s="131">
        <v>0</v>
      </c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AB221" s="131">
        <f t="shared" ca="1" si="42"/>
        <v>0</v>
      </c>
      <c r="AC221" s="131">
        <f t="shared" ca="1" si="43"/>
        <v>0</v>
      </c>
      <c r="AD221" s="131">
        <f t="shared" ca="1" si="44"/>
        <v>0</v>
      </c>
      <c r="AE221" s="140">
        <f t="shared" ca="1" si="45"/>
        <v>0</v>
      </c>
      <c r="AF221" s="140">
        <f t="shared" ca="1" si="46"/>
        <v>0</v>
      </c>
      <c r="AG221" s="140">
        <f t="shared" ca="1" si="47"/>
        <v>0</v>
      </c>
      <c r="AH221" s="131">
        <f t="shared" ca="1" si="48"/>
        <v>0</v>
      </c>
      <c r="AI221" s="131">
        <f t="shared" ca="1" si="49"/>
        <v>0</v>
      </c>
      <c r="AJ221" s="131">
        <f t="shared" ca="1" si="50"/>
        <v>0</v>
      </c>
      <c r="AK221" s="140">
        <f t="shared" ca="1" si="51"/>
        <v>0</v>
      </c>
      <c r="AL221" s="140">
        <f t="shared" ca="1" si="52"/>
        <v>0</v>
      </c>
      <c r="AM221" s="131">
        <v>0</v>
      </c>
      <c r="AN221" s="140">
        <f t="shared" ca="1" si="53"/>
        <v>0</v>
      </c>
      <c r="AO221" s="140">
        <v>0</v>
      </c>
      <c r="AP221" s="140">
        <f t="shared" ca="1" si="54"/>
        <v>0</v>
      </c>
      <c r="AQ221" s="140">
        <f t="shared" ca="1" si="55"/>
        <v>0</v>
      </c>
      <c r="AR221" s="131">
        <v>0</v>
      </c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AB222" s="131">
        <f t="shared" ca="1" si="42"/>
        <v>0</v>
      </c>
      <c r="AC222" s="131">
        <f t="shared" ca="1" si="43"/>
        <v>0</v>
      </c>
      <c r="AD222" s="131">
        <f t="shared" ca="1" si="44"/>
        <v>0</v>
      </c>
      <c r="AE222" s="140">
        <f t="shared" ca="1" si="45"/>
        <v>0</v>
      </c>
      <c r="AF222" s="140">
        <f t="shared" ca="1" si="46"/>
        <v>0</v>
      </c>
      <c r="AG222" s="140">
        <f t="shared" ca="1" si="47"/>
        <v>0</v>
      </c>
      <c r="AH222" s="131">
        <f t="shared" ca="1" si="48"/>
        <v>0</v>
      </c>
      <c r="AI222" s="131">
        <f t="shared" ca="1" si="49"/>
        <v>0</v>
      </c>
      <c r="AJ222" s="131">
        <f t="shared" ca="1" si="50"/>
        <v>0</v>
      </c>
      <c r="AK222" s="140">
        <f t="shared" ca="1" si="51"/>
        <v>0</v>
      </c>
      <c r="AL222" s="140">
        <f t="shared" ca="1" si="52"/>
        <v>0</v>
      </c>
      <c r="AM222" s="131">
        <v>0</v>
      </c>
      <c r="AN222" s="140">
        <f t="shared" ca="1" si="53"/>
        <v>0</v>
      </c>
      <c r="AO222" s="140">
        <v>0</v>
      </c>
      <c r="AP222" s="140">
        <f t="shared" ca="1" si="54"/>
        <v>0</v>
      </c>
      <c r="AQ222" s="140">
        <f t="shared" ca="1" si="55"/>
        <v>0</v>
      </c>
      <c r="AR222" s="131">
        <v>0</v>
      </c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AB223" s="131">
        <f t="shared" ca="1" si="42"/>
        <v>0</v>
      </c>
      <c r="AC223" s="131">
        <f t="shared" ca="1" si="43"/>
        <v>0</v>
      </c>
      <c r="AD223" s="131">
        <f t="shared" ca="1" si="44"/>
        <v>0</v>
      </c>
      <c r="AE223" s="140">
        <f t="shared" ca="1" si="45"/>
        <v>0</v>
      </c>
      <c r="AF223" s="140">
        <f t="shared" ca="1" si="46"/>
        <v>0</v>
      </c>
      <c r="AG223" s="140">
        <f t="shared" ca="1" si="47"/>
        <v>0</v>
      </c>
      <c r="AH223" s="131">
        <f t="shared" ca="1" si="48"/>
        <v>0</v>
      </c>
      <c r="AI223" s="131">
        <f t="shared" ca="1" si="49"/>
        <v>0</v>
      </c>
      <c r="AJ223" s="131">
        <f t="shared" ca="1" si="50"/>
        <v>0</v>
      </c>
      <c r="AK223" s="140">
        <f t="shared" ca="1" si="51"/>
        <v>0</v>
      </c>
      <c r="AL223" s="140">
        <f t="shared" ca="1" si="52"/>
        <v>0</v>
      </c>
      <c r="AM223" s="131">
        <v>0</v>
      </c>
      <c r="AN223" s="140">
        <f t="shared" ca="1" si="53"/>
        <v>0</v>
      </c>
      <c r="AO223" s="140">
        <v>0</v>
      </c>
      <c r="AP223" s="140">
        <f t="shared" ca="1" si="54"/>
        <v>0</v>
      </c>
      <c r="AQ223" s="140">
        <f t="shared" ca="1" si="55"/>
        <v>0</v>
      </c>
      <c r="AR223" s="131">
        <v>0</v>
      </c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AB224" s="131">
        <f t="shared" ca="1" si="42"/>
        <v>0</v>
      </c>
      <c r="AC224" s="131">
        <f t="shared" ca="1" si="43"/>
        <v>0</v>
      </c>
      <c r="AD224" s="131">
        <f t="shared" ca="1" si="44"/>
        <v>0</v>
      </c>
      <c r="AE224" s="140">
        <f t="shared" ca="1" si="45"/>
        <v>0</v>
      </c>
      <c r="AF224" s="140">
        <f t="shared" ca="1" si="46"/>
        <v>0</v>
      </c>
      <c r="AG224" s="140">
        <f t="shared" ca="1" si="47"/>
        <v>0</v>
      </c>
      <c r="AH224" s="131">
        <f t="shared" ca="1" si="48"/>
        <v>0</v>
      </c>
      <c r="AI224" s="131">
        <f t="shared" ca="1" si="49"/>
        <v>0</v>
      </c>
      <c r="AJ224" s="131">
        <f t="shared" ca="1" si="50"/>
        <v>0</v>
      </c>
      <c r="AK224" s="140">
        <f t="shared" ca="1" si="51"/>
        <v>0</v>
      </c>
      <c r="AL224" s="140">
        <f t="shared" ca="1" si="52"/>
        <v>0</v>
      </c>
      <c r="AM224" s="131">
        <v>0</v>
      </c>
      <c r="AN224" s="140">
        <f t="shared" ca="1" si="53"/>
        <v>0</v>
      </c>
      <c r="AO224" s="140">
        <v>0</v>
      </c>
      <c r="AP224" s="140">
        <f t="shared" ca="1" si="54"/>
        <v>0</v>
      </c>
      <c r="AQ224" s="140">
        <f t="shared" ca="1" si="55"/>
        <v>0</v>
      </c>
      <c r="AR224" s="131">
        <v>0</v>
      </c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AB225" s="131">
        <f t="shared" ca="1" si="42"/>
        <v>0</v>
      </c>
      <c r="AC225" s="131">
        <f t="shared" ca="1" si="43"/>
        <v>0</v>
      </c>
      <c r="AD225" s="131">
        <f t="shared" ca="1" si="44"/>
        <v>0</v>
      </c>
      <c r="AE225" s="140">
        <f t="shared" ca="1" si="45"/>
        <v>0</v>
      </c>
      <c r="AF225" s="140">
        <f t="shared" ca="1" si="46"/>
        <v>0</v>
      </c>
      <c r="AG225" s="140">
        <f t="shared" ca="1" si="47"/>
        <v>0</v>
      </c>
      <c r="AH225" s="131">
        <f t="shared" ca="1" si="48"/>
        <v>0</v>
      </c>
      <c r="AI225" s="131">
        <f t="shared" ca="1" si="49"/>
        <v>0</v>
      </c>
      <c r="AJ225" s="131">
        <f t="shared" ca="1" si="50"/>
        <v>0</v>
      </c>
      <c r="AK225" s="140">
        <f t="shared" ca="1" si="51"/>
        <v>0</v>
      </c>
      <c r="AL225" s="140">
        <f t="shared" ca="1" si="52"/>
        <v>0</v>
      </c>
      <c r="AM225" s="131">
        <v>0</v>
      </c>
      <c r="AN225" s="140">
        <f t="shared" ca="1" si="53"/>
        <v>0</v>
      </c>
      <c r="AO225" s="140">
        <v>0</v>
      </c>
      <c r="AP225" s="140">
        <f t="shared" ca="1" si="54"/>
        <v>0</v>
      </c>
      <c r="AQ225" s="140">
        <f t="shared" ca="1" si="55"/>
        <v>0</v>
      </c>
      <c r="AR225" s="131">
        <v>0</v>
      </c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AB226" s="131">
        <f t="shared" ca="1" si="42"/>
        <v>0</v>
      </c>
      <c r="AC226" s="131">
        <f t="shared" ca="1" si="43"/>
        <v>0</v>
      </c>
      <c r="AD226" s="131">
        <f t="shared" ca="1" si="44"/>
        <v>0</v>
      </c>
      <c r="AE226" s="140">
        <f t="shared" ca="1" si="45"/>
        <v>0</v>
      </c>
      <c r="AF226" s="140">
        <f t="shared" ca="1" si="46"/>
        <v>0</v>
      </c>
      <c r="AG226" s="140">
        <f t="shared" ca="1" si="47"/>
        <v>0</v>
      </c>
      <c r="AH226" s="131">
        <f t="shared" ca="1" si="48"/>
        <v>0</v>
      </c>
      <c r="AI226" s="131">
        <f t="shared" ca="1" si="49"/>
        <v>0</v>
      </c>
      <c r="AJ226" s="131">
        <f t="shared" ca="1" si="50"/>
        <v>0</v>
      </c>
      <c r="AK226" s="140">
        <f t="shared" ca="1" si="51"/>
        <v>0</v>
      </c>
      <c r="AL226" s="140">
        <f t="shared" ca="1" si="52"/>
        <v>0</v>
      </c>
      <c r="AM226" s="131">
        <v>0</v>
      </c>
      <c r="AN226" s="140">
        <f t="shared" ca="1" si="53"/>
        <v>0</v>
      </c>
      <c r="AO226" s="140">
        <v>0</v>
      </c>
      <c r="AP226" s="140">
        <f t="shared" ca="1" si="54"/>
        <v>0</v>
      </c>
      <c r="AQ226" s="140">
        <f t="shared" ca="1" si="55"/>
        <v>0</v>
      </c>
      <c r="AR226" s="131">
        <v>0</v>
      </c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AB227" s="131">
        <f t="shared" ca="1" si="42"/>
        <v>0</v>
      </c>
      <c r="AC227" s="131">
        <f t="shared" ca="1" si="43"/>
        <v>0</v>
      </c>
      <c r="AD227" s="131">
        <f t="shared" ca="1" si="44"/>
        <v>0</v>
      </c>
      <c r="AE227" s="140">
        <f t="shared" ca="1" si="45"/>
        <v>0</v>
      </c>
      <c r="AF227" s="140">
        <f t="shared" ca="1" si="46"/>
        <v>0</v>
      </c>
      <c r="AG227" s="140">
        <f t="shared" ca="1" si="47"/>
        <v>0</v>
      </c>
      <c r="AH227" s="131">
        <f t="shared" ca="1" si="48"/>
        <v>0</v>
      </c>
      <c r="AI227" s="131">
        <f t="shared" ca="1" si="49"/>
        <v>0</v>
      </c>
      <c r="AJ227" s="131">
        <f t="shared" ca="1" si="50"/>
        <v>0</v>
      </c>
      <c r="AK227" s="140">
        <f t="shared" ca="1" si="51"/>
        <v>0</v>
      </c>
      <c r="AL227" s="140">
        <f t="shared" ca="1" si="52"/>
        <v>0</v>
      </c>
      <c r="AM227" s="131">
        <v>0</v>
      </c>
      <c r="AN227" s="140">
        <f t="shared" ca="1" si="53"/>
        <v>0</v>
      </c>
      <c r="AO227" s="140">
        <v>0</v>
      </c>
      <c r="AP227" s="140">
        <f t="shared" ca="1" si="54"/>
        <v>0</v>
      </c>
      <c r="AQ227" s="140">
        <f t="shared" ca="1" si="55"/>
        <v>0</v>
      </c>
      <c r="AR227" s="131">
        <v>0</v>
      </c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AB228" s="131">
        <f t="shared" ca="1" si="42"/>
        <v>0</v>
      </c>
      <c r="AC228" s="131">
        <f t="shared" ca="1" si="43"/>
        <v>0</v>
      </c>
      <c r="AD228" s="131">
        <f t="shared" ca="1" si="44"/>
        <v>0</v>
      </c>
      <c r="AE228" s="140">
        <f t="shared" ca="1" si="45"/>
        <v>0</v>
      </c>
      <c r="AF228" s="140">
        <f t="shared" ca="1" si="46"/>
        <v>0</v>
      </c>
      <c r="AG228" s="140">
        <f t="shared" ca="1" si="47"/>
        <v>0</v>
      </c>
      <c r="AH228" s="131">
        <f t="shared" ca="1" si="48"/>
        <v>0</v>
      </c>
      <c r="AI228" s="131">
        <f t="shared" ca="1" si="49"/>
        <v>0</v>
      </c>
      <c r="AJ228" s="131">
        <f t="shared" ca="1" si="50"/>
        <v>0</v>
      </c>
      <c r="AK228" s="140">
        <f t="shared" ca="1" si="51"/>
        <v>0</v>
      </c>
      <c r="AL228" s="140">
        <f t="shared" ca="1" si="52"/>
        <v>0</v>
      </c>
      <c r="AM228" s="131">
        <v>0</v>
      </c>
      <c r="AN228" s="140">
        <f t="shared" ca="1" si="53"/>
        <v>0</v>
      </c>
      <c r="AO228" s="140">
        <v>0</v>
      </c>
      <c r="AP228" s="140">
        <f t="shared" ca="1" si="54"/>
        <v>0</v>
      </c>
      <c r="AQ228" s="140">
        <f t="shared" ca="1" si="55"/>
        <v>0</v>
      </c>
      <c r="AR228" s="131">
        <v>0</v>
      </c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AB229" s="131">
        <f t="shared" ca="1" si="42"/>
        <v>0</v>
      </c>
      <c r="AC229" s="131">
        <f t="shared" ca="1" si="43"/>
        <v>0</v>
      </c>
      <c r="AD229" s="131">
        <f t="shared" ca="1" si="44"/>
        <v>0</v>
      </c>
      <c r="AE229" s="140">
        <f t="shared" ca="1" si="45"/>
        <v>0</v>
      </c>
      <c r="AF229" s="140">
        <f t="shared" ca="1" si="46"/>
        <v>0</v>
      </c>
      <c r="AG229" s="140">
        <f t="shared" ca="1" si="47"/>
        <v>0</v>
      </c>
      <c r="AH229" s="131">
        <f t="shared" ca="1" si="48"/>
        <v>0</v>
      </c>
      <c r="AI229" s="131">
        <f t="shared" ca="1" si="49"/>
        <v>0</v>
      </c>
      <c r="AJ229" s="131">
        <f t="shared" ca="1" si="50"/>
        <v>0</v>
      </c>
      <c r="AK229" s="140">
        <f t="shared" ca="1" si="51"/>
        <v>0</v>
      </c>
      <c r="AL229" s="140">
        <f t="shared" ca="1" si="52"/>
        <v>0</v>
      </c>
      <c r="AM229" s="131">
        <v>0</v>
      </c>
      <c r="AN229" s="140">
        <f t="shared" ca="1" si="53"/>
        <v>0</v>
      </c>
      <c r="AO229" s="140">
        <v>0</v>
      </c>
      <c r="AP229" s="140">
        <f t="shared" ca="1" si="54"/>
        <v>0</v>
      </c>
      <c r="AQ229" s="140">
        <f t="shared" ca="1" si="55"/>
        <v>0</v>
      </c>
      <c r="AR229" s="131">
        <v>0</v>
      </c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AB230" s="131">
        <f t="shared" ca="1" si="42"/>
        <v>0</v>
      </c>
      <c r="AC230" s="131">
        <f t="shared" ca="1" si="43"/>
        <v>0</v>
      </c>
      <c r="AD230" s="131">
        <f t="shared" ca="1" si="44"/>
        <v>0</v>
      </c>
      <c r="AE230" s="140">
        <f t="shared" ca="1" si="45"/>
        <v>0</v>
      </c>
      <c r="AF230" s="140">
        <f t="shared" ca="1" si="46"/>
        <v>0</v>
      </c>
      <c r="AG230" s="140">
        <f t="shared" ca="1" si="47"/>
        <v>0</v>
      </c>
      <c r="AH230" s="131">
        <f t="shared" ca="1" si="48"/>
        <v>0</v>
      </c>
      <c r="AI230" s="131">
        <f t="shared" ca="1" si="49"/>
        <v>0</v>
      </c>
      <c r="AJ230" s="131">
        <f t="shared" ca="1" si="50"/>
        <v>0</v>
      </c>
      <c r="AK230" s="140">
        <f t="shared" ca="1" si="51"/>
        <v>0</v>
      </c>
      <c r="AL230" s="140">
        <f t="shared" ca="1" si="52"/>
        <v>0</v>
      </c>
      <c r="AM230" s="131">
        <v>0</v>
      </c>
      <c r="AN230" s="140">
        <f t="shared" ca="1" si="53"/>
        <v>0</v>
      </c>
      <c r="AO230" s="140">
        <v>0</v>
      </c>
      <c r="AP230" s="140">
        <f t="shared" ca="1" si="54"/>
        <v>0</v>
      </c>
      <c r="AQ230" s="140">
        <f t="shared" ca="1" si="55"/>
        <v>0</v>
      </c>
      <c r="AR230" s="131">
        <v>0</v>
      </c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AB231" s="131">
        <f t="shared" ca="1" si="42"/>
        <v>0</v>
      </c>
      <c r="AC231" s="131">
        <f t="shared" ca="1" si="43"/>
        <v>0</v>
      </c>
      <c r="AD231" s="131">
        <f t="shared" ca="1" si="44"/>
        <v>0</v>
      </c>
      <c r="AE231" s="140">
        <f t="shared" ca="1" si="45"/>
        <v>0</v>
      </c>
      <c r="AF231" s="140">
        <f t="shared" ca="1" si="46"/>
        <v>0</v>
      </c>
      <c r="AG231" s="140">
        <f t="shared" ca="1" si="47"/>
        <v>0</v>
      </c>
      <c r="AH231" s="131">
        <f t="shared" ca="1" si="48"/>
        <v>0</v>
      </c>
      <c r="AI231" s="131">
        <f t="shared" ca="1" si="49"/>
        <v>0</v>
      </c>
      <c r="AJ231" s="131">
        <f t="shared" ca="1" si="50"/>
        <v>0</v>
      </c>
      <c r="AK231" s="140">
        <f t="shared" ca="1" si="51"/>
        <v>0</v>
      </c>
      <c r="AL231" s="140">
        <f t="shared" ca="1" si="52"/>
        <v>0</v>
      </c>
      <c r="AM231" s="131">
        <v>0</v>
      </c>
      <c r="AN231" s="140">
        <f t="shared" ca="1" si="53"/>
        <v>0</v>
      </c>
      <c r="AO231" s="140">
        <v>0</v>
      </c>
      <c r="AP231" s="140">
        <f t="shared" ca="1" si="54"/>
        <v>0</v>
      </c>
      <c r="AQ231" s="140">
        <f t="shared" ca="1" si="55"/>
        <v>0</v>
      </c>
      <c r="AR231" s="131">
        <v>0</v>
      </c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AB232" s="131">
        <f t="shared" ca="1" si="42"/>
        <v>0</v>
      </c>
      <c r="AC232" s="131">
        <f t="shared" ca="1" si="43"/>
        <v>0</v>
      </c>
      <c r="AD232" s="131">
        <f t="shared" ca="1" si="44"/>
        <v>0</v>
      </c>
      <c r="AE232" s="140">
        <f t="shared" ca="1" si="45"/>
        <v>0</v>
      </c>
      <c r="AF232" s="140">
        <f t="shared" ca="1" si="46"/>
        <v>0</v>
      </c>
      <c r="AG232" s="140">
        <f t="shared" ca="1" si="47"/>
        <v>0</v>
      </c>
      <c r="AH232" s="131">
        <f t="shared" ca="1" si="48"/>
        <v>0</v>
      </c>
      <c r="AI232" s="131">
        <f t="shared" ca="1" si="49"/>
        <v>0</v>
      </c>
      <c r="AJ232" s="131">
        <f t="shared" ca="1" si="50"/>
        <v>0</v>
      </c>
      <c r="AK232" s="140">
        <f t="shared" ca="1" si="51"/>
        <v>0</v>
      </c>
      <c r="AL232" s="140">
        <f t="shared" ca="1" si="52"/>
        <v>0</v>
      </c>
      <c r="AM232" s="131">
        <v>0</v>
      </c>
      <c r="AN232" s="140">
        <f t="shared" ca="1" si="53"/>
        <v>0</v>
      </c>
      <c r="AO232" s="140">
        <v>0</v>
      </c>
      <c r="AP232" s="140">
        <f t="shared" ca="1" si="54"/>
        <v>0</v>
      </c>
      <c r="AQ232" s="140">
        <f t="shared" ca="1" si="55"/>
        <v>0</v>
      </c>
      <c r="AR232" s="131">
        <v>0</v>
      </c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AB233" s="131">
        <f t="shared" ca="1" si="42"/>
        <v>0</v>
      </c>
      <c r="AC233" s="131">
        <f t="shared" ca="1" si="43"/>
        <v>0</v>
      </c>
      <c r="AD233" s="131">
        <f t="shared" ca="1" si="44"/>
        <v>0</v>
      </c>
      <c r="AE233" s="140">
        <f t="shared" ca="1" si="45"/>
        <v>0</v>
      </c>
      <c r="AF233" s="140">
        <f t="shared" ca="1" si="46"/>
        <v>0</v>
      </c>
      <c r="AG233" s="140">
        <f t="shared" ca="1" si="47"/>
        <v>0</v>
      </c>
      <c r="AH233" s="131">
        <f t="shared" ca="1" si="48"/>
        <v>0</v>
      </c>
      <c r="AI233" s="131">
        <f t="shared" ca="1" si="49"/>
        <v>0</v>
      </c>
      <c r="AJ233" s="131">
        <f t="shared" ca="1" si="50"/>
        <v>0</v>
      </c>
      <c r="AK233" s="140">
        <f t="shared" ca="1" si="51"/>
        <v>0</v>
      </c>
      <c r="AL233" s="140">
        <f t="shared" ca="1" si="52"/>
        <v>0</v>
      </c>
      <c r="AM233" s="131">
        <v>0</v>
      </c>
      <c r="AN233" s="140">
        <f t="shared" ca="1" si="53"/>
        <v>0</v>
      </c>
      <c r="AO233" s="140">
        <v>0</v>
      </c>
      <c r="AP233" s="140">
        <f t="shared" ca="1" si="54"/>
        <v>0</v>
      </c>
      <c r="AQ233" s="140">
        <f t="shared" ca="1" si="55"/>
        <v>0</v>
      </c>
      <c r="AR233" s="131">
        <v>0</v>
      </c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AB234" s="131">
        <f t="shared" ca="1" si="42"/>
        <v>0</v>
      </c>
      <c r="AC234" s="131">
        <f t="shared" ca="1" si="43"/>
        <v>0</v>
      </c>
      <c r="AD234" s="131">
        <f t="shared" ca="1" si="44"/>
        <v>0</v>
      </c>
      <c r="AE234" s="140">
        <f t="shared" ca="1" si="45"/>
        <v>0</v>
      </c>
      <c r="AF234" s="140">
        <f t="shared" ca="1" si="46"/>
        <v>0</v>
      </c>
      <c r="AG234" s="140">
        <f t="shared" ca="1" si="47"/>
        <v>0</v>
      </c>
      <c r="AH234" s="131">
        <f t="shared" ca="1" si="48"/>
        <v>0</v>
      </c>
      <c r="AI234" s="131">
        <f t="shared" ca="1" si="49"/>
        <v>0</v>
      </c>
      <c r="AJ234" s="131">
        <f t="shared" ca="1" si="50"/>
        <v>0</v>
      </c>
      <c r="AK234" s="140">
        <f t="shared" ca="1" si="51"/>
        <v>0</v>
      </c>
      <c r="AL234" s="140">
        <f t="shared" ca="1" si="52"/>
        <v>0</v>
      </c>
      <c r="AM234" s="131">
        <v>0</v>
      </c>
      <c r="AN234" s="140">
        <f t="shared" ca="1" si="53"/>
        <v>0</v>
      </c>
      <c r="AO234" s="140">
        <v>0</v>
      </c>
      <c r="AP234" s="140">
        <f t="shared" ca="1" si="54"/>
        <v>0</v>
      </c>
      <c r="AQ234" s="140">
        <f t="shared" ca="1" si="55"/>
        <v>0</v>
      </c>
      <c r="AR234" s="131">
        <v>0</v>
      </c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AB235" s="131">
        <f t="shared" ca="1" si="42"/>
        <v>0</v>
      </c>
      <c r="AC235" s="131">
        <f t="shared" ca="1" si="43"/>
        <v>0</v>
      </c>
      <c r="AD235" s="131">
        <f t="shared" ca="1" si="44"/>
        <v>0</v>
      </c>
      <c r="AE235" s="140">
        <f t="shared" ca="1" si="45"/>
        <v>0</v>
      </c>
      <c r="AF235" s="140">
        <f t="shared" ca="1" si="46"/>
        <v>0</v>
      </c>
      <c r="AG235" s="140">
        <f t="shared" ca="1" si="47"/>
        <v>0</v>
      </c>
      <c r="AH235" s="131">
        <f t="shared" ca="1" si="48"/>
        <v>0</v>
      </c>
      <c r="AI235" s="131">
        <f t="shared" ca="1" si="49"/>
        <v>0</v>
      </c>
      <c r="AJ235" s="131">
        <f t="shared" ca="1" si="50"/>
        <v>0</v>
      </c>
      <c r="AK235" s="140">
        <f t="shared" ca="1" si="51"/>
        <v>0</v>
      </c>
      <c r="AL235" s="140">
        <f t="shared" ca="1" si="52"/>
        <v>0</v>
      </c>
      <c r="AM235" s="131">
        <v>0</v>
      </c>
      <c r="AN235" s="140">
        <f t="shared" ca="1" si="53"/>
        <v>0</v>
      </c>
      <c r="AO235" s="140">
        <v>0</v>
      </c>
      <c r="AP235" s="140">
        <f t="shared" ca="1" si="54"/>
        <v>0</v>
      </c>
      <c r="AQ235" s="140">
        <f t="shared" ca="1" si="55"/>
        <v>0</v>
      </c>
      <c r="AR235" s="131">
        <v>0</v>
      </c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AB236" s="131">
        <f t="shared" ca="1" si="42"/>
        <v>0</v>
      </c>
      <c r="AC236" s="131">
        <f t="shared" ca="1" si="43"/>
        <v>0</v>
      </c>
      <c r="AD236" s="131">
        <f t="shared" ca="1" si="44"/>
        <v>0</v>
      </c>
      <c r="AE236" s="140">
        <f t="shared" ca="1" si="45"/>
        <v>0</v>
      </c>
      <c r="AF236" s="140">
        <f t="shared" ca="1" si="46"/>
        <v>0</v>
      </c>
      <c r="AG236" s="140">
        <f t="shared" ca="1" si="47"/>
        <v>0</v>
      </c>
      <c r="AH236" s="131">
        <f t="shared" ca="1" si="48"/>
        <v>0</v>
      </c>
      <c r="AI236" s="131">
        <f t="shared" ca="1" si="49"/>
        <v>0</v>
      </c>
      <c r="AJ236" s="131">
        <f t="shared" ca="1" si="50"/>
        <v>0</v>
      </c>
      <c r="AK236" s="140">
        <f t="shared" ca="1" si="51"/>
        <v>0</v>
      </c>
      <c r="AL236" s="140">
        <f t="shared" ca="1" si="52"/>
        <v>0</v>
      </c>
      <c r="AM236" s="131">
        <v>0</v>
      </c>
      <c r="AN236" s="140">
        <f t="shared" ca="1" si="53"/>
        <v>0</v>
      </c>
      <c r="AO236" s="140">
        <v>0</v>
      </c>
      <c r="AP236" s="140">
        <f t="shared" ca="1" si="54"/>
        <v>0</v>
      </c>
      <c r="AQ236" s="140">
        <f t="shared" ca="1" si="55"/>
        <v>0</v>
      </c>
      <c r="AR236" s="131">
        <v>0</v>
      </c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AB237" s="131">
        <f t="shared" ca="1" si="42"/>
        <v>0</v>
      </c>
      <c r="AC237" s="131">
        <f t="shared" ca="1" si="43"/>
        <v>0</v>
      </c>
      <c r="AD237" s="131">
        <f t="shared" ca="1" si="44"/>
        <v>0</v>
      </c>
      <c r="AE237" s="140">
        <f t="shared" ca="1" si="45"/>
        <v>0</v>
      </c>
      <c r="AF237" s="140">
        <f t="shared" ca="1" si="46"/>
        <v>0</v>
      </c>
      <c r="AG237" s="140">
        <f t="shared" ca="1" si="47"/>
        <v>0</v>
      </c>
      <c r="AH237" s="131">
        <f t="shared" ca="1" si="48"/>
        <v>0</v>
      </c>
      <c r="AI237" s="131">
        <f t="shared" ca="1" si="49"/>
        <v>0</v>
      </c>
      <c r="AJ237" s="131">
        <f t="shared" ca="1" si="50"/>
        <v>0</v>
      </c>
      <c r="AK237" s="140">
        <f t="shared" ca="1" si="51"/>
        <v>0</v>
      </c>
      <c r="AL237" s="140">
        <f t="shared" ca="1" si="52"/>
        <v>0</v>
      </c>
      <c r="AM237" s="131">
        <v>0</v>
      </c>
      <c r="AN237" s="140">
        <f t="shared" ca="1" si="53"/>
        <v>0</v>
      </c>
      <c r="AO237" s="140">
        <v>0</v>
      </c>
      <c r="AP237" s="140">
        <f t="shared" ca="1" si="54"/>
        <v>0</v>
      </c>
      <c r="AQ237" s="140">
        <f t="shared" ca="1" si="55"/>
        <v>0</v>
      </c>
      <c r="AR237" s="131">
        <v>0</v>
      </c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AB238" s="131">
        <f t="shared" ca="1" si="42"/>
        <v>0</v>
      </c>
      <c r="AC238" s="131">
        <f t="shared" ca="1" si="43"/>
        <v>0</v>
      </c>
      <c r="AD238" s="131">
        <f t="shared" ca="1" si="44"/>
        <v>0</v>
      </c>
      <c r="AE238" s="140">
        <f t="shared" ca="1" si="45"/>
        <v>0</v>
      </c>
      <c r="AF238" s="140">
        <f t="shared" ca="1" si="46"/>
        <v>0</v>
      </c>
      <c r="AG238" s="140">
        <f t="shared" ca="1" si="47"/>
        <v>0</v>
      </c>
      <c r="AH238" s="131">
        <f t="shared" ca="1" si="48"/>
        <v>0</v>
      </c>
      <c r="AI238" s="131">
        <f t="shared" ca="1" si="49"/>
        <v>0</v>
      </c>
      <c r="AJ238" s="131">
        <f t="shared" ca="1" si="50"/>
        <v>0</v>
      </c>
      <c r="AK238" s="140">
        <f t="shared" ca="1" si="51"/>
        <v>0</v>
      </c>
      <c r="AL238" s="140">
        <f t="shared" ca="1" si="52"/>
        <v>0</v>
      </c>
      <c r="AM238" s="131">
        <v>0</v>
      </c>
      <c r="AN238" s="140">
        <f t="shared" ca="1" si="53"/>
        <v>0</v>
      </c>
      <c r="AO238" s="140">
        <v>0</v>
      </c>
      <c r="AP238" s="140">
        <f t="shared" ca="1" si="54"/>
        <v>0</v>
      </c>
      <c r="AQ238" s="140">
        <f t="shared" ca="1" si="55"/>
        <v>0</v>
      </c>
      <c r="AR238" s="131">
        <v>0</v>
      </c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AB239" s="131">
        <f t="shared" ca="1" si="42"/>
        <v>0</v>
      </c>
      <c r="AC239" s="131">
        <f t="shared" ca="1" si="43"/>
        <v>0</v>
      </c>
      <c r="AD239" s="131">
        <f t="shared" ca="1" si="44"/>
        <v>0</v>
      </c>
      <c r="AE239" s="140">
        <f t="shared" ca="1" si="45"/>
        <v>0</v>
      </c>
      <c r="AF239" s="140">
        <f t="shared" ca="1" si="46"/>
        <v>0</v>
      </c>
      <c r="AG239" s="140">
        <f t="shared" ca="1" si="47"/>
        <v>0</v>
      </c>
      <c r="AH239" s="131">
        <f t="shared" ca="1" si="48"/>
        <v>0</v>
      </c>
      <c r="AI239" s="131">
        <f t="shared" ca="1" si="49"/>
        <v>0</v>
      </c>
      <c r="AJ239" s="131">
        <f t="shared" ca="1" si="50"/>
        <v>0</v>
      </c>
      <c r="AK239" s="140">
        <f t="shared" ca="1" si="51"/>
        <v>0</v>
      </c>
      <c r="AL239" s="140">
        <f t="shared" ca="1" si="52"/>
        <v>0</v>
      </c>
      <c r="AM239" s="131">
        <v>0</v>
      </c>
      <c r="AN239" s="140">
        <f t="shared" ca="1" si="53"/>
        <v>0</v>
      </c>
      <c r="AO239" s="140">
        <v>0</v>
      </c>
      <c r="AP239" s="140">
        <f t="shared" ca="1" si="54"/>
        <v>0</v>
      </c>
      <c r="AQ239" s="140">
        <f t="shared" ca="1" si="55"/>
        <v>0</v>
      </c>
      <c r="AR239" s="131">
        <v>0</v>
      </c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AB240" s="131">
        <f t="shared" ca="1" si="42"/>
        <v>0</v>
      </c>
      <c r="AC240" s="131">
        <f t="shared" ca="1" si="43"/>
        <v>0</v>
      </c>
      <c r="AD240" s="131">
        <f t="shared" ca="1" si="44"/>
        <v>0</v>
      </c>
      <c r="AE240" s="140">
        <f t="shared" ca="1" si="45"/>
        <v>0</v>
      </c>
      <c r="AF240" s="140">
        <f t="shared" ca="1" si="46"/>
        <v>0</v>
      </c>
      <c r="AG240" s="140">
        <f t="shared" ca="1" si="47"/>
        <v>0</v>
      </c>
      <c r="AH240" s="131">
        <f t="shared" ca="1" si="48"/>
        <v>0</v>
      </c>
      <c r="AI240" s="131">
        <f t="shared" ca="1" si="49"/>
        <v>0</v>
      </c>
      <c r="AJ240" s="131">
        <f t="shared" ca="1" si="50"/>
        <v>0</v>
      </c>
      <c r="AK240" s="140">
        <f t="shared" ca="1" si="51"/>
        <v>0</v>
      </c>
      <c r="AL240" s="140">
        <f t="shared" ca="1" si="52"/>
        <v>0</v>
      </c>
      <c r="AM240" s="131">
        <v>0</v>
      </c>
      <c r="AN240" s="140">
        <f t="shared" ca="1" si="53"/>
        <v>0</v>
      </c>
      <c r="AO240" s="140">
        <v>0</v>
      </c>
      <c r="AP240" s="140">
        <f t="shared" ca="1" si="54"/>
        <v>0</v>
      </c>
      <c r="AQ240" s="140">
        <f t="shared" ca="1" si="55"/>
        <v>0</v>
      </c>
      <c r="AR240" s="131">
        <v>0</v>
      </c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AB241" s="131">
        <f t="shared" ca="1" si="42"/>
        <v>0</v>
      </c>
      <c r="AC241" s="131">
        <f t="shared" ca="1" si="43"/>
        <v>0</v>
      </c>
      <c r="AD241" s="131">
        <f t="shared" ca="1" si="44"/>
        <v>0</v>
      </c>
      <c r="AE241" s="140">
        <f t="shared" ca="1" si="45"/>
        <v>0</v>
      </c>
      <c r="AF241" s="140">
        <f t="shared" ca="1" si="46"/>
        <v>0</v>
      </c>
      <c r="AG241" s="140">
        <f t="shared" ca="1" si="47"/>
        <v>0</v>
      </c>
      <c r="AH241" s="131">
        <f t="shared" ca="1" si="48"/>
        <v>0</v>
      </c>
      <c r="AI241" s="131">
        <f t="shared" ca="1" si="49"/>
        <v>0</v>
      </c>
      <c r="AJ241" s="131">
        <f t="shared" ca="1" si="50"/>
        <v>0</v>
      </c>
      <c r="AK241" s="140">
        <f t="shared" ca="1" si="51"/>
        <v>0</v>
      </c>
      <c r="AL241" s="140">
        <f t="shared" ca="1" si="52"/>
        <v>0</v>
      </c>
      <c r="AM241" s="131">
        <v>0</v>
      </c>
      <c r="AN241" s="140">
        <f t="shared" ca="1" si="53"/>
        <v>0</v>
      </c>
      <c r="AO241" s="140">
        <v>0</v>
      </c>
      <c r="AP241" s="140">
        <f t="shared" ca="1" si="54"/>
        <v>0</v>
      </c>
      <c r="AQ241" s="140">
        <f t="shared" ca="1" si="55"/>
        <v>0</v>
      </c>
      <c r="AR241" s="131">
        <v>0</v>
      </c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AB242" s="131">
        <f t="shared" ca="1" si="42"/>
        <v>0</v>
      </c>
      <c r="AC242" s="131">
        <f t="shared" ca="1" si="43"/>
        <v>0</v>
      </c>
      <c r="AD242" s="131">
        <f t="shared" ca="1" si="44"/>
        <v>0</v>
      </c>
      <c r="AE242" s="140">
        <f t="shared" ca="1" si="45"/>
        <v>0</v>
      </c>
      <c r="AF242" s="140">
        <f t="shared" ca="1" si="46"/>
        <v>0</v>
      </c>
      <c r="AG242" s="140">
        <f t="shared" ca="1" si="47"/>
        <v>0</v>
      </c>
      <c r="AH242" s="131">
        <f t="shared" ca="1" si="48"/>
        <v>0</v>
      </c>
      <c r="AI242" s="131">
        <f t="shared" ca="1" si="49"/>
        <v>0</v>
      </c>
      <c r="AJ242" s="131">
        <f t="shared" ca="1" si="50"/>
        <v>0</v>
      </c>
      <c r="AK242" s="140">
        <f t="shared" ca="1" si="51"/>
        <v>0</v>
      </c>
      <c r="AL242" s="140">
        <f t="shared" ca="1" si="52"/>
        <v>0</v>
      </c>
      <c r="AM242" s="131">
        <v>0</v>
      </c>
      <c r="AN242" s="140">
        <f t="shared" ca="1" si="53"/>
        <v>0</v>
      </c>
      <c r="AO242" s="140">
        <v>0</v>
      </c>
      <c r="AP242" s="140">
        <f t="shared" ca="1" si="54"/>
        <v>0</v>
      </c>
      <c r="AQ242" s="140">
        <f t="shared" ca="1" si="55"/>
        <v>0</v>
      </c>
      <c r="AR242" s="131">
        <v>0</v>
      </c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AB243" s="131">
        <f t="shared" ca="1" si="42"/>
        <v>0</v>
      </c>
      <c r="AC243" s="131">
        <f t="shared" ca="1" si="43"/>
        <v>0</v>
      </c>
      <c r="AD243" s="131">
        <f t="shared" ca="1" si="44"/>
        <v>0</v>
      </c>
      <c r="AE243" s="140">
        <f t="shared" ca="1" si="45"/>
        <v>0</v>
      </c>
      <c r="AF243" s="140">
        <f t="shared" ca="1" si="46"/>
        <v>0</v>
      </c>
      <c r="AG243" s="140">
        <f t="shared" ca="1" si="47"/>
        <v>0</v>
      </c>
      <c r="AH243" s="131">
        <f t="shared" ca="1" si="48"/>
        <v>0</v>
      </c>
      <c r="AI243" s="131">
        <f t="shared" ca="1" si="49"/>
        <v>0</v>
      </c>
      <c r="AJ243" s="131">
        <f t="shared" ca="1" si="50"/>
        <v>0</v>
      </c>
      <c r="AK243" s="140">
        <f t="shared" ca="1" si="51"/>
        <v>0</v>
      </c>
      <c r="AL243" s="140">
        <f t="shared" ca="1" si="52"/>
        <v>0</v>
      </c>
      <c r="AM243" s="131">
        <v>0</v>
      </c>
      <c r="AN243" s="140">
        <f t="shared" ca="1" si="53"/>
        <v>0</v>
      </c>
      <c r="AO243" s="140">
        <v>0</v>
      </c>
      <c r="AP243" s="140">
        <f t="shared" ca="1" si="54"/>
        <v>0</v>
      </c>
      <c r="AQ243" s="140">
        <f t="shared" ca="1" si="55"/>
        <v>0</v>
      </c>
      <c r="AR243" s="131">
        <v>0</v>
      </c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AB244" s="131">
        <f t="shared" ca="1" si="42"/>
        <v>0</v>
      </c>
      <c r="AC244" s="131">
        <f t="shared" ca="1" si="43"/>
        <v>0</v>
      </c>
      <c r="AD244" s="131">
        <f t="shared" ca="1" si="44"/>
        <v>0</v>
      </c>
      <c r="AE244" s="140">
        <f t="shared" ca="1" si="45"/>
        <v>0</v>
      </c>
      <c r="AF244" s="140">
        <f t="shared" ca="1" si="46"/>
        <v>0</v>
      </c>
      <c r="AG244" s="140">
        <f t="shared" ca="1" si="47"/>
        <v>0</v>
      </c>
      <c r="AH244" s="131">
        <f t="shared" ca="1" si="48"/>
        <v>0</v>
      </c>
      <c r="AI244" s="131">
        <f t="shared" ca="1" si="49"/>
        <v>0</v>
      </c>
      <c r="AJ244" s="131">
        <f t="shared" ca="1" si="50"/>
        <v>0</v>
      </c>
      <c r="AK244" s="140">
        <f t="shared" ca="1" si="51"/>
        <v>0</v>
      </c>
      <c r="AL244" s="140">
        <f t="shared" ca="1" si="52"/>
        <v>0</v>
      </c>
      <c r="AM244" s="131">
        <v>0</v>
      </c>
      <c r="AN244" s="140">
        <f t="shared" ca="1" si="53"/>
        <v>0</v>
      </c>
      <c r="AO244" s="140">
        <v>0</v>
      </c>
      <c r="AP244" s="140">
        <f t="shared" ca="1" si="54"/>
        <v>0</v>
      </c>
      <c r="AQ244" s="140">
        <f t="shared" ca="1" si="55"/>
        <v>0</v>
      </c>
      <c r="AR244" s="131">
        <v>0</v>
      </c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AB245" s="131">
        <f t="shared" ca="1" si="42"/>
        <v>0</v>
      </c>
      <c r="AC245" s="131">
        <f t="shared" ca="1" si="43"/>
        <v>0</v>
      </c>
      <c r="AD245" s="131">
        <f t="shared" ca="1" si="44"/>
        <v>0</v>
      </c>
      <c r="AE245" s="140">
        <f t="shared" ca="1" si="45"/>
        <v>0</v>
      </c>
      <c r="AF245" s="140">
        <f t="shared" ca="1" si="46"/>
        <v>0</v>
      </c>
      <c r="AG245" s="140">
        <f t="shared" ca="1" si="47"/>
        <v>0</v>
      </c>
      <c r="AH245" s="131">
        <f t="shared" ca="1" si="48"/>
        <v>0</v>
      </c>
      <c r="AI245" s="131">
        <f t="shared" ca="1" si="49"/>
        <v>0</v>
      </c>
      <c r="AJ245" s="131">
        <f t="shared" ca="1" si="50"/>
        <v>0</v>
      </c>
      <c r="AK245" s="140">
        <f t="shared" ca="1" si="51"/>
        <v>0</v>
      </c>
      <c r="AL245" s="140">
        <f t="shared" ca="1" si="52"/>
        <v>0</v>
      </c>
      <c r="AM245" s="131">
        <v>0</v>
      </c>
      <c r="AN245" s="140">
        <f t="shared" ca="1" si="53"/>
        <v>0</v>
      </c>
      <c r="AO245" s="140">
        <v>0</v>
      </c>
      <c r="AP245" s="140">
        <f t="shared" ca="1" si="54"/>
        <v>0</v>
      </c>
      <c r="AQ245" s="140">
        <f t="shared" ca="1" si="55"/>
        <v>0</v>
      </c>
      <c r="AR245" s="131">
        <v>0</v>
      </c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AB246" s="131">
        <f t="shared" ca="1" si="42"/>
        <v>0</v>
      </c>
      <c r="AC246" s="131">
        <f t="shared" ca="1" si="43"/>
        <v>0</v>
      </c>
      <c r="AD246" s="131">
        <f t="shared" ca="1" si="44"/>
        <v>0</v>
      </c>
      <c r="AE246" s="140">
        <f t="shared" ca="1" si="45"/>
        <v>0</v>
      </c>
      <c r="AF246" s="140">
        <f t="shared" ca="1" si="46"/>
        <v>0</v>
      </c>
      <c r="AG246" s="140">
        <f t="shared" ca="1" si="47"/>
        <v>0</v>
      </c>
      <c r="AH246" s="131">
        <f t="shared" ca="1" si="48"/>
        <v>0</v>
      </c>
      <c r="AI246" s="131">
        <f t="shared" ca="1" si="49"/>
        <v>0</v>
      </c>
      <c r="AJ246" s="131">
        <f t="shared" ca="1" si="50"/>
        <v>0</v>
      </c>
      <c r="AK246" s="140">
        <f t="shared" ca="1" si="51"/>
        <v>0</v>
      </c>
      <c r="AL246" s="140">
        <f t="shared" ca="1" si="52"/>
        <v>0</v>
      </c>
      <c r="AM246" s="131">
        <v>0</v>
      </c>
      <c r="AN246" s="140">
        <f t="shared" ca="1" si="53"/>
        <v>0</v>
      </c>
      <c r="AO246" s="140">
        <v>0</v>
      </c>
      <c r="AP246" s="140">
        <f t="shared" ca="1" si="54"/>
        <v>0</v>
      </c>
      <c r="AQ246" s="140">
        <f t="shared" ca="1" si="55"/>
        <v>0</v>
      </c>
      <c r="AR246" s="131">
        <v>0</v>
      </c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AB247" s="131">
        <f t="shared" ca="1" si="42"/>
        <v>0</v>
      </c>
      <c r="AC247" s="131">
        <f t="shared" ca="1" si="43"/>
        <v>0</v>
      </c>
      <c r="AD247" s="131">
        <f t="shared" ca="1" si="44"/>
        <v>0</v>
      </c>
      <c r="AE247" s="140">
        <f t="shared" ca="1" si="45"/>
        <v>0</v>
      </c>
      <c r="AF247" s="140">
        <f t="shared" ca="1" si="46"/>
        <v>0</v>
      </c>
      <c r="AG247" s="140">
        <f t="shared" ca="1" si="47"/>
        <v>0</v>
      </c>
      <c r="AH247" s="131">
        <f t="shared" ca="1" si="48"/>
        <v>0</v>
      </c>
      <c r="AI247" s="131">
        <f t="shared" ca="1" si="49"/>
        <v>0</v>
      </c>
      <c r="AJ247" s="131">
        <f t="shared" ca="1" si="50"/>
        <v>0</v>
      </c>
      <c r="AK247" s="140">
        <f t="shared" ca="1" si="51"/>
        <v>0</v>
      </c>
      <c r="AL247" s="140">
        <f t="shared" ca="1" si="52"/>
        <v>0</v>
      </c>
      <c r="AM247" s="131">
        <v>0</v>
      </c>
      <c r="AN247" s="140">
        <f t="shared" ca="1" si="53"/>
        <v>0</v>
      </c>
      <c r="AO247" s="140">
        <v>0</v>
      </c>
      <c r="AP247" s="140">
        <f t="shared" ca="1" si="54"/>
        <v>0</v>
      </c>
      <c r="AQ247" s="140">
        <f t="shared" ca="1" si="55"/>
        <v>0</v>
      </c>
      <c r="AR247" s="131">
        <v>0</v>
      </c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AB248" s="131">
        <f t="shared" ca="1" si="42"/>
        <v>0</v>
      </c>
      <c r="AC248" s="131">
        <f t="shared" ca="1" si="43"/>
        <v>0</v>
      </c>
      <c r="AD248" s="131">
        <f t="shared" ca="1" si="44"/>
        <v>0</v>
      </c>
      <c r="AE248" s="140">
        <f t="shared" ca="1" si="45"/>
        <v>0</v>
      </c>
      <c r="AF248" s="140">
        <f t="shared" ca="1" si="46"/>
        <v>0</v>
      </c>
      <c r="AG248" s="140">
        <f t="shared" ca="1" si="47"/>
        <v>0</v>
      </c>
      <c r="AH248" s="131">
        <f t="shared" ca="1" si="48"/>
        <v>0</v>
      </c>
      <c r="AI248" s="131">
        <f t="shared" ca="1" si="49"/>
        <v>0</v>
      </c>
      <c r="AJ248" s="131">
        <f t="shared" ca="1" si="50"/>
        <v>0</v>
      </c>
      <c r="AK248" s="140">
        <f t="shared" ca="1" si="51"/>
        <v>0</v>
      </c>
      <c r="AL248" s="140">
        <f t="shared" ca="1" si="52"/>
        <v>0</v>
      </c>
      <c r="AM248" s="131">
        <v>0</v>
      </c>
      <c r="AN248" s="140">
        <f t="shared" ca="1" si="53"/>
        <v>0</v>
      </c>
      <c r="AO248" s="140">
        <v>0</v>
      </c>
      <c r="AP248" s="140">
        <f t="shared" ca="1" si="54"/>
        <v>0</v>
      </c>
      <c r="AQ248" s="140">
        <f t="shared" ca="1" si="55"/>
        <v>0</v>
      </c>
      <c r="AR248" s="131">
        <v>0</v>
      </c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AB249" s="131">
        <f t="shared" ca="1" si="42"/>
        <v>0</v>
      </c>
      <c r="AC249" s="131">
        <f t="shared" ca="1" si="43"/>
        <v>0</v>
      </c>
      <c r="AD249" s="131">
        <f t="shared" ca="1" si="44"/>
        <v>0</v>
      </c>
      <c r="AE249" s="140">
        <f t="shared" ca="1" si="45"/>
        <v>0</v>
      </c>
      <c r="AF249" s="140">
        <f t="shared" ca="1" si="46"/>
        <v>0</v>
      </c>
      <c r="AG249" s="140">
        <f t="shared" ca="1" si="47"/>
        <v>0</v>
      </c>
      <c r="AH249" s="131">
        <f t="shared" ca="1" si="48"/>
        <v>0</v>
      </c>
      <c r="AI249" s="131">
        <f t="shared" ca="1" si="49"/>
        <v>0</v>
      </c>
      <c r="AJ249" s="131">
        <f t="shared" ca="1" si="50"/>
        <v>0</v>
      </c>
      <c r="AK249" s="140">
        <f t="shared" ca="1" si="51"/>
        <v>0</v>
      </c>
      <c r="AL249" s="140">
        <f t="shared" ca="1" si="52"/>
        <v>0</v>
      </c>
      <c r="AM249" s="131">
        <v>0</v>
      </c>
      <c r="AN249" s="140">
        <f t="shared" ca="1" si="53"/>
        <v>0</v>
      </c>
      <c r="AO249" s="140">
        <v>0</v>
      </c>
      <c r="AP249" s="140">
        <f t="shared" ca="1" si="54"/>
        <v>0</v>
      </c>
      <c r="AQ249" s="140">
        <f t="shared" ca="1" si="55"/>
        <v>0</v>
      </c>
      <c r="AR249" s="131">
        <v>0</v>
      </c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AB250" s="131">
        <f t="shared" ca="1" si="42"/>
        <v>0</v>
      </c>
      <c r="AC250" s="131">
        <f t="shared" ca="1" si="43"/>
        <v>0</v>
      </c>
      <c r="AD250" s="131">
        <f t="shared" ca="1" si="44"/>
        <v>0</v>
      </c>
      <c r="AE250" s="140">
        <f t="shared" ca="1" si="45"/>
        <v>0</v>
      </c>
      <c r="AF250" s="140">
        <f t="shared" ca="1" si="46"/>
        <v>0</v>
      </c>
      <c r="AG250" s="140">
        <f t="shared" ca="1" si="47"/>
        <v>0</v>
      </c>
      <c r="AH250" s="131">
        <f t="shared" ca="1" si="48"/>
        <v>0</v>
      </c>
      <c r="AI250" s="131">
        <f t="shared" ca="1" si="49"/>
        <v>0</v>
      </c>
      <c r="AJ250" s="131">
        <f t="shared" ca="1" si="50"/>
        <v>0</v>
      </c>
      <c r="AK250" s="140">
        <f t="shared" ca="1" si="51"/>
        <v>0</v>
      </c>
      <c r="AL250" s="140">
        <f t="shared" ca="1" si="52"/>
        <v>0</v>
      </c>
      <c r="AM250" s="131">
        <v>0</v>
      </c>
      <c r="AN250" s="140">
        <f t="shared" ca="1" si="53"/>
        <v>0</v>
      </c>
      <c r="AO250" s="140">
        <v>0</v>
      </c>
      <c r="AP250" s="140">
        <f t="shared" ca="1" si="54"/>
        <v>0</v>
      </c>
      <c r="AQ250" s="140">
        <f t="shared" ca="1" si="55"/>
        <v>0</v>
      </c>
      <c r="AR250" s="131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371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R27" sqref="R27"/>
    </sheetView>
  </sheetViews>
  <sheetFormatPr defaultRowHeight="15"/>
  <sheetData>
    <row r="1" spans="8:8">
      <c r="H1">
        <v>11568</v>
      </c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2024-02-24T03:25:07Z</dcterms:modified>
</cp:coreProperties>
</file>