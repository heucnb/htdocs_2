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75" windowWidth="23955" windowHeight="10050" firstSheet="1" activeTab="10"/>
  </bookViews>
  <sheets>
    <sheet name="thit_12_thang" sheetId="12" r:id="rId1"/>
    <sheet name="thit_chuong" sheetId="13" r:id="rId2"/>
    <sheet name="2018-2" sheetId="7" r:id="rId3"/>
    <sheet name="FCR" sheetId="8" r:id="rId4"/>
    <sheet name="data" sheetId="4" r:id="rId5"/>
    <sheet name="getdata" sheetId="5" r:id="rId6"/>
    <sheet name="g" sheetId="11" r:id="rId7"/>
    <sheet name="query" sheetId="14" r:id="rId8"/>
    <sheet name="thit_dien_bien" sheetId="15" r:id="rId9"/>
    <sheet name="Sheet2" sheetId="16" r:id="rId10"/>
    <sheet name="setup" sheetId="17" r:id="rId11"/>
  </sheets>
  <functionGroups/>
  <definedNames>
    <definedName name="_xlnm._FilterDatabase" localSheetId="4" hidden="1">data!$A$1:$AD$454</definedName>
    <definedName name="_xlnm.Print_Area" localSheetId="2">'2018-2'!$A$1:$DH$5</definedName>
    <definedName name="_xlnm.Print_Area" localSheetId="3">FCR!$A$1:$S$172</definedName>
    <definedName name="_xlnm.Print_Area" localSheetId="0">thit_12_thang!$D$1:$DU$5</definedName>
    <definedName name="_xlnm.Print_Area" localSheetId="1">thit_chuong!$E$1:$DV$5</definedName>
    <definedName name="_xlnm.Print_Titles" localSheetId="2">'2018-2'!$C:$C,'2018-2'!$1:$3</definedName>
    <definedName name="_xlnm.Print_Titles" localSheetId="0">thit_12_thang!#REF!,thit_12_thang!$1:$3</definedName>
    <definedName name="_xlnm.Print_Titles" localSheetId="1">thit_chuong!#REF!,thit_chuong!$1:$3</definedName>
  </definedNames>
  <calcPr calcId="125725" calcOnSave="0"/>
</workbook>
</file>

<file path=xl/calcChain.xml><?xml version="1.0" encoding="utf-8"?>
<calcChain xmlns="http://schemas.openxmlformats.org/spreadsheetml/2006/main">
  <c r="AB3" i="15"/>
  <c r="AC3"/>
  <c r="AD3"/>
  <c r="AE3"/>
  <c r="AF3"/>
  <c r="AG3"/>
  <c r="AH3"/>
  <c r="AI3"/>
  <c r="AK3"/>
  <c r="AL3"/>
  <c r="AN3"/>
  <c r="AP3"/>
  <c r="AB4"/>
  <c r="AC4"/>
  <c r="AD4"/>
  <c r="AE4"/>
  <c r="AF4"/>
  <c r="AG4"/>
  <c r="AH4"/>
  <c r="AI4"/>
  <c r="AK4"/>
  <c r="AL4"/>
  <c r="AN4"/>
  <c r="AP4"/>
  <c r="AB5"/>
  <c r="AC5"/>
  <c r="AD5"/>
  <c r="AE5"/>
  <c r="AF5"/>
  <c r="AG5"/>
  <c r="AH5"/>
  <c r="AI5"/>
  <c r="AK5"/>
  <c r="AL5"/>
  <c r="AN5"/>
  <c r="AP5"/>
  <c r="AB6"/>
  <c r="AC6"/>
  <c r="AD6"/>
  <c r="AE6"/>
  <c r="AF6"/>
  <c r="AG6"/>
  <c r="AH6"/>
  <c r="AI6"/>
  <c r="AK6"/>
  <c r="AL6"/>
  <c r="AN6"/>
  <c r="AP6"/>
  <c r="AB7"/>
  <c r="AC7"/>
  <c r="AD7"/>
  <c r="AE7"/>
  <c r="AF7"/>
  <c r="AG7"/>
  <c r="AH7"/>
  <c r="AI7"/>
  <c r="AK7"/>
  <c r="AL7"/>
  <c r="AN7"/>
  <c r="AP7"/>
  <c r="AB8"/>
  <c r="AC8"/>
  <c r="AD8"/>
  <c r="AE8"/>
  <c r="AF8"/>
  <c r="AG8"/>
  <c r="AH8"/>
  <c r="AI8"/>
  <c r="AK8"/>
  <c r="AL8"/>
  <c r="AN8"/>
  <c r="AP8"/>
  <c r="AB9"/>
  <c r="AC9"/>
  <c r="AD9"/>
  <c r="AE9"/>
  <c r="AF9"/>
  <c r="AG9"/>
  <c r="AH9"/>
  <c r="AI9"/>
  <c r="AK9"/>
  <c r="AL9"/>
  <c r="AN9"/>
  <c r="AP9"/>
  <c r="AB10"/>
  <c r="AC10"/>
  <c r="AD10"/>
  <c r="AE10"/>
  <c r="AF10"/>
  <c r="AG10"/>
  <c r="AH10"/>
  <c r="AI10"/>
  <c r="AK10"/>
  <c r="AL10"/>
  <c r="AN10"/>
  <c r="AP10"/>
  <c r="AB11"/>
  <c r="AC11"/>
  <c r="AD11"/>
  <c r="AE11"/>
  <c r="AF11"/>
  <c r="AG11"/>
  <c r="AH11"/>
  <c r="AI11"/>
  <c r="AK11"/>
  <c r="AL11"/>
  <c r="AN11"/>
  <c r="AP11"/>
  <c r="AB12"/>
  <c r="AC12"/>
  <c r="AD12"/>
  <c r="AE12"/>
  <c r="AF12"/>
  <c r="AG12"/>
  <c r="AH12"/>
  <c r="AI12"/>
  <c r="AK12"/>
  <c r="AL12"/>
  <c r="AN12"/>
  <c r="AP12"/>
  <c r="AB13"/>
  <c r="AC13"/>
  <c r="AD13"/>
  <c r="AE13"/>
  <c r="AF13"/>
  <c r="AG13"/>
  <c r="AH13"/>
  <c r="AI13"/>
  <c r="AK13"/>
  <c r="AL13"/>
  <c r="AN13"/>
  <c r="AP13"/>
  <c r="AB14"/>
  <c r="AC14"/>
  <c r="AD14"/>
  <c r="AE14"/>
  <c r="AF14"/>
  <c r="AG14"/>
  <c r="AH14"/>
  <c r="AI14"/>
  <c r="AK14"/>
  <c r="AL14"/>
  <c r="AN14"/>
  <c r="AP14"/>
  <c r="AB15"/>
  <c r="AC15"/>
  <c r="AD15"/>
  <c r="AE15"/>
  <c r="AF15"/>
  <c r="AG15"/>
  <c r="AH15"/>
  <c r="AI15"/>
  <c r="AK15"/>
  <c r="AL15"/>
  <c r="AN15"/>
  <c r="AP15"/>
  <c r="AB16"/>
  <c r="AC16"/>
  <c r="AD16"/>
  <c r="AE16"/>
  <c r="AF16"/>
  <c r="AG16"/>
  <c r="AH16"/>
  <c r="AI16"/>
  <c r="AK16"/>
  <c r="AL16"/>
  <c r="AN16"/>
  <c r="AP16"/>
  <c r="AB17"/>
  <c r="AC17"/>
  <c r="AD17"/>
  <c r="AE17"/>
  <c r="AF17"/>
  <c r="AG17"/>
  <c r="AH17"/>
  <c r="AI17"/>
  <c r="AK17"/>
  <c r="AL17"/>
  <c r="AN17"/>
  <c r="AP17"/>
  <c r="AB18"/>
  <c r="AC18"/>
  <c r="AD18"/>
  <c r="AE18"/>
  <c r="AF18"/>
  <c r="AG18"/>
  <c r="AH18"/>
  <c r="AI18"/>
  <c r="AK18"/>
  <c r="AL18"/>
  <c r="AN18"/>
  <c r="AP18"/>
  <c r="AB19"/>
  <c r="AC19"/>
  <c r="AD19"/>
  <c r="AE19"/>
  <c r="AF19"/>
  <c r="AG19"/>
  <c r="AH19"/>
  <c r="AI19"/>
  <c r="AK19"/>
  <c r="AL19"/>
  <c r="AN19"/>
  <c r="AP19"/>
  <c r="AB20"/>
  <c r="AC20"/>
  <c r="AD20"/>
  <c r="AE20"/>
  <c r="AF20"/>
  <c r="AG20"/>
  <c r="AH20"/>
  <c r="AI20"/>
  <c r="AK20"/>
  <c r="AL20"/>
  <c r="AN20"/>
  <c r="AP20"/>
  <c r="AB21"/>
  <c r="AC21"/>
  <c r="AD21"/>
  <c r="AE21"/>
  <c r="AF21"/>
  <c r="AG21"/>
  <c r="AH21"/>
  <c r="AI21"/>
  <c r="AK21"/>
  <c r="AL21"/>
  <c r="AN21"/>
  <c r="AP21"/>
  <c r="AB22"/>
  <c r="AC22"/>
  <c r="AD22"/>
  <c r="AE22"/>
  <c r="AF22"/>
  <c r="AG22"/>
  <c r="AH22"/>
  <c r="AI22"/>
  <c r="AK22"/>
  <c r="AL22"/>
  <c r="AN22"/>
  <c r="AP22"/>
  <c r="AB23"/>
  <c r="AC23"/>
  <c r="AD23"/>
  <c r="AE23"/>
  <c r="AF23"/>
  <c r="AG23"/>
  <c r="AH23"/>
  <c r="AI23"/>
  <c r="AK23"/>
  <c r="AL23"/>
  <c r="AN23"/>
  <c r="AP23"/>
  <c r="AB24"/>
  <c r="AC24"/>
  <c r="AD24"/>
  <c r="AE24"/>
  <c r="AF24"/>
  <c r="AG24"/>
  <c r="AH24"/>
  <c r="AI24"/>
  <c r="AK24"/>
  <c r="AL24"/>
  <c r="AN24"/>
  <c r="AP24"/>
  <c r="AB25"/>
  <c r="AC25"/>
  <c r="AD25"/>
  <c r="AE25"/>
  <c r="AF25"/>
  <c r="AG25"/>
  <c r="AH25"/>
  <c r="AI25"/>
  <c r="AK25"/>
  <c r="AL25"/>
  <c r="AN25"/>
  <c r="AP25"/>
  <c r="AB26"/>
  <c r="AC26"/>
  <c r="AD26"/>
  <c r="AE26"/>
  <c r="AF26"/>
  <c r="AG26"/>
  <c r="AH26"/>
  <c r="AI26"/>
  <c r="AK26"/>
  <c r="AL26"/>
  <c r="AN26"/>
  <c r="AP26"/>
  <c r="AB27"/>
  <c r="AC27"/>
  <c r="AD27"/>
  <c r="AE27"/>
  <c r="AF27"/>
  <c r="AG27"/>
  <c r="AH27"/>
  <c r="AI27"/>
  <c r="AK27"/>
  <c r="AL27"/>
  <c r="AN27"/>
  <c r="AP27"/>
  <c r="AB28"/>
  <c r="AC28"/>
  <c r="AD28"/>
  <c r="AE28"/>
  <c r="AF28"/>
  <c r="AG28"/>
  <c r="AH28"/>
  <c r="AI28"/>
  <c r="AK28"/>
  <c r="AL28"/>
  <c r="AN28"/>
  <c r="AP28"/>
  <c r="AB29"/>
  <c r="AC29"/>
  <c r="AD29"/>
  <c r="AE29"/>
  <c r="AF29"/>
  <c r="AG29"/>
  <c r="AH29"/>
  <c r="AI29"/>
  <c r="AK29"/>
  <c r="AL29"/>
  <c r="AN29"/>
  <c r="AP29"/>
  <c r="AB30"/>
  <c r="AC30"/>
  <c r="AD30"/>
  <c r="AE30"/>
  <c r="AF30"/>
  <c r="AG30"/>
  <c r="AH30"/>
  <c r="AI30"/>
  <c r="AK30"/>
  <c r="AL30"/>
  <c r="AN30"/>
  <c r="AP30"/>
  <c r="AB31"/>
  <c r="AC31"/>
  <c r="AD31"/>
  <c r="AE31"/>
  <c r="AF31"/>
  <c r="AG31"/>
  <c r="AH31"/>
  <c r="AI31"/>
  <c r="AK31"/>
  <c r="AL31"/>
  <c r="AN31"/>
  <c r="AP31"/>
  <c r="AB32"/>
  <c r="AC32"/>
  <c r="AD32"/>
  <c r="AE32"/>
  <c r="AF32"/>
  <c r="AG32"/>
  <c r="AH32"/>
  <c r="AI32"/>
  <c r="AK32"/>
  <c r="AL32"/>
  <c r="AN32"/>
  <c r="AP32"/>
  <c r="AB33"/>
  <c r="AC33"/>
  <c r="AD33"/>
  <c r="AE33"/>
  <c r="AF33"/>
  <c r="AG33"/>
  <c r="AH33"/>
  <c r="AI33"/>
  <c r="AK33"/>
  <c r="AL33"/>
  <c r="AN33"/>
  <c r="AP33"/>
  <c r="AB34"/>
  <c r="AC34"/>
  <c r="AD34"/>
  <c r="AE34"/>
  <c r="AF34"/>
  <c r="AG34"/>
  <c r="AH34"/>
  <c r="AI34"/>
  <c r="AK34"/>
  <c r="AL34"/>
  <c r="AN34"/>
  <c r="AP34"/>
  <c r="AB35"/>
  <c r="AC35"/>
  <c r="AD35"/>
  <c r="AE35"/>
  <c r="AF35"/>
  <c r="AG35"/>
  <c r="AH35"/>
  <c r="AI35"/>
  <c r="AK35"/>
  <c r="AL35"/>
  <c r="AN35"/>
  <c r="AP35"/>
  <c r="AB36"/>
  <c r="AC36"/>
  <c r="AD36"/>
  <c r="AE36"/>
  <c r="AF36"/>
  <c r="AG36"/>
  <c r="AH36"/>
  <c r="AI36"/>
  <c r="AK36"/>
  <c r="AL36"/>
  <c r="AN36"/>
  <c r="AP36"/>
  <c r="AB37"/>
  <c r="AC37"/>
  <c r="AD37"/>
  <c r="AE37"/>
  <c r="AF37"/>
  <c r="AG37"/>
  <c r="AH37"/>
  <c r="AI37"/>
  <c r="AK37"/>
  <c r="AL37"/>
  <c r="AN37"/>
  <c r="AP37"/>
  <c r="AB38"/>
  <c r="AC38"/>
  <c r="AD38"/>
  <c r="AE38"/>
  <c r="AF38"/>
  <c r="AG38"/>
  <c r="AH38"/>
  <c r="AI38"/>
  <c r="AK38"/>
  <c r="AL38"/>
  <c r="AN38"/>
  <c r="AP38"/>
  <c r="AB39"/>
  <c r="AC39"/>
  <c r="AD39"/>
  <c r="AE39"/>
  <c r="AF39"/>
  <c r="AG39"/>
  <c r="AH39"/>
  <c r="AI39"/>
  <c r="AK39"/>
  <c r="AL39"/>
  <c r="AN39"/>
  <c r="AP39"/>
  <c r="AB40"/>
  <c r="AC40"/>
  <c r="AD40"/>
  <c r="AE40"/>
  <c r="AF40"/>
  <c r="AG40"/>
  <c r="AH40"/>
  <c r="AI40"/>
  <c r="AK40"/>
  <c r="AL40"/>
  <c r="AN40"/>
  <c r="AP40"/>
  <c r="AB41"/>
  <c r="AC41"/>
  <c r="AD41"/>
  <c r="AE41"/>
  <c r="AF41"/>
  <c r="AG41"/>
  <c r="AH41"/>
  <c r="AI41"/>
  <c r="AK41"/>
  <c r="AL41"/>
  <c r="AN41"/>
  <c r="AP41"/>
  <c r="AB42"/>
  <c r="AC42"/>
  <c r="AD42"/>
  <c r="AE42"/>
  <c r="AF42"/>
  <c r="AG42"/>
  <c r="AH42"/>
  <c r="AI42"/>
  <c r="AK42"/>
  <c r="AL42"/>
  <c r="AN42"/>
  <c r="AP42"/>
  <c r="AB43"/>
  <c r="AC43"/>
  <c r="AD43"/>
  <c r="AE43"/>
  <c r="AF43"/>
  <c r="AG43"/>
  <c r="AH43"/>
  <c r="AI43"/>
  <c r="AK43"/>
  <c r="AL43"/>
  <c r="AN43"/>
  <c r="AP43"/>
  <c r="AB44"/>
  <c r="AC44"/>
  <c r="AD44"/>
  <c r="AE44"/>
  <c r="AF44"/>
  <c r="AG44"/>
  <c r="AH44"/>
  <c r="AI44"/>
  <c r="AK44"/>
  <c r="AL44"/>
  <c r="AN44"/>
  <c r="AP44"/>
  <c r="AB45"/>
  <c r="AC45"/>
  <c r="AD45"/>
  <c r="AE45"/>
  <c r="AF45"/>
  <c r="AG45"/>
  <c r="AH45"/>
  <c r="AI45"/>
  <c r="AK45"/>
  <c r="AL45"/>
  <c r="AN45"/>
  <c r="AP45"/>
  <c r="AB46"/>
  <c r="AC46"/>
  <c r="AD46"/>
  <c r="AE46"/>
  <c r="AF46"/>
  <c r="AG46"/>
  <c r="AH46"/>
  <c r="AI46"/>
  <c r="AK46"/>
  <c r="AL46"/>
  <c r="AN46"/>
  <c r="AP46"/>
  <c r="AB47"/>
  <c r="AC47"/>
  <c r="AD47"/>
  <c r="AE47"/>
  <c r="AF47"/>
  <c r="AG47"/>
  <c r="AH47"/>
  <c r="AI47"/>
  <c r="AK47"/>
  <c r="AL47"/>
  <c r="AN47"/>
  <c r="AP47"/>
  <c r="AB48"/>
  <c r="AC48"/>
  <c r="AD48"/>
  <c r="AE48"/>
  <c r="AF48"/>
  <c r="AG48"/>
  <c r="AH48"/>
  <c r="AI48"/>
  <c r="AK48"/>
  <c r="AL48"/>
  <c r="AN48"/>
  <c r="AP48"/>
  <c r="AB49"/>
  <c r="AC49"/>
  <c r="AD49"/>
  <c r="AE49"/>
  <c r="AF49"/>
  <c r="AG49"/>
  <c r="AH49"/>
  <c r="AI49"/>
  <c r="AK49"/>
  <c r="AL49"/>
  <c r="AN49"/>
  <c r="AP49"/>
  <c r="AB50"/>
  <c r="AC50"/>
  <c r="AD50"/>
  <c r="AE50"/>
  <c r="AF50"/>
  <c r="AG50"/>
  <c r="AH50"/>
  <c r="AI50"/>
  <c r="AK50"/>
  <c r="AL50"/>
  <c r="AN50"/>
  <c r="AP50"/>
  <c r="AB51"/>
  <c r="AC51"/>
  <c r="AD51"/>
  <c r="AE51"/>
  <c r="AF51"/>
  <c r="AG51"/>
  <c r="AH51"/>
  <c r="AI51"/>
  <c r="AK51"/>
  <c r="AL51"/>
  <c r="AN51"/>
  <c r="AP51"/>
  <c r="AB52"/>
  <c r="AC52"/>
  <c r="AD52"/>
  <c r="AE52"/>
  <c r="AF52"/>
  <c r="AG52"/>
  <c r="AH52"/>
  <c r="AI52"/>
  <c r="AK52"/>
  <c r="AL52"/>
  <c r="AN52"/>
  <c r="AP52"/>
  <c r="AB53"/>
  <c r="AC53"/>
  <c r="AD53"/>
  <c r="AE53"/>
  <c r="AF53"/>
  <c r="AG53"/>
  <c r="AH53"/>
  <c r="AI53"/>
  <c r="AK53"/>
  <c r="AL53"/>
  <c r="AN53"/>
  <c r="AP53"/>
  <c r="AB54"/>
  <c r="AC54"/>
  <c r="AD54"/>
  <c r="AE54"/>
  <c r="AF54"/>
  <c r="AG54"/>
  <c r="AH54"/>
  <c r="AI54"/>
  <c r="AK54"/>
  <c r="AL54"/>
  <c r="AN54"/>
  <c r="AP54"/>
  <c r="AB55"/>
  <c r="AC55"/>
  <c r="AD55"/>
  <c r="AE55"/>
  <c r="AF55"/>
  <c r="AG55"/>
  <c r="AH55"/>
  <c r="AI55"/>
  <c r="AK55"/>
  <c r="AL55"/>
  <c r="AN55"/>
  <c r="AP55"/>
  <c r="AB56"/>
  <c r="AC56"/>
  <c r="AD56"/>
  <c r="AE56"/>
  <c r="AF56"/>
  <c r="AG56"/>
  <c r="AH56"/>
  <c r="AI56"/>
  <c r="AK56"/>
  <c r="AL56"/>
  <c r="AN56"/>
  <c r="AP56"/>
  <c r="AB57"/>
  <c r="AC57"/>
  <c r="AD57"/>
  <c r="AE57"/>
  <c r="AF57"/>
  <c r="AG57"/>
  <c r="AH57"/>
  <c r="AI57"/>
  <c r="AK57"/>
  <c r="AL57"/>
  <c r="AN57"/>
  <c r="AP57"/>
  <c r="AB58"/>
  <c r="AC58"/>
  <c r="AD58"/>
  <c r="AE58"/>
  <c r="AF58"/>
  <c r="AG58"/>
  <c r="AH58"/>
  <c r="AI58"/>
  <c r="AK58"/>
  <c r="AL58"/>
  <c r="AN58"/>
  <c r="AP58"/>
  <c r="AB59"/>
  <c r="AC59"/>
  <c r="AD59"/>
  <c r="AE59"/>
  <c r="AF59"/>
  <c r="AG59"/>
  <c r="AH59"/>
  <c r="AI59"/>
  <c r="AK59"/>
  <c r="AL59"/>
  <c r="AN59"/>
  <c r="AP59"/>
  <c r="AB60"/>
  <c r="AC60"/>
  <c r="AD60"/>
  <c r="AE60"/>
  <c r="AF60"/>
  <c r="AG60"/>
  <c r="AH60"/>
  <c r="AI60"/>
  <c r="AK60"/>
  <c r="AL60"/>
  <c r="AN60"/>
  <c r="AP60"/>
  <c r="AB61"/>
  <c r="AC61"/>
  <c r="AD61"/>
  <c r="AE61"/>
  <c r="AF61"/>
  <c r="AG61"/>
  <c r="AH61"/>
  <c r="AI61"/>
  <c r="AK61"/>
  <c r="AL61"/>
  <c r="AN61"/>
  <c r="AP61"/>
  <c r="AB62"/>
  <c r="AC62"/>
  <c r="AD62"/>
  <c r="AE62"/>
  <c r="AF62"/>
  <c r="AG62"/>
  <c r="AH62"/>
  <c r="AI62"/>
  <c r="AK62"/>
  <c r="AL62"/>
  <c r="AN62"/>
  <c r="AP62"/>
  <c r="AB63"/>
  <c r="AC63"/>
  <c r="AD63"/>
  <c r="AE63"/>
  <c r="AF63"/>
  <c r="AG63"/>
  <c r="AH63"/>
  <c r="AI63"/>
  <c r="AK63"/>
  <c r="AL63"/>
  <c r="AN63"/>
  <c r="AP63"/>
  <c r="AB64"/>
  <c r="AC64"/>
  <c r="AD64"/>
  <c r="AE64"/>
  <c r="AF64"/>
  <c r="AG64"/>
  <c r="AH64"/>
  <c r="AI64"/>
  <c r="AK64"/>
  <c r="AL64"/>
  <c r="AN64"/>
  <c r="AP64"/>
  <c r="AB65"/>
  <c r="AC65"/>
  <c r="AD65"/>
  <c r="AE65"/>
  <c r="AF65"/>
  <c r="AG65"/>
  <c r="AH65"/>
  <c r="AI65"/>
  <c r="AK65"/>
  <c r="AL65"/>
  <c r="AN65"/>
  <c r="AP65"/>
  <c r="AB66"/>
  <c r="AC66"/>
  <c r="AD66"/>
  <c r="AE66"/>
  <c r="AF66"/>
  <c r="AG66"/>
  <c r="AH66"/>
  <c r="AI66"/>
  <c r="AK66"/>
  <c r="AL66"/>
  <c r="AN66"/>
  <c r="AP66"/>
  <c r="AB67"/>
  <c r="AC67"/>
  <c r="AD67"/>
  <c r="AE67"/>
  <c r="AF67"/>
  <c r="AG67"/>
  <c r="AH67"/>
  <c r="AI67"/>
  <c r="AK67"/>
  <c r="AL67"/>
  <c r="AN67"/>
  <c r="AP67"/>
  <c r="AB68"/>
  <c r="AC68"/>
  <c r="AD68"/>
  <c r="AE68"/>
  <c r="AF68"/>
  <c r="AG68"/>
  <c r="AH68"/>
  <c r="AI68"/>
  <c r="AK68"/>
  <c r="AL68"/>
  <c r="AN68"/>
  <c r="AP68"/>
  <c r="AB69"/>
  <c r="AC69"/>
  <c r="AD69"/>
  <c r="AE69"/>
  <c r="AF69"/>
  <c r="AG69"/>
  <c r="AH69"/>
  <c r="AI69"/>
  <c r="AK69"/>
  <c r="AL69"/>
  <c r="AN69"/>
  <c r="AP69"/>
  <c r="AB70"/>
  <c r="AC70"/>
  <c r="AD70"/>
  <c r="AE70"/>
  <c r="AF70"/>
  <c r="AG70"/>
  <c r="AH70"/>
  <c r="AI70"/>
  <c r="AK70"/>
  <c r="AL70"/>
  <c r="AN70"/>
  <c r="AP70"/>
  <c r="AB71"/>
  <c r="AC71"/>
  <c r="AD71"/>
  <c r="AE71"/>
  <c r="AF71"/>
  <c r="AG71"/>
  <c r="AH71"/>
  <c r="AI71"/>
  <c r="AK71"/>
  <c r="AL71"/>
  <c r="AN71"/>
  <c r="AP71"/>
  <c r="AB72"/>
  <c r="AC72"/>
  <c r="AD72"/>
  <c r="AE72"/>
  <c r="AF72"/>
  <c r="AG72"/>
  <c r="AH72"/>
  <c r="AI72"/>
  <c r="AK72"/>
  <c r="AL72"/>
  <c r="AN72"/>
  <c r="AP72"/>
  <c r="AB73"/>
  <c r="AC73"/>
  <c r="AD73"/>
  <c r="AE73"/>
  <c r="AF73"/>
  <c r="AG73"/>
  <c r="AH73"/>
  <c r="AI73"/>
  <c r="AK73"/>
  <c r="AL73"/>
  <c r="AN73"/>
  <c r="AP73"/>
  <c r="AB74"/>
  <c r="AC74"/>
  <c r="AD74"/>
  <c r="AE74"/>
  <c r="AF74"/>
  <c r="AG74"/>
  <c r="AH74"/>
  <c r="AI74"/>
  <c r="AK74"/>
  <c r="AL74"/>
  <c r="AN74"/>
  <c r="AP74"/>
  <c r="AB75"/>
  <c r="AC75"/>
  <c r="AD75"/>
  <c r="AE75"/>
  <c r="AF75"/>
  <c r="AG75"/>
  <c r="AH75"/>
  <c r="AI75"/>
  <c r="AK75"/>
  <c r="AL75"/>
  <c r="AN75"/>
  <c r="AP75"/>
  <c r="AB76"/>
  <c r="AC76"/>
  <c r="AD76"/>
  <c r="AE76"/>
  <c r="AF76"/>
  <c r="AG76"/>
  <c r="AH76"/>
  <c r="AI76"/>
  <c r="AK76"/>
  <c r="AL76"/>
  <c r="AN76"/>
  <c r="AP76"/>
  <c r="AB77"/>
  <c r="AC77"/>
  <c r="AD77"/>
  <c r="AE77"/>
  <c r="AF77"/>
  <c r="AG77"/>
  <c r="AH77"/>
  <c r="AI77"/>
  <c r="AK77"/>
  <c r="AL77"/>
  <c r="AN77"/>
  <c r="AP77"/>
  <c r="AB78"/>
  <c r="AC78"/>
  <c r="AD78"/>
  <c r="AE78"/>
  <c r="AF78"/>
  <c r="AG78"/>
  <c r="AH78"/>
  <c r="AI78"/>
  <c r="AK78"/>
  <c r="AL78"/>
  <c r="AN78"/>
  <c r="AP78"/>
  <c r="AB79"/>
  <c r="AC79"/>
  <c r="AD79"/>
  <c r="AE79"/>
  <c r="AF79"/>
  <c r="AG79"/>
  <c r="AH79"/>
  <c r="AI79"/>
  <c r="AK79"/>
  <c r="AL79"/>
  <c r="AN79"/>
  <c r="AP79"/>
  <c r="AB80"/>
  <c r="AC80"/>
  <c r="AD80"/>
  <c r="AE80"/>
  <c r="AF80"/>
  <c r="AG80"/>
  <c r="AH80"/>
  <c r="AI80"/>
  <c r="AK80"/>
  <c r="AL80"/>
  <c r="AN80"/>
  <c r="AP80"/>
  <c r="AB81"/>
  <c r="AC81"/>
  <c r="AD81"/>
  <c r="AE81"/>
  <c r="AF81"/>
  <c r="AG81"/>
  <c r="AH81"/>
  <c r="AI81"/>
  <c r="AK81"/>
  <c r="AL81"/>
  <c r="AN81"/>
  <c r="AP81"/>
  <c r="AB82"/>
  <c r="AC82"/>
  <c r="AD82"/>
  <c r="AE82"/>
  <c r="AF82"/>
  <c r="AG82"/>
  <c r="AH82"/>
  <c r="AI82"/>
  <c r="AK82"/>
  <c r="AL82"/>
  <c r="AN82"/>
  <c r="AP82"/>
  <c r="AB83"/>
  <c r="AC83"/>
  <c r="AD83"/>
  <c r="AE83"/>
  <c r="AF83"/>
  <c r="AG83"/>
  <c r="AH83"/>
  <c r="AI83"/>
  <c r="AK83"/>
  <c r="AL83"/>
  <c r="AN83"/>
  <c r="AP83"/>
  <c r="AB84"/>
  <c r="AC84"/>
  <c r="AD84"/>
  <c r="AE84"/>
  <c r="AF84"/>
  <c r="AG84"/>
  <c r="AH84"/>
  <c r="AI84"/>
  <c r="AK84"/>
  <c r="AL84"/>
  <c r="AN84"/>
  <c r="AP84"/>
  <c r="AB85"/>
  <c r="AC85"/>
  <c r="AD85"/>
  <c r="AE85"/>
  <c r="AF85"/>
  <c r="AG85"/>
  <c r="AH85"/>
  <c r="AI85"/>
  <c r="AK85"/>
  <c r="AL85"/>
  <c r="AN85"/>
  <c r="AP85"/>
  <c r="AB86"/>
  <c r="AC86"/>
  <c r="AD86"/>
  <c r="AE86"/>
  <c r="AF86"/>
  <c r="AG86"/>
  <c r="AH86"/>
  <c r="AI86"/>
  <c r="AK86"/>
  <c r="AL86"/>
  <c r="AN86"/>
  <c r="AP86"/>
  <c r="AB87"/>
  <c r="AC87"/>
  <c r="AD87"/>
  <c r="AE87"/>
  <c r="AF87"/>
  <c r="AG87"/>
  <c r="AH87"/>
  <c r="AI87"/>
  <c r="AK87"/>
  <c r="AL87"/>
  <c r="AN87"/>
  <c r="AP87"/>
  <c r="AB88"/>
  <c r="AC88"/>
  <c r="AD88"/>
  <c r="AE88"/>
  <c r="AF88"/>
  <c r="AG88"/>
  <c r="AH88"/>
  <c r="AI88"/>
  <c r="AK88"/>
  <c r="AL88"/>
  <c r="AN88"/>
  <c r="AP88"/>
  <c r="AB89"/>
  <c r="AC89"/>
  <c r="AD89"/>
  <c r="AE89"/>
  <c r="AF89"/>
  <c r="AG89"/>
  <c r="AH89"/>
  <c r="AI89"/>
  <c r="AK89"/>
  <c r="AL89"/>
  <c r="AN89"/>
  <c r="AP89"/>
  <c r="AB90"/>
  <c r="AC90"/>
  <c r="AD90"/>
  <c r="AE90"/>
  <c r="AF90"/>
  <c r="AG90"/>
  <c r="AH90"/>
  <c r="AI90"/>
  <c r="AK90"/>
  <c r="AL90"/>
  <c r="AN90"/>
  <c r="AP90"/>
  <c r="AB91"/>
  <c r="AC91"/>
  <c r="AD91"/>
  <c r="AE91"/>
  <c r="AF91"/>
  <c r="AG91"/>
  <c r="AH91"/>
  <c r="AI91"/>
  <c r="AK91"/>
  <c r="AL91"/>
  <c r="AN91"/>
  <c r="AP91"/>
  <c r="AB92"/>
  <c r="AC92"/>
  <c r="AD92"/>
  <c r="AE92"/>
  <c r="AF92"/>
  <c r="AG92"/>
  <c r="AH92"/>
  <c r="AI92"/>
  <c r="AK92"/>
  <c r="AL92"/>
  <c r="AN92"/>
  <c r="AP92"/>
  <c r="AB93"/>
  <c r="AC93"/>
  <c r="AD93"/>
  <c r="AE93"/>
  <c r="AF93"/>
  <c r="AG93"/>
  <c r="AH93"/>
  <c r="AI93"/>
  <c r="AK93"/>
  <c r="AL93"/>
  <c r="AN93"/>
  <c r="AP93"/>
  <c r="AB94"/>
  <c r="AC94"/>
  <c r="AD94"/>
  <c r="AE94"/>
  <c r="AF94"/>
  <c r="AG94"/>
  <c r="AH94"/>
  <c r="AI94"/>
  <c r="AK94"/>
  <c r="AL94"/>
  <c r="AN94"/>
  <c r="AP94"/>
  <c r="AB95"/>
  <c r="AC95"/>
  <c r="AD95"/>
  <c r="AE95"/>
  <c r="AF95"/>
  <c r="AG95"/>
  <c r="AH95"/>
  <c r="AI95"/>
  <c r="AK95"/>
  <c r="AL95"/>
  <c r="AN95"/>
  <c r="AP95"/>
  <c r="AB96"/>
  <c r="AC96"/>
  <c r="AD96"/>
  <c r="AE96"/>
  <c r="AF96"/>
  <c r="AG96"/>
  <c r="AH96"/>
  <c r="AI96"/>
  <c r="AK96"/>
  <c r="AL96"/>
  <c r="AN96"/>
  <c r="AP96"/>
  <c r="AB97"/>
  <c r="AC97"/>
  <c r="AD97"/>
  <c r="AE97"/>
  <c r="AF97"/>
  <c r="AG97"/>
  <c r="AH97"/>
  <c r="AI97"/>
  <c r="AK97"/>
  <c r="AL97"/>
  <c r="AN97"/>
  <c r="AP97"/>
  <c r="AB98"/>
  <c r="AC98"/>
  <c r="AD98"/>
  <c r="AE98"/>
  <c r="AF98"/>
  <c r="AG98"/>
  <c r="AH98"/>
  <c r="AI98"/>
  <c r="AK98"/>
  <c r="AL98"/>
  <c r="AN98"/>
  <c r="AP98"/>
  <c r="AB99"/>
  <c r="AC99"/>
  <c r="AD99"/>
  <c r="AE99"/>
  <c r="AF99"/>
  <c r="AG99"/>
  <c r="AH99"/>
  <c r="AI99"/>
  <c r="AK99"/>
  <c r="AL99"/>
  <c r="AN99"/>
  <c r="AP99"/>
  <c r="AB100"/>
  <c r="AC100"/>
  <c r="AD100"/>
  <c r="AE100"/>
  <c r="AF100"/>
  <c r="AG100"/>
  <c r="AH100"/>
  <c r="AI100"/>
  <c r="AK100"/>
  <c r="AL100"/>
  <c r="AN100"/>
  <c r="AP100"/>
  <c r="AB101"/>
  <c r="AC101"/>
  <c r="AD101"/>
  <c r="AE101"/>
  <c r="AF101"/>
  <c r="AG101"/>
  <c r="AH101"/>
  <c r="AI101"/>
  <c r="AK101"/>
  <c r="AL101"/>
  <c r="AN101"/>
  <c r="AP101"/>
  <c r="AB102"/>
  <c r="AC102"/>
  <c r="AD102"/>
  <c r="AE102"/>
  <c r="AF102"/>
  <c r="AG102"/>
  <c r="AH102"/>
  <c r="AI102"/>
  <c r="AK102"/>
  <c r="AL102"/>
  <c r="AN102"/>
  <c r="AP102"/>
  <c r="AB103"/>
  <c r="AC103"/>
  <c r="AD103"/>
  <c r="AE103"/>
  <c r="AF103"/>
  <c r="AG103"/>
  <c r="AH103"/>
  <c r="AI103"/>
  <c r="AK103"/>
  <c r="AL103"/>
  <c r="AN103"/>
  <c r="AP103"/>
  <c r="AB104"/>
  <c r="AC104"/>
  <c r="AD104"/>
  <c r="AE104"/>
  <c r="AF104"/>
  <c r="AG104"/>
  <c r="AH104"/>
  <c r="AI104"/>
  <c r="AK104"/>
  <c r="AL104"/>
  <c r="AN104"/>
  <c r="AP104"/>
  <c r="AB105"/>
  <c r="AC105"/>
  <c r="AD105"/>
  <c r="AE105"/>
  <c r="AF105"/>
  <c r="AG105"/>
  <c r="AH105"/>
  <c r="AI105"/>
  <c r="AK105"/>
  <c r="AL105"/>
  <c r="AN105"/>
  <c r="AP105"/>
  <c r="AB106"/>
  <c r="AC106"/>
  <c r="AD106"/>
  <c r="AE106"/>
  <c r="AF106"/>
  <c r="AG106"/>
  <c r="AH106"/>
  <c r="AI106"/>
  <c r="AK106"/>
  <c r="AL106"/>
  <c r="AN106"/>
  <c r="AP106"/>
  <c r="AB107"/>
  <c r="AC107"/>
  <c r="AD107"/>
  <c r="AE107"/>
  <c r="AF107"/>
  <c r="AG107"/>
  <c r="AH107"/>
  <c r="AI107"/>
  <c r="AK107"/>
  <c r="AL107"/>
  <c r="AN107"/>
  <c r="AP107"/>
  <c r="AB108"/>
  <c r="AC108"/>
  <c r="AD108"/>
  <c r="AE108"/>
  <c r="AF108"/>
  <c r="AG108"/>
  <c r="AH108"/>
  <c r="AI108"/>
  <c r="AK108"/>
  <c r="AL108"/>
  <c r="AN108"/>
  <c r="AP108"/>
  <c r="AB109"/>
  <c r="AC109"/>
  <c r="AD109"/>
  <c r="AE109"/>
  <c r="AF109"/>
  <c r="AG109"/>
  <c r="AH109"/>
  <c r="AI109"/>
  <c r="AK109"/>
  <c r="AL109"/>
  <c r="AN109"/>
  <c r="AP109"/>
  <c r="AB110"/>
  <c r="AC110"/>
  <c r="AD110"/>
  <c r="AE110"/>
  <c r="AF110"/>
  <c r="AG110"/>
  <c r="AH110"/>
  <c r="AI110"/>
  <c r="AK110"/>
  <c r="AL110"/>
  <c r="AN110"/>
  <c r="AP110"/>
  <c r="AB111"/>
  <c r="AC111"/>
  <c r="AD111"/>
  <c r="AE111"/>
  <c r="AF111"/>
  <c r="AG111"/>
  <c r="AH111"/>
  <c r="AI111"/>
  <c r="AK111"/>
  <c r="AL111"/>
  <c r="AN111"/>
  <c r="AP111"/>
  <c r="AB112"/>
  <c r="AC112"/>
  <c r="AD112"/>
  <c r="AE112"/>
  <c r="AF112"/>
  <c r="AG112"/>
  <c r="AH112"/>
  <c r="AI112"/>
  <c r="AK112"/>
  <c r="AL112"/>
  <c r="AN112"/>
  <c r="AP112"/>
  <c r="AB113"/>
  <c r="AC113"/>
  <c r="AD113"/>
  <c r="AE113"/>
  <c r="AF113"/>
  <c r="AG113"/>
  <c r="AH113"/>
  <c r="AI113"/>
  <c r="AK113"/>
  <c r="AL113"/>
  <c r="AN113"/>
  <c r="AP113"/>
  <c r="AB114"/>
  <c r="AC114"/>
  <c r="AD114"/>
  <c r="AE114"/>
  <c r="AF114"/>
  <c r="AG114"/>
  <c r="AH114"/>
  <c r="AI114"/>
  <c r="AK114"/>
  <c r="AL114"/>
  <c r="AN114"/>
  <c r="AP114"/>
  <c r="AB115"/>
  <c r="AC115"/>
  <c r="AD115"/>
  <c r="AE115"/>
  <c r="AF115"/>
  <c r="AG115"/>
  <c r="AH115"/>
  <c r="AI115"/>
  <c r="AK115"/>
  <c r="AL115"/>
  <c r="AN115"/>
  <c r="AP115"/>
  <c r="AB116"/>
  <c r="AC116"/>
  <c r="AD116"/>
  <c r="AE116"/>
  <c r="AF116"/>
  <c r="AG116"/>
  <c r="AH116"/>
  <c r="AI116"/>
  <c r="AK116"/>
  <c r="AL116"/>
  <c r="AN116"/>
  <c r="AP116"/>
  <c r="AB117"/>
  <c r="AC117"/>
  <c r="AD117"/>
  <c r="AE117"/>
  <c r="AF117"/>
  <c r="AG117"/>
  <c r="AH117"/>
  <c r="AI117"/>
  <c r="AK117"/>
  <c r="AL117"/>
  <c r="AN117"/>
  <c r="AP117"/>
  <c r="AB118"/>
  <c r="AC118"/>
  <c r="AD118"/>
  <c r="AE118"/>
  <c r="AF118"/>
  <c r="AG118"/>
  <c r="AH118"/>
  <c r="AI118"/>
  <c r="AK118"/>
  <c r="AL118"/>
  <c r="AN118"/>
  <c r="AP118"/>
  <c r="AB119"/>
  <c r="AC119"/>
  <c r="AD119"/>
  <c r="AE119"/>
  <c r="AF119"/>
  <c r="AG119"/>
  <c r="AH119"/>
  <c r="AI119"/>
  <c r="AK119"/>
  <c r="AL119"/>
  <c r="AN119"/>
  <c r="AP119"/>
  <c r="AB120"/>
  <c r="AC120"/>
  <c r="AD120"/>
  <c r="AE120"/>
  <c r="AF120"/>
  <c r="AG120"/>
  <c r="AH120"/>
  <c r="AI120"/>
  <c r="AK120"/>
  <c r="AL120"/>
  <c r="AN120"/>
  <c r="AP120"/>
  <c r="AB121"/>
  <c r="AC121"/>
  <c r="AD121"/>
  <c r="AE121"/>
  <c r="AF121"/>
  <c r="AG121"/>
  <c r="AH121"/>
  <c r="AI121"/>
  <c r="AK121"/>
  <c r="AL121"/>
  <c r="AN121"/>
  <c r="AP121"/>
  <c r="AB122"/>
  <c r="AC122"/>
  <c r="AD122"/>
  <c r="AE122"/>
  <c r="AF122"/>
  <c r="AG122"/>
  <c r="AH122"/>
  <c r="AI122"/>
  <c r="AK122"/>
  <c r="AL122"/>
  <c r="AN122"/>
  <c r="AP122"/>
  <c r="AB123"/>
  <c r="AC123"/>
  <c r="AD123"/>
  <c r="AE123"/>
  <c r="AF123"/>
  <c r="AG123"/>
  <c r="AH123"/>
  <c r="AI123"/>
  <c r="AK123"/>
  <c r="AL123"/>
  <c r="AN123"/>
  <c r="AP123"/>
  <c r="AB124"/>
  <c r="AC124"/>
  <c r="AD124"/>
  <c r="AE124"/>
  <c r="AF124"/>
  <c r="AG124"/>
  <c r="AH124"/>
  <c r="AI124"/>
  <c r="AK124"/>
  <c r="AL124"/>
  <c r="AN124"/>
  <c r="AP124"/>
  <c r="AB125"/>
  <c r="AC125"/>
  <c r="AD125"/>
  <c r="AE125"/>
  <c r="AF125"/>
  <c r="AG125"/>
  <c r="AH125"/>
  <c r="AI125"/>
  <c r="AK125"/>
  <c r="AL125"/>
  <c r="AN125"/>
  <c r="AP125"/>
  <c r="AB126"/>
  <c r="AC126"/>
  <c r="AD126"/>
  <c r="AE126"/>
  <c r="AF126"/>
  <c r="AG126"/>
  <c r="AH126"/>
  <c r="AI126"/>
  <c r="AK126"/>
  <c r="AL126"/>
  <c r="AN126"/>
  <c r="AP126"/>
  <c r="AB127"/>
  <c r="AC127"/>
  <c r="AD127"/>
  <c r="AE127"/>
  <c r="AF127"/>
  <c r="AG127"/>
  <c r="AH127"/>
  <c r="AI127"/>
  <c r="AK127"/>
  <c r="AL127"/>
  <c r="AN127"/>
  <c r="AP127"/>
  <c r="AB128"/>
  <c r="AC128"/>
  <c r="AD128"/>
  <c r="AE128"/>
  <c r="AF128"/>
  <c r="AG128"/>
  <c r="AH128"/>
  <c r="AI128"/>
  <c r="AK128"/>
  <c r="AL128"/>
  <c r="AN128"/>
  <c r="AP128"/>
  <c r="AB129"/>
  <c r="AC129"/>
  <c r="AD129"/>
  <c r="AE129"/>
  <c r="AF129"/>
  <c r="AG129"/>
  <c r="AH129"/>
  <c r="AI129"/>
  <c r="AK129"/>
  <c r="AL129"/>
  <c r="AN129"/>
  <c r="AP129"/>
  <c r="AB130"/>
  <c r="AC130"/>
  <c r="AD130"/>
  <c r="AE130"/>
  <c r="AF130"/>
  <c r="AG130"/>
  <c r="AH130"/>
  <c r="AI130"/>
  <c r="AK130"/>
  <c r="AL130"/>
  <c r="AN130"/>
  <c r="AP130"/>
  <c r="AB131"/>
  <c r="AC131"/>
  <c r="AD131"/>
  <c r="AE131"/>
  <c r="AF131"/>
  <c r="AG131"/>
  <c r="AH131"/>
  <c r="AI131"/>
  <c r="AK131"/>
  <c r="AL131"/>
  <c r="AN131"/>
  <c r="AP131"/>
  <c r="AB132"/>
  <c r="AC132"/>
  <c r="AD132"/>
  <c r="AE132"/>
  <c r="AF132"/>
  <c r="AG132"/>
  <c r="AH132"/>
  <c r="AI132"/>
  <c r="AK132"/>
  <c r="AL132"/>
  <c r="AN132"/>
  <c r="AP132"/>
  <c r="AB133"/>
  <c r="AC133"/>
  <c r="AD133"/>
  <c r="AE133"/>
  <c r="AF133"/>
  <c r="AG133"/>
  <c r="AH133"/>
  <c r="AI133"/>
  <c r="AK133"/>
  <c r="AL133"/>
  <c r="AN133"/>
  <c r="AP133"/>
  <c r="AB134"/>
  <c r="AC134"/>
  <c r="AD134"/>
  <c r="AE134"/>
  <c r="AF134"/>
  <c r="AG134"/>
  <c r="AH134"/>
  <c r="AI134"/>
  <c r="AK134"/>
  <c r="AL134"/>
  <c r="AN134"/>
  <c r="AP134"/>
  <c r="AB135"/>
  <c r="AC135"/>
  <c r="AD135"/>
  <c r="AE135"/>
  <c r="AF135"/>
  <c r="AG135"/>
  <c r="AH135"/>
  <c r="AI135"/>
  <c r="AK135"/>
  <c r="AL135"/>
  <c r="AN135"/>
  <c r="AP135"/>
  <c r="AB136"/>
  <c r="AC136"/>
  <c r="AD136"/>
  <c r="AE136"/>
  <c r="AF136"/>
  <c r="AG136"/>
  <c r="AH136"/>
  <c r="AI136"/>
  <c r="AK136"/>
  <c r="AL136"/>
  <c r="AN136"/>
  <c r="AP136"/>
  <c r="AB137"/>
  <c r="AC137"/>
  <c r="AD137"/>
  <c r="AE137"/>
  <c r="AF137"/>
  <c r="AG137"/>
  <c r="AH137"/>
  <c r="AI137"/>
  <c r="AK137"/>
  <c r="AL137"/>
  <c r="AN137"/>
  <c r="AP137"/>
  <c r="AB138"/>
  <c r="AC138"/>
  <c r="AD138"/>
  <c r="AE138"/>
  <c r="AF138"/>
  <c r="AG138"/>
  <c r="AH138"/>
  <c r="AI138"/>
  <c r="AK138"/>
  <c r="AL138"/>
  <c r="AN138"/>
  <c r="AP138"/>
  <c r="AB139"/>
  <c r="AC139"/>
  <c r="AD139"/>
  <c r="AE139"/>
  <c r="AF139"/>
  <c r="AG139"/>
  <c r="AH139"/>
  <c r="AI139"/>
  <c r="AK139"/>
  <c r="AL139"/>
  <c r="AN139"/>
  <c r="AP139"/>
  <c r="AB140"/>
  <c r="AC140"/>
  <c r="AD140"/>
  <c r="AE140"/>
  <c r="AF140"/>
  <c r="AG140"/>
  <c r="AH140"/>
  <c r="AI140"/>
  <c r="AK140"/>
  <c r="AL140"/>
  <c r="AN140"/>
  <c r="AP140"/>
  <c r="AB141"/>
  <c r="AC141"/>
  <c r="AD141"/>
  <c r="AE141"/>
  <c r="AF141"/>
  <c r="AG141"/>
  <c r="AH141"/>
  <c r="AI141"/>
  <c r="AK141"/>
  <c r="AL141"/>
  <c r="AN141"/>
  <c r="AP141"/>
  <c r="AB142"/>
  <c r="AC142"/>
  <c r="AD142"/>
  <c r="AE142"/>
  <c r="AF142"/>
  <c r="AG142"/>
  <c r="AH142"/>
  <c r="AI142"/>
  <c r="AK142"/>
  <c r="AL142"/>
  <c r="AN142"/>
  <c r="AP142"/>
  <c r="AB143"/>
  <c r="AC143"/>
  <c r="AD143"/>
  <c r="AE143"/>
  <c r="AF143"/>
  <c r="AG143"/>
  <c r="AH143"/>
  <c r="AI143"/>
  <c r="AK143"/>
  <c r="AL143"/>
  <c r="AN143"/>
  <c r="AP143"/>
  <c r="AB144"/>
  <c r="AC144"/>
  <c r="AD144"/>
  <c r="AE144"/>
  <c r="AF144"/>
  <c r="AG144"/>
  <c r="AH144"/>
  <c r="AI144"/>
  <c r="AK144"/>
  <c r="AL144"/>
  <c r="AN144"/>
  <c r="AP144"/>
  <c r="AB145"/>
  <c r="AC145"/>
  <c r="AD145"/>
  <c r="AE145"/>
  <c r="AF145"/>
  <c r="AG145"/>
  <c r="AH145"/>
  <c r="AI145"/>
  <c r="AK145"/>
  <c r="AL145"/>
  <c r="AN145"/>
  <c r="AP145"/>
  <c r="AB146"/>
  <c r="AC146"/>
  <c r="AD146"/>
  <c r="AE146"/>
  <c r="AF146"/>
  <c r="AG146"/>
  <c r="AH146"/>
  <c r="AI146"/>
  <c r="AK146"/>
  <c r="AL146"/>
  <c r="AN146"/>
  <c r="AP146"/>
  <c r="AB147"/>
  <c r="AC147"/>
  <c r="AD147"/>
  <c r="AE147"/>
  <c r="AF147"/>
  <c r="AG147"/>
  <c r="AH147"/>
  <c r="AI147"/>
  <c r="AK147"/>
  <c r="AL147"/>
  <c r="AN147"/>
  <c r="AP147"/>
  <c r="AB148"/>
  <c r="AC148"/>
  <c r="AD148"/>
  <c r="AE148"/>
  <c r="AF148"/>
  <c r="AG148"/>
  <c r="AH148"/>
  <c r="AI148"/>
  <c r="AK148"/>
  <c r="AL148"/>
  <c r="AN148"/>
  <c r="AP148"/>
  <c r="AB149"/>
  <c r="AC149"/>
  <c r="AD149"/>
  <c r="AE149"/>
  <c r="AF149"/>
  <c r="AG149"/>
  <c r="AH149"/>
  <c r="AI149"/>
  <c r="AK149"/>
  <c r="AL149"/>
  <c r="AN149"/>
  <c r="AP149"/>
  <c r="AB150"/>
  <c r="AC150"/>
  <c r="AD150"/>
  <c r="AE150"/>
  <c r="AF150"/>
  <c r="AG150"/>
  <c r="AH150"/>
  <c r="AI150"/>
  <c r="AK150"/>
  <c r="AL150"/>
  <c r="AN150"/>
  <c r="AP150"/>
  <c r="AB151"/>
  <c r="AC151"/>
  <c r="AD151"/>
  <c r="AE151"/>
  <c r="AF151"/>
  <c r="AG151"/>
  <c r="AH151"/>
  <c r="AI151"/>
  <c r="AK151"/>
  <c r="AL151"/>
  <c r="AN151"/>
  <c r="AP151"/>
  <c r="AB152"/>
  <c r="AC152"/>
  <c r="AD152"/>
  <c r="AE152"/>
  <c r="AF152"/>
  <c r="AG152"/>
  <c r="AH152"/>
  <c r="AI152"/>
  <c r="AK152"/>
  <c r="AL152"/>
  <c r="AN152"/>
  <c r="AP152"/>
  <c r="AB153"/>
  <c r="AC153"/>
  <c r="AD153"/>
  <c r="AE153"/>
  <c r="AF153"/>
  <c r="AG153"/>
  <c r="AH153"/>
  <c r="AI153"/>
  <c r="AK153"/>
  <c r="AL153"/>
  <c r="AN153"/>
  <c r="AP153"/>
  <c r="AB154"/>
  <c r="AC154"/>
  <c r="AD154"/>
  <c r="AE154"/>
  <c r="AF154"/>
  <c r="AG154"/>
  <c r="AH154"/>
  <c r="AI154"/>
  <c r="AK154"/>
  <c r="AL154"/>
  <c r="AN154"/>
  <c r="AP154"/>
  <c r="AB155"/>
  <c r="AC155"/>
  <c r="AD155"/>
  <c r="AE155"/>
  <c r="AF155"/>
  <c r="AG155"/>
  <c r="AH155"/>
  <c r="AI155"/>
  <c r="AK155"/>
  <c r="AL155"/>
  <c r="AN155"/>
  <c r="AP155"/>
  <c r="AB156"/>
  <c r="AC156"/>
  <c r="AD156"/>
  <c r="AE156"/>
  <c r="AF156"/>
  <c r="AG156"/>
  <c r="AH156"/>
  <c r="AI156"/>
  <c r="AK156"/>
  <c r="AL156"/>
  <c r="AN156"/>
  <c r="AP156"/>
  <c r="AB157"/>
  <c r="AC157"/>
  <c r="AD157"/>
  <c r="AE157"/>
  <c r="AF157"/>
  <c r="AG157"/>
  <c r="AH157"/>
  <c r="AI157"/>
  <c r="AK157"/>
  <c r="AL157"/>
  <c r="AN157"/>
  <c r="AP157"/>
  <c r="AB158"/>
  <c r="AC158"/>
  <c r="AD158"/>
  <c r="AE158"/>
  <c r="AF158"/>
  <c r="AG158"/>
  <c r="AH158"/>
  <c r="AI158"/>
  <c r="AK158"/>
  <c r="AL158"/>
  <c r="AN158"/>
  <c r="AP158"/>
  <c r="AB159"/>
  <c r="AC159"/>
  <c r="AD159"/>
  <c r="AE159"/>
  <c r="AF159"/>
  <c r="AG159"/>
  <c r="AH159"/>
  <c r="AI159"/>
  <c r="AK159"/>
  <c r="AL159"/>
  <c r="AN159"/>
  <c r="AP159"/>
  <c r="AB160"/>
  <c r="AC160"/>
  <c r="AD160"/>
  <c r="AE160"/>
  <c r="AF160"/>
  <c r="AG160"/>
  <c r="AH160"/>
  <c r="AI160"/>
  <c r="AK160"/>
  <c r="AL160"/>
  <c r="AN160"/>
  <c r="AP160"/>
  <c r="AB161"/>
  <c r="AC161"/>
  <c r="AD161"/>
  <c r="AE161"/>
  <c r="AF161"/>
  <c r="AG161"/>
  <c r="AH161"/>
  <c r="AI161"/>
  <c r="AK161"/>
  <c r="AL161"/>
  <c r="AN161"/>
  <c r="AP161"/>
  <c r="AB162"/>
  <c r="AC162"/>
  <c r="AD162"/>
  <c r="AE162"/>
  <c r="AF162"/>
  <c r="AG162"/>
  <c r="AH162"/>
  <c r="AI162"/>
  <c r="AK162"/>
  <c r="AL162"/>
  <c r="AN162"/>
  <c r="AP162"/>
  <c r="AB163"/>
  <c r="AC163"/>
  <c r="AD163"/>
  <c r="AE163"/>
  <c r="AF163"/>
  <c r="AG163"/>
  <c r="AH163"/>
  <c r="AI163"/>
  <c r="AK163"/>
  <c r="AL163"/>
  <c r="AN163"/>
  <c r="AP163"/>
  <c r="AB164"/>
  <c r="AC164"/>
  <c r="AD164"/>
  <c r="AE164"/>
  <c r="AF164"/>
  <c r="AG164"/>
  <c r="AH164"/>
  <c r="AI164"/>
  <c r="AK164"/>
  <c r="AL164"/>
  <c r="AN164"/>
  <c r="AP164"/>
  <c r="AB165"/>
  <c r="AC165"/>
  <c r="AD165"/>
  <c r="AE165"/>
  <c r="AF165"/>
  <c r="AG165"/>
  <c r="AH165"/>
  <c r="AI165"/>
  <c r="AK165"/>
  <c r="AL165"/>
  <c r="AN165"/>
  <c r="AP165"/>
  <c r="AB166"/>
  <c r="AC166"/>
  <c r="AD166"/>
  <c r="AE166"/>
  <c r="AF166"/>
  <c r="AG166"/>
  <c r="AH166"/>
  <c r="AI166"/>
  <c r="AK166"/>
  <c r="AL166"/>
  <c r="AN166"/>
  <c r="AP166"/>
  <c r="AB167"/>
  <c r="AC167"/>
  <c r="AD167"/>
  <c r="AE167"/>
  <c r="AF167"/>
  <c r="AG167"/>
  <c r="AH167"/>
  <c r="AI167"/>
  <c r="AK167"/>
  <c r="AL167"/>
  <c r="AN167"/>
  <c r="AP167"/>
  <c r="AB168"/>
  <c r="AC168"/>
  <c r="AD168"/>
  <c r="AE168"/>
  <c r="AF168"/>
  <c r="AG168"/>
  <c r="AH168"/>
  <c r="AI168"/>
  <c r="AK168"/>
  <c r="AL168"/>
  <c r="AN168"/>
  <c r="AP168"/>
  <c r="AB169"/>
  <c r="AC169"/>
  <c r="AD169"/>
  <c r="AE169"/>
  <c r="AF169"/>
  <c r="AG169"/>
  <c r="AH169"/>
  <c r="AI169"/>
  <c r="AK169"/>
  <c r="AL169"/>
  <c r="AN169"/>
  <c r="AP169"/>
  <c r="AB170"/>
  <c r="AC170"/>
  <c r="AD170"/>
  <c r="AE170"/>
  <c r="AF170"/>
  <c r="AG170"/>
  <c r="AH170"/>
  <c r="AI170"/>
  <c r="AK170"/>
  <c r="AL170"/>
  <c r="AN170"/>
  <c r="AP170"/>
  <c r="AB171"/>
  <c r="AC171"/>
  <c r="AD171"/>
  <c r="AE171"/>
  <c r="AF171"/>
  <c r="AG171"/>
  <c r="AH171"/>
  <c r="AI171"/>
  <c r="AK171"/>
  <c r="AL171"/>
  <c r="AN171"/>
  <c r="AP171"/>
  <c r="AB172"/>
  <c r="AC172"/>
  <c r="AD172"/>
  <c r="AE172"/>
  <c r="AF172"/>
  <c r="AG172"/>
  <c r="AH172"/>
  <c r="AI172"/>
  <c r="AK172"/>
  <c r="AL172"/>
  <c r="AN172"/>
  <c r="AP172"/>
  <c r="AB173"/>
  <c r="AC173"/>
  <c r="AD173"/>
  <c r="AE173"/>
  <c r="AF173"/>
  <c r="AG173"/>
  <c r="AH173"/>
  <c r="AI173"/>
  <c r="AK173"/>
  <c r="AL173"/>
  <c r="AN173"/>
  <c r="AP173"/>
  <c r="AB174"/>
  <c r="AC174"/>
  <c r="AD174"/>
  <c r="AE174"/>
  <c r="AF174"/>
  <c r="AG174"/>
  <c r="AH174"/>
  <c r="AI174"/>
  <c r="AK174"/>
  <c r="AL174"/>
  <c r="AN174"/>
  <c r="AP174"/>
  <c r="AB175"/>
  <c r="AC175"/>
  <c r="AD175"/>
  <c r="AE175"/>
  <c r="AF175"/>
  <c r="AG175"/>
  <c r="AH175"/>
  <c r="AI175"/>
  <c r="AK175"/>
  <c r="AL175"/>
  <c r="AN175"/>
  <c r="AP175"/>
  <c r="AB176"/>
  <c r="AC176"/>
  <c r="AD176"/>
  <c r="AE176"/>
  <c r="AF176"/>
  <c r="AG176"/>
  <c r="AH176"/>
  <c r="AI176"/>
  <c r="AK176"/>
  <c r="AL176"/>
  <c r="AN176"/>
  <c r="AP176"/>
  <c r="AB177"/>
  <c r="AC177"/>
  <c r="AD177"/>
  <c r="AE177"/>
  <c r="AF177"/>
  <c r="AG177"/>
  <c r="AH177"/>
  <c r="AI177"/>
  <c r="AK177"/>
  <c r="AL177"/>
  <c r="AN177"/>
  <c r="AP177"/>
  <c r="AB178"/>
  <c r="AC178"/>
  <c r="AD178"/>
  <c r="AE178"/>
  <c r="AF178"/>
  <c r="AG178"/>
  <c r="AH178"/>
  <c r="AI178"/>
  <c r="AK178"/>
  <c r="AL178"/>
  <c r="AN178"/>
  <c r="AP178"/>
  <c r="AB179"/>
  <c r="AC179"/>
  <c r="AD179"/>
  <c r="AE179"/>
  <c r="AF179"/>
  <c r="AG179"/>
  <c r="AH179"/>
  <c r="AI179"/>
  <c r="AK179"/>
  <c r="AL179"/>
  <c r="AN179"/>
  <c r="AP179"/>
  <c r="AB180"/>
  <c r="AC180"/>
  <c r="AD180"/>
  <c r="AE180"/>
  <c r="AF180"/>
  <c r="AG180"/>
  <c r="AH180"/>
  <c r="AI180"/>
  <c r="AK180"/>
  <c r="AL180"/>
  <c r="AN180"/>
  <c r="AP180"/>
  <c r="AB181"/>
  <c r="AC181"/>
  <c r="AD181"/>
  <c r="AE181"/>
  <c r="AF181"/>
  <c r="AG181"/>
  <c r="AH181"/>
  <c r="AI181"/>
  <c r="AK181"/>
  <c r="AL181"/>
  <c r="AN181"/>
  <c r="AP181"/>
  <c r="AB182"/>
  <c r="AC182"/>
  <c r="AD182"/>
  <c r="AE182"/>
  <c r="AF182"/>
  <c r="AG182"/>
  <c r="AH182"/>
  <c r="AI182"/>
  <c r="AK182"/>
  <c r="AL182"/>
  <c r="AN182"/>
  <c r="AP182"/>
  <c r="AB183"/>
  <c r="AC183"/>
  <c r="AD183"/>
  <c r="AE183"/>
  <c r="AF183"/>
  <c r="AG183"/>
  <c r="AH183"/>
  <c r="AI183"/>
  <c r="AK183"/>
  <c r="AL183"/>
  <c r="AN183"/>
  <c r="AP183"/>
  <c r="AB184"/>
  <c r="AC184"/>
  <c r="AD184"/>
  <c r="AE184"/>
  <c r="AF184"/>
  <c r="AG184"/>
  <c r="AH184"/>
  <c r="AI184"/>
  <c r="AK184"/>
  <c r="AL184"/>
  <c r="AN184"/>
  <c r="AP184"/>
  <c r="AB185"/>
  <c r="AC185"/>
  <c r="AD185"/>
  <c r="AE185"/>
  <c r="AF185"/>
  <c r="AG185"/>
  <c r="AH185"/>
  <c r="AI185"/>
  <c r="AK185"/>
  <c r="AL185"/>
  <c r="AN185"/>
  <c r="AP185"/>
  <c r="AB186"/>
  <c r="AC186"/>
  <c r="AD186"/>
  <c r="AE186"/>
  <c r="AF186"/>
  <c r="AG186"/>
  <c r="AH186"/>
  <c r="AI186"/>
  <c r="AK186"/>
  <c r="AL186"/>
  <c r="AN186"/>
  <c r="AP186"/>
  <c r="AB187"/>
  <c r="AC187"/>
  <c r="AD187"/>
  <c r="AE187"/>
  <c r="AF187"/>
  <c r="AG187"/>
  <c r="AH187"/>
  <c r="AI187"/>
  <c r="AK187"/>
  <c r="AL187"/>
  <c r="AN187"/>
  <c r="AP187"/>
  <c r="AB188"/>
  <c r="AC188"/>
  <c r="AD188"/>
  <c r="AE188"/>
  <c r="AF188"/>
  <c r="AG188"/>
  <c r="AH188"/>
  <c r="AI188"/>
  <c r="AK188"/>
  <c r="AL188"/>
  <c r="AN188"/>
  <c r="AP188"/>
  <c r="AB189"/>
  <c r="AC189"/>
  <c r="AD189"/>
  <c r="AE189"/>
  <c r="AF189"/>
  <c r="AG189"/>
  <c r="AH189"/>
  <c r="AI189"/>
  <c r="AK189"/>
  <c r="AL189"/>
  <c r="AN189"/>
  <c r="AP189"/>
  <c r="AB190"/>
  <c r="AC190"/>
  <c r="AD190"/>
  <c r="AE190"/>
  <c r="AF190"/>
  <c r="AG190"/>
  <c r="AH190"/>
  <c r="AI190"/>
  <c r="AK190"/>
  <c r="AL190"/>
  <c r="AN190"/>
  <c r="AP190"/>
  <c r="AB191"/>
  <c r="AC191"/>
  <c r="AD191"/>
  <c r="AE191"/>
  <c r="AF191"/>
  <c r="AG191"/>
  <c r="AH191"/>
  <c r="AI191"/>
  <c r="AK191"/>
  <c r="AL191"/>
  <c r="AN191"/>
  <c r="AP191"/>
  <c r="AB192"/>
  <c r="AC192"/>
  <c r="AD192"/>
  <c r="AE192"/>
  <c r="AF192"/>
  <c r="AG192"/>
  <c r="AH192"/>
  <c r="AI192"/>
  <c r="AK192"/>
  <c r="AL192"/>
  <c r="AN192"/>
  <c r="AP192"/>
  <c r="AB193"/>
  <c r="AC193"/>
  <c r="AD193"/>
  <c r="AE193"/>
  <c r="AF193"/>
  <c r="AG193"/>
  <c r="AH193"/>
  <c r="AI193"/>
  <c r="AK193"/>
  <c r="AL193"/>
  <c r="AN193"/>
  <c r="AP193"/>
  <c r="AB194"/>
  <c r="AC194"/>
  <c r="AD194"/>
  <c r="AE194"/>
  <c r="AF194"/>
  <c r="AG194"/>
  <c r="AH194"/>
  <c r="AI194"/>
  <c r="AK194"/>
  <c r="AL194"/>
  <c r="AN194"/>
  <c r="AP194"/>
  <c r="AB195"/>
  <c r="AC195"/>
  <c r="AD195"/>
  <c r="AE195"/>
  <c r="AF195"/>
  <c r="AG195"/>
  <c r="AH195"/>
  <c r="AI195"/>
  <c r="AK195"/>
  <c r="AL195"/>
  <c r="AN195"/>
  <c r="AP195"/>
  <c r="AB196"/>
  <c r="AC196"/>
  <c r="AD196"/>
  <c r="AE196"/>
  <c r="AF196"/>
  <c r="AG196"/>
  <c r="AH196"/>
  <c r="AI196"/>
  <c r="AK196"/>
  <c r="AL196"/>
  <c r="AN196"/>
  <c r="AP196"/>
  <c r="AB197"/>
  <c r="AC197"/>
  <c r="AD197"/>
  <c r="AE197"/>
  <c r="AF197"/>
  <c r="AG197"/>
  <c r="AH197"/>
  <c r="AI197"/>
  <c r="AK197"/>
  <c r="AL197"/>
  <c r="AN197"/>
  <c r="AP197"/>
  <c r="AB198"/>
  <c r="AC198"/>
  <c r="AD198"/>
  <c r="AE198"/>
  <c r="AF198"/>
  <c r="AG198"/>
  <c r="AH198"/>
  <c r="AI198"/>
  <c r="AK198"/>
  <c r="AL198"/>
  <c r="AN198"/>
  <c r="AP198"/>
  <c r="AB199"/>
  <c r="AC199"/>
  <c r="AD199"/>
  <c r="AE199"/>
  <c r="AF199"/>
  <c r="AG199"/>
  <c r="AH199"/>
  <c r="AI199"/>
  <c r="AK199"/>
  <c r="AL199"/>
  <c r="AN199"/>
  <c r="AP199"/>
  <c r="AB200"/>
  <c r="AC200"/>
  <c r="AD200"/>
  <c r="AE200"/>
  <c r="AF200"/>
  <c r="AG200"/>
  <c r="AH200"/>
  <c r="AI200"/>
  <c r="AK200"/>
  <c r="AL200"/>
  <c r="AN200"/>
  <c r="AP200"/>
  <c r="AB201"/>
  <c r="AC201"/>
  <c r="AD201"/>
  <c r="AE201"/>
  <c r="AF201"/>
  <c r="AG201"/>
  <c r="AH201"/>
  <c r="AI201"/>
  <c r="AK201"/>
  <c r="AL201"/>
  <c r="AN201"/>
  <c r="AP201"/>
  <c r="AB202"/>
  <c r="AC202"/>
  <c r="AD202"/>
  <c r="AE202"/>
  <c r="AF202"/>
  <c r="AG202"/>
  <c r="AH202"/>
  <c r="AI202"/>
  <c r="AK202"/>
  <c r="AL202"/>
  <c r="AN202"/>
  <c r="AP202"/>
  <c r="AB203"/>
  <c r="AC203"/>
  <c r="AD203"/>
  <c r="AE203"/>
  <c r="AF203"/>
  <c r="AG203"/>
  <c r="AH203"/>
  <c r="AI203"/>
  <c r="AK203"/>
  <c r="AL203"/>
  <c r="AN203"/>
  <c r="AP203"/>
  <c r="AB204"/>
  <c r="AC204"/>
  <c r="AD204"/>
  <c r="AE204"/>
  <c r="AF204"/>
  <c r="AG204"/>
  <c r="AH204"/>
  <c r="AI204"/>
  <c r="AK204"/>
  <c r="AL204"/>
  <c r="AN204"/>
  <c r="AP204"/>
  <c r="AB205"/>
  <c r="AC205"/>
  <c r="AD205"/>
  <c r="AE205"/>
  <c r="AF205"/>
  <c r="AG205"/>
  <c r="AH205"/>
  <c r="AI205"/>
  <c r="AK205"/>
  <c r="AL205"/>
  <c r="AN205"/>
  <c r="AP205"/>
  <c r="AB206"/>
  <c r="AC206"/>
  <c r="AD206"/>
  <c r="AE206"/>
  <c r="AF206"/>
  <c r="AG206"/>
  <c r="AH206"/>
  <c r="AI206"/>
  <c r="AK206"/>
  <c r="AL206"/>
  <c r="AN206"/>
  <c r="AP206"/>
  <c r="AB207"/>
  <c r="AC207"/>
  <c r="AD207"/>
  <c r="AE207"/>
  <c r="AF207"/>
  <c r="AG207"/>
  <c r="AH207"/>
  <c r="AI207"/>
  <c r="AK207"/>
  <c r="AL207"/>
  <c r="AN207"/>
  <c r="AP207"/>
  <c r="AB208"/>
  <c r="AC208"/>
  <c r="AD208"/>
  <c r="AE208"/>
  <c r="AF208"/>
  <c r="AG208"/>
  <c r="AH208"/>
  <c r="AI208"/>
  <c r="AK208"/>
  <c r="AL208"/>
  <c r="AN208"/>
  <c r="AP208"/>
  <c r="AB209"/>
  <c r="AC209"/>
  <c r="AD209"/>
  <c r="AE209"/>
  <c r="AF209"/>
  <c r="AG209"/>
  <c r="AH209"/>
  <c r="AI209"/>
  <c r="AK209"/>
  <c r="AL209"/>
  <c r="AN209"/>
  <c r="AP209"/>
  <c r="AB210"/>
  <c r="AC210"/>
  <c r="AD210"/>
  <c r="AE210"/>
  <c r="AF210"/>
  <c r="AG210"/>
  <c r="AH210"/>
  <c r="AI210"/>
  <c r="AK210"/>
  <c r="AL210"/>
  <c r="AN210"/>
  <c r="AP210"/>
  <c r="AB211"/>
  <c r="AC211"/>
  <c r="AD211"/>
  <c r="AE211"/>
  <c r="AF211"/>
  <c r="AG211"/>
  <c r="AH211"/>
  <c r="AI211"/>
  <c r="AK211"/>
  <c r="AL211"/>
  <c r="AN211"/>
  <c r="AP211"/>
  <c r="AB212"/>
  <c r="AC212"/>
  <c r="AD212"/>
  <c r="AE212"/>
  <c r="AF212"/>
  <c r="AG212"/>
  <c r="AH212"/>
  <c r="AI212"/>
  <c r="AK212"/>
  <c r="AL212"/>
  <c r="AN212"/>
  <c r="AP212"/>
  <c r="AB213"/>
  <c r="AC213"/>
  <c r="AD213"/>
  <c r="AE213"/>
  <c r="AF213"/>
  <c r="AG213"/>
  <c r="AH213"/>
  <c r="AI213"/>
  <c r="AK213"/>
  <c r="AL213"/>
  <c r="AN213"/>
  <c r="AP213"/>
  <c r="AB214"/>
  <c r="AC214"/>
  <c r="AD214"/>
  <c r="AE214"/>
  <c r="AF214"/>
  <c r="AG214"/>
  <c r="AH214"/>
  <c r="AI214"/>
  <c r="AK214"/>
  <c r="AL214"/>
  <c r="AN214"/>
  <c r="AP214"/>
  <c r="AB215"/>
  <c r="AC215"/>
  <c r="AD215"/>
  <c r="AE215"/>
  <c r="AF215"/>
  <c r="AG215"/>
  <c r="AH215"/>
  <c r="AI215"/>
  <c r="AK215"/>
  <c r="AL215"/>
  <c r="AN215"/>
  <c r="AP215"/>
  <c r="AB216"/>
  <c r="AC216"/>
  <c r="AD216"/>
  <c r="AE216"/>
  <c r="AF216"/>
  <c r="AG216"/>
  <c r="AH216"/>
  <c r="AI216"/>
  <c r="AK216"/>
  <c r="AL216"/>
  <c r="AN216"/>
  <c r="AP216"/>
  <c r="AB217"/>
  <c r="AC217"/>
  <c r="AD217"/>
  <c r="AE217"/>
  <c r="AF217"/>
  <c r="AG217"/>
  <c r="AH217"/>
  <c r="AI217"/>
  <c r="AK217"/>
  <c r="AL217"/>
  <c r="AN217"/>
  <c r="AP217"/>
  <c r="AB218"/>
  <c r="AC218"/>
  <c r="AD218"/>
  <c r="AE218"/>
  <c r="AF218"/>
  <c r="AG218"/>
  <c r="AH218"/>
  <c r="AI218"/>
  <c r="AK218"/>
  <c r="AL218"/>
  <c r="AN218"/>
  <c r="AP218"/>
  <c r="AB219"/>
  <c r="AC219"/>
  <c r="AD219"/>
  <c r="AE219"/>
  <c r="AF219"/>
  <c r="AG219"/>
  <c r="AH219"/>
  <c r="AI219"/>
  <c r="AK219"/>
  <c r="AL219"/>
  <c r="AN219"/>
  <c r="AP219"/>
  <c r="AB220"/>
  <c r="AC220"/>
  <c r="AD220"/>
  <c r="AE220"/>
  <c r="AF220"/>
  <c r="AG220"/>
  <c r="AH220"/>
  <c r="AI220"/>
  <c r="AK220"/>
  <c r="AL220"/>
  <c r="AN220"/>
  <c r="AP220"/>
  <c r="AB221"/>
  <c r="AC221"/>
  <c r="AD221"/>
  <c r="AE221"/>
  <c r="AF221"/>
  <c r="AG221"/>
  <c r="AH221"/>
  <c r="AI221"/>
  <c r="AK221"/>
  <c r="AL221"/>
  <c r="AN221"/>
  <c r="AP221"/>
  <c r="AB222"/>
  <c r="AC222"/>
  <c r="AD222"/>
  <c r="AE222"/>
  <c r="AF222"/>
  <c r="AG222"/>
  <c r="AH222"/>
  <c r="AI222"/>
  <c r="AK222"/>
  <c r="AL222"/>
  <c r="AN222"/>
  <c r="AP222"/>
  <c r="AB223"/>
  <c r="AC223"/>
  <c r="AD223"/>
  <c r="AE223"/>
  <c r="AF223"/>
  <c r="AG223"/>
  <c r="AH223"/>
  <c r="AI223"/>
  <c r="AK223"/>
  <c r="AL223"/>
  <c r="AN223"/>
  <c r="AP223"/>
  <c r="AB224"/>
  <c r="AC224"/>
  <c r="AD224"/>
  <c r="AE224"/>
  <c r="AF224"/>
  <c r="AG224"/>
  <c r="AH224"/>
  <c r="AI224"/>
  <c r="AK224"/>
  <c r="AL224"/>
  <c r="AN224"/>
  <c r="AP224"/>
  <c r="AB225"/>
  <c r="AC225"/>
  <c r="AD225"/>
  <c r="AE225"/>
  <c r="AF225"/>
  <c r="AG225"/>
  <c r="AH225"/>
  <c r="AI225"/>
  <c r="AK225"/>
  <c r="AL225"/>
  <c r="AN225"/>
  <c r="AP225"/>
  <c r="AB226"/>
  <c r="AC226"/>
  <c r="AD226"/>
  <c r="AE226"/>
  <c r="AF226"/>
  <c r="AG226"/>
  <c r="AH226"/>
  <c r="AI226"/>
  <c r="AK226"/>
  <c r="AL226"/>
  <c r="AN226"/>
  <c r="AP226"/>
  <c r="AB227"/>
  <c r="AC227"/>
  <c r="AD227"/>
  <c r="AE227"/>
  <c r="AF227"/>
  <c r="AG227"/>
  <c r="AH227"/>
  <c r="AI227"/>
  <c r="AK227"/>
  <c r="AL227"/>
  <c r="AN227"/>
  <c r="AP227"/>
  <c r="AB228"/>
  <c r="AC228"/>
  <c r="AD228"/>
  <c r="AE228"/>
  <c r="AF228"/>
  <c r="AG228"/>
  <c r="AH228"/>
  <c r="AI228"/>
  <c r="AK228"/>
  <c r="AL228"/>
  <c r="AN228"/>
  <c r="AP228"/>
  <c r="AB229"/>
  <c r="AC229"/>
  <c r="AD229"/>
  <c r="AE229"/>
  <c r="AF229"/>
  <c r="AG229"/>
  <c r="AH229"/>
  <c r="AI229"/>
  <c r="AK229"/>
  <c r="AL229"/>
  <c r="AN229"/>
  <c r="AP229"/>
  <c r="AB230"/>
  <c r="AC230"/>
  <c r="AD230"/>
  <c r="AE230"/>
  <c r="AF230"/>
  <c r="AG230"/>
  <c r="AH230"/>
  <c r="AI230"/>
  <c r="AK230"/>
  <c r="AL230"/>
  <c r="AN230"/>
  <c r="AP230"/>
  <c r="AB231"/>
  <c r="AC231"/>
  <c r="AD231"/>
  <c r="AE231"/>
  <c r="AF231"/>
  <c r="AG231"/>
  <c r="AH231"/>
  <c r="AI231"/>
  <c r="AK231"/>
  <c r="AL231"/>
  <c r="AN231"/>
  <c r="AP231"/>
  <c r="AB232"/>
  <c r="AC232"/>
  <c r="AD232"/>
  <c r="AE232"/>
  <c r="AF232"/>
  <c r="AG232"/>
  <c r="AH232"/>
  <c r="AI232"/>
  <c r="AK232"/>
  <c r="AL232"/>
  <c r="AN232"/>
  <c r="AP232"/>
  <c r="AB233"/>
  <c r="AC233"/>
  <c r="AD233"/>
  <c r="AE233"/>
  <c r="AF233"/>
  <c r="AG233"/>
  <c r="AH233"/>
  <c r="AI233"/>
  <c r="AK233"/>
  <c r="AL233"/>
  <c r="AN233"/>
  <c r="AP233"/>
  <c r="AB234"/>
  <c r="AC234"/>
  <c r="AD234"/>
  <c r="AE234"/>
  <c r="AF234"/>
  <c r="AG234"/>
  <c r="AH234"/>
  <c r="AI234"/>
  <c r="AK234"/>
  <c r="AL234"/>
  <c r="AN234"/>
  <c r="AP234"/>
  <c r="AB235"/>
  <c r="AC235"/>
  <c r="AD235"/>
  <c r="AE235"/>
  <c r="AF235"/>
  <c r="AG235"/>
  <c r="AH235"/>
  <c r="AI235"/>
  <c r="AK235"/>
  <c r="AL235"/>
  <c r="AN235"/>
  <c r="AP235"/>
  <c r="AB236"/>
  <c r="AC236"/>
  <c r="AD236"/>
  <c r="AE236"/>
  <c r="AF236"/>
  <c r="AG236"/>
  <c r="AH236"/>
  <c r="AI236"/>
  <c r="AK236"/>
  <c r="AL236"/>
  <c r="AN236"/>
  <c r="AP236"/>
  <c r="AB237"/>
  <c r="AC237"/>
  <c r="AD237"/>
  <c r="AE237"/>
  <c r="AF237"/>
  <c r="AG237"/>
  <c r="AH237"/>
  <c r="AI237"/>
  <c r="AK237"/>
  <c r="AL237"/>
  <c r="AN237"/>
  <c r="AP237"/>
  <c r="AB238"/>
  <c r="AC238"/>
  <c r="AD238"/>
  <c r="AE238"/>
  <c r="AF238"/>
  <c r="AG238"/>
  <c r="AH238"/>
  <c r="AI238"/>
  <c r="AK238"/>
  <c r="AL238"/>
  <c r="AN238"/>
  <c r="AP238"/>
  <c r="AB239"/>
  <c r="AC239"/>
  <c r="AD239"/>
  <c r="AE239"/>
  <c r="AF239"/>
  <c r="AG239"/>
  <c r="AH239"/>
  <c r="AI239"/>
  <c r="AK239"/>
  <c r="AL239"/>
  <c r="AN239"/>
  <c r="AP239"/>
  <c r="AB240"/>
  <c r="AC240"/>
  <c r="AD240"/>
  <c r="AE240"/>
  <c r="AF240"/>
  <c r="AG240"/>
  <c r="AH240"/>
  <c r="AI240"/>
  <c r="AK240"/>
  <c r="AL240"/>
  <c r="AN240"/>
  <c r="AP240"/>
  <c r="AB241"/>
  <c r="AC241"/>
  <c r="AD241"/>
  <c r="AE241"/>
  <c r="AF241"/>
  <c r="AG241"/>
  <c r="AH241"/>
  <c r="AI241"/>
  <c r="AK241"/>
  <c r="AL241"/>
  <c r="AN241"/>
  <c r="AP241"/>
  <c r="AB242"/>
  <c r="AC242"/>
  <c r="AD242"/>
  <c r="AE242"/>
  <c r="AF242"/>
  <c r="AG242"/>
  <c r="AH242"/>
  <c r="AI242"/>
  <c r="AK242"/>
  <c r="AL242"/>
  <c r="AN242"/>
  <c r="AP242"/>
  <c r="AB243"/>
  <c r="AC243"/>
  <c r="AD243"/>
  <c r="AE243"/>
  <c r="AF243"/>
  <c r="AG243"/>
  <c r="AH243"/>
  <c r="AI243"/>
  <c r="AK243"/>
  <c r="AL243"/>
  <c r="AN243"/>
  <c r="AP243"/>
  <c r="AB244"/>
  <c r="AC244"/>
  <c r="AD244"/>
  <c r="AE244"/>
  <c r="AF244"/>
  <c r="AG244"/>
  <c r="AH244"/>
  <c r="AI244"/>
  <c r="AK244"/>
  <c r="AL244"/>
  <c r="AN244"/>
  <c r="AP244"/>
  <c r="AB245"/>
  <c r="AC245"/>
  <c r="AD245"/>
  <c r="AE245"/>
  <c r="AF245"/>
  <c r="AG245"/>
  <c r="AH245"/>
  <c r="AI245"/>
  <c r="AK245"/>
  <c r="AL245"/>
  <c r="AN245"/>
  <c r="AP245"/>
  <c r="AB246"/>
  <c r="AC246"/>
  <c r="AD246"/>
  <c r="AE246"/>
  <c r="AF246"/>
  <c r="AG246"/>
  <c r="AH246"/>
  <c r="AI246"/>
  <c r="AK246"/>
  <c r="AL246"/>
  <c r="AN246"/>
  <c r="AP246"/>
  <c r="AB247"/>
  <c r="AC247"/>
  <c r="AD247"/>
  <c r="AE247"/>
  <c r="AF247"/>
  <c r="AG247"/>
  <c r="AH247"/>
  <c r="AI247"/>
  <c r="AK247"/>
  <c r="AL247"/>
  <c r="AN247"/>
  <c r="AP247"/>
  <c r="AB248"/>
  <c r="AC248"/>
  <c r="AD248"/>
  <c r="AE248"/>
  <c r="AF248"/>
  <c r="AG248"/>
  <c r="AH248"/>
  <c r="AI248"/>
  <c r="AK248"/>
  <c r="AL248"/>
  <c r="AN248"/>
  <c r="AP248"/>
  <c r="AB249"/>
  <c r="AC249"/>
  <c r="AD249"/>
  <c r="AE249"/>
  <c r="AF249"/>
  <c r="AG249"/>
  <c r="AH249"/>
  <c r="AI249"/>
  <c r="AK249"/>
  <c r="AL249"/>
  <c r="AN249"/>
  <c r="AP249"/>
  <c r="AB250"/>
  <c r="AC250"/>
  <c r="AD250"/>
  <c r="AE250"/>
  <c r="AF250"/>
  <c r="AG250"/>
  <c r="AH250"/>
  <c r="AI250"/>
  <c r="AK250"/>
  <c r="AL250"/>
  <c r="AN250"/>
  <c r="AP250"/>
  <c r="AP2"/>
  <c r="AN2"/>
  <c r="AL2"/>
  <c r="AK2"/>
  <c r="AI2"/>
  <c r="AH2"/>
  <c r="AG2"/>
  <c r="AF2"/>
  <c r="AE2"/>
  <c r="AQ161" l="1"/>
  <c r="AQ29"/>
  <c r="AJ3"/>
  <c r="AJ169"/>
  <c r="AJ168"/>
  <c r="AJ167"/>
  <c r="AJ166"/>
  <c r="AJ165"/>
  <c r="AJ164"/>
  <c r="AJ163"/>
  <c r="AJ162"/>
  <c r="AQ157"/>
  <c r="AQ145"/>
  <c r="AQ225"/>
  <c r="AQ93"/>
  <c r="AQ221"/>
  <c r="AQ209"/>
  <c r="AQ129"/>
  <c r="AQ125"/>
  <c r="AJ113"/>
  <c r="AJ105"/>
  <c r="AJ104"/>
  <c r="AJ103"/>
  <c r="AJ102"/>
  <c r="AJ101"/>
  <c r="AJ100"/>
  <c r="AJ99"/>
  <c r="AJ98"/>
  <c r="AJ97"/>
  <c r="AQ193"/>
  <c r="AQ189"/>
  <c r="AJ249"/>
  <c r="AJ248"/>
  <c r="AJ247"/>
  <c r="AJ246"/>
  <c r="AQ237"/>
  <c r="AJ233"/>
  <c r="AQ233"/>
  <c r="AJ232"/>
  <c r="AJ231"/>
  <c r="AJ230"/>
  <c r="AJ229"/>
  <c r="AJ228"/>
  <c r="AJ227"/>
  <c r="AJ226"/>
  <c r="AQ241"/>
  <c r="AQ177"/>
  <c r="AQ77"/>
  <c r="AJ73"/>
  <c r="AJ72"/>
  <c r="AJ71"/>
  <c r="AJ70"/>
  <c r="AJ69"/>
  <c r="AJ68"/>
  <c r="AJ67"/>
  <c r="AJ66"/>
  <c r="AJ65"/>
  <c r="AJ64"/>
  <c r="AJ63"/>
  <c r="AJ62"/>
  <c r="AQ61"/>
  <c r="AJ57"/>
  <c r="AJ56"/>
  <c r="AJ55"/>
  <c r="AJ54"/>
  <c r="AJ53"/>
  <c r="AJ52"/>
  <c r="AJ51"/>
  <c r="AJ50"/>
  <c r="AJ49"/>
  <c r="AJ48"/>
  <c r="AJ47"/>
  <c r="AQ45"/>
  <c r="AJ41"/>
  <c r="AJ40"/>
  <c r="AJ39"/>
  <c r="AJ38"/>
  <c r="AJ37"/>
  <c r="AJ36"/>
  <c r="AJ35"/>
  <c r="AJ34"/>
  <c r="AJ33"/>
  <c r="AJ32"/>
  <c r="AJ31"/>
  <c r="AJ30"/>
  <c r="AQ173"/>
  <c r="AQ113"/>
  <c r="AQ109"/>
  <c r="AQ97"/>
  <c r="AQ205"/>
  <c r="AJ201"/>
  <c r="AJ200"/>
  <c r="AJ199"/>
  <c r="AJ198"/>
  <c r="AJ197"/>
  <c r="AJ196"/>
  <c r="AJ195"/>
  <c r="AJ194"/>
  <c r="AQ141"/>
  <c r="AJ137"/>
  <c r="AJ136"/>
  <c r="AJ135"/>
  <c r="AJ134"/>
  <c r="AJ133"/>
  <c r="AJ132"/>
  <c r="AJ131"/>
  <c r="AJ130"/>
  <c r="AQ13"/>
  <c r="AQ249"/>
  <c r="AJ245"/>
  <c r="AQ245"/>
  <c r="AJ244"/>
  <c r="AJ243"/>
  <c r="AQ243"/>
  <c r="AJ242"/>
  <c r="AJ217"/>
  <c r="AQ217"/>
  <c r="AJ216"/>
  <c r="AJ215"/>
  <c r="AJ214"/>
  <c r="AJ213"/>
  <c r="AQ213"/>
  <c r="AJ212"/>
  <c r="AJ211"/>
  <c r="AJ210"/>
  <c r="AJ185"/>
  <c r="AQ185"/>
  <c r="AJ184"/>
  <c r="AJ183"/>
  <c r="AJ182"/>
  <c r="AJ181"/>
  <c r="AQ181"/>
  <c r="AJ180"/>
  <c r="AJ179"/>
  <c r="AJ178"/>
  <c r="AJ153"/>
  <c r="AQ153"/>
  <c r="AJ152"/>
  <c r="AJ151"/>
  <c r="AJ150"/>
  <c r="AJ149"/>
  <c r="AQ149"/>
  <c r="AJ148"/>
  <c r="AJ147"/>
  <c r="AJ146"/>
  <c r="AJ121"/>
  <c r="AQ121"/>
  <c r="AJ120"/>
  <c r="AJ119"/>
  <c r="AJ118"/>
  <c r="AJ117"/>
  <c r="AQ117"/>
  <c r="AJ116"/>
  <c r="AJ115"/>
  <c r="AJ114"/>
  <c r="AJ89"/>
  <c r="AQ89"/>
  <c r="AJ88"/>
  <c r="AJ87"/>
  <c r="AJ86"/>
  <c r="AJ85"/>
  <c r="AQ85"/>
  <c r="AJ84"/>
  <c r="AJ83"/>
  <c r="AJ82"/>
  <c r="AJ81"/>
  <c r="AQ81"/>
  <c r="AJ80"/>
  <c r="AJ79"/>
  <c r="AJ25"/>
  <c r="AQ25"/>
  <c r="AJ24"/>
  <c r="AJ23"/>
  <c r="AJ22"/>
  <c r="AJ21"/>
  <c r="AQ21"/>
  <c r="AJ20"/>
  <c r="AJ19"/>
  <c r="AJ18"/>
  <c r="AJ17"/>
  <c r="AQ17"/>
  <c r="AJ16"/>
  <c r="AJ15"/>
  <c r="AJ14"/>
  <c r="AQ41"/>
  <c r="AQ37"/>
  <c r="AQ33"/>
  <c r="AQ229"/>
  <c r="AQ201"/>
  <c r="AQ197"/>
  <c r="AQ169"/>
  <c r="AQ165"/>
  <c r="AQ137"/>
  <c r="AQ133"/>
  <c r="AQ105"/>
  <c r="AQ101"/>
  <c r="AQ57"/>
  <c r="AQ53"/>
  <c r="AQ49"/>
  <c r="AQ73"/>
  <c r="AQ69"/>
  <c r="AQ65"/>
  <c r="AQ7"/>
  <c r="AJ250"/>
  <c r="AQ250"/>
  <c r="AJ237"/>
  <c r="AJ236"/>
  <c r="AJ235"/>
  <c r="AQ235"/>
  <c r="AJ234"/>
  <c r="AJ221"/>
  <c r="AJ220"/>
  <c r="AJ219"/>
  <c r="AQ219"/>
  <c r="AJ218"/>
  <c r="AJ205"/>
  <c r="AJ204"/>
  <c r="AJ203"/>
  <c r="AQ203"/>
  <c r="AJ202"/>
  <c r="AJ189"/>
  <c r="AJ188"/>
  <c r="AJ187"/>
  <c r="AQ187"/>
  <c r="AJ186"/>
  <c r="AJ173"/>
  <c r="AJ172"/>
  <c r="AJ171"/>
  <c r="AQ171"/>
  <c r="AJ170"/>
  <c r="AJ157"/>
  <c r="AJ156"/>
  <c r="AJ155"/>
  <c r="AQ155"/>
  <c r="AJ154"/>
  <c r="AJ141"/>
  <c r="AJ140"/>
  <c r="AJ139"/>
  <c r="AQ139"/>
  <c r="AJ138"/>
  <c r="AJ125"/>
  <c r="AJ124"/>
  <c r="AJ123"/>
  <c r="AQ123"/>
  <c r="AJ122"/>
  <c r="AJ109"/>
  <c r="AJ108"/>
  <c r="AJ107"/>
  <c r="AQ107"/>
  <c r="AJ106"/>
  <c r="AJ93"/>
  <c r="AJ92"/>
  <c r="AJ91"/>
  <c r="AQ91"/>
  <c r="AJ90"/>
  <c r="AJ77"/>
  <c r="AJ76"/>
  <c r="AJ75"/>
  <c r="AQ75"/>
  <c r="AJ74"/>
  <c r="AJ61"/>
  <c r="AJ60"/>
  <c r="AJ59"/>
  <c r="AQ59"/>
  <c r="AJ58"/>
  <c r="AJ45"/>
  <c r="AJ44"/>
  <c r="AJ43"/>
  <c r="AQ43"/>
  <c r="AJ42"/>
  <c r="AJ29"/>
  <c r="AJ28"/>
  <c r="AJ27"/>
  <c r="AQ27"/>
  <c r="AJ26"/>
  <c r="AJ13"/>
  <c r="AJ12"/>
  <c r="AJ11"/>
  <c r="AQ11"/>
  <c r="AJ10"/>
  <c r="AJ9"/>
  <c r="AQ9"/>
  <c r="AJ8"/>
  <c r="AJ241"/>
  <c r="AJ240"/>
  <c r="AJ239"/>
  <c r="AQ239"/>
  <c r="AJ238"/>
  <c r="AJ225"/>
  <c r="AJ224"/>
  <c r="AJ223"/>
  <c r="AQ223"/>
  <c r="AJ222"/>
  <c r="AJ209"/>
  <c r="AJ208"/>
  <c r="AJ207"/>
  <c r="AQ207"/>
  <c r="AJ206"/>
  <c r="AJ193"/>
  <c r="AJ192"/>
  <c r="AJ191"/>
  <c r="AQ191"/>
  <c r="AJ190"/>
  <c r="AJ177"/>
  <c r="AJ176"/>
  <c r="AJ175"/>
  <c r="AQ175"/>
  <c r="AJ174"/>
  <c r="AJ161"/>
  <c r="AJ160"/>
  <c r="AJ159"/>
  <c r="AQ159"/>
  <c r="AJ158"/>
  <c r="AJ145"/>
  <c r="AJ144"/>
  <c r="AJ143"/>
  <c r="AQ143"/>
  <c r="AJ142"/>
  <c r="AJ129"/>
  <c r="AJ128"/>
  <c r="AJ127"/>
  <c r="AQ127"/>
  <c r="AJ126"/>
  <c r="AJ112"/>
  <c r="AJ111"/>
  <c r="AQ111"/>
  <c r="AJ110"/>
  <c r="AJ96"/>
  <c r="AJ95"/>
  <c r="AQ95"/>
  <c r="AJ94"/>
  <c r="AQ79"/>
  <c r="AJ78"/>
  <c r="AQ63"/>
  <c r="AQ47"/>
  <c r="AJ46"/>
  <c r="AQ31"/>
  <c r="AQ15"/>
  <c r="AQ227"/>
  <c r="AQ211"/>
  <c r="AQ195"/>
  <c r="AQ179"/>
  <c r="AQ163"/>
  <c r="AQ147"/>
  <c r="AQ131"/>
  <c r="AQ115"/>
  <c r="AQ99"/>
  <c r="AQ83"/>
  <c r="AQ67"/>
  <c r="AQ51"/>
  <c r="AQ35"/>
  <c r="AQ19"/>
  <c r="AQ247"/>
  <c r="AQ246"/>
  <c r="AQ231"/>
  <c r="AQ215"/>
  <c r="AQ200"/>
  <c r="AQ199"/>
  <c r="AQ183"/>
  <c r="AQ167"/>
  <c r="AQ151"/>
  <c r="AQ135"/>
  <c r="AQ119"/>
  <c r="AQ103"/>
  <c r="AQ87"/>
  <c r="AQ71"/>
  <c r="AQ55"/>
  <c r="AQ39"/>
  <c r="AQ23"/>
  <c r="AQ3"/>
  <c r="AQ232"/>
  <c r="AQ224"/>
  <c r="AQ216"/>
  <c r="AJ7"/>
  <c r="AJ6"/>
  <c r="AQ6"/>
  <c r="AJ5"/>
  <c r="AJ4"/>
  <c r="AQ4"/>
  <c r="AQ242"/>
  <c r="AQ238"/>
  <c r="AQ230"/>
  <c r="AQ226"/>
  <c r="AQ222"/>
  <c r="AQ218"/>
  <c r="AQ210"/>
  <c r="AQ206"/>
  <c r="AQ202"/>
  <c r="AQ198"/>
  <c r="AQ194"/>
  <c r="AQ190"/>
  <c r="AQ186"/>
  <c r="AQ182"/>
  <c r="AQ178"/>
  <c r="AQ174"/>
  <c r="AQ170"/>
  <c r="AQ166"/>
  <c r="AQ162"/>
  <c r="AQ158"/>
  <c r="AQ154"/>
  <c r="AQ150"/>
  <c r="AQ146"/>
  <c r="AQ142"/>
  <c r="AQ138"/>
  <c r="AQ134"/>
  <c r="AQ130"/>
  <c r="AQ126"/>
  <c r="AQ122"/>
  <c r="AQ118"/>
  <c r="AQ114"/>
  <c r="AQ110"/>
  <c r="AQ106"/>
  <c r="AQ102"/>
  <c r="AQ98"/>
  <c r="AQ94"/>
  <c r="AQ90"/>
  <c r="AQ86"/>
  <c r="AQ82"/>
  <c r="AQ78"/>
  <c r="AQ74"/>
  <c r="AQ70"/>
  <c r="AQ66"/>
  <c r="AQ62"/>
  <c r="AQ58"/>
  <c r="AQ54"/>
  <c r="AQ50"/>
  <c r="AQ46"/>
  <c r="AQ42"/>
  <c r="AQ38"/>
  <c r="AQ34"/>
  <c r="AQ30"/>
  <c r="AQ26"/>
  <c r="AQ22"/>
  <c r="AQ18"/>
  <c r="AQ14"/>
  <c r="AQ8"/>
  <c r="AQ234"/>
  <c r="AQ214"/>
  <c r="AQ2"/>
  <c r="AJ2"/>
  <c r="AQ10"/>
  <c r="AQ248"/>
  <c r="AQ244"/>
  <c r="AQ240"/>
  <c r="AQ236"/>
  <c r="AQ228"/>
  <c r="AQ220"/>
  <c r="AQ212"/>
  <c r="AQ208"/>
  <c r="AQ204"/>
  <c r="AQ196"/>
  <c r="AQ192"/>
  <c r="AQ188"/>
  <c r="AQ184"/>
  <c r="AQ180"/>
  <c r="AQ176"/>
  <c r="AQ172"/>
  <c r="AQ168"/>
  <c r="AQ164"/>
  <c r="AQ160"/>
  <c r="AQ156"/>
  <c r="AQ152"/>
  <c r="AQ148"/>
  <c r="AQ144"/>
  <c r="AQ140"/>
  <c r="AQ136"/>
  <c r="AQ132"/>
  <c r="AQ128"/>
  <c r="AQ124"/>
  <c r="AQ120"/>
  <c r="AQ116"/>
  <c r="AQ112"/>
  <c r="AQ108"/>
  <c r="AQ104"/>
  <c r="AQ100"/>
  <c r="AQ96"/>
  <c r="AQ92"/>
  <c r="AQ88"/>
  <c r="AQ84"/>
  <c r="AQ80"/>
  <c r="AQ76"/>
  <c r="AQ72"/>
  <c r="AQ68"/>
  <c r="AQ64"/>
  <c r="AQ60"/>
  <c r="AQ56"/>
  <c r="AQ52"/>
  <c r="AQ48"/>
  <c r="AQ44"/>
  <c r="AQ40"/>
  <c r="AQ36"/>
  <c r="AQ32"/>
  <c r="AQ28"/>
  <c r="AQ24"/>
  <c r="AQ20"/>
  <c r="AQ16"/>
  <c r="AQ12"/>
  <c r="AQ5"/>
  <c r="AA1" l="1"/>
  <c r="H6" i="14"/>
  <c r="G6"/>
  <c r="A4"/>
  <c r="G4" s="1"/>
  <c r="A2"/>
  <c r="AF3" i="13"/>
  <c r="D2" i="14"/>
  <c r="AD2" i="15"/>
  <c r="H4" i="14" l="1"/>
  <c r="AC2" i="15"/>
  <c r="AB2"/>
  <c r="D20" i="14"/>
  <c r="E20" s="1"/>
  <c r="C20"/>
  <c r="C2"/>
  <c r="E2" s="1"/>
  <c r="G2" s="1"/>
  <c r="H2" s="1"/>
  <c r="I2" l="1"/>
  <c r="J2"/>
  <c r="L2" s="1"/>
  <c r="AD6" i="12"/>
  <c r="AD7"/>
  <c r="AD8"/>
  <c r="AD9"/>
  <c r="AD10"/>
  <c r="AD11"/>
  <c r="AD12"/>
  <c r="AD13"/>
  <c r="AD14"/>
  <c r="AD15"/>
  <c r="AD16"/>
  <c r="AD5"/>
  <c r="AC6"/>
  <c r="AC7"/>
  <c r="AC8"/>
  <c r="AC9"/>
  <c r="AC10"/>
  <c r="AC11"/>
  <c r="AC12"/>
  <c r="AC13"/>
  <c r="AC14"/>
  <c r="AC15"/>
  <c r="AC16"/>
  <c r="AC5"/>
  <c r="AE6" i="13" l="1"/>
  <c r="AE7"/>
  <c r="AE8"/>
  <c r="AE9"/>
  <c r="AE10"/>
  <c r="AE11"/>
  <c r="AE12"/>
  <c r="AE13"/>
  <c r="AE14"/>
  <c r="AE15"/>
  <c r="AE16"/>
  <c r="AE17"/>
  <c r="AE18"/>
  <c r="AE19"/>
  <c r="AE20"/>
  <c r="AE21"/>
  <c r="AE22"/>
  <c r="AE23"/>
  <c r="AE24"/>
  <c r="AE25"/>
  <c r="AE26"/>
  <c r="AE27"/>
  <c r="AE28"/>
  <c r="AE29"/>
  <c r="AE30"/>
  <c r="AE31"/>
  <c r="AE32"/>
  <c r="AE33"/>
  <c r="AE34"/>
  <c r="AE35"/>
  <c r="AE36"/>
  <c r="AE37"/>
  <c r="AE38"/>
  <c r="AE39"/>
  <c r="AE40"/>
  <c r="AE41"/>
  <c r="AE42"/>
  <c r="AE43"/>
  <c r="AE44"/>
  <c r="AE45"/>
  <c r="AE46"/>
  <c r="AE47"/>
  <c r="AE48"/>
  <c r="AE49"/>
  <c r="AE50"/>
  <c r="AE51"/>
  <c r="AE52"/>
  <c r="AE53"/>
  <c r="AE54"/>
  <c r="AE55"/>
  <c r="AE56"/>
  <c r="AE57"/>
  <c r="AE58"/>
  <c r="AE59"/>
  <c r="AE60"/>
  <c r="AE61"/>
  <c r="AE62"/>
  <c r="AE63"/>
  <c r="AE64"/>
  <c r="AE65"/>
  <c r="AE66"/>
  <c r="AE67"/>
  <c r="AE68"/>
  <c r="AE69"/>
  <c r="AE70"/>
  <c r="AE71"/>
  <c r="AE72"/>
  <c r="AE73"/>
  <c r="AE74"/>
  <c r="AE75"/>
  <c r="AE76"/>
  <c r="AE77"/>
  <c r="AE78"/>
  <c r="AE79"/>
  <c r="AE80"/>
  <c r="AE81"/>
  <c r="AE82"/>
  <c r="AE83"/>
  <c r="AE84"/>
  <c r="AE85"/>
  <c r="AE86"/>
  <c r="AE87"/>
  <c r="AE88"/>
  <c r="AE89"/>
  <c r="AE90"/>
  <c r="AE91"/>
  <c r="AE92"/>
  <c r="AE93"/>
  <c r="AE94"/>
  <c r="AE95"/>
  <c r="AE96"/>
  <c r="AE97"/>
  <c r="AE98"/>
  <c r="AE99"/>
  <c r="AE100"/>
  <c r="AE101"/>
  <c r="AE102"/>
  <c r="AE103"/>
  <c r="AE104"/>
  <c r="AE105"/>
  <c r="AE106"/>
  <c r="AE107"/>
  <c r="AE108"/>
  <c r="AE109"/>
  <c r="AE110"/>
  <c r="AE111"/>
  <c r="AE112"/>
  <c r="AE113"/>
  <c r="AE114"/>
  <c r="AE115"/>
  <c r="AE116"/>
  <c r="AE117"/>
  <c r="AE118"/>
  <c r="AE119"/>
  <c r="AE120"/>
  <c r="AE121"/>
  <c r="AE122"/>
  <c r="AE123"/>
  <c r="AE124"/>
  <c r="AE125"/>
  <c r="AE126"/>
  <c r="AE127"/>
  <c r="AE128"/>
  <c r="AE129"/>
  <c r="AE130"/>
  <c r="AE131"/>
  <c r="AE132"/>
  <c r="AE133"/>
  <c r="AE134"/>
  <c r="AE135"/>
  <c r="AE136"/>
  <c r="AE137"/>
  <c r="AE138"/>
  <c r="AE139"/>
  <c r="AE140"/>
  <c r="AE141"/>
  <c r="AE142"/>
  <c r="AE143"/>
  <c r="AE144"/>
  <c r="AE145"/>
  <c r="AE146"/>
  <c r="AE147"/>
  <c r="AE148"/>
  <c r="AE149"/>
  <c r="AE150"/>
  <c r="AE151"/>
  <c r="AE152"/>
  <c r="AE153"/>
  <c r="AE154"/>
  <c r="AE155"/>
  <c r="AE156"/>
  <c r="AE157"/>
  <c r="AE158"/>
  <c r="AE159"/>
  <c r="AE160"/>
  <c r="AE161"/>
  <c r="AE162"/>
  <c r="AE163"/>
  <c r="AE164"/>
  <c r="AE165"/>
  <c r="AE166"/>
  <c r="AE167"/>
  <c r="AE168"/>
  <c r="AE169"/>
  <c r="AE170"/>
  <c r="AE171"/>
  <c r="AE172"/>
  <c r="AE173"/>
  <c r="AE174"/>
  <c r="AE175"/>
  <c r="AE176"/>
  <c r="AE177"/>
  <c r="AE178"/>
  <c r="AE179"/>
  <c r="AE180"/>
  <c r="AE181"/>
  <c r="AE182"/>
  <c r="AE183"/>
  <c r="AE184"/>
  <c r="AE185"/>
  <c r="AE186"/>
  <c r="AE187"/>
  <c r="AE188"/>
  <c r="AE189"/>
  <c r="AE190"/>
  <c r="AE191"/>
  <c r="AE192"/>
  <c r="AE193"/>
  <c r="AE194"/>
  <c r="AE195"/>
  <c r="AE196"/>
  <c r="AE197"/>
  <c r="AE198"/>
  <c r="AE199"/>
  <c r="AE200"/>
  <c r="AE5"/>
  <c r="Z2" i="4"/>
  <c r="AF13" i="13"/>
  <c r="AG13"/>
  <c r="BF13"/>
  <c r="AH13" s="1"/>
  <c r="BG13"/>
  <c r="AJ13" s="1"/>
  <c r="BN13"/>
  <c r="AQ13" s="1"/>
  <c r="BS13"/>
  <c r="AM13" s="1"/>
  <c r="BT13"/>
  <c r="CT13"/>
  <c r="CU13"/>
  <c r="CY13"/>
  <c r="AF14"/>
  <c r="AG14"/>
  <c r="BF14"/>
  <c r="AH14" s="1"/>
  <c r="BG14"/>
  <c r="BN14"/>
  <c r="AQ14" s="1"/>
  <c r="BS14"/>
  <c r="AM14" s="1"/>
  <c r="BT14"/>
  <c r="AO14" s="1"/>
  <c r="CT14"/>
  <c r="CU14"/>
  <c r="AF15"/>
  <c r="AG15"/>
  <c r="BF15"/>
  <c r="AH15" s="1"/>
  <c r="BG15"/>
  <c r="AJ15" s="1"/>
  <c r="BN15"/>
  <c r="BS15"/>
  <c r="CY15" s="1"/>
  <c r="BT15"/>
  <c r="AO15" s="1"/>
  <c r="CT15"/>
  <c r="CU15"/>
  <c r="AF16"/>
  <c r="AG16"/>
  <c r="BF16"/>
  <c r="BI16" s="1"/>
  <c r="BG16"/>
  <c r="AJ16" s="1"/>
  <c r="BN16"/>
  <c r="BS16"/>
  <c r="AM16" s="1"/>
  <c r="BT16"/>
  <c r="CT16"/>
  <c r="CU16"/>
  <c r="AF17"/>
  <c r="AG17"/>
  <c r="BF17"/>
  <c r="AH17" s="1"/>
  <c r="BG17"/>
  <c r="BN17"/>
  <c r="AQ17" s="1"/>
  <c r="BS17"/>
  <c r="AM17" s="1"/>
  <c r="BT17"/>
  <c r="AO17" s="1"/>
  <c r="CT17"/>
  <c r="CU17"/>
  <c r="AF18"/>
  <c r="AG18"/>
  <c r="BF18"/>
  <c r="AH18" s="1"/>
  <c r="BG18"/>
  <c r="BN18"/>
  <c r="AQ18" s="1"/>
  <c r="BS18"/>
  <c r="AM18" s="1"/>
  <c r="BT18"/>
  <c r="AO18" s="1"/>
  <c r="CT18"/>
  <c r="CU18"/>
  <c r="AF19"/>
  <c r="AG19"/>
  <c r="BF19"/>
  <c r="AH19" s="1"/>
  <c r="BG19"/>
  <c r="AJ19" s="1"/>
  <c r="BN19"/>
  <c r="BS19"/>
  <c r="AM19" s="1"/>
  <c r="BT19"/>
  <c r="AO19" s="1"/>
  <c r="CT19"/>
  <c r="CU19"/>
  <c r="AF20"/>
  <c r="AG20"/>
  <c r="BF20"/>
  <c r="AH20" s="1"/>
  <c r="BG20"/>
  <c r="BN20"/>
  <c r="BS20"/>
  <c r="AM20" s="1"/>
  <c r="BT20"/>
  <c r="CZ20" s="1"/>
  <c r="CT20"/>
  <c r="CU20"/>
  <c r="AF21"/>
  <c r="AG21"/>
  <c r="BF21"/>
  <c r="CV21" s="1"/>
  <c r="BG21"/>
  <c r="BN21"/>
  <c r="AQ21" s="1"/>
  <c r="BS21"/>
  <c r="AM21" s="1"/>
  <c r="BT21"/>
  <c r="AO21" s="1"/>
  <c r="CT21"/>
  <c r="CU21"/>
  <c r="CY21"/>
  <c r="CZ21"/>
  <c r="AF22"/>
  <c r="AG22"/>
  <c r="BF22"/>
  <c r="AH22" s="1"/>
  <c r="BG22"/>
  <c r="AJ22" s="1"/>
  <c r="BN22"/>
  <c r="AQ22" s="1"/>
  <c r="BS22"/>
  <c r="AM22" s="1"/>
  <c r="BT22"/>
  <c r="BR22" s="1"/>
  <c r="CT22"/>
  <c r="CU22"/>
  <c r="AF23"/>
  <c r="AG23"/>
  <c r="BF23"/>
  <c r="AH23" s="1"/>
  <c r="BG23"/>
  <c r="BN23"/>
  <c r="BS23"/>
  <c r="CY23" s="1"/>
  <c r="BT23"/>
  <c r="AO23" s="1"/>
  <c r="CT23"/>
  <c r="CU23"/>
  <c r="AF24"/>
  <c r="AG24"/>
  <c r="BF24"/>
  <c r="CV24" s="1"/>
  <c r="BG24"/>
  <c r="AJ24" s="1"/>
  <c r="BN24"/>
  <c r="BS24"/>
  <c r="AM24" s="1"/>
  <c r="BT24"/>
  <c r="CT24"/>
  <c r="CU24"/>
  <c r="CY24"/>
  <c r="CZ24"/>
  <c r="AF25"/>
  <c r="AG25"/>
  <c r="BF25"/>
  <c r="AH25" s="1"/>
  <c r="BG25"/>
  <c r="BN25"/>
  <c r="AQ25" s="1"/>
  <c r="BS25"/>
  <c r="AM25" s="1"/>
  <c r="BT25"/>
  <c r="AO25" s="1"/>
  <c r="CT25"/>
  <c r="CU25"/>
  <c r="AF26"/>
  <c r="AG26"/>
  <c r="BF26"/>
  <c r="AH26" s="1"/>
  <c r="BG26"/>
  <c r="BN26"/>
  <c r="AQ26" s="1"/>
  <c r="BS26"/>
  <c r="AM26" s="1"/>
  <c r="BT26"/>
  <c r="CT26"/>
  <c r="CU26"/>
  <c r="AF27"/>
  <c r="AG27"/>
  <c r="BF27"/>
  <c r="AH27" s="1"/>
  <c r="BG27"/>
  <c r="CW27" s="1"/>
  <c r="BN27"/>
  <c r="BS27"/>
  <c r="AM27" s="1"/>
  <c r="BT27"/>
  <c r="AO27" s="1"/>
  <c r="CT27"/>
  <c r="CU27"/>
  <c r="AF28"/>
  <c r="AG28"/>
  <c r="BF28"/>
  <c r="AH28" s="1"/>
  <c r="BG28"/>
  <c r="BN28"/>
  <c r="BS28"/>
  <c r="AM28" s="1"/>
  <c r="BT28"/>
  <c r="CT28"/>
  <c r="CU28"/>
  <c r="AF29"/>
  <c r="AG29"/>
  <c r="BF29"/>
  <c r="AH29" s="1"/>
  <c r="BG29"/>
  <c r="BN29"/>
  <c r="AQ29" s="1"/>
  <c r="BS29"/>
  <c r="AM29" s="1"/>
  <c r="BT29"/>
  <c r="BR29" s="1"/>
  <c r="CT29"/>
  <c r="CU29"/>
  <c r="AF30"/>
  <c r="AG30"/>
  <c r="BF30"/>
  <c r="AH30" s="1"/>
  <c r="BG30"/>
  <c r="BN30"/>
  <c r="AQ30" s="1"/>
  <c r="BS30"/>
  <c r="AM30" s="1"/>
  <c r="BT30"/>
  <c r="AO30" s="1"/>
  <c r="CT30"/>
  <c r="CU30"/>
  <c r="AF31"/>
  <c r="AG31"/>
  <c r="BF31"/>
  <c r="AH31" s="1"/>
  <c r="BG31"/>
  <c r="CW31" s="1"/>
  <c r="BN31"/>
  <c r="BS31"/>
  <c r="CY31" s="1"/>
  <c r="BT31"/>
  <c r="AO31" s="1"/>
  <c r="CT31"/>
  <c r="CU31"/>
  <c r="AF32"/>
  <c r="AG32"/>
  <c r="BF32"/>
  <c r="AH32" s="1"/>
  <c r="BG32"/>
  <c r="AJ32" s="1"/>
  <c r="BN32"/>
  <c r="BS32"/>
  <c r="AM32" s="1"/>
  <c r="BT32"/>
  <c r="CT32"/>
  <c r="CU32"/>
  <c r="AF33"/>
  <c r="AG33"/>
  <c r="BF33"/>
  <c r="BI33" s="1"/>
  <c r="BG33"/>
  <c r="BN33"/>
  <c r="AQ33" s="1"/>
  <c r="BS33"/>
  <c r="AM33" s="1"/>
  <c r="BT33"/>
  <c r="AO33" s="1"/>
  <c r="CT33"/>
  <c r="CU33"/>
  <c r="AF34"/>
  <c r="AG34"/>
  <c r="BF34"/>
  <c r="BG34"/>
  <c r="BN34"/>
  <c r="AQ34" s="1"/>
  <c r="BS34"/>
  <c r="AM34" s="1"/>
  <c r="BT34"/>
  <c r="BR34" s="1"/>
  <c r="CT34"/>
  <c r="CU34"/>
  <c r="CY34"/>
  <c r="AF35"/>
  <c r="AG35"/>
  <c r="BF35"/>
  <c r="AH35" s="1"/>
  <c r="BG35"/>
  <c r="AJ35" s="1"/>
  <c r="BN35"/>
  <c r="AQ35" s="1"/>
  <c r="BS35"/>
  <c r="AM35" s="1"/>
  <c r="BT35"/>
  <c r="AO35" s="1"/>
  <c r="CT35"/>
  <c r="CU35"/>
  <c r="AF36"/>
  <c r="AG36"/>
  <c r="BF36"/>
  <c r="BI36" s="1"/>
  <c r="BG36"/>
  <c r="BN36"/>
  <c r="AQ36" s="1"/>
  <c r="BS36"/>
  <c r="BT36"/>
  <c r="AO36" s="1"/>
  <c r="CT36"/>
  <c r="CU36"/>
  <c r="CY36"/>
  <c r="CZ36"/>
  <c r="AF37"/>
  <c r="AG37"/>
  <c r="BF37"/>
  <c r="AH37" s="1"/>
  <c r="BG37"/>
  <c r="BN37"/>
  <c r="AQ37" s="1"/>
  <c r="BS37"/>
  <c r="AM37" s="1"/>
  <c r="BT37"/>
  <c r="BR37" s="1"/>
  <c r="CT37"/>
  <c r="CU37"/>
  <c r="AF38"/>
  <c r="AG38"/>
  <c r="BF38"/>
  <c r="AH38" s="1"/>
  <c r="BG38"/>
  <c r="AJ38" s="1"/>
  <c r="BN38"/>
  <c r="AQ38" s="1"/>
  <c r="BS38"/>
  <c r="AM38" s="1"/>
  <c r="BT38"/>
  <c r="CT38"/>
  <c r="CU38"/>
  <c r="AF39"/>
  <c r="AG39"/>
  <c r="BF39"/>
  <c r="AH39" s="1"/>
  <c r="BG39"/>
  <c r="AJ39" s="1"/>
  <c r="BN39"/>
  <c r="BS39"/>
  <c r="CY39" s="1"/>
  <c r="BT39"/>
  <c r="AO39" s="1"/>
  <c r="CT39"/>
  <c r="CU39"/>
  <c r="AF40"/>
  <c r="AG40"/>
  <c r="BF40"/>
  <c r="BI40" s="1"/>
  <c r="BG40"/>
  <c r="BN40"/>
  <c r="AQ40" s="1"/>
  <c r="BS40"/>
  <c r="CY40" s="1"/>
  <c r="BT40"/>
  <c r="AO40" s="1"/>
  <c r="CT40"/>
  <c r="CU40"/>
  <c r="AF41"/>
  <c r="AG41"/>
  <c r="BF41"/>
  <c r="CV41" s="1"/>
  <c r="BG41"/>
  <c r="BN41"/>
  <c r="AQ41" s="1"/>
  <c r="BS41"/>
  <c r="AM41" s="1"/>
  <c r="BT41"/>
  <c r="AO41" s="1"/>
  <c r="CT41"/>
  <c r="CU41"/>
  <c r="AF42"/>
  <c r="AG42"/>
  <c r="BF42"/>
  <c r="AH42" s="1"/>
  <c r="BG42"/>
  <c r="AJ42" s="1"/>
  <c r="BN42"/>
  <c r="AQ42" s="1"/>
  <c r="BS42"/>
  <c r="AM42" s="1"/>
  <c r="BT42"/>
  <c r="CT42"/>
  <c r="CU42"/>
  <c r="AF43"/>
  <c r="AG43"/>
  <c r="BF43"/>
  <c r="AH43" s="1"/>
  <c r="BG43"/>
  <c r="AJ43" s="1"/>
  <c r="BN43"/>
  <c r="BS43"/>
  <c r="CY43" s="1"/>
  <c r="BT43"/>
  <c r="AO43" s="1"/>
  <c r="CT43"/>
  <c r="CU43"/>
  <c r="AF44"/>
  <c r="AG44"/>
  <c r="BF44"/>
  <c r="BI44" s="1"/>
  <c r="BG44"/>
  <c r="BN44"/>
  <c r="AQ44" s="1"/>
  <c r="BS44"/>
  <c r="BT44"/>
  <c r="AO44" s="1"/>
  <c r="CT44"/>
  <c r="CU44"/>
  <c r="CY44"/>
  <c r="CZ44"/>
  <c r="AF45"/>
  <c r="AG45"/>
  <c r="BF45"/>
  <c r="AH45" s="1"/>
  <c r="BG45"/>
  <c r="BN45"/>
  <c r="AQ45" s="1"/>
  <c r="BS45"/>
  <c r="AM45" s="1"/>
  <c r="BT45"/>
  <c r="BR45" s="1"/>
  <c r="CT45"/>
  <c r="CU45"/>
  <c r="AF46"/>
  <c r="AG46"/>
  <c r="BF46"/>
  <c r="AH46" s="1"/>
  <c r="BG46"/>
  <c r="AJ46" s="1"/>
  <c r="BN46"/>
  <c r="AQ46" s="1"/>
  <c r="BS46"/>
  <c r="AM46" s="1"/>
  <c r="BT46"/>
  <c r="AO46" s="1"/>
  <c r="CT46"/>
  <c r="CU46"/>
  <c r="AF47"/>
  <c r="AG47"/>
  <c r="BF47"/>
  <c r="AH47" s="1"/>
  <c r="BG47"/>
  <c r="AJ47" s="1"/>
  <c r="BN47"/>
  <c r="BS47"/>
  <c r="AM47" s="1"/>
  <c r="BT47"/>
  <c r="AO47" s="1"/>
  <c r="CT47"/>
  <c r="CU47"/>
  <c r="AF48"/>
  <c r="AG48"/>
  <c r="BF48"/>
  <c r="BI48" s="1"/>
  <c r="BG48"/>
  <c r="AJ48" s="1"/>
  <c r="BN48"/>
  <c r="AQ48" s="1"/>
  <c r="BS48"/>
  <c r="CY48" s="1"/>
  <c r="BT48"/>
  <c r="AO48" s="1"/>
  <c r="CT48"/>
  <c r="CU48"/>
  <c r="AF49"/>
  <c r="AG49"/>
  <c r="BF49"/>
  <c r="AH49" s="1"/>
  <c r="BG49"/>
  <c r="BN49"/>
  <c r="AQ49" s="1"/>
  <c r="BS49"/>
  <c r="AM49" s="1"/>
  <c r="BT49"/>
  <c r="BR49" s="1"/>
  <c r="CT49"/>
  <c r="CU49"/>
  <c r="AF50"/>
  <c r="AG50"/>
  <c r="BF50"/>
  <c r="AH50" s="1"/>
  <c r="BG50"/>
  <c r="AJ50" s="1"/>
  <c r="BN50"/>
  <c r="AQ50" s="1"/>
  <c r="BS50"/>
  <c r="AM50" s="1"/>
  <c r="BT50"/>
  <c r="CT50"/>
  <c r="CU50"/>
  <c r="AF51"/>
  <c r="AG51"/>
  <c r="BF51"/>
  <c r="AH51" s="1"/>
  <c r="BG51"/>
  <c r="AJ51" s="1"/>
  <c r="BN51"/>
  <c r="BS51"/>
  <c r="AM51" s="1"/>
  <c r="BT51"/>
  <c r="AO51" s="1"/>
  <c r="CT51"/>
  <c r="CU51"/>
  <c r="AF52"/>
  <c r="AG52"/>
  <c r="BF52"/>
  <c r="BI52" s="1"/>
  <c r="BG52"/>
  <c r="CW52" s="1"/>
  <c r="BN52"/>
  <c r="AQ52" s="1"/>
  <c r="BS52"/>
  <c r="CY52" s="1"/>
  <c r="BT52"/>
  <c r="AO52" s="1"/>
  <c r="CT52"/>
  <c r="CU52"/>
  <c r="AF53"/>
  <c r="AG53"/>
  <c r="BF53"/>
  <c r="AH53" s="1"/>
  <c r="BG53"/>
  <c r="BN53"/>
  <c r="AQ53" s="1"/>
  <c r="BS53"/>
  <c r="AM53" s="1"/>
  <c r="BT53"/>
  <c r="CZ53" s="1"/>
  <c r="CT53"/>
  <c r="CU53"/>
  <c r="AF54"/>
  <c r="AG54"/>
  <c r="BF54"/>
  <c r="BG54"/>
  <c r="AJ54" s="1"/>
  <c r="BN54"/>
  <c r="AQ54" s="1"/>
  <c r="BS54"/>
  <c r="AM54" s="1"/>
  <c r="BT54"/>
  <c r="AO54" s="1"/>
  <c r="CT54"/>
  <c r="CU54"/>
  <c r="AF55"/>
  <c r="AG55"/>
  <c r="BF55"/>
  <c r="AH55" s="1"/>
  <c r="BG55"/>
  <c r="AJ55" s="1"/>
  <c r="BN55"/>
  <c r="AQ55" s="1"/>
  <c r="BS55"/>
  <c r="AM55" s="1"/>
  <c r="BT55"/>
  <c r="CT55"/>
  <c r="CU55"/>
  <c r="AF56"/>
  <c r="AG56"/>
  <c r="BF56"/>
  <c r="BI56" s="1"/>
  <c r="BG56"/>
  <c r="AJ56" s="1"/>
  <c r="BN56"/>
  <c r="AQ56" s="1"/>
  <c r="BS56"/>
  <c r="BT56"/>
  <c r="AO56" s="1"/>
  <c r="CT56"/>
  <c r="CU56"/>
  <c r="AF57"/>
  <c r="AG57"/>
  <c r="BF57"/>
  <c r="AH57" s="1"/>
  <c r="BG57"/>
  <c r="BN57"/>
  <c r="AQ57" s="1"/>
  <c r="BS57"/>
  <c r="AM57" s="1"/>
  <c r="BT57"/>
  <c r="CT57"/>
  <c r="CU57"/>
  <c r="AF58"/>
  <c r="AG58"/>
  <c r="BF58"/>
  <c r="AH58" s="1"/>
  <c r="BG58"/>
  <c r="AJ58" s="1"/>
  <c r="BN58"/>
  <c r="BS58"/>
  <c r="AM58" s="1"/>
  <c r="BT58"/>
  <c r="AO58" s="1"/>
  <c r="CT58"/>
  <c r="CU58"/>
  <c r="CY58"/>
  <c r="AF59"/>
  <c r="AG59"/>
  <c r="BF59"/>
  <c r="BI59" s="1"/>
  <c r="BG59"/>
  <c r="AJ59" s="1"/>
  <c r="BN59"/>
  <c r="BS59"/>
  <c r="AM59" s="1"/>
  <c r="BT59"/>
  <c r="CT59"/>
  <c r="CU59"/>
  <c r="AF60"/>
  <c r="AG60"/>
  <c r="BF60"/>
  <c r="AH60" s="1"/>
  <c r="BG60"/>
  <c r="BN60"/>
  <c r="AQ60" s="1"/>
  <c r="BS60"/>
  <c r="AM60" s="1"/>
  <c r="BT60"/>
  <c r="AO60" s="1"/>
  <c r="CT60"/>
  <c r="CU60"/>
  <c r="AF61"/>
  <c r="AG61"/>
  <c r="BF61"/>
  <c r="AH61" s="1"/>
  <c r="BG61"/>
  <c r="CW61" s="1"/>
  <c r="BN61"/>
  <c r="AQ61" s="1"/>
  <c r="BS61"/>
  <c r="AM61" s="1"/>
  <c r="BT61"/>
  <c r="AO61" s="1"/>
  <c r="CT61"/>
  <c r="CU61"/>
  <c r="AF62"/>
  <c r="AG62"/>
  <c r="BF62"/>
  <c r="AH62" s="1"/>
  <c r="BG62"/>
  <c r="BN62"/>
  <c r="BS62"/>
  <c r="AM62" s="1"/>
  <c r="BT62"/>
  <c r="AO62" s="1"/>
  <c r="CT62"/>
  <c r="CU62"/>
  <c r="AF63"/>
  <c r="AG63"/>
  <c r="BF63"/>
  <c r="BI63" s="1"/>
  <c r="BG63"/>
  <c r="AJ63" s="1"/>
  <c r="BN63"/>
  <c r="BS63"/>
  <c r="AM63" s="1"/>
  <c r="BT63"/>
  <c r="CT63"/>
  <c r="CU63"/>
  <c r="AF64"/>
  <c r="AG64"/>
  <c r="BF64"/>
  <c r="CV64" s="1"/>
  <c r="BG64"/>
  <c r="BN64"/>
  <c r="AQ64" s="1"/>
  <c r="BS64"/>
  <c r="AM64" s="1"/>
  <c r="BT64"/>
  <c r="CT64"/>
  <c r="CU64"/>
  <c r="AF65"/>
  <c r="AG65"/>
  <c r="BF65"/>
  <c r="AH65" s="1"/>
  <c r="BG65"/>
  <c r="CW65" s="1"/>
  <c r="BN65"/>
  <c r="AQ65" s="1"/>
  <c r="BS65"/>
  <c r="AM65" s="1"/>
  <c r="BT65"/>
  <c r="BR65" s="1"/>
  <c r="CT65"/>
  <c r="CU65"/>
  <c r="AF66"/>
  <c r="AG66"/>
  <c r="BF66"/>
  <c r="AH66" s="1"/>
  <c r="BG66"/>
  <c r="CW66" s="1"/>
  <c r="BN66"/>
  <c r="BS66"/>
  <c r="AM66" s="1"/>
  <c r="BT66"/>
  <c r="AO66" s="1"/>
  <c r="CT66"/>
  <c r="CU66"/>
  <c r="AF67"/>
  <c r="AG67"/>
  <c r="BF67"/>
  <c r="AH67" s="1"/>
  <c r="BG67"/>
  <c r="AJ67" s="1"/>
  <c r="BN67"/>
  <c r="BS67"/>
  <c r="AM67" s="1"/>
  <c r="BT67"/>
  <c r="CT67"/>
  <c r="CU67"/>
  <c r="AF68"/>
  <c r="AG68"/>
  <c r="BF68"/>
  <c r="AH68" s="1"/>
  <c r="BG68"/>
  <c r="BN68"/>
  <c r="AQ68" s="1"/>
  <c r="BS68"/>
  <c r="AM68" s="1"/>
  <c r="BT68"/>
  <c r="CT68"/>
  <c r="CU68"/>
  <c r="CY68"/>
  <c r="CZ68"/>
  <c r="AF69"/>
  <c r="AG69"/>
  <c r="BF69"/>
  <c r="AH69" s="1"/>
  <c r="BG69"/>
  <c r="AJ69" s="1"/>
  <c r="BN69"/>
  <c r="AQ69" s="1"/>
  <c r="BS69"/>
  <c r="AM69" s="1"/>
  <c r="BT69"/>
  <c r="AO69" s="1"/>
  <c r="CT69"/>
  <c r="CU69"/>
  <c r="AF70"/>
  <c r="AG70"/>
  <c r="BF70"/>
  <c r="AH70" s="1"/>
  <c r="BG70"/>
  <c r="CW70" s="1"/>
  <c r="BN70"/>
  <c r="BS70"/>
  <c r="AM70" s="1"/>
  <c r="BT70"/>
  <c r="AO70" s="1"/>
  <c r="CT70"/>
  <c r="CU70"/>
  <c r="AF71"/>
  <c r="AG71"/>
  <c r="BF71"/>
  <c r="BI71" s="1"/>
  <c r="BG71"/>
  <c r="AJ71" s="1"/>
  <c r="BN71"/>
  <c r="BS71"/>
  <c r="AM71" s="1"/>
  <c r="BT71"/>
  <c r="CZ71" s="1"/>
  <c r="CT71"/>
  <c r="CU71"/>
  <c r="AF72"/>
  <c r="AG72"/>
  <c r="BF72"/>
  <c r="AH72" s="1"/>
  <c r="BG72"/>
  <c r="BN72"/>
  <c r="AQ72" s="1"/>
  <c r="BS72"/>
  <c r="AM72" s="1"/>
  <c r="BT72"/>
  <c r="BR72" s="1"/>
  <c r="CT72"/>
  <c r="CU72"/>
  <c r="AF73"/>
  <c r="AG73"/>
  <c r="BF73"/>
  <c r="AH73" s="1"/>
  <c r="BG73"/>
  <c r="BN73"/>
  <c r="AQ73" s="1"/>
  <c r="BS73"/>
  <c r="AM73" s="1"/>
  <c r="BT73"/>
  <c r="BR73" s="1"/>
  <c r="CT73"/>
  <c r="CU73"/>
  <c r="AF74"/>
  <c r="AG74"/>
  <c r="BF74"/>
  <c r="AH74" s="1"/>
  <c r="BG74"/>
  <c r="AJ74" s="1"/>
  <c r="BN74"/>
  <c r="BS74"/>
  <c r="AM74" s="1"/>
  <c r="BT74"/>
  <c r="AO74" s="1"/>
  <c r="CT74"/>
  <c r="CU74"/>
  <c r="AF75"/>
  <c r="AG75"/>
  <c r="BF75"/>
  <c r="AH75" s="1"/>
  <c r="BG75"/>
  <c r="AJ75" s="1"/>
  <c r="BN75"/>
  <c r="BS75"/>
  <c r="AM75" s="1"/>
  <c r="BT75"/>
  <c r="CT75"/>
  <c r="CU75"/>
  <c r="AF76"/>
  <c r="AG76"/>
  <c r="BF76"/>
  <c r="AH76" s="1"/>
  <c r="BG76"/>
  <c r="BN76"/>
  <c r="AQ76" s="1"/>
  <c r="BS76"/>
  <c r="AM76" s="1"/>
  <c r="BT76"/>
  <c r="CT76"/>
  <c r="CU76"/>
  <c r="CY76"/>
  <c r="CZ76"/>
  <c r="AF77"/>
  <c r="AG77"/>
  <c r="BF77"/>
  <c r="BG77"/>
  <c r="AJ77" s="1"/>
  <c r="BN77"/>
  <c r="AQ77" s="1"/>
  <c r="BS77"/>
  <c r="AM77" s="1"/>
  <c r="BT77"/>
  <c r="AO77" s="1"/>
  <c r="CT77"/>
  <c r="CU77"/>
  <c r="AF78"/>
  <c r="AG78"/>
  <c r="BF78"/>
  <c r="AH78" s="1"/>
  <c r="BG78"/>
  <c r="AJ78" s="1"/>
  <c r="BN78"/>
  <c r="AQ78" s="1"/>
  <c r="BS78"/>
  <c r="AM78" s="1"/>
  <c r="BT78"/>
  <c r="CZ78" s="1"/>
  <c r="CT78"/>
  <c r="CU78"/>
  <c r="AF79"/>
  <c r="AG79"/>
  <c r="BF79"/>
  <c r="BI79" s="1"/>
  <c r="BG79"/>
  <c r="AJ79" s="1"/>
  <c r="BN79"/>
  <c r="BS79"/>
  <c r="CY79" s="1"/>
  <c r="BT79"/>
  <c r="CZ79" s="1"/>
  <c r="CT79"/>
  <c r="CU79"/>
  <c r="AF80"/>
  <c r="AG80"/>
  <c r="BF80"/>
  <c r="AH80" s="1"/>
  <c r="BG80"/>
  <c r="BN80"/>
  <c r="AQ80" s="1"/>
  <c r="BS80"/>
  <c r="CY80" s="1"/>
  <c r="BT80"/>
  <c r="CT80"/>
  <c r="CU80"/>
  <c r="AF81"/>
  <c r="AG81"/>
  <c r="BF81"/>
  <c r="AH81" s="1"/>
  <c r="BG81"/>
  <c r="AJ81" s="1"/>
  <c r="BN81"/>
  <c r="AQ81" s="1"/>
  <c r="BS81"/>
  <c r="AM81" s="1"/>
  <c r="BT81"/>
  <c r="AO81" s="1"/>
  <c r="CT81"/>
  <c r="CU81"/>
  <c r="AF82"/>
  <c r="AG82"/>
  <c r="BF82"/>
  <c r="AH82" s="1"/>
  <c r="BG82"/>
  <c r="CW82" s="1"/>
  <c r="BN82"/>
  <c r="BO82" s="1"/>
  <c r="BS82"/>
  <c r="AM82" s="1"/>
  <c r="BT82"/>
  <c r="CT82"/>
  <c r="CU82"/>
  <c r="CY82"/>
  <c r="CZ82"/>
  <c r="AF83"/>
  <c r="AG83"/>
  <c r="BF83"/>
  <c r="BG83"/>
  <c r="AJ83" s="1"/>
  <c r="BN83"/>
  <c r="BO83" s="1"/>
  <c r="BS83"/>
  <c r="AM83" s="1"/>
  <c r="BT83"/>
  <c r="CZ83" s="1"/>
  <c r="CT83"/>
  <c r="CU83"/>
  <c r="AF84"/>
  <c r="AG84"/>
  <c r="BF84"/>
  <c r="BI84" s="1"/>
  <c r="BG84"/>
  <c r="BN84"/>
  <c r="BS84"/>
  <c r="AM84" s="1"/>
  <c r="BT84"/>
  <c r="AO84" s="1"/>
  <c r="CT84"/>
  <c r="CU84"/>
  <c r="AF85"/>
  <c r="AG85"/>
  <c r="BF85"/>
  <c r="AH85" s="1"/>
  <c r="BG85"/>
  <c r="AJ85" s="1"/>
  <c r="BN85"/>
  <c r="AQ85" s="1"/>
  <c r="BS85"/>
  <c r="AM85" s="1"/>
  <c r="BT85"/>
  <c r="AO85" s="1"/>
  <c r="CT85"/>
  <c r="CU85"/>
  <c r="CY85"/>
  <c r="AF86"/>
  <c r="AG86"/>
  <c r="BF86"/>
  <c r="AH86" s="1"/>
  <c r="BG86"/>
  <c r="BN86"/>
  <c r="BS86"/>
  <c r="AM86" s="1"/>
  <c r="BT86"/>
  <c r="AO86" s="1"/>
  <c r="CT86"/>
  <c r="CU86"/>
  <c r="AF87"/>
  <c r="AG87"/>
  <c r="BF87"/>
  <c r="AH87" s="1"/>
  <c r="BG87"/>
  <c r="AJ87" s="1"/>
  <c r="BN87"/>
  <c r="AQ87" s="1"/>
  <c r="BS87"/>
  <c r="AM87" s="1"/>
  <c r="BT87"/>
  <c r="CZ87" s="1"/>
  <c r="CT87"/>
  <c r="CU87"/>
  <c r="AF88"/>
  <c r="AG88"/>
  <c r="BF88"/>
  <c r="AH88" s="1"/>
  <c r="BG88"/>
  <c r="BN88"/>
  <c r="AQ88" s="1"/>
  <c r="BS88"/>
  <c r="CY88" s="1"/>
  <c r="BT88"/>
  <c r="BR88" s="1"/>
  <c r="CT88"/>
  <c r="CU88"/>
  <c r="AF89"/>
  <c r="AG89"/>
  <c r="BF89"/>
  <c r="AH89" s="1"/>
  <c r="BG89"/>
  <c r="CW89" s="1"/>
  <c r="BN89"/>
  <c r="BS89"/>
  <c r="AM89" s="1"/>
  <c r="BT89"/>
  <c r="AO89" s="1"/>
  <c r="CT89"/>
  <c r="CU89"/>
  <c r="AF90"/>
  <c r="AG90"/>
  <c r="BF90"/>
  <c r="BI90" s="1"/>
  <c r="BG90"/>
  <c r="BN90"/>
  <c r="BS90"/>
  <c r="AM90" s="1"/>
  <c r="BT90"/>
  <c r="CZ90" s="1"/>
  <c r="CT90"/>
  <c r="CU90"/>
  <c r="AF91"/>
  <c r="AG91"/>
  <c r="BF91"/>
  <c r="AH91" s="1"/>
  <c r="BG91"/>
  <c r="BN91"/>
  <c r="AQ91" s="1"/>
  <c r="BS91"/>
  <c r="AM91" s="1"/>
  <c r="BT91"/>
  <c r="BR91" s="1"/>
  <c r="CT91"/>
  <c r="CU91"/>
  <c r="CY91"/>
  <c r="CZ91"/>
  <c r="AF92"/>
  <c r="AG92"/>
  <c r="BF92"/>
  <c r="AH92" s="1"/>
  <c r="BG92"/>
  <c r="AJ92" s="1"/>
  <c r="BN92"/>
  <c r="AQ92" s="1"/>
  <c r="BS92"/>
  <c r="AM92" s="1"/>
  <c r="BT92"/>
  <c r="CT92"/>
  <c r="CU92"/>
  <c r="AF93"/>
  <c r="AG93"/>
  <c r="BF93"/>
  <c r="AH93" s="1"/>
  <c r="BG93"/>
  <c r="CW93" s="1"/>
  <c r="BN93"/>
  <c r="BS93"/>
  <c r="AM93" s="1"/>
  <c r="BT93"/>
  <c r="AO93" s="1"/>
  <c r="CT93"/>
  <c r="CU93"/>
  <c r="AF94"/>
  <c r="AG94"/>
  <c r="BF94"/>
  <c r="AH94" s="1"/>
  <c r="BG94"/>
  <c r="AJ94" s="1"/>
  <c r="BN94"/>
  <c r="BS94"/>
  <c r="AM94" s="1"/>
  <c r="BT94"/>
  <c r="CT94"/>
  <c r="CU94"/>
  <c r="AF95"/>
  <c r="AG95"/>
  <c r="BF95"/>
  <c r="AH95" s="1"/>
  <c r="BG95"/>
  <c r="BN95"/>
  <c r="AQ95" s="1"/>
  <c r="BS95"/>
  <c r="AM95" s="1"/>
  <c r="BT95"/>
  <c r="CT95"/>
  <c r="CU95"/>
  <c r="AF96"/>
  <c r="AG96"/>
  <c r="BF96"/>
  <c r="AH96" s="1"/>
  <c r="BG96"/>
  <c r="AJ96" s="1"/>
  <c r="BN96"/>
  <c r="AQ96" s="1"/>
  <c r="BS96"/>
  <c r="AM96" s="1"/>
  <c r="BT96"/>
  <c r="AO96" s="1"/>
  <c r="CT96"/>
  <c r="CU96"/>
  <c r="AF97"/>
  <c r="AG97"/>
  <c r="BF97"/>
  <c r="AH97" s="1"/>
  <c r="BG97"/>
  <c r="CW97" s="1"/>
  <c r="BN97"/>
  <c r="BS97"/>
  <c r="AM97" s="1"/>
  <c r="BT97"/>
  <c r="AO97" s="1"/>
  <c r="CT97"/>
  <c r="CU97"/>
  <c r="AF98"/>
  <c r="AG98"/>
  <c r="BF98"/>
  <c r="AH98" s="1"/>
  <c r="BG98"/>
  <c r="AJ98" s="1"/>
  <c r="BN98"/>
  <c r="BS98"/>
  <c r="AM98" s="1"/>
  <c r="BT98"/>
  <c r="CT98"/>
  <c r="CU98"/>
  <c r="AF99"/>
  <c r="AG99"/>
  <c r="BF99"/>
  <c r="BI99" s="1"/>
  <c r="BG99"/>
  <c r="BN99"/>
  <c r="AQ99" s="1"/>
  <c r="BS99"/>
  <c r="AM99" s="1"/>
  <c r="BT99"/>
  <c r="BR99" s="1"/>
  <c r="CT99"/>
  <c r="CU99"/>
  <c r="AF100"/>
  <c r="AG100"/>
  <c r="BF100"/>
  <c r="AH100" s="1"/>
  <c r="BG100"/>
  <c r="BN100"/>
  <c r="AQ100" s="1"/>
  <c r="BS100"/>
  <c r="AM100" s="1"/>
  <c r="BT100"/>
  <c r="CZ100" s="1"/>
  <c r="CT100"/>
  <c r="CU100"/>
  <c r="AF101"/>
  <c r="AG101"/>
  <c r="BF101"/>
  <c r="AH101" s="1"/>
  <c r="BG101"/>
  <c r="CW101" s="1"/>
  <c r="BN101"/>
  <c r="BS101"/>
  <c r="AM101" s="1"/>
  <c r="BT101"/>
  <c r="AO101" s="1"/>
  <c r="CT101"/>
  <c r="CU101"/>
  <c r="AF102"/>
  <c r="AG102"/>
  <c r="BF102"/>
  <c r="CV102" s="1"/>
  <c r="BG102"/>
  <c r="AJ102" s="1"/>
  <c r="BN102"/>
  <c r="BS102"/>
  <c r="AM102" s="1"/>
  <c r="BT102"/>
  <c r="CT102"/>
  <c r="CU102"/>
  <c r="AF103"/>
  <c r="AG103"/>
  <c r="BF103"/>
  <c r="AH103" s="1"/>
  <c r="BG103"/>
  <c r="BN103"/>
  <c r="AQ103" s="1"/>
  <c r="BS103"/>
  <c r="AM103" s="1"/>
  <c r="BT103"/>
  <c r="CZ103" s="1"/>
  <c r="CT103"/>
  <c r="CU103"/>
  <c r="AF104"/>
  <c r="AG104"/>
  <c r="BF104"/>
  <c r="AH104" s="1"/>
  <c r="BG104"/>
  <c r="CW104" s="1"/>
  <c r="BN104"/>
  <c r="AQ104" s="1"/>
  <c r="BS104"/>
  <c r="AM104" s="1"/>
  <c r="BT104"/>
  <c r="AO104" s="1"/>
  <c r="CT104"/>
  <c r="CU104"/>
  <c r="AF105"/>
  <c r="AG105"/>
  <c r="BF105"/>
  <c r="AH105" s="1"/>
  <c r="BG105"/>
  <c r="BN105"/>
  <c r="BS105"/>
  <c r="AM105" s="1"/>
  <c r="BT105"/>
  <c r="AO105" s="1"/>
  <c r="CT105"/>
  <c r="CU105"/>
  <c r="AF106"/>
  <c r="AG106"/>
  <c r="BF106"/>
  <c r="BI106" s="1"/>
  <c r="BG106"/>
  <c r="AJ106" s="1"/>
  <c r="BN106"/>
  <c r="BS106"/>
  <c r="AM106" s="1"/>
  <c r="BT106"/>
  <c r="CZ106" s="1"/>
  <c r="CT106"/>
  <c r="CU106"/>
  <c r="AF107"/>
  <c r="AG107"/>
  <c r="BF107"/>
  <c r="AH107" s="1"/>
  <c r="BG107"/>
  <c r="BN107"/>
  <c r="AQ107" s="1"/>
  <c r="BS107"/>
  <c r="AM107" s="1"/>
  <c r="BT107"/>
  <c r="CT107"/>
  <c r="CU107"/>
  <c r="CY107"/>
  <c r="AF108"/>
  <c r="AG108"/>
  <c r="BF108"/>
  <c r="AH108" s="1"/>
  <c r="BG108"/>
  <c r="AJ108" s="1"/>
  <c r="BN108"/>
  <c r="AQ108" s="1"/>
  <c r="BS108"/>
  <c r="AM108" s="1"/>
  <c r="BT108"/>
  <c r="AO108" s="1"/>
  <c r="CT108"/>
  <c r="CU108"/>
  <c r="AF109"/>
  <c r="AG109"/>
  <c r="BF109"/>
  <c r="AH109" s="1"/>
  <c r="BG109"/>
  <c r="AJ109" s="1"/>
  <c r="BN109"/>
  <c r="BS109"/>
  <c r="AM109" s="1"/>
  <c r="BT109"/>
  <c r="AO109" s="1"/>
  <c r="CT109"/>
  <c r="CU109"/>
  <c r="AF110"/>
  <c r="AG110"/>
  <c r="BF110"/>
  <c r="AH110" s="1"/>
  <c r="BG110"/>
  <c r="BN110"/>
  <c r="BS110"/>
  <c r="AM110" s="1"/>
  <c r="BT110"/>
  <c r="CZ110" s="1"/>
  <c r="CT110"/>
  <c r="CU110"/>
  <c r="AF111"/>
  <c r="AG111"/>
  <c r="BF111"/>
  <c r="AH111" s="1"/>
  <c r="BG111"/>
  <c r="BN111"/>
  <c r="AQ111" s="1"/>
  <c r="BS111"/>
  <c r="AM111" s="1"/>
  <c r="BT111"/>
  <c r="AO111" s="1"/>
  <c r="CT111"/>
  <c r="CU111"/>
  <c r="AF112"/>
  <c r="AG112"/>
  <c r="BF112"/>
  <c r="BG112"/>
  <c r="AJ112" s="1"/>
  <c r="BN112"/>
  <c r="AQ112" s="1"/>
  <c r="BS112"/>
  <c r="AM112" s="1"/>
  <c r="BT112"/>
  <c r="BR112" s="1"/>
  <c r="CT112"/>
  <c r="CU112"/>
  <c r="AF113"/>
  <c r="AG113"/>
  <c r="BF113"/>
  <c r="AH113" s="1"/>
  <c r="BG113"/>
  <c r="AJ113" s="1"/>
  <c r="BN113"/>
  <c r="BS113"/>
  <c r="BT113"/>
  <c r="CZ113" s="1"/>
  <c r="CT113"/>
  <c r="CU113"/>
  <c r="AF114"/>
  <c r="AG114"/>
  <c r="BF114"/>
  <c r="AH114" s="1"/>
  <c r="BG114"/>
  <c r="AJ114" s="1"/>
  <c r="BN114"/>
  <c r="BS114"/>
  <c r="AM114" s="1"/>
  <c r="BT114"/>
  <c r="CZ114" s="1"/>
  <c r="CT114"/>
  <c r="CU114"/>
  <c r="AF115"/>
  <c r="AG115"/>
  <c r="BF115"/>
  <c r="AH115" s="1"/>
  <c r="BG115"/>
  <c r="BN115"/>
  <c r="AQ115" s="1"/>
  <c r="BS115"/>
  <c r="AM115" s="1"/>
  <c r="BT115"/>
  <c r="AO115" s="1"/>
  <c r="CT115"/>
  <c r="CU115"/>
  <c r="AF116"/>
  <c r="AG116"/>
  <c r="BF116"/>
  <c r="BG116"/>
  <c r="AJ116" s="1"/>
  <c r="BN116"/>
  <c r="AQ116" s="1"/>
  <c r="BS116"/>
  <c r="AM116" s="1"/>
  <c r="BT116"/>
  <c r="AO116" s="1"/>
  <c r="CT116"/>
  <c r="CU116"/>
  <c r="AF117"/>
  <c r="AG117"/>
  <c r="BF117"/>
  <c r="AH117" s="1"/>
  <c r="BG117"/>
  <c r="AJ117" s="1"/>
  <c r="BN117"/>
  <c r="BS117"/>
  <c r="AM117" s="1"/>
  <c r="BT117"/>
  <c r="AO117" s="1"/>
  <c r="CT117"/>
  <c r="CU117"/>
  <c r="AF118"/>
  <c r="AG118"/>
  <c r="BF118"/>
  <c r="AH118" s="1"/>
  <c r="BG118"/>
  <c r="AJ118" s="1"/>
  <c r="BN118"/>
  <c r="AQ118" s="1"/>
  <c r="BS118"/>
  <c r="AM118" s="1"/>
  <c r="BT118"/>
  <c r="CZ118" s="1"/>
  <c r="CT118"/>
  <c r="CU118"/>
  <c r="AF119"/>
  <c r="AG119"/>
  <c r="BF119"/>
  <c r="AH119" s="1"/>
  <c r="BG119"/>
  <c r="BN119"/>
  <c r="AQ119" s="1"/>
  <c r="BS119"/>
  <c r="CY119" s="1"/>
  <c r="BT119"/>
  <c r="CT119"/>
  <c r="CU119"/>
  <c r="AF120"/>
  <c r="AG120"/>
  <c r="BF120"/>
  <c r="AH120" s="1"/>
  <c r="BG120"/>
  <c r="AJ120" s="1"/>
  <c r="BN120"/>
  <c r="AQ120" s="1"/>
  <c r="BS120"/>
  <c r="AM120" s="1"/>
  <c r="BT120"/>
  <c r="CZ120" s="1"/>
  <c r="CT120"/>
  <c r="CU120"/>
  <c r="AF121"/>
  <c r="AG121"/>
  <c r="BF121"/>
  <c r="AH121" s="1"/>
  <c r="BG121"/>
  <c r="AJ121" s="1"/>
  <c r="BN121"/>
  <c r="AQ121" s="1"/>
  <c r="BS121"/>
  <c r="AM121" s="1"/>
  <c r="BT121"/>
  <c r="AO121" s="1"/>
  <c r="CT121"/>
  <c r="CU121"/>
  <c r="AF122"/>
  <c r="AG122"/>
  <c r="BF122"/>
  <c r="AH122" s="1"/>
  <c r="BG122"/>
  <c r="AJ122" s="1"/>
  <c r="BN122"/>
  <c r="BS122"/>
  <c r="CY122" s="1"/>
  <c r="BT122"/>
  <c r="AO122" s="1"/>
  <c r="CT122"/>
  <c r="CU122"/>
  <c r="AF123"/>
  <c r="AG123"/>
  <c r="BF123"/>
  <c r="BI123" s="1"/>
  <c r="BG123"/>
  <c r="AJ123" s="1"/>
  <c r="BN123"/>
  <c r="AQ123" s="1"/>
  <c r="BS123"/>
  <c r="BT123"/>
  <c r="AO123" s="1"/>
  <c r="CT123"/>
  <c r="CU123"/>
  <c r="CY123"/>
  <c r="CZ123"/>
  <c r="AF124"/>
  <c r="AG124"/>
  <c r="BF124"/>
  <c r="AH124" s="1"/>
  <c r="BG124"/>
  <c r="BN124"/>
  <c r="AQ124" s="1"/>
  <c r="BS124"/>
  <c r="AM124" s="1"/>
  <c r="BT124"/>
  <c r="CT124"/>
  <c r="CU124"/>
  <c r="AF125"/>
  <c r="AG125"/>
  <c r="BF125"/>
  <c r="AH125" s="1"/>
  <c r="BG125"/>
  <c r="AJ125" s="1"/>
  <c r="BN125"/>
  <c r="AQ125" s="1"/>
  <c r="BS125"/>
  <c r="AM125" s="1"/>
  <c r="BT125"/>
  <c r="AO125" s="1"/>
  <c r="CT125"/>
  <c r="CU125"/>
  <c r="AF126"/>
  <c r="AG126"/>
  <c r="BF126"/>
  <c r="AH126" s="1"/>
  <c r="BG126"/>
  <c r="AJ126" s="1"/>
  <c r="BN126"/>
  <c r="BS126"/>
  <c r="AM126" s="1"/>
  <c r="BT126"/>
  <c r="AO126" s="1"/>
  <c r="CT126"/>
  <c r="CU126"/>
  <c r="AF127"/>
  <c r="AG127"/>
  <c r="BF127"/>
  <c r="BI127" s="1"/>
  <c r="BG127"/>
  <c r="CW127" s="1"/>
  <c r="BN127"/>
  <c r="AQ127" s="1"/>
  <c r="BS127"/>
  <c r="BT127"/>
  <c r="BR127" s="1"/>
  <c r="CT127"/>
  <c r="CU127"/>
  <c r="AF128"/>
  <c r="AG128"/>
  <c r="BF128"/>
  <c r="AH128" s="1"/>
  <c r="BG128"/>
  <c r="BN128"/>
  <c r="AQ128" s="1"/>
  <c r="BS128"/>
  <c r="AM128" s="1"/>
  <c r="BT128"/>
  <c r="BR128" s="1"/>
  <c r="CT128"/>
  <c r="CU128"/>
  <c r="CY128"/>
  <c r="CZ128"/>
  <c r="AF129"/>
  <c r="AG129"/>
  <c r="BF129"/>
  <c r="AH129" s="1"/>
  <c r="BG129"/>
  <c r="CW129" s="1"/>
  <c r="BN129"/>
  <c r="AQ129" s="1"/>
  <c r="BS129"/>
  <c r="AM129" s="1"/>
  <c r="BT129"/>
  <c r="AO129" s="1"/>
  <c r="CT129"/>
  <c r="CU129"/>
  <c r="CY129"/>
  <c r="AF130"/>
  <c r="AG130"/>
  <c r="BF130"/>
  <c r="AH130" s="1"/>
  <c r="BG130"/>
  <c r="AJ130" s="1"/>
  <c r="BN130"/>
  <c r="BS130"/>
  <c r="AM130" s="1"/>
  <c r="BT130"/>
  <c r="AO130" s="1"/>
  <c r="CT130"/>
  <c r="CU130"/>
  <c r="CY130"/>
  <c r="AF131"/>
  <c r="AG131"/>
  <c r="BF131"/>
  <c r="BI131" s="1"/>
  <c r="BG131"/>
  <c r="AJ131" s="1"/>
  <c r="BN131"/>
  <c r="AQ131" s="1"/>
  <c r="BS131"/>
  <c r="BT131"/>
  <c r="AO131" s="1"/>
  <c r="CT131"/>
  <c r="CU131"/>
  <c r="CY131"/>
  <c r="AF132"/>
  <c r="AG132"/>
  <c r="BF132"/>
  <c r="AH132" s="1"/>
  <c r="BG132"/>
  <c r="BN132"/>
  <c r="AQ132" s="1"/>
  <c r="BS132"/>
  <c r="AM132" s="1"/>
  <c r="BT132"/>
  <c r="AO132" s="1"/>
  <c r="CT132"/>
  <c r="CU132"/>
  <c r="AF133"/>
  <c r="AG133"/>
  <c r="BF133"/>
  <c r="AH133" s="1"/>
  <c r="BG133"/>
  <c r="AJ133" s="1"/>
  <c r="BN133"/>
  <c r="AQ133" s="1"/>
  <c r="BS133"/>
  <c r="AM133" s="1"/>
  <c r="BT133"/>
  <c r="AO133" s="1"/>
  <c r="CT133"/>
  <c r="CU133"/>
  <c r="AF134"/>
  <c r="AG134"/>
  <c r="BF134"/>
  <c r="BI134" s="1"/>
  <c r="BG134"/>
  <c r="AJ134" s="1"/>
  <c r="BN134"/>
  <c r="BS134"/>
  <c r="AM134" s="1"/>
  <c r="BT134"/>
  <c r="AO134" s="1"/>
  <c r="CT134"/>
  <c r="CU134"/>
  <c r="AF135"/>
  <c r="AG135"/>
  <c r="BF135"/>
  <c r="BI135" s="1"/>
  <c r="BG135"/>
  <c r="CW135" s="1"/>
  <c r="BN135"/>
  <c r="AQ135" s="1"/>
  <c r="BS135"/>
  <c r="CY135" s="1"/>
  <c r="BT135"/>
  <c r="AO135" s="1"/>
  <c r="CT135"/>
  <c r="CU135"/>
  <c r="AF136"/>
  <c r="AG136"/>
  <c r="BF136"/>
  <c r="AH136" s="1"/>
  <c r="BG136"/>
  <c r="BN136"/>
  <c r="AQ136" s="1"/>
  <c r="BS136"/>
  <c r="AM136" s="1"/>
  <c r="BT136"/>
  <c r="CT136"/>
  <c r="CU136"/>
  <c r="AF137"/>
  <c r="AG137"/>
  <c r="BF137"/>
  <c r="AH137" s="1"/>
  <c r="BG137"/>
  <c r="AJ137" s="1"/>
  <c r="BN137"/>
  <c r="AQ137" s="1"/>
  <c r="BS137"/>
  <c r="AM137" s="1"/>
  <c r="BT137"/>
  <c r="AO137" s="1"/>
  <c r="CT137"/>
  <c r="CU137"/>
  <c r="AF138"/>
  <c r="AG138"/>
  <c r="BF138"/>
  <c r="AH138" s="1"/>
  <c r="BG138"/>
  <c r="AJ138" s="1"/>
  <c r="BN138"/>
  <c r="BS138"/>
  <c r="AM138" s="1"/>
  <c r="BT138"/>
  <c r="AO138" s="1"/>
  <c r="CT138"/>
  <c r="CU138"/>
  <c r="AF139"/>
  <c r="AG139"/>
  <c r="BF139"/>
  <c r="BI139" s="1"/>
  <c r="BG139"/>
  <c r="AJ139" s="1"/>
  <c r="BN139"/>
  <c r="AQ139" s="1"/>
  <c r="BS139"/>
  <c r="BT139"/>
  <c r="BR139" s="1"/>
  <c r="CT139"/>
  <c r="CU139"/>
  <c r="CY139"/>
  <c r="CZ139"/>
  <c r="AF140"/>
  <c r="AG140"/>
  <c r="BF140"/>
  <c r="AH140" s="1"/>
  <c r="BG140"/>
  <c r="BN140"/>
  <c r="AQ140" s="1"/>
  <c r="BS140"/>
  <c r="AM140" s="1"/>
  <c r="BT140"/>
  <c r="CZ140" s="1"/>
  <c r="CT140"/>
  <c r="CU140"/>
  <c r="AF141"/>
  <c r="AG141"/>
  <c r="BF141"/>
  <c r="AH141" s="1"/>
  <c r="BG141"/>
  <c r="AJ141" s="1"/>
  <c r="BN141"/>
  <c r="AQ141" s="1"/>
  <c r="BS141"/>
  <c r="AM141" s="1"/>
  <c r="BT141"/>
  <c r="AO141" s="1"/>
  <c r="CT141"/>
  <c r="CU141"/>
  <c r="AF142"/>
  <c r="AG142"/>
  <c r="BF142"/>
  <c r="AH142" s="1"/>
  <c r="BG142"/>
  <c r="AJ142" s="1"/>
  <c r="BN142"/>
  <c r="BS142"/>
  <c r="AM142" s="1"/>
  <c r="BT142"/>
  <c r="AO142" s="1"/>
  <c r="CT142"/>
  <c r="CU142"/>
  <c r="AF143"/>
  <c r="AG143"/>
  <c r="BF143"/>
  <c r="BI143" s="1"/>
  <c r="BG143"/>
  <c r="AJ143" s="1"/>
  <c r="BN143"/>
  <c r="AQ143" s="1"/>
  <c r="BS143"/>
  <c r="BT143"/>
  <c r="AO143" s="1"/>
  <c r="CT143"/>
  <c r="CU143"/>
  <c r="AF144"/>
  <c r="AG144"/>
  <c r="BF144"/>
  <c r="AH144" s="1"/>
  <c r="BG144"/>
  <c r="BN144"/>
  <c r="AQ144" s="1"/>
  <c r="BS144"/>
  <c r="AM144" s="1"/>
  <c r="BT144"/>
  <c r="BR144" s="1"/>
  <c r="CT144"/>
  <c r="CU144"/>
  <c r="CY144"/>
  <c r="CZ144"/>
  <c r="AF145"/>
  <c r="AG145"/>
  <c r="BF145"/>
  <c r="AH145" s="1"/>
  <c r="BG145"/>
  <c r="AJ145" s="1"/>
  <c r="BN145"/>
  <c r="AQ145" s="1"/>
  <c r="BS145"/>
  <c r="AM145" s="1"/>
  <c r="BT145"/>
  <c r="AO145" s="1"/>
  <c r="CT145"/>
  <c r="CU145"/>
  <c r="AF146"/>
  <c r="AG146"/>
  <c r="BF146"/>
  <c r="AH146" s="1"/>
  <c r="BG146"/>
  <c r="AJ146" s="1"/>
  <c r="BN146"/>
  <c r="BS146"/>
  <c r="CY146" s="1"/>
  <c r="BT146"/>
  <c r="AO146" s="1"/>
  <c r="CT146"/>
  <c r="CU146"/>
  <c r="AF147"/>
  <c r="AG147"/>
  <c r="BF147"/>
  <c r="BI147" s="1"/>
  <c r="BG147"/>
  <c r="AJ147" s="1"/>
  <c r="BN147"/>
  <c r="AQ147" s="1"/>
  <c r="BS147"/>
  <c r="CY147" s="1"/>
  <c r="BT147"/>
  <c r="AO147" s="1"/>
  <c r="CT147"/>
  <c r="CU147"/>
  <c r="AF148"/>
  <c r="AG148"/>
  <c r="BF148"/>
  <c r="AH148" s="1"/>
  <c r="BG148"/>
  <c r="BN148"/>
  <c r="AQ148" s="1"/>
  <c r="BS148"/>
  <c r="AM148" s="1"/>
  <c r="BT148"/>
  <c r="BR148" s="1"/>
  <c r="CT148"/>
  <c r="CU148"/>
  <c r="AF149"/>
  <c r="AG149"/>
  <c r="BF149"/>
  <c r="AH149" s="1"/>
  <c r="BG149"/>
  <c r="AJ149" s="1"/>
  <c r="BN149"/>
  <c r="AQ149" s="1"/>
  <c r="BS149"/>
  <c r="AM149" s="1"/>
  <c r="BT149"/>
  <c r="AO149" s="1"/>
  <c r="CT149"/>
  <c r="CU149"/>
  <c r="AF150"/>
  <c r="AG150"/>
  <c r="BF150"/>
  <c r="AH150" s="1"/>
  <c r="BG150"/>
  <c r="AJ150" s="1"/>
  <c r="BN150"/>
  <c r="BS150"/>
  <c r="CY150" s="1"/>
  <c r="BT150"/>
  <c r="AO150" s="1"/>
  <c r="CT150"/>
  <c r="CU150"/>
  <c r="AF151"/>
  <c r="AG151"/>
  <c r="BF151"/>
  <c r="BI151" s="1"/>
  <c r="BG151"/>
  <c r="CW151" s="1"/>
  <c r="BN151"/>
  <c r="AQ151" s="1"/>
  <c r="BS151"/>
  <c r="BT151"/>
  <c r="AO151" s="1"/>
  <c r="CT151"/>
  <c r="CU151"/>
  <c r="AF152"/>
  <c r="AG152"/>
  <c r="BF152"/>
  <c r="BG152"/>
  <c r="BN152"/>
  <c r="AQ152" s="1"/>
  <c r="BS152"/>
  <c r="AM152" s="1"/>
  <c r="BT152"/>
  <c r="BR152" s="1"/>
  <c r="CT152"/>
  <c r="CU152"/>
  <c r="AF153"/>
  <c r="AG153"/>
  <c r="BF153"/>
  <c r="AH153" s="1"/>
  <c r="BG153"/>
  <c r="CW153" s="1"/>
  <c r="BN153"/>
  <c r="AQ153" s="1"/>
  <c r="BS153"/>
  <c r="AM153" s="1"/>
  <c r="BT153"/>
  <c r="AO153" s="1"/>
  <c r="CT153"/>
  <c r="CU153"/>
  <c r="CY153"/>
  <c r="AF154"/>
  <c r="AG154"/>
  <c r="BF154"/>
  <c r="AH154" s="1"/>
  <c r="BG154"/>
  <c r="AJ154" s="1"/>
  <c r="BN154"/>
  <c r="BS154"/>
  <c r="AM154" s="1"/>
  <c r="BT154"/>
  <c r="AO154" s="1"/>
  <c r="CT154"/>
  <c r="CU154"/>
  <c r="AF155"/>
  <c r="AG155"/>
  <c r="BF155"/>
  <c r="BI155" s="1"/>
  <c r="BG155"/>
  <c r="BN155"/>
  <c r="AQ155" s="1"/>
  <c r="BS155"/>
  <c r="CY155" s="1"/>
  <c r="BT155"/>
  <c r="AO155" s="1"/>
  <c r="CT155"/>
  <c r="CU155"/>
  <c r="AF156"/>
  <c r="AG156"/>
  <c r="BF156"/>
  <c r="BG156"/>
  <c r="BN156"/>
  <c r="AQ156" s="1"/>
  <c r="BS156"/>
  <c r="AM156" s="1"/>
  <c r="BT156"/>
  <c r="CZ156" s="1"/>
  <c r="CT156"/>
  <c r="CU156"/>
  <c r="AF157"/>
  <c r="AG157"/>
  <c r="BF157"/>
  <c r="BG157"/>
  <c r="AJ157" s="1"/>
  <c r="BN157"/>
  <c r="BS157"/>
  <c r="AM157" s="1"/>
  <c r="BT157"/>
  <c r="AO157" s="1"/>
  <c r="CT157"/>
  <c r="CU157"/>
  <c r="CY157"/>
  <c r="AF158"/>
  <c r="AG158"/>
  <c r="BF158"/>
  <c r="AH158" s="1"/>
  <c r="BG158"/>
  <c r="AJ158" s="1"/>
  <c r="BN158"/>
  <c r="AQ158" s="1"/>
  <c r="BS158"/>
  <c r="CY158" s="1"/>
  <c r="BT158"/>
  <c r="CT158"/>
  <c r="CU158"/>
  <c r="AF159"/>
  <c r="AG159"/>
  <c r="BF159"/>
  <c r="AH159" s="1"/>
  <c r="BG159"/>
  <c r="BN159"/>
  <c r="BS159"/>
  <c r="BT159"/>
  <c r="CZ159" s="1"/>
  <c r="CT159"/>
  <c r="CU159"/>
  <c r="AF160"/>
  <c r="AG160"/>
  <c r="BF160"/>
  <c r="BI160" s="1"/>
  <c r="BG160"/>
  <c r="BN160"/>
  <c r="AQ160" s="1"/>
  <c r="BS160"/>
  <c r="AM160" s="1"/>
  <c r="BT160"/>
  <c r="CT160"/>
  <c r="CU160"/>
  <c r="AF161"/>
  <c r="AG161"/>
  <c r="BF161"/>
  <c r="AH161" s="1"/>
  <c r="BG161"/>
  <c r="AJ161" s="1"/>
  <c r="BN161"/>
  <c r="BS161"/>
  <c r="AM161" s="1"/>
  <c r="BT161"/>
  <c r="AO161" s="1"/>
  <c r="CT161"/>
  <c r="CU161"/>
  <c r="AF162"/>
  <c r="AG162"/>
  <c r="BF162"/>
  <c r="CV162" s="1"/>
  <c r="BG162"/>
  <c r="AJ162" s="1"/>
  <c r="BN162"/>
  <c r="BS162"/>
  <c r="BT162"/>
  <c r="AO162" s="1"/>
  <c r="CT162"/>
  <c r="CU162"/>
  <c r="AF163"/>
  <c r="AG163"/>
  <c r="BF163"/>
  <c r="CV163" s="1"/>
  <c r="BG163"/>
  <c r="AJ163" s="1"/>
  <c r="BN163"/>
  <c r="BS163"/>
  <c r="AM163" s="1"/>
  <c r="BT163"/>
  <c r="CT163"/>
  <c r="CU163"/>
  <c r="CY163"/>
  <c r="AF164"/>
  <c r="AG164"/>
  <c r="BF164"/>
  <c r="AH164" s="1"/>
  <c r="BG164"/>
  <c r="BN164"/>
  <c r="AQ164" s="1"/>
  <c r="BS164"/>
  <c r="BT164"/>
  <c r="CZ164" s="1"/>
  <c r="CT164"/>
  <c r="CU164"/>
  <c r="AF165"/>
  <c r="AG165"/>
  <c r="BF165"/>
  <c r="AH165" s="1"/>
  <c r="BG165"/>
  <c r="BN165"/>
  <c r="AQ165" s="1"/>
  <c r="BS165"/>
  <c r="AM165" s="1"/>
  <c r="BT165"/>
  <c r="AO165" s="1"/>
  <c r="CT165"/>
  <c r="CU165"/>
  <c r="AF166"/>
  <c r="AG166"/>
  <c r="BF166"/>
  <c r="AH166" s="1"/>
  <c r="BG166"/>
  <c r="AJ166" s="1"/>
  <c r="BN166"/>
  <c r="BS166"/>
  <c r="AM166" s="1"/>
  <c r="BT166"/>
  <c r="AO166" s="1"/>
  <c r="CT166"/>
  <c r="CU166"/>
  <c r="AF167"/>
  <c r="AG167"/>
  <c r="BF167"/>
  <c r="AH167" s="1"/>
  <c r="BG167"/>
  <c r="BN167"/>
  <c r="BS167"/>
  <c r="BT167"/>
  <c r="CZ167" s="1"/>
  <c r="CT167"/>
  <c r="CU167"/>
  <c r="AF168"/>
  <c r="AG168"/>
  <c r="BF168"/>
  <c r="BG168"/>
  <c r="BN168"/>
  <c r="AQ168" s="1"/>
  <c r="BS168"/>
  <c r="AM168" s="1"/>
  <c r="BT168"/>
  <c r="CZ168" s="1"/>
  <c r="CT168"/>
  <c r="CU168"/>
  <c r="AF169"/>
  <c r="AG169"/>
  <c r="BF169"/>
  <c r="AH169" s="1"/>
  <c r="BG169"/>
  <c r="AJ169" s="1"/>
  <c r="BN169"/>
  <c r="AQ169" s="1"/>
  <c r="BS169"/>
  <c r="AM169" s="1"/>
  <c r="BT169"/>
  <c r="AO169" s="1"/>
  <c r="CT169"/>
  <c r="CU169"/>
  <c r="AF170"/>
  <c r="AG170"/>
  <c r="BF170"/>
  <c r="AH170" s="1"/>
  <c r="BG170"/>
  <c r="CW170" s="1"/>
  <c r="BN170"/>
  <c r="BS170"/>
  <c r="AM170" s="1"/>
  <c r="BT170"/>
  <c r="CT170"/>
  <c r="CU170"/>
  <c r="AF171"/>
  <c r="AG171"/>
  <c r="BF171"/>
  <c r="BG171"/>
  <c r="AJ171" s="1"/>
  <c r="BN171"/>
  <c r="BS171"/>
  <c r="AM171" s="1"/>
  <c r="BT171"/>
  <c r="CZ171" s="1"/>
  <c r="CT171"/>
  <c r="CU171"/>
  <c r="AF172"/>
  <c r="AG172"/>
  <c r="BF172"/>
  <c r="AH172" s="1"/>
  <c r="BG172"/>
  <c r="BN172"/>
  <c r="AQ172" s="1"/>
  <c r="BS172"/>
  <c r="AM172" s="1"/>
  <c r="BT172"/>
  <c r="BR172" s="1"/>
  <c r="CT172"/>
  <c r="CU172"/>
  <c r="AF173"/>
  <c r="AG173"/>
  <c r="BF173"/>
  <c r="AH173" s="1"/>
  <c r="BG173"/>
  <c r="CW173" s="1"/>
  <c r="BN173"/>
  <c r="BS173"/>
  <c r="AM173" s="1"/>
  <c r="BT173"/>
  <c r="AO173" s="1"/>
  <c r="CT173"/>
  <c r="CU173"/>
  <c r="AF174"/>
  <c r="AG174"/>
  <c r="BF174"/>
  <c r="CV174" s="1"/>
  <c r="BG174"/>
  <c r="AJ174" s="1"/>
  <c r="BN174"/>
  <c r="BS174"/>
  <c r="BT174"/>
  <c r="AO174" s="1"/>
  <c r="CT174"/>
  <c r="CU174"/>
  <c r="AF175"/>
  <c r="AG175"/>
  <c r="BF175"/>
  <c r="BI175" s="1"/>
  <c r="BG175"/>
  <c r="AJ175" s="1"/>
  <c r="BN175"/>
  <c r="BS175"/>
  <c r="AM175" s="1"/>
  <c r="BT175"/>
  <c r="CT175"/>
  <c r="CU175"/>
  <c r="AF176"/>
  <c r="AG176"/>
  <c r="BF176"/>
  <c r="BI176" s="1"/>
  <c r="BG176"/>
  <c r="BN176"/>
  <c r="AQ176" s="1"/>
  <c r="BS176"/>
  <c r="AM176" s="1"/>
  <c r="BT176"/>
  <c r="CT176"/>
  <c r="CU176"/>
  <c r="CY176"/>
  <c r="AF177"/>
  <c r="AG177"/>
  <c r="BF177"/>
  <c r="AH177" s="1"/>
  <c r="BG177"/>
  <c r="AJ177" s="1"/>
  <c r="BN177"/>
  <c r="AQ177" s="1"/>
  <c r="BS177"/>
  <c r="AM177" s="1"/>
  <c r="BT177"/>
  <c r="AO177" s="1"/>
  <c r="CT177"/>
  <c r="CU177"/>
  <c r="AF178"/>
  <c r="AG178"/>
  <c r="BF178"/>
  <c r="AH178" s="1"/>
  <c r="BG178"/>
  <c r="CW178" s="1"/>
  <c r="BN178"/>
  <c r="BS178"/>
  <c r="CY178" s="1"/>
  <c r="BT178"/>
  <c r="AO178" s="1"/>
  <c r="CT178"/>
  <c r="CU178"/>
  <c r="AF179"/>
  <c r="AG179"/>
  <c r="BF179"/>
  <c r="AH179" s="1"/>
  <c r="BG179"/>
  <c r="AJ179" s="1"/>
  <c r="BN179"/>
  <c r="BS179"/>
  <c r="AM179" s="1"/>
  <c r="BT179"/>
  <c r="CT179"/>
  <c r="CU179"/>
  <c r="AF180"/>
  <c r="AG180"/>
  <c r="BF180"/>
  <c r="AH180" s="1"/>
  <c r="BG180"/>
  <c r="BN180"/>
  <c r="AQ180" s="1"/>
  <c r="BS180"/>
  <c r="AM180" s="1"/>
  <c r="BT180"/>
  <c r="AO180" s="1"/>
  <c r="CT180"/>
  <c r="CU180"/>
  <c r="AF181"/>
  <c r="AG181"/>
  <c r="BF181"/>
  <c r="AH181" s="1"/>
  <c r="BG181"/>
  <c r="BN181"/>
  <c r="AQ181" s="1"/>
  <c r="BS181"/>
  <c r="AM181" s="1"/>
  <c r="BT181"/>
  <c r="AO181" s="1"/>
  <c r="CT181"/>
  <c r="CU181"/>
  <c r="AF182"/>
  <c r="AG182"/>
  <c r="BF182"/>
  <c r="AH182" s="1"/>
  <c r="BG182"/>
  <c r="CW182" s="1"/>
  <c r="BN182"/>
  <c r="BS182"/>
  <c r="AM182" s="1"/>
  <c r="BT182"/>
  <c r="AO182" s="1"/>
  <c r="CT182"/>
  <c r="CU182"/>
  <c r="AF183"/>
  <c r="AG183"/>
  <c r="BF183"/>
  <c r="AH183" s="1"/>
  <c r="BG183"/>
  <c r="BN183"/>
  <c r="BS183"/>
  <c r="AM183" s="1"/>
  <c r="BT183"/>
  <c r="CZ183" s="1"/>
  <c r="CT183"/>
  <c r="CU183"/>
  <c r="AF184"/>
  <c r="AG184"/>
  <c r="BF184"/>
  <c r="CV184" s="1"/>
  <c r="BG184"/>
  <c r="BN184"/>
  <c r="AQ184" s="1"/>
  <c r="BS184"/>
  <c r="AM184" s="1"/>
  <c r="BT184"/>
  <c r="AO184" s="1"/>
  <c r="CT184"/>
  <c r="CU184"/>
  <c r="AF185"/>
  <c r="AG185"/>
  <c r="BF185"/>
  <c r="AH185" s="1"/>
  <c r="BG185"/>
  <c r="AJ185" s="1"/>
  <c r="BN185"/>
  <c r="AQ185" s="1"/>
  <c r="BS185"/>
  <c r="AM185" s="1"/>
  <c r="BT185"/>
  <c r="BR185" s="1"/>
  <c r="CT185"/>
  <c r="CU185"/>
  <c r="CY185"/>
  <c r="AF186"/>
  <c r="AG186"/>
  <c r="BF186"/>
  <c r="AH186" s="1"/>
  <c r="BG186"/>
  <c r="CW186" s="1"/>
  <c r="BN186"/>
  <c r="BS186"/>
  <c r="CY186" s="1"/>
  <c r="BT186"/>
  <c r="AO186" s="1"/>
  <c r="CT186"/>
  <c r="CU186"/>
  <c r="AF187"/>
  <c r="AG187"/>
  <c r="BF187"/>
  <c r="CV187" s="1"/>
  <c r="BG187"/>
  <c r="AJ187" s="1"/>
  <c r="BN187"/>
  <c r="BS187"/>
  <c r="AM187" s="1"/>
  <c r="BT187"/>
  <c r="CT187"/>
  <c r="CU187"/>
  <c r="CY187"/>
  <c r="CZ187"/>
  <c r="AF188"/>
  <c r="AG188"/>
  <c r="BF188"/>
  <c r="BI188" s="1"/>
  <c r="BG188"/>
  <c r="BN188"/>
  <c r="AQ188" s="1"/>
  <c r="BS188"/>
  <c r="AM188" s="1"/>
  <c r="BT188"/>
  <c r="CT188"/>
  <c r="CU188"/>
  <c r="AF189"/>
  <c r="AG189"/>
  <c r="BF189"/>
  <c r="AH189" s="1"/>
  <c r="BG189"/>
  <c r="AJ189" s="1"/>
  <c r="BN189"/>
  <c r="AQ189" s="1"/>
  <c r="BS189"/>
  <c r="AM189" s="1"/>
  <c r="BT189"/>
  <c r="AO189" s="1"/>
  <c r="CT189"/>
  <c r="CU189"/>
  <c r="AF190"/>
  <c r="AG190"/>
  <c r="BF190"/>
  <c r="AH190" s="1"/>
  <c r="BG190"/>
  <c r="AJ190" s="1"/>
  <c r="BN190"/>
  <c r="BS190"/>
  <c r="AM190" s="1"/>
  <c r="BT190"/>
  <c r="AO190" s="1"/>
  <c r="CT190"/>
  <c r="CU190"/>
  <c r="AF191"/>
  <c r="AG191"/>
  <c r="BF191"/>
  <c r="AH191" s="1"/>
  <c r="BG191"/>
  <c r="AJ191" s="1"/>
  <c r="BN191"/>
  <c r="BS191"/>
  <c r="AM191" s="1"/>
  <c r="BT191"/>
  <c r="CT191"/>
  <c r="CU191"/>
  <c r="AF192"/>
  <c r="AG192"/>
  <c r="BF192"/>
  <c r="CV192" s="1"/>
  <c r="BG192"/>
  <c r="BN192"/>
  <c r="AQ192" s="1"/>
  <c r="BS192"/>
  <c r="AM192" s="1"/>
  <c r="BT192"/>
  <c r="AO192" s="1"/>
  <c r="CT192"/>
  <c r="CU192"/>
  <c r="AF193"/>
  <c r="AG193"/>
  <c r="BF193"/>
  <c r="BG193"/>
  <c r="CW193" s="1"/>
  <c r="BN193"/>
  <c r="AQ193" s="1"/>
  <c r="BS193"/>
  <c r="AM193" s="1"/>
  <c r="BT193"/>
  <c r="AO193" s="1"/>
  <c r="CT193"/>
  <c r="CU193"/>
  <c r="AF194"/>
  <c r="AG194"/>
  <c r="BF194"/>
  <c r="AH194" s="1"/>
  <c r="BG194"/>
  <c r="AJ194" s="1"/>
  <c r="BN194"/>
  <c r="AQ194" s="1"/>
  <c r="BS194"/>
  <c r="AM194" s="1"/>
  <c r="BT194"/>
  <c r="CZ194" s="1"/>
  <c r="CT194"/>
  <c r="CU194"/>
  <c r="AF195"/>
  <c r="AG195"/>
  <c r="BF195"/>
  <c r="CV195" s="1"/>
  <c r="BG195"/>
  <c r="AJ195" s="1"/>
  <c r="BN195"/>
  <c r="BS195"/>
  <c r="AM195" s="1"/>
  <c r="BT195"/>
  <c r="CT195"/>
  <c r="CU195"/>
  <c r="AF196"/>
  <c r="AG196"/>
  <c r="BF196"/>
  <c r="CV196" s="1"/>
  <c r="BG196"/>
  <c r="BN196"/>
  <c r="AQ196" s="1"/>
  <c r="BS196"/>
  <c r="AM196" s="1"/>
  <c r="BT196"/>
  <c r="AO196" s="1"/>
  <c r="CT196"/>
  <c r="CU196"/>
  <c r="AF197"/>
  <c r="AG197"/>
  <c r="BF197"/>
  <c r="BG197"/>
  <c r="AJ197" s="1"/>
  <c r="BN197"/>
  <c r="AQ197" s="1"/>
  <c r="BS197"/>
  <c r="AM197" s="1"/>
  <c r="BT197"/>
  <c r="CT197"/>
  <c r="CU197"/>
  <c r="AF198"/>
  <c r="AG198"/>
  <c r="BF198"/>
  <c r="AH198" s="1"/>
  <c r="BG198"/>
  <c r="AJ198" s="1"/>
  <c r="BN198"/>
  <c r="BO198" s="1"/>
  <c r="BS198"/>
  <c r="AM198" s="1"/>
  <c r="BT198"/>
  <c r="CZ198" s="1"/>
  <c r="CT198"/>
  <c r="CU198"/>
  <c r="AF199"/>
  <c r="AG199"/>
  <c r="BF199"/>
  <c r="AH199" s="1"/>
  <c r="BG199"/>
  <c r="CW199" s="1"/>
  <c r="BN199"/>
  <c r="BO199" s="1"/>
  <c r="BS199"/>
  <c r="AM199" s="1"/>
  <c r="BT199"/>
  <c r="CZ199" s="1"/>
  <c r="CT199"/>
  <c r="CU199"/>
  <c r="AF200"/>
  <c r="AG200"/>
  <c r="BF200"/>
  <c r="CV200" s="1"/>
  <c r="BG200"/>
  <c r="BN200"/>
  <c r="AQ200" s="1"/>
  <c r="BS200"/>
  <c r="AM200" s="1"/>
  <c r="BT200"/>
  <c r="AO200" s="1"/>
  <c r="CT200"/>
  <c r="CU200"/>
  <c r="AF6"/>
  <c r="AG6"/>
  <c r="AF7"/>
  <c r="AG7"/>
  <c r="AF8"/>
  <c r="AG8"/>
  <c r="AF9"/>
  <c r="AG9"/>
  <c r="AF10"/>
  <c r="AG10"/>
  <c r="AF11"/>
  <c r="AG11"/>
  <c r="AF12"/>
  <c r="AG12"/>
  <c r="AG5"/>
  <c r="AF5"/>
  <c r="CU12"/>
  <c r="CT12"/>
  <c r="BT12"/>
  <c r="CZ12" s="1"/>
  <c r="BS12"/>
  <c r="CY12" s="1"/>
  <c r="BN12"/>
  <c r="BO12" s="1"/>
  <c r="BG12"/>
  <c r="BF12"/>
  <c r="AH12" s="1"/>
  <c r="CU11"/>
  <c r="CT11"/>
  <c r="BT11"/>
  <c r="BR11" s="1"/>
  <c r="BS11"/>
  <c r="CY11" s="1"/>
  <c r="BN11"/>
  <c r="BO11" s="1"/>
  <c r="BG11"/>
  <c r="CW11" s="1"/>
  <c r="BF11"/>
  <c r="CU10"/>
  <c r="CT10"/>
  <c r="BT10"/>
  <c r="BS10"/>
  <c r="CY10" s="1"/>
  <c r="BN10"/>
  <c r="BO10" s="1"/>
  <c r="BG10"/>
  <c r="CW10" s="1"/>
  <c r="BF10"/>
  <c r="CV10" s="1"/>
  <c r="CU9"/>
  <c r="CT9"/>
  <c r="BT9"/>
  <c r="CZ9" s="1"/>
  <c r="BS9"/>
  <c r="CY9" s="1"/>
  <c r="BN9"/>
  <c r="BO9" s="1"/>
  <c r="BG9"/>
  <c r="CW9" s="1"/>
  <c r="BF9"/>
  <c r="CV9" s="1"/>
  <c r="CU8"/>
  <c r="CT8"/>
  <c r="BT8"/>
  <c r="CZ8" s="1"/>
  <c r="BS8"/>
  <c r="CY8" s="1"/>
  <c r="BN8"/>
  <c r="BO8" s="1"/>
  <c r="BG8"/>
  <c r="BF8"/>
  <c r="CV8" s="1"/>
  <c r="CU7"/>
  <c r="CT7"/>
  <c r="BT7"/>
  <c r="CZ7" s="1"/>
  <c r="BS7"/>
  <c r="CY7" s="1"/>
  <c r="BN7"/>
  <c r="BO7" s="1"/>
  <c r="BG7"/>
  <c r="BF7"/>
  <c r="CV7" s="1"/>
  <c r="CU6"/>
  <c r="CT6"/>
  <c r="BT6"/>
  <c r="BR6" s="1"/>
  <c r="BS6"/>
  <c r="CY6" s="1"/>
  <c r="BN6"/>
  <c r="BO6" s="1"/>
  <c r="BG6"/>
  <c r="CW6" s="1"/>
  <c r="BF6"/>
  <c r="CV6" s="1"/>
  <c r="CU5"/>
  <c r="CT5"/>
  <c r="BT5"/>
  <c r="BS5"/>
  <c r="AM5" s="1"/>
  <c r="BN5"/>
  <c r="AQ5" s="1"/>
  <c r="BG5"/>
  <c r="CW5" s="1"/>
  <c r="BF5"/>
  <c r="CV5" s="1"/>
  <c r="CT17" i="12"/>
  <c r="CS17"/>
  <c r="CT16"/>
  <c r="CS16"/>
  <c r="BS16"/>
  <c r="BR16"/>
  <c r="CX16" s="1"/>
  <c r="BM16"/>
  <c r="BN16" s="1"/>
  <c r="BF16"/>
  <c r="CV16" s="1"/>
  <c r="BE16"/>
  <c r="CU16" s="1"/>
  <c r="CT15"/>
  <c r="CS15"/>
  <c r="BS15"/>
  <c r="CY15" s="1"/>
  <c r="BR15"/>
  <c r="CX15" s="1"/>
  <c r="BM15"/>
  <c r="AP15" s="1"/>
  <c r="BF15"/>
  <c r="CV15" s="1"/>
  <c r="BE15"/>
  <c r="CU15" s="1"/>
  <c r="AL15"/>
  <c r="CT14"/>
  <c r="CS14"/>
  <c r="BS14"/>
  <c r="CY14" s="1"/>
  <c r="BR14"/>
  <c r="CX14" s="1"/>
  <c r="BM14"/>
  <c r="BN14" s="1"/>
  <c r="BF14"/>
  <c r="AI14" s="1"/>
  <c r="BE14"/>
  <c r="CU14" s="1"/>
  <c r="CT13"/>
  <c r="CS13"/>
  <c r="BS13"/>
  <c r="AN13" s="1"/>
  <c r="BR13"/>
  <c r="CX13" s="1"/>
  <c r="BM13"/>
  <c r="BN13" s="1"/>
  <c r="BF13"/>
  <c r="CV13" s="1"/>
  <c r="BE13"/>
  <c r="CU13" s="1"/>
  <c r="CT12"/>
  <c r="CS12"/>
  <c r="BS12"/>
  <c r="CY12" s="1"/>
  <c r="BR12"/>
  <c r="CX12" s="1"/>
  <c r="BM12"/>
  <c r="BN12" s="1"/>
  <c r="BF12"/>
  <c r="BE12"/>
  <c r="CU12" s="1"/>
  <c r="CT11"/>
  <c r="CS11"/>
  <c r="BS11"/>
  <c r="BQ11" s="1"/>
  <c r="BR11"/>
  <c r="CX11" s="1"/>
  <c r="BM11"/>
  <c r="BN11" s="1"/>
  <c r="BF11"/>
  <c r="CV11" s="1"/>
  <c r="BE11"/>
  <c r="BH11" s="1"/>
  <c r="CT10"/>
  <c r="CS10"/>
  <c r="BS10"/>
  <c r="CY10" s="1"/>
  <c r="BR10"/>
  <c r="CX10" s="1"/>
  <c r="BM10"/>
  <c r="BN10" s="1"/>
  <c r="BF10"/>
  <c r="BE10"/>
  <c r="BH10" s="1"/>
  <c r="CT9"/>
  <c r="CS9"/>
  <c r="BS9"/>
  <c r="BQ9" s="1"/>
  <c r="BR9"/>
  <c r="CX9" s="1"/>
  <c r="BM9"/>
  <c r="BN9" s="1"/>
  <c r="BF9"/>
  <c r="CV9" s="1"/>
  <c r="BE9"/>
  <c r="CU9" s="1"/>
  <c r="CT8"/>
  <c r="CS8"/>
  <c r="BS8"/>
  <c r="CY8" s="1"/>
  <c r="BR8"/>
  <c r="CX8" s="1"/>
  <c r="BM8"/>
  <c r="BN8" s="1"/>
  <c r="BF8"/>
  <c r="AI8" s="1"/>
  <c r="BE8"/>
  <c r="CU8" s="1"/>
  <c r="CT7"/>
  <c r="CS7"/>
  <c r="BS7"/>
  <c r="BQ7" s="1"/>
  <c r="BR7"/>
  <c r="CX7" s="1"/>
  <c r="BM7"/>
  <c r="BN7" s="1"/>
  <c r="BF7"/>
  <c r="CV7" s="1"/>
  <c r="BE7"/>
  <c r="CU7" s="1"/>
  <c r="CT6"/>
  <c r="CS6"/>
  <c r="BS6"/>
  <c r="CY6" s="1"/>
  <c r="BR6"/>
  <c r="CX6" s="1"/>
  <c r="BM6"/>
  <c r="BN6" s="1"/>
  <c r="BF6"/>
  <c r="AI6" s="1"/>
  <c r="BE6"/>
  <c r="CU6" s="1"/>
  <c r="CT5"/>
  <c r="CS5"/>
  <c r="BS5"/>
  <c r="BR5"/>
  <c r="CX5" s="1"/>
  <c r="BM5"/>
  <c r="BN5" s="1"/>
  <c r="BF5"/>
  <c r="CV5" s="1"/>
  <c r="BE5"/>
  <c r="CU5" s="1"/>
  <c r="AM11" i="13" l="1"/>
  <c r="CZ15"/>
  <c r="AL9" i="12"/>
  <c r="CZ111" i="13"/>
  <c r="CZ41"/>
  <c r="CY198"/>
  <c r="CY64"/>
  <c r="CY41"/>
  <c r="CZ115"/>
  <c r="CV115"/>
  <c r="CY195"/>
  <c r="DU195" s="1"/>
  <c r="CV111"/>
  <c r="BU107"/>
  <c r="DA107" s="1"/>
  <c r="DB107" s="1"/>
  <c r="DC107" s="1"/>
  <c r="CZ152"/>
  <c r="CW145"/>
  <c r="BI115"/>
  <c r="CV114"/>
  <c r="CV98"/>
  <c r="CV95"/>
  <c r="CZ127"/>
  <c r="CZ135"/>
  <c r="CY152"/>
  <c r="CZ145"/>
  <c r="CV136"/>
  <c r="CW161"/>
  <c r="CW125"/>
  <c r="CW137"/>
  <c r="BI136"/>
  <c r="AP130"/>
  <c r="AR129"/>
  <c r="CZ122"/>
  <c r="AP146"/>
  <c r="CV126"/>
  <c r="CV124"/>
  <c r="AP122"/>
  <c r="CV99"/>
  <c r="AQ8"/>
  <c r="CV167"/>
  <c r="CV122"/>
  <c r="DU122" s="1"/>
  <c r="AK122" s="1"/>
  <c r="CW190"/>
  <c r="CV75"/>
  <c r="DU9"/>
  <c r="AK9" s="1"/>
  <c r="CZ72"/>
  <c r="CV190"/>
  <c r="CV179"/>
  <c r="CZ148"/>
  <c r="CV89"/>
  <c r="CZ81"/>
  <c r="CV101"/>
  <c r="CZ112"/>
  <c r="CV71"/>
  <c r="CZ178"/>
  <c r="CV58"/>
  <c r="DU58" s="1"/>
  <c r="BH107"/>
  <c r="AI107" s="1"/>
  <c r="BI167"/>
  <c r="CY175"/>
  <c r="BU191"/>
  <c r="DA191" s="1"/>
  <c r="DB191" s="1"/>
  <c r="BU175"/>
  <c r="DA175" s="1"/>
  <c r="DB175" s="1"/>
  <c r="DC175" s="1"/>
  <c r="CV160"/>
  <c r="CV140"/>
  <c r="AP134"/>
  <c r="CV94"/>
  <c r="BI196"/>
  <c r="CY190"/>
  <c r="DU190" s="1"/>
  <c r="AK190" s="1"/>
  <c r="BI190"/>
  <c r="CV178"/>
  <c r="DU178" s="1"/>
  <c r="AJ178"/>
  <c r="AP178" s="1"/>
  <c r="CW171"/>
  <c r="CW166"/>
  <c r="AJ101"/>
  <c r="AP101" s="1"/>
  <c r="CZ84"/>
  <c r="CY168"/>
  <c r="AH196"/>
  <c r="CV188"/>
  <c r="CZ169"/>
  <c r="BU163"/>
  <c r="DA163" s="1"/>
  <c r="AN163" s="1"/>
  <c r="CY95"/>
  <c r="BU95"/>
  <c r="DA95" s="1"/>
  <c r="DB95" s="1"/>
  <c r="DC95" s="1"/>
  <c r="CZ73"/>
  <c r="CW71"/>
  <c r="CV70"/>
  <c r="CV59"/>
  <c r="AR160"/>
  <c r="CV84"/>
  <c r="CZ133"/>
  <c r="CZ61"/>
  <c r="CV57"/>
  <c r="AP43"/>
  <c r="CV39"/>
  <c r="DU39" s="1"/>
  <c r="AK39" s="1"/>
  <c r="CW19"/>
  <c r="CZ143"/>
  <c r="CZ121"/>
  <c r="CZ17"/>
  <c r="AH99"/>
  <c r="CZ138"/>
  <c r="AH48"/>
  <c r="CV172"/>
  <c r="BU168"/>
  <c r="DA168" s="1"/>
  <c r="DB168" s="1"/>
  <c r="DC168" s="1"/>
  <c r="CV166"/>
  <c r="CZ150"/>
  <c r="CV148"/>
  <c r="CW143"/>
  <c r="BU143"/>
  <c r="DA143" s="1"/>
  <c r="AP138"/>
  <c r="AP121"/>
  <c r="CZ116"/>
  <c r="CW109"/>
  <c r="CV107"/>
  <c r="DU107" s="1"/>
  <c r="AP81"/>
  <c r="CV72"/>
  <c r="CV67"/>
  <c r="CZ62"/>
  <c r="CW58"/>
  <c r="AP51"/>
  <c r="CV47"/>
  <c r="CV35"/>
  <c r="CV33"/>
  <c r="AH33"/>
  <c r="AP154"/>
  <c r="CV142"/>
  <c r="CV134"/>
  <c r="CZ132"/>
  <c r="CV105"/>
  <c r="BI98"/>
  <c r="CZ93"/>
  <c r="CZ25"/>
  <c r="CV19"/>
  <c r="CV17"/>
  <c r="BO143"/>
  <c r="BI140"/>
  <c r="CW81"/>
  <c r="BU50"/>
  <c r="DA50" s="1"/>
  <c r="CW48"/>
  <c r="CZ184"/>
  <c r="BH84"/>
  <c r="AI84" s="1"/>
  <c r="CZ56"/>
  <c r="AR22"/>
  <c r="CV93"/>
  <c r="CZ54"/>
  <c r="DU187"/>
  <c r="DV187" s="1"/>
  <c r="AL187" s="1"/>
  <c r="BI107"/>
  <c r="CV97"/>
  <c r="AH84"/>
  <c r="AH59"/>
  <c r="CV132"/>
  <c r="BU116"/>
  <c r="DA116" s="1"/>
  <c r="DB116" s="1"/>
  <c r="DC116" s="1"/>
  <c r="BI58"/>
  <c r="CZ49"/>
  <c r="CV29"/>
  <c r="AH134"/>
  <c r="BH132"/>
  <c r="AI132" s="1"/>
  <c r="BI122"/>
  <c r="AH160"/>
  <c r="CZ146"/>
  <c r="AP142"/>
  <c r="BR121"/>
  <c r="CV119"/>
  <c r="DU119" s="1"/>
  <c r="DV119" s="1"/>
  <c r="AL119" s="1"/>
  <c r="BH95"/>
  <c r="AI95" s="1"/>
  <c r="CZ69"/>
  <c r="BH62"/>
  <c r="AI62" s="1"/>
  <c r="BI95"/>
  <c r="CZ86"/>
  <c r="CZ58"/>
  <c r="BI57"/>
  <c r="CW42"/>
  <c r="BR41"/>
  <c r="AH163"/>
  <c r="AH71"/>
  <c r="CV62"/>
  <c r="CZ60"/>
  <c r="CV55"/>
  <c r="CV51"/>
  <c r="CV49"/>
  <c r="AP39"/>
  <c r="CV37"/>
  <c r="CV32"/>
  <c r="CZ27"/>
  <c r="CV25"/>
  <c r="BO181"/>
  <c r="BH175"/>
  <c r="AI175" s="1"/>
  <c r="CY172"/>
  <c r="BH163"/>
  <c r="AI163" s="1"/>
  <c r="CZ157"/>
  <c r="CZ153"/>
  <c r="BU153"/>
  <c r="DA153" s="1"/>
  <c r="AN153" s="1"/>
  <c r="BH147"/>
  <c r="AI147" s="1"/>
  <c r="CY142"/>
  <c r="CZ130"/>
  <c r="CZ129"/>
  <c r="BU129"/>
  <c r="DA129" s="1"/>
  <c r="AN129" s="1"/>
  <c r="BO116"/>
  <c r="BH110"/>
  <c r="CX110" s="1"/>
  <c r="CY109"/>
  <c r="CW98"/>
  <c r="BU98"/>
  <c r="DA98" s="1"/>
  <c r="DB98" s="1"/>
  <c r="DC98" s="1"/>
  <c r="BH98"/>
  <c r="AI98" s="1"/>
  <c r="CY89"/>
  <c r="BU82"/>
  <c r="DA82" s="1"/>
  <c r="AN82" s="1"/>
  <c r="BU80"/>
  <c r="DA80" s="1"/>
  <c r="AN80" s="1"/>
  <c r="CY59"/>
  <c r="BH52"/>
  <c r="AI52" s="1"/>
  <c r="CY51"/>
  <c r="BO48"/>
  <c r="BH40"/>
  <c r="AI40" s="1"/>
  <c r="BH30"/>
  <c r="CX30" s="1"/>
  <c r="AQ198"/>
  <c r="AR198" s="1"/>
  <c r="CY182"/>
  <c r="BR181"/>
  <c r="BR168"/>
  <c r="CY161"/>
  <c r="CY160"/>
  <c r="DU160" s="1"/>
  <c r="DV160" s="1"/>
  <c r="AL160" s="1"/>
  <c r="BU160"/>
  <c r="DA160" s="1"/>
  <c r="AN160" s="1"/>
  <c r="BH160"/>
  <c r="CX160" s="1"/>
  <c r="BH143"/>
  <c r="AI143" s="1"/>
  <c r="CW141"/>
  <c r="CY134"/>
  <c r="CY124"/>
  <c r="BU124"/>
  <c r="DA124" s="1"/>
  <c r="DB124" s="1"/>
  <c r="DC124" s="1"/>
  <c r="CW108"/>
  <c r="BO104"/>
  <c r="CZ101"/>
  <c r="CY99"/>
  <c r="CY98"/>
  <c r="AJ97"/>
  <c r="AP97" s="1"/>
  <c r="CW74"/>
  <c r="CY70"/>
  <c r="BI70"/>
  <c r="CY66"/>
  <c r="BO65"/>
  <c r="AJ65"/>
  <c r="BO61"/>
  <c r="BH28"/>
  <c r="AI28" s="1"/>
  <c r="BR21"/>
  <c r="BH14"/>
  <c r="CX14" s="1"/>
  <c r="BU10"/>
  <c r="DA10" s="1"/>
  <c r="AN10" s="1"/>
  <c r="BH12"/>
  <c r="CW197"/>
  <c r="BH192"/>
  <c r="AI192" s="1"/>
  <c r="CW191"/>
  <c r="BO185"/>
  <c r="BH182"/>
  <c r="CX182" s="1"/>
  <c r="CZ181"/>
  <c r="BH181"/>
  <c r="AI181" s="1"/>
  <c r="CV180"/>
  <c r="BI179"/>
  <c r="BH176"/>
  <c r="AI176" s="1"/>
  <c r="CY166"/>
  <c r="DU166" s="1"/>
  <c r="AK166" s="1"/>
  <c r="BO165"/>
  <c r="CZ160"/>
  <c r="CV158"/>
  <c r="DU158" s="1"/>
  <c r="CW157"/>
  <c r="CV154"/>
  <c r="BH148"/>
  <c r="CW147"/>
  <c r="CV146"/>
  <c r="DU146" s="1"/>
  <c r="AK146" s="1"/>
  <c r="AR145"/>
  <c r="CY140"/>
  <c r="BH140"/>
  <c r="AI140" s="1"/>
  <c r="CV138"/>
  <c r="CY136"/>
  <c r="DU136" s="1"/>
  <c r="AK136" s="1"/>
  <c r="BU136"/>
  <c r="DA136" s="1"/>
  <c r="CZ134"/>
  <c r="CW131"/>
  <c r="CV130"/>
  <c r="DU130" s="1"/>
  <c r="AP126"/>
  <c r="AR125"/>
  <c r="BI124"/>
  <c r="CW118"/>
  <c r="CY116"/>
  <c r="BH115"/>
  <c r="AI115" s="1"/>
  <c r="CW113"/>
  <c r="BU113"/>
  <c r="DA113" s="1"/>
  <c r="AN113" s="1"/>
  <c r="BH111"/>
  <c r="AI111" s="1"/>
  <c r="CW106"/>
  <c r="CZ99"/>
  <c r="CW96"/>
  <c r="AR91"/>
  <c r="CV86"/>
  <c r="BU76"/>
  <c r="DA76" s="1"/>
  <c r="AN76" s="1"/>
  <c r="AR73"/>
  <c r="BI72"/>
  <c r="BU63"/>
  <c r="DA63" s="1"/>
  <c r="DB63" s="1"/>
  <c r="DC63" s="1"/>
  <c r="CY62"/>
  <c r="CV60"/>
  <c r="CW54"/>
  <c r="CV53"/>
  <c r="BO52"/>
  <c r="AP47"/>
  <c r="CV45"/>
  <c r="CW22"/>
  <c r="BK14"/>
  <c r="AS14" s="1"/>
  <c r="BU13"/>
  <c r="DA13" s="1"/>
  <c r="DB13" s="1"/>
  <c r="DC13" s="1"/>
  <c r="BH196"/>
  <c r="AI196" s="1"/>
  <c r="BO194"/>
  <c r="BR192"/>
  <c r="BI191"/>
  <c r="BH189"/>
  <c r="CX189" s="1"/>
  <c r="AH175"/>
  <c r="BH173"/>
  <c r="AI173" s="1"/>
  <c r="BH172"/>
  <c r="AI172" s="1"/>
  <c r="CV170"/>
  <c r="CW169"/>
  <c r="CZ166"/>
  <c r="CW163"/>
  <c r="CW162"/>
  <c r="AJ153"/>
  <c r="AP153" s="1"/>
  <c r="BK151"/>
  <c r="AS151" s="1"/>
  <c r="BK150"/>
  <c r="AS150" s="1"/>
  <c r="AH147"/>
  <c r="BI146"/>
  <c r="BH136"/>
  <c r="CW120"/>
  <c r="BK106"/>
  <c r="AS106" s="1"/>
  <c r="CV20"/>
  <c r="BR18"/>
  <c r="CW16"/>
  <c r="CW15"/>
  <c r="CZ200"/>
  <c r="AR197"/>
  <c r="CV182"/>
  <c r="CV176"/>
  <c r="DU176" s="1"/>
  <c r="DV176" s="1"/>
  <c r="AL176" s="1"/>
  <c r="AH176"/>
  <c r="CW175"/>
  <c r="CW174"/>
  <c r="AR172"/>
  <c r="CY169"/>
  <c r="BU169"/>
  <c r="DA169" s="1"/>
  <c r="AN169" s="1"/>
  <c r="AJ151"/>
  <c r="AP151" s="1"/>
  <c r="CV150"/>
  <c r="DU150" s="1"/>
  <c r="BK146"/>
  <c r="AS146" s="1"/>
  <c r="AM146"/>
  <c r="CY145"/>
  <c r="BU145"/>
  <c r="DA145" s="1"/>
  <c r="AN145" s="1"/>
  <c r="BU144"/>
  <c r="DA144" s="1"/>
  <c r="DB144" s="1"/>
  <c r="DC144" s="1"/>
  <c r="BR115"/>
  <c r="BK113"/>
  <c r="AS113" s="1"/>
  <c r="BH105"/>
  <c r="AI105" s="1"/>
  <c r="AR103"/>
  <c r="CY96"/>
  <c r="AP96"/>
  <c r="CZ95"/>
  <c r="BH90"/>
  <c r="AI90" s="1"/>
  <c r="BU68"/>
  <c r="DA68" s="1"/>
  <c r="AN68" s="1"/>
  <c r="BH66"/>
  <c r="CX66" s="1"/>
  <c r="CY53"/>
  <c r="CY47"/>
  <c r="CY46"/>
  <c r="BH45"/>
  <c r="AI45" s="1"/>
  <c r="CY38"/>
  <c r="BK38"/>
  <c r="AS38" s="1"/>
  <c r="BH37"/>
  <c r="BH29"/>
  <c r="CX29" s="1"/>
  <c r="BU194"/>
  <c r="DA194" s="1"/>
  <c r="AN194" s="1"/>
  <c r="CW185"/>
  <c r="AP177"/>
  <c r="AP161"/>
  <c r="BI119"/>
  <c r="BR116"/>
  <c r="BR103"/>
  <c r="AO103"/>
  <c r="BK100"/>
  <c r="AS100" s="1"/>
  <c r="BH99"/>
  <c r="AI99" s="1"/>
  <c r="CY97"/>
  <c r="AR95"/>
  <c r="BI86"/>
  <c r="CW83"/>
  <c r="BO77"/>
  <c r="BR76"/>
  <c r="BI75"/>
  <c r="CZ70"/>
  <c r="BK70"/>
  <c r="CY67"/>
  <c r="CZ66"/>
  <c r="BK66"/>
  <c r="AS66" s="1"/>
  <c r="CW56"/>
  <c r="CZ46"/>
  <c r="BU46"/>
  <c r="DA46" s="1"/>
  <c r="AN46" s="1"/>
  <c r="BO46"/>
  <c r="BI45"/>
  <c r="BH44"/>
  <c r="AI44" s="1"/>
  <c r="CW40"/>
  <c r="CZ38"/>
  <c r="BU38"/>
  <c r="DA38" s="1"/>
  <c r="BO38"/>
  <c r="BI37"/>
  <c r="BH36"/>
  <c r="AI36" s="1"/>
  <c r="CY35"/>
  <c r="BI29"/>
  <c r="BK27"/>
  <c r="AS27" s="1"/>
  <c r="BU26"/>
  <c r="DA26" s="1"/>
  <c r="CY18"/>
  <c r="BK15"/>
  <c r="AS15" s="1"/>
  <c r="BI13"/>
  <c r="BU197"/>
  <c r="DA197" s="1"/>
  <c r="BR196"/>
  <c r="BH191"/>
  <c r="CX191" s="1"/>
  <c r="BI166"/>
  <c r="AO160"/>
  <c r="AP147"/>
  <c r="BR143"/>
  <c r="BO139"/>
  <c r="BH124"/>
  <c r="AI124" s="1"/>
  <c r="BR120"/>
  <c r="CW117"/>
  <c r="BK101"/>
  <c r="AS101" s="1"/>
  <c r="BH100"/>
  <c r="AI100" s="1"/>
  <c r="CW94"/>
  <c r="CV90"/>
  <c r="AH90"/>
  <c r="BK86"/>
  <c r="AS86" s="1"/>
  <c r="AR81"/>
  <c r="CZ77"/>
  <c r="CV74"/>
  <c r="BH73"/>
  <c r="CX73" s="1"/>
  <c r="BH72"/>
  <c r="CX72" s="1"/>
  <c r="CW69"/>
  <c r="BI67"/>
  <c r="CV66"/>
  <c r="CZ63"/>
  <c r="CW62"/>
  <c r="CY61"/>
  <c r="BU61"/>
  <c r="DA61" s="1"/>
  <c r="DB61" s="1"/>
  <c r="DC61" s="1"/>
  <c r="CY57"/>
  <c r="BU57"/>
  <c r="DA57" s="1"/>
  <c r="AN57" s="1"/>
  <c r="CW50"/>
  <c r="BR46"/>
  <c r="BR38"/>
  <c r="BH33"/>
  <c r="AI33" s="1"/>
  <c r="CV31"/>
  <c r="DU31" s="1"/>
  <c r="CV27"/>
  <c r="AJ27"/>
  <c r="AP27" s="1"/>
  <c r="BH26"/>
  <c r="CX26" s="1"/>
  <c r="BU24"/>
  <c r="DA24" s="1"/>
  <c r="AN24" s="1"/>
  <c r="BH23"/>
  <c r="AI23" s="1"/>
  <c r="CY22"/>
  <c r="BU22"/>
  <c r="DA22" s="1"/>
  <c r="DB22" s="1"/>
  <c r="DC22" s="1"/>
  <c r="CZ18"/>
  <c r="BU18"/>
  <c r="DA18" s="1"/>
  <c r="AN18" s="1"/>
  <c r="BO18"/>
  <c r="BR17"/>
  <c r="CV16"/>
  <c r="CV15"/>
  <c r="DU15" s="1"/>
  <c r="AM15"/>
  <c r="CZ14"/>
  <c r="AQ10"/>
  <c r="BR200"/>
  <c r="BI199"/>
  <c r="AJ199"/>
  <c r="BU198"/>
  <c r="DA198" s="1"/>
  <c r="DB198" s="1"/>
  <c r="DC198" s="1"/>
  <c r="CW194"/>
  <c r="AR193"/>
  <c r="BI192"/>
  <c r="AH192"/>
  <c r="CV191"/>
  <c r="AP189"/>
  <c r="BK189"/>
  <c r="AS189" s="1"/>
  <c r="AH188"/>
  <c r="CV186"/>
  <c r="DU186" s="1"/>
  <c r="BR184"/>
  <c r="CV183"/>
  <c r="BR180"/>
  <c r="BK178"/>
  <c r="AS178" s="1"/>
  <c r="AM178"/>
  <c r="CZ177"/>
  <c r="BH177"/>
  <c r="AI177" s="1"/>
  <c r="CV175"/>
  <c r="BK171"/>
  <c r="AS171" s="1"/>
  <c r="AP169"/>
  <c r="BH166"/>
  <c r="AI166" s="1"/>
  <c r="CY165"/>
  <c r="BH164"/>
  <c r="CX164" s="1"/>
  <c r="DU163"/>
  <c r="DV163" s="1"/>
  <c r="AL163" s="1"/>
  <c r="BI163"/>
  <c r="CZ162"/>
  <c r="BH161"/>
  <c r="AI161" s="1"/>
  <c r="AM158"/>
  <c r="AR158" s="1"/>
  <c r="BU157"/>
  <c r="DA157" s="1"/>
  <c r="AN157" s="1"/>
  <c r="AO144"/>
  <c r="BK143"/>
  <c r="AS143" s="1"/>
  <c r="BU140"/>
  <c r="DA140" s="1"/>
  <c r="DB140" s="1"/>
  <c r="DC140" s="1"/>
  <c r="AO139"/>
  <c r="AP139" s="1"/>
  <c r="BK134"/>
  <c r="AS134" s="1"/>
  <c r="AJ129"/>
  <c r="AP129" s="1"/>
  <c r="AO127"/>
  <c r="AM113"/>
  <c r="BK112"/>
  <c r="AS112" s="1"/>
  <c r="BI110"/>
  <c r="AJ110"/>
  <c r="CV109"/>
  <c r="AR108"/>
  <c r="CY105"/>
  <c r="CY104"/>
  <c r="BU104"/>
  <c r="DA104" s="1"/>
  <c r="AN104" s="1"/>
  <c r="BI102"/>
  <c r="AH102"/>
  <c r="CY101"/>
  <c r="BI101"/>
  <c r="CW100"/>
  <c r="AJ100"/>
  <c r="AP85"/>
  <c r="CY75"/>
  <c r="CY74"/>
  <c r="BI74"/>
  <c r="CW73"/>
  <c r="BU71"/>
  <c r="DA71" s="1"/>
  <c r="DB71" s="1"/>
  <c r="DC71" s="1"/>
  <c r="BR68"/>
  <c r="BI62"/>
  <c r="BR60"/>
  <c r="BK54"/>
  <c r="AS54" s="1"/>
  <c r="BU53"/>
  <c r="DA53" s="1"/>
  <c r="CZ52"/>
  <c r="CV43"/>
  <c r="DU43" s="1"/>
  <c r="AK43" s="1"/>
  <c r="AJ40"/>
  <c r="AP40" s="1"/>
  <c r="BK39"/>
  <c r="AS39" s="1"/>
  <c r="AM39"/>
  <c r="CW35"/>
  <c r="CZ31"/>
  <c r="BK31"/>
  <c r="AS31" s="1"/>
  <c r="AM31"/>
  <c r="CZ30"/>
  <c r="CY28"/>
  <c r="BI28"/>
  <c r="AJ28"/>
  <c r="BI25"/>
  <c r="CW23"/>
  <c r="AH16"/>
  <c r="BI15"/>
  <c r="BR14"/>
  <c r="BK177"/>
  <c r="AS177" s="1"/>
  <c r="CZ165"/>
  <c r="BU165"/>
  <c r="DA165" s="1"/>
  <c r="DB165" s="1"/>
  <c r="DC165" s="1"/>
  <c r="BK162"/>
  <c r="AS162" s="1"/>
  <c r="CY154"/>
  <c r="BO153"/>
  <c r="AM150"/>
  <c r="BO149"/>
  <c r="BO147"/>
  <c r="BO145"/>
  <c r="AP141"/>
  <c r="BO137"/>
  <c r="BI130"/>
  <c r="BU128"/>
  <c r="DA128" s="1"/>
  <c r="AN128" s="1"/>
  <c r="BO127"/>
  <c r="CY126"/>
  <c r="AM119"/>
  <c r="AR119" s="1"/>
  <c r="CV118"/>
  <c r="AR112"/>
  <c r="AO112"/>
  <c r="AP112" s="1"/>
  <c r="AP109"/>
  <c r="BU94"/>
  <c r="DA94" s="1"/>
  <c r="DB94" s="1"/>
  <c r="DC94" s="1"/>
  <c r="BH89"/>
  <c r="AI89" s="1"/>
  <c r="CV80"/>
  <c r="DU80" s="1"/>
  <c r="AK80" s="1"/>
  <c r="AR76"/>
  <c r="CZ74"/>
  <c r="BK74"/>
  <c r="AS74" s="1"/>
  <c r="CY73"/>
  <c r="CY71"/>
  <c r="BH71"/>
  <c r="AI71" s="1"/>
  <c r="BH70"/>
  <c r="CX70" s="1"/>
  <c r="BO69"/>
  <c r="CW67"/>
  <c r="BU67"/>
  <c r="DA67" s="1"/>
  <c r="DB67" s="1"/>
  <c r="DC67" s="1"/>
  <c r="BH67"/>
  <c r="AI67" s="1"/>
  <c r="BU64"/>
  <c r="DA64" s="1"/>
  <c r="AN64" s="1"/>
  <c r="BI53"/>
  <c r="AH52"/>
  <c r="CV199"/>
  <c r="BR189"/>
  <c r="CY188"/>
  <c r="BU188"/>
  <c r="DA188" s="1"/>
  <c r="AN188" s="1"/>
  <c r="BH188"/>
  <c r="CX188" s="1"/>
  <c r="BH187"/>
  <c r="AI187" s="1"/>
  <c r="BH186"/>
  <c r="AI186" s="1"/>
  <c r="BU185"/>
  <c r="DA185" s="1"/>
  <c r="BH183"/>
  <c r="AI183" s="1"/>
  <c r="BI182"/>
  <c r="AJ182"/>
  <c r="AP182" s="1"/>
  <c r="CY181"/>
  <c r="BH180"/>
  <c r="CX180" s="1"/>
  <c r="CW179"/>
  <c r="BU179"/>
  <c r="DA179" s="1"/>
  <c r="DB179" s="1"/>
  <c r="DC179" s="1"/>
  <c r="BH179"/>
  <c r="AI179" s="1"/>
  <c r="CZ174"/>
  <c r="CZ172"/>
  <c r="BI172"/>
  <c r="CY171"/>
  <c r="BU171"/>
  <c r="DA171" s="1"/>
  <c r="DB171" s="1"/>
  <c r="DC171" s="1"/>
  <c r="BO169"/>
  <c r="BK166"/>
  <c r="BR165"/>
  <c r="CV164"/>
  <c r="CV159"/>
  <c r="BR156"/>
  <c r="AO156"/>
  <c r="BO155"/>
  <c r="AH155"/>
  <c r="CZ154"/>
  <c r="BI154"/>
  <c r="BU152"/>
  <c r="DA152" s="1"/>
  <c r="AN152" s="1"/>
  <c r="AP150"/>
  <c r="CZ149"/>
  <c r="AP143"/>
  <c r="CY141"/>
  <c r="BU141"/>
  <c r="DA141" s="1"/>
  <c r="AN141" s="1"/>
  <c r="AR140"/>
  <c r="AR128"/>
  <c r="BH127"/>
  <c r="AI127" s="1"/>
  <c r="CY125"/>
  <c r="BK122"/>
  <c r="AS122" s="1"/>
  <c r="AM122"/>
  <c r="BH118"/>
  <c r="CX118" s="1"/>
  <c r="DD118" s="1"/>
  <c r="DF118" s="1"/>
  <c r="BI117"/>
  <c r="BO112"/>
  <c r="CV110"/>
  <c r="AP108"/>
  <c r="CZ107"/>
  <c r="CY94"/>
  <c r="BI94"/>
  <c r="CW92"/>
  <c r="BI89"/>
  <c r="AJ89"/>
  <c r="AP89" s="1"/>
  <c r="BU87"/>
  <c r="DA87" s="1"/>
  <c r="AN87" s="1"/>
  <c r="BR84"/>
  <c r="BK65"/>
  <c r="AS65" s="1"/>
  <c r="BI64"/>
  <c r="BK63"/>
  <c r="AS63" s="1"/>
  <c r="BR61"/>
  <c r="BH60"/>
  <c r="CX60" s="1"/>
  <c r="AR57"/>
  <c r="BO54"/>
  <c r="CY49"/>
  <c r="AP48"/>
  <c r="BH48"/>
  <c r="AI48" s="1"/>
  <c r="CZ47"/>
  <c r="BI47"/>
  <c r="AP46"/>
  <c r="DU41"/>
  <c r="DV41" s="1"/>
  <c r="AL41" s="1"/>
  <c r="BH34"/>
  <c r="CW32"/>
  <c r="BU32"/>
  <c r="DA32" s="1"/>
  <c r="DB32" s="1"/>
  <c r="DC32" s="1"/>
  <c r="BH32"/>
  <c r="AI32" s="1"/>
  <c r="BH31"/>
  <c r="AI31" s="1"/>
  <c r="BO30"/>
  <c r="CV28"/>
  <c r="BK24"/>
  <c r="AS24" s="1"/>
  <c r="BO22"/>
  <c r="BH19"/>
  <c r="AI19" s="1"/>
  <c r="BU16"/>
  <c r="DA16" s="1"/>
  <c r="DB16" s="1"/>
  <c r="DC16" s="1"/>
  <c r="BH199"/>
  <c r="CX199" s="1"/>
  <c r="DD199" s="1"/>
  <c r="DF199" s="1"/>
  <c r="CZ190"/>
  <c r="BK190"/>
  <c r="CZ189"/>
  <c r="BK187"/>
  <c r="BU181"/>
  <c r="DA181" s="1"/>
  <c r="DB181" s="1"/>
  <c r="DC181" s="1"/>
  <c r="BI178"/>
  <c r="BR177"/>
  <c r="BK174"/>
  <c r="AS174" s="1"/>
  <c r="AO172"/>
  <c r="CY170"/>
  <c r="BI170"/>
  <c r="CZ155"/>
  <c r="BK154"/>
  <c r="AS154" s="1"/>
  <c r="AR141"/>
  <c r="BK138"/>
  <c r="AS138" s="1"/>
  <c r="BO133"/>
  <c r="BR132"/>
  <c r="BU127"/>
  <c r="DA127" s="1"/>
  <c r="AN127" s="1"/>
  <c r="BK127"/>
  <c r="AS127" s="1"/>
  <c r="AP123"/>
  <c r="CY120"/>
  <c r="BI118"/>
  <c r="AR116"/>
  <c r="CY113"/>
  <c r="BI113"/>
  <c r="BI111"/>
  <c r="CW110"/>
  <c r="BU110"/>
  <c r="DA110" s="1"/>
  <c r="AN110" s="1"/>
  <c r="CZ109"/>
  <c r="BK109"/>
  <c r="BH108"/>
  <c r="AR107"/>
  <c r="CY106"/>
  <c r="BU106"/>
  <c r="DA106" s="1"/>
  <c r="DB106" s="1"/>
  <c r="DC106" s="1"/>
  <c r="CW105"/>
  <c r="CW102"/>
  <c r="BU102"/>
  <c r="DA102" s="1"/>
  <c r="AN102" s="1"/>
  <c r="BH102"/>
  <c r="AI102" s="1"/>
  <c r="CZ98"/>
  <c r="CZ97"/>
  <c r="BK97"/>
  <c r="AS97" s="1"/>
  <c r="AR96"/>
  <c r="CZ94"/>
  <c r="CY93"/>
  <c r="DU93" s="1"/>
  <c r="AK93" s="1"/>
  <c r="BH93"/>
  <c r="CX93" s="1"/>
  <c r="CY92"/>
  <c r="BU92"/>
  <c r="DA92" s="1"/>
  <c r="DB92" s="1"/>
  <c r="DC92" s="1"/>
  <c r="BU91"/>
  <c r="DA91" s="1"/>
  <c r="DB91" s="1"/>
  <c r="DC91" s="1"/>
  <c r="CW90"/>
  <c r="CZ89"/>
  <c r="BK89"/>
  <c r="CV88"/>
  <c r="DU88" s="1"/>
  <c r="DV88" s="1"/>
  <c r="AL88" s="1"/>
  <c r="BO81"/>
  <c r="CV79"/>
  <c r="DU79" s="1"/>
  <c r="BR77"/>
  <c r="CW75"/>
  <c r="BU75"/>
  <c r="DA75" s="1"/>
  <c r="AN75" s="1"/>
  <c r="BH75"/>
  <c r="AI75" s="1"/>
  <c r="CY69"/>
  <c r="AP69"/>
  <c r="AH64"/>
  <c r="CW63"/>
  <c r="BK61"/>
  <c r="AS61" s="1"/>
  <c r="AR60"/>
  <c r="BK58"/>
  <c r="AP56"/>
  <c r="BR54"/>
  <c r="BK47"/>
  <c r="AS47" s="1"/>
  <c r="BU42"/>
  <c r="DA42" s="1"/>
  <c r="AN42" s="1"/>
  <c r="AH40"/>
  <c r="CZ39"/>
  <c r="BI39"/>
  <c r="AR34"/>
  <c r="CY32"/>
  <c r="DU32" s="1"/>
  <c r="DV32" s="1"/>
  <c r="AL32" s="1"/>
  <c r="BI32"/>
  <c r="BI31"/>
  <c r="AJ31"/>
  <c r="AP31" s="1"/>
  <c r="BR30"/>
  <c r="CW28"/>
  <c r="BU28"/>
  <c r="DA28" s="1"/>
  <c r="DB28" s="1"/>
  <c r="DC28" s="1"/>
  <c r="CW26"/>
  <c r="AJ26"/>
  <c r="CY25"/>
  <c r="BU25"/>
  <c r="DA25" s="1"/>
  <c r="AN25" s="1"/>
  <c r="BH25"/>
  <c r="CX25" s="1"/>
  <c r="CW24"/>
  <c r="CV23"/>
  <c r="DU23" s="1"/>
  <c r="BU21"/>
  <c r="DA21" s="1"/>
  <c r="DB21" s="1"/>
  <c r="DC21" s="1"/>
  <c r="BH20"/>
  <c r="AI20" s="1"/>
  <c r="CY19"/>
  <c r="BI19"/>
  <c r="BH18"/>
  <c r="BH17"/>
  <c r="BH16"/>
  <c r="AI16" s="1"/>
  <c r="BH15"/>
  <c r="AI15" s="1"/>
  <c r="BO14"/>
  <c r="BR173"/>
  <c r="CZ173"/>
  <c r="BU173"/>
  <c r="DA173" s="1"/>
  <c r="DB173" s="1"/>
  <c r="DC173" s="1"/>
  <c r="BI171"/>
  <c r="AH171"/>
  <c r="BH171"/>
  <c r="AI171" s="1"/>
  <c r="CV171"/>
  <c r="AO170"/>
  <c r="CZ170"/>
  <c r="BH170"/>
  <c r="AI170" s="1"/>
  <c r="AJ170"/>
  <c r="AH168"/>
  <c r="BI168"/>
  <c r="CV168"/>
  <c r="AM167"/>
  <c r="CY167"/>
  <c r="DU167" s="1"/>
  <c r="AM164"/>
  <c r="AR164" s="1"/>
  <c r="CY164"/>
  <c r="AH162"/>
  <c r="BI162"/>
  <c r="BR161"/>
  <c r="CZ161"/>
  <c r="BU161"/>
  <c r="DA161" s="1"/>
  <c r="AN161" s="1"/>
  <c r="AJ159"/>
  <c r="BH159"/>
  <c r="AI159" s="1"/>
  <c r="CW159"/>
  <c r="BU151"/>
  <c r="DA151" s="1"/>
  <c r="DB151" s="1"/>
  <c r="DC151" s="1"/>
  <c r="CY151"/>
  <c r="BI200"/>
  <c r="AH200"/>
  <c r="CY199"/>
  <c r="CZ197"/>
  <c r="BR197"/>
  <c r="BH197"/>
  <c r="AI197" s="1"/>
  <c r="AO197"/>
  <c r="AP197" s="1"/>
  <c r="CZ196"/>
  <c r="AR196"/>
  <c r="CW195"/>
  <c r="BH195"/>
  <c r="CY194"/>
  <c r="AR194"/>
  <c r="CZ193"/>
  <c r="BR193"/>
  <c r="CZ192"/>
  <c r="AR192"/>
  <c r="BK191"/>
  <c r="AS191" s="1"/>
  <c r="AP190"/>
  <c r="BH190"/>
  <c r="AI190" s="1"/>
  <c r="CY189"/>
  <c r="BU189"/>
  <c r="DA189" s="1"/>
  <c r="AN189" s="1"/>
  <c r="BO189"/>
  <c r="BR188"/>
  <c r="CW187"/>
  <c r="BU187"/>
  <c r="DA187" s="1"/>
  <c r="AN187" s="1"/>
  <c r="AH187"/>
  <c r="CZ186"/>
  <c r="BK186"/>
  <c r="AS186" s="1"/>
  <c r="AM186"/>
  <c r="BK185"/>
  <c r="AS185" s="1"/>
  <c r="CY184"/>
  <c r="DU184" s="1"/>
  <c r="BU184"/>
  <c r="DA184" s="1"/>
  <c r="BI184"/>
  <c r="AH184"/>
  <c r="CY183"/>
  <c r="BI183"/>
  <c r="AJ183"/>
  <c r="CW181"/>
  <c r="CZ180"/>
  <c r="CZ179"/>
  <c r="BK179"/>
  <c r="BH178"/>
  <c r="CX178" s="1"/>
  <c r="CY177"/>
  <c r="BU177"/>
  <c r="DA177" s="1"/>
  <c r="AN177" s="1"/>
  <c r="BO177"/>
  <c r="AP131"/>
  <c r="AR121"/>
  <c r="AJ167"/>
  <c r="BH167"/>
  <c r="AI167" s="1"/>
  <c r="CW167"/>
  <c r="BH165"/>
  <c r="AI165" s="1"/>
  <c r="CW165"/>
  <c r="AJ165"/>
  <c r="AP165" s="1"/>
  <c r="AQ157"/>
  <c r="AR157" s="1"/>
  <c r="BK157"/>
  <c r="BO157"/>
  <c r="BK197"/>
  <c r="AS197" s="1"/>
  <c r="BI195"/>
  <c r="BI187"/>
  <c r="AO185"/>
  <c r="AP185" s="1"/>
  <c r="BK183"/>
  <c r="AS183" s="1"/>
  <c r="BU176"/>
  <c r="DA176" s="1"/>
  <c r="DB176" s="1"/>
  <c r="DC176" s="1"/>
  <c r="BR176"/>
  <c r="AO176"/>
  <c r="AM174"/>
  <c r="CY174"/>
  <c r="DU174" s="1"/>
  <c r="AQ173"/>
  <c r="AR173" s="1"/>
  <c r="BK173"/>
  <c r="BO173"/>
  <c r="AQ161"/>
  <c r="AR161" s="1"/>
  <c r="BK161"/>
  <c r="AS161" s="1"/>
  <c r="BO161"/>
  <c r="AM159"/>
  <c r="CY159"/>
  <c r="AH156"/>
  <c r="BI156"/>
  <c r="CV156"/>
  <c r="AH195"/>
  <c r="AH174"/>
  <c r="BI174"/>
  <c r="AM162"/>
  <c r="CY162"/>
  <c r="DU162" s="1"/>
  <c r="AK162" s="1"/>
  <c r="AJ155"/>
  <c r="AP155" s="1"/>
  <c r="BH155"/>
  <c r="CX155" s="1"/>
  <c r="CW155"/>
  <c r="AH152"/>
  <c r="BI152"/>
  <c r="CV152"/>
  <c r="BH200"/>
  <c r="BU199"/>
  <c r="DA199" s="1"/>
  <c r="DB199" s="1"/>
  <c r="DC199" s="1"/>
  <c r="CY197"/>
  <c r="BO197"/>
  <c r="CY196"/>
  <c r="DU196" s="1"/>
  <c r="DV196" s="1"/>
  <c r="AL196" s="1"/>
  <c r="BH194"/>
  <c r="CX194" s="1"/>
  <c r="DD194" s="1"/>
  <c r="CY193"/>
  <c r="BU193"/>
  <c r="DA193" s="1"/>
  <c r="DB193" s="1"/>
  <c r="DC193" s="1"/>
  <c r="BO193"/>
  <c r="CY192"/>
  <c r="DU192" s="1"/>
  <c r="DV192" s="1"/>
  <c r="AL192" s="1"/>
  <c r="CZ191"/>
  <c r="CW189"/>
  <c r="AR189"/>
  <c r="CZ188"/>
  <c r="AR188"/>
  <c r="AO188"/>
  <c r="BI186"/>
  <c r="AJ186"/>
  <c r="AP186" s="1"/>
  <c r="CZ185"/>
  <c r="BH185"/>
  <c r="BH184"/>
  <c r="CX184" s="1"/>
  <c r="CW183"/>
  <c r="BU183"/>
  <c r="DA183" s="1"/>
  <c r="AN183" s="1"/>
  <c r="CZ182"/>
  <c r="BK182"/>
  <c r="AS182" s="1"/>
  <c r="BK181"/>
  <c r="AS181" s="1"/>
  <c r="AJ181"/>
  <c r="AP181" s="1"/>
  <c r="CY180"/>
  <c r="BU180"/>
  <c r="DA180" s="1"/>
  <c r="BI180"/>
  <c r="CY179"/>
  <c r="CW177"/>
  <c r="CZ176"/>
  <c r="AR176"/>
  <c r="CZ175"/>
  <c r="BK175"/>
  <c r="AS175" s="1"/>
  <c r="AP174"/>
  <c r="BH174"/>
  <c r="AI174" s="1"/>
  <c r="CY173"/>
  <c r="BR169"/>
  <c r="BH169"/>
  <c r="AI169" s="1"/>
  <c r="BH168"/>
  <c r="CX168" s="1"/>
  <c r="BU167"/>
  <c r="DA167" s="1"/>
  <c r="AN167" s="1"/>
  <c r="BK165"/>
  <c r="AS165" s="1"/>
  <c r="BU164"/>
  <c r="DA164" s="1"/>
  <c r="BI164"/>
  <c r="CZ163"/>
  <c r="BK163"/>
  <c r="AP162"/>
  <c r="BH162"/>
  <c r="CX162" s="1"/>
  <c r="BR160"/>
  <c r="BU159"/>
  <c r="DA159" s="1"/>
  <c r="AN159" s="1"/>
  <c r="BR153"/>
  <c r="BH152"/>
  <c r="CX152" s="1"/>
  <c r="BK147"/>
  <c r="AS147" s="1"/>
  <c r="AO140"/>
  <c r="BH139"/>
  <c r="AI139" s="1"/>
  <c r="AP137"/>
  <c r="BK137"/>
  <c r="AS137" s="1"/>
  <c r="BO135"/>
  <c r="AJ135"/>
  <c r="AP135" s="1"/>
  <c r="AH131"/>
  <c r="BO129"/>
  <c r="BU125"/>
  <c r="DA125" s="1"/>
  <c r="DB125" s="1"/>
  <c r="DC125" s="1"/>
  <c r="CZ124"/>
  <c r="AR124"/>
  <c r="AO124"/>
  <c r="BR123"/>
  <c r="BH123"/>
  <c r="AI123" s="1"/>
  <c r="CW121"/>
  <c r="AR120"/>
  <c r="AO120"/>
  <c r="AP120" s="1"/>
  <c r="CY118"/>
  <c r="AR118"/>
  <c r="CY117"/>
  <c r="BU117"/>
  <c r="DA117" s="1"/>
  <c r="AN117" s="1"/>
  <c r="BK117"/>
  <c r="AS117" s="1"/>
  <c r="BK116"/>
  <c r="AS116" s="1"/>
  <c r="CW114"/>
  <c r="BH114"/>
  <c r="CW112"/>
  <c r="BK110"/>
  <c r="AS110" s="1"/>
  <c r="BH109"/>
  <c r="CX109" s="1"/>
  <c r="CY108"/>
  <c r="BU108"/>
  <c r="DA108" s="1"/>
  <c r="AN108" s="1"/>
  <c r="BO108"/>
  <c r="BR107"/>
  <c r="CV106"/>
  <c r="BI105"/>
  <c r="AJ105"/>
  <c r="AP105" s="1"/>
  <c r="CZ104"/>
  <c r="BR104"/>
  <c r="BH104"/>
  <c r="AI104" s="1"/>
  <c r="CV103"/>
  <c r="BH103"/>
  <c r="CX103" s="1"/>
  <c r="CY102"/>
  <c r="DU102" s="1"/>
  <c r="DV102" s="1"/>
  <c r="AL102" s="1"/>
  <c r="AO100"/>
  <c r="AO99"/>
  <c r="BK98"/>
  <c r="AS98" s="1"/>
  <c r="BH97"/>
  <c r="BU96"/>
  <c r="DA96" s="1"/>
  <c r="DB96" s="1"/>
  <c r="DC96" s="1"/>
  <c r="BO96"/>
  <c r="BR95"/>
  <c r="BI93"/>
  <c r="AJ93"/>
  <c r="AP93" s="1"/>
  <c r="CZ92"/>
  <c r="BR92"/>
  <c r="BH92"/>
  <c r="AI92" s="1"/>
  <c r="CV91"/>
  <c r="DU91" s="1"/>
  <c r="BH91"/>
  <c r="CY90"/>
  <c r="AJ90"/>
  <c r="CW87"/>
  <c r="BH87"/>
  <c r="CX87" s="1"/>
  <c r="CZ85"/>
  <c r="BU85"/>
  <c r="DA85" s="1"/>
  <c r="BO85"/>
  <c r="BH83"/>
  <c r="AI83" s="1"/>
  <c r="AQ82"/>
  <c r="AR82" s="1"/>
  <c r="BR81"/>
  <c r="BI80"/>
  <c r="CW79"/>
  <c r="BH79"/>
  <c r="CX79" s="1"/>
  <c r="DD79" s="1"/>
  <c r="DF79" s="1"/>
  <c r="AH79"/>
  <c r="CW78"/>
  <c r="CW77"/>
  <c r="AR77"/>
  <c r="CV76"/>
  <c r="DU76" s="1"/>
  <c r="AO73"/>
  <c r="AR72"/>
  <c r="AO72"/>
  <c r="BK71"/>
  <c r="AS71" s="1"/>
  <c r="BU69"/>
  <c r="DA69" s="1"/>
  <c r="DB69" s="1"/>
  <c r="DC69" s="1"/>
  <c r="DU64"/>
  <c r="AK64" s="1"/>
  <c r="AP54"/>
  <c r="BR53"/>
  <c r="BK52"/>
  <c r="AS52" s="1"/>
  <c r="AJ52"/>
  <c r="AP52" s="1"/>
  <c r="BK51"/>
  <c r="AS51" s="1"/>
  <c r="CZ50"/>
  <c r="BR50"/>
  <c r="BU49"/>
  <c r="DA49" s="1"/>
  <c r="DB49" s="1"/>
  <c r="DC49" s="1"/>
  <c r="BI49"/>
  <c r="CW46"/>
  <c r="BK44"/>
  <c r="AS44" s="1"/>
  <c r="AJ44"/>
  <c r="AP44" s="1"/>
  <c r="BK43"/>
  <c r="AS43" s="1"/>
  <c r="AM43"/>
  <c r="CZ42"/>
  <c r="BR42"/>
  <c r="BU41"/>
  <c r="DA41" s="1"/>
  <c r="AN41" s="1"/>
  <c r="BI41"/>
  <c r="BO40"/>
  <c r="CW38"/>
  <c r="AO38"/>
  <c r="AP38" s="1"/>
  <c r="BK36"/>
  <c r="AS36" s="1"/>
  <c r="AJ36"/>
  <c r="AP36" s="1"/>
  <c r="BR33"/>
  <c r="CY30"/>
  <c r="BU30"/>
  <c r="DA30" s="1"/>
  <c r="AN30" s="1"/>
  <c r="CY27"/>
  <c r="BI27"/>
  <c r="CZ26"/>
  <c r="BR26"/>
  <c r="BH24"/>
  <c r="AI24" s="1"/>
  <c r="AH24"/>
  <c r="CZ23"/>
  <c r="BK23"/>
  <c r="AS23" s="1"/>
  <c r="AM23"/>
  <c r="BK22"/>
  <c r="DU21"/>
  <c r="AK21" s="1"/>
  <c r="BI21"/>
  <c r="AH21"/>
  <c r="CY20"/>
  <c r="BI20"/>
  <c r="AJ20"/>
  <c r="CW18"/>
  <c r="AR17"/>
  <c r="CZ16"/>
  <c r="BK16"/>
  <c r="AS16" s="1"/>
  <c r="AP15"/>
  <c r="CY14"/>
  <c r="BU14"/>
  <c r="DA14" s="1"/>
  <c r="AN14" s="1"/>
  <c r="CV13"/>
  <c r="DU13" s="1"/>
  <c r="BH13"/>
  <c r="BK170"/>
  <c r="AS170" s="1"/>
  <c r="BK169"/>
  <c r="AS169" s="1"/>
  <c r="AO164"/>
  <c r="BI159"/>
  <c r="CY156"/>
  <c r="BU156"/>
  <c r="DA156" s="1"/>
  <c r="DB156" s="1"/>
  <c r="DC156" s="1"/>
  <c r="BK155"/>
  <c r="AS155" s="1"/>
  <c r="BK153"/>
  <c r="AS153" s="1"/>
  <c r="CZ151"/>
  <c r="BO151"/>
  <c r="CW149"/>
  <c r="AP149"/>
  <c r="BK149"/>
  <c r="CY148"/>
  <c r="BU148"/>
  <c r="DA148" s="1"/>
  <c r="AN148" s="1"/>
  <c r="BI148"/>
  <c r="CZ147"/>
  <c r="CV144"/>
  <c r="DU144" s="1"/>
  <c r="BH144"/>
  <c r="CY143"/>
  <c r="AH143"/>
  <c r="CZ142"/>
  <c r="BI142"/>
  <c r="CZ141"/>
  <c r="BO141"/>
  <c r="BR140"/>
  <c r="CW139"/>
  <c r="BU139"/>
  <c r="DA139" s="1"/>
  <c r="DB139" s="1"/>
  <c r="DC139" s="1"/>
  <c r="BK139"/>
  <c r="AS139" s="1"/>
  <c r="CY138"/>
  <c r="CY137"/>
  <c r="BU137"/>
  <c r="DA137" s="1"/>
  <c r="AN137" s="1"/>
  <c r="CZ136"/>
  <c r="AR136"/>
  <c r="AO136"/>
  <c r="BR135"/>
  <c r="BH135"/>
  <c r="AI135" s="1"/>
  <c r="CW133"/>
  <c r="AP133"/>
  <c r="BK133"/>
  <c r="AS133" s="1"/>
  <c r="CY132"/>
  <c r="BU132"/>
  <c r="DA132" s="1"/>
  <c r="AN132" s="1"/>
  <c r="BI132"/>
  <c r="CZ131"/>
  <c r="BO131"/>
  <c r="BK130"/>
  <c r="AS130" s="1"/>
  <c r="CV128"/>
  <c r="DU128" s="1"/>
  <c r="BH128"/>
  <c r="AI128" s="1"/>
  <c r="CY127"/>
  <c r="AH127"/>
  <c r="CZ126"/>
  <c r="BI126"/>
  <c r="CZ125"/>
  <c r="BO125"/>
  <c r="BR124"/>
  <c r="CW123"/>
  <c r="BU123"/>
  <c r="DA123" s="1"/>
  <c r="DB123" s="1"/>
  <c r="DC123" s="1"/>
  <c r="BK123"/>
  <c r="AS123" s="1"/>
  <c r="CY121"/>
  <c r="BU121"/>
  <c r="DA121" s="1"/>
  <c r="AN121" s="1"/>
  <c r="BO121"/>
  <c r="BO120"/>
  <c r="BU119"/>
  <c r="DA119" s="1"/>
  <c r="AN119" s="1"/>
  <c r="BO118"/>
  <c r="CZ117"/>
  <c r="BO117"/>
  <c r="CW116"/>
  <c r="CY114"/>
  <c r="BI114"/>
  <c r="CY112"/>
  <c r="BU112"/>
  <c r="DA112" s="1"/>
  <c r="AN112" s="1"/>
  <c r="BR111"/>
  <c r="BI109"/>
  <c r="CZ108"/>
  <c r="BR108"/>
  <c r="BH106"/>
  <c r="AI106" s="1"/>
  <c r="AH106"/>
  <c r="CZ105"/>
  <c r="BK105"/>
  <c r="AS105" s="1"/>
  <c r="BK104"/>
  <c r="AS104" s="1"/>
  <c r="AJ104"/>
  <c r="AP104" s="1"/>
  <c r="CY103"/>
  <c r="BU103"/>
  <c r="DA103" s="1"/>
  <c r="AN103" s="1"/>
  <c r="BI103"/>
  <c r="CZ102"/>
  <c r="BK102"/>
  <c r="AS102" s="1"/>
  <c r="BH101"/>
  <c r="CX101" s="1"/>
  <c r="CY100"/>
  <c r="BU100"/>
  <c r="DA100" s="1"/>
  <c r="DB100" s="1"/>
  <c r="DC100" s="1"/>
  <c r="BO100"/>
  <c r="BI97"/>
  <c r="CZ96"/>
  <c r="BR96"/>
  <c r="BH96"/>
  <c r="AI96" s="1"/>
  <c r="BH94"/>
  <c r="AI94" s="1"/>
  <c r="BK93"/>
  <c r="AS93" s="1"/>
  <c r="BK92"/>
  <c r="AS92" s="1"/>
  <c r="BI91"/>
  <c r="BK90"/>
  <c r="AS90" s="1"/>
  <c r="BI88"/>
  <c r="CY87"/>
  <c r="BI87"/>
  <c r="CY86"/>
  <c r="BH86"/>
  <c r="CX86" s="1"/>
  <c r="DD86" s="1"/>
  <c r="BR85"/>
  <c r="BH85"/>
  <c r="AI85" s="1"/>
  <c r="CY84"/>
  <c r="DU84" s="1"/>
  <c r="DV84" s="1"/>
  <c r="AL84" s="1"/>
  <c r="BR82"/>
  <c r="AJ82"/>
  <c r="BH81"/>
  <c r="AI81" s="1"/>
  <c r="CY78"/>
  <c r="BU78"/>
  <c r="DA78" s="1"/>
  <c r="AN78" s="1"/>
  <c r="CY77"/>
  <c r="BU77"/>
  <c r="DA77" s="1"/>
  <c r="DB77" s="1"/>
  <c r="DC77" s="1"/>
  <c r="BI76"/>
  <c r="CZ75"/>
  <c r="BK75"/>
  <c r="AS75" s="1"/>
  <c r="AP74"/>
  <c r="BH74"/>
  <c r="AI74" s="1"/>
  <c r="BU73"/>
  <c r="DA73" s="1"/>
  <c r="AN73" s="1"/>
  <c r="BO73"/>
  <c r="AJ70"/>
  <c r="AP70" s="1"/>
  <c r="BR69"/>
  <c r="BH69"/>
  <c r="AI69" s="1"/>
  <c r="CV68"/>
  <c r="DU68" s="1"/>
  <c r="BH68"/>
  <c r="CX68" s="1"/>
  <c r="AO65"/>
  <c r="CZ64"/>
  <c r="AO64"/>
  <c r="CV63"/>
  <c r="AJ62"/>
  <c r="AP62" s="1"/>
  <c r="BH61"/>
  <c r="AI61" s="1"/>
  <c r="CW59"/>
  <c r="BU59"/>
  <c r="DA59" s="1"/>
  <c r="DB59" s="1"/>
  <c r="DC59" s="1"/>
  <c r="BH59"/>
  <c r="AI59" s="1"/>
  <c r="BO56"/>
  <c r="AH56"/>
  <c r="CY55"/>
  <c r="DU55" s="1"/>
  <c r="AR54"/>
  <c r="BK50"/>
  <c r="AS50" s="1"/>
  <c r="AR49"/>
  <c r="AO49"/>
  <c r="BU48"/>
  <c r="DA48" s="1"/>
  <c r="BK42"/>
  <c r="AS42" s="1"/>
  <c r="AR41"/>
  <c r="BU40"/>
  <c r="DA40" s="1"/>
  <c r="DB40" s="1"/>
  <c r="DC40" s="1"/>
  <c r="AP35"/>
  <c r="BK26"/>
  <c r="DU24"/>
  <c r="DV24" s="1"/>
  <c r="AL24" s="1"/>
  <c r="BI24"/>
  <c r="AO22"/>
  <c r="AP22" s="1"/>
  <c r="BK20"/>
  <c r="AS20" s="1"/>
  <c r="AP19"/>
  <c r="AO13"/>
  <c r="AP13" s="1"/>
  <c r="AJ173"/>
  <c r="AP173" s="1"/>
  <c r="BU172"/>
  <c r="DA172" s="1"/>
  <c r="AN172" s="1"/>
  <c r="AO168"/>
  <c r="BK167"/>
  <c r="AS167" s="1"/>
  <c r="AP166"/>
  <c r="BR164"/>
  <c r="BK159"/>
  <c r="AS159" s="1"/>
  <c r="BI158"/>
  <c r="AR156"/>
  <c r="AR152"/>
  <c r="AO152"/>
  <c r="BR151"/>
  <c r="BH151"/>
  <c r="AI151" s="1"/>
  <c r="AH151"/>
  <c r="BI150"/>
  <c r="CY149"/>
  <c r="BU149"/>
  <c r="DA149" s="1"/>
  <c r="DB149" s="1"/>
  <c r="DC149" s="1"/>
  <c r="AR148"/>
  <c r="AO148"/>
  <c r="AP145"/>
  <c r="BK145"/>
  <c r="BI144"/>
  <c r="BK142"/>
  <c r="AS142" s="1"/>
  <c r="AH139"/>
  <c r="BI138"/>
  <c r="CZ137"/>
  <c r="BR136"/>
  <c r="BU135"/>
  <c r="DA135" s="1"/>
  <c r="AN135" s="1"/>
  <c r="BK135"/>
  <c r="AS135" s="1"/>
  <c r="CY133"/>
  <c r="BU133"/>
  <c r="DA133" s="1"/>
  <c r="AN133" s="1"/>
  <c r="AR132"/>
  <c r="BR131"/>
  <c r="BH131"/>
  <c r="BK129"/>
  <c r="AS129" s="1"/>
  <c r="BI128"/>
  <c r="AJ127"/>
  <c r="BK126"/>
  <c r="AS126" s="1"/>
  <c r="AH123"/>
  <c r="BK108"/>
  <c r="AS108" s="1"/>
  <c r="BR100"/>
  <c r="BK96"/>
  <c r="AS96" s="1"/>
  <c r="AO92"/>
  <c r="AP92" s="1"/>
  <c r="AO91"/>
  <c r="AR85"/>
  <c r="BK85"/>
  <c r="AS85" s="1"/>
  <c r="BK83"/>
  <c r="AS83" s="1"/>
  <c r="AR78"/>
  <c r="AO76"/>
  <c r="BK69"/>
  <c r="AS69" s="1"/>
  <c r="BI68"/>
  <c r="CZ67"/>
  <c r="BK67"/>
  <c r="AS67" s="1"/>
  <c r="CY65"/>
  <c r="BU65"/>
  <c r="DA65" s="1"/>
  <c r="AN65" s="1"/>
  <c r="BR64"/>
  <c r="BH63"/>
  <c r="AI63" s="1"/>
  <c r="AH63"/>
  <c r="BK62"/>
  <c r="AS62" s="1"/>
  <c r="BH56"/>
  <c r="CX56" s="1"/>
  <c r="BI55"/>
  <c r="CY54"/>
  <c r="BU54"/>
  <c r="DA54" s="1"/>
  <c r="AN54" s="1"/>
  <c r="AO50"/>
  <c r="AP50" s="1"/>
  <c r="BK48"/>
  <c r="AS48" s="1"/>
  <c r="CY45"/>
  <c r="DU45" s="1"/>
  <c r="BU45"/>
  <c r="DA45" s="1"/>
  <c r="AN45" s="1"/>
  <c r="BO44"/>
  <c r="AO42"/>
  <c r="AP42" s="1"/>
  <c r="AH41"/>
  <c r="BK40"/>
  <c r="AS40" s="1"/>
  <c r="CY37"/>
  <c r="BU37"/>
  <c r="DA37" s="1"/>
  <c r="DB37" s="1"/>
  <c r="DC37" s="1"/>
  <c r="BO36"/>
  <c r="BH35"/>
  <c r="AI35" s="1"/>
  <c r="BU34"/>
  <c r="DA34" s="1"/>
  <c r="AN34" s="1"/>
  <c r="BO34"/>
  <c r="AO34"/>
  <c r="CY33"/>
  <c r="BK30"/>
  <c r="AS30" s="1"/>
  <c r="AJ30"/>
  <c r="AP30" s="1"/>
  <c r="CY29"/>
  <c r="DU29" s="1"/>
  <c r="AK29" s="1"/>
  <c r="BU29"/>
  <c r="DA29" s="1"/>
  <c r="AN29" s="1"/>
  <c r="AO26"/>
  <c r="AP26" s="1"/>
  <c r="AJ14"/>
  <c r="AP14" s="1"/>
  <c r="BU147"/>
  <c r="DA147" s="1"/>
  <c r="AR144"/>
  <c r="BK141"/>
  <c r="AS141" s="1"/>
  <c r="AH135"/>
  <c r="BU131"/>
  <c r="DA131" s="1"/>
  <c r="DB131" s="1"/>
  <c r="DC131" s="1"/>
  <c r="BK131"/>
  <c r="AS131" s="1"/>
  <c r="AO128"/>
  <c r="AP125"/>
  <c r="BK125"/>
  <c r="AS125" s="1"/>
  <c r="BO123"/>
  <c r="BK121"/>
  <c r="AS121" s="1"/>
  <c r="BH120"/>
  <c r="AI120" s="1"/>
  <c r="AO107"/>
  <c r="BU99"/>
  <c r="DA99" s="1"/>
  <c r="AN99" s="1"/>
  <c r="AO95"/>
  <c r="BK94"/>
  <c r="AS94" s="1"/>
  <c r="BO92"/>
  <c r="BU90"/>
  <c r="DA90" s="1"/>
  <c r="AN90" s="1"/>
  <c r="AQ83"/>
  <c r="AR83" s="1"/>
  <c r="BK82"/>
  <c r="AS82" s="1"/>
  <c r="AO82"/>
  <c r="BK73"/>
  <c r="AS73" s="1"/>
  <c r="AJ73"/>
  <c r="CY72"/>
  <c r="BU72"/>
  <c r="DA72" s="1"/>
  <c r="DB72" s="1"/>
  <c r="DC72" s="1"/>
  <c r="AR69"/>
  <c r="AR68"/>
  <c r="AO68"/>
  <c r="BI66"/>
  <c r="AJ66"/>
  <c r="AP66" s="1"/>
  <c r="CZ65"/>
  <c r="BH65"/>
  <c r="CX65" s="1"/>
  <c r="BH64"/>
  <c r="CX64" s="1"/>
  <c r="CY63"/>
  <c r="AR61"/>
  <c r="CY60"/>
  <c r="BU60"/>
  <c r="DA60" s="1"/>
  <c r="AN60" s="1"/>
  <c r="BI60"/>
  <c r="CZ59"/>
  <c r="BK59"/>
  <c r="AS59" s="1"/>
  <c r="AP58"/>
  <c r="BH58"/>
  <c r="CX58" s="1"/>
  <c r="BK56"/>
  <c r="AS56" s="1"/>
  <c r="AR53"/>
  <c r="AO53"/>
  <c r="BU52"/>
  <c r="DA52" s="1"/>
  <c r="DB52" s="1"/>
  <c r="DC52" s="1"/>
  <c r="CZ51"/>
  <c r="BI51"/>
  <c r="CY50"/>
  <c r="BO50"/>
  <c r="BH49"/>
  <c r="AI49" s="1"/>
  <c r="CZ48"/>
  <c r="BK46"/>
  <c r="AS46" s="1"/>
  <c r="CZ45"/>
  <c r="AR45"/>
  <c r="AO45"/>
  <c r="CW44"/>
  <c r="BU44"/>
  <c r="DA44" s="1"/>
  <c r="DB44" s="1"/>
  <c r="DC44" s="1"/>
  <c r="AH44"/>
  <c r="CZ43"/>
  <c r="BI43"/>
  <c r="CY42"/>
  <c r="BO42"/>
  <c r="BH41"/>
  <c r="CZ40"/>
  <c r="CZ37"/>
  <c r="AR37"/>
  <c r="AO37"/>
  <c r="CW36"/>
  <c r="BU36"/>
  <c r="DA36" s="1"/>
  <c r="DB36" s="1"/>
  <c r="DC36" s="1"/>
  <c r="AH36"/>
  <c r="CZ35"/>
  <c r="AR35"/>
  <c r="CZ34"/>
  <c r="CZ33"/>
  <c r="BO33"/>
  <c r="CZ32"/>
  <c r="BK32"/>
  <c r="CW30"/>
  <c r="AR30"/>
  <c r="CZ29"/>
  <c r="AR29"/>
  <c r="AO29"/>
  <c r="CZ28"/>
  <c r="BK28"/>
  <c r="AS28" s="1"/>
  <c r="BH27"/>
  <c r="AI27" s="1"/>
  <c r="CY26"/>
  <c r="BO26"/>
  <c r="BR25"/>
  <c r="BI23"/>
  <c r="AJ23"/>
  <c r="AP23" s="1"/>
  <c r="CZ22"/>
  <c r="BH22"/>
  <c r="CX22" s="1"/>
  <c r="BH21"/>
  <c r="AI21" s="1"/>
  <c r="CW20"/>
  <c r="BU20"/>
  <c r="DA20" s="1"/>
  <c r="CZ19"/>
  <c r="BK19"/>
  <c r="BK18"/>
  <c r="AJ18"/>
  <c r="AP18" s="1"/>
  <c r="CY17"/>
  <c r="BU17"/>
  <c r="DA17" s="1"/>
  <c r="DB17" s="1"/>
  <c r="DC17" s="1"/>
  <c r="BI17"/>
  <c r="CY16"/>
  <c r="CW14"/>
  <c r="AR14"/>
  <c r="CZ13"/>
  <c r="BR13"/>
  <c r="DE199"/>
  <c r="DK199" s="1"/>
  <c r="BK200"/>
  <c r="BO200"/>
  <c r="AJ196"/>
  <c r="AP196" s="1"/>
  <c r="CW196"/>
  <c r="AO194"/>
  <c r="AP194" s="1"/>
  <c r="BR194"/>
  <c r="AJ192"/>
  <c r="AP192" s="1"/>
  <c r="CW192"/>
  <c r="AI182"/>
  <c r="AN175"/>
  <c r="AK160"/>
  <c r="DB160"/>
  <c r="DC160" s="1"/>
  <c r="DU6"/>
  <c r="DV6" s="1"/>
  <c r="AL6" s="1"/>
  <c r="BH8"/>
  <c r="CX8" s="1"/>
  <c r="CY200"/>
  <c r="DU200" s="1"/>
  <c r="BK199"/>
  <c r="AQ199"/>
  <c r="AR199" s="1"/>
  <c r="BR198"/>
  <c r="BK198"/>
  <c r="AO198"/>
  <c r="AP198" s="1"/>
  <c r="CX196"/>
  <c r="BU196"/>
  <c r="DA196" s="1"/>
  <c r="CV194"/>
  <c r="BK194"/>
  <c r="BU192"/>
  <c r="DA192" s="1"/>
  <c r="AR185"/>
  <c r="AR184"/>
  <c r="AR169"/>
  <c r="AR168"/>
  <c r="AO199"/>
  <c r="AP199" s="1"/>
  <c r="BR199"/>
  <c r="BU195"/>
  <c r="DA195" s="1"/>
  <c r="AO195"/>
  <c r="AP195" s="1"/>
  <c r="BR195"/>
  <c r="AH193"/>
  <c r="BI193"/>
  <c r="CV193"/>
  <c r="AS190"/>
  <c r="AS187"/>
  <c r="CX181"/>
  <c r="AN176"/>
  <c r="CX165"/>
  <c r="AN197"/>
  <c r="AN193"/>
  <c r="CX185"/>
  <c r="AI185"/>
  <c r="AI184"/>
  <c r="AI168"/>
  <c r="AS166"/>
  <c r="AS163"/>
  <c r="AI162"/>
  <c r="DB159"/>
  <c r="DC159" s="1"/>
  <c r="AR200"/>
  <c r="CV198"/>
  <c r="BH198"/>
  <c r="BH193"/>
  <c r="AR177"/>
  <c r="AJ200"/>
  <c r="AP200" s="1"/>
  <c r="CW200"/>
  <c r="AH197"/>
  <c r="BI197"/>
  <c r="CV197"/>
  <c r="BK195"/>
  <c r="BO195"/>
  <c r="DB187"/>
  <c r="DC187" s="1"/>
  <c r="DB184"/>
  <c r="DC184" s="1"/>
  <c r="AN184"/>
  <c r="AS179"/>
  <c r="CX173"/>
  <c r="CX161"/>
  <c r="BU200"/>
  <c r="DA200" s="1"/>
  <c r="CW198"/>
  <c r="BI198"/>
  <c r="CZ195"/>
  <c r="AQ195"/>
  <c r="AR195" s="1"/>
  <c r="BI194"/>
  <c r="BK193"/>
  <c r="AJ193"/>
  <c r="AP193" s="1"/>
  <c r="CY191"/>
  <c r="DU191" s="1"/>
  <c r="AR181"/>
  <c r="AR180"/>
  <c r="AR165"/>
  <c r="AS157"/>
  <c r="DB128"/>
  <c r="DC128" s="1"/>
  <c r="DB113"/>
  <c r="DC113" s="1"/>
  <c r="BO196"/>
  <c r="BK196"/>
  <c r="BO192"/>
  <c r="BK192"/>
  <c r="BR191"/>
  <c r="AO191"/>
  <c r="AP191" s="1"/>
  <c r="CV189"/>
  <c r="BI189"/>
  <c r="CW188"/>
  <c r="BO188"/>
  <c r="BK188"/>
  <c r="AJ188"/>
  <c r="BR187"/>
  <c r="AO187"/>
  <c r="AP187" s="1"/>
  <c r="AK187"/>
  <c r="CV185"/>
  <c r="DU185" s="1"/>
  <c r="BI185"/>
  <c r="CW184"/>
  <c r="BO184"/>
  <c r="BK184"/>
  <c r="AJ184"/>
  <c r="AP184" s="1"/>
  <c r="BR183"/>
  <c r="AO183"/>
  <c r="AP183" s="1"/>
  <c r="CV181"/>
  <c r="BI181"/>
  <c r="CW180"/>
  <c r="BO180"/>
  <c r="BK180"/>
  <c r="AJ180"/>
  <c r="AP180" s="1"/>
  <c r="BR179"/>
  <c r="AO179"/>
  <c r="AP179" s="1"/>
  <c r="CV177"/>
  <c r="BI177"/>
  <c r="CW176"/>
  <c r="BO176"/>
  <c r="BK176"/>
  <c r="AJ176"/>
  <c r="AP176" s="1"/>
  <c r="CX175"/>
  <c r="BR175"/>
  <c r="AO175"/>
  <c r="AP175" s="1"/>
  <c r="CV173"/>
  <c r="BI173"/>
  <c r="CW172"/>
  <c r="BO172"/>
  <c r="BK172"/>
  <c r="AJ172"/>
  <c r="BR171"/>
  <c r="AO171"/>
  <c r="AP171" s="1"/>
  <c r="CV169"/>
  <c r="BI169"/>
  <c r="CW168"/>
  <c r="BO168"/>
  <c r="BK168"/>
  <c r="AJ168"/>
  <c r="BR167"/>
  <c r="AO167"/>
  <c r="AP167" s="1"/>
  <c r="CV165"/>
  <c r="BI165"/>
  <c r="CW164"/>
  <c r="BO164"/>
  <c r="BK164"/>
  <c r="AJ164"/>
  <c r="BR163"/>
  <c r="AO163"/>
  <c r="AP163" s="1"/>
  <c r="CV161"/>
  <c r="BI161"/>
  <c r="CW160"/>
  <c r="BO160"/>
  <c r="BK160"/>
  <c r="AJ160"/>
  <c r="BR159"/>
  <c r="AO159"/>
  <c r="AP157"/>
  <c r="AR153"/>
  <c r="AR149"/>
  <c r="AR133"/>
  <c r="AO158"/>
  <c r="AP158" s="1"/>
  <c r="BU158"/>
  <c r="DA158" s="1"/>
  <c r="AN151"/>
  <c r="AI136"/>
  <c r="CX136"/>
  <c r="AN124"/>
  <c r="AQ190"/>
  <c r="AR190" s="1"/>
  <c r="AQ186"/>
  <c r="AR186" s="1"/>
  <c r="AQ182"/>
  <c r="AR182" s="1"/>
  <c r="AQ178"/>
  <c r="AQ174"/>
  <c r="AR174" s="1"/>
  <c r="AN173"/>
  <c r="AQ170"/>
  <c r="AR170" s="1"/>
  <c r="AQ166"/>
  <c r="AR166" s="1"/>
  <c r="AN165"/>
  <c r="AQ162"/>
  <c r="BK158"/>
  <c r="BO158"/>
  <c r="AH157"/>
  <c r="BH157"/>
  <c r="BI157"/>
  <c r="CV157"/>
  <c r="DU157" s="1"/>
  <c r="BH156"/>
  <c r="AJ156"/>
  <c r="CW156"/>
  <c r="AI155"/>
  <c r="AN143"/>
  <c r="DB143"/>
  <c r="DC143" s="1"/>
  <c r="AQ191"/>
  <c r="AR191" s="1"/>
  <c r="BU190"/>
  <c r="DA190" s="1"/>
  <c r="BO190"/>
  <c r="AQ187"/>
  <c r="AR187" s="1"/>
  <c r="BU186"/>
  <c r="DA186" s="1"/>
  <c r="BO186"/>
  <c r="AQ183"/>
  <c r="AR183" s="1"/>
  <c r="BU182"/>
  <c r="DA182" s="1"/>
  <c r="BO182"/>
  <c r="AQ179"/>
  <c r="AR179" s="1"/>
  <c r="BU178"/>
  <c r="DA178" s="1"/>
  <c r="BO178"/>
  <c r="AQ175"/>
  <c r="AR175" s="1"/>
  <c r="BU174"/>
  <c r="DA174" s="1"/>
  <c r="BO174"/>
  <c r="AS173"/>
  <c r="AQ171"/>
  <c r="AR171" s="1"/>
  <c r="BU170"/>
  <c r="DA170" s="1"/>
  <c r="BO170"/>
  <c r="DB169"/>
  <c r="DC169" s="1"/>
  <c r="AQ167"/>
  <c r="AR167" s="1"/>
  <c r="BU166"/>
  <c r="DA166" s="1"/>
  <c r="BO166"/>
  <c r="AQ163"/>
  <c r="AR163" s="1"/>
  <c r="BU162"/>
  <c r="DA162" s="1"/>
  <c r="BO162"/>
  <c r="DB161"/>
  <c r="DC161" s="1"/>
  <c r="AQ159"/>
  <c r="BU155"/>
  <c r="DA155" s="1"/>
  <c r="AM155"/>
  <c r="AR155" s="1"/>
  <c r="AN139"/>
  <c r="CX128"/>
  <c r="AN123"/>
  <c r="BO191"/>
  <c r="BR190"/>
  <c r="BO187"/>
  <c r="BR186"/>
  <c r="BO183"/>
  <c r="BR182"/>
  <c r="BO179"/>
  <c r="BR178"/>
  <c r="BO175"/>
  <c r="BR174"/>
  <c r="BO171"/>
  <c r="BR170"/>
  <c r="BO167"/>
  <c r="BR166"/>
  <c r="BO163"/>
  <c r="BR162"/>
  <c r="BO159"/>
  <c r="CZ158"/>
  <c r="BR158"/>
  <c r="AR137"/>
  <c r="AS109"/>
  <c r="CX99"/>
  <c r="DV80"/>
  <c r="AL80" s="1"/>
  <c r="BH158"/>
  <c r="BO156"/>
  <c r="BK156"/>
  <c r="BR155"/>
  <c r="BH154"/>
  <c r="CV153"/>
  <c r="DU153" s="1"/>
  <c r="BI153"/>
  <c r="CW152"/>
  <c r="BO152"/>
  <c r="BK152"/>
  <c r="AJ152"/>
  <c r="BH150"/>
  <c r="CV149"/>
  <c r="BI149"/>
  <c r="CW148"/>
  <c r="BO148"/>
  <c r="BK148"/>
  <c r="AJ148"/>
  <c r="BR147"/>
  <c r="BH146"/>
  <c r="CV145"/>
  <c r="BI145"/>
  <c r="CW144"/>
  <c r="BO144"/>
  <c r="BK144"/>
  <c r="AJ144"/>
  <c r="BH142"/>
  <c r="CV141"/>
  <c r="DU141" s="1"/>
  <c r="BI141"/>
  <c r="CW140"/>
  <c r="BO140"/>
  <c r="BK140"/>
  <c r="AJ140"/>
  <c r="AP140" s="1"/>
  <c r="BH138"/>
  <c r="CV137"/>
  <c r="BI137"/>
  <c r="CW136"/>
  <c r="BO136"/>
  <c r="BK136"/>
  <c r="AJ136"/>
  <c r="CX135"/>
  <c r="BH134"/>
  <c r="CV133"/>
  <c r="BI133"/>
  <c r="CW132"/>
  <c r="BO132"/>
  <c r="BK132"/>
  <c r="AJ132"/>
  <c r="AP132" s="1"/>
  <c r="BH130"/>
  <c r="CV129"/>
  <c r="DU129" s="1"/>
  <c r="BI129"/>
  <c r="CW128"/>
  <c r="BO128"/>
  <c r="BK128"/>
  <c r="AJ128"/>
  <c r="BH126"/>
  <c r="CV125"/>
  <c r="DU125" s="1"/>
  <c r="BI125"/>
  <c r="CW124"/>
  <c r="BO124"/>
  <c r="BK124"/>
  <c r="AJ124"/>
  <c r="BH122"/>
  <c r="DB119"/>
  <c r="DC119" s="1"/>
  <c r="BU118"/>
  <c r="DA118" s="1"/>
  <c r="AI118"/>
  <c r="CV117"/>
  <c r="AP117"/>
  <c r="BH117"/>
  <c r="AQ117"/>
  <c r="AR117" s="1"/>
  <c r="BH116"/>
  <c r="AP116"/>
  <c r="BO113"/>
  <c r="BH113"/>
  <c r="AQ113"/>
  <c r="AR113" s="1"/>
  <c r="BH112"/>
  <c r="AR104"/>
  <c r="AR92"/>
  <c r="AR87"/>
  <c r="AJ119"/>
  <c r="CW119"/>
  <c r="BK114"/>
  <c r="BO114"/>
  <c r="DB102"/>
  <c r="DC102" s="1"/>
  <c r="AS89"/>
  <c r="AQ154"/>
  <c r="AR154" s="1"/>
  <c r="AQ150"/>
  <c r="AQ146"/>
  <c r="AQ142"/>
  <c r="AR142" s="1"/>
  <c r="AQ138"/>
  <c r="AR138" s="1"/>
  <c r="AQ134"/>
  <c r="AR134" s="1"/>
  <c r="AQ130"/>
  <c r="AR130" s="1"/>
  <c r="AQ126"/>
  <c r="AR126" s="1"/>
  <c r="AQ122"/>
  <c r="AQ114"/>
  <c r="AR114" s="1"/>
  <c r="BK119"/>
  <c r="BO119"/>
  <c r="AJ115"/>
  <c r="AP115" s="1"/>
  <c r="CW115"/>
  <c r="AO113"/>
  <c r="AP113" s="1"/>
  <c r="BR113"/>
  <c r="AJ111"/>
  <c r="AP111" s="1"/>
  <c r="CW111"/>
  <c r="AI91"/>
  <c r="CX91"/>
  <c r="CW158"/>
  <c r="BR157"/>
  <c r="CV155"/>
  <c r="DU155" s="1"/>
  <c r="CW154"/>
  <c r="BU154"/>
  <c r="DA154" s="1"/>
  <c r="BO154"/>
  <c r="CV151"/>
  <c r="AM151"/>
  <c r="AR151" s="1"/>
  <c r="CW150"/>
  <c r="BU150"/>
  <c r="DA150" s="1"/>
  <c r="BO150"/>
  <c r="BR149"/>
  <c r="AS149"/>
  <c r="CV147"/>
  <c r="DU147" s="1"/>
  <c r="AM147"/>
  <c r="AR147" s="1"/>
  <c r="DV146"/>
  <c r="AL146" s="1"/>
  <c r="CW146"/>
  <c r="BU146"/>
  <c r="DA146" s="1"/>
  <c r="BO146"/>
  <c r="BR145"/>
  <c r="AS145"/>
  <c r="CV143"/>
  <c r="AM143"/>
  <c r="AR143" s="1"/>
  <c r="CW142"/>
  <c r="BU142"/>
  <c r="DA142" s="1"/>
  <c r="BO142"/>
  <c r="BR141"/>
  <c r="CV139"/>
  <c r="DU139" s="1"/>
  <c r="AM139"/>
  <c r="AR139" s="1"/>
  <c r="CW138"/>
  <c r="BU138"/>
  <c r="DA138" s="1"/>
  <c r="BO138"/>
  <c r="BR137"/>
  <c r="CV135"/>
  <c r="DU135" s="1"/>
  <c r="AM135"/>
  <c r="AR135" s="1"/>
  <c r="CW134"/>
  <c r="BU134"/>
  <c r="DA134" s="1"/>
  <c r="BO134"/>
  <c r="BR133"/>
  <c r="CV131"/>
  <c r="DU131" s="1"/>
  <c r="AM131"/>
  <c r="AR131" s="1"/>
  <c r="CW130"/>
  <c r="BU130"/>
  <c r="DA130" s="1"/>
  <c r="BO130"/>
  <c r="BR129"/>
  <c r="CV127"/>
  <c r="AM127"/>
  <c r="AR127" s="1"/>
  <c r="CW126"/>
  <c r="BU126"/>
  <c r="DA126" s="1"/>
  <c r="BO126"/>
  <c r="BR125"/>
  <c r="CV123"/>
  <c r="DU123" s="1"/>
  <c r="AM123"/>
  <c r="AR123" s="1"/>
  <c r="CW122"/>
  <c r="BU122"/>
  <c r="DA122" s="1"/>
  <c r="BO122"/>
  <c r="CV121"/>
  <c r="BH121"/>
  <c r="CX120"/>
  <c r="BU120"/>
  <c r="DA120" s="1"/>
  <c r="BK120"/>
  <c r="BH119"/>
  <c r="AO119"/>
  <c r="BK118"/>
  <c r="BR117"/>
  <c r="CX115"/>
  <c r="BU115"/>
  <c r="DA115" s="1"/>
  <c r="CV113"/>
  <c r="CX111"/>
  <c r="BU111"/>
  <c r="DA111" s="1"/>
  <c r="CY110"/>
  <c r="AR100"/>
  <c r="AR99"/>
  <c r="BI120"/>
  <c r="CV120"/>
  <c r="AO118"/>
  <c r="AP118" s="1"/>
  <c r="BR118"/>
  <c r="AH116"/>
  <c r="BI116"/>
  <c r="CV116"/>
  <c r="BU114"/>
  <c r="DA114" s="1"/>
  <c r="AO114"/>
  <c r="AP114" s="1"/>
  <c r="BR114"/>
  <c r="AH112"/>
  <c r="BI112"/>
  <c r="CV112"/>
  <c r="CX108"/>
  <c r="AI108"/>
  <c r="CX107"/>
  <c r="AN106"/>
  <c r="AI101"/>
  <c r="AN91"/>
  <c r="CX85"/>
  <c r="BR154"/>
  <c r="BH153"/>
  <c r="BR150"/>
  <c r="BH149"/>
  <c r="BR146"/>
  <c r="BH145"/>
  <c r="BR142"/>
  <c r="BH141"/>
  <c r="BR138"/>
  <c r="BH137"/>
  <c r="BR134"/>
  <c r="BH133"/>
  <c r="BR130"/>
  <c r="BH129"/>
  <c r="BR126"/>
  <c r="BH125"/>
  <c r="BR122"/>
  <c r="BI121"/>
  <c r="CZ119"/>
  <c r="BR119"/>
  <c r="CY115"/>
  <c r="AR115"/>
  <c r="CY111"/>
  <c r="AR111"/>
  <c r="AO87"/>
  <c r="AP87" s="1"/>
  <c r="BR87"/>
  <c r="AJ84"/>
  <c r="AP84" s="1"/>
  <c r="CW84"/>
  <c r="BI81"/>
  <c r="CV81"/>
  <c r="BK79"/>
  <c r="BO79"/>
  <c r="AS70"/>
  <c r="AN63"/>
  <c r="AI60"/>
  <c r="BO115"/>
  <c r="BK115"/>
  <c r="BO111"/>
  <c r="BK111"/>
  <c r="BR110"/>
  <c r="AO110"/>
  <c r="AP110" s="1"/>
  <c r="CV108"/>
  <c r="BI108"/>
  <c r="CW107"/>
  <c r="BO107"/>
  <c r="BK107"/>
  <c r="AJ107"/>
  <c r="BR106"/>
  <c r="AO106"/>
  <c r="AP106" s="1"/>
  <c r="CV104"/>
  <c r="BI104"/>
  <c r="CW103"/>
  <c r="BO103"/>
  <c r="BK103"/>
  <c r="AJ103"/>
  <c r="BR102"/>
  <c r="AO102"/>
  <c r="AP102" s="1"/>
  <c r="CV100"/>
  <c r="BI100"/>
  <c r="CW99"/>
  <c r="BO99"/>
  <c r="BK99"/>
  <c r="AJ99"/>
  <c r="CX98"/>
  <c r="BR98"/>
  <c r="AO98"/>
  <c r="AP98" s="1"/>
  <c r="CV96"/>
  <c r="DU96" s="1"/>
  <c r="BI96"/>
  <c r="CW95"/>
  <c r="BO95"/>
  <c r="BK95"/>
  <c r="AJ95"/>
  <c r="AP95" s="1"/>
  <c r="BR94"/>
  <c r="AO94"/>
  <c r="AP94" s="1"/>
  <c r="CV92"/>
  <c r="BI92"/>
  <c r="CW91"/>
  <c r="BO91"/>
  <c r="BK91"/>
  <c r="AJ91"/>
  <c r="BR90"/>
  <c r="AO90"/>
  <c r="CZ88"/>
  <c r="CV87"/>
  <c r="AQ86"/>
  <c r="AR86" s="1"/>
  <c r="CW85"/>
  <c r="CX84"/>
  <c r="BU84"/>
  <c r="DA84" s="1"/>
  <c r="CY83"/>
  <c r="BI83"/>
  <c r="BI82"/>
  <c r="CY81"/>
  <c r="CZ80"/>
  <c r="BR80"/>
  <c r="AQ79"/>
  <c r="BI78"/>
  <c r="BK77"/>
  <c r="BK84"/>
  <c r="BO84"/>
  <c r="AO78"/>
  <c r="AP78" s="1"/>
  <c r="BR78"/>
  <c r="AJ76"/>
  <c r="AP76" s="1"/>
  <c r="CW76"/>
  <c r="DB75"/>
  <c r="DC75" s="1"/>
  <c r="AI64"/>
  <c r="AQ109"/>
  <c r="AR109" s="1"/>
  <c r="AQ105"/>
  <c r="AR105" s="1"/>
  <c r="AQ101"/>
  <c r="AR101" s="1"/>
  <c r="AN100"/>
  <c r="AQ97"/>
  <c r="AR97" s="1"/>
  <c r="AQ93"/>
  <c r="AR93" s="1"/>
  <c r="AN92"/>
  <c r="AQ89"/>
  <c r="AR89" s="1"/>
  <c r="CV78"/>
  <c r="BK78"/>
  <c r="AJ88"/>
  <c r="CW88"/>
  <c r="BI85"/>
  <c r="CV85"/>
  <c r="DU85" s="1"/>
  <c r="AO83"/>
  <c r="AP83" s="1"/>
  <c r="BR83"/>
  <c r="AJ80"/>
  <c r="CW80"/>
  <c r="BU79"/>
  <c r="DA79" s="1"/>
  <c r="AO79"/>
  <c r="AP79" s="1"/>
  <c r="BR79"/>
  <c r="AH77"/>
  <c r="BI77"/>
  <c r="CV77"/>
  <c r="DV64"/>
  <c r="AL64" s="1"/>
  <c r="DB64"/>
  <c r="DC64" s="1"/>
  <c r="CX62"/>
  <c r="AQ110"/>
  <c r="AR110" s="1"/>
  <c r="BU109"/>
  <c r="DA109" s="1"/>
  <c r="BO109"/>
  <c r="AQ106"/>
  <c r="AR106" s="1"/>
  <c r="BU105"/>
  <c r="DA105" s="1"/>
  <c r="BO105"/>
  <c r="AQ102"/>
  <c r="AR102" s="1"/>
  <c r="BU101"/>
  <c r="DA101" s="1"/>
  <c r="BO101"/>
  <c r="AQ98"/>
  <c r="AR98" s="1"/>
  <c r="BU97"/>
  <c r="DA97" s="1"/>
  <c r="BO97"/>
  <c r="AQ94"/>
  <c r="AR94" s="1"/>
  <c r="BU93"/>
  <c r="DA93" s="1"/>
  <c r="BO93"/>
  <c r="AQ90"/>
  <c r="AR90" s="1"/>
  <c r="BU89"/>
  <c r="DA89" s="1"/>
  <c r="BO89"/>
  <c r="BU88"/>
  <c r="DA88" s="1"/>
  <c r="AM88"/>
  <c r="AR88" s="1"/>
  <c r="DD87"/>
  <c r="BO87"/>
  <c r="CW86"/>
  <c r="BU86"/>
  <c r="DA86" s="1"/>
  <c r="BO86"/>
  <c r="CV83"/>
  <c r="AH83"/>
  <c r="AM80"/>
  <c r="AR80" s="1"/>
  <c r="AM79"/>
  <c r="AN77"/>
  <c r="BH76"/>
  <c r="BK88"/>
  <c r="BO88"/>
  <c r="BK80"/>
  <c r="BO80"/>
  <c r="AS58"/>
  <c r="BO110"/>
  <c r="BR109"/>
  <c r="BO106"/>
  <c r="BR105"/>
  <c r="BO102"/>
  <c r="BR101"/>
  <c r="BO98"/>
  <c r="BR97"/>
  <c r="BO94"/>
  <c r="BR93"/>
  <c r="BO90"/>
  <c r="BR89"/>
  <c r="BH88"/>
  <c r="AO88"/>
  <c r="BK87"/>
  <c r="BR86"/>
  <c r="AJ86"/>
  <c r="AP86" s="1"/>
  <c r="AQ84"/>
  <c r="AR84" s="1"/>
  <c r="BU83"/>
  <c r="DA83" s="1"/>
  <c r="CV82"/>
  <c r="DU82" s="1"/>
  <c r="BH82"/>
  <c r="BU81"/>
  <c r="DA81" s="1"/>
  <c r="BK81"/>
  <c r="BH80"/>
  <c r="AO80"/>
  <c r="BO78"/>
  <c r="BH78"/>
  <c r="BH77"/>
  <c r="AP77"/>
  <c r="AR65"/>
  <c r="AR64"/>
  <c r="BH57"/>
  <c r="AJ57"/>
  <c r="CW57"/>
  <c r="DB45"/>
  <c r="DC45" s="1"/>
  <c r="AN37"/>
  <c r="BO76"/>
  <c r="BK76"/>
  <c r="BR75"/>
  <c r="AO75"/>
  <c r="AP75" s="1"/>
  <c r="CV73"/>
  <c r="BI73"/>
  <c r="CW72"/>
  <c r="BO72"/>
  <c r="BK72"/>
  <c r="AJ72"/>
  <c r="BR71"/>
  <c r="AO71"/>
  <c r="AP71" s="1"/>
  <c r="CV69"/>
  <c r="DU69" s="1"/>
  <c r="BI69"/>
  <c r="CW68"/>
  <c r="BO68"/>
  <c r="BK68"/>
  <c r="AJ68"/>
  <c r="BR67"/>
  <c r="AO67"/>
  <c r="AP67" s="1"/>
  <c r="CV65"/>
  <c r="BI65"/>
  <c r="CW64"/>
  <c r="BO64"/>
  <c r="BK64"/>
  <c r="AJ64"/>
  <c r="BR63"/>
  <c r="AO63"/>
  <c r="AP63" s="1"/>
  <c r="CV61"/>
  <c r="BI61"/>
  <c r="CW60"/>
  <c r="BO60"/>
  <c r="BK60"/>
  <c r="AJ60"/>
  <c r="AP60" s="1"/>
  <c r="CX59"/>
  <c r="BR59"/>
  <c r="AO59"/>
  <c r="AP59" s="1"/>
  <c r="CZ57"/>
  <c r="BR57"/>
  <c r="AR50"/>
  <c r="AR42"/>
  <c r="AO55"/>
  <c r="AP55" s="1"/>
  <c r="BR55"/>
  <c r="BU55"/>
  <c r="DA55" s="1"/>
  <c r="BH53"/>
  <c r="AJ53"/>
  <c r="CW53"/>
  <c r="CX49"/>
  <c r="AN44"/>
  <c r="AQ74"/>
  <c r="AR74" s="1"/>
  <c r="AQ70"/>
  <c r="AR70" s="1"/>
  <c r="AQ66"/>
  <c r="AR66" s="1"/>
  <c r="AQ62"/>
  <c r="AR62" s="1"/>
  <c r="AN61"/>
  <c r="AJ61"/>
  <c r="AP61" s="1"/>
  <c r="AQ58"/>
  <c r="AR58" s="1"/>
  <c r="BU56"/>
  <c r="DA56" s="1"/>
  <c r="AM56"/>
  <c r="AR56" s="1"/>
  <c r="AH54"/>
  <c r="BH54"/>
  <c r="BI54"/>
  <c r="CV54"/>
  <c r="AQ75"/>
  <c r="AR75" s="1"/>
  <c r="BU74"/>
  <c r="DA74" s="1"/>
  <c r="BO74"/>
  <c r="AQ71"/>
  <c r="AR71" s="1"/>
  <c r="BU70"/>
  <c r="DA70" s="1"/>
  <c r="BO70"/>
  <c r="AQ67"/>
  <c r="AR67" s="1"/>
  <c r="BU66"/>
  <c r="DA66" s="1"/>
  <c r="BO66"/>
  <c r="AQ63"/>
  <c r="AR63" s="1"/>
  <c r="BU62"/>
  <c r="DA62" s="1"/>
  <c r="BO62"/>
  <c r="AQ59"/>
  <c r="AR59" s="1"/>
  <c r="BU58"/>
  <c r="DA58" s="1"/>
  <c r="BO58"/>
  <c r="CZ55"/>
  <c r="AR55"/>
  <c r="AR46"/>
  <c r="AR38"/>
  <c r="BK57"/>
  <c r="BO57"/>
  <c r="BK55"/>
  <c r="BO55"/>
  <c r="AN53"/>
  <c r="AN48"/>
  <c r="DB48"/>
  <c r="DC48" s="1"/>
  <c r="BO75"/>
  <c r="BR74"/>
  <c r="BO71"/>
  <c r="BR70"/>
  <c r="BO67"/>
  <c r="BR66"/>
  <c r="BO63"/>
  <c r="BR62"/>
  <c r="BO59"/>
  <c r="BR58"/>
  <c r="AO57"/>
  <c r="CY56"/>
  <c r="AK32"/>
  <c r="DB29"/>
  <c r="DC29" s="1"/>
  <c r="AI17"/>
  <c r="CX17"/>
  <c r="AN16"/>
  <c r="BR56"/>
  <c r="BH55"/>
  <c r="BO53"/>
  <c r="BK53"/>
  <c r="CX52"/>
  <c r="BR52"/>
  <c r="BH51"/>
  <c r="CV50"/>
  <c r="BI50"/>
  <c r="CW49"/>
  <c r="BO49"/>
  <c r="BK49"/>
  <c r="AJ49"/>
  <c r="BR48"/>
  <c r="BH47"/>
  <c r="CV46"/>
  <c r="DU46" s="1"/>
  <c r="BI46"/>
  <c r="CW45"/>
  <c r="BO45"/>
  <c r="BK45"/>
  <c r="AJ45"/>
  <c r="BR44"/>
  <c r="BH43"/>
  <c r="CV42"/>
  <c r="BI42"/>
  <c r="CW41"/>
  <c r="BO41"/>
  <c r="BK41"/>
  <c r="AJ41"/>
  <c r="AP41" s="1"/>
  <c r="CX40"/>
  <c r="BR40"/>
  <c r="BH39"/>
  <c r="CV38"/>
  <c r="BI38"/>
  <c r="CW37"/>
  <c r="BO37"/>
  <c r="BK37"/>
  <c r="AJ37"/>
  <c r="BR36"/>
  <c r="BK34"/>
  <c r="AJ34"/>
  <c r="AR33"/>
  <c r="AR26"/>
  <c r="AR25"/>
  <c r="AR13"/>
  <c r="AS32"/>
  <c r="CX27"/>
  <c r="CX21"/>
  <c r="AS19"/>
  <c r="AQ51"/>
  <c r="AR51" s="1"/>
  <c r="AN50"/>
  <c r="AQ47"/>
  <c r="AR47" s="1"/>
  <c r="AQ43"/>
  <c r="AQ39"/>
  <c r="AN38"/>
  <c r="AH34"/>
  <c r="BI34"/>
  <c r="CV34"/>
  <c r="DU34" s="1"/>
  <c r="CX31"/>
  <c r="CX15"/>
  <c r="CV56"/>
  <c r="CW55"/>
  <c r="CV52"/>
  <c r="DU52" s="1"/>
  <c r="AM52"/>
  <c r="AR52" s="1"/>
  <c r="CW51"/>
  <c r="BU51"/>
  <c r="DA51" s="1"/>
  <c r="BO51"/>
  <c r="DB50"/>
  <c r="DC50" s="1"/>
  <c r="CV48"/>
  <c r="DU48" s="1"/>
  <c r="AM48"/>
  <c r="AR48" s="1"/>
  <c r="CW47"/>
  <c r="BU47"/>
  <c r="DA47" s="1"/>
  <c r="BO47"/>
  <c r="CV44"/>
  <c r="DU44" s="1"/>
  <c r="AM44"/>
  <c r="AR44" s="1"/>
  <c r="CW43"/>
  <c r="BU43"/>
  <c r="DA43" s="1"/>
  <c r="BO43"/>
  <c r="CV40"/>
  <c r="DU40" s="1"/>
  <c r="AM40"/>
  <c r="AR40" s="1"/>
  <c r="CW39"/>
  <c r="BU39"/>
  <c r="DA39" s="1"/>
  <c r="BO39"/>
  <c r="DB38"/>
  <c r="DC38" s="1"/>
  <c r="CV36"/>
  <c r="DU36" s="1"/>
  <c r="AM36"/>
  <c r="AR36" s="1"/>
  <c r="BU35"/>
  <c r="DA35" s="1"/>
  <c r="BO35"/>
  <c r="BI35"/>
  <c r="CW34"/>
  <c r="AR18"/>
  <c r="AN32"/>
  <c r="AI30"/>
  <c r="DB25"/>
  <c r="DC25" s="1"/>
  <c r="AK24"/>
  <c r="AN13"/>
  <c r="BR51"/>
  <c r="BH50"/>
  <c r="BR47"/>
  <c r="BH46"/>
  <c r="BR43"/>
  <c r="BH42"/>
  <c r="BR39"/>
  <c r="BH38"/>
  <c r="BR35"/>
  <c r="BK35"/>
  <c r="AR21"/>
  <c r="CW33"/>
  <c r="BU33"/>
  <c r="DA33" s="1"/>
  <c r="BK33"/>
  <c r="AJ33"/>
  <c r="AP33" s="1"/>
  <c r="BR32"/>
  <c r="AO32"/>
  <c r="AP32" s="1"/>
  <c r="CV30"/>
  <c r="BI30"/>
  <c r="CW29"/>
  <c r="BO29"/>
  <c r="BK29"/>
  <c r="AJ29"/>
  <c r="AP29" s="1"/>
  <c r="CX28"/>
  <c r="BR28"/>
  <c r="AO28"/>
  <c r="CV26"/>
  <c r="DU26" s="1"/>
  <c r="BI26"/>
  <c r="CW25"/>
  <c r="BO25"/>
  <c r="BK25"/>
  <c r="AJ25"/>
  <c r="AP25" s="1"/>
  <c r="BR24"/>
  <c r="AO24"/>
  <c r="AP24" s="1"/>
  <c r="CV22"/>
  <c r="BI22"/>
  <c r="CW21"/>
  <c r="BO21"/>
  <c r="BK21"/>
  <c r="AJ21"/>
  <c r="AP21" s="1"/>
  <c r="BR20"/>
  <c r="AO20"/>
  <c r="CV18"/>
  <c r="BI18"/>
  <c r="CW17"/>
  <c r="BO17"/>
  <c r="BK17"/>
  <c r="AJ17"/>
  <c r="AP17" s="1"/>
  <c r="BR16"/>
  <c r="AO16"/>
  <c r="AP16" s="1"/>
  <c r="CV14"/>
  <c r="BI14"/>
  <c r="CW13"/>
  <c r="BO13"/>
  <c r="BK13"/>
  <c r="AQ31"/>
  <c r="AR31" s="1"/>
  <c r="AQ27"/>
  <c r="AR27" s="1"/>
  <c r="AQ23"/>
  <c r="AN22"/>
  <c r="AQ19"/>
  <c r="AR19" s="1"/>
  <c r="AQ15"/>
  <c r="AQ32"/>
  <c r="AR32" s="1"/>
  <c r="BU31"/>
  <c r="DA31" s="1"/>
  <c r="BO31"/>
  <c r="AQ28"/>
  <c r="AR28" s="1"/>
  <c r="BU27"/>
  <c r="DA27" s="1"/>
  <c r="BO27"/>
  <c r="AS26"/>
  <c r="AQ24"/>
  <c r="AR24" s="1"/>
  <c r="BU23"/>
  <c r="DA23" s="1"/>
  <c r="BO23"/>
  <c r="AS22"/>
  <c r="AQ20"/>
  <c r="AR20" s="1"/>
  <c r="BU19"/>
  <c r="DA19" s="1"/>
  <c r="BO19"/>
  <c r="AS18"/>
  <c r="AQ16"/>
  <c r="AR16" s="1"/>
  <c r="BU15"/>
  <c r="DA15" s="1"/>
  <c r="BO15"/>
  <c r="BO32"/>
  <c r="BR31"/>
  <c r="BO28"/>
  <c r="BR27"/>
  <c r="BO24"/>
  <c r="BR23"/>
  <c r="BO20"/>
  <c r="BR19"/>
  <c r="BO16"/>
  <c r="BR15"/>
  <c r="AM8"/>
  <c r="AH5"/>
  <c r="AJ6"/>
  <c r="AO8"/>
  <c r="AO6"/>
  <c r="AH7"/>
  <c r="AH9"/>
  <c r="AO7"/>
  <c r="AO9"/>
  <c r="AO5"/>
  <c r="BH5"/>
  <c r="CX5" s="1"/>
  <c r="DD5" s="1"/>
  <c r="AQ6"/>
  <c r="AQ7"/>
  <c r="BR8"/>
  <c r="AQ9"/>
  <c r="BR9"/>
  <c r="BH10"/>
  <c r="CX10" s="1"/>
  <c r="DD10" s="1"/>
  <c r="BH11"/>
  <c r="AI11" s="1"/>
  <c r="AO12"/>
  <c r="AM7"/>
  <c r="BH7"/>
  <c r="CX7" s="1"/>
  <c r="AM9"/>
  <c r="AJ11"/>
  <c r="BK12"/>
  <c r="AS12" s="1"/>
  <c r="AM6"/>
  <c r="BU6"/>
  <c r="DA6" s="1"/>
  <c r="AN6" s="1"/>
  <c r="AJ7"/>
  <c r="BR7"/>
  <c r="AJ9"/>
  <c r="AH10"/>
  <c r="CV11"/>
  <c r="DU11" s="1"/>
  <c r="AQ12"/>
  <c r="CW12"/>
  <c r="AH6"/>
  <c r="AJ8"/>
  <c r="AO10"/>
  <c r="AH11"/>
  <c r="AQ11"/>
  <c r="AR11" s="1"/>
  <c r="BI11"/>
  <c r="AM12"/>
  <c r="AJ5"/>
  <c r="BR5"/>
  <c r="AH8"/>
  <c r="AJ10"/>
  <c r="DU10"/>
  <c r="DV10" s="1"/>
  <c r="AL10" s="1"/>
  <c r="BR10"/>
  <c r="AJ12"/>
  <c r="BU12"/>
  <c r="DA12" s="1"/>
  <c r="AN12" s="1"/>
  <c r="DU7"/>
  <c r="AI12"/>
  <c r="CX12"/>
  <c r="DU8"/>
  <c r="CY5"/>
  <c r="DU5" s="1"/>
  <c r="BI6"/>
  <c r="CZ6"/>
  <c r="BK7"/>
  <c r="BU7"/>
  <c r="DA7" s="1"/>
  <c r="CW7"/>
  <c r="BH9"/>
  <c r="AM10"/>
  <c r="BI10"/>
  <c r="CZ10"/>
  <c r="BK11"/>
  <c r="BU11"/>
  <c r="DA11" s="1"/>
  <c r="BR12"/>
  <c r="BH6"/>
  <c r="BI7"/>
  <c r="BK8"/>
  <c r="BU8"/>
  <c r="DA8" s="1"/>
  <c r="CW8"/>
  <c r="CZ11"/>
  <c r="AR5"/>
  <c r="BK5"/>
  <c r="BO5"/>
  <c r="BU5"/>
  <c r="DA5" s="1"/>
  <c r="BI8"/>
  <c r="BK9"/>
  <c r="BU9"/>
  <c r="DA9" s="1"/>
  <c r="BI12"/>
  <c r="CV12"/>
  <c r="DU12" s="1"/>
  <c r="BI5"/>
  <c r="CZ5"/>
  <c r="BK6"/>
  <c r="BI9"/>
  <c r="BK10"/>
  <c r="AO11"/>
  <c r="AP10" i="12"/>
  <c r="AP11"/>
  <c r="AP6"/>
  <c r="AP14"/>
  <c r="AP5"/>
  <c r="AP13"/>
  <c r="AP9"/>
  <c r="AQ9" s="1"/>
  <c r="AP7"/>
  <c r="AP16"/>
  <c r="AP12"/>
  <c r="AP8"/>
  <c r="BM17"/>
  <c r="BS17"/>
  <c r="BQ17" s="1"/>
  <c r="BR17"/>
  <c r="CX17" s="1"/>
  <c r="BF17"/>
  <c r="CV17" s="1"/>
  <c r="BE17"/>
  <c r="BH17" s="1"/>
  <c r="BT5"/>
  <c r="CZ5" s="1"/>
  <c r="AM5" s="1"/>
  <c r="DT6"/>
  <c r="DU6" s="1"/>
  <c r="AK6" s="1"/>
  <c r="AG7"/>
  <c r="DT15"/>
  <c r="DU15" s="1"/>
  <c r="AK15" s="1"/>
  <c r="AI7"/>
  <c r="AN6"/>
  <c r="AO6" s="1"/>
  <c r="AG8"/>
  <c r="AG9"/>
  <c r="AG14"/>
  <c r="AL6"/>
  <c r="AN7"/>
  <c r="AG5"/>
  <c r="AG11"/>
  <c r="AN12"/>
  <c r="AG13"/>
  <c r="BT15"/>
  <c r="CZ15" s="1"/>
  <c r="AM15" s="1"/>
  <c r="BG5"/>
  <c r="AH5" s="1"/>
  <c r="BQ6"/>
  <c r="DT7"/>
  <c r="AJ7" s="1"/>
  <c r="AL11"/>
  <c r="AI15"/>
  <c r="BJ15"/>
  <c r="AR15" s="1"/>
  <c r="AG16"/>
  <c r="DT8"/>
  <c r="AJ8" s="1"/>
  <c r="AN9"/>
  <c r="AN11"/>
  <c r="AG12"/>
  <c r="BQ8"/>
  <c r="AN10"/>
  <c r="AL12"/>
  <c r="BG12"/>
  <c r="AH12" s="1"/>
  <c r="BH13"/>
  <c r="AL14"/>
  <c r="BH14"/>
  <c r="DT16"/>
  <c r="DU16" s="1"/>
  <c r="AK16" s="1"/>
  <c r="BT16"/>
  <c r="CZ16" s="1"/>
  <c r="AM16" s="1"/>
  <c r="AN8"/>
  <c r="AO8" s="1"/>
  <c r="AG10"/>
  <c r="AL13"/>
  <c r="BT13"/>
  <c r="CZ13" s="1"/>
  <c r="AM13" s="1"/>
  <c r="BG14"/>
  <c r="AH14" s="1"/>
  <c r="BN15"/>
  <c r="BT11"/>
  <c r="CZ11" s="1"/>
  <c r="AM11" s="1"/>
  <c r="BH12"/>
  <c r="AI5"/>
  <c r="BH5"/>
  <c r="BG6"/>
  <c r="AH6" s="1"/>
  <c r="AL7"/>
  <c r="BT7"/>
  <c r="CZ7" s="1"/>
  <c r="AM7" s="1"/>
  <c r="AL8"/>
  <c r="BG8"/>
  <c r="AH8" s="1"/>
  <c r="BH9"/>
  <c r="BT9"/>
  <c r="CZ9" s="1"/>
  <c r="AM9" s="1"/>
  <c r="AL10"/>
  <c r="BG10"/>
  <c r="AH10" s="1"/>
  <c r="CU11"/>
  <c r="DT11" s="1"/>
  <c r="BQ13"/>
  <c r="AN15"/>
  <c r="BG15"/>
  <c r="AH15" s="1"/>
  <c r="BQ15"/>
  <c r="AN16"/>
  <c r="CU10"/>
  <c r="DT10" s="1"/>
  <c r="AN5"/>
  <c r="AL5"/>
  <c r="AG6"/>
  <c r="AQ15"/>
  <c r="BQ16"/>
  <c r="DT12"/>
  <c r="DT9"/>
  <c r="DT5"/>
  <c r="DT13"/>
  <c r="DT14"/>
  <c r="CY5"/>
  <c r="BH7"/>
  <c r="CY7"/>
  <c r="CY9"/>
  <c r="BQ10"/>
  <c r="CY11"/>
  <c r="BQ12"/>
  <c r="CY13"/>
  <c r="AN14"/>
  <c r="AO14" s="1"/>
  <c r="BQ14"/>
  <c r="AG15"/>
  <c r="AL16"/>
  <c r="BH16"/>
  <c r="CY16"/>
  <c r="BJ6"/>
  <c r="AR6" s="1"/>
  <c r="BT6"/>
  <c r="CZ6" s="1"/>
  <c r="AM6" s="1"/>
  <c r="CV6"/>
  <c r="BG7"/>
  <c r="AH7" s="1"/>
  <c r="BJ8"/>
  <c r="AR8" s="1"/>
  <c r="BT8"/>
  <c r="CZ8" s="1"/>
  <c r="AM8" s="1"/>
  <c r="CV8"/>
  <c r="BG9"/>
  <c r="AH9" s="1"/>
  <c r="AI10"/>
  <c r="BJ10"/>
  <c r="AR10" s="1"/>
  <c r="BT10"/>
  <c r="CZ10" s="1"/>
  <c r="AM10" s="1"/>
  <c r="CV10"/>
  <c r="BG11"/>
  <c r="AH11" s="1"/>
  <c r="AI12"/>
  <c r="BJ12"/>
  <c r="AR12" s="1"/>
  <c r="BT12"/>
  <c r="CZ12" s="1"/>
  <c r="AM12" s="1"/>
  <c r="CV12"/>
  <c r="BG13"/>
  <c r="AH13" s="1"/>
  <c r="BJ14"/>
  <c r="AR14" s="1"/>
  <c r="BT14"/>
  <c r="CZ14" s="1"/>
  <c r="AM14" s="1"/>
  <c r="CV14"/>
  <c r="BG16"/>
  <c r="AH16" s="1"/>
  <c r="BQ5"/>
  <c r="BH6"/>
  <c r="BH8"/>
  <c r="BJ5"/>
  <c r="AR5" s="1"/>
  <c r="BJ7"/>
  <c r="AR7" s="1"/>
  <c r="AI9"/>
  <c r="BJ9"/>
  <c r="AR9" s="1"/>
  <c r="AI11"/>
  <c r="BJ11"/>
  <c r="AR11" s="1"/>
  <c r="AI13"/>
  <c r="AO13" s="1"/>
  <c r="BJ13"/>
  <c r="AR13" s="1"/>
  <c r="BH15"/>
  <c r="AI16"/>
  <c r="BJ16"/>
  <c r="AR16" s="1"/>
  <c r="DB90" i="13" l="1"/>
  <c r="DC90" s="1"/>
  <c r="AR10"/>
  <c r="AI199"/>
  <c r="CX192"/>
  <c r="AN198"/>
  <c r="AI14"/>
  <c r="DB46"/>
  <c r="DC46" s="1"/>
  <c r="DU54"/>
  <c r="AP72"/>
  <c r="AN71"/>
  <c r="DU115"/>
  <c r="DB129"/>
  <c r="DC129" s="1"/>
  <c r="AI109"/>
  <c r="DU177"/>
  <c r="DV177" s="1"/>
  <c r="AL177" s="1"/>
  <c r="AN168"/>
  <c r="DU198"/>
  <c r="DB183"/>
  <c r="DC183" s="1"/>
  <c r="AN179"/>
  <c r="CX166"/>
  <c r="DU97"/>
  <c r="CX32"/>
  <c r="DB24"/>
  <c r="DC24" s="1"/>
  <c r="DB41"/>
  <c r="DC41" s="1"/>
  <c r="CX69"/>
  <c r="CX90"/>
  <c r="CX95"/>
  <c r="DD95" s="1"/>
  <c r="AN95"/>
  <c r="CX177"/>
  <c r="DU72"/>
  <c r="DV72" s="1"/>
  <c r="AL72" s="1"/>
  <c r="DU67"/>
  <c r="DI199"/>
  <c r="DJ199" s="1"/>
  <c r="DV195"/>
  <c r="AL195" s="1"/>
  <c r="AK195"/>
  <c r="DV79"/>
  <c r="AL79" s="1"/>
  <c r="AK79"/>
  <c r="CX16"/>
  <c r="DD16" s="1"/>
  <c r="AI26"/>
  <c r="AN17"/>
  <c r="DU42"/>
  <c r="AK42" s="1"/>
  <c r="AN40"/>
  <c r="AN49"/>
  <c r="AN69"/>
  <c r="AN36"/>
  <c r="AN52"/>
  <c r="DU61"/>
  <c r="CX75"/>
  <c r="DB34"/>
  <c r="DC34" s="1"/>
  <c r="DB104"/>
  <c r="DC104" s="1"/>
  <c r="AI87"/>
  <c r="AN96"/>
  <c r="DU100"/>
  <c r="AK100" s="1"/>
  <c r="CX83"/>
  <c r="AN149"/>
  <c r="CX151"/>
  <c r="DD151" s="1"/>
  <c r="AN98"/>
  <c r="AI110"/>
  <c r="DV166"/>
  <c r="AL166" s="1"/>
  <c r="CX132"/>
  <c r="DD132" s="1"/>
  <c r="AI152"/>
  <c r="DO199"/>
  <c r="DB157"/>
  <c r="DC157" s="1"/>
  <c r="CX186"/>
  <c r="DD186" s="1"/>
  <c r="DU16"/>
  <c r="DV16" s="1"/>
  <c r="AL16" s="1"/>
  <c r="DU60"/>
  <c r="AK60" s="1"/>
  <c r="DU175"/>
  <c r="DV175" s="1"/>
  <c r="AL175" s="1"/>
  <c r="DB10"/>
  <c r="DC10" s="1"/>
  <c r="DV43"/>
  <c r="AL43" s="1"/>
  <c r="CX48"/>
  <c r="DD48" s="1"/>
  <c r="AI56"/>
  <c r="DU78"/>
  <c r="DV78" s="1"/>
  <c r="AL78" s="1"/>
  <c r="DB76"/>
  <c r="DC76" s="1"/>
  <c r="DU92"/>
  <c r="AK92" s="1"/>
  <c r="AP99"/>
  <c r="CX102"/>
  <c r="DD102" s="1"/>
  <c r="DU111"/>
  <c r="AK111" s="1"/>
  <c r="DB137"/>
  <c r="DC137" s="1"/>
  <c r="DB141"/>
  <c r="DC141" s="1"/>
  <c r="AR146"/>
  <c r="DB121"/>
  <c r="DO121" s="1"/>
  <c r="DB189"/>
  <c r="DC189" s="1"/>
  <c r="AN144"/>
  <c r="CX197"/>
  <c r="DD197" s="1"/>
  <c r="AN199"/>
  <c r="CX169"/>
  <c r="DD169" s="1"/>
  <c r="AI191"/>
  <c r="DB163"/>
  <c r="DC163" s="1"/>
  <c r="DB194"/>
  <c r="DC194" s="1"/>
  <c r="DU17"/>
  <c r="DV17" s="1"/>
  <c r="AL17" s="1"/>
  <c r="DU180"/>
  <c r="DU105"/>
  <c r="AK105" s="1"/>
  <c r="DU57"/>
  <c r="DV57" s="1"/>
  <c r="AL57" s="1"/>
  <c r="DB18"/>
  <c r="DC18" s="1"/>
  <c r="AN28"/>
  <c r="DV39"/>
  <c r="AL39" s="1"/>
  <c r="DV21"/>
  <c r="AL21" s="1"/>
  <c r="DB73"/>
  <c r="DC73" s="1"/>
  <c r="AP68"/>
  <c r="CX71"/>
  <c r="DD71" s="1"/>
  <c r="AI86"/>
  <c r="AI73"/>
  <c r="DB78"/>
  <c r="DC78" s="1"/>
  <c r="DB87"/>
  <c r="DC87" s="1"/>
  <c r="AI103"/>
  <c r="DU117"/>
  <c r="DU145"/>
  <c r="DV145" s="1"/>
  <c r="AL145" s="1"/>
  <c r="AK119"/>
  <c r="AP159"/>
  <c r="DU173"/>
  <c r="CX179"/>
  <c r="DD179" s="1"/>
  <c r="CX124"/>
  <c r="DD124" s="1"/>
  <c r="AN156"/>
  <c r="CX172"/>
  <c r="CX190"/>
  <c r="DD190" s="1"/>
  <c r="DB14"/>
  <c r="DC14" s="1"/>
  <c r="AR15"/>
  <c r="DU30"/>
  <c r="DB42"/>
  <c r="DC42" s="1"/>
  <c r="AN21"/>
  <c r="AI25"/>
  <c r="AP34"/>
  <c r="AP37"/>
  <c r="CX23"/>
  <c r="DD23" s="1"/>
  <c r="AI79"/>
  <c r="CX61"/>
  <c r="AI70"/>
  <c r="DE79"/>
  <c r="DB60"/>
  <c r="DC60" s="1"/>
  <c r="AN72"/>
  <c r="DU87"/>
  <c r="AK87" s="1"/>
  <c r="DB68"/>
  <c r="DC68" s="1"/>
  <c r="AI72"/>
  <c r="AN94"/>
  <c r="DE118"/>
  <c r="DK118" s="1"/>
  <c r="DB133"/>
  <c r="DC133" s="1"/>
  <c r="DB145"/>
  <c r="DC145" s="1"/>
  <c r="DB153"/>
  <c r="DC153" s="1"/>
  <c r="AK88"/>
  <c r="DB110"/>
  <c r="DC110" s="1"/>
  <c r="AP124"/>
  <c r="AP144"/>
  <c r="CX147"/>
  <c r="DD147" s="1"/>
  <c r="AN107"/>
  <c r="DB132"/>
  <c r="DC132" s="1"/>
  <c r="AN181"/>
  <c r="DU161"/>
  <c r="DV161" s="1"/>
  <c r="AL161" s="1"/>
  <c r="DU189"/>
  <c r="AK189" s="1"/>
  <c r="AI160"/>
  <c r="AN171"/>
  <c r="DU197"/>
  <c r="DV197" s="1"/>
  <c r="AL197" s="1"/>
  <c r="DB167"/>
  <c r="DC167" s="1"/>
  <c r="AN191"/>
  <c r="DB188"/>
  <c r="DC188" s="1"/>
  <c r="AI189"/>
  <c r="DB30"/>
  <c r="DC30" s="1"/>
  <c r="AR23"/>
  <c r="DU22"/>
  <c r="DV22" s="1"/>
  <c r="AL22" s="1"/>
  <c r="CX35"/>
  <c r="DD35" s="1"/>
  <c r="AR39"/>
  <c r="AI22"/>
  <c r="CX33"/>
  <c r="DD33" s="1"/>
  <c r="CX36"/>
  <c r="DD36" s="1"/>
  <c r="DU50"/>
  <c r="DV50" s="1"/>
  <c r="AL50" s="1"/>
  <c r="DV29"/>
  <c r="AL29" s="1"/>
  <c r="CX45"/>
  <c r="DD45" s="1"/>
  <c r="DB65"/>
  <c r="DC65" s="1"/>
  <c r="DV93"/>
  <c r="AL93" s="1"/>
  <c r="AN67"/>
  <c r="DB80"/>
  <c r="DC80" s="1"/>
  <c r="AI58"/>
  <c r="AI65"/>
  <c r="AP103"/>
  <c r="CX106"/>
  <c r="DD106" s="1"/>
  <c r="AI66"/>
  <c r="AN116"/>
  <c r="DB103"/>
  <c r="DC103" s="1"/>
  <c r="DV122"/>
  <c r="AL122" s="1"/>
  <c r="AP128"/>
  <c r="DU133"/>
  <c r="CX100"/>
  <c r="DD100" s="1"/>
  <c r="DB177"/>
  <c r="DC177" s="1"/>
  <c r="AN140"/>
  <c r="AP160"/>
  <c r="CX163"/>
  <c r="DD163" s="1"/>
  <c r="AP188"/>
  <c r="CX140"/>
  <c r="DD140" s="1"/>
  <c r="CX170"/>
  <c r="CX176"/>
  <c r="DD176" s="1"/>
  <c r="AI188"/>
  <c r="AI8"/>
  <c r="DB112"/>
  <c r="DC112" s="1"/>
  <c r="CX144"/>
  <c r="DD144" s="1"/>
  <c r="AI144"/>
  <c r="AN85"/>
  <c r="DB85"/>
  <c r="DC85" s="1"/>
  <c r="AI97"/>
  <c r="CX97"/>
  <c r="DD97" s="1"/>
  <c r="DB164"/>
  <c r="DC164" s="1"/>
  <c r="AN164"/>
  <c r="DB180"/>
  <c r="DC180" s="1"/>
  <c r="AN180"/>
  <c r="AI200"/>
  <c r="CX200"/>
  <c r="DD200" s="1"/>
  <c r="DB20"/>
  <c r="DC20" s="1"/>
  <c r="AN20"/>
  <c r="CX41"/>
  <c r="DD41" s="1"/>
  <c r="AI41"/>
  <c r="AN147"/>
  <c r="DB147"/>
  <c r="DC147" s="1"/>
  <c r="AI131"/>
  <c r="CX131"/>
  <c r="DD131" s="1"/>
  <c r="DV184"/>
  <c r="AL184" s="1"/>
  <c r="AK184"/>
  <c r="AK167"/>
  <c r="DV167"/>
  <c r="AL167" s="1"/>
  <c r="AI18"/>
  <c r="CX18"/>
  <c r="DD18" s="1"/>
  <c r="AN185"/>
  <c r="DB185"/>
  <c r="DC185" s="1"/>
  <c r="DB53"/>
  <c r="DC53" s="1"/>
  <c r="DB197"/>
  <c r="DC197" s="1"/>
  <c r="AN26"/>
  <c r="DB26"/>
  <c r="DC26" s="1"/>
  <c r="CX37"/>
  <c r="DD37" s="1"/>
  <c r="AI37"/>
  <c r="AN136"/>
  <c r="DB136"/>
  <c r="DC136" s="1"/>
  <c r="CX148"/>
  <c r="DD148" s="1"/>
  <c r="AI148"/>
  <c r="DB148"/>
  <c r="DC148" s="1"/>
  <c r="AP20"/>
  <c r="CX96"/>
  <c r="DD96" s="1"/>
  <c r="CX92"/>
  <c r="DD92" s="1"/>
  <c r="AN125"/>
  <c r="DU137"/>
  <c r="DV137" s="1"/>
  <c r="AL137" s="1"/>
  <c r="DU121"/>
  <c r="AK121" s="1"/>
  <c r="AP136"/>
  <c r="AI178"/>
  <c r="DU33"/>
  <c r="DU114"/>
  <c r="DV114" s="1"/>
  <c r="AL114" s="1"/>
  <c r="DU27"/>
  <c r="DU49"/>
  <c r="DV49" s="1"/>
  <c r="AL49" s="1"/>
  <c r="DV9"/>
  <c r="AL9" s="1"/>
  <c r="AR8"/>
  <c r="DU18"/>
  <c r="DV18" s="1"/>
  <c r="AL18" s="1"/>
  <c r="CX24"/>
  <c r="DD24" s="1"/>
  <c r="CX19"/>
  <c r="AI29"/>
  <c r="AP45"/>
  <c r="AP53"/>
  <c r="DU65"/>
  <c r="AK65" s="1"/>
  <c r="CX67"/>
  <c r="DD67" s="1"/>
  <c r="CX81"/>
  <c r="DD81" s="1"/>
  <c r="AN59"/>
  <c r="AI68"/>
  <c r="DB108"/>
  <c r="DC108" s="1"/>
  <c r="AP90"/>
  <c r="DB54"/>
  <c r="DC54" s="1"/>
  <c r="DU120"/>
  <c r="AK120" s="1"/>
  <c r="DU110"/>
  <c r="AK110" s="1"/>
  <c r="DU113"/>
  <c r="DV113" s="1"/>
  <c r="AL113" s="1"/>
  <c r="DU151"/>
  <c r="AK151" s="1"/>
  <c r="CX104"/>
  <c r="DD104" s="1"/>
  <c r="AR122"/>
  <c r="DB82"/>
  <c r="DC82" s="1"/>
  <c r="DB99"/>
  <c r="DC99" s="1"/>
  <c r="CX105"/>
  <c r="DD105" s="1"/>
  <c r="CX123"/>
  <c r="DD123" s="1"/>
  <c r="CX127"/>
  <c r="DD127" s="1"/>
  <c r="CX139"/>
  <c r="DD139" s="1"/>
  <c r="CX143"/>
  <c r="DB152"/>
  <c r="DC152" s="1"/>
  <c r="DV162"/>
  <c r="AL162" s="1"/>
  <c r="DB127"/>
  <c r="DC127" s="1"/>
  <c r="CX159"/>
  <c r="DD159" s="1"/>
  <c r="DU165"/>
  <c r="AK165" s="1"/>
  <c r="AP172"/>
  <c r="AI194"/>
  <c r="CX174"/>
  <c r="DD174" s="1"/>
  <c r="AI164"/>
  <c r="AK176"/>
  <c r="AI180"/>
  <c r="DU194"/>
  <c r="AK194" s="1"/>
  <c r="AP65"/>
  <c r="DU86"/>
  <c r="AK86" s="1"/>
  <c r="DU132"/>
  <c r="DV132" s="1"/>
  <c r="AL132" s="1"/>
  <c r="DU179"/>
  <c r="DU126"/>
  <c r="DU101"/>
  <c r="DU98"/>
  <c r="DU14"/>
  <c r="AK14" s="1"/>
  <c r="CX20"/>
  <c r="DD20" s="1"/>
  <c r="AP28"/>
  <c r="DU38"/>
  <c r="DV38" s="1"/>
  <c r="AL38" s="1"/>
  <c r="CX44"/>
  <c r="DD44" s="1"/>
  <c r="AP64"/>
  <c r="DU73"/>
  <c r="DV73" s="1"/>
  <c r="AL73" s="1"/>
  <c r="CX74"/>
  <c r="DD74" s="1"/>
  <c r="AK84"/>
  <c r="DU77"/>
  <c r="AK77" s="1"/>
  <c r="AP91"/>
  <c r="CX94"/>
  <c r="DD94" s="1"/>
  <c r="DU104"/>
  <c r="DV104" s="1"/>
  <c r="AL104" s="1"/>
  <c r="AP107"/>
  <c r="DO116"/>
  <c r="CX89"/>
  <c r="DD89" s="1"/>
  <c r="DU116"/>
  <c r="DV116" s="1"/>
  <c r="AL116" s="1"/>
  <c r="DU127"/>
  <c r="DV127" s="1"/>
  <c r="AL127" s="1"/>
  <c r="DU143"/>
  <c r="DV143" s="1"/>
  <c r="AL143" s="1"/>
  <c r="AI93"/>
  <c r="DU149"/>
  <c r="AK149" s="1"/>
  <c r="AR159"/>
  <c r="AP156"/>
  <c r="AK163"/>
  <c r="AP164"/>
  <c r="AP168"/>
  <c r="CX171"/>
  <c r="DD171" s="1"/>
  <c r="DU181"/>
  <c r="DV181" s="1"/>
  <c r="AL181" s="1"/>
  <c r="CX187"/>
  <c r="DD187" s="1"/>
  <c r="AK192"/>
  <c r="DU193"/>
  <c r="DV193" s="1"/>
  <c r="AL193" s="1"/>
  <c r="AP127"/>
  <c r="DB57"/>
  <c r="DC57" s="1"/>
  <c r="DU138"/>
  <c r="AK138" s="1"/>
  <c r="DU148"/>
  <c r="AK148" s="1"/>
  <c r="DU90"/>
  <c r="DU152"/>
  <c r="AK152" s="1"/>
  <c r="DU25"/>
  <c r="DU94"/>
  <c r="DU188"/>
  <c r="DU71"/>
  <c r="DU75"/>
  <c r="DU99"/>
  <c r="DU89"/>
  <c r="DU95"/>
  <c r="DU124"/>
  <c r="DV124" s="1"/>
  <c r="AL124" s="1"/>
  <c r="AK91"/>
  <c r="DV91"/>
  <c r="AL91" s="1"/>
  <c r="AK41"/>
  <c r="DU109"/>
  <c r="AK178"/>
  <c r="DV178"/>
  <c r="AL178" s="1"/>
  <c r="AN131"/>
  <c r="DU170"/>
  <c r="DU134"/>
  <c r="DU59"/>
  <c r="AK59" s="1"/>
  <c r="DV68"/>
  <c r="AL68" s="1"/>
  <c r="AK68"/>
  <c r="DU183"/>
  <c r="DU171"/>
  <c r="DV171" s="1"/>
  <c r="AL171" s="1"/>
  <c r="DU62"/>
  <c r="DU142"/>
  <c r="DV142" s="1"/>
  <c r="AL142" s="1"/>
  <c r="AK58"/>
  <c r="DV58"/>
  <c r="AL58" s="1"/>
  <c r="DB135"/>
  <c r="DC135" s="1"/>
  <c r="DV107"/>
  <c r="AL107" s="1"/>
  <c r="AK107"/>
  <c r="AK171"/>
  <c r="CX63"/>
  <c r="DD63" s="1"/>
  <c r="AK102"/>
  <c r="DU112"/>
  <c r="DV112" s="1"/>
  <c r="AL112" s="1"/>
  <c r="DB117"/>
  <c r="DC117" s="1"/>
  <c r="AR150"/>
  <c r="AP148"/>
  <c r="AP152"/>
  <c r="DU169"/>
  <c r="DV169" s="1"/>
  <c r="AL169" s="1"/>
  <c r="AP100"/>
  <c r="DU168"/>
  <c r="DV168" s="1"/>
  <c r="AL168" s="1"/>
  <c r="DU19"/>
  <c r="DU140"/>
  <c r="AI10"/>
  <c r="AR43"/>
  <c r="AP49"/>
  <c r="DU108"/>
  <c r="AK108" s="1"/>
  <c r="DV190"/>
  <c r="AL190" s="1"/>
  <c r="AR162"/>
  <c r="AR178"/>
  <c r="CX167"/>
  <c r="DD167" s="1"/>
  <c r="CX183"/>
  <c r="DD183" s="1"/>
  <c r="DO156"/>
  <c r="AK196"/>
  <c r="DU37"/>
  <c r="DV37" s="1"/>
  <c r="AL37" s="1"/>
  <c r="DU20"/>
  <c r="DU66"/>
  <c r="AK66" s="1"/>
  <c r="DU35"/>
  <c r="DU70"/>
  <c r="DU154"/>
  <c r="DV154" s="1"/>
  <c r="AL154" s="1"/>
  <c r="DU182"/>
  <c r="AK182" s="1"/>
  <c r="DU172"/>
  <c r="DV172" s="1"/>
  <c r="AL172" s="1"/>
  <c r="DO52"/>
  <c r="DO119"/>
  <c r="AK150"/>
  <c r="DV150"/>
  <c r="AL150" s="1"/>
  <c r="DV158"/>
  <c r="AL158" s="1"/>
  <c r="AK158"/>
  <c r="DU83"/>
  <c r="AK83" s="1"/>
  <c r="DB172"/>
  <c r="DC172" s="1"/>
  <c r="DU106"/>
  <c r="DV106" s="1"/>
  <c r="AL106" s="1"/>
  <c r="DU53"/>
  <c r="AK53" s="1"/>
  <c r="AO7" i="12"/>
  <c r="AK97" i="13"/>
  <c r="DV97"/>
  <c r="AL97" s="1"/>
  <c r="AP82"/>
  <c r="DV136"/>
  <c r="AL136" s="1"/>
  <c r="DU159"/>
  <c r="DV159" s="1"/>
  <c r="AL159" s="1"/>
  <c r="DU74"/>
  <c r="DU47"/>
  <c r="DO67"/>
  <c r="DU199"/>
  <c r="DV199" s="1"/>
  <c r="AL199" s="1"/>
  <c r="DV13"/>
  <c r="AL13" s="1"/>
  <c r="AK13"/>
  <c r="DU164"/>
  <c r="AI5"/>
  <c r="DU103"/>
  <c r="DU118"/>
  <c r="DU51"/>
  <c r="DO36"/>
  <c r="AK31"/>
  <c r="DV31"/>
  <c r="AL31" s="1"/>
  <c r="AK130"/>
  <c r="DV130"/>
  <c r="AL130" s="1"/>
  <c r="AK10"/>
  <c r="AK15"/>
  <c r="DV15"/>
  <c r="AL15" s="1"/>
  <c r="DV76"/>
  <c r="AL76" s="1"/>
  <c r="AK76"/>
  <c r="DO75"/>
  <c r="DO100"/>
  <c r="DO13"/>
  <c r="AP88"/>
  <c r="DA5" i="12"/>
  <c r="DB5" s="1"/>
  <c r="AK186" i="13"/>
  <c r="DV186"/>
  <c r="AL186" s="1"/>
  <c r="AK23"/>
  <c r="DV23"/>
  <c r="AL23" s="1"/>
  <c r="AR7"/>
  <c r="DO17"/>
  <c r="AP80"/>
  <c r="DO59"/>
  <c r="AP119"/>
  <c r="AI34"/>
  <c r="CX34"/>
  <c r="DD34" s="1"/>
  <c r="DF34" s="1"/>
  <c r="DO25"/>
  <c r="DO98"/>
  <c r="DO143"/>
  <c r="DO151"/>
  <c r="DO144"/>
  <c r="DU28"/>
  <c r="DO22"/>
  <c r="AQ6" i="12"/>
  <c r="DV45" i="13"/>
  <c r="AL45" s="1"/>
  <c r="AK45"/>
  <c r="AK174"/>
  <c r="DV174"/>
  <c r="AL174" s="1"/>
  <c r="DV55"/>
  <c r="AL55" s="1"/>
  <c r="AK55"/>
  <c r="DV144"/>
  <c r="AL144" s="1"/>
  <c r="AK144"/>
  <c r="AK6"/>
  <c r="DU56"/>
  <c r="AK56" s="1"/>
  <c r="DO24"/>
  <c r="DO49"/>
  <c r="DO63"/>
  <c r="DO139"/>
  <c r="DO137"/>
  <c r="DO113"/>
  <c r="DO175"/>
  <c r="DU63"/>
  <c r="DV128"/>
  <c r="AL128" s="1"/>
  <c r="AK128"/>
  <c r="AI13"/>
  <c r="CX13"/>
  <c r="DD13" s="1"/>
  <c r="CX114"/>
  <c r="DD114" s="1"/>
  <c r="AI114"/>
  <c r="CX195"/>
  <c r="DD195" s="1"/>
  <c r="AI195"/>
  <c r="DU156"/>
  <c r="AP170"/>
  <c r="DF194"/>
  <c r="DE194"/>
  <c r="AP73"/>
  <c r="AS29"/>
  <c r="DD28"/>
  <c r="AN33"/>
  <c r="DB33"/>
  <c r="DC33" s="1"/>
  <c r="CX42"/>
  <c r="AI42"/>
  <c r="DD30"/>
  <c r="DB39"/>
  <c r="DC39" s="1"/>
  <c r="AN39"/>
  <c r="DV40"/>
  <c r="AL40" s="1"/>
  <c r="AK40"/>
  <c r="DV44"/>
  <c r="AL44" s="1"/>
  <c r="AK44"/>
  <c r="DB51"/>
  <c r="DC51" s="1"/>
  <c r="AN51"/>
  <c r="DD15"/>
  <c r="DD21"/>
  <c r="AS41"/>
  <c r="CX55"/>
  <c r="AI55"/>
  <c r="DB70"/>
  <c r="DC70" s="1"/>
  <c r="AN70"/>
  <c r="AN56"/>
  <c r="DB56"/>
  <c r="DC56" s="1"/>
  <c r="DD59"/>
  <c r="CX82"/>
  <c r="AI82"/>
  <c r="AI88"/>
  <c r="CX88"/>
  <c r="DD68"/>
  <c r="DB86"/>
  <c r="DC86" s="1"/>
  <c r="AN86"/>
  <c r="DV85"/>
  <c r="AL85" s="1"/>
  <c r="AK85"/>
  <c r="AS78"/>
  <c r="DD65"/>
  <c r="AN84"/>
  <c r="DB84"/>
  <c r="DC84" s="1"/>
  <c r="AS91"/>
  <c r="DV92"/>
  <c r="AL92" s="1"/>
  <c r="DD98"/>
  <c r="AS103"/>
  <c r="AS111"/>
  <c r="DD72"/>
  <c r="DF86"/>
  <c r="DE86"/>
  <c r="DD101"/>
  <c r="DD108"/>
  <c r="AN111"/>
  <c r="DB111"/>
  <c r="DC111" s="1"/>
  <c r="AN115"/>
  <c r="DB115"/>
  <c r="DC115" s="1"/>
  <c r="DB120"/>
  <c r="DC120" s="1"/>
  <c r="AN120"/>
  <c r="DB134"/>
  <c r="DC134" s="1"/>
  <c r="AN134"/>
  <c r="DV135"/>
  <c r="AL135" s="1"/>
  <c r="AK135"/>
  <c r="DB150"/>
  <c r="DC150" s="1"/>
  <c r="AN150"/>
  <c r="DB154"/>
  <c r="DC154" s="1"/>
  <c r="AN154"/>
  <c r="DD91"/>
  <c r="DD103"/>
  <c r="AS114"/>
  <c r="CX113"/>
  <c r="AI113"/>
  <c r="DD128"/>
  <c r="DB162"/>
  <c r="DC162" s="1"/>
  <c r="AN162"/>
  <c r="DB170"/>
  <c r="DC170" s="1"/>
  <c r="AN170"/>
  <c r="DB178"/>
  <c r="DC178" s="1"/>
  <c r="AN178"/>
  <c r="DB186"/>
  <c r="DC186" s="1"/>
  <c r="AN186"/>
  <c r="AS158"/>
  <c r="AS168"/>
  <c r="DD175"/>
  <c r="AS184"/>
  <c r="AK185"/>
  <c r="DV185"/>
  <c r="AL185" s="1"/>
  <c r="DD178"/>
  <c r="AI193"/>
  <c r="CX193"/>
  <c r="DD168"/>
  <c r="DD184"/>
  <c r="DO191"/>
  <c r="DC191"/>
  <c r="DD164"/>
  <c r="DD180"/>
  <c r="DD192"/>
  <c r="DD196"/>
  <c r="DD166"/>
  <c r="DD182"/>
  <c r="DM199"/>
  <c r="DN199" s="1"/>
  <c r="DG199"/>
  <c r="DH199" s="1"/>
  <c r="DO96"/>
  <c r="DO159"/>
  <c r="DO176"/>
  <c r="AS13"/>
  <c r="AK30"/>
  <c r="DV30"/>
  <c r="AL30" s="1"/>
  <c r="CX46"/>
  <c r="AI46"/>
  <c r="AS21"/>
  <c r="CX50"/>
  <c r="AI50"/>
  <c r="DD14"/>
  <c r="DV36"/>
  <c r="AL36" s="1"/>
  <c r="AK36"/>
  <c r="DB43"/>
  <c r="DC43" s="1"/>
  <c r="AN43"/>
  <c r="DB47"/>
  <c r="DC47" s="1"/>
  <c r="AN47"/>
  <c r="DV48"/>
  <c r="AL48" s="1"/>
  <c r="AK48"/>
  <c r="DV52"/>
  <c r="AL52" s="1"/>
  <c r="AK52"/>
  <c r="DD31"/>
  <c r="CX39"/>
  <c r="AI39"/>
  <c r="DB62"/>
  <c r="DC62" s="1"/>
  <c r="AN62"/>
  <c r="AS64"/>
  <c r="DB19"/>
  <c r="DC19" s="1"/>
  <c r="AN19"/>
  <c r="DB27"/>
  <c r="DC27" s="1"/>
  <c r="AN27"/>
  <c r="AS17"/>
  <c r="AS33"/>
  <c r="AS35"/>
  <c r="DD25"/>
  <c r="DD22"/>
  <c r="AS34"/>
  <c r="AS37"/>
  <c r="CX51"/>
  <c r="AI51"/>
  <c r="AS55"/>
  <c r="AS57"/>
  <c r="AK54"/>
  <c r="DV54"/>
  <c r="AL54" s="1"/>
  <c r="DD49"/>
  <c r="AS72"/>
  <c r="AS76"/>
  <c r="CX78"/>
  <c r="AI78"/>
  <c r="AI80"/>
  <c r="CX80"/>
  <c r="DD61"/>
  <c r="DD69"/>
  <c r="AS88"/>
  <c r="DF87"/>
  <c r="DE87"/>
  <c r="DB89"/>
  <c r="DC89" s="1"/>
  <c r="AN89"/>
  <c r="DB97"/>
  <c r="DC97" s="1"/>
  <c r="AN97"/>
  <c r="DB105"/>
  <c r="DC105" s="1"/>
  <c r="AN105"/>
  <c r="DD70"/>
  <c r="DK79"/>
  <c r="AS77"/>
  <c r="DD60"/>
  <c r="DD66"/>
  <c r="DD73"/>
  <c r="DV115"/>
  <c r="AL115" s="1"/>
  <c r="AK115"/>
  <c r="CX125"/>
  <c r="AI125"/>
  <c r="CX133"/>
  <c r="AI133"/>
  <c r="CX141"/>
  <c r="AI141"/>
  <c r="CX149"/>
  <c r="AI149"/>
  <c r="AS120"/>
  <c r="DB130"/>
  <c r="DC130" s="1"/>
  <c r="AN130"/>
  <c r="DV131"/>
  <c r="AL131" s="1"/>
  <c r="AK131"/>
  <c r="DB146"/>
  <c r="DC146" s="1"/>
  <c r="AN146"/>
  <c r="DV147"/>
  <c r="AL147" s="1"/>
  <c r="AK147"/>
  <c r="AI116"/>
  <c r="CX116"/>
  <c r="AK117"/>
  <c r="DV117"/>
  <c r="AL117" s="1"/>
  <c r="DD135"/>
  <c r="DD143"/>
  <c r="CX150"/>
  <c r="AI150"/>
  <c r="CX154"/>
  <c r="AI154"/>
  <c r="AI158"/>
  <c r="CX158"/>
  <c r="DD110"/>
  <c r="AN155"/>
  <c r="DB155"/>
  <c r="DC155" s="1"/>
  <c r="AK157"/>
  <c r="DV157"/>
  <c r="AL157" s="1"/>
  <c r="DD136"/>
  <c r="AS164"/>
  <c r="AS180"/>
  <c r="AS196"/>
  <c r="AS193"/>
  <c r="DD160"/>
  <c r="DD172"/>
  <c r="DV198"/>
  <c r="AL198" s="1"/>
  <c r="AK198"/>
  <c r="DD162"/>
  <c r="DD185"/>
  <c r="DD165"/>
  <c r="DD181"/>
  <c r="DD191"/>
  <c r="AN192"/>
  <c r="DB192"/>
  <c r="DC192" s="1"/>
  <c r="AN196"/>
  <c r="DB196"/>
  <c r="DC196" s="1"/>
  <c r="AS198"/>
  <c r="DD188"/>
  <c r="DB6"/>
  <c r="DC6" s="1"/>
  <c r="AP8"/>
  <c r="AP7"/>
  <c r="CX11"/>
  <c r="DD11" s="1"/>
  <c r="DE11" s="1"/>
  <c r="DO28"/>
  <c r="DO21"/>
  <c r="DO16"/>
  <c r="DO50"/>
  <c r="AP57"/>
  <c r="DO41"/>
  <c r="DO38"/>
  <c r="DO46"/>
  <c r="DO45"/>
  <c r="DO77"/>
  <c r="DO61"/>
  <c r="DO92"/>
  <c r="DO91"/>
  <c r="DO106"/>
  <c r="DO102"/>
  <c r="DO124"/>
  <c r="DO169"/>
  <c r="DO168"/>
  <c r="DO184"/>
  <c r="DO157"/>
  <c r="DO173"/>
  <c r="DO160"/>
  <c r="DO198"/>
  <c r="DD19"/>
  <c r="DD26"/>
  <c r="DD40"/>
  <c r="CX47"/>
  <c r="AI47"/>
  <c r="AS49"/>
  <c r="AK50"/>
  <c r="AS53"/>
  <c r="DB58"/>
  <c r="DC58" s="1"/>
  <c r="AN58"/>
  <c r="DB66"/>
  <c r="DC66" s="1"/>
  <c r="AN66"/>
  <c r="DB74"/>
  <c r="DC74" s="1"/>
  <c r="AN74"/>
  <c r="DB55"/>
  <c r="DC55" s="1"/>
  <c r="AN55"/>
  <c r="AS60"/>
  <c r="AK61"/>
  <c r="DV61"/>
  <c r="AL61" s="1"/>
  <c r="AS68"/>
  <c r="AK69"/>
  <c r="DV69"/>
  <c r="AL69" s="1"/>
  <c r="DD75"/>
  <c r="CX57"/>
  <c r="AI57"/>
  <c r="DB81"/>
  <c r="DC81" s="1"/>
  <c r="AN81"/>
  <c r="DB83"/>
  <c r="DC83" s="1"/>
  <c r="AN83"/>
  <c r="AS87"/>
  <c r="DD90"/>
  <c r="AS99"/>
  <c r="AS115"/>
  <c r="DD85"/>
  <c r="AN114"/>
  <c r="DB114"/>
  <c r="DC114" s="1"/>
  <c r="AI121"/>
  <c r="CX121"/>
  <c r="DB126"/>
  <c r="DC126" s="1"/>
  <c r="AN126"/>
  <c r="DB142"/>
  <c r="DC142" s="1"/>
  <c r="AN142"/>
  <c r="DV155"/>
  <c r="AL155" s="1"/>
  <c r="AK155"/>
  <c r="DD83"/>
  <c r="DD93"/>
  <c r="AI112"/>
  <c r="CX112"/>
  <c r="CX122"/>
  <c r="AI122"/>
  <c r="CX126"/>
  <c r="AI126"/>
  <c r="CX130"/>
  <c r="AI130"/>
  <c r="CX134"/>
  <c r="AI134"/>
  <c r="CX138"/>
  <c r="AI138"/>
  <c r="CX142"/>
  <c r="AI142"/>
  <c r="CX146"/>
  <c r="AI146"/>
  <c r="AS148"/>
  <c r="DV149"/>
  <c r="AL149" s="1"/>
  <c r="AS152"/>
  <c r="AK153"/>
  <c r="DV153"/>
  <c r="AL153" s="1"/>
  <c r="DD99"/>
  <c r="DB166"/>
  <c r="DC166" s="1"/>
  <c r="AN166"/>
  <c r="DB174"/>
  <c r="DC174" s="1"/>
  <c r="AN174"/>
  <c r="DB182"/>
  <c r="DC182" s="1"/>
  <c r="AN182"/>
  <c r="DB190"/>
  <c r="DC190" s="1"/>
  <c r="AN190"/>
  <c r="DD152"/>
  <c r="DD155"/>
  <c r="AI156"/>
  <c r="CX156"/>
  <c r="AN158"/>
  <c r="DB158"/>
  <c r="DC158" s="1"/>
  <c r="AS176"/>
  <c r="AK177"/>
  <c r="AS188"/>
  <c r="DV189"/>
  <c r="AL189" s="1"/>
  <c r="AN200"/>
  <c r="DB200"/>
  <c r="DC200" s="1"/>
  <c r="DD161"/>
  <c r="DD173"/>
  <c r="AS195"/>
  <c r="AI198"/>
  <c r="CX198"/>
  <c r="AN195"/>
  <c r="DB195"/>
  <c r="DC195" s="1"/>
  <c r="AS199"/>
  <c r="DD177"/>
  <c r="DD189"/>
  <c r="AS200"/>
  <c r="DO32"/>
  <c r="DO48"/>
  <c r="DO37"/>
  <c r="DO64"/>
  <c r="DO71"/>
  <c r="DU81"/>
  <c r="DO95"/>
  <c r="DO107"/>
  <c r="DO129"/>
  <c r="DO123"/>
  <c r="DO149"/>
  <c r="DO110"/>
  <c r="DO141"/>
  <c r="DO128"/>
  <c r="DO183"/>
  <c r="DO193"/>
  <c r="DO179"/>
  <c r="DO161"/>
  <c r="CX38"/>
  <c r="AI38"/>
  <c r="DB15"/>
  <c r="DC15" s="1"/>
  <c r="AN15"/>
  <c r="DB23"/>
  <c r="DC23" s="1"/>
  <c r="AN23"/>
  <c r="DB31"/>
  <c r="DC31" s="1"/>
  <c r="AN31"/>
  <c r="AS25"/>
  <c r="AK26"/>
  <c r="DV26"/>
  <c r="AL26" s="1"/>
  <c r="DD32"/>
  <c r="DD29"/>
  <c r="DB35"/>
  <c r="DC35" s="1"/>
  <c r="AN35"/>
  <c r="AK34"/>
  <c r="DV34"/>
  <c r="AL34" s="1"/>
  <c r="DD27"/>
  <c r="CX43"/>
  <c r="AI43"/>
  <c r="AS45"/>
  <c r="AK46"/>
  <c r="DV46"/>
  <c r="AL46" s="1"/>
  <c r="DD52"/>
  <c r="DD17"/>
  <c r="CX54"/>
  <c r="AI54"/>
  <c r="AI53"/>
  <c r="CX53"/>
  <c r="DD56"/>
  <c r="AI77"/>
  <c r="CX77"/>
  <c r="AS81"/>
  <c r="DV82"/>
  <c r="AL82" s="1"/>
  <c r="AK82"/>
  <c r="AS80"/>
  <c r="AI76"/>
  <c r="CX76"/>
  <c r="AN88"/>
  <c r="DB88"/>
  <c r="DC88" s="1"/>
  <c r="DB93"/>
  <c r="DC93" s="1"/>
  <c r="AN93"/>
  <c r="DB101"/>
  <c r="DC101" s="1"/>
  <c r="AN101"/>
  <c r="DB109"/>
  <c r="DC109" s="1"/>
  <c r="AN109"/>
  <c r="DD62"/>
  <c r="AN79"/>
  <c r="DB79"/>
  <c r="DC79" s="1"/>
  <c r="DM79" s="1"/>
  <c r="DN79" s="1"/>
  <c r="DD58"/>
  <c r="DD64"/>
  <c r="AS84"/>
  <c r="DD84"/>
  <c r="AS95"/>
  <c r="AK96"/>
  <c r="DV96"/>
  <c r="AL96" s="1"/>
  <c r="AS107"/>
  <c r="DV108"/>
  <c r="AL108" s="1"/>
  <c r="AS79"/>
  <c r="CX129"/>
  <c r="AI129"/>
  <c r="CX137"/>
  <c r="AI137"/>
  <c r="CX145"/>
  <c r="AI145"/>
  <c r="CX153"/>
  <c r="AI153"/>
  <c r="DD107"/>
  <c r="DD111"/>
  <c r="DD115"/>
  <c r="AS118"/>
  <c r="AI119"/>
  <c r="CX119"/>
  <c r="DD120"/>
  <c r="DB122"/>
  <c r="DC122" s="1"/>
  <c r="AN122"/>
  <c r="DV123"/>
  <c r="AL123" s="1"/>
  <c r="AK123"/>
  <c r="DB138"/>
  <c r="DC138" s="1"/>
  <c r="AN138"/>
  <c r="DV139"/>
  <c r="AL139" s="1"/>
  <c r="AK139"/>
  <c r="DD109"/>
  <c r="AS119"/>
  <c r="CX117"/>
  <c r="AI117"/>
  <c r="DB118"/>
  <c r="AN118"/>
  <c r="AS124"/>
  <c r="AK125"/>
  <c r="DV125"/>
  <c r="AL125" s="1"/>
  <c r="AS128"/>
  <c r="AK129"/>
  <c r="DV129"/>
  <c r="AL129" s="1"/>
  <c r="AS132"/>
  <c r="AK133"/>
  <c r="DV133"/>
  <c r="AL133" s="1"/>
  <c r="AS136"/>
  <c r="AK137"/>
  <c r="AS140"/>
  <c r="AK141"/>
  <c r="DV141"/>
  <c r="AL141" s="1"/>
  <c r="AS144"/>
  <c r="AS156"/>
  <c r="CX157"/>
  <c r="AI157"/>
  <c r="AS160"/>
  <c r="AS172"/>
  <c r="AK173"/>
  <c r="DV173"/>
  <c r="AL173" s="1"/>
  <c r="AS192"/>
  <c r="DV191"/>
  <c r="AL191" s="1"/>
  <c r="AK191"/>
  <c r="DD170"/>
  <c r="AS194"/>
  <c r="DV200"/>
  <c r="AL200" s="1"/>
  <c r="AK200"/>
  <c r="AP5"/>
  <c r="DO26"/>
  <c r="DO29"/>
  <c r="DO40"/>
  <c r="DO44"/>
  <c r="DO72"/>
  <c r="DO69"/>
  <c r="AR79"/>
  <c r="DO94"/>
  <c r="DO85"/>
  <c r="DO131"/>
  <c r="DO140"/>
  <c r="DO125"/>
  <c r="DO171"/>
  <c r="DO187"/>
  <c r="DO165"/>
  <c r="DO181"/>
  <c r="AP6"/>
  <c r="AI7"/>
  <c r="AR6"/>
  <c r="AP11"/>
  <c r="AP9"/>
  <c r="AP12"/>
  <c r="AR9"/>
  <c r="DB12"/>
  <c r="DC12" s="1"/>
  <c r="AP10"/>
  <c r="AR12"/>
  <c r="AS10"/>
  <c r="AN9"/>
  <c r="DB9"/>
  <c r="DC9" s="1"/>
  <c r="AS8"/>
  <c r="AS11"/>
  <c r="AS7"/>
  <c r="AK11"/>
  <c r="DV11"/>
  <c r="AL11" s="1"/>
  <c r="AN5"/>
  <c r="DB5"/>
  <c r="DC5" s="1"/>
  <c r="AN8"/>
  <c r="DB8"/>
  <c r="DC8" s="1"/>
  <c r="DB11"/>
  <c r="DC11" s="1"/>
  <c r="AN11"/>
  <c r="DB7"/>
  <c r="DC7" s="1"/>
  <c r="AN7"/>
  <c r="DE10"/>
  <c r="DF10"/>
  <c r="DI10" s="1"/>
  <c r="DJ10" s="1"/>
  <c r="AS6"/>
  <c r="DV12"/>
  <c r="AL12" s="1"/>
  <c r="AK12"/>
  <c r="CX6"/>
  <c r="AI6"/>
  <c r="DV5"/>
  <c r="AL5" s="1"/>
  <c r="AK5"/>
  <c r="DD7"/>
  <c r="DD12"/>
  <c r="AK7"/>
  <c r="DV7"/>
  <c r="AL7" s="1"/>
  <c r="AS9"/>
  <c r="AS5"/>
  <c r="AI9"/>
  <c r="CX9"/>
  <c r="DV8"/>
  <c r="AL8" s="1"/>
  <c r="AK8"/>
  <c r="DD8"/>
  <c r="DE5"/>
  <c r="DF5"/>
  <c r="CU17" i="12"/>
  <c r="DT17" s="1"/>
  <c r="DU17" s="1"/>
  <c r="AP17"/>
  <c r="AQ11"/>
  <c r="AQ14"/>
  <c r="AQ12"/>
  <c r="AQ16"/>
  <c r="AQ8"/>
  <c r="AQ13"/>
  <c r="AQ10"/>
  <c r="AQ7"/>
  <c r="AQ5"/>
  <c r="CY17"/>
  <c r="AJ16"/>
  <c r="AO12"/>
  <c r="AO9"/>
  <c r="BJ17"/>
  <c r="AR17" s="1"/>
  <c r="BN17"/>
  <c r="BT17"/>
  <c r="CZ17" s="1"/>
  <c r="DA17" s="1"/>
  <c r="DB17" s="1"/>
  <c r="BG17"/>
  <c r="CW17" s="1"/>
  <c r="DC17" s="1"/>
  <c r="DE17" s="1"/>
  <c r="AG17"/>
  <c r="AJ15"/>
  <c r="AJ6"/>
  <c r="CW12"/>
  <c r="DC12" s="1"/>
  <c r="DA9"/>
  <c r="DB9" s="1"/>
  <c r="DA7"/>
  <c r="DB7" s="1"/>
  <c r="DA11"/>
  <c r="DB11" s="1"/>
  <c r="DA16"/>
  <c r="DB16" s="1"/>
  <c r="DA15"/>
  <c r="DB15" s="1"/>
  <c r="DA13"/>
  <c r="DB13" s="1"/>
  <c r="AN17"/>
  <c r="AL17"/>
  <c r="DU8"/>
  <c r="AK8" s="1"/>
  <c r="AI17"/>
  <c r="CW6"/>
  <c r="DC6" s="1"/>
  <c r="DU7"/>
  <c r="AK7" s="1"/>
  <c r="AO16"/>
  <c r="CW14"/>
  <c r="DC14" s="1"/>
  <c r="CW8"/>
  <c r="DC8" s="1"/>
  <c r="AO15"/>
  <c r="AO11"/>
  <c r="AO10"/>
  <c r="CW15"/>
  <c r="DC15" s="1"/>
  <c r="CW10"/>
  <c r="DC10" s="1"/>
  <c r="CW5"/>
  <c r="DC5" s="1"/>
  <c r="DD5" s="1"/>
  <c r="AO5"/>
  <c r="DA10"/>
  <c r="DB10" s="1"/>
  <c r="DU12"/>
  <c r="AK12" s="1"/>
  <c r="AJ12"/>
  <c r="DA14"/>
  <c r="DB14" s="1"/>
  <c r="DA12"/>
  <c r="DB12" s="1"/>
  <c r="CW9"/>
  <c r="CW7"/>
  <c r="DU13"/>
  <c r="AK13" s="1"/>
  <c r="AJ13"/>
  <c r="CW11"/>
  <c r="DU14"/>
  <c r="AK14" s="1"/>
  <c r="AJ14"/>
  <c r="DU5"/>
  <c r="AK5" s="1"/>
  <c r="AJ5"/>
  <c r="DU9"/>
  <c r="AK9" s="1"/>
  <c r="AJ9"/>
  <c r="CW16"/>
  <c r="CW13"/>
  <c r="DA8"/>
  <c r="DB8" s="1"/>
  <c r="DA6"/>
  <c r="DB6" s="1"/>
  <c r="DU10"/>
  <c r="AK10" s="1"/>
  <c r="AJ10"/>
  <c r="DU11"/>
  <c r="AK11" s="1"/>
  <c r="AJ11"/>
  <c r="DV110" i="13" l="1"/>
  <c r="AL110" s="1"/>
  <c r="AK114"/>
  <c r="DO145"/>
  <c r="DO117"/>
  <c r="AK175"/>
  <c r="DO90"/>
  <c r="DN5" i="12"/>
  <c r="AH17"/>
  <c r="DO132" i="13"/>
  <c r="DO60"/>
  <c r="DO20"/>
  <c r="DC121"/>
  <c r="DV65"/>
  <c r="AL65" s="1"/>
  <c r="DO68"/>
  <c r="DO167"/>
  <c r="DO133"/>
  <c r="DO30"/>
  <c r="DV105"/>
  <c r="AL105" s="1"/>
  <c r="AK72"/>
  <c r="AK78"/>
  <c r="AK143"/>
  <c r="DO10"/>
  <c r="DO163"/>
  <c r="DO177"/>
  <c r="DO127"/>
  <c r="DV100"/>
  <c r="AL100" s="1"/>
  <c r="DV42"/>
  <c r="AL42" s="1"/>
  <c r="DO164"/>
  <c r="DV67"/>
  <c r="AL67" s="1"/>
  <c r="AK67"/>
  <c r="AK112"/>
  <c r="AK181"/>
  <c r="DV111"/>
  <c r="AL111" s="1"/>
  <c r="DO34"/>
  <c r="AK38"/>
  <c r="AK161"/>
  <c r="DV87"/>
  <c r="AL87" s="1"/>
  <c r="AK197"/>
  <c r="AK132"/>
  <c r="AK49"/>
  <c r="DO65"/>
  <c r="DI34"/>
  <c r="DJ34" s="1"/>
  <c r="AK57"/>
  <c r="DO194"/>
  <c r="AK16"/>
  <c r="AK169"/>
  <c r="DI194"/>
  <c r="DJ194" s="1"/>
  <c r="DO80"/>
  <c r="DO76"/>
  <c r="AK18"/>
  <c r="AK106"/>
  <c r="DV180"/>
  <c r="AL180" s="1"/>
  <c r="AK180"/>
  <c r="DV60"/>
  <c r="AL60" s="1"/>
  <c r="DV165"/>
  <c r="AL165" s="1"/>
  <c r="AK127"/>
  <c r="DO82"/>
  <c r="AK73"/>
  <c r="AK22"/>
  <c r="DO152"/>
  <c r="DO104"/>
  <c r="AK193"/>
  <c r="DO189"/>
  <c r="DV121"/>
  <c r="AL121" s="1"/>
  <c r="DV77"/>
  <c r="AL77" s="1"/>
  <c r="AK124"/>
  <c r="AK17"/>
  <c r="DO153"/>
  <c r="DO42"/>
  <c r="AK104"/>
  <c r="DO103"/>
  <c r="AK145"/>
  <c r="DV194"/>
  <c r="AL194" s="1"/>
  <c r="DO87"/>
  <c r="AK116"/>
  <c r="DI87"/>
  <c r="DJ87" s="1"/>
  <c r="DV120"/>
  <c r="AL120" s="1"/>
  <c r="DV83"/>
  <c r="AL83" s="1"/>
  <c r="DO108"/>
  <c r="DV152"/>
  <c r="AL152" s="1"/>
  <c r="DO78"/>
  <c r="DO14"/>
  <c r="DO197"/>
  <c r="DO18"/>
  <c r="DV14"/>
  <c r="AL14" s="1"/>
  <c r="DO188"/>
  <c r="DO136"/>
  <c r="DO73"/>
  <c r="DO112"/>
  <c r="AK75"/>
  <c r="DV75"/>
  <c r="AL75" s="1"/>
  <c r="AK25"/>
  <c r="DV25"/>
  <c r="AL25" s="1"/>
  <c r="AK101"/>
  <c r="DV101"/>
  <c r="AL101" s="1"/>
  <c r="AK27"/>
  <c r="DV27"/>
  <c r="AL27" s="1"/>
  <c r="AK94"/>
  <c r="DV94"/>
  <c r="AL94" s="1"/>
  <c r="AK98"/>
  <c r="DV98"/>
  <c r="AL98" s="1"/>
  <c r="DV188"/>
  <c r="AL188" s="1"/>
  <c r="AK188"/>
  <c r="DV90"/>
  <c r="AL90" s="1"/>
  <c r="AK90"/>
  <c r="DV179"/>
  <c r="AL179" s="1"/>
  <c r="AK179"/>
  <c r="DV33"/>
  <c r="AL33" s="1"/>
  <c r="AK33"/>
  <c r="AK71"/>
  <c r="DV71"/>
  <c r="AL71" s="1"/>
  <c r="AK126"/>
  <c r="DV126"/>
  <c r="AL126" s="1"/>
  <c r="AK113"/>
  <c r="DO99"/>
  <c r="DO148"/>
  <c r="DO54"/>
  <c r="DE34"/>
  <c r="DO180"/>
  <c r="DV151"/>
  <c r="AL151" s="1"/>
  <c r="DV148"/>
  <c r="AL148" s="1"/>
  <c r="DV86"/>
  <c r="AL86" s="1"/>
  <c r="DO53"/>
  <c r="DO172"/>
  <c r="DO147"/>
  <c r="DO185"/>
  <c r="DO135"/>
  <c r="DV138"/>
  <c r="AL138" s="1"/>
  <c r="DO57"/>
  <c r="DV56"/>
  <c r="AL56" s="1"/>
  <c r="DV99"/>
  <c r="AL99" s="1"/>
  <c r="AK99"/>
  <c r="DV59"/>
  <c r="AL59" s="1"/>
  <c r="AK89"/>
  <c r="DV89"/>
  <c r="AL89" s="1"/>
  <c r="DV95"/>
  <c r="AL95" s="1"/>
  <c r="AK95"/>
  <c r="AK154"/>
  <c r="AK109"/>
  <c r="DV109"/>
  <c r="AL109" s="1"/>
  <c r="AK134"/>
  <c r="DV134"/>
  <c r="AL134" s="1"/>
  <c r="AK170"/>
  <c r="DV170"/>
  <c r="AL170" s="1"/>
  <c r="AK37"/>
  <c r="AK142"/>
  <c r="AK168"/>
  <c r="AK62"/>
  <c r="DV62"/>
  <c r="AL62" s="1"/>
  <c r="DV66"/>
  <c r="AL66" s="1"/>
  <c r="AK172"/>
  <c r="AK183"/>
  <c r="DV183"/>
  <c r="AL183" s="1"/>
  <c r="AK159"/>
  <c r="AK35"/>
  <c r="DV35"/>
  <c r="AL35" s="1"/>
  <c r="AK19"/>
  <c r="DV19"/>
  <c r="AL19" s="1"/>
  <c r="AK70"/>
  <c r="DV70"/>
  <c r="AL70" s="1"/>
  <c r="AK140"/>
  <c r="DV140"/>
  <c r="AL140" s="1"/>
  <c r="DV53"/>
  <c r="AL53" s="1"/>
  <c r="DV20"/>
  <c r="AL20" s="1"/>
  <c r="AK20"/>
  <c r="DV182"/>
  <c r="AL182" s="1"/>
  <c r="AK199"/>
  <c r="AK47"/>
  <c r="DV47"/>
  <c r="AL47" s="1"/>
  <c r="AK74"/>
  <c r="DV74"/>
  <c r="AL74" s="1"/>
  <c r="AK164"/>
  <c r="DV164"/>
  <c r="AL164" s="1"/>
  <c r="AK103"/>
  <c r="DV103"/>
  <c r="AL103" s="1"/>
  <c r="AK118"/>
  <c r="DV118"/>
  <c r="AL118" s="1"/>
  <c r="AK51"/>
  <c r="DV51"/>
  <c r="AL51" s="1"/>
  <c r="DO31"/>
  <c r="DO109"/>
  <c r="AK28"/>
  <c r="DV28"/>
  <c r="AL28" s="1"/>
  <c r="DF11"/>
  <c r="DI11" s="1"/>
  <c r="DJ11" s="1"/>
  <c r="DO174"/>
  <c r="DO6"/>
  <c r="DO166"/>
  <c r="DO51"/>
  <c r="DO33"/>
  <c r="DO84"/>
  <c r="DF195"/>
  <c r="DI195" s="1"/>
  <c r="DJ195" s="1"/>
  <c r="DE195"/>
  <c r="DK195" s="1"/>
  <c r="DF114"/>
  <c r="DI114" s="1"/>
  <c r="DJ114" s="1"/>
  <c r="DE114"/>
  <c r="DK114" s="1"/>
  <c r="DO178"/>
  <c r="DO134"/>
  <c r="DO111"/>
  <c r="DV156"/>
  <c r="AL156" s="1"/>
  <c r="AK156"/>
  <c r="DO150"/>
  <c r="DO120"/>
  <c r="DK194"/>
  <c r="DG194"/>
  <c r="DH194" s="1"/>
  <c r="DO195"/>
  <c r="DO200"/>
  <c r="DO114"/>
  <c r="DO62"/>
  <c r="DM194"/>
  <c r="DN194" s="1"/>
  <c r="DE13"/>
  <c r="DF13"/>
  <c r="DI13" s="1"/>
  <c r="DJ13" s="1"/>
  <c r="DV63"/>
  <c r="AL63" s="1"/>
  <c r="AK63"/>
  <c r="DO12"/>
  <c r="DO122"/>
  <c r="DI79"/>
  <c r="DJ79" s="1"/>
  <c r="DO142"/>
  <c r="DO81"/>
  <c r="DO58"/>
  <c r="DO192"/>
  <c r="DO155"/>
  <c r="DO89"/>
  <c r="DO19"/>
  <c r="DO186"/>
  <c r="AM17" i="12"/>
  <c r="DE32" i="13"/>
  <c r="DF32"/>
  <c r="DI32" s="1"/>
  <c r="DJ32" s="1"/>
  <c r="DV81"/>
  <c r="AL81" s="1"/>
  <c r="AK81"/>
  <c r="DE167"/>
  <c r="DF167"/>
  <c r="DI167" s="1"/>
  <c r="DJ167" s="1"/>
  <c r="DD112"/>
  <c r="DE102"/>
  <c r="DF102"/>
  <c r="DI102" s="1"/>
  <c r="DJ102" s="1"/>
  <c r="DD57"/>
  <c r="DE63"/>
  <c r="DF63"/>
  <c r="DI63" s="1"/>
  <c r="DJ63" s="1"/>
  <c r="DF37"/>
  <c r="DI37" s="1"/>
  <c r="DJ37" s="1"/>
  <c r="DE37"/>
  <c r="DE40"/>
  <c r="DF40"/>
  <c r="DI40" s="1"/>
  <c r="DJ40" s="1"/>
  <c r="DD50"/>
  <c r="DD46"/>
  <c r="DL199"/>
  <c r="DP199"/>
  <c r="DF164"/>
  <c r="DI164" s="1"/>
  <c r="DJ164" s="1"/>
  <c r="DE164"/>
  <c r="DF184"/>
  <c r="DI184" s="1"/>
  <c r="DJ184" s="1"/>
  <c r="DE184"/>
  <c r="DF190"/>
  <c r="DI190" s="1"/>
  <c r="DJ190" s="1"/>
  <c r="DE190"/>
  <c r="DF124"/>
  <c r="DI124" s="1"/>
  <c r="DJ124" s="1"/>
  <c r="DE124"/>
  <c r="DE175"/>
  <c r="DF175"/>
  <c r="DI175" s="1"/>
  <c r="DJ175" s="1"/>
  <c r="DF148"/>
  <c r="DI148" s="1"/>
  <c r="DJ148" s="1"/>
  <c r="DE148"/>
  <c r="DF128"/>
  <c r="DI128" s="1"/>
  <c r="DJ128" s="1"/>
  <c r="DE128"/>
  <c r="DE147"/>
  <c r="DF147"/>
  <c r="DI147" s="1"/>
  <c r="DJ147" s="1"/>
  <c r="DF91"/>
  <c r="DI91" s="1"/>
  <c r="DJ91" s="1"/>
  <c r="DE91"/>
  <c r="DF108"/>
  <c r="DI108" s="1"/>
  <c r="DJ108" s="1"/>
  <c r="DE108"/>
  <c r="DG86"/>
  <c r="DH86" s="1"/>
  <c r="DM86"/>
  <c r="DN86" s="1"/>
  <c r="DK86"/>
  <c r="DF30"/>
  <c r="DI30" s="1"/>
  <c r="DJ30" s="1"/>
  <c r="DE30"/>
  <c r="DE28"/>
  <c r="DF28"/>
  <c r="DI28" s="1"/>
  <c r="DJ28" s="1"/>
  <c r="DO162"/>
  <c r="DD198"/>
  <c r="DF173"/>
  <c r="DI173" s="1"/>
  <c r="DJ173" s="1"/>
  <c r="DE173"/>
  <c r="DF140"/>
  <c r="DI140" s="1"/>
  <c r="DJ140" s="1"/>
  <c r="DE140"/>
  <c r="DD156"/>
  <c r="DD121"/>
  <c r="DE85"/>
  <c r="DF85"/>
  <c r="DI85" s="1"/>
  <c r="DJ85" s="1"/>
  <c r="DF165"/>
  <c r="DI165" s="1"/>
  <c r="DJ165" s="1"/>
  <c r="DE165"/>
  <c r="DF169"/>
  <c r="DI169" s="1"/>
  <c r="DJ169" s="1"/>
  <c r="DE169"/>
  <c r="DE110"/>
  <c r="DF110"/>
  <c r="DI110" s="1"/>
  <c r="DJ110" s="1"/>
  <c r="DD154"/>
  <c r="DE143"/>
  <c r="DF143"/>
  <c r="DI143" s="1"/>
  <c r="DJ143" s="1"/>
  <c r="DE135"/>
  <c r="DF135"/>
  <c r="DI135" s="1"/>
  <c r="DJ135" s="1"/>
  <c r="DE127"/>
  <c r="DF127"/>
  <c r="DI127" s="1"/>
  <c r="DJ127" s="1"/>
  <c r="DF95"/>
  <c r="DI95" s="1"/>
  <c r="DJ95" s="1"/>
  <c r="DE95"/>
  <c r="DD141"/>
  <c r="DD125"/>
  <c r="DF66"/>
  <c r="DI66" s="1"/>
  <c r="DJ66" s="1"/>
  <c r="DE66"/>
  <c r="DE106"/>
  <c r="DF106"/>
  <c r="DI106" s="1"/>
  <c r="DJ106" s="1"/>
  <c r="DF100"/>
  <c r="DI100" s="1"/>
  <c r="DJ100" s="1"/>
  <c r="DE100"/>
  <c r="DI118"/>
  <c r="DJ118" s="1"/>
  <c r="DC118"/>
  <c r="DM118" s="1"/>
  <c r="DN118" s="1"/>
  <c r="DF97"/>
  <c r="DI97" s="1"/>
  <c r="DJ97" s="1"/>
  <c r="DE97"/>
  <c r="DF120"/>
  <c r="DI120" s="1"/>
  <c r="DJ120" s="1"/>
  <c r="DE120"/>
  <c r="DE111"/>
  <c r="DF111"/>
  <c r="DI111" s="1"/>
  <c r="DJ111" s="1"/>
  <c r="DF107"/>
  <c r="DI107" s="1"/>
  <c r="DJ107" s="1"/>
  <c r="DE107"/>
  <c r="DD145"/>
  <c r="DD129"/>
  <c r="DF58"/>
  <c r="DI58" s="1"/>
  <c r="DJ58" s="1"/>
  <c r="DE58"/>
  <c r="DD76"/>
  <c r="DD53"/>
  <c r="DE20"/>
  <c r="DF20"/>
  <c r="DI20" s="1"/>
  <c r="DJ20" s="1"/>
  <c r="DF177"/>
  <c r="DI177" s="1"/>
  <c r="DJ177" s="1"/>
  <c r="DE177"/>
  <c r="DE155"/>
  <c r="DF155"/>
  <c r="DI155" s="1"/>
  <c r="DJ155" s="1"/>
  <c r="DF144"/>
  <c r="DI144" s="1"/>
  <c r="DJ144" s="1"/>
  <c r="DE144"/>
  <c r="DD146"/>
  <c r="DD138"/>
  <c r="DD130"/>
  <c r="DD122"/>
  <c r="DF105"/>
  <c r="DI105" s="1"/>
  <c r="DJ105" s="1"/>
  <c r="DE105"/>
  <c r="DF96"/>
  <c r="DI96" s="1"/>
  <c r="DJ96" s="1"/>
  <c r="DE96"/>
  <c r="DF176"/>
  <c r="DI176" s="1"/>
  <c r="DJ176" s="1"/>
  <c r="DE176"/>
  <c r="DF35"/>
  <c r="DI35" s="1"/>
  <c r="DJ35" s="1"/>
  <c r="DE35"/>
  <c r="DE16"/>
  <c r="DF16"/>
  <c r="DI16" s="1"/>
  <c r="DJ16" s="1"/>
  <c r="DF161"/>
  <c r="DI161" s="1"/>
  <c r="DJ161" s="1"/>
  <c r="DE161"/>
  <c r="DE183"/>
  <c r="DF183"/>
  <c r="DI183" s="1"/>
  <c r="DJ183" s="1"/>
  <c r="DF83"/>
  <c r="DI83" s="1"/>
  <c r="DJ83" s="1"/>
  <c r="DE83"/>
  <c r="DF89"/>
  <c r="DI89" s="1"/>
  <c r="DJ89" s="1"/>
  <c r="DE89"/>
  <c r="DE90"/>
  <c r="DF90"/>
  <c r="DI90" s="1"/>
  <c r="DJ90" s="1"/>
  <c r="DE75"/>
  <c r="DF75"/>
  <c r="DI75" s="1"/>
  <c r="DJ75" s="1"/>
  <c r="DF23"/>
  <c r="DI23" s="1"/>
  <c r="DJ23" s="1"/>
  <c r="DE23"/>
  <c r="DD47"/>
  <c r="DF19"/>
  <c r="DI19" s="1"/>
  <c r="DJ19" s="1"/>
  <c r="DE19"/>
  <c r="DE200"/>
  <c r="DF200"/>
  <c r="DI200" s="1"/>
  <c r="DJ200" s="1"/>
  <c r="DF181"/>
  <c r="DI181" s="1"/>
  <c r="DJ181" s="1"/>
  <c r="DE181"/>
  <c r="DF185"/>
  <c r="DI185" s="1"/>
  <c r="DJ185" s="1"/>
  <c r="DE185"/>
  <c r="DD150"/>
  <c r="DE139"/>
  <c r="DF139"/>
  <c r="DI139" s="1"/>
  <c r="DJ139" s="1"/>
  <c r="DE131"/>
  <c r="DF131"/>
  <c r="DI131" s="1"/>
  <c r="DJ131" s="1"/>
  <c r="DE123"/>
  <c r="DF123"/>
  <c r="DI123" s="1"/>
  <c r="DJ123" s="1"/>
  <c r="DD149"/>
  <c r="DD133"/>
  <c r="DF60"/>
  <c r="DI60" s="1"/>
  <c r="DJ60" s="1"/>
  <c r="DE60"/>
  <c r="DE94"/>
  <c r="DF94"/>
  <c r="DI94" s="1"/>
  <c r="DJ94" s="1"/>
  <c r="DD51"/>
  <c r="DF25"/>
  <c r="DI25" s="1"/>
  <c r="DJ25" s="1"/>
  <c r="DE25"/>
  <c r="DF18"/>
  <c r="DI18" s="1"/>
  <c r="DJ18" s="1"/>
  <c r="DE18"/>
  <c r="DG34"/>
  <c r="DH34" s="1"/>
  <c r="DM34"/>
  <c r="DN34" s="1"/>
  <c r="DK34"/>
  <c r="DF182"/>
  <c r="DI182" s="1"/>
  <c r="DJ182" s="1"/>
  <c r="DE182"/>
  <c r="DE196"/>
  <c r="DF196"/>
  <c r="DI196" s="1"/>
  <c r="DJ196" s="1"/>
  <c r="DF101"/>
  <c r="DI101" s="1"/>
  <c r="DJ101" s="1"/>
  <c r="DE101"/>
  <c r="DF72"/>
  <c r="DI72" s="1"/>
  <c r="DJ72" s="1"/>
  <c r="DE72"/>
  <c r="DE98"/>
  <c r="DF98"/>
  <c r="DI98" s="1"/>
  <c r="DJ98" s="1"/>
  <c r="DF65"/>
  <c r="DI65" s="1"/>
  <c r="DJ65" s="1"/>
  <c r="DE65"/>
  <c r="DE48"/>
  <c r="DF48"/>
  <c r="DI48" s="1"/>
  <c r="DJ48" s="1"/>
  <c r="DF21"/>
  <c r="DI21" s="1"/>
  <c r="DJ21" s="1"/>
  <c r="DE21"/>
  <c r="DD42"/>
  <c r="DG118"/>
  <c r="DH118" s="1"/>
  <c r="DO23"/>
  <c r="DO158"/>
  <c r="DO190"/>
  <c r="DO74"/>
  <c r="DO196"/>
  <c r="DO130"/>
  <c r="DG79"/>
  <c r="DH79" s="1"/>
  <c r="DO105"/>
  <c r="DO47"/>
  <c r="DF170"/>
  <c r="DI170" s="1"/>
  <c r="DJ170" s="1"/>
  <c r="DE170"/>
  <c r="DE163"/>
  <c r="DF163"/>
  <c r="DI163" s="1"/>
  <c r="DJ163" s="1"/>
  <c r="DD119"/>
  <c r="DE84"/>
  <c r="DF84"/>
  <c r="DI84" s="1"/>
  <c r="DJ84" s="1"/>
  <c r="DF74"/>
  <c r="DI74" s="1"/>
  <c r="DJ74" s="1"/>
  <c r="DE74"/>
  <c r="DE71"/>
  <c r="DF71"/>
  <c r="DI71" s="1"/>
  <c r="DJ71" s="1"/>
  <c r="DF17"/>
  <c r="DI17" s="1"/>
  <c r="DJ17" s="1"/>
  <c r="DE17"/>
  <c r="DD43"/>
  <c r="DE33"/>
  <c r="DF33"/>
  <c r="DI33" s="1"/>
  <c r="DJ33" s="1"/>
  <c r="DF162"/>
  <c r="DI162" s="1"/>
  <c r="DJ162" s="1"/>
  <c r="DE162"/>
  <c r="DF160"/>
  <c r="DI160" s="1"/>
  <c r="DJ160" s="1"/>
  <c r="DE160"/>
  <c r="DE159"/>
  <c r="DF159"/>
  <c r="DI159" s="1"/>
  <c r="DJ159" s="1"/>
  <c r="DF104"/>
  <c r="DI104" s="1"/>
  <c r="DJ104" s="1"/>
  <c r="DE104"/>
  <c r="DM87"/>
  <c r="DN87" s="1"/>
  <c r="DG87"/>
  <c r="DH87" s="1"/>
  <c r="DK87"/>
  <c r="DF69"/>
  <c r="DI69" s="1"/>
  <c r="DJ69" s="1"/>
  <c r="DE69"/>
  <c r="DF22"/>
  <c r="DI22" s="1"/>
  <c r="DJ22" s="1"/>
  <c r="DE22"/>
  <c r="DD39"/>
  <c r="DF186"/>
  <c r="DI186" s="1"/>
  <c r="DJ186" s="1"/>
  <c r="DE186"/>
  <c r="DF174"/>
  <c r="DI174" s="1"/>
  <c r="DJ174" s="1"/>
  <c r="DE174"/>
  <c r="DE179"/>
  <c r="DF179"/>
  <c r="DI179" s="1"/>
  <c r="DJ179" s="1"/>
  <c r="DD157"/>
  <c r="DF62"/>
  <c r="DI62" s="1"/>
  <c r="DJ62" s="1"/>
  <c r="DE62"/>
  <c r="DE56"/>
  <c r="DF56"/>
  <c r="DI56" s="1"/>
  <c r="DJ56" s="1"/>
  <c r="DD54"/>
  <c r="DE52"/>
  <c r="DF52"/>
  <c r="DI52" s="1"/>
  <c r="DJ52" s="1"/>
  <c r="DE36"/>
  <c r="DF36"/>
  <c r="DI36" s="1"/>
  <c r="DJ36" s="1"/>
  <c r="DF27"/>
  <c r="DI27" s="1"/>
  <c r="DJ27" s="1"/>
  <c r="DE27"/>
  <c r="DD117"/>
  <c r="DF109"/>
  <c r="DI109" s="1"/>
  <c r="DJ109" s="1"/>
  <c r="DE109"/>
  <c r="DE115"/>
  <c r="DF115"/>
  <c r="DI115" s="1"/>
  <c r="DJ115" s="1"/>
  <c r="DD153"/>
  <c r="DD137"/>
  <c r="DF64"/>
  <c r="DI64" s="1"/>
  <c r="DJ64" s="1"/>
  <c r="DE64"/>
  <c r="DD77"/>
  <c r="DF29"/>
  <c r="DI29" s="1"/>
  <c r="DJ29" s="1"/>
  <c r="DE29"/>
  <c r="DD38"/>
  <c r="DF189"/>
  <c r="DI189" s="1"/>
  <c r="DJ189" s="1"/>
  <c r="DE189"/>
  <c r="DF152"/>
  <c r="DI152" s="1"/>
  <c r="DJ152" s="1"/>
  <c r="DE152"/>
  <c r="DF99"/>
  <c r="DI99" s="1"/>
  <c r="DJ99" s="1"/>
  <c r="DE99"/>
  <c r="DD142"/>
  <c r="DD134"/>
  <c r="DD126"/>
  <c r="DF93"/>
  <c r="DI93" s="1"/>
  <c r="DJ93" s="1"/>
  <c r="DE93"/>
  <c r="DF41"/>
  <c r="DI41" s="1"/>
  <c r="DJ41" s="1"/>
  <c r="DE41"/>
  <c r="DF26"/>
  <c r="DI26" s="1"/>
  <c r="DJ26" s="1"/>
  <c r="DE26"/>
  <c r="DF188"/>
  <c r="DI188" s="1"/>
  <c r="DJ188" s="1"/>
  <c r="DE188"/>
  <c r="DE191"/>
  <c r="DF191"/>
  <c r="DI191" s="1"/>
  <c r="DJ191" s="1"/>
  <c r="DF172"/>
  <c r="DI172" s="1"/>
  <c r="DJ172" s="1"/>
  <c r="DE172"/>
  <c r="DE171"/>
  <c r="DF171"/>
  <c r="DI171" s="1"/>
  <c r="DJ171" s="1"/>
  <c r="DF136"/>
  <c r="DI136" s="1"/>
  <c r="DJ136" s="1"/>
  <c r="DE136"/>
  <c r="DD158"/>
  <c r="DD116"/>
  <c r="DF92"/>
  <c r="DI92" s="1"/>
  <c r="DJ92" s="1"/>
  <c r="DE92"/>
  <c r="DF73"/>
  <c r="DI73" s="1"/>
  <c r="DJ73" s="1"/>
  <c r="DE73"/>
  <c r="DF70"/>
  <c r="DI70" s="1"/>
  <c r="DJ70" s="1"/>
  <c r="DE70"/>
  <c r="DF61"/>
  <c r="DI61" s="1"/>
  <c r="DJ61" s="1"/>
  <c r="DE61"/>
  <c r="DD80"/>
  <c r="DF31"/>
  <c r="DI31" s="1"/>
  <c r="DJ31" s="1"/>
  <c r="DE31"/>
  <c r="DF180"/>
  <c r="DI180" s="1"/>
  <c r="DJ180" s="1"/>
  <c r="DE180"/>
  <c r="DF168"/>
  <c r="DI168" s="1"/>
  <c r="DJ168" s="1"/>
  <c r="DE168"/>
  <c r="DF178"/>
  <c r="DI178" s="1"/>
  <c r="DJ178" s="1"/>
  <c r="DE178"/>
  <c r="DE187"/>
  <c r="DF187"/>
  <c r="DI187" s="1"/>
  <c r="DJ187" s="1"/>
  <c r="DF132"/>
  <c r="DI132" s="1"/>
  <c r="DJ132" s="1"/>
  <c r="DE132"/>
  <c r="DE151"/>
  <c r="DF151"/>
  <c r="DI151" s="1"/>
  <c r="DJ151" s="1"/>
  <c r="DD113"/>
  <c r="DF103"/>
  <c r="DI103" s="1"/>
  <c r="DJ103" s="1"/>
  <c r="DE103"/>
  <c r="DD88"/>
  <c r="DI5"/>
  <c r="DJ5" s="1"/>
  <c r="DO118"/>
  <c r="DO138"/>
  <c r="DO79"/>
  <c r="DO101"/>
  <c r="DO93"/>
  <c r="DO88"/>
  <c r="DO35"/>
  <c r="DO15"/>
  <c r="DO182"/>
  <c r="DO126"/>
  <c r="DO83"/>
  <c r="DO55"/>
  <c r="DO66"/>
  <c r="DO146"/>
  <c r="DO97"/>
  <c r="DO27"/>
  <c r="DO43"/>
  <c r="DO56"/>
  <c r="DF197"/>
  <c r="DI197" s="1"/>
  <c r="DJ197" s="1"/>
  <c r="DE197"/>
  <c r="DF81"/>
  <c r="DI81" s="1"/>
  <c r="DJ81" s="1"/>
  <c r="DE81"/>
  <c r="DD78"/>
  <c r="DF49"/>
  <c r="DI49" s="1"/>
  <c r="DJ49" s="1"/>
  <c r="DE49"/>
  <c r="DF45"/>
  <c r="DI45" s="1"/>
  <c r="DJ45" s="1"/>
  <c r="DE45"/>
  <c r="DE44"/>
  <c r="DF44"/>
  <c r="DI44" s="1"/>
  <c r="DJ44" s="1"/>
  <c r="DE24"/>
  <c r="DF24"/>
  <c r="DI24" s="1"/>
  <c r="DJ24" s="1"/>
  <c r="DE67"/>
  <c r="DF67"/>
  <c r="DI67" s="1"/>
  <c r="DJ67" s="1"/>
  <c r="DF14"/>
  <c r="DI14" s="1"/>
  <c r="DJ14" s="1"/>
  <c r="DE14"/>
  <c r="DF166"/>
  <c r="DI166" s="1"/>
  <c r="DJ166" s="1"/>
  <c r="DE166"/>
  <c r="DE192"/>
  <c r="DF192"/>
  <c r="DI192" s="1"/>
  <c r="DJ192" s="1"/>
  <c r="DD193"/>
  <c r="DF68"/>
  <c r="DI68" s="1"/>
  <c r="DJ68" s="1"/>
  <c r="DE68"/>
  <c r="DD82"/>
  <c r="DE59"/>
  <c r="DF59"/>
  <c r="DI59" s="1"/>
  <c r="DJ59" s="1"/>
  <c r="DD55"/>
  <c r="DF15"/>
  <c r="DI15" s="1"/>
  <c r="DJ15" s="1"/>
  <c r="DE15"/>
  <c r="DO170"/>
  <c r="DO154"/>
  <c r="DO115"/>
  <c r="DG114"/>
  <c r="DH114" s="1"/>
  <c r="DI86"/>
  <c r="DJ86" s="1"/>
  <c r="DO86"/>
  <c r="DO70"/>
  <c r="DO39"/>
  <c r="DO7"/>
  <c r="DO11"/>
  <c r="DO5"/>
  <c r="DE8"/>
  <c r="DF8"/>
  <c r="DI8" s="1"/>
  <c r="DJ8" s="1"/>
  <c r="DD9"/>
  <c r="DF7"/>
  <c r="DI7" s="1"/>
  <c r="DJ7" s="1"/>
  <c r="DE7"/>
  <c r="DD6"/>
  <c r="DO8"/>
  <c r="DO9"/>
  <c r="DM5"/>
  <c r="DN5" s="1"/>
  <c r="DG5"/>
  <c r="DH5" s="1"/>
  <c r="DK5"/>
  <c r="DG11"/>
  <c r="DH11" s="1"/>
  <c r="DM11"/>
  <c r="DN11" s="1"/>
  <c r="DK11"/>
  <c r="DE12"/>
  <c r="DF12"/>
  <c r="DI12" s="1"/>
  <c r="DJ12" s="1"/>
  <c r="DM10"/>
  <c r="DN10" s="1"/>
  <c r="DG10"/>
  <c r="DH10" s="1"/>
  <c r="DK10"/>
  <c r="DN7" i="12"/>
  <c r="AQ17"/>
  <c r="DN11"/>
  <c r="DD17"/>
  <c r="DF17" s="1"/>
  <c r="DG17" s="1"/>
  <c r="DN16"/>
  <c r="DN13"/>
  <c r="DN15"/>
  <c r="DN9"/>
  <c r="AO17"/>
  <c r="AJ17"/>
  <c r="AK17" s="1"/>
  <c r="DE5"/>
  <c r="DH5" s="1"/>
  <c r="DI5" s="1"/>
  <c r="DH17"/>
  <c r="DI17" s="1"/>
  <c r="DN12"/>
  <c r="DN17"/>
  <c r="DL5"/>
  <c r="DM5" s="1"/>
  <c r="DF5"/>
  <c r="DG5" s="1"/>
  <c r="DJ5"/>
  <c r="DC11"/>
  <c r="DD15"/>
  <c r="DE15"/>
  <c r="DH15" s="1"/>
  <c r="DI15" s="1"/>
  <c r="DC16"/>
  <c r="DD10"/>
  <c r="DE10"/>
  <c r="DH10" s="1"/>
  <c r="DI10" s="1"/>
  <c r="DC13"/>
  <c r="DD8"/>
  <c r="DE8"/>
  <c r="DH8" s="1"/>
  <c r="DI8" s="1"/>
  <c r="DD6"/>
  <c r="DE6"/>
  <c r="DH6" s="1"/>
  <c r="DI6" s="1"/>
  <c r="DD12"/>
  <c r="DE12"/>
  <c r="DH12" s="1"/>
  <c r="DI12" s="1"/>
  <c r="DC9"/>
  <c r="DN6"/>
  <c r="DN8"/>
  <c r="DC7"/>
  <c r="DD14"/>
  <c r="DE14"/>
  <c r="DH14" s="1"/>
  <c r="DI14" s="1"/>
  <c r="DN14"/>
  <c r="DN10"/>
  <c r="DP194" i="13" l="1"/>
  <c r="DG195"/>
  <c r="DH195" s="1"/>
  <c r="DM114"/>
  <c r="DN114" s="1"/>
  <c r="DP114" s="1"/>
  <c r="DL194"/>
  <c r="DM13"/>
  <c r="DN13" s="1"/>
  <c r="DK13"/>
  <c r="DG13"/>
  <c r="DH13" s="1"/>
  <c r="DM195"/>
  <c r="DN195" s="1"/>
  <c r="DM151"/>
  <c r="DN151" s="1"/>
  <c r="DG151"/>
  <c r="DH151" s="1"/>
  <c r="DK151"/>
  <c r="DM187"/>
  <c r="DN187" s="1"/>
  <c r="DG187"/>
  <c r="DH187" s="1"/>
  <c r="DK187"/>
  <c r="DF126"/>
  <c r="DI126" s="1"/>
  <c r="DJ126" s="1"/>
  <c r="DE126"/>
  <c r="DF142"/>
  <c r="DI142" s="1"/>
  <c r="DJ142" s="1"/>
  <c r="DE142"/>
  <c r="DM115"/>
  <c r="DN115" s="1"/>
  <c r="DG115"/>
  <c r="DH115" s="1"/>
  <c r="DK115"/>
  <c r="DM36"/>
  <c r="DN36" s="1"/>
  <c r="DG36"/>
  <c r="DH36" s="1"/>
  <c r="DK36"/>
  <c r="DM179"/>
  <c r="DN179" s="1"/>
  <c r="DG179"/>
  <c r="DH179" s="1"/>
  <c r="DK179"/>
  <c r="DP87"/>
  <c r="DL87"/>
  <c r="DM162"/>
  <c r="DN162" s="1"/>
  <c r="DG162"/>
  <c r="DH162" s="1"/>
  <c r="DK162"/>
  <c r="DL195"/>
  <c r="DM48"/>
  <c r="DN48" s="1"/>
  <c r="DG48"/>
  <c r="DH48" s="1"/>
  <c r="DK48"/>
  <c r="DM98"/>
  <c r="DN98" s="1"/>
  <c r="DG98"/>
  <c r="DH98" s="1"/>
  <c r="DK98"/>
  <c r="DG18"/>
  <c r="DH18" s="1"/>
  <c r="DM18"/>
  <c r="DN18" s="1"/>
  <c r="DK18"/>
  <c r="DG60"/>
  <c r="DH60" s="1"/>
  <c r="DM60"/>
  <c r="DN60" s="1"/>
  <c r="DK60"/>
  <c r="DF149"/>
  <c r="DI149" s="1"/>
  <c r="DJ149" s="1"/>
  <c r="DE149"/>
  <c r="DG181"/>
  <c r="DH181" s="1"/>
  <c r="DM181"/>
  <c r="DN181" s="1"/>
  <c r="DK181"/>
  <c r="DM19"/>
  <c r="DN19" s="1"/>
  <c r="DG19"/>
  <c r="DH19" s="1"/>
  <c r="DK19"/>
  <c r="DM23"/>
  <c r="DN23" s="1"/>
  <c r="DG23"/>
  <c r="DH23" s="1"/>
  <c r="DK23"/>
  <c r="DM83"/>
  <c r="DN83" s="1"/>
  <c r="DG83"/>
  <c r="DH83" s="1"/>
  <c r="DK83"/>
  <c r="DG161"/>
  <c r="DH161" s="1"/>
  <c r="DM161"/>
  <c r="DN161" s="1"/>
  <c r="DK161"/>
  <c r="DM35"/>
  <c r="DN35" s="1"/>
  <c r="DG35"/>
  <c r="DH35" s="1"/>
  <c r="DK35"/>
  <c r="DG96"/>
  <c r="DH96" s="1"/>
  <c r="DM96"/>
  <c r="DN96" s="1"/>
  <c r="DK96"/>
  <c r="DG144"/>
  <c r="DH144" s="1"/>
  <c r="DM144"/>
  <c r="DN144" s="1"/>
  <c r="DK144"/>
  <c r="DG177"/>
  <c r="DH177" s="1"/>
  <c r="DM177"/>
  <c r="DN177" s="1"/>
  <c r="DK177"/>
  <c r="DM58"/>
  <c r="DN58" s="1"/>
  <c r="DG58"/>
  <c r="DH58" s="1"/>
  <c r="DK58"/>
  <c r="DF145"/>
  <c r="DI145" s="1"/>
  <c r="DJ145" s="1"/>
  <c r="DE145"/>
  <c r="DM97"/>
  <c r="DN97" s="1"/>
  <c r="DG97"/>
  <c r="DH97" s="1"/>
  <c r="DK97"/>
  <c r="DG100"/>
  <c r="DH100" s="1"/>
  <c r="DM100"/>
  <c r="DN100" s="1"/>
  <c r="DK100"/>
  <c r="DM66"/>
  <c r="DN66" s="1"/>
  <c r="DG66"/>
  <c r="DH66" s="1"/>
  <c r="DK66"/>
  <c r="DF141"/>
  <c r="DI141" s="1"/>
  <c r="DJ141" s="1"/>
  <c r="DE141"/>
  <c r="DG165"/>
  <c r="DH165" s="1"/>
  <c r="DM165"/>
  <c r="DN165" s="1"/>
  <c r="DK165"/>
  <c r="DF121"/>
  <c r="DI121" s="1"/>
  <c r="DJ121" s="1"/>
  <c r="DE121"/>
  <c r="DG140"/>
  <c r="DH140" s="1"/>
  <c r="DM140"/>
  <c r="DN140" s="1"/>
  <c r="DK140"/>
  <c r="DF198"/>
  <c r="DI198" s="1"/>
  <c r="DJ198" s="1"/>
  <c r="DE198"/>
  <c r="DM147"/>
  <c r="DN147" s="1"/>
  <c r="DG147"/>
  <c r="DH147" s="1"/>
  <c r="DK147"/>
  <c r="DM67"/>
  <c r="DN67" s="1"/>
  <c r="DG67"/>
  <c r="DH67" s="1"/>
  <c r="DK67"/>
  <c r="DM44"/>
  <c r="DN44" s="1"/>
  <c r="DG44"/>
  <c r="DH44" s="1"/>
  <c r="DK44"/>
  <c r="DM59"/>
  <c r="DN59" s="1"/>
  <c r="DG59"/>
  <c r="DH59" s="1"/>
  <c r="DK59"/>
  <c r="DM192"/>
  <c r="DN192" s="1"/>
  <c r="DG192"/>
  <c r="DH192" s="1"/>
  <c r="DK192"/>
  <c r="DM24"/>
  <c r="DN24" s="1"/>
  <c r="DG24"/>
  <c r="DH24" s="1"/>
  <c r="DK24"/>
  <c r="DL114"/>
  <c r="DM15"/>
  <c r="DN15" s="1"/>
  <c r="DG15"/>
  <c r="DH15" s="1"/>
  <c r="DK15"/>
  <c r="DG68"/>
  <c r="DH68" s="1"/>
  <c r="DM68"/>
  <c r="DN68" s="1"/>
  <c r="DK68"/>
  <c r="DG14"/>
  <c r="DH14" s="1"/>
  <c r="DM14"/>
  <c r="DN14" s="1"/>
  <c r="DK14"/>
  <c r="DG45"/>
  <c r="DH45" s="1"/>
  <c r="DM45"/>
  <c r="DN45" s="1"/>
  <c r="DK45"/>
  <c r="DF78"/>
  <c r="DI78" s="1"/>
  <c r="DJ78" s="1"/>
  <c r="DE78"/>
  <c r="DG197"/>
  <c r="DH197" s="1"/>
  <c r="DM197"/>
  <c r="DN197" s="1"/>
  <c r="DK197"/>
  <c r="DG103"/>
  <c r="DH103" s="1"/>
  <c r="DM103"/>
  <c r="DN103" s="1"/>
  <c r="DK103"/>
  <c r="DG168"/>
  <c r="DH168" s="1"/>
  <c r="DM168"/>
  <c r="DN168" s="1"/>
  <c r="DK168"/>
  <c r="DM31"/>
  <c r="DN31" s="1"/>
  <c r="DG31"/>
  <c r="DH31" s="1"/>
  <c r="DK31"/>
  <c r="DG61"/>
  <c r="DH61" s="1"/>
  <c r="DM61"/>
  <c r="DN61" s="1"/>
  <c r="DK61"/>
  <c r="DG73"/>
  <c r="DH73" s="1"/>
  <c r="DM73"/>
  <c r="DN73" s="1"/>
  <c r="DK73"/>
  <c r="DF116"/>
  <c r="DI116" s="1"/>
  <c r="DJ116" s="1"/>
  <c r="DE116"/>
  <c r="DG136"/>
  <c r="DH136" s="1"/>
  <c r="DM136"/>
  <c r="DN136" s="1"/>
  <c r="DK136"/>
  <c r="DG172"/>
  <c r="DH172" s="1"/>
  <c r="DM172"/>
  <c r="DN172" s="1"/>
  <c r="DK172"/>
  <c r="DG188"/>
  <c r="DH188" s="1"/>
  <c r="DM188"/>
  <c r="DN188" s="1"/>
  <c r="DK188"/>
  <c r="DG41"/>
  <c r="DH41" s="1"/>
  <c r="DM41"/>
  <c r="DN41" s="1"/>
  <c r="DK41"/>
  <c r="DG152"/>
  <c r="DH152" s="1"/>
  <c r="DM152"/>
  <c r="DN152" s="1"/>
  <c r="DK152"/>
  <c r="DF38"/>
  <c r="DI38" s="1"/>
  <c r="DJ38" s="1"/>
  <c r="DE38"/>
  <c r="DF77"/>
  <c r="DI77" s="1"/>
  <c r="DJ77" s="1"/>
  <c r="DE77"/>
  <c r="DF137"/>
  <c r="DI137" s="1"/>
  <c r="DJ137" s="1"/>
  <c r="DE137"/>
  <c r="DF117"/>
  <c r="DI117" s="1"/>
  <c r="DJ117" s="1"/>
  <c r="DE117"/>
  <c r="DF54"/>
  <c r="DI54" s="1"/>
  <c r="DJ54" s="1"/>
  <c r="DE54"/>
  <c r="DM62"/>
  <c r="DN62" s="1"/>
  <c r="DG62"/>
  <c r="DH62" s="1"/>
  <c r="DK62"/>
  <c r="DM186"/>
  <c r="DN186" s="1"/>
  <c r="DG186"/>
  <c r="DH186" s="1"/>
  <c r="DK186"/>
  <c r="DG22"/>
  <c r="DH22" s="1"/>
  <c r="DM22"/>
  <c r="DN22" s="1"/>
  <c r="DK22"/>
  <c r="DG33"/>
  <c r="DH33" s="1"/>
  <c r="DM33"/>
  <c r="DN33" s="1"/>
  <c r="DK33"/>
  <c r="DL79"/>
  <c r="DP79"/>
  <c r="DF42"/>
  <c r="DI42" s="1"/>
  <c r="DJ42" s="1"/>
  <c r="DE42"/>
  <c r="DM101"/>
  <c r="DN101" s="1"/>
  <c r="DG101"/>
  <c r="DH101" s="1"/>
  <c r="DK101"/>
  <c r="DM182"/>
  <c r="DN182" s="1"/>
  <c r="DG182"/>
  <c r="DH182" s="1"/>
  <c r="DK182"/>
  <c r="DL34"/>
  <c r="DP34"/>
  <c r="DM94"/>
  <c r="DN94" s="1"/>
  <c r="DG94"/>
  <c r="DH94" s="1"/>
  <c r="DK94"/>
  <c r="DM123"/>
  <c r="DN123" s="1"/>
  <c r="DG123"/>
  <c r="DH123" s="1"/>
  <c r="DK123"/>
  <c r="DM139"/>
  <c r="DN139" s="1"/>
  <c r="DG139"/>
  <c r="DH139" s="1"/>
  <c r="DK139"/>
  <c r="DM200"/>
  <c r="DN200" s="1"/>
  <c r="DG200"/>
  <c r="DH200" s="1"/>
  <c r="DK200"/>
  <c r="DF47"/>
  <c r="DI47" s="1"/>
  <c r="DJ47" s="1"/>
  <c r="DE47"/>
  <c r="DM75"/>
  <c r="DN75" s="1"/>
  <c r="DG75"/>
  <c r="DH75" s="1"/>
  <c r="DK75"/>
  <c r="DM183"/>
  <c r="DN183" s="1"/>
  <c r="DG183"/>
  <c r="DH183" s="1"/>
  <c r="DK183"/>
  <c r="DM16"/>
  <c r="DN16" s="1"/>
  <c r="DG16"/>
  <c r="DH16" s="1"/>
  <c r="DK16"/>
  <c r="DF130"/>
  <c r="DI130" s="1"/>
  <c r="DJ130" s="1"/>
  <c r="DE130"/>
  <c r="DF146"/>
  <c r="DI146" s="1"/>
  <c r="DJ146" s="1"/>
  <c r="DE146"/>
  <c r="DM155"/>
  <c r="DN155" s="1"/>
  <c r="DG155"/>
  <c r="DH155" s="1"/>
  <c r="DK155"/>
  <c r="DM20"/>
  <c r="DN20" s="1"/>
  <c r="DG20"/>
  <c r="DH20" s="1"/>
  <c r="DK20"/>
  <c r="DE76"/>
  <c r="DF76"/>
  <c r="DI76" s="1"/>
  <c r="DJ76" s="1"/>
  <c r="DM106"/>
  <c r="DN106" s="1"/>
  <c r="DG106"/>
  <c r="DH106" s="1"/>
  <c r="DK106"/>
  <c r="DM135"/>
  <c r="DN135" s="1"/>
  <c r="DG135"/>
  <c r="DH135" s="1"/>
  <c r="DK135"/>
  <c r="DF154"/>
  <c r="DI154" s="1"/>
  <c r="DJ154" s="1"/>
  <c r="DE154"/>
  <c r="DG85"/>
  <c r="DH85" s="1"/>
  <c r="DM85"/>
  <c r="DN85" s="1"/>
  <c r="DK85"/>
  <c r="DE156"/>
  <c r="DF156"/>
  <c r="DI156" s="1"/>
  <c r="DJ156" s="1"/>
  <c r="DG108"/>
  <c r="DH108" s="1"/>
  <c r="DM108"/>
  <c r="DN108" s="1"/>
  <c r="DK108"/>
  <c r="DG148"/>
  <c r="DH148" s="1"/>
  <c r="DM148"/>
  <c r="DN148" s="1"/>
  <c r="DK148"/>
  <c r="DG124"/>
  <c r="DH124" s="1"/>
  <c r="DM124"/>
  <c r="DN124" s="1"/>
  <c r="DK124"/>
  <c r="DG184"/>
  <c r="DH184" s="1"/>
  <c r="DM184"/>
  <c r="DN184" s="1"/>
  <c r="DK184"/>
  <c r="DF50"/>
  <c r="DI50" s="1"/>
  <c r="DJ50" s="1"/>
  <c r="DE50"/>
  <c r="DG37"/>
  <c r="DH37" s="1"/>
  <c r="DM37"/>
  <c r="DN37" s="1"/>
  <c r="DK37"/>
  <c r="DE57"/>
  <c r="DF57"/>
  <c r="DI57" s="1"/>
  <c r="DJ57" s="1"/>
  <c r="DF112"/>
  <c r="DI112" s="1"/>
  <c r="DJ112" s="1"/>
  <c r="DE112"/>
  <c r="DQ199"/>
  <c r="DE80"/>
  <c r="DF80"/>
  <c r="DI80" s="1"/>
  <c r="DJ80" s="1"/>
  <c r="DM171"/>
  <c r="DN171" s="1"/>
  <c r="DG171"/>
  <c r="DH171" s="1"/>
  <c r="DK171"/>
  <c r="DM191"/>
  <c r="DN191" s="1"/>
  <c r="DG191"/>
  <c r="DH191" s="1"/>
  <c r="DK191"/>
  <c r="DF134"/>
  <c r="DI134" s="1"/>
  <c r="DJ134" s="1"/>
  <c r="DE134"/>
  <c r="DM52"/>
  <c r="DN52" s="1"/>
  <c r="DG52"/>
  <c r="DH52" s="1"/>
  <c r="DK52"/>
  <c r="DM56"/>
  <c r="DN56" s="1"/>
  <c r="DG56"/>
  <c r="DH56" s="1"/>
  <c r="DK56"/>
  <c r="DF39"/>
  <c r="DI39" s="1"/>
  <c r="DJ39" s="1"/>
  <c r="DE39"/>
  <c r="DG104"/>
  <c r="DH104" s="1"/>
  <c r="DM104"/>
  <c r="DN104" s="1"/>
  <c r="DK104"/>
  <c r="DG160"/>
  <c r="DH160" s="1"/>
  <c r="DM160"/>
  <c r="DN160" s="1"/>
  <c r="DK160"/>
  <c r="DG17"/>
  <c r="DH17" s="1"/>
  <c r="DM17"/>
  <c r="DN17" s="1"/>
  <c r="DK17"/>
  <c r="DM74"/>
  <c r="DN74" s="1"/>
  <c r="DG74"/>
  <c r="DH74" s="1"/>
  <c r="DK74"/>
  <c r="DE119"/>
  <c r="DF119"/>
  <c r="DI119" s="1"/>
  <c r="DJ119" s="1"/>
  <c r="DM170"/>
  <c r="DN170" s="1"/>
  <c r="DG170"/>
  <c r="DH170" s="1"/>
  <c r="DK170"/>
  <c r="DL118"/>
  <c r="DP118"/>
  <c r="DM196"/>
  <c r="DN196" s="1"/>
  <c r="DG196"/>
  <c r="DH196" s="1"/>
  <c r="DK196"/>
  <c r="DG25"/>
  <c r="DH25" s="1"/>
  <c r="DM25"/>
  <c r="DN25" s="1"/>
  <c r="DK25"/>
  <c r="DF133"/>
  <c r="DI133" s="1"/>
  <c r="DJ133" s="1"/>
  <c r="DE133"/>
  <c r="DG185"/>
  <c r="DH185" s="1"/>
  <c r="DM185"/>
  <c r="DN185" s="1"/>
  <c r="DK185"/>
  <c r="DM89"/>
  <c r="DN89" s="1"/>
  <c r="DG89"/>
  <c r="DH89" s="1"/>
  <c r="DK89"/>
  <c r="DG176"/>
  <c r="DH176" s="1"/>
  <c r="DM176"/>
  <c r="DN176" s="1"/>
  <c r="DK176"/>
  <c r="DM105"/>
  <c r="DN105" s="1"/>
  <c r="DG105"/>
  <c r="DH105" s="1"/>
  <c r="DK105"/>
  <c r="DF129"/>
  <c r="DI129" s="1"/>
  <c r="DJ129" s="1"/>
  <c r="DE129"/>
  <c r="DG107"/>
  <c r="DH107" s="1"/>
  <c r="DM107"/>
  <c r="DN107" s="1"/>
  <c r="DK107"/>
  <c r="DG120"/>
  <c r="DH120" s="1"/>
  <c r="DM120"/>
  <c r="DN120" s="1"/>
  <c r="DK120"/>
  <c r="DF125"/>
  <c r="DI125" s="1"/>
  <c r="DJ125" s="1"/>
  <c r="DE125"/>
  <c r="DG95"/>
  <c r="DH95" s="1"/>
  <c r="DM95"/>
  <c r="DN95" s="1"/>
  <c r="DK95"/>
  <c r="DG169"/>
  <c r="DH169" s="1"/>
  <c r="DM169"/>
  <c r="DN169" s="1"/>
  <c r="DK169"/>
  <c r="DG173"/>
  <c r="DH173" s="1"/>
  <c r="DM173"/>
  <c r="DN173" s="1"/>
  <c r="DK173"/>
  <c r="DG30"/>
  <c r="DH30" s="1"/>
  <c r="DM30"/>
  <c r="DN30" s="1"/>
  <c r="DK30"/>
  <c r="DL86"/>
  <c r="DP86"/>
  <c r="DM175"/>
  <c r="DN175" s="1"/>
  <c r="DG175"/>
  <c r="DH175" s="1"/>
  <c r="DK175"/>
  <c r="DM40"/>
  <c r="DN40" s="1"/>
  <c r="DG40"/>
  <c r="DH40" s="1"/>
  <c r="DK40"/>
  <c r="DM63"/>
  <c r="DN63" s="1"/>
  <c r="DG63"/>
  <c r="DH63" s="1"/>
  <c r="DK63"/>
  <c r="DM102"/>
  <c r="DN102" s="1"/>
  <c r="DG102"/>
  <c r="DH102" s="1"/>
  <c r="DK102"/>
  <c r="DM167"/>
  <c r="DN167" s="1"/>
  <c r="DG167"/>
  <c r="DH167" s="1"/>
  <c r="DK167"/>
  <c r="DM32"/>
  <c r="DN32" s="1"/>
  <c r="DG32"/>
  <c r="DH32" s="1"/>
  <c r="DK32"/>
  <c r="DF55"/>
  <c r="DI55" s="1"/>
  <c r="DJ55" s="1"/>
  <c r="DE55"/>
  <c r="DE82"/>
  <c r="DF82"/>
  <c r="DI82" s="1"/>
  <c r="DJ82" s="1"/>
  <c r="DE193"/>
  <c r="DF193"/>
  <c r="DI193" s="1"/>
  <c r="DJ193" s="1"/>
  <c r="DM166"/>
  <c r="DN166" s="1"/>
  <c r="DG166"/>
  <c r="DH166" s="1"/>
  <c r="DK166"/>
  <c r="DG49"/>
  <c r="DH49" s="1"/>
  <c r="DM49"/>
  <c r="DN49" s="1"/>
  <c r="DK49"/>
  <c r="DG81"/>
  <c r="DH81" s="1"/>
  <c r="DM81"/>
  <c r="DN81" s="1"/>
  <c r="DK81"/>
  <c r="DF88"/>
  <c r="DI88" s="1"/>
  <c r="DJ88" s="1"/>
  <c r="DE88"/>
  <c r="DF113"/>
  <c r="DI113" s="1"/>
  <c r="DJ113" s="1"/>
  <c r="DE113"/>
  <c r="DG132"/>
  <c r="DH132" s="1"/>
  <c r="DM132"/>
  <c r="DN132" s="1"/>
  <c r="DK132"/>
  <c r="DM178"/>
  <c r="DN178" s="1"/>
  <c r="DG178"/>
  <c r="DH178" s="1"/>
  <c r="DK178"/>
  <c r="DG180"/>
  <c r="DH180" s="1"/>
  <c r="DM180"/>
  <c r="DN180" s="1"/>
  <c r="DK180"/>
  <c r="DM70"/>
  <c r="DN70" s="1"/>
  <c r="DG70"/>
  <c r="DH70" s="1"/>
  <c r="DK70"/>
  <c r="DG92"/>
  <c r="DH92" s="1"/>
  <c r="DM92"/>
  <c r="DN92" s="1"/>
  <c r="DK92"/>
  <c r="DE158"/>
  <c r="DF158"/>
  <c r="DI158" s="1"/>
  <c r="DJ158" s="1"/>
  <c r="DG26"/>
  <c r="DH26" s="1"/>
  <c r="DM26"/>
  <c r="DN26" s="1"/>
  <c r="DK26"/>
  <c r="DM93"/>
  <c r="DN93" s="1"/>
  <c r="DG93"/>
  <c r="DH93" s="1"/>
  <c r="DK93"/>
  <c r="DG99"/>
  <c r="DH99" s="1"/>
  <c r="DM99"/>
  <c r="DN99" s="1"/>
  <c r="DK99"/>
  <c r="DG189"/>
  <c r="DH189" s="1"/>
  <c r="DM189"/>
  <c r="DN189" s="1"/>
  <c r="DK189"/>
  <c r="DG29"/>
  <c r="DH29" s="1"/>
  <c r="DM29"/>
  <c r="DN29" s="1"/>
  <c r="DK29"/>
  <c r="DG64"/>
  <c r="DH64" s="1"/>
  <c r="DM64"/>
  <c r="DN64" s="1"/>
  <c r="DK64"/>
  <c r="DF153"/>
  <c r="DI153" s="1"/>
  <c r="DJ153" s="1"/>
  <c r="DE153"/>
  <c r="DM109"/>
  <c r="DN109" s="1"/>
  <c r="DG109"/>
  <c r="DH109" s="1"/>
  <c r="DK109"/>
  <c r="DM27"/>
  <c r="DN27" s="1"/>
  <c r="DG27"/>
  <c r="DH27" s="1"/>
  <c r="DK27"/>
  <c r="DF157"/>
  <c r="DI157" s="1"/>
  <c r="DJ157" s="1"/>
  <c r="DE157"/>
  <c r="DM174"/>
  <c r="DN174" s="1"/>
  <c r="DG174"/>
  <c r="DH174" s="1"/>
  <c r="DK174"/>
  <c r="DG69"/>
  <c r="DH69" s="1"/>
  <c r="DM69"/>
  <c r="DN69" s="1"/>
  <c r="DK69"/>
  <c r="DM159"/>
  <c r="DN159" s="1"/>
  <c r="DG159"/>
  <c r="DH159" s="1"/>
  <c r="DK159"/>
  <c r="DF43"/>
  <c r="DI43" s="1"/>
  <c r="DJ43" s="1"/>
  <c r="DE43"/>
  <c r="DM71"/>
  <c r="DN71" s="1"/>
  <c r="DG71"/>
  <c r="DH71" s="1"/>
  <c r="DK71"/>
  <c r="DM84"/>
  <c r="DN84" s="1"/>
  <c r="DG84"/>
  <c r="DH84" s="1"/>
  <c r="DK84"/>
  <c r="DM163"/>
  <c r="DN163" s="1"/>
  <c r="DG163"/>
  <c r="DH163" s="1"/>
  <c r="DK163"/>
  <c r="DG21"/>
  <c r="DH21" s="1"/>
  <c r="DM21"/>
  <c r="DN21" s="1"/>
  <c r="DK21"/>
  <c r="DG65"/>
  <c r="DH65" s="1"/>
  <c r="DM65"/>
  <c r="DN65" s="1"/>
  <c r="DK65"/>
  <c r="DG72"/>
  <c r="DH72" s="1"/>
  <c r="DM72"/>
  <c r="DN72" s="1"/>
  <c r="DK72"/>
  <c r="DF51"/>
  <c r="DI51" s="1"/>
  <c r="DJ51" s="1"/>
  <c r="DE51"/>
  <c r="DM131"/>
  <c r="DN131" s="1"/>
  <c r="DG131"/>
  <c r="DH131" s="1"/>
  <c r="DK131"/>
  <c r="DF150"/>
  <c r="DI150" s="1"/>
  <c r="DJ150" s="1"/>
  <c r="DE150"/>
  <c r="DM90"/>
  <c r="DN90" s="1"/>
  <c r="DG90"/>
  <c r="DH90" s="1"/>
  <c r="DK90"/>
  <c r="DF122"/>
  <c r="DI122" s="1"/>
  <c r="DJ122" s="1"/>
  <c r="DE122"/>
  <c r="DF138"/>
  <c r="DI138" s="1"/>
  <c r="DJ138" s="1"/>
  <c r="DE138"/>
  <c r="DE53"/>
  <c r="DF53"/>
  <c r="DI53" s="1"/>
  <c r="DJ53" s="1"/>
  <c r="DM111"/>
  <c r="DN111" s="1"/>
  <c r="DG111"/>
  <c r="DH111" s="1"/>
  <c r="DK111"/>
  <c r="DM127"/>
  <c r="DN127" s="1"/>
  <c r="DG127"/>
  <c r="DH127" s="1"/>
  <c r="DK127"/>
  <c r="DM143"/>
  <c r="DN143" s="1"/>
  <c r="DG143"/>
  <c r="DH143" s="1"/>
  <c r="DK143"/>
  <c r="DM110"/>
  <c r="DN110" s="1"/>
  <c r="DG110"/>
  <c r="DH110" s="1"/>
  <c r="DK110"/>
  <c r="DM28"/>
  <c r="DN28" s="1"/>
  <c r="DG28"/>
  <c r="DH28" s="1"/>
  <c r="DK28"/>
  <c r="DG91"/>
  <c r="DH91" s="1"/>
  <c r="DM91"/>
  <c r="DN91" s="1"/>
  <c r="DK91"/>
  <c r="DG128"/>
  <c r="DH128" s="1"/>
  <c r="DM128"/>
  <c r="DN128" s="1"/>
  <c r="DK128"/>
  <c r="DM190"/>
  <c r="DN190" s="1"/>
  <c r="DG190"/>
  <c r="DH190" s="1"/>
  <c r="DK190"/>
  <c r="DG164"/>
  <c r="DH164" s="1"/>
  <c r="DM164"/>
  <c r="DN164" s="1"/>
  <c r="DK164"/>
  <c r="DF46"/>
  <c r="DI46" s="1"/>
  <c r="DJ46" s="1"/>
  <c r="DE46"/>
  <c r="DG8"/>
  <c r="DH8" s="1"/>
  <c r="DM8"/>
  <c r="DN8" s="1"/>
  <c r="DK8"/>
  <c r="DP10"/>
  <c r="DL10"/>
  <c r="DG7"/>
  <c r="DH7" s="1"/>
  <c r="DM7"/>
  <c r="DN7" s="1"/>
  <c r="DK7"/>
  <c r="DG12"/>
  <c r="DH12" s="1"/>
  <c r="DM12"/>
  <c r="DN12" s="1"/>
  <c r="DK12"/>
  <c r="DP5"/>
  <c r="DL5"/>
  <c r="DE9"/>
  <c r="DF9"/>
  <c r="DI9" s="1"/>
  <c r="DJ9" s="1"/>
  <c r="DP11"/>
  <c r="DL11"/>
  <c r="DE6"/>
  <c r="DF6"/>
  <c r="DI6" s="1"/>
  <c r="DJ6" s="1"/>
  <c r="DJ17" i="12"/>
  <c r="DL17"/>
  <c r="DM17" s="1"/>
  <c r="DD7"/>
  <c r="DE7"/>
  <c r="DH7" s="1"/>
  <c r="DI7" s="1"/>
  <c r="DO5"/>
  <c r="DK5"/>
  <c r="DF12"/>
  <c r="DG12" s="1"/>
  <c r="DL12"/>
  <c r="DM12" s="1"/>
  <c r="DJ12"/>
  <c r="DD13"/>
  <c r="DE13"/>
  <c r="DH13" s="1"/>
  <c r="DI13" s="1"/>
  <c r="DD16"/>
  <c r="DE16"/>
  <c r="DH16" s="1"/>
  <c r="DI16" s="1"/>
  <c r="DD11"/>
  <c r="DE11"/>
  <c r="DH11" s="1"/>
  <c r="DI11" s="1"/>
  <c r="DF14"/>
  <c r="DG14" s="1"/>
  <c r="DL14"/>
  <c r="DM14" s="1"/>
  <c r="DJ14"/>
  <c r="DD9"/>
  <c r="DE9"/>
  <c r="DH9" s="1"/>
  <c r="DI9" s="1"/>
  <c r="DF6"/>
  <c r="DG6" s="1"/>
  <c r="DL6"/>
  <c r="DM6" s="1"/>
  <c r="DJ6"/>
  <c r="DO17"/>
  <c r="DK17"/>
  <c r="DF8"/>
  <c r="DG8" s="1"/>
  <c r="DL8"/>
  <c r="DM8" s="1"/>
  <c r="DJ8"/>
  <c r="DF10"/>
  <c r="DG10" s="1"/>
  <c r="DL10"/>
  <c r="DM10" s="1"/>
  <c r="DJ10"/>
  <c r="DL15"/>
  <c r="DM15" s="1"/>
  <c r="DF15"/>
  <c r="DG15" s="1"/>
  <c r="DJ15"/>
  <c r="DP195" i="13" l="1"/>
  <c r="DQ195" s="1"/>
  <c r="DS195" s="1"/>
  <c r="BL195" s="1"/>
  <c r="DT195" s="1"/>
  <c r="DQ194"/>
  <c r="DS194" s="1"/>
  <c r="BL194" s="1"/>
  <c r="AT194" s="1"/>
  <c r="DQ114"/>
  <c r="DQ86"/>
  <c r="DQ118"/>
  <c r="DS118" s="1"/>
  <c r="BL118" s="1"/>
  <c r="DT118" s="1"/>
  <c r="DP13"/>
  <c r="DL13"/>
  <c r="DL190"/>
  <c r="DP190"/>
  <c r="DG53"/>
  <c r="DH53" s="1"/>
  <c r="DM53"/>
  <c r="DN53" s="1"/>
  <c r="DK53"/>
  <c r="DL84"/>
  <c r="DP84"/>
  <c r="DL159"/>
  <c r="DP159"/>
  <c r="DL69"/>
  <c r="DP69"/>
  <c r="DG157"/>
  <c r="DH157" s="1"/>
  <c r="DM157"/>
  <c r="DN157" s="1"/>
  <c r="DK157"/>
  <c r="DG153"/>
  <c r="DH153" s="1"/>
  <c r="DM153"/>
  <c r="DN153" s="1"/>
  <c r="DK153"/>
  <c r="DL64"/>
  <c r="DP64"/>
  <c r="DL92"/>
  <c r="DP92"/>
  <c r="DL178"/>
  <c r="DP178"/>
  <c r="DL132"/>
  <c r="DP132"/>
  <c r="DL166"/>
  <c r="DP166"/>
  <c r="DL167"/>
  <c r="DP167"/>
  <c r="DL175"/>
  <c r="DP175"/>
  <c r="DL169"/>
  <c r="DP169"/>
  <c r="DG125"/>
  <c r="DH125" s="1"/>
  <c r="DM125"/>
  <c r="DN125" s="1"/>
  <c r="DK125"/>
  <c r="DL120"/>
  <c r="DP120"/>
  <c r="DG129"/>
  <c r="DH129" s="1"/>
  <c r="DM129"/>
  <c r="DN129" s="1"/>
  <c r="DK129"/>
  <c r="DL196"/>
  <c r="DP196"/>
  <c r="DM119"/>
  <c r="DN119" s="1"/>
  <c r="DG119"/>
  <c r="DH119" s="1"/>
  <c r="DK119"/>
  <c r="DL104"/>
  <c r="DP104"/>
  <c r="DL56"/>
  <c r="DP56"/>
  <c r="DP191"/>
  <c r="DL191"/>
  <c r="DL37"/>
  <c r="DP37"/>
  <c r="DL124"/>
  <c r="DP124"/>
  <c r="DL106"/>
  <c r="DP106"/>
  <c r="DL155"/>
  <c r="DP155"/>
  <c r="DM130"/>
  <c r="DN130" s="1"/>
  <c r="DG130"/>
  <c r="DH130" s="1"/>
  <c r="DK130"/>
  <c r="DL123"/>
  <c r="DP123"/>
  <c r="DL182"/>
  <c r="DP182"/>
  <c r="DL186"/>
  <c r="DP186"/>
  <c r="DL41"/>
  <c r="DP41"/>
  <c r="DL68"/>
  <c r="DP68"/>
  <c r="DS114"/>
  <c r="BL114" s="1"/>
  <c r="DT114" s="1"/>
  <c r="DL44"/>
  <c r="DP44"/>
  <c r="DG198"/>
  <c r="DH198" s="1"/>
  <c r="DM198"/>
  <c r="DN198" s="1"/>
  <c r="DK198"/>
  <c r="DL140"/>
  <c r="DP140"/>
  <c r="DL58"/>
  <c r="DP58"/>
  <c r="DL177"/>
  <c r="DP177"/>
  <c r="DL35"/>
  <c r="DP35"/>
  <c r="DL161"/>
  <c r="DP161"/>
  <c r="DL19"/>
  <c r="DP19"/>
  <c r="DL181"/>
  <c r="DP181"/>
  <c r="DL18"/>
  <c r="DP18"/>
  <c r="DL187"/>
  <c r="DP187"/>
  <c r="DL128"/>
  <c r="DP128"/>
  <c r="DM150"/>
  <c r="DN150" s="1"/>
  <c r="DG150"/>
  <c r="DH150" s="1"/>
  <c r="DK150"/>
  <c r="DL91"/>
  <c r="DP91"/>
  <c r="DL143"/>
  <c r="DP143"/>
  <c r="DM122"/>
  <c r="DN122" s="1"/>
  <c r="DG122"/>
  <c r="DH122" s="1"/>
  <c r="DK122"/>
  <c r="DL131"/>
  <c r="DP131"/>
  <c r="DL21"/>
  <c r="DP21"/>
  <c r="DL71"/>
  <c r="DP71"/>
  <c r="DL27"/>
  <c r="DP27"/>
  <c r="DL29"/>
  <c r="DP29"/>
  <c r="DL93"/>
  <c r="DP93"/>
  <c r="DL26"/>
  <c r="DP26"/>
  <c r="DG88"/>
  <c r="DH88" s="1"/>
  <c r="DM88"/>
  <c r="DN88" s="1"/>
  <c r="DK88"/>
  <c r="DL81"/>
  <c r="DP81"/>
  <c r="DG193"/>
  <c r="DH193" s="1"/>
  <c r="DM193"/>
  <c r="DN193" s="1"/>
  <c r="DK193"/>
  <c r="DL102"/>
  <c r="DP102"/>
  <c r="DL95"/>
  <c r="DP95"/>
  <c r="DL107"/>
  <c r="DP107"/>
  <c r="DL105"/>
  <c r="DP105"/>
  <c r="DL176"/>
  <c r="DP176"/>
  <c r="DL52"/>
  <c r="DP52"/>
  <c r="DL171"/>
  <c r="DP171"/>
  <c r="DS199"/>
  <c r="BL199" s="1"/>
  <c r="DT199" s="1"/>
  <c r="DL148"/>
  <c r="DP148"/>
  <c r="DM76"/>
  <c r="DN76" s="1"/>
  <c r="DG76"/>
  <c r="DH76" s="1"/>
  <c r="DK76"/>
  <c r="DL16"/>
  <c r="DP16"/>
  <c r="DM47"/>
  <c r="DN47" s="1"/>
  <c r="DG47"/>
  <c r="DH47" s="1"/>
  <c r="DK47"/>
  <c r="DL94"/>
  <c r="DP94"/>
  <c r="DL101"/>
  <c r="DP101"/>
  <c r="DL33"/>
  <c r="DP33"/>
  <c r="DL62"/>
  <c r="DP62"/>
  <c r="DG117"/>
  <c r="DH117" s="1"/>
  <c r="DM117"/>
  <c r="DN117" s="1"/>
  <c r="DK117"/>
  <c r="DG77"/>
  <c r="DH77" s="1"/>
  <c r="DM77"/>
  <c r="DN77" s="1"/>
  <c r="DK77"/>
  <c r="DL188"/>
  <c r="DP188"/>
  <c r="DL31"/>
  <c r="DP31"/>
  <c r="DL168"/>
  <c r="DP168"/>
  <c r="DL24"/>
  <c r="DP24"/>
  <c r="DL67"/>
  <c r="DP67"/>
  <c r="DL97"/>
  <c r="DP97"/>
  <c r="DL144"/>
  <c r="DP144"/>
  <c r="DL179"/>
  <c r="DP179"/>
  <c r="DM142"/>
  <c r="DN142" s="1"/>
  <c r="DG142"/>
  <c r="DH142" s="1"/>
  <c r="DK142"/>
  <c r="DL151"/>
  <c r="DP151"/>
  <c r="DQ79"/>
  <c r="DG46"/>
  <c r="DH46" s="1"/>
  <c r="DM46"/>
  <c r="DN46" s="1"/>
  <c r="DK46"/>
  <c r="DL164"/>
  <c r="DP164"/>
  <c r="DL127"/>
  <c r="DP127"/>
  <c r="DL90"/>
  <c r="DP90"/>
  <c r="DL174"/>
  <c r="DP174"/>
  <c r="DL109"/>
  <c r="DP109"/>
  <c r="DL189"/>
  <c r="DP189"/>
  <c r="DL70"/>
  <c r="DP70"/>
  <c r="DL180"/>
  <c r="DP180"/>
  <c r="DL49"/>
  <c r="DP49"/>
  <c r="DM55"/>
  <c r="DN55" s="1"/>
  <c r="DG55"/>
  <c r="DH55" s="1"/>
  <c r="DK55"/>
  <c r="DL63"/>
  <c r="DP63"/>
  <c r="DS86"/>
  <c r="BL86" s="1"/>
  <c r="DT86" s="1"/>
  <c r="DL30"/>
  <c r="DP30"/>
  <c r="DG133"/>
  <c r="DH133" s="1"/>
  <c r="DM133"/>
  <c r="DN133" s="1"/>
  <c r="DK133"/>
  <c r="DL25"/>
  <c r="DP25"/>
  <c r="DL74"/>
  <c r="DP74"/>
  <c r="DL17"/>
  <c r="DP17"/>
  <c r="DM80"/>
  <c r="DN80" s="1"/>
  <c r="DG80"/>
  <c r="DH80" s="1"/>
  <c r="DK80"/>
  <c r="DG112"/>
  <c r="DH112" s="1"/>
  <c r="DM112"/>
  <c r="DN112" s="1"/>
  <c r="DK112"/>
  <c r="DL108"/>
  <c r="DP108"/>
  <c r="DG156"/>
  <c r="DH156" s="1"/>
  <c r="DM156"/>
  <c r="DN156" s="1"/>
  <c r="DK156"/>
  <c r="DM154"/>
  <c r="DN154" s="1"/>
  <c r="DG154"/>
  <c r="DH154" s="1"/>
  <c r="DK154"/>
  <c r="DM146"/>
  <c r="DN146" s="1"/>
  <c r="DG146"/>
  <c r="DH146" s="1"/>
  <c r="DK146"/>
  <c r="DL183"/>
  <c r="DP183"/>
  <c r="DL200"/>
  <c r="DP200"/>
  <c r="DL22"/>
  <c r="DP22"/>
  <c r="DL172"/>
  <c r="DP172"/>
  <c r="DG116"/>
  <c r="DH116" s="1"/>
  <c r="DM116"/>
  <c r="DN116" s="1"/>
  <c r="DK116"/>
  <c r="DL73"/>
  <c r="DP73"/>
  <c r="DL103"/>
  <c r="DP103"/>
  <c r="DG78"/>
  <c r="DH78" s="1"/>
  <c r="DM78"/>
  <c r="DN78" s="1"/>
  <c r="DK78"/>
  <c r="DL45"/>
  <c r="DP45"/>
  <c r="DL15"/>
  <c r="DP15"/>
  <c r="DL192"/>
  <c r="DP192"/>
  <c r="DL147"/>
  <c r="DP147"/>
  <c r="DG141"/>
  <c r="DH141" s="1"/>
  <c r="DM141"/>
  <c r="DN141" s="1"/>
  <c r="DK141"/>
  <c r="DL96"/>
  <c r="DP96"/>
  <c r="DL83"/>
  <c r="DP83"/>
  <c r="DL98"/>
  <c r="DP98"/>
  <c r="DL162"/>
  <c r="DP162"/>
  <c r="DL36"/>
  <c r="DP36"/>
  <c r="DL110"/>
  <c r="DP110"/>
  <c r="DL65"/>
  <c r="DP65"/>
  <c r="DL28"/>
  <c r="DP28"/>
  <c r="DL111"/>
  <c r="DP111"/>
  <c r="DM138"/>
  <c r="DN138" s="1"/>
  <c r="DG138"/>
  <c r="DH138" s="1"/>
  <c r="DK138"/>
  <c r="DM51"/>
  <c r="DN51" s="1"/>
  <c r="DG51"/>
  <c r="DH51" s="1"/>
  <c r="DK51"/>
  <c r="DL72"/>
  <c r="DP72"/>
  <c r="DL163"/>
  <c r="DP163"/>
  <c r="DM43"/>
  <c r="DN43" s="1"/>
  <c r="DG43"/>
  <c r="DH43" s="1"/>
  <c r="DK43"/>
  <c r="DL99"/>
  <c r="DP99"/>
  <c r="DM158"/>
  <c r="DN158" s="1"/>
  <c r="DG158"/>
  <c r="DH158" s="1"/>
  <c r="DK158"/>
  <c r="DG113"/>
  <c r="DH113" s="1"/>
  <c r="DM113"/>
  <c r="DN113" s="1"/>
  <c r="DK113"/>
  <c r="DG82"/>
  <c r="DH82" s="1"/>
  <c r="DM82"/>
  <c r="DN82" s="1"/>
  <c r="DK82"/>
  <c r="DL32"/>
  <c r="DP32"/>
  <c r="DL40"/>
  <c r="DP40"/>
  <c r="DL173"/>
  <c r="DP173"/>
  <c r="DL89"/>
  <c r="DP89"/>
  <c r="DL185"/>
  <c r="DP185"/>
  <c r="DL170"/>
  <c r="DP170"/>
  <c r="DL160"/>
  <c r="DP160"/>
  <c r="DM39"/>
  <c r="DN39" s="1"/>
  <c r="DG39"/>
  <c r="DH39" s="1"/>
  <c r="DK39"/>
  <c r="DM134"/>
  <c r="DN134" s="1"/>
  <c r="DG134"/>
  <c r="DH134" s="1"/>
  <c r="DK134"/>
  <c r="DG57"/>
  <c r="DH57" s="1"/>
  <c r="DM57"/>
  <c r="DN57" s="1"/>
  <c r="DK57"/>
  <c r="DG50"/>
  <c r="DH50" s="1"/>
  <c r="DM50"/>
  <c r="DN50" s="1"/>
  <c r="DK50"/>
  <c r="DL184"/>
  <c r="DP184"/>
  <c r="DL85"/>
  <c r="DP85"/>
  <c r="DL135"/>
  <c r="DP135"/>
  <c r="DL20"/>
  <c r="DP20"/>
  <c r="DL75"/>
  <c r="DP75"/>
  <c r="DL139"/>
  <c r="DP139"/>
  <c r="DG42"/>
  <c r="DH42" s="1"/>
  <c r="DM42"/>
  <c r="DN42" s="1"/>
  <c r="DK42"/>
  <c r="DG54"/>
  <c r="DH54" s="1"/>
  <c r="DM54"/>
  <c r="DN54" s="1"/>
  <c r="DK54"/>
  <c r="DG137"/>
  <c r="DH137" s="1"/>
  <c r="DM137"/>
  <c r="DN137" s="1"/>
  <c r="DK137"/>
  <c r="DG38"/>
  <c r="DH38" s="1"/>
  <c r="DM38"/>
  <c r="DN38" s="1"/>
  <c r="DK38"/>
  <c r="DL152"/>
  <c r="DP152"/>
  <c r="DL136"/>
  <c r="DP136"/>
  <c r="DL61"/>
  <c r="DP61"/>
  <c r="DL197"/>
  <c r="DP197"/>
  <c r="DL14"/>
  <c r="DP14"/>
  <c r="DL59"/>
  <c r="DP59"/>
  <c r="DG121"/>
  <c r="DH121" s="1"/>
  <c r="DM121"/>
  <c r="DN121" s="1"/>
  <c r="DK121"/>
  <c r="DL165"/>
  <c r="DP165"/>
  <c r="DL66"/>
  <c r="DP66"/>
  <c r="DL100"/>
  <c r="DP100"/>
  <c r="DG145"/>
  <c r="DH145" s="1"/>
  <c r="DM145"/>
  <c r="DN145" s="1"/>
  <c r="DK145"/>
  <c r="DL23"/>
  <c r="DP23"/>
  <c r="DG149"/>
  <c r="DH149" s="1"/>
  <c r="DM149"/>
  <c r="DN149" s="1"/>
  <c r="DK149"/>
  <c r="DL60"/>
  <c r="DP60"/>
  <c r="DL48"/>
  <c r="DP48"/>
  <c r="DL115"/>
  <c r="DP115"/>
  <c r="DM126"/>
  <c r="DN126" s="1"/>
  <c r="DG126"/>
  <c r="DH126" s="1"/>
  <c r="DK126"/>
  <c r="DQ34"/>
  <c r="DQ87"/>
  <c r="DQ11"/>
  <c r="DS11" s="1"/>
  <c r="BL11" s="1"/>
  <c r="DT11" s="1"/>
  <c r="DM6"/>
  <c r="DN6" s="1"/>
  <c r="DG6"/>
  <c r="DH6" s="1"/>
  <c r="DK6"/>
  <c r="DM9"/>
  <c r="DN9" s="1"/>
  <c r="DG9"/>
  <c r="DH9" s="1"/>
  <c r="DK9"/>
  <c r="DQ5"/>
  <c r="DP12"/>
  <c r="DL12"/>
  <c r="DQ10"/>
  <c r="DP7"/>
  <c r="DL7"/>
  <c r="DP8"/>
  <c r="DL8"/>
  <c r="DO15" i="12"/>
  <c r="DK15"/>
  <c r="DL11"/>
  <c r="DM11" s="1"/>
  <c r="DF11"/>
  <c r="DG11" s="1"/>
  <c r="DJ11"/>
  <c r="DL13"/>
  <c r="DM13" s="1"/>
  <c r="DF13"/>
  <c r="DG13" s="1"/>
  <c r="DJ13"/>
  <c r="DL7"/>
  <c r="DM7" s="1"/>
  <c r="DF7"/>
  <c r="DG7" s="1"/>
  <c r="DJ7"/>
  <c r="DP17"/>
  <c r="DO10"/>
  <c r="DK10"/>
  <c r="DL9"/>
  <c r="DM9" s="1"/>
  <c r="DF9"/>
  <c r="DG9" s="1"/>
  <c r="DJ9"/>
  <c r="DO12"/>
  <c r="DK12"/>
  <c r="DO14"/>
  <c r="DK14"/>
  <c r="DL16"/>
  <c r="DM16" s="1"/>
  <c r="DF16"/>
  <c r="DG16" s="1"/>
  <c r="DJ16"/>
  <c r="DO8"/>
  <c r="DK8"/>
  <c r="DO6"/>
  <c r="DK6"/>
  <c r="DP5"/>
  <c r="DP12" l="1"/>
  <c r="DR12" s="1"/>
  <c r="BK12" s="1"/>
  <c r="AS12" s="1"/>
  <c r="DQ181" i="13"/>
  <c r="DS181" s="1"/>
  <c r="BL181" s="1"/>
  <c r="DT181" s="1"/>
  <c r="DQ161"/>
  <c r="DS161" s="1"/>
  <c r="BL161" s="1"/>
  <c r="DT161" s="1"/>
  <c r="DQ177"/>
  <c r="DS177" s="1"/>
  <c r="BL177" s="1"/>
  <c r="DT177" s="1"/>
  <c r="DQ140"/>
  <c r="DS140" s="1"/>
  <c r="BL140" s="1"/>
  <c r="DT140" s="1"/>
  <c r="DQ196"/>
  <c r="DS196" s="1"/>
  <c r="BL196" s="1"/>
  <c r="DT196" s="1"/>
  <c r="DT194"/>
  <c r="BM194"/>
  <c r="AU194" s="1"/>
  <c r="DQ175"/>
  <c r="DS175" s="1"/>
  <c r="BL175" s="1"/>
  <c r="DT175" s="1"/>
  <c r="DQ166"/>
  <c r="DS166" s="1"/>
  <c r="BL166" s="1"/>
  <c r="DQ178"/>
  <c r="DS178" s="1"/>
  <c r="BL178" s="1"/>
  <c r="DQ64"/>
  <c r="DS64" s="1"/>
  <c r="BL64" s="1"/>
  <c r="DT64" s="1"/>
  <c r="DQ69"/>
  <c r="DS69" s="1"/>
  <c r="BL69" s="1"/>
  <c r="DT69" s="1"/>
  <c r="DQ84"/>
  <c r="DS84" s="1"/>
  <c r="BL84" s="1"/>
  <c r="DQ49"/>
  <c r="DQ70"/>
  <c r="DQ109"/>
  <c r="DQ90"/>
  <c r="DQ164"/>
  <c r="DQ179"/>
  <c r="DS179" s="1"/>
  <c r="BL179" s="1"/>
  <c r="DT179" s="1"/>
  <c r="DQ97"/>
  <c r="DS97" s="1"/>
  <c r="BL97" s="1"/>
  <c r="DT97" s="1"/>
  <c r="DQ24"/>
  <c r="DS24" s="1"/>
  <c r="BL24" s="1"/>
  <c r="DT24" s="1"/>
  <c r="DQ31"/>
  <c r="DS31" s="1"/>
  <c r="BL31" s="1"/>
  <c r="DT31" s="1"/>
  <c r="DQ33"/>
  <c r="DS33" s="1"/>
  <c r="BL33" s="1"/>
  <c r="DT33" s="1"/>
  <c r="DQ94"/>
  <c r="DS94" s="1"/>
  <c r="BL94" s="1"/>
  <c r="DT94" s="1"/>
  <c r="DQ52"/>
  <c r="DS52" s="1"/>
  <c r="BL52" s="1"/>
  <c r="DT52" s="1"/>
  <c r="DQ105"/>
  <c r="DS105" s="1"/>
  <c r="BL105" s="1"/>
  <c r="DQ95"/>
  <c r="DS95" s="1"/>
  <c r="BL95" s="1"/>
  <c r="DT95" s="1"/>
  <c r="DQ26"/>
  <c r="DS26" s="1"/>
  <c r="BL26" s="1"/>
  <c r="DT26" s="1"/>
  <c r="DQ29"/>
  <c r="DS29" s="1"/>
  <c r="BL29" s="1"/>
  <c r="DT29" s="1"/>
  <c r="DQ71"/>
  <c r="DS71" s="1"/>
  <c r="BL71" s="1"/>
  <c r="DT71" s="1"/>
  <c r="DQ131"/>
  <c r="DS131" s="1"/>
  <c r="BL131" s="1"/>
  <c r="DT131" s="1"/>
  <c r="DQ128"/>
  <c r="DS128" s="1"/>
  <c r="BL128" s="1"/>
  <c r="DT128" s="1"/>
  <c r="DQ120"/>
  <c r="DS120" s="1"/>
  <c r="BL120" s="1"/>
  <c r="DT120" s="1"/>
  <c r="DQ104"/>
  <c r="DS104" s="1"/>
  <c r="BL104" s="1"/>
  <c r="DT104" s="1"/>
  <c r="DQ23"/>
  <c r="DS23" s="1"/>
  <c r="BL23" s="1"/>
  <c r="DT23" s="1"/>
  <c r="DQ12"/>
  <c r="DS12" s="1"/>
  <c r="BL12" s="1"/>
  <c r="DT12" s="1"/>
  <c r="DQ14"/>
  <c r="DS14" s="1"/>
  <c r="BL14" s="1"/>
  <c r="DT14" s="1"/>
  <c r="DQ61"/>
  <c r="DS61" s="1"/>
  <c r="BL61" s="1"/>
  <c r="DT61" s="1"/>
  <c r="DQ152"/>
  <c r="DS152" s="1"/>
  <c r="BL152" s="1"/>
  <c r="DQ75"/>
  <c r="DS75" s="1"/>
  <c r="BL75" s="1"/>
  <c r="DT75" s="1"/>
  <c r="DQ135"/>
  <c r="DS135" s="1"/>
  <c r="BL135" s="1"/>
  <c r="DT135" s="1"/>
  <c r="DQ184"/>
  <c r="DS184" s="1"/>
  <c r="BL184" s="1"/>
  <c r="DT184" s="1"/>
  <c r="DQ170"/>
  <c r="DS170" s="1"/>
  <c r="BL170" s="1"/>
  <c r="DQ89"/>
  <c r="DS89" s="1"/>
  <c r="BL89" s="1"/>
  <c r="DT89" s="1"/>
  <c r="DQ40"/>
  <c r="DS40" s="1"/>
  <c r="BL40" s="1"/>
  <c r="DT40" s="1"/>
  <c r="DQ72"/>
  <c r="DS72" s="1"/>
  <c r="BL72" s="1"/>
  <c r="DT72" s="1"/>
  <c r="DQ111"/>
  <c r="DS111" s="1"/>
  <c r="BL111" s="1"/>
  <c r="DT111" s="1"/>
  <c r="DQ65"/>
  <c r="DS65" s="1"/>
  <c r="BL65" s="1"/>
  <c r="DT65" s="1"/>
  <c r="DQ36"/>
  <c r="DS36" s="1"/>
  <c r="BL36" s="1"/>
  <c r="DT36" s="1"/>
  <c r="DQ98"/>
  <c r="DS98" s="1"/>
  <c r="BL98" s="1"/>
  <c r="DT98" s="1"/>
  <c r="DQ96"/>
  <c r="DS96" s="1"/>
  <c r="BL96" s="1"/>
  <c r="DT96" s="1"/>
  <c r="DQ103"/>
  <c r="DS103" s="1"/>
  <c r="BL103" s="1"/>
  <c r="DT103" s="1"/>
  <c r="DQ108"/>
  <c r="DS108" s="1"/>
  <c r="BL108" s="1"/>
  <c r="DT108" s="1"/>
  <c r="DQ17"/>
  <c r="DS17" s="1"/>
  <c r="BL17" s="1"/>
  <c r="DT17" s="1"/>
  <c r="DQ115"/>
  <c r="DS115" s="1"/>
  <c r="BL115" s="1"/>
  <c r="DT115" s="1"/>
  <c r="DQ60"/>
  <c r="DQ66"/>
  <c r="DS66" s="1"/>
  <c r="BL66" s="1"/>
  <c r="DQ192"/>
  <c r="DS192" s="1"/>
  <c r="BL192" s="1"/>
  <c r="DQ45"/>
  <c r="DS45" s="1"/>
  <c r="BL45" s="1"/>
  <c r="DT45" s="1"/>
  <c r="DQ172"/>
  <c r="DS172" s="1"/>
  <c r="BL172" s="1"/>
  <c r="DT172" s="1"/>
  <c r="DQ200"/>
  <c r="DS200" s="1"/>
  <c r="BL200" s="1"/>
  <c r="DQ30"/>
  <c r="DS30" s="1"/>
  <c r="BL30" s="1"/>
  <c r="DT30" s="1"/>
  <c r="DQ63"/>
  <c r="DS63" s="1"/>
  <c r="BL63" s="1"/>
  <c r="DT63" s="1"/>
  <c r="DQ151"/>
  <c r="DS151" s="1"/>
  <c r="BL151" s="1"/>
  <c r="DT151" s="1"/>
  <c r="DQ81"/>
  <c r="DS81" s="1"/>
  <c r="BL81" s="1"/>
  <c r="DT81" s="1"/>
  <c r="DQ91"/>
  <c r="DS91" s="1"/>
  <c r="BL91" s="1"/>
  <c r="DT91" s="1"/>
  <c r="DQ41"/>
  <c r="DS41" s="1"/>
  <c r="BL41" s="1"/>
  <c r="DT41" s="1"/>
  <c r="DQ182"/>
  <c r="DS182" s="1"/>
  <c r="BL182" s="1"/>
  <c r="DQ74"/>
  <c r="DS74" s="1"/>
  <c r="BL74" s="1"/>
  <c r="DT74" s="1"/>
  <c r="DQ25"/>
  <c r="DS25" s="1"/>
  <c r="BL25" s="1"/>
  <c r="DT25" s="1"/>
  <c r="DQ155"/>
  <c r="DS155" s="1"/>
  <c r="BL155" s="1"/>
  <c r="DT155" s="1"/>
  <c r="DQ37"/>
  <c r="DS37" s="1"/>
  <c r="BL37" s="1"/>
  <c r="DT37" s="1"/>
  <c r="DQ13"/>
  <c r="DQ190"/>
  <c r="DS190" s="1"/>
  <c r="BL190" s="1"/>
  <c r="DS87"/>
  <c r="BL87" s="1"/>
  <c r="DT87" s="1"/>
  <c r="DL126"/>
  <c r="DP126"/>
  <c r="DL121"/>
  <c r="DP121"/>
  <c r="DL42"/>
  <c r="DP42"/>
  <c r="DL134"/>
  <c r="DP134"/>
  <c r="DL113"/>
  <c r="DP113"/>
  <c r="AT118"/>
  <c r="BM118"/>
  <c r="AU118" s="1"/>
  <c r="AT86"/>
  <c r="BM86"/>
  <c r="AU86" s="1"/>
  <c r="DS79"/>
  <c r="BL79" s="1"/>
  <c r="DT79" s="1"/>
  <c r="DL117"/>
  <c r="DP117"/>
  <c r="AT199"/>
  <c r="BM199"/>
  <c r="AU199" s="1"/>
  <c r="AT195"/>
  <c r="BM195"/>
  <c r="AU195" s="1"/>
  <c r="DP119"/>
  <c r="DL119"/>
  <c r="DQ48"/>
  <c r="DQ100"/>
  <c r="DQ165"/>
  <c r="DQ99"/>
  <c r="DQ147"/>
  <c r="DQ15"/>
  <c r="DQ22"/>
  <c r="DQ183"/>
  <c r="DQ16"/>
  <c r="DQ143"/>
  <c r="DQ44"/>
  <c r="DQ68"/>
  <c r="DQ186"/>
  <c r="DQ123"/>
  <c r="DQ169"/>
  <c r="DQ167"/>
  <c r="DQ132"/>
  <c r="DQ92"/>
  <c r="DQ159"/>
  <c r="DL145"/>
  <c r="DP145"/>
  <c r="DL38"/>
  <c r="DP38"/>
  <c r="DL50"/>
  <c r="DP50"/>
  <c r="DL39"/>
  <c r="DP39"/>
  <c r="DL43"/>
  <c r="DP43"/>
  <c r="DL141"/>
  <c r="DP141"/>
  <c r="DL146"/>
  <c r="DP146"/>
  <c r="DL112"/>
  <c r="DP112"/>
  <c r="DS49"/>
  <c r="BL49" s="1"/>
  <c r="DT49" s="1"/>
  <c r="DS70"/>
  <c r="BL70" s="1"/>
  <c r="DT70" s="1"/>
  <c r="DS109"/>
  <c r="BL109" s="1"/>
  <c r="DS90"/>
  <c r="BL90" s="1"/>
  <c r="DT90" s="1"/>
  <c r="DS164"/>
  <c r="BL164" s="1"/>
  <c r="DT164" s="1"/>
  <c r="DL46"/>
  <c r="DP46"/>
  <c r="DL76"/>
  <c r="DP76"/>
  <c r="DL198"/>
  <c r="DP198"/>
  <c r="AT114"/>
  <c r="BM114"/>
  <c r="AU114" s="1"/>
  <c r="DL130"/>
  <c r="DP130"/>
  <c r="DL125"/>
  <c r="DP125"/>
  <c r="DQ7"/>
  <c r="DS7" s="1"/>
  <c r="BL7" s="1"/>
  <c r="DQ106"/>
  <c r="DQ124"/>
  <c r="DQ56"/>
  <c r="DL149"/>
  <c r="DP149"/>
  <c r="DL137"/>
  <c r="DP137"/>
  <c r="DL57"/>
  <c r="DP57"/>
  <c r="DP158"/>
  <c r="DL158"/>
  <c r="DL51"/>
  <c r="DP51"/>
  <c r="DL78"/>
  <c r="DP78"/>
  <c r="DP154"/>
  <c r="DL154"/>
  <c r="DL156"/>
  <c r="DP156"/>
  <c r="DL47"/>
  <c r="DP47"/>
  <c r="DL88"/>
  <c r="DP88"/>
  <c r="DL122"/>
  <c r="DP122"/>
  <c r="DL129"/>
  <c r="DP129"/>
  <c r="DL153"/>
  <c r="DP153"/>
  <c r="DL53"/>
  <c r="DP53"/>
  <c r="DQ191"/>
  <c r="DS34"/>
  <c r="BL34" s="1"/>
  <c r="DT34" s="1"/>
  <c r="DL54"/>
  <c r="DP54"/>
  <c r="DP82"/>
  <c r="DL82"/>
  <c r="DL138"/>
  <c r="DP138"/>
  <c r="DL116"/>
  <c r="DP116"/>
  <c r="DL80"/>
  <c r="DP80"/>
  <c r="DL133"/>
  <c r="DP133"/>
  <c r="DP55"/>
  <c r="DL55"/>
  <c r="DL142"/>
  <c r="DP142"/>
  <c r="DL77"/>
  <c r="DP77"/>
  <c r="DL193"/>
  <c r="DP193"/>
  <c r="DL150"/>
  <c r="DP150"/>
  <c r="DL157"/>
  <c r="DP157"/>
  <c r="DQ59"/>
  <c r="DQ197"/>
  <c r="DQ136"/>
  <c r="DQ139"/>
  <c r="DQ20"/>
  <c r="DQ85"/>
  <c r="DQ160"/>
  <c r="DQ185"/>
  <c r="DQ173"/>
  <c r="DQ32"/>
  <c r="DQ163"/>
  <c r="DQ28"/>
  <c r="DQ110"/>
  <c r="DQ162"/>
  <c r="DQ83"/>
  <c r="DQ73"/>
  <c r="DQ180"/>
  <c r="DQ189"/>
  <c r="DQ174"/>
  <c r="DQ127"/>
  <c r="DQ144"/>
  <c r="DQ67"/>
  <c r="DQ168"/>
  <c r="DQ188"/>
  <c r="DQ62"/>
  <c r="DQ101"/>
  <c r="DQ148"/>
  <c r="DQ171"/>
  <c r="DQ176"/>
  <c r="DQ107"/>
  <c r="DQ102"/>
  <c r="DQ93"/>
  <c r="DQ27"/>
  <c r="DQ21"/>
  <c r="DQ187"/>
  <c r="DQ18"/>
  <c r="DQ19"/>
  <c r="DQ35"/>
  <c r="DQ58"/>
  <c r="DQ8"/>
  <c r="DS8" s="1"/>
  <c r="BL8" s="1"/>
  <c r="DP6"/>
  <c r="DL6"/>
  <c r="DS5"/>
  <c r="BL5" s="1"/>
  <c r="DT5" s="1"/>
  <c r="DS10"/>
  <c r="BL10" s="1"/>
  <c r="AT11"/>
  <c r="BM11"/>
  <c r="AU11" s="1"/>
  <c r="DP9"/>
  <c r="DL9"/>
  <c r="DP10" i="12"/>
  <c r="DR10" s="1"/>
  <c r="BK10" s="1"/>
  <c r="AS10" s="1"/>
  <c r="DP15"/>
  <c r="DR15" s="1"/>
  <c r="BK15" s="1"/>
  <c r="AS15" s="1"/>
  <c r="DO13"/>
  <c r="DK13"/>
  <c r="DR5"/>
  <c r="BK5" s="1"/>
  <c r="AS5" s="1"/>
  <c r="DO11"/>
  <c r="DK11"/>
  <c r="DO7"/>
  <c r="DK7"/>
  <c r="DO16"/>
  <c r="DK16"/>
  <c r="DP8"/>
  <c r="DO9"/>
  <c r="DK9"/>
  <c r="DR17"/>
  <c r="BK17" s="1"/>
  <c r="AS17" s="1"/>
  <c r="DP6"/>
  <c r="DP14"/>
  <c r="DQ154" i="13" l="1"/>
  <c r="DS154" s="1"/>
  <c r="BL154" s="1"/>
  <c r="DT152"/>
  <c r="DQ134"/>
  <c r="DQ121"/>
  <c r="DQ133"/>
  <c r="DS133" s="1"/>
  <c r="BL133" s="1"/>
  <c r="DT133" s="1"/>
  <c r="DS60"/>
  <c r="BL60" s="1"/>
  <c r="DT60" s="1"/>
  <c r="DQ142"/>
  <c r="DQ112"/>
  <c r="DQ193"/>
  <c r="DS193" s="1"/>
  <c r="BL193" s="1"/>
  <c r="DT193" s="1"/>
  <c r="DQ116"/>
  <c r="DS116" s="1"/>
  <c r="BL116" s="1"/>
  <c r="DT116" s="1"/>
  <c r="DQ78"/>
  <c r="DS78" s="1"/>
  <c r="BL78" s="1"/>
  <c r="DT78" s="1"/>
  <c r="DS13"/>
  <c r="BL13" s="1"/>
  <c r="DT13" s="1"/>
  <c r="DQ55"/>
  <c r="DS55" s="1"/>
  <c r="BL55" s="1"/>
  <c r="DT55" s="1"/>
  <c r="DQ156"/>
  <c r="DS156" s="1"/>
  <c r="BL156" s="1"/>
  <c r="DT156" s="1"/>
  <c r="DQ137"/>
  <c r="DS137" s="1"/>
  <c r="BL137" s="1"/>
  <c r="DT137" s="1"/>
  <c r="DS101"/>
  <c r="BL101" s="1"/>
  <c r="DT101" s="1"/>
  <c r="DS32"/>
  <c r="BL32" s="1"/>
  <c r="DT32" s="1"/>
  <c r="DS58"/>
  <c r="BL58" s="1"/>
  <c r="DS102"/>
  <c r="BL102" s="1"/>
  <c r="DT102" s="1"/>
  <c r="DS174"/>
  <c r="BL174" s="1"/>
  <c r="DS163"/>
  <c r="BL163" s="1"/>
  <c r="DT163" s="1"/>
  <c r="AT69"/>
  <c r="BM69"/>
  <c r="AU69" s="1"/>
  <c r="AT200"/>
  <c r="BM200"/>
  <c r="AU200" s="1"/>
  <c r="DS18"/>
  <c r="BL18" s="1"/>
  <c r="DT18" s="1"/>
  <c r="DS93"/>
  <c r="BL93" s="1"/>
  <c r="DT93" s="1"/>
  <c r="DS188"/>
  <c r="BL188" s="1"/>
  <c r="DT188" s="1"/>
  <c r="DS127"/>
  <c r="BL127" s="1"/>
  <c r="DT127" s="1"/>
  <c r="DS73"/>
  <c r="BL73" s="1"/>
  <c r="DT73" s="1"/>
  <c r="DS28"/>
  <c r="BL28" s="1"/>
  <c r="DT28" s="1"/>
  <c r="DS139"/>
  <c r="BL139" s="1"/>
  <c r="DT139" s="1"/>
  <c r="AT25"/>
  <c r="BM25"/>
  <c r="AU25" s="1"/>
  <c r="AT84"/>
  <c r="BM84"/>
  <c r="AU84" s="1"/>
  <c r="AT178"/>
  <c r="BM178"/>
  <c r="AU178" s="1"/>
  <c r="DS19"/>
  <c r="BL19" s="1"/>
  <c r="DS27"/>
  <c r="BL27" s="1"/>
  <c r="DT27" s="1"/>
  <c r="DS176"/>
  <c r="BL176" s="1"/>
  <c r="DT176" s="1"/>
  <c r="DS62"/>
  <c r="BL62" s="1"/>
  <c r="DT62" s="1"/>
  <c r="DS144"/>
  <c r="BL144" s="1"/>
  <c r="DT144" s="1"/>
  <c r="DS180"/>
  <c r="BL180" s="1"/>
  <c r="DT180" s="1"/>
  <c r="DS110"/>
  <c r="BL110" s="1"/>
  <c r="DS173"/>
  <c r="BL173" s="1"/>
  <c r="DT173" s="1"/>
  <c r="DS20"/>
  <c r="BL20" s="1"/>
  <c r="DT20" s="1"/>
  <c r="DS59"/>
  <c r="BL59" s="1"/>
  <c r="DT59" s="1"/>
  <c r="AT155"/>
  <c r="BM155"/>
  <c r="AU155" s="1"/>
  <c r="AT74"/>
  <c r="BM74"/>
  <c r="AU74" s="1"/>
  <c r="AT175"/>
  <c r="BM175"/>
  <c r="AU175" s="1"/>
  <c r="AT41"/>
  <c r="BM41"/>
  <c r="AU41" s="1"/>
  <c r="AT151"/>
  <c r="BM151"/>
  <c r="AU151" s="1"/>
  <c r="AT30"/>
  <c r="BM30"/>
  <c r="AU30" s="1"/>
  <c r="AT172"/>
  <c r="BM172"/>
  <c r="AU172" s="1"/>
  <c r="AT45"/>
  <c r="BM45"/>
  <c r="AU45" s="1"/>
  <c r="DS106"/>
  <c r="BL106" s="1"/>
  <c r="DT106" s="1"/>
  <c r="AT177"/>
  <c r="BM177"/>
  <c r="AU177" s="1"/>
  <c r="AT181"/>
  <c r="BM181"/>
  <c r="AU181" s="1"/>
  <c r="AT131"/>
  <c r="BM131"/>
  <c r="AU131" s="1"/>
  <c r="AT29"/>
  <c r="BM29"/>
  <c r="AU29" s="1"/>
  <c r="AT95"/>
  <c r="BM95"/>
  <c r="AU95" s="1"/>
  <c r="AT94"/>
  <c r="BM94"/>
  <c r="AU94" s="1"/>
  <c r="AT90"/>
  <c r="BM90"/>
  <c r="AU90" s="1"/>
  <c r="AT17"/>
  <c r="BM17"/>
  <c r="AU17" s="1"/>
  <c r="AT108"/>
  <c r="BM108"/>
  <c r="AU108" s="1"/>
  <c r="AT103"/>
  <c r="BM103"/>
  <c r="AU103" s="1"/>
  <c r="AT96"/>
  <c r="BM96"/>
  <c r="AU96" s="1"/>
  <c r="AT36"/>
  <c r="BM36"/>
  <c r="AU36" s="1"/>
  <c r="AT111"/>
  <c r="BM111"/>
  <c r="AU111" s="1"/>
  <c r="AT184"/>
  <c r="BM184"/>
  <c r="AU184" s="1"/>
  <c r="AT152"/>
  <c r="BM152"/>
  <c r="AU152" s="1"/>
  <c r="AT14"/>
  <c r="BM14"/>
  <c r="AU14" s="1"/>
  <c r="AT60"/>
  <c r="DS159"/>
  <c r="BL159" s="1"/>
  <c r="DS169"/>
  <c r="BL169" s="1"/>
  <c r="DT169" s="1"/>
  <c r="DS44"/>
  <c r="BL44" s="1"/>
  <c r="DT44" s="1"/>
  <c r="DS22"/>
  <c r="BL22" s="1"/>
  <c r="DT22" s="1"/>
  <c r="DS165"/>
  <c r="BL165" s="1"/>
  <c r="DT165" s="1"/>
  <c r="AT79"/>
  <c r="BM79"/>
  <c r="AU79" s="1"/>
  <c r="AT87"/>
  <c r="BM87"/>
  <c r="AU87" s="1"/>
  <c r="DQ129"/>
  <c r="DQ88"/>
  <c r="DQ157"/>
  <c r="DQ150"/>
  <c r="DQ77"/>
  <c r="DQ80"/>
  <c r="DQ54"/>
  <c r="DQ82"/>
  <c r="DT84"/>
  <c r="DQ153"/>
  <c r="DT178"/>
  <c r="DQ122"/>
  <c r="DQ51"/>
  <c r="DQ57"/>
  <c r="DQ149"/>
  <c r="DQ125"/>
  <c r="DQ130"/>
  <c r="DQ198"/>
  <c r="DQ46"/>
  <c r="DQ43"/>
  <c r="DQ39"/>
  <c r="DQ119"/>
  <c r="DS35"/>
  <c r="BL35" s="1"/>
  <c r="DT35" s="1"/>
  <c r="DS162"/>
  <c r="BL162" s="1"/>
  <c r="DT162" s="1"/>
  <c r="DS197"/>
  <c r="BL197" s="1"/>
  <c r="DT197" s="1"/>
  <c r="AT104"/>
  <c r="BM104"/>
  <c r="AU104" s="1"/>
  <c r="DS142"/>
  <c r="BL142" s="1"/>
  <c r="DT142" s="1"/>
  <c r="AT34"/>
  <c r="BM34"/>
  <c r="AU34" s="1"/>
  <c r="AT166"/>
  <c r="BM166"/>
  <c r="AU166" s="1"/>
  <c r="AT182"/>
  <c r="BM182"/>
  <c r="AU182" s="1"/>
  <c r="AT192"/>
  <c r="BM192"/>
  <c r="AU192" s="1"/>
  <c r="DS124"/>
  <c r="BL124" s="1"/>
  <c r="DT124" s="1"/>
  <c r="AT190"/>
  <c r="BM190"/>
  <c r="AU190" s="1"/>
  <c r="AT105"/>
  <c r="BM105"/>
  <c r="AU105" s="1"/>
  <c r="AT109"/>
  <c r="BM109"/>
  <c r="AU109" s="1"/>
  <c r="AT170"/>
  <c r="BM170"/>
  <c r="AU170" s="1"/>
  <c r="AT66"/>
  <c r="BM66"/>
  <c r="AU66" s="1"/>
  <c r="DS167"/>
  <c r="BL167" s="1"/>
  <c r="DT167" s="1"/>
  <c r="DS68"/>
  <c r="BL68" s="1"/>
  <c r="DT68" s="1"/>
  <c r="DS183"/>
  <c r="BL183" s="1"/>
  <c r="DT183" s="1"/>
  <c r="DS99"/>
  <c r="BL99" s="1"/>
  <c r="DT99" s="1"/>
  <c r="DS134"/>
  <c r="BL134" s="1"/>
  <c r="DT134" s="1"/>
  <c r="DS121"/>
  <c r="BL121" s="1"/>
  <c r="DT121" s="1"/>
  <c r="DT200"/>
  <c r="DQ158"/>
  <c r="DS21"/>
  <c r="BL21" s="1"/>
  <c r="DT21" s="1"/>
  <c r="DS189"/>
  <c r="BL189" s="1"/>
  <c r="DT189" s="1"/>
  <c r="DS148"/>
  <c r="BL148" s="1"/>
  <c r="DT148" s="1"/>
  <c r="DS136"/>
  <c r="BL136" s="1"/>
  <c r="DT136" s="1"/>
  <c r="AT91"/>
  <c r="BM91"/>
  <c r="AU91" s="1"/>
  <c r="DS56"/>
  <c r="BL56" s="1"/>
  <c r="DT56" s="1"/>
  <c r="AT120"/>
  <c r="BM120"/>
  <c r="AU120" s="1"/>
  <c r="AT140"/>
  <c r="BM140"/>
  <c r="AU140" s="1"/>
  <c r="AT161"/>
  <c r="BM161"/>
  <c r="AU161" s="1"/>
  <c r="AT128"/>
  <c r="BM128"/>
  <c r="AU128" s="1"/>
  <c r="AT71"/>
  <c r="BM71"/>
  <c r="AU71" s="1"/>
  <c r="AT26"/>
  <c r="BM26"/>
  <c r="AU26" s="1"/>
  <c r="AT33"/>
  <c r="BM33"/>
  <c r="AU33" s="1"/>
  <c r="AT24"/>
  <c r="BM24"/>
  <c r="AU24" s="1"/>
  <c r="AT179"/>
  <c r="BM179"/>
  <c r="AU179" s="1"/>
  <c r="AT164"/>
  <c r="BM164"/>
  <c r="AU164" s="1"/>
  <c r="AT49"/>
  <c r="BM49"/>
  <c r="AU49" s="1"/>
  <c r="DS112"/>
  <c r="BL112" s="1"/>
  <c r="DT112" s="1"/>
  <c r="AT98"/>
  <c r="BM98"/>
  <c r="AU98" s="1"/>
  <c r="AT65"/>
  <c r="BM65"/>
  <c r="AU65" s="1"/>
  <c r="AT72"/>
  <c r="BM72"/>
  <c r="AU72" s="1"/>
  <c r="AT40"/>
  <c r="BM40"/>
  <c r="AU40" s="1"/>
  <c r="AT135"/>
  <c r="BM135"/>
  <c r="AU135" s="1"/>
  <c r="AT61"/>
  <c r="BM61"/>
  <c r="AU61" s="1"/>
  <c r="AT115"/>
  <c r="BM115"/>
  <c r="AU115" s="1"/>
  <c r="DS132"/>
  <c r="BL132" s="1"/>
  <c r="DT132" s="1"/>
  <c r="DS186"/>
  <c r="BL186" s="1"/>
  <c r="DS16"/>
  <c r="BL16" s="1"/>
  <c r="DT16" s="1"/>
  <c r="DS147"/>
  <c r="BL147" s="1"/>
  <c r="DT147" s="1"/>
  <c r="DS48"/>
  <c r="BL48" s="1"/>
  <c r="DT48" s="1"/>
  <c r="DT166"/>
  <c r="DQ47"/>
  <c r="DT192"/>
  <c r="DT190"/>
  <c r="DT105"/>
  <c r="DQ76"/>
  <c r="DT109"/>
  <c r="DQ146"/>
  <c r="DQ141"/>
  <c r="DT170"/>
  <c r="DQ50"/>
  <c r="DQ38"/>
  <c r="DQ145"/>
  <c r="DT66"/>
  <c r="DS107"/>
  <c r="BL107" s="1"/>
  <c r="DT107" s="1"/>
  <c r="DS67"/>
  <c r="BL67" s="1"/>
  <c r="DT67" s="1"/>
  <c r="DS85"/>
  <c r="BL85" s="1"/>
  <c r="DT85" s="1"/>
  <c r="DS187"/>
  <c r="BL187" s="1"/>
  <c r="DT187" s="1"/>
  <c r="DS168"/>
  <c r="BL168" s="1"/>
  <c r="DT168" s="1"/>
  <c r="DS83"/>
  <c r="BL83" s="1"/>
  <c r="DT83" s="1"/>
  <c r="DS160"/>
  <c r="BL160" s="1"/>
  <c r="DT160" s="1"/>
  <c r="AT64"/>
  <c r="BM64"/>
  <c r="AU64" s="1"/>
  <c r="AT63"/>
  <c r="BM63"/>
  <c r="AU63" s="1"/>
  <c r="DS171"/>
  <c r="BL171" s="1"/>
  <c r="DT171" s="1"/>
  <c r="DS185"/>
  <c r="BL185" s="1"/>
  <c r="DT185" s="1"/>
  <c r="AT37"/>
  <c r="BM37"/>
  <c r="AU37" s="1"/>
  <c r="DS191"/>
  <c r="BL191" s="1"/>
  <c r="DT191" s="1"/>
  <c r="AT196"/>
  <c r="BM196"/>
  <c r="AU196" s="1"/>
  <c r="AT81"/>
  <c r="BM81"/>
  <c r="AU81" s="1"/>
  <c r="AT52"/>
  <c r="BM52"/>
  <c r="AU52" s="1"/>
  <c r="AT31"/>
  <c r="BM31"/>
  <c r="AU31" s="1"/>
  <c r="AT97"/>
  <c r="BM97"/>
  <c r="AU97" s="1"/>
  <c r="AT70"/>
  <c r="BM70"/>
  <c r="AU70" s="1"/>
  <c r="AT89"/>
  <c r="BM89"/>
  <c r="AU89" s="1"/>
  <c r="AT75"/>
  <c r="BM75"/>
  <c r="AU75" s="1"/>
  <c r="AT23"/>
  <c r="BM23"/>
  <c r="AU23" s="1"/>
  <c r="DS92"/>
  <c r="BL92" s="1"/>
  <c r="DT92" s="1"/>
  <c r="DS123"/>
  <c r="BL123" s="1"/>
  <c r="DS143"/>
  <c r="BL143" s="1"/>
  <c r="DT143" s="1"/>
  <c r="DS15"/>
  <c r="BL15" s="1"/>
  <c r="DT15" s="1"/>
  <c r="DS100"/>
  <c r="BL100" s="1"/>
  <c r="DT100" s="1"/>
  <c r="DQ53"/>
  <c r="DT182"/>
  <c r="DQ138"/>
  <c r="DQ117"/>
  <c r="DQ113"/>
  <c r="DQ42"/>
  <c r="DQ126"/>
  <c r="DQ6"/>
  <c r="DS6" s="1"/>
  <c r="BL6" s="1"/>
  <c r="DQ9"/>
  <c r="DS9" s="1"/>
  <c r="BL9" s="1"/>
  <c r="DT9" s="1"/>
  <c r="AT7"/>
  <c r="BM7"/>
  <c r="AU7" s="1"/>
  <c r="AT8"/>
  <c r="BM8"/>
  <c r="AU8" s="1"/>
  <c r="AT10"/>
  <c r="BM10"/>
  <c r="AU10" s="1"/>
  <c r="AT12"/>
  <c r="BM12"/>
  <c r="AU12" s="1"/>
  <c r="AT5"/>
  <c r="BM5"/>
  <c r="AU5" s="1"/>
  <c r="DT7"/>
  <c r="DT10"/>
  <c r="DT8"/>
  <c r="DS17" i="12"/>
  <c r="DS12"/>
  <c r="DP16"/>
  <c r="DR16" s="1"/>
  <c r="BK16" s="1"/>
  <c r="AS16" s="1"/>
  <c r="DP9"/>
  <c r="DR9" s="1"/>
  <c r="BK9" s="1"/>
  <c r="AS9" s="1"/>
  <c r="DP11"/>
  <c r="DR11" s="1"/>
  <c r="BK11" s="1"/>
  <c r="AS11" s="1"/>
  <c r="DP13"/>
  <c r="DR13" s="1"/>
  <c r="BK13" s="1"/>
  <c r="AS13" s="1"/>
  <c r="BL15"/>
  <c r="AT15" s="1"/>
  <c r="DS15"/>
  <c r="BL10"/>
  <c r="AT10" s="1"/>
  <c r="DR6"/>
  <c r="BK6" s="1"/>
  <c r="AS6" s="1"/>
  <c r="BL5"/>
  <c r="AT5" s="1"/>
  <c r="DR8"/>
  <c r="BK8" s="1"/>
  <c r="AS8" s="1"/>
  <c r="DR14"/>
  <c r="BK14" s="1"/>
  <c r="AS14" s="1"/>
  <c r="BL17"/>
  <c r="AT17" s="1"/>
  <c r="BL12"/>
  <c r="AT12" s="1"/>
  <c r="DS10"/>
  <c r="DP7"/>
  <c r="DS5"/>
  <c r="BM60" i="13" l="1"/>
  <c r="AU60" s="1"/>
  <c r="BM13"/>
  <c r="AU13" s="1"/>
  <c r="AT13"/>
  <c r="DS42"/>
  <c r="BL42" s="1"/>
  <c r="DT42" s="1"/>
  <c r="AT123"/>
  <c r="BM123"/>
  <c r="AU123" s="1"/>
  <c r="DS126"/>
  <c r="BL126" s="1"/>
  <c r="DT126" s="1"/>
  <c r="AT100"/>
  <c r="BM100"/>
  <c r="AU100" s="1"/>
  <c r="AT143"/>
  <c r="BM143"/>
  <c r="AU143" s="1"/>
  <c r="AT92"/>
  <c r="BM92"/>
  <c r="AU92" s="1"/>
  <c r="AT67"/>
  <c r="BM67"/>
  <c r="AU67" s="1"/>
  <c r="DS76"/>
  <c r="BL76" s="1"/>
  <c r="DT76" s="1"/>
  <c r="DS47"/>
  <c r="BL47" s="1"/>
  <c r="DT47" s="1"/>
  <c r="AT147"/>
  <c r="BM147"/>
  <c r="AU147" s="1"/>
  <c r="AT137"/>
  <c r="BM137"/>
  <c r="AU137" s="1"/>
  <c r="AT156"/>
  <c r="BM156"/>
  <c r="AU156" s="1"/>
  <c r="AT21"/>
  <c r="BM21"/>
  <c r="AU21" s="1"/>
  <c r="AT121"/>
  <c r="BM121"/>
  <c r="AU121" s="1"/>
  <c r="AT68"/>
  <c r="BM68"/>
  <c r="AU68" s="1"/>
  <c r="AT197"/>
  <c r="BM197"/>
  <c r="AU197" s="1"/>
  <c r="DS125"/>
  <c r="BL125" s="1"/>
  <c r="DT125" s="1"/>
  <c r="DS122"/>
  <c r="BL122" s="1"/>
  <c r="DT122" s="1"/>
  <c r="DS82"/>
  <c r="BL82" s="1"/>
  <c r="DT82" s="1"/>
  <c r="AT159"/>
  <c r="BM159"/>
  <c r="AU159" s="1"/>
  <c r="DS113"/>
  <c r="BL113" s="1"/>
  <c r="DT113" s="1"/>
  <c r="DS53"/>
  <c r="BL53" s="1"/>
  <c r="DT53" s="1"/>
  <c r="AT15"/>
  <c r="BM15"/>
  <c r="AU15" s="1"/>
  <c r="AT191"/>
  <c r="BM191"/>
  <c r="AU191" s="1"/>
  <c r="DS50"/>
  <c r="BL50" s="1"/>
  <c r="DT50" s="1"/>
  <c r="BM56"/>
  <c r="AU56" s="1"/>
  <c r="AT56"/>
  <c r="AT78"/>
  <c r="BM78"/>
  <c r="AU78" s="1"/>
  <c r="AT134"/>
  <c r="BM134"/>
  <c r="AU134" s="1"/>
  <c r="AT162"/>
  <c r="BM162"/>
  <c r="AU162" s="1"/>
  <c r="DS39"/>
  <c r="BL39" s="1"/>
  <c r="DT39" s="1"/>
  <c r="DS130"/>
  <c r="BL130" s="1"/>
  <c r="DT130" s="1"/>
  <c r="DS51"/>
  <c r="BL51" s="1"/>
  <c r="DS77"/>
  <c r="BL77" s="1"/>
  <c r="DT77" s="1"/>
  <c r="DS129"/>
  <c r="BL129" s="1"/>
  <c r="DT129" s="1"/>
  <c r="AT62"/>
  <c r="BM62"/>
  <c r="AU62" s="1"/>
  <c r="AT27"/>
  <c r="BM27"/>
  <c r="AU27" s="1"/>
  <c r="AT93"/>
  <c r="BM93"/>
  <c r="AU93" s="1"/>
  <c r="AT101"/>
  <c r="BM101"/>
  <c r="AU101" s="1"/>
  <c r="DT123"/>
  <c r="AT160"/>
  <c r="BM160"/>
  <c r="AU160" s="1"/>
  <c r="AT168"/>
  <c r="BM168"/>
  <c r="AU168" s="1"/>
  <c r="AT85"/>
  <c r="BM85"/>
  <c r="AU85" s="1"/>
  <c r="AT107"/>
  <c r="BM107"/>
  <c r="AU107" s="1"/>
  <c r="DS38"/>
  <c r="BL38" s="1"/>
  <c r="DT38" s="1"/>
  <c r="DS146"/>
  <c r="BL146" s="1"/>
  <c r="AT48"/>
  <c r="BM48"/>
  <c r="AU48" s="1"/>
  <c r="AT16"/>
  <c r="BM16"/>
  <c r="AU16" s="1"/>
  <c r="AT132"/>
  <c r="BM132"/>
  <c r="AU132" s="1"/>
  <c r="AT112"/>
  <c r="BM112"/>
  <c r="AU112" s="1"/>
  <c r="AT136"/>
  <c r="BM136"/>
  <c r="AU136" s="1"/>
  <c r="AT189"/>
  <c r="BM189"/>
  <c r="AU189" s="1"/>
  <c r="DS158"/>
  <c r="BL158" s="1"/>
  <c r="DT158" s="1"/>
  <c r="AT183"/>
  <c r="BM183"/>
  <c r="AU183" s="1"/>
  <c r="AT167"/>
  <c r="BM167"/>
  <c r="AU167" s="1"/>
  <c r="AT124"/>
  <c r="BM124"/>
  <c r="AU124" s="1"/>
  <c r="AT133"/>
  <c r="BM133"/>
  <c r="AU133" s="1"/>
  <c r="DS119"/>
  <c r="BL119" s="1"/>
  <c r="DT119" s="1"/>
  <c r="DS198"/>
  <c r="BL198" s="1"/>
  <c r="DT198" s="1"/>
  <c r="DS57"/>
  <c r="BL57" s="1"/>
  <c r="DT57" s="1"/>
  <c r="DS153"/>
  <c r="BL153" s="1"/>
  <c r="DT153" s="1"/>
  <c r="DS80"/>
  <c r="BL80" s="1"/>
  <c r="DT80" s="1"/>
  <c r="DS88"/>
  <c r="BL88" s="1"/>
  <c r="DT88" s="1"/>
  <c r="AT22"/>
  <c r="BM22"/>
  <c r="AU22" s="1"/>
  <c r="AT169"/>
  <c r="BM169"/>
  <c r="AU169" s="1"/>
  <c r="AT59"/>
  <c r="BM59"/>
  <c r="AU59" s="1"/>
  <c r="AT173"/>
  <c r="BM173"/>
  <c r="AU173" s="1"/>
  <c r="AT180"/>
  <c r="BM180"/>
  <c r="AU180" s="1"/>
  <c r="AT28"/>
  <c r="BM28"/>
  <c r="AU28" s="1"/>
  <c r="AT127"/>
  <c r="BM127"/>
  <c r="AU127" s="1"/>
  <c r="AT163"/>
  <c r="BM163"/>
  <c r="AU163" s="1"/>
  <c r="AT102"/>
  <c r="BM102"/>
  <c r="AU102" s="1"/>
  <c r="AT193"/>
  <c r="BM193"/>
  <c r="AU193" s="1"/>
  <c r="DS138"/>
  <c r="BL138" s="1"/>
  <c r="AT154"/>
  <c r="BM154"/>
  <c r="AU154" s="1"/>
  <c r="AT83"/>
  <c r="BM83"/>
  <c r="AU83" s="1"/>
  <c r="DS145"/>
  <c r="BL145" s="1"/>
  <c r="DT145" s="1"/>
  <c r="DS141"/>
  <c r="BL141" s="1"/>
  <c r="DT141" s="1"/>
  <c r="AT186"/>
  <c r="BM186"/>
  <c r="AU186" s="1"/>
  <c r="AT55"/>
  <c r="BM55"/>
  <c r="AU55" s="1"/>
  <c r="AT142"/>
  <c r="BM142"/>
  <c r="AU142" s="1"/>
  <c r="AT35"/>
  <c r="BM35"/>
  <c r="AU35" s="1"/>
  <c r="DS46"/>
  <c r="BL46" s="1"/>
  <c r="DT46" s="1"/>
  <c r="DS149"/>
  <c r="BL149" s="1"/>
  <c r="DT149" s="1"/>
  <c r="DS54"/>
  <c r="BL54" s="1"/>
  <c r="DT54" s="1"/>
  <c r="DS157"/>
  <c r="BL157" s="1"/>
  <c r="DT157" s="1"/>
  <c r="AT110"/>
  <c r="BM110"/>
  <c r="AU110" s="1"/>
  <c r="AT19"/>
  <c r="BM19"/>
  <c r="AU19" s="1"/>
  <c r="AT174"/>
  <c r="BM174"/>
  <c r="AU174" s="1"/>
  <c r="AT58"/>
  <c r="BM58"/>
  <c r="AU58" s="1"/>
  <c r="DT159"/>
  <c r="AT185"/>
  <c r="BM185"/>
  <c r="AU185" s="1"/>
  <c r="DS117"/>
  <c r="BL117" s="1"/>
  <c r="DT117" s="1"/>
  <c r="AT171"/>
  <c r="BM171"/>
  <c r="AU171" s="1"/>
  <c r="AT187"/>
  <c r="BM187"/>
  <c r="AU187" s="1"/>
  <c r="AT148"/>
  <c r="BM148"/>
  <c r="AU148" s="1"/>
  <c r="AT99"/>
  <c r="BM99"/>
  <c r="AU99" s="1"/>
  <c r="AT116"/>
  <c r="BM116"/>
  <c r="AU116" s="1"/>
  <c r="DS43"/>
  <c r="BL43" s="1"/>
  <c r="DT43" s="1"/>
  <c r="DS150"/>
  <c r="BL150" s="1"/>
  <c r="DT150" s="1"/>
  <c r="AT165"/>
  <c r="BM165"/>
  <c r="AU165" s="1"/>
  <c r="AT44"/>
  <c r="BM44"/>
  <c r="AU44" s="1"/>
  <c r="AT106"/>
  <c r="BM106"/>
  <c r="AU106" s="1"/>
  <c r="AT20"/>
  <c r="BM20"/>
  <c r="AU20" s="1"/>
  <c r="AT144"/>
  <c r="BM144"/>
  <c r="AU144" s="1"/>
  <c r="AT176"/>
  <c r="BM176"/>
  <c r="AU176" s="1"/>
  <c r="AT139"/>
  <c r="BM139"/>
  <c r="AU139" s="1"/>
  <c r="AT73"/>
  <c r="BM73"/>
  <c r="AU73" s="1"/>
  <c r="AT188"/>
  <c r="BM188"/>
  <c r="AU188" s="1"/>
  <c r="AT18"/>
  <c r="BM18"/>
  <c r="AU18" s="1"/>
  <c r="AT32"/>
  <c r="BM32"/>
  <c r="AU32" s="1"/>
  <c r="DT154"/>
  <c r="DT186"/>
  <c r="DT110"/>
  <c r="DT19"/>
  <c r="DT174"/>
  <c r="DT58"/>
  <c r="AT6"/>
  <c r="BM6"/>
  <c r="AU6" s="1"/>
  <c r="AT9"/>
  <c r="BM9"/>
  <c r="AU9" s="1"/>
  <c r="DT6"/>
  <c r="DS13" i="12"/>
  <c r="DS6"/>
  <c r="DS8"/>
  <c r="BL14"/>
  <c r="AT14" s="1"/>
  <c r="BL16"/>
  <c r="AT16" s="1"/>
  <c r="BL11"/>
  <c r="AT11" s="1"/>
  <c r="DR7"/>
  <c r="BK7" s="1"/>
  <c r="AS7" s="1"/>
  <c r="DS16"/>
  <c r="DS11"/>
  <c r="BL8"/>
  <c r="AT8" s="1"/>
  <c r="BL6"/>
  <c r="AT6" s="1"/>
  <c r="BL9"/>
  <c r="AT9" s="1"/>
  <c r="BL13"/>
  <c r="AT13" s="1"/>
  <c r="DS14"/>
  <c r="DS9"/>
  <c r="AT54" i="13" l="1"/>
  <c r="BM54"/>
  <c r="AU54" s="1"/>
  <c r="AT46"/>
  <c r="BM46"/>
  <c r="AU46" s="1"/>
  <c r="AT138"/>
  <c r="BM138"/>
  <c r="AU138" s="1"/>
  <c r="AT146"/>
  <c r="BM146"/>
  <c r="AU146" s="1"/>
  <c r="AT129"/>
  <c r="BM129"/>
  <c r="AU129" s="1"/>
  <c r="AT53"/>
  <c r="BM53"/>
  <c r="AU53" s="1"/>
  <c r="AT43"/>
  <c r="BM43"/>
  <c r="AU43" s="1"/>
  <c r="AT157"/>
  <c r="BM157"/>
  <c r="AU157" s="1"/>
  <c r="AT149"/>
  <c r="BM149"/>
  <c r="AU149" s="1"/>
  <c r="AT141"/>
  <c r="BM141"/>
  <c r="AU141" s="1"/>
  <c r="AT80"/>
  <c r="BM80"/>
  <c r="AU80" s="1"/>
  <c r="AT57"/>
  <c r="BM57"/>
  <c r="AU57" s="1"/>
  <c r="AT119"/>
  <c r="BM119"/>
  <c r="AU119" s="1"/>
  <c r="AT130"/>
  <c r="BM130"/>
  <c r="AU130" s="1"/>
  <c r="AT113"/>
  <c r="BM113"/>
  <c r="AU113" s="1"/>
  <c r="AT47"/>
  <c r="BM47"/>
  <c r="AU47" s="1"/>
  <c r="AT126"/>
  <c r="BM126"/>
  <c r="AU126" s="1"/>
  <c r="DT138"/>
  <c r="DT146"/>
  <c r="AT117"/>
  <c r="BM117"/>
  <c r="AU117" s="1"/>
  <c r="AT77"/>
  <c r="BM77"/>
  <c r="AU77" s="1"/>
  <c r="AT50"/>
  <c r="BM50"/>
  <c r="AU50" s="1"/>
  <c r="AT82"/>
  <c r="BM82"/>
  <c r="AU82" s="1"/>
  <c r="AT125"/>
  <c r="BM125"/>
  <c r="AU125" s="1"/>
  <c r="AT42"/>
  <c r="BM42"/>
  <c r="AU42" s="1"/>
  <c r="AT150"/>
  <c r="BM150"/>
  <c r="AU150" s="1"/>
  <c r="AT145"/>
  <c r="BM145"/>
  <c r="AU145" s="1"/>
  <c r="AT88"/>
  <c r="BM88"/>
  <c r="AU88" s="1"/>
  <c r="AT153"/>
  <c r="BM153"/>
  <c r="AU153" s="1"/>
  <c r="AT198"/>
  <c r="BM198"/>
  <c r="AU198" s="1"/>
  <c r="AT158"/>
  <c r="BM158"/>
  <c r="AU158" s="1"/>
  <c r="AT38"/>
  <c r="BM38"/>
  <c r="AU38" s="1"/>
  <c r="AT51"/>
  <c r="BM51"/>
  <c r="AU51" s="1"/>
  <c r="AT39"/>
  <c r="BM39"/>
  <c r="AU39" s="1"/>
  <c r="AT122"/>
  <c r="BM122"/>
  <c r="AU122" s="1"/>
  <c r="AT76"/>
  <c r="BM76"/>
  <c r="AU76" s="1"/>
  <c r="DT51"/>
  <c r="BL7" i="12"/>
  <c r="AT7" s="1"/>
  <c r="DS7"/>
  <c r="Q8" i="7" l="1"/>
  <c r="R8"/>
  <c r="S8"/>
  <c r="Q9"/>
  <c r="R9"/>
  <c r="S9"/>
  <c r="Q10"/>
  <c r="R10"/>
  <c r="S10"/>
  <c r="Q11"/>
  <c r="R11"/>
  <c r="S11"/>
  <c r="Q12"/>
  <c r="R12"/>
  <c r="S12"/>
  <c r="Q13"/>
  <c r="R13"/>
  <c r="S13"/>
  <c r="Q14"/>
  <c r="R14"/>
  <c r="S14"/>
  <c r="Q6"/>
  <c r="R6"/>
  <c r="S6"/>
  <c r="Q7"/>
  <c r="R7"/>
  <c r="S7"/>
  <c r="S5"/>
  <c r="R5"/>
  <c r="Q5"/>
  <c r="AR6" l="1"/>
  <c r="T6" s="1"/>
  <c r="AS6"/>
  <c r="V6" s="1"/>
  <c r="AZ6"/>
  <c r="BE6"/>
  <c r="Y6" s="1"/>
  <c r="BF6"/>
  <c r="AA6" s="1"/>
  <c r="CF6"/>
  <c r="CG6"/>
  <c r="AR7"/>
  <c r="T7" s="1"/>
  <c r="AS7"/>
  <c r="AZ7"/>
  <c r="AC7" s="1"/>
  <c r="BE7"/>
  <c r="Y7" s="1"/>
  <c r="BF7"/>
  <c r="BD7" s="1"/>
  <c r="CF7"/>
  <c r="CG7"/>
  <c r="AR8"/>
  <c r="CH8" s="1"/>
  <c r="AS8"/>
  <c r="V8" s="1"/>
  <c r="AZ8"/>
  <c r="AC8" s="1"/>
  <c r="BE8"/>
  <c r="Y8" s="1"/>
  <c r="BF8"/>
  <c r="BD8" s="1"/>
  <c r="CF8"/>
  <c r="CG8"/>
  <c r="AR9"/>
  <c r="T9" s="1"/>
  <c r="AS9"/>
  <c r="V9" s="1"/>
  <c r="AZ9"/>
  <c r="BE9"/>
  <c r="Y9" s="1"/>
  <c r="BF9"/>
  <c r="CL9" s="1"/>
  <c r="CF9"/>
  <c r="CG9"/>
  <c r="AR10"/>
  <c r="AU10" s="1"/>
  <c r="AS10"/>
  <c r="AZ10"/>
  <c r="AC10" s="1"/>
  <c r="BE10"/>
  <c r="Y10" s="1"/>
  <c r="BF10"/>
  <c r="AA10" s="1"/>
  <c r="CF10"/>
  <c r="CG10"/>
  <c r="AR11"/>
  <c r="T11" s="1"/>
  <c r="AS11"/>
  <c r="AZ11"/>
  <c r="AC11" s="1"/>
  <c r="BE11"/>
  <c r="Y11" s="1"/>
  <c r="BF11"/>
  <c r="BD11" s="1"/>
  <c r="CF11"/>
  <c r="CG11"/>
  <c r="AR12"/>
  <c r="T12" s="1"/>
  <c r="AS12"/>
  <c r="V12" s="1"/>
  <c r="AZ12"/>
  <c r="AC12" s="1"/>
  <c r="BE12"/>
  <c r="Y12" s="1"/>
  <c r="BF12"/>
  <c r="BD12" s="1"/>
  <c r="CF12"/>
  <c r="CG12"/>
  <c r="AR13"/>
  <c r="T13" s="1"/>
  <c r="AS13"/>
  <c r="V13" s="1"/>
  <c r="AZ13"/>
  <c r="BE13"/>
  <c r="Y13" s="1"/>
  <c r="BF13"/>
  <c r="CL13" s="1"/>
  <c r="CF13"/>
  <c r="CG13"/>
  <c r="AR14"/>
  <c r="AU14" s="1"/>
  <c r="AS14"/>
  <c r="AZ14"/>
  <c r="AC14" s="1"/>
  <c r="BE14"/>
  <c r="Y14" s="1"/>
  <c r="BF14"/>
  <c r="AA14" s="1"/>
  <c r="CF14"/>
  <c r="CG14"/>
  <c r="AR15"/>
  <c r="T15" s="1"/>
  <c r="AS15"/>
  <c r="AZ15"/>
  <c r="AC15" s="1"/>
  <c r="BE15"/>
  <c r="Y15" s="1"/>
  <c r="BF15"/>
  <c r="BD15" s="1"/>
  <c r="CF15"/>
  <c r="CG15"/>
  <c r="AR16"/>
  <c r="AU16" s="1"/>
  <c r="AS16"/>
  <c r="V16" s="1"/>
  <c r="AZ16"/>
  <c r="AC16" s="1"/>
  <c r="BE16"/>
  <c r="Y16" s="1"/>
  <c r="BF16"/>
  <c r="CF16"/>
  <c r="CG16"/>
  <c r="AR17"/>
  <c r="T17" s="1"/>
  <c r="AS17"/>
  <c r="V17" s="1"/>
  <c r="AZ17"/>
  <c r="BE17"/>
  <c r="Y17" s="1"/>
  <c r="BF17"/>
  <c r="CF17"/>
  <c r="CG17"/>
  <c r="CI17"/>
  <c r="AR18"/>
  <c r="AU18" s="1"/>
  <c r="AS18"/>
  <c r="AZ18"/>
  <c r="AC18" s="1"/>
  <c r="BE18"/>
  <c r="Y18" s="1"/>
  <c r="BF18"/>
  <c r="AA18" s="1"/>
  <c r="CF18"/>
  <c r="CG18"/>
  <c r="AR19"/>
  <c r="T19" s="1"/>
  <c r="AS19"/>
  <c r="AZ19"/>
  <c r="AC19" s="1"/>
  <c r="BE19"/>
  <c r="Y19" s="1"/>
  <c r="BF19"/>
  <c r="BD19" s="1"/>
  <c r="CF19"/>
  <c r="CG19"/>
  <c r="CK19"/>
  <c r="AR20"/>
  <c r="CH20" s="1"/>
  <c r="AS20"/>
  <c r="V20" s="1"/>
  <c r="AZ20"/>
  <c r="AC20" s="1"/>
  <c r="BE20"/>
  <c r="Y20" s="1"/>
  <c r="BF20"/>
  <c r="CF20"/>
  <c r="CG20"/>
  <c r="CK20"/>
  <c r="AR21"/>
  <c r="T21" s="1"/>
  <c r="AS21"/>
  <c r="V21" s="1"/>
  <c r="AZ21"/>
  <c r="BE21"/>
  <c r="Y21" s="1"/>
  <c r="BF21"/>
  <c r="BG21" s="1"/>
  <c r="CM21" s="1"/>
  <c r="CF21"/>
  <c r="CG21"/>
  <c r="AU17" l="1"/>
  <c r="CH16"/>
  <c r="BG17"/>
  <c r="CM17" s="1"/>
  <c r="CN17" s="1"/>
  <c r="CO17" s="1"/>
  <c r="AT17"/>
  <c r="CJ17" s="1"/>
  <c r="CK11"/>
  <c r="CK7"/>
  <c r="CI21"/>
  <c r="CK15"/>
  <c r="AT21"/>
  <c r="CJ21" s="1"/>
  <c r="AU21"/>
  <c r="CL6"/>
  <c r="CK6"/>
  <c r="AD15"/>
  <c r="CK16"/>
  <c r="DG16" s="1"/>
  <c r="DH16" s="1"/>
  <c r="X16" s="1"/>
  <c r="AU20"/>
  <c r="T20"/>
  <c r="T16"/>
  <c r="CH13"/>
  <c r="AD11"/>
  <c r="BG20"/>
  <c r="CM20" s="1"/>
  <c r="Z20" s="1"/>
  <c r="DG20"/>
  <c r="DH20" s="1"/>
  <c r="X20" s="1"/>
  <c r="AT20"/>
  <c r="U20" s="1"/>
  <c r="CH17"/>
  <c r="BG16"/>
  <c r="CM16" s="1"/>
  <c r="AT16"/>
  <c r="U16" s="1"/>
  <c r="CL15"/>
  <c r="BG15"/>
  <c r="CM15" s="1"/>
  <c r="Z15" s="1"/>
  <c r="CH21"/>
  <c r="CH9"/>
  <c r="AD7"/>
  <c r="AW6"/>
  <c r="AE6" s="1"/>
  <c r="AT18"/>
  <c r="CH12"/>
  <c r="AT14"/>
  <c r="CJ14" s="1"/>
  <c r="AU13"/>
  <c r="AU9"/>
  <c r="AU8"/>
  <c r="BA19"/>
  <c r="AA19"/>
  <c r="AU12"/>
  <c r="AT8"/>
  <c r="U8" s="1"/>
  <c r="T8"/>
  <c r="AT10"/>
  <c r="U10" s="1"/>
  <c r="CL19"/>
  <c r="BG19"/>
  <c r="CM19" s="1"/>
  <c r="CN19" s="1"/>
  <c r="CO19" s="1"/>
  <c r="AD19"/>
  <c r="CI18"/>
  <c r="V18"/>
  <c r="AB18" s="1"/>
  <c r="BA15"/>
  <c r="CI14"/>
  <c r="AT12"/>
  <c r="U12" s="1"/>
  <c r="CL21"/>
  <c r="AW21"/>
  <c r="BD20"/>
  <c r="AT19"/>
  <c r="CJ19" s="1"/>
  <c r="CL18"/>
  <c r="BA18"/>
  <c r="CL17"/>
  <c r="AW17"/>
  <c r="AE17" s="1"/>
  <c r="BD16"/>
  <c r="AT15"/>
  <c r="U15" s="1"/>
  <c r="CL14"/>
  <c r="BA14"/>
  <c r="AW13"/>
  <c r="AE13" s="1"/>
  <c r="AT11"/>
  <c r="U11" s="1"/>
  <c r="CL10"/>
  <c r="BA10"/>
  <c r="AW9"/>
  <c r="AE9" s="1"/>
  <c r="AT7"/>
  <c r="CJ7" s="1"/>
  <c r="CI6"/>
  <c r="BG6"/>
  <c r="CM6" s="1"/>
  <c r="CN6" s="1"/>
  <c r="CO6" s="1"/>
  <c r="AU6"/>
  <c r="U21"/>
  <c r="U17"/>
  <c r="AA20"/>
  <c r="AB20" s="1"/>
  <c r="AW18"/>
  <c r="AE18" s="1"/>
  <c r="AA16"/>
  <c r="AB16" s="1"/>
  <c r="AA15"/>
  <c r="AW14"/>
  <c r="AE14" s="1"/>
  <c r="V14"/>
  <c r="AB14" s="1"/>
  <c r="CI13"/>
  <c r="BG13"/>
  <c r="CM13" s="1"/>
  <c r="Z13" s="1"/>
  <c r="AT13"/>
  <c r="CK12"/>
  <c r="BG12"/>
  <c r="CM12" s="1"/>
  <c r="Z12" s="1"/>
  <c r="AA12"/>
  <c r="AB12" s="1"/>
  <c r="CL11"/>
  <c r="BG11"/>
  <c r="CM11" s="1"/>
  <c r="BA11"/>
  <c r="AA11"/>
  <c r="CI10"/>
  <c r="AW10"/>
  <c r="AE10" s="1"/>
  <c r="V10"/>
  <c r="AB10" s="1"/>
  <c r="CI9"/>
  <c r="BG9"/>
  <c r="CM9" s="1"/>
  <c r="CN9" s="1"/>
  <c r="AT9"/>
  <c r="CK8"/>
  <c r="DG8" s="1"/>
  <c r="DH8" s="1"/>
  <c r="X8" s="1"/>
  <c r="BG8"/>
  <c r="CM8" s="1"/>
  <c r="Z8" s="1"/>
  <c r="AA8"/>
  <c r="AB8" s="1"/>
  <c r="CL7"/>
  <c r="BG7"/>
  <c r="CM7" s="1"/>
  <c r="BA7"/>
  <c r="AA7"/>
  <c r="CK21"/>
  <c r="DG21" s="1"/>
  <c r="DH21" s="1"/>
  <c r="X21" s="1"/>
  <c r="CL20"/>
  <c r="CK18"/>
  <c r="BG18"/>
  <c r="CM18" s="1"/>
  <c r="CN18" s="1"/>
  <c r="CO18" s="1"/>
  <c r="AD18"/>
  <c r="CK17"/>
  <c r="CL16"/>
  <c r="CK14"/>
  <c r="BG14"/>
  <c r="CM14" s="1"/>
  <c r="CN14" s="1"/>
  <c r="CO14" s="1"/>
  <c r="AD14"/>
  <c r="CK13"/>
  <c r="CL12"/>
  <c r="CK10"/>
  <c r="BG10"/>
  <c r="CM10" s="1"/>
  <c r="CN10" s="1"/>
  <c r="CO10" s="1"/>
  <c r="AD10"/>
  <c r="CK9"/>
  <c r="CL8"/>
  <c r="CH6"/>
  <c r="AB6"/>
  <c r="AT6"/>
  <c r="U6" s="1"/>
  <c r="AE21"/>
  <c r="CJ18"/>
  <c r="U18"/>
  <c r="Z21"/>
  <c r="CN21"/>
  <c r="CO21" s="1"/>
  <c r="CP21"/>
  <c r="CN20"/>
  <c r="CO20" s="1"/>
  <c r="Z17"/>
  <c r="CP17"/>
  <c r="W16"/>
  <c r="CN16"/>
  <c r="CO16" s="1"/>
  <c r="Z16"/>
  <c r="AD20"/>
  <c r="AD16"/>
  <c r="AD12"/>
  <c r="AD8"/>
  <c r="BD21"/>
  <c r="AA21"/>
  <c r="AB21" s="1"/>
  <c r="CI20"/>
  <c r="BA20"/>
  <c r="AW20"/>
  <c r="CH19"/>
  <c r="DG19" s="1"/>
  <c r="AU19"/>
  <c r="T18"/>
  <c r="BD17"/>
  <c r="AA17"/>
  <c r="AB17" s="1"/>
  <c r="CI16"/>
  <c r="BA16"/>
  <c r="AW16"/>
  <c r="CH15"/>
  <c r="DG15" s="1"/>
  <c r="AU15"/>
  <c r="T14"/>
  <c r="BD13"/>
  <c r="AA13"/>
  <c r="AB13" s="1"/>
  <c r="CI12"/>
  <c r="BA12"/>
  <c r="AW12"/>
  <c r="CH11"/>
  <c r="DG11" s="1"/>
  <c r="AU11"/>
  <c r="T10"/>
  <c r="BD9"/>
  <c r="AA9"/>
  <c r="AB9" s="1"/>
  <c r="CI8"/>
  <c r="BA8"/>
  <c r="AW8"/>
  <c r="CH7"/>
  <c r="DG7" s="1"/>
  <c r="AU7"/>
  <c r="CJ20"/>
  <c r="CI19"/>
  <c r="AW19"/>
  <c r="Z19"/>
  <c r="V19"/>
  <c r="CH18"/>
  <c r="CI15"/>
  <c r="AW15"/>
  <c r="V15"/>
  <c r="AB15" s="1"/>
  <c r="CH14"/>
  <c r="CI11"/>
  <c r="AW11"/>
  <c r="Z11"/>
  <c r="V11"/>
  <c r="CH10"/>
  <c r="CI7"/>
  <c r="AW7"/>
  <c r="V7"/>
  <c r="AC6"/>
  <c r="AD6" s="1"/>
  <c r="AC21"/>
  <c r="AD21" s="1"/>
  <c r="AC17"/>
  <c r="AD17" s="1"/>
  <c r="AC13"/>
  <c r="AD13" s="1"/>
  <c r="AC9"/>
  <c r="AD9" s="1"/>
  <c r="BA6"/>
  <c r="BA21"/>
  <c r="BD18"/>
  <c r="BA17"/>
  <c r="BD14"/>
  <c r="BA13"/>
  <c r="BD10"/>
  <c r="BA9"/>
  <c r="BD6"/>
  <c r="DG6" l="1"/>
  <c r="DH6" s="1"/>
  <c r="X6" s="1"/>
  <c r="DG17"/>
  <c r="DH17" s="1"/>
  <c r="X17" s="1"/>
  <c r="AB11"/>
  <c r="CJ10"/>
  <c r="W20"/>
  <c r="CJ16"/>
  <c r="CP16" s="1"/>
  <c r="DA14"/>
  <c r="CJ15"/>
  <c r="CP15" s="1"/>
  <c r="DG13"/>
  <c r="CN15"/>
  <c r="CO15" s="1"/>
  <c r="W21"/>
  <c r="CN13"/>
  <c r="CO13" s="1"/>
  <c r="CJ11"/>
  <c r="DG9"/>
  <c r="DH9" s="1"/>
  <c r="X9" s="1"/>
  <c r="DG12"/>
  <c r="W12" s="1"/>
  <c r="DA17"/>
  <c r="DA20"/>
  <c r="W8"/>
  <c r="CJ8"/>
  <c r="CP8" s="1"/>
  <c r="DG18"/>
  <c r="DH18" s="1"/>
  <c r="X18" s="1"/>
  <c r="CN8"/>
  <c r="CO8" s="1"/>
  <c r="U19"/>
  <c r="Z14"/>
  <c r="AB7"/>
  <c r="U14"/>
  <c r="CJ6"/>
  <c r="CP6" s="1"/>
  <c r="DG14"/>
  <c r="DH14" s="1"/>
  <c r="X14" s="1"/>
  <c r="Z9"/>
  <c r="CJ12"/>
  <c r="CP12" s="1"/>
  <c r="AB19"/>
  <c r="U7"/>
  <c r="DA19"/>
  <c r="DA6"/>
  <c r="Z6"/>
  <c r="CO9"/>
  <c r="DA9"/>
  <c r="CN7"/>
  <c r="CO7" s="1"/>
  <c r="CJ13"/>
  <c r="CP13" s="1"/>
  <c r="CQ13" s="1"/>
  <c r="U13"/>
  <c r="CN12"/>
  <c r="Z10"/>
  <c r="Z18"/>
  <c r="Z7"/>
  <c r="DG10"/>
  <c r="W10" s="1"/>
  <c r="DA10"/>
  <c r="W17"/>
  <c r="DA18"/>
  <c r="CN11"/>
  <c r="CO11" s="1"/>
  <c r="CJ9"/>
  <c r="CP9" s="1"/>
  <c r="CR9" s="1"/>
  <c r="CU9" s="1"/>
  <c r="CV9" s="1"/>
  <c r="U9"/>
  <c r="AE16"/>
  <c r="W15"/>
  <c r="DH15"/>
  <c r="X15" s="1"/>
  <c r="AE20"/>
  <c r="AE7"/>
  <c r="AE15"/>
  <c r="CP20"/>
  <c r="AE8"/>
  <c r="W19"/>
  <c r="DH19"/>
  <c r="X19" s="1"/>
  <c r="CP10"/>
  <c r="CP18"/>
  <c r="W7"/>
  <c r="DH7"/>
  <c r="X7" s="1"/>
  <c r="AE12"/>
  <c r="CQ17"/>
  <c r="CR17"/>
  <c r="CU17" s="1"/>
  <c r="CV17" s="1"/>
  <c r="DA16"/>
  <c r="DA21"/>
  <c r="AE11"/>
  <c r="CP14"/>
  <c r="CP7"/>
  <c r="CP11"/>
  <c r="CP19"/>
  <c r="AE19"/>
  <c r="W11"/>
  <c r="DH11"/>
  <c r="X11" s="1"/>
  <c r="CQ21"/>
  <c r="CR21"/>
  <c r="CU21" s="1"/>
  <c r="CV21" s="1"/>
  <c r="W6" l="1"/>
  <c r="DA15"/>
  <c r="W9"/>
  <c r="DH13"/>
  <c r="X13" s="1"/>
  <c r="W13"/>
  <c r="DH12"/>
  <c r="X12" s="1"/>
  <c r="W14"/>
  <c r="DA13"/>
  <c r="CQ9"/>
  <c r="CS9" s="1"/>
  <c r="CT9" s="1"/>
  <c r="W18"/>
  <c r="CR13"/>
  <c r="CU13" s="1"/>
  <c r="CV13" s="1"/>
  <c r="DA8"/>
  <c r="DH10"/>
  <c r="X10" s="1"/>
  <c r="DA11"/>
  <c r="CO12"/>
  <c r="DA12"/>
  <c r="DA7"/>
  <c r="CY21"/>
  <c r="CZ21" s="1"/>
  <c r="CS21"/>
  <c r="CT21" s="1"/>
  <c r="CW21"/>
  <c r="CY9"/>
  <c r="CZ9" s="1"/>
  <c r="CW9"/>
  <c r="CR18"/>
  <c r="CU18" s="1"/>
  <c r="CV18" s="1"/>
  <c r="CQ18"/>
  <c r="CR6"/>
  <c r="CU6" s="1"/>
  <c r="CV6" s="1"/>
  <c r="CQ6"/>
  <c r="CR16"/>
  <c r="CU16" s="1"/>
  <c r="CV16" s="1"/>
  <c r="CQ16"/>
  <c r="CR15"/>
  <c r="CU15" s="1"/>
  <c r="CV15" s="1"/>
  <c r="CQ15"/>
  <c r="CR7"/>
  <c r="CU7" s="1"/>
  <c r="CV7" s="1"/>
  <c r="CQ7"/>
  <c r="CY13"/>
  <c r="CZ13" s="1"/>
  <c r="CS13"/>
  <c r="CT13" s="1"/>
  <c r="CW13"/>
  <c r="CR14"/>
  <c r="CU14" s="1"/>
  <c r="CV14" s="1"/>
  <c r="CQ14"/>
  <c r="CY17"/>
  <c r="CZ17" s="1"/>
  <c r="CS17"/>
  <c r="CT17" s="1"/>
  <c r="CW17"/>
  <c r="CR10"/>
  <c r="CU10" s="1"/>
  <c r="CV10" s="1"/>
  <c r="CQ10"/>
  <c r="CR20"/>
  <c r="CU20" s="1"/>
  <c r="CV20" s="1"/>
  <c r="CQ20"/>
  <c r="CR12"/>
  <c r="CU12" s="1"/>
  <c r="CV12" s="1"/>
  <c r="CQ12"/>
  <c r="CR8"/>
  <c r="CU8" s="1"/>
  <c r="CV8" s="1"/>
  <c r="CQ8"/>
  <c r="CR19"/>
  <c r="CU19" s="1"/>
  <c r="CV19" s="1"/>
  <c r="CQ19"/>
  <c r="CR11"/>
  <c r="CU11" s="1"/>
  <c r="CV11" s="1"/>
  <c r="CQ11"/>
  <c r="CX9" l="1"/>
  <c r="DB9"/>
  <c r="CS19"/>
  <c r="CT19" s="1"/>
  <c r="CY19"/>
  <c r="CZ19" s="1"/>
  <c r="CW19"/>
  <c r="CS12"/>
  <c r="CT12" s="1"/>
  <c r="CY12"/>
  <c r="CZ12" s="1"/>
  <c r="CW12"/>
  <c r="CY10"/>
  <c r="CZ10" s="1"/>
  <c r="CS10"/>
  <c r="CT10" s="1"/>
  <c r="CW10"/>
  <c r="CX13"/>
  <c r="DB13"/>
  <c r="CS15"/>
  <c r="CT15" s="1"/>
  <c r="CY15"/>
  <c r="CZ15" s="1"/>
  <c r="CW15"/>
  <c r="CY6"/>
  <c r="CZ6" s="1"/>
  <c r="CS6"/>
  <c r="CT6" s="1"/>
  <c r="CW6"/>
  <c r="CX21"/>
  <c r="DB21"/>
  <c r="DC21" s="1"/>
  <c r="CX17"/>
  <c r="DB17"/>
  <c r="CY14"/>
  <c r="CZ14" s="1"/>
  <c r="CS14"/>
  <c r="CT14" s="1"/>
  <c r="CW14"/>
  <c r="CS11"/>
  <c r="CT11" s="1"/>
  <c r="CY11"/>
  <c r="CZ11" s="1"/>
  <c r="CW11"/>
  <c r="CS8"/>
  <c r="CT8" s="1"/>
  <c r="CY8"/>
  <c r="CZ8" s="1"/>
  <c r="CW8"/>
  <c r="CS20"/>
  <c r="CT20" s="1"/>
  <c r="CY20"/>
  <c r="CZ20" s="1"/>
  <c r="CW20"/>
  <c r="CS7"/>
  <c r="CT7" s="1"/>
  <c r="CY7"/>
  <c r="CZ7" s="1"/>
  <c r="CW7"/>
  <c r="CS16"/>
  <c r="CT16" s="1"/>
  <c r="CY16"/>
  <c r="CZ16" s="1"/>
  <c r="CW16"/>
  <c r="CY18"/>
  <c r="CZ18" s="1"/>
  <c r="CS18"/>
  <c r="CT18" s="1"/>
  <c r="CW18"/>
  <c r="DC9" l="1"/>
  <c r="DE9" s="1"/>
  <c r="AX9" s="1"/>
  <c r="DF9" s="1"/>
  <c r="DC13"/>
  <c r="CX6"/>
  <c r="DB6"/>
  <c r="CX15"/>
  <c r="DB15"/>
  <c r="CX10"/>
  <c r="DB10"/>
  <c r="CX12"/>
  <c r="DB12"/>
  <c r="CX14"/>
  <c r="DB14"/>
  <c r="DE21"/>
  <c r="AX21" s="1"/>
  <c r="DF21" s="1"/>
  <c r="CX18"/>
  <c r="DB18"/>
  <c r="CX11"/>
  <c r="DB11"/>
  <c r="CX19"/>
  <c r="DB19"/>
  <c r="DC17"/>
  <c r="CX20"/>
  <c r="DB20"/>
  <c r="CX8"/>
  <c r="DB8"/>
  <c r="CX16"/>
  <c r="DB16"/>
  <c r="CX7"/>
  <c r="DB7"/>
  <c r="DC7" l="1"/>
  <c r="DE7" s="1"/>
  <c r="AX7" s="1"/>
  <c r="DF7" s="1"/>
  <c r="DC8"/>
  <c r="DE8" s="1"/>
  <c r="AX8" s="1"/>
  <c r="AF21"/>
  <c r="AY21"/>
  <c r="AG21" s="1"/>
  <c r="AF9"/>
  <c r="AY9"/>
  <c r="AG9" s="1"/>
  <c r="DE13"/>
  <c r="AX13" s="1"/>
  <c r="DF13" s="1"/>
  <c r="DC11"/>
  <c r="DC10"/>
  <c r="DC6"/>
  <c r="DC20"/>
  <c r="DC19"/>
  <c r="DC18"/>
  <c r="DC14"/>
  <c r="DC12"/>
  <c r="DC15"/>
  <c r="DE17"/>
  <c r="AX17" s="1"/>
  <c r="DF17" s="1"/>
  <c r="DC16"/>
  <c r="DE16" l="1"/>
  <c r="AX16" s="1"/>
  <c r="DF16" s="1"/>
  <c r="DE18"/>
  <c r="AX18" s="1"/>
  <c r="AF8"/>
  <c r="AY8"/>
  <c r="AG8" s="1"/>
  <c r="AF7"/>
  <c r="AY7"/>
  <c r="AG7" s="1"/>
  <c r="DE14"/>
  <c r="AX14" s="1"/>
  <c r="DE6"/>
  <c r="AX6" s="1"/>
  <c r="DE12"/>
  <c r="AX12" s="1"/>
  <c r="DF12" s="1"/>
  <c r="DE20"/>
  <c r="AX20" s="1"/>
  <c r="DF20" s="1"/>
  <c r="AF13"/>
  <c r="AY13"/>
  <c r="AG13" s="1"/>
  <c r="AF17"/>
  <c r="AY17"/>
  <c r="AG17" s="1"/>
  <c r="DE15"/>
  <c r="AX15" s="1"/>
  <c r="DF15" s="1"/>
  <c r="DE19"/>
  <c r="AX19" s="1"/>
  <c r="DF19" s="1"/>
  <c r="DE11"/>
  <c r="AX11" s="1"/>
  <c r="DF11" s="1"/>
  <c r="DF8"/>
  <c r="DE10"/>
  <c r="AX10" s="1"/>
  <c r="AF6" l="1"/>
  <c r="AY6"/>
  <c r="AG6" s="1"/>
  <c r="AF18"/>
  <c r="AY18"/>
  <c r="AG18" s="1"/>
  <c r="AF10"/>
  <c r="AY10"/>
  <c r="AG10" s="1"/>
  <c r="AF19"/>
  <c r="AY19"/>
  <c r="AG19" s="1"/>
  <c r="AF20"/>
  <c r="AY20"/>
  <c r="AG20" s="1"/>
  <c r="AF14"/>
  <c r="AY14"/>
  <c r="AG14" s="1"/>
  <c r="AF11"/>
  <c r="AY11"/>
  <c r="AG11" s="1"/>
  <c r="AF15"/>
  <c r="AY15"/>
  <c r="AG15" s="1"/>
  <c r="AF12"/>
  <c r="AY12"/>
  <c r="AG12" s="1"/>
  <c r="AF16"/>
  <c r="AY16"/>
  <c r="AG16" s="1"/>
  <c r="DF18"/>
  <c r="DF10"/>
  <c r="DF14"/>
  <c r="DF6"/>
  <c r="BF5" l="1"/>
  <c r="BE5"/>
  <c r="AZ5"/>
  <c r="AS5"/>
  <c r="AR5"/>
  <c r="T5" s="1"/>
  <c r="BG5" l="1"/>
  <c r="BD5"/>
  <c r="AU5"/>
  <c r="DB172" i="8" l="1"/>
  <c r="DA172"/>
  <c r="CZ172"/>
  <c r="CY172"/>
  <c r="CX172"/>
  <c r="CW172"/>
  <c r="CV172"/>
  <c r="CU172"/>
  <c r="CT172"/>
  <c r="CS172"/>
  <c r="CR172"/>
  <c r="CQ172"/>
  <c r="CP172"/>
  <c r="CO172"/>
  <c r="CN172"/>
  <c r="CM172"/>
  <c r="CL172"/>
  <c r="CK172"/>
  <c r="CJ172"/>
  <c r="CI172"/>
  <c r="CH172"/>
  <c r="CG172"/>
  <c r="CF172"/>
  <c r="CE172"/>
  <c r="CD172"/>
  <c r="CC172"/>
  <c r="CB172"/>
  <c r="CA172"/>
  <c r="BZ172"/>
  <c r="DB171"/>
  <c r="DA171"/>
  <c r="CZ171"/>
  <c r="CY171"/>
  <c r="CX171"/>
  <c r="CW171"/>
  <c r="CV171"/>
  <c r="CU171"/>
  <c r="CT171"/>
  <c r="CS171"/>
  <c r="CR171"/>
  <c r="CQ171"/>
  <c r="CP171"/>
  <c r="CO171"/>
  <c r="CN171"/>
  <c r="CM171"/>
  <c r="CL171"/>
  <c r="CK171"/>
  <c r="CJ171"/>
  <c r="CI171"/>
  <c r="CH171"/>
  <c r="CG171"/>
  <c r="CF171"/>
  <c r="CE171"/>
  <c r="CD171"/>
  <c r="CC171"/>
  <c r="CB171"/>
  <c r="CA171"/>
  <c r="BZ171"/>
  <c r="DB170"/>
  <c r="DA170"/>
  <c r="CZ170"/>
  <c r="CY170"/>
  <c r="CX170"/>
  <c r="CW170"/>
  <c r="CV170"/>
  <c r="CU170"/>
  <c r="CT170"/>
  <c r="CS170"/>
  <c r="CR170"/>
  <c r="CQ170"/>
  <c r="CP170"/>
  <c r="CO170"/>
  <c r="CN170"/>
  <c r="CM170"/>
  <c r="CL170"/>
  <c r="CK170"/>
  <c r="CJ170"/>
  <c r="CI170"/>
  <c r="CH170"/>
  <c r="CG170"/>
  <c r="CF170"/>
  <c r="CE170"/>
  <c r="CD170"/>
  <c r="CC170"/>
  <c r="CB170"/>
  <c r="CA170"/>
  <c r="BZ170"/>
  <c r="DB169"/>
  <c r="DA169"/>
  <c r="CZ169"/>
  <c r="CY169"/>
  <c r="CX169"/>
  <c r="CW169"/>
  <c r="CV169"/>
  <c r="CU169"/>
  <c r="CT169"/>
  <c r="CS169"/>
  <c r="CR169"/>
  <c r="CQ169"/>
  <c r="CP169"/>
  <c r="CO169"/>
  <c r="CN169"/>
  <c r="CM169"/>
  <c r="CL169"/>
  <c r="CK169"/>
  <c r="CJ169"/>
  <c r="CI169"/>
  <c r="CH169"/>
  <c r="CG169"/>
  <c r="CF169"/>
  <c r="CE169"/>
  <c r="CD169"/>
  <c r="CC169"/>
  <c r="CB169"/>
  <c r="CA169"/>
  <c r="BZ169"/>
  <c r="DB168"/>
  <c r="DA168"/>
  <c r="CZ168"/>
  <c r="CY168"/>
  <c r="CX168"/>
  <c r="CW168"/>
  <c r="CV168"/>
  <c r="CU168"/>
  <c r="CT168"/>
  <c r="CS168"/>
  <c r="CR168"/>
  <c r="CQ168"/>
  <c r="CP168"/>
  <c r="CO168"/>
  <c r="CN168"/>
  <c r="CM168"/>
  <c r="CL168"/>
  <c r="CK168"/>
  <c r="CJ168"/>
  <c r="CI168"/>
  <c r="CH168"/>
  <c r="CG168"/>
  <c r="CF168"/>
  <c r="CE168"/>
  <c r="CD168"/>
  <c r="CC168"/>
  <c r="CB168"/>
  <c r="CA168"/>
  <c r="BZ168"/>
  <c r="DB167"/>
  <c r="DA167"/>
  <c r="CZ167"/>
  <c r="CY167"/>
  <c r="CX167"/>
  <c r="CW167"/>
  <c r="CV167"/>
  <c r="CU167"/>
  <c r="CT167"/>
  <c r="CS167"/>
  <c r="CR167"/>
  <c r="CQ167"/>
  <c r="CP167"/>
  <c r="CO167"/>
  <c r="CN167"/>
  <c r="CM167"/>
  <c r="CL167"/>
  <c r="CK167"/>
  <c r="CJ167"/>
  <c r="CI167"/>
  <c r="CH167"/>
  <c r="CG167"/>
  <c r="CF167"/>
  <c r="CE167"/>
  <c r="CD167"/>
  <c r="CC167"/>
  <c r="CB167"/>
  <c r="CA167"/>
  <c r="BZ167"/>
  <c r="DB166"/>
  <c r="DA166"/>
  <c r="CZ166"/>
  <c r="CY166"/>
  <c r="CX166"/>
  <c r="CW166"/>
  <c r="CV166"/>
  <c r="CU166"/>
  <c r="CT166"/>
  <c r="CS166"/>
  <c r="CR166"/>
  <c r="CQ166"/>
  <c r="CP166"/>
  <c r="CO166"/>
  <c r="CN166"/>
  <c r="CM166"/>
  <c r="CL166"/>
  <c r="CK166"/>
  <c r="CJ166"/>
  <c r="CI166"/>
  <c r="CH166"/>
  <c r="CG166"/>
  <c r="CF166"/>
  <c r="CE166"/>
  <c r="CD166"/>
  <c r="CC166"/>
  <c r="CB166"/>
  <c r="CA166"/>
  <c r="BZ166"/>
  <c r="DB165"/>
  <c r="DA165"/>
  <c r="CZ165"/>
  <c r="CY165"/>
  <c r="CX165"/>
  <c r="CW165"/>
  <c r="CV165"/>
  <c r="CU165"/>
  <c r="CT165"/>
  <c r="CS165"/>
  <c r="CR165"/>
  <c r="CQ165"/>
  <c r="CP165"/>
  <c r="CO165"/>
  <c r="CN165"/>
  <c r="CM165"/>
  <c r="CL165"/>
  <c r="CK165"/>
  <c r="CJ165"/>
  <c r="CI165"/>
  <c r="CH165"/>
  <c r="CG165"/>
  <c r="CF165"/>
  <c r="CE165"/>
  <c r="CD165"/>
  <c r="CC165"/>
  <c r="CB165"/>
  <c r="CA165"/>
  <c r="BZ165"/>
  <c r="DB164"/>
  <c r="DA164"/>
  <c r="CZ164"/>
  <c r="CY164"/>
  <c r="CX164"/>
  <c r="CW164"/>
  <c r="CV164"/>
  <c r="CU164"/>
  <c r="CT164"/>
  <c r="CS164"/>
  <c r="CR164"/>
  <c r="CQ164"/>
  <c r="CP164"/>
  <c r="CO164"/>
  <c r="CN164"/>
  <c r="CM164"/>
  <c r="CL164"/>
  <c r="CK164"/>
  <c r="CJ164"/>
  <c r="CI164"/>
  <c r="CH164"/>
  <c r="CG164"/>
  <c r="CF164"/>
  <c r="CE164"/>
  <c r="CD164"/>
  <c r="CC164"/>
  <c r="CB164"/>
  <c r="CA164"/>
  <c r="BZ164"/>
  <c r="DB163"/>
  <c r="DA163"/>
  <c r="CZ163"/>
  <c r="CY163"/>
  <c r="CX163"/>
  <c r="CW163"/>
  <c r="CV163"/>
  <c r="CU163"/>
  <c r="CT163"/>
  <c r="CS163"/>
  <c r="CR163"/>
  <c r="CQ163"/>
  <c r="CP163"/>
  <c r="CO163"/>
  <c r="CN163"/>
  <c r="CM163"/>
  <c r="CL163"/>
  <c r="CK163"/>
  <c r="CJ163"/>
  <c r="CI163"/>
  <c r="CH163"/>
  <c r="CG163"/>
  <c r="CF163"/>
  <c r="CE163"/>
  <c r="CD163"/>
  <c r="CC163"/>
  <c r="CB163"/>
  <c r="CA163"/>
  <c r="BZ163"/>
  <c r="DB162"/>
  <c r="DA162"/>
  <c r="CZ162"/>
  <c r="CY162"/>
  <c r="CX162"/>
  <c r="CW162"/>
  <c r="CV162"/>
  <c r="CU162"/>
  <c r="CT162"/>
  <c r="CS162"/>
  <c r="CR162"/>
  <c r="CQ162"/>
  <c r="CP162"/>
  <c r="CO162"/>
  <c r="CN162"/>
  <c r="CM162"/>
  <c r="CL162"/>
  <c r="CK162"/>
  <c r="CJ162"/>
  <c r="CI162"/>
  <c r="CH162"/>
  <c r="CG162"/>
  <c r="CF162"/>
  <c r="CE162"/>
  <c r="CD162"/>
  <c r="CC162"/>
  <c r="CB162"/>
  <c r="CA162"/>
  <c r="BZ162"/>
  <c r="DB161"/>
  <c r="DA161"/>
  <c r="CZ161"/>
  <c r="CY161"/>
  <c r="CX161"/>
  <c r="CW161"/>
  <c r="CV161"/>
  <c r="CU161"/>
  <c r="CT161"/>
  <c r="CS161"/>
  <c r="CR161"/>
  <c r="CQ161"/>
  <c r="CP161"/>
  <c r="CO161"/>
  <c r="CN161"/>
  <c r="CM161"/>
  <c r="CL161"/>
  <c r="CK161"/>
  <c r="CJ161"/>
  <c r="CI161"/>
  <c r="CH161"/>
  <c r="CG161"/>
  <c r="CF161"/>
  <c r="CE161"/>
  <c r="CD161"/>
  <c r="CC161"/>
  <c r="CB161"/>
  <c r="CA161"/>
  <c r="BZ161"/>
  <c r="DB160"/>
  <c r="DA160"/>
  <c r="CZ160"/>
  <c r="CY160"/>
  <c r="CX160"/>
  <c r="CW160"/>
  <c r="CV160"/>
  <c r="CU160"/>
  <c r="CT160"/>
  <c r="CS160"/>
  <c r="CR160"/>
  <c r="CQ160"/>
  <c r="CP160"/>
  <c r="CO160"/>
  <c r="CN160"/>
  <c r="CM160"/>
  <c r="CL160"/>
  <c r="CK160"/>
  <c r="CJ160"/>
  <c r="CI160"/>
  <c r="CH160"/>
  <c r="CG160"/>
  <c r="CF160"/>
  <c r="CE160"/>
  <c r="CD160"/>
  <c r="CC160"/>
  <c r="CB160"/>
  <c r="CA160"/>
  <c r="BZ160"/>
  <c r="DB159"/>
  <c r="DA159"/>
  <c r="CZ159"/>
  <c r="CY159"/>
  <c r="CX159"/>
  <c r="CW159"/>
  <c r="CV159"/>
  <c r="CU159"/>
  <c r="CT159"/>
  <c r="CS159"/>
  <c r="CR159"/>
  <c r="CQ159"/>
  <c r="CP159"/>
  <c r="CO159"/>
  <c r="CN159"/>
  <c r="CM159"/>
  <c r="CL159"/>
  <c r="CK159"/>
  <c r="CJ159"/>
  <c r="CI159"/>
  <c r="CH159"/>
  <c r="CG159"/>
  <c r="CF159"/>
  <c r="CE159"/>
  <c r="CD159"/>
  <c r="CC159"/>
  <c r="CB159"/>
  <c r="CA159"/>
  <c r="BZ159"/>
  <c r="DB158"/>
  <c r="DA158"/>
  <c r="CZ158"/>
  <c r="CY158"/>
  <c r="CX158"/>
  <c r="CW158"/>
  <c r="CV158"/>
  <c r="CU158"/>
  <c r="CT158"/>
  <c r="CS158"/>
  <c r="CR158"/>
  <c r="CQ158"/>
  <c r="CP158"/>
  <c r="CO158"/>
  <c r="CN158"/>
  <c r="CM158"/>
  <c r="CL158"/>
  <c r="CK158"/>
  <c r="CJ158"/>
  <c r="CI158"/>
  <c r="CH158"/>
  <c r="CG158"/>
  <c r="CF158"/>
  <c r="CE158"/>
  <c r="CD158"/>
  <c r="CC158"/>
  <c r="CB158"/>
  <c r="CA158"/>
  <c r="BZ158"/>
  <c r="DB157"/>
  <c r="DA157"/>
  <c r="CZ157"/>
  <c r="CY157"/>
  <c r="CX157"/>
  <c r="CW157"/>
  <c r="CV157"/>
  <c r="CU157"/>
  <c r="CT157"/>
  <c r="CS157"/>
  <c r="CR157"/>
  <c r="CQ157"/>
  <c r="CP157"/>
  <c r="CO157"/>
  <c r="CN157"/>
  <c r="CM157"/>
  <c r="CL157"/>
  <c r="CK157"/>
  <c r="CJ157"/>
  <c r="CI157"/>
  <c r="CH157"/>
  <c r="CG157"/>
  <c r="CF157"/>
  <c r="CE157"/>
  <c r="CD157"/>
  <c r="CC157"/>
  <c r="CB157"/>
  <c r="CA157"/>
  <c r="BZ157"/>
  <c r="DB156"/>
  <c r="DA156"/>
  <c r="CZ156"/>
  <c r="CY156"/>
  <c r="CX156"/>
  <c r="CW156"/>
  <c r="CV156"/>
  <c r="CU156"/>
  <c r="CT156"/>
  <c r="CS156"/>
  <c r="CR156"/>
  <c r="CQ156"/>
  <c r="CP156"/>
  <c r="CO156"/>
  <c r="CN156"/>
  <c r="CM156"/>
  <c r="CL156"/>
  <c r="CK156"/>
  <c r="CJ156"/>
  <c r="CI156"/>
  <c r="CH156"/>
  <c r="CG156"/>
  <c r="CF156"/>
  <c r="CE156"/>
  <c r="CD156"/>
  <c r="CC156"/>
  <c r="CB156"/>
  <c r="CA156"/>
  <c r="BZ156"/>
  <c r="DB155"/>
  <c r="DA155"/>
  <c r="CZ155"/>
  <c r="CY155"/>
  <c r="CX155"/>
  <c r="CW155"/>
  <c r="CV155"/>
  <c r="CU155"/>
  <c r="CT155"/>
  <c r="CS155"/>
  <c r="CR155"/>
  <c r="CQ155"/>
  <c r="CP155"/>
  <c r="CO155"/>
  <c r="CN155"/>
  <c r="CM155"/>
  <c r="CL155"/>
  <c r="CK155"/>
  <c r="CJ155"/>
  <c r="CI155"/>
  <c r="CH155"/>
  <c r="CG155"/>
  <c r="CF155"/>
  <c r="CE155"/>
  <c r="CD155"/>
  <c r="CC155"/>
  <c r="CB155"/>
  <c r="CA155"/>
  <c r="BZ155"/>
  <c r="DB154"/>
  <c r="DA154"/>
  <c r="CZ154"/>
  <c r="CY154"/>
  <c r="CX154"/>
  <c r="CW154"/>
  <c r="CV154"/>
  <c r="CU154"/>
  <c r="CT154"/>
  <c r="CS154"/>
  <c r="CR154"/>
  <c r="CQ154"/>
  <c r="CP154"/>
  <c r="CO154"/>
  <c r="CN154"/>
  <c r="CM154"/>
  <c r="CL154"/>
  <c r="CK154"/>
  <c r="CJ154"/>
  <c r="CI154"/>
  <c r="CH154"/>
  <c r="CG154"/>
  <c r="CF154"/>
  <c r="CE154"/>
  <c r="CD154"/>
  <c r="CC154"/>
  <c r="CB154"/>
  <c r="CA154"/>
  <c r="BZ154"/>
  <c r="DB153"/>
  <c r="DA153"/>
  <c r="CZ153"/>
  <c r="CY153"/>
  <c r="CX153"/>
  <c r="CW153"/>
  <c r="CV153"/>
  <c r="CU153"/>
  <c r="CT153"/>
  <c r="CS153"/>
  <c r="CR153"/>
  <c r="CQ153"/>
  <c r="CP153"/>
  <c r="CO153"/>
  <c r="CN153"/>
  <c r="CM153"/>
  <c r="CL153"/>
  <c r="CK153"/>
  <c r="CJ153"/>
  <c r="CI153"/>
  <c r="CH153"/>
  <c r="CG153"/>
  <c r="CF153"/>
  <c r="CE153"/>
  <c r="CD153"/>
  <c r="CC153"/>
  <c r="CB153"/>
  <c r="CA153"/>
  <c r="BZ153"/>
  <c r="DB152"/>
  <c r="DA152"/>
  <c r="CZ152"/>
  <c r="CY152"/>
  <c r="CX152"/>
  <c r="CW152"/>
  <c r="CV152"/>
  <c r="CU152"/>
  <c r="CT152"/>
  <c r="CS152"/>
  <c r="CR152"/>
  <c r="CQ152"/>
  <c r="CP152"/>
  <c r="CO152"/>
  <c r="CN152"/>
  <c r="CM152"/>
  <c r="CL152"/>
  <c r="CK152"/>
  <c r="CJ152"/>
  <c r="CI152"/>
  <c r="CH152"/>
  <c r="CG152"/>
  <c r="CF152"/>
  <c r="CE152"/>
  <c r="CD152"/>
  <c r="CC152"/>
  <c r="CB152"/>
  <c r="CA152"/>
  <c r="BZ152"/>
  <c r="DB151"/>
  <c r="DA151"/>
  <c r="CZ151"/>
  <c r="CY151"/>
  <c r="CX151"/>
  <c r="CW151"/>
  <c r="CV151"/>
  <c r="CU151"/>
  <c r="CT151"/>
  <c r="CS151"/>
  <c r="CR151"/>
  <c r="CQ151"/>
  <c r="CP151"/>
  <c r="CO151"/>
  <c r="CN151"/>
  <c r="CM151"/>
  <c r="CL151"/>
  <c r="CK151"/>
  <c r="CJ151"/>
  <c r="CI151"/>
  <c r="CH151"/>
  <c r="CG151"/>
  <c r="CF151"/>
  <c r="CE151"/>
  <c r="CD151"/>
  <c r="CC151"/>
  <c r="CB151"/>
  <c r="CA151"/>
  <c r="BZ151"/>
  <c r="DB150"/>
  <c r="DA150"/>
  <c r="CZ150"/>
  <c r="CY150"/>
  <c r="CX150"/>
  <c r="CW150"/>
  <c r="CV150"/>
  <c r="CU150"/>
  <c r="CT150"/>
  <c r="CS150"/>
  <c r="CR150"/>
  <c r="CQ150"/>
  <c r="CP150"/>
  <c r="CO150"/>
  <c r="CN150"/>
  <c r="CM150"/>
  <c r="CL150"/>
  <c r="CK150"/>
  <c r="CJ150"/>
  <c r="CI150"/>
  <c r="CH150"/>
  <c r="CG150"/>
  <c r="CF150"/>
  <c r="CE150"/>
  <c r="CD150"/>
  <c r="CC150"/>
  <c r="CB150"/>
  <c r="CA150"/>
  <c r="BZ150"/>
  <c r="DB149"/>
  <c r="DA149"/>
  <c r="CZ149"/>
  <c r="CY149"/>
  <c r="CX149"/>
  <c r="CW149"/>
  <c r="CV149"/>
  <c r="CU149"/>
  <c r="CT149"/>
  <c r="CS149"/>
  <c r="CR149"/>
  <c r="CQ149"/>
  <c r="CP149"/>
  <c r="CO149"/>
  <c r="CN149"/>
  <c r="CM149"/>
  <c r="CL149"/>
  <c r="CK149"/>
  <c r="CJ149"/>
  <c r="CI149"/>
  <c r="CH149"/>
  <c r="CG149"/>
  <c r="CF149"/>
  <c r="CE149"/>
  <c r="CD149"/>
  <c r="CC149"/>
  <c r="CB149"/>
  <c r="CA149"/>
  <c r="BZ149"/>
  <c r="DB148"/>
  <c r="DA148"/>
  <c r="CZ148"/>
  <c r="CY148"/>
  <c r="CX148"/>
  <c r="CW148"/>
  <c r="CV148"/>
  <c r="CU148"/>
  <c r="CT148"/>
  <c r="CS148"/>
  <c r="CR148"/>
  <c r="CQ148"/>
  <c r="CP148"/>
  <c r="CO148"/>
  <c r="CN148"/>
  <c r="CM148"/>
  <c r="CL148"/>
  <c r="CK148"/>
  <c r="CJ148"/>
  <c r="CI148"/>
  <c r="CH148"/>
  <c r="CG148"/>
  <c r="CF148"/>
  <c r="CE148"/>
  <c r="CD148"/>
  <c r="CC148"/>
  <c r="CB148"/>
  <c r="CA148"/>
  <c r="BZ148"/>
  <c r="DB147"/>
  <c r="DA147"/>
  <c r="CZ147"/>
  <c r="CY147"/>
  <c r="CX147"/>
  <c r="CW147"/>
  <c r="CV147"/>
  <c r="CU147"/>
  <c r="CT147"/>
  <c r="CS147"/>
  <c r="CR147"/>
  <c r="CQ147"/>
  <c r="CP147"/>
  <c r="CO147"/>
  <c r="CN147"/>
  <c r="CM147"/>
  <c r="CL147"/>
  <c r="CK147"/>
  <c r="CJ147"/>
  <c r="CI147"/>
  <c r="CH147"/>
  <c r="CG147"/>
  <c r="CF147"/>
  <c r="CE147"/>
  <c r="CD147"/>
  <c r="CC147"/>
  <c r="CB147"/>
  <c r="CA147"/>
  <c r="BZ147"/>
  <c r="DB146"/>
  <c r="DA146"/>
  <c r="CZ146"/>
  <c r="CY146"/>
  <c r="CX146"/>
  <c r="CW146"/>
  <c r="CV146"/>
  <c r="CU146"/>
  <c r="CT146"/>
  <c r="CS146"/>
  <c r="CR146"/>
  <c r="CQ146"/>
  <c r="CP146"/>
  <c r="CO146"/>
  <c r="CN146"/>
  <c r="CM146"/>
  <c r="CL146"/>
  <c r="CK146"/>
  <c r="CJ146"/>
  <c r="CI146"/>
  <c r="CH146"/>
  <c r="CG146"/>
  <c r="CF146"/>
  <c r="CE146"/>
  <c r="CD146"/>
  <c r="CC146"/>
  <c r="CB146"/>
  <c r="CA146"/>
  <c r="BZ146"/>
  <c r="DB145"/>
  <c r="DA145"/>
  <c r="CZ145"/>
  <c r="CY145"/>
  <c r="CX145"/>
  <c r="CW145"/>
  <c r="CV145"/>
  <c r="CU145"/>
  <c r="CT145"/>
  <c r="CS145"/>
  <c r="CR145"/>
  <c r="CQ145"/>
  <c r="CP145"/>
  <c r="CO145"/>
  <c r="CN145"/>
  <c r="CM145"/>
  <c r="CL145"/>
  <c r="CK145"/>
  <c r="CJ145"/>
  <c r="CI145"/>
  <c r="CH145"/>
  <c r="CG145"/>
  <c r="CF145"/>
  <c r="CE145"/>
  <c r="CD145"/>
  <c r="CC145"/>
  <c r="CB145"/>
  <c r="CA145"/>
  <c r="BZ145"/>
  <c r="ED144"/>
  <c r="DZ144"/>
  <c r="DV144"/>
  <c r="DR144"/>
  <c r="DN144"/>
  <c r="DJ144"/>
  <c r="DF144"/>
  <c r="DB144"/>
  <c r="DA144"/>
  <c r="CZ144"/>
  <c r="CY144"/>
  <c r="CX144"/>
  <c r="CW144"/>
  <c r="CV144"/>
  <c r="CU144"/>
  <c r="CT144"/>
  <c r="CS144"/>
  <c r="CR144"/>
  <c r="CQ144"/>
  <c r="CP144"/>
  <c r="CO144"/>
  <c r="CN144"/>
  <c r="CM144"/>
  <c r="CL144"/>
  <c r="CK144"/>
  <c r="CJ144"/>
  <c r="CI144"/>
  <c r="CH144"/>
  <c r="CG144"/>
  <c r="CF144"/>
  <c r="CE144"/>
  <c r="CD144"/>
  <c r="CC144"/>
  <c r="CB144"/>
  <c r="CA144"/>
  <c r="BZ144"/>
  <c r="AC144"/>
  <c r="EF144" s="1"/>
  <c r="AA144"/>
  <c r="AA145" s="1"/>
  <c r="Y144"/>
  <c r="EB144" s="1"/>
  <c r="W144"/>
  <c r="W145" s="1"/>
  <c r="U144"/>
  <c r="DX144" s="1"/>
  <c r="S144"/>
  <c r="S145" s="1"/>
  <c r="Q144"/>
  <c r="DT144" s="1"/>
  <c r="O144"/>
  <c r="O145" s="1"/>
  <c r="M144"/>
  <c r="DP144" s="1"/>
  <c r="K144"/>
  <c r="K145" s="1"/>
  <c r="I144"/>
  <c r="DL144" s="1"/>
  <c r="G144"/>
  <c r="G145" s="1"/>
  <c r="E144"/>
  <c r="DH144" s="1"/>
  <c r="C144"/>
  <c r="C145" s="1"/>
  <c r="EG143"/>
  <c r="ED143"/>
  <c r="EC143"/>
  <c r="DZ143"/>
  <c r="DY143"/>
  <c r="DV143"/>
  <c r="DU143"/>
  <c r="DR143"/>
  <c r="DQ143"/>
  <c r="DN143"/>
  <c r="DM143"/>
  <c r="DJ143"/>
  <c r="DI143"/>
  <c r="DF143"/>
  <c r="DE143"/>
  <c r="DB143"/>
  <c r="DA143"/>
  <c r="CZ143"/>
  <c r="CY143"/>
  <c r="CX143"/>
  <c r="CW143"/>
  <c r="CV143"/>
  <c r="CU143"/>
  <c r="CT143"/>
  <c r="CS143"/>
  <c r="CR143"/>
  <c r="CQ143"/>
  <c r="CP143"/>
  <c r="CO143"/>
  <c r="CN143"/>
  <c r="CM143"/>
  <c r="CL143"/>
  <c r="CK143"/>
  <c r="CJ143"/>
  <c r="CI143"/>
  <c r="CH143"/>
  <c r="CG143"/>
  <c r="CF143"/>
  <c r="CE143"/>
  <c r="CD143"/>
  <c r="CC143"/>
  <c r="CB143"/>
  <c r="CA143"/>
  <c r="BZ143"/>
  <c r="AD143"/>
  <c r="AD144" s="1"/>
  <c r="AC143"/>
  <c r="EF143" s="1"/>
  <c r="AB143"/>
  <c r="EE143" s="1"/>
  <c r="AA143"/>
  <c r="Z143"/>
  <c r="Z144" s="1"/>
  <c r="Y143"/>
  <c r="EB143" s="1"/>
  <c r="X143"/>
  <c r="EA143" s="1"/>
  <c r="W143"/>
  <c r="V143"/>
  <c r="V144" s="1"/>
  <c r="U143"/>
  <c r="DX143" s="1"/>
  <c r="T143"/>
  <c r="DW143" s="1"/>
  <c r="S143"/>
  <c r="R143"/>
  <c r="R144" s="1"/>
  <c r="Q143"/>
  <c r="DT143" s="1"/>
  <c r="P143"/>
  <c r="DS143" s="1"/>
  <c r="O143"/>
  <c r="N143"/>
  <c r="N144" s="1"/>
  <c r="M143"/>
  <c r="DP143" s="1"/>
  <c r="L143"/>
  <c r="DO143" s="1"/>
  <c r="K143"/>
  <c r="J143"/>
  <c r="J144" s="1"/>
  <c r="I143"/>
  <c r="DL143" s="1"/>
  <c r="H143"/>
  <c r="DK143" s="1"/>
  <c r="G143"/>
  <c r="F143"/>
  <c r="F144" s="1"/>
  <c r="E143"/>
  <c r="DH143" s="1"/>
  <c r="D143"/>
  <c r="DG143" s="1"/>
  <c r="C143"/>
  <c r="B143"/>
  <c r="B144" s="1"/>
  <c r="EG142"/>
  <c r="EF142"/>
  <c r="EE142"/>
  <c r="ED142"/>
  <c r="EC142"/>
  <c r="EB142"/>
  <c r="EA142"/>
  <c r="DZ142"/>
  <c r="DY142"/>
  <c r="DX142"/>
  <c r="DW142"/>
  <c r="DV142"/>
  <c r="DU142"/>
  <c r="DT142"/>
  <c r="DS142"/>
  <c r="DR142"/>
  <c r="DQ142"/>
  <c r="DP142"/>
  <c r="DO142"/>
  <c r="DN142"/>
  <c r="DM142"/>
  <c r="DL142"/>
  <c r="DK142"/>
  <c r="DJ142"/>
  <c r="DI142"/>
  <c r="DH142"/>
  <c r="DG142"/>
  <c r="DF142"/>
  <c r="DE142"/>
  <c r="DB142"/>
  <c r="DA142"/>
  <c r="CZ142"/>
  <c r="CY142"/>
  <c r="CX142"/>
  <c r="CW142"/>
  <c r="CV142"/>
  <c r="CU142"/>
  <c r="CT142"/>
  <c r="CS142"/>
  <c r="CR142"/>
  <c r="CQ142"/>
  <c r="CP142"/>
  <c r="CO142"/>
  <c r="CN142"/>
  <c r="CM142"/>
  <c r="CL142"/>
  <c r="CK142"/>
  <c r="CJ142"/>
  <c r="CI142"/>
  <c r="CH142"/>
  <c r="CG142"/>
  <c r="CF142"/>
  <c r="CE142"/>
  <c r="CD142"/>
  <c r="CC142"/>
  <c r="CB142"/>
  <c r="CA142"/>
  <c r="BZ142"/>
  <c r="EG141"/>
  <c r="EF141"/>
  <c r="EE141"/>
  <c r="ED141"/>
  <c r="EC141"/>
  <c r="EB141"/>
  <c r="EA141"/>
  <c r="DZ141"/>
  <c r="DY141"/>
  <c r="DX141"/>
  <c r="DW141"/>
  <c r="DV141"/>
  <c r="DU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B141"/>
  <c r="DA141"/>
  <c r="CZ141"/>
  <c r="CY141"/>
  <c r="CX141"/>
  <c r="CW141"/>
  <c r="CV141"/>
  <c r="CU141"/>
  <c r="CT141"/>
  <c r="CS141"/>
  <c r="CR141"/>
  <c r="CQ141"/>
  <c r="CP141"/>
  <c r="CO141"/>
  <c r="CN141"/>
  <c r="CM141"/>
  <c r="CL141"/>
  <c r="CK141"/>
  <c r="CJ141"/>
  <c r="CI141"/>
  <c r="CH141"/>
  <c r="CG141"/>
  <c r="CF141"/>
  <c r="CE141"/>
  <c r="CD141"/>
  <c r="CC141"/>
  <c r="CB141"/>
  <c r="CA141"/>
  <c r="BZ141"/>
  <c r="EG140"/>
  <c r="EF140"/>
  <c r="EE140"/>
  <c r="ED140"/>
  <c r="EC140"/>
  <c r="EB140"/>
  <c r="EA140"/>
  <c r="DZ140"/>
  <c r="DY140"/>
  <c r="DX140"/>
  <c r="DW140"/>
  <c r="DV140"/>
  <c r="DU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B140"/>
  <c r="DA140"/>
  <c r="CZ140"/>
  <c r="CY140"/>
  <c r="CX140"/>
  <c r="CW140"/>
  <c r="CV140"/>
  <c r="CU140"/>
  <c r="CT140"/>
  <c r="CS140"/>
  <c r="CR140"/>
  <c r="CQ140"/>
  <c r="CP140"/>
  <c r="CO140"/>
  <c r="CN140"/>
  <c r="CM140"/>
  <c r="CL140"/>
  <c r="CK140"/>
  <c r="CJ140"/>
  <c r="CI140"/>
  <c r="CH140"/>
  <c r="CG140"/>
  <c r="CF140"/>
  <c r="CE140"/>
  <c r="CD140"/>
  <c r="CC140"/>
  <c r="CB140"/>
  <c r="CA140"/>
  <c r="BZ140"/>
  <c r="EG139"/>
  <c r="EF139"/>
  <c r="EE139"/>
  <c r="ED139"/>
  <c r="EC139"/>
  <c r="EB139"/>
  <c r="EA139"/>
  <c r="DZ139"/>
  <c r="DY139"/>
  <c r="DX139"/>
  <c r="DW139"/>
  <c r="DV139"/>
  <c r="DU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B139"/>
  <c r="DA139"/>
  <c r="CZ139"/>
  <c r="CY139"/>
  <c r="CX139"/>
  <c r="CW139"/>
  <c r="CV139"/>
  <c r="CU139"/>
  <c r="CT139"/>
  <c r="CS139"/>
  <c r="CR139"/>
  <c r="CQ139"/>
  <c r="CP139"/>
  <c r="CO139"/>
  <c r="CN139"/>
  <c r="CM139"/>
  <c r="CL139"/>
  <c r="CK139"/>
  <c r="CJ139"/>
  <c r="CI139"/>
  <c r="CH139"/>
  <c r="CG139"/>
  <c r="CF139"/>
  <c r="CE139"/>
  <c r="CD139"/>
  <c r="CC139"/>
  <c r="CB139"/>
  <c r="CA139"/>
  <c r="BZ139"/>
  <c r="EG138"/>
  <c r="EF138"/>
  <c r="EE138"/>
  <c r="ED138"/>
  <c r="EC138"/>
  <c r="EB138"/>
  <c r="EA138"/>
  <c r="DZ138"/>
  <c r="DY138"/>
  <c r="DX138"/>
  <c r="DW138"/>
  <c r="DV138"/>
  <c r="DU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B138"/>
  <c r="DA138"/>
  <c r="CZ138"/>
  <c r="CY138"/>
  <c r="CX138"/>
  <c r="CW138"/>
  <c r="CV138"/>
  <c r="CU138"/>
  <c r="CT138"/>
  <c r="CS138"/>
  <c r="CR138"/>
  <c r="CQ138"/>
  <c r="CP138"/>
  <c r="CO138"/>
  <c r="CN138"/>
  <c r="CM138"/>
  <c r="CL138"/>
  <c r="CK138"/>
  <c r="CJ138"/>
  <c r="CI138"/>
  <c r="CH138"/>
  <c r="CG138"/>
  <c r="CF138"/>
  <c r="CE138"/>
  <c r="CD138"/>
  <c r="CC138"/>
  <c r="CB138"/>
  <c r="CA138"/>
  <c r="BZ138"/>
  <c r="EG137"/>
  <c r="EF137"/>
  <c r="EE137"/>
  <c r="ED137"/>
  <c r="EC137"/>
  <c r="EB137"/>
  <c r="EA137"/>
  <c r="DZ137"/>
  <c r="DY137"/>
  <c r="DX137"/>
  <c r="DW137"/>
  <c r="DV137"/>
  <c r="DU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B137"/>
  <c r="DA137"/>
  <c r="CZ137"/>
  <c r="CY137"/>
  <c r="CX137"/>
  <c r="CW137"/>
  <c r="CV137"/>
  <c r="CU137"/>
  <c r="CT137"/>
  <c r="CS137"/>
  <c r="CR137"/>
  <c r="CQ137"/>
  <c r="CP137"/>
  <c r="CO137"/>
  <c r="CN137"/>
  <c r="CM137"/>
  <c r="CL137"/>
  <c r="CK137"/>
  <c r="CJ137"/>
  <c r="CI137"/>
  <c r="CH137"/>
  <c r="CG137"/>
  <c r="CF137"/>
  <c r="CE137"/>
  <c r="CD137"/>
  <c r="CC137"/>
  <c r="CB137"/>
  <c r="CA137"/>
  <c r="BZ137"/>
  <c r="EG136"/>
  <c r="EF136"/>
  <c r="EE136"/>
  <c r="ED136"/>
  <c r="EC136"/>
  <c r="EB136"/>
  <c r="EA136"/>
  <c r="DZ136"/>
  <c r="DY136"/>
  <c r="DX136"/>
  <c r="DW136"/>
  <c r="DV136"/>
  <c r="DU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B136"/>
  <c r="DA136"/>
  <c r="CZ136"/>
  <c r="CY136"/>
  <c r="CX136"/>
  <c r="CW136"/>
  <c r="CV136"/>
  <c r="CU136"/>
  <c r="CT136"/>
  <c r="CS136"/>
  <c r="CR136"/>
  <c r="CQ136"/>
  <c r="CP136"/>
  <c r="CO136"/>
  <c r="CN136"/>
  <c r="CM136"/>
  <c r="CL136"/>
  <c r="CK136"/>
  <c r="CJ136"/>
  <c r="CI136"/>
  <c r="CH136"/>
  <c r="CG136"/>
  <c r="CF136"/>
  <c r="CE136"/>
  <c r="CD136"/>
  <c r="CC136"/>
  <c r="CB136"/>
  <c r="CA136"/>
  <c r="BZ136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B135"/>
  <c r="DA135"/>
  <c r="CZ135"/>
  <c r="CY135"/>
  <c r="CX135"/>
  <c r="CW135"/>
  <c r="CV135"/>
  <c r="CU135"/>
  <c r="CT135"/>
  <c r="CS135"/>
  <c r="CR135"/>
  <c r="CQ135"/>
  <c r="CP135"/>
  <c r="CO135"/>
  <c r="CN135"/>
  <c r="CM135"/>
  <c r="CL135"/>
  <c r="CK135"/>
  <c r="CJ135"/>
  <c r="CI135"/>
  <c r="CH135"/>
  <c r="CG135"/>
  <c r="CF135"/>
  <c r="CE135"/>
  <c r="CD135"/>
  <c r="CC135"/>
  <c r="CB135"/>
  <c r="CA135"/>
  <c r="BZ135"/>
  <c r="EG134"/>
  <c r="EF134"/>
  <c r="EE134"/>
  <c r="ED134"/>
  <c r="EC134"/>
  <c r="EB134"/>
  <c r="EA134"/>
  <c r="DZ134"/>
  <c r="DY134"/>
  <c r="DX134"/>
  <c r="DW134"/>
  <c r="DV134"/>
  <c r="DU134"/>
  <c r="DT134"/>
  <c r="DS134"/>
  <c r="DR134"/>
  <c r="DQ134"/>
  <c r="DP134"/>
  <c r="DO134"/>
  <c r="DN134"/>
  <c r="DM134"/>
  <c r="DL134"/>
  <c r="DK134"/>
  <c r="DJ134"/>
  <c r="DI134"/>
  <c r="DH134"/>
  <c r="DG134"/>
  <c r="DF134"/>
  <c r="DE134"/>
  <c r="DB134"/>
  <c r="DA134"/>
  <c r="CZ134"/>
  <c r="CY134"/>
  <c r="CX134"/>
  <c r="CW134"/>
  <c r="CV134"/>
  <c r="CU134"/>
  <c r="CT134"/>
  <c r="CS134"/>
  <c r="CR134"/>
  <c r="CQ134"/>
  <c r="CP134"/>
  <c r="CO134"/>
  <c r="CN134"/>
  <c r="CM134"/>
  <c r="CL134"/>
  <c r="CK134"/>
  <c r="CJ134"/>
  <c r="CI134"/>
  <c r="CH134"/>
  <c r="CG134"/>
  <c r="CF134"/>
  <c r="CE134"/>
  <c r="CD134"/>
  <c r="CC134"/>
  <c r="CB134"/>
  <c r="CA134"/>
  <c r="BZ134"/>
  <c r="EG133"/>
  <c r="EF133"/>
  <c r="EE133"/>
  <c r="ED133"/>
  <c r="EC133"/>
  <c r="EB133"/>
  <c r="EA133"/>
  <c r="DZ133"/>
  <c r="DY133"/>
  <c r="DX133"/>
  <c r="DW133"/>
  <c r="DV133"/>
  <c r="DU133"/>
  <c r="DT133"/>
  <c r="DS133"/>
  <c r="DR133"/>
  <c r="DQ133"/>
  <c r="DP133"/>
  <c r="DO133"/>
  <c r="DN133"/>
  <c r="DM133"/>
  <c r="DL133"/>
  <c r="DK133"/>
  <c r="DJ133"/>
  <c r="DI133"/>
  <c r="DH133"/>
  <c r="DG133"/>
  <c r="DF133"/>
  <c r="DE133"/>
  <c r="DB133"/>
  <c r="DA133"/>
  <c r="CZ133"/>
  <c r="CY133"/>
  <c r="CX133"/>
  <c r="CW133"/>
  <c r="CV133"/>
  <c r="CU133"/>
  <c r="CT133"/>
  <c r="CS133"/>
  <c r="CR133"/>
  <c r="CQ133"/>
  <c r="CP133"/>
  <c r="CO133"/>
  <c r="CN133"/>
  <c r="CM133"/>
  <c r="CL133"/>
  <c r="CK133"/>
  <c r="CJ133"/>
  <c r="CI133"/>
  <c r="CH133"/>
  <c r="CG133"/>
  <c r="CF133"/>
  <c r="CE133"/>
  <c r="CD133"/>
  <c r="CC133"/>
  <c r="CB133"/>
  <c r="CA133"/>
  <c r="BZ133"/>
  <c r="EG132"/>
  <c r="EF132"/>
  <c r="EE132"/>
  <c r="ED132"/>
  <c r="EC132"/>
  <c r="EB132"/>
  <c r="EA132"/>
  <c r="DZ132"/>
  <c r="DY132"/>
  <c r="DX132"/>
  <c r="DW132"/>
  <c r="DV132"/>
  <c r="DU132"/>
  <c r="DT132"/>
  <c r="DS132"/>
  <c r="DR132"/>
  <c r="DQ132"/>
  <c r="DP132"/>
  <c r="DO132"/>
  <c r="DN132"/>
  <c r="DM132"/>
  <c r="DL132"/>
  <c r="DK132"/>
  <c r="DJ132"/>
  <c r="DI132"/>
  <c r="DH132"/>
  <c r="DG132"/>
  <c r="DF132"/>
  <c r="DE132"/>
  <c r="DB132"/>
  <c r="DA132"/>
  <c r="CZ132"/>
  <c r="CY132"/>
  <c r="CX132"/>
  <c r="CW132"/>
  <c r="CV132"/>
  <c r="CU132"/>
  <c r="CT132"/>
  <c r="CS132"/>
  <c r="CR132"/>
  <c r="CQ132"/>
  <c r="CP132"/>
  <c r="CO132"/>
  <c r="CN132"/>
  <c r="CM132"/>
  <c r="CL132"/>
  <c r="CK132"/>
  <c r="CJ132"/>
  <c r="CI132"/>
  <c r="CH132"/>
  <c r="CG132"/>
  <c r="CF132"/>
  <c r="CE132"/>
  <c r="CD132"/>
  <c r="CC132"/>
  <c r="CB132"/>
  <c r="CA132"/>
  <c r="BZ132"/>
  <c r="EG131"/>
  <c r="EF131"/>
  <c r="EE131"/>
  <c r="ED131"/>
  <c r="EC131"/>
  <c r="EB131"/>
  <c r="EA131"/>
  <c r="DZ131"/>
  <c r="DY131"/>
  <c r="DX131"/>
  <c r="DW131"/>
  <c r="DV131"/>
  <c r="DU131"/>
  <c r="DT131"/>
  <c r="DS131"/>
  <c r="DR131"/>
  <c r="DQ131"/>
  <c r="DP131"/>
  <c r="DO131"/>
  <c r="DN131"/>
  <c r="DM131"/>
  <c r="DL131"/>
  <c r="DK131"/>
  <c r="DJ131"/>
  <c r="DI131"/>
  <c r="DH131"/>
  <c r="DG131"/>
  <c r="DF131"/>
  <c r="DE131"/>
  <c r="DB131"/>
  <c r="DA131"/>
  <c r="CZ131"/>
  <c r="CY131"/>
  <c r="CX131"/>
  <c r="CW131"/>
  <c r="CV131"/>
  <c r="CU131"/>
  <c r="CT131"/>
  <c r="CS131"/>
  <c r="CR131"/>
  <c r="CQ131"/>
  <c r="CP131"/>
  <c r="CO131"/>
  <c r="CN131"/>
  <c r="CM131"/>
  <c r="CL131"/>
  <c r="CK131"/>
  <c r="CJ131"/>
  <c r="CI131"/>
  <c r="CH131"/>
  <c r="CG131"/>
  <c r="CF131"/>
  <c r="CE131"/>
  <c r="CD131"/>
  <c r="CC131"/>
  <c r="CB131"/>
  <c r="CA131"/>
  <c r="BZ131"/>
  <c r="EG130"/>
  <c r="EF130"/>
  <c r="EE130"/>
  <c r="ED130"/>
  <c r="EC130"/>
  <c r="EB130"/>
  <c r="EA130"/>
  <c r="DZ130"/>
  <c r="DY130"/>
  <c r="DX130"/>
  <c r="DW130"/>
  <c r="DV130"/>
  <c r="DU130"/>
  <c r="DT130"/>
  <c r="DS130"/>
  <c r="DR130"/>
  <c r="DQ130"/>
  <c r="DP130"/>
  <c r="DO130"/>
  <c r="DN130"/>
  <c r="DM130"/>
  <c r="DL130"/>
  <c r="DK130"/>
  <c r="DJ130"/>
  <c r="DI130"/>
  <c r="DH130"/>
  <c r="DG130"/>
  <c r="DF130"/>
  <c r="DE130"/>
  <c r="DB130"/>
  <c r="DA130"/>
  <c r="CZ130"/>
  <c r="CY130"/>
  <c r="CX130"/>
  <c r="CW130"/>
  <c r="CV130"/>
  <c r="CU130"/>
  <c r="CT130"/>
  <c r="CS130"/>
  <c r="CR130"/>
  <c r="CQ130"/>
  <c r="CP130"/>
  <c r="CO130"/>
  <c r="CN130"/>
  <c r="CM130"/>
  <c r="CL130"/>
  <c r="CK130"/>
  <c r="CJ130"/>
  <c r="CI130"/>
  <c r="CH130"/>
  <c r="CG130"/>
  <c r="CF130"/>
  <c r="CE130"/>
  <c r="CD130"/>
  <c r="CC130"/>
  <c r="CB130"/>
  <c r="CA130"/>
  <c r="BZ130"/>
  <c r="EG129"/>
  <c r="EF129"/>
  <c r="EE129"/>
  <c r="ED129"/>
  <c r="EC129"/>
  <c r="EB129"/>
  <c r="EA129"/>
  <c r="DZ129"/>
  <c r="DY129"/>
  <c r="DX129"/>
  <c r="DW129"/>
  <c r="DV129"/>
  <c r="DU129"/>
  <c r="DT129"/>
  <c r="DS129"/>
  <c r="DR129"/>
  <c r="DQ129"/>
  <c r="DP129"/>
  <c r="DO129"/>
  <c r="DN129"/>
  <c r="DM129"/>
  <c r="DL129"/>
  <c r="DK129"/>
  <c r="DJ129"/>
  <c r="DI129"/>
  <c r="DH129"/>
  <c r="DG129"/>
  <c r="DF129"/>
  <c r="DE129"/>
  <c r="DB129"/>
  <c r="DA129"/>
  <c r="CZ129"/>
  <c r="CY129"/>
  <c r="CX129"/>
  <c r="CW129"/>
  <c r="CV129"/>
  <c r="CU129"/>
  <c r="CT129"/>
  <c r="CS129"/>
  <c r="CR129"/>
  <c r="CQ129"/>
  <c r="CP129"/>
  <c r="CO129"/>
  <c r="CN129"/>
  <c r="CM129"/>
  <c r="CL129"/>
  <c r="CK129"/>
  <c r="CJ129"/>
  <c r="CI129"/>
  <c r="CH129"/>
  <c r="CG129"/>
  <c r="CF129"/>
  <c r="CE129"/>
  <c r="CD129"/>
  <c r="CC129"/>
  <c r="CB129"/>
  <c r="CA129"/>
  <c r="BZ129"/>
  <c r="EG128"/>
  <c r="EF128"/>
  <c r="EE128"/>
  <c r="ED128"/>
  <c r="EC128"/>
  <c r="EB128"/>
  <c r="EA128"/>
  <c r="DZ128"/>
  <c r="DY128"/>
  <c r="DX128"/>
  <c r="DW128"/>
  <c r="DV128"/>
  <c r="DU128"/>
  <c r="DT128"/>
  <c r="DS128"/>
  <c r="DR128"/>
  <c r="DQ128"/>
  <c r="DP128"/>
  <c r="DO128"/>
  <c r="DN128"/>
  <c r="DM128"/>
  <c r="DL128"/>
  <c r="DK128"/>
  <c r="DJ128"/>
  <c r="DI128"/>
  <c r="DH128"/>
  <c r="DG128"/>
  <c r="DF128"/>
  <c r="DE128"/>
  <c r="DB128"/>
  <c r="DA128"/>
  <c r="CZ128"/>
  <c r="CY128"/>
  <c r="CX128"/>
  <c r="CW128"/>
  <c r="CV128"/>
  <c r="CU128"/>
  <c r="CT128"/>
  <c r="CS128"/>
  <c r="CR128"/>
  <c r="CQ128"/>
  <c r="CP128"/>
  <c r="CO128"/>
  <c r="CN128"/>
  <c r="CM128"/>
  <c r="CL128"/>
  <c r="CK128"/>
  <c r="CJ128"/>
  <c r="CI128"/>
  <c r="CH128"/>
  <c r="CG128"/>
  <c r="CF128"/>
  <c r="CE128"/>
  <c r="CD128"/>
  <c r="CC128"/>
  <c r="CB128"/>
  <c r="CA128"/>
  <c r="BZ128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B127"/>
  <c r="DA127"/>
  <c r="CZ127"/>
  <c r="CY127"/>
  <c r="CX127"/>
  <c r="CW127"/>
  <c r="CV127"/>
  <c r="CU127"/>
  <c r="CT127"/>
  <c r="CS127"/>
  <c r="CR127"/>
  <c r="CQ127"/>
  <c r="CP127"/>
  <c r="CO127"/>
  <c r="CN127"/>
  <c r="CM127"/>
  <c r="CL127"/>
  <c r="CK127"/>
  <c r="CJ127"/>
  <c r="CI127"/>
  <c r="CH127"/>
  <c r="CG127"/>
  <c r="CF127"/>
  <c r="CE127"/>
  <c r="CD127"/>
  <c r="CC127"/>
  <c r="CB127"/>
  <c r="CA127"/>
  <c r="BZ127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B126"/>
  <c r="DA126"/>
  <c r="CZ126"/>
  <c r="CY126"/>
  <c r="CX126"/>
  <c r="CW126"/>
  <c r="CV126"/>
  <c r="CU126"/>
  <c r="CT126"/>
  <c r="CS126"/>
  <c r="CR126"/>
  <c r="CQ126"/>
  <c r="CP126"/>
  <c r="CO126"/>
  <c r="CN126"/>
  <c r="CM126"/>
  <c r="CL126"/>
  <c r="CK126"/>
  <c r="CJ126"/>
  <c r="CI126"/>
  <c r="CH126"/>
  <c r="CG126"/>
  <c r="CF126"/>
  <c r="CE126"/>
  <c r="CD126"/>
  <c r="CC126"/>
  <c r="CB126"/>
  <c r="CA126"/>
  <c r="BZ126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B125"/>
  <c r="DA125"/>
  <c r="CZ125"/>
  <c r="CY125"/>
  <c r="CX125"/>
  <c r="CW125"/>
  <c r="CV125"/>
  <c r="CU125"/>
  <c r="CT125"/>
  <c r="CS125"/>
  <c r="CR125"/>
  <c r="CQ125"/>
  <c r="CP125"/>
  <c r="CO125"/>
  <c r="CN125"/>
  <c r="CM125"/>
  <c r="CL125"/>
  <c r="CK125"/>
  <c r="CJ125"/>
  <c r="CI125"/>
  <c r="CH125"/>
  <c r="CG125"/>
  <c r="CF125"/>
  <c r="CE125"/>
  <c r="CD125"/>
  <c r="CC125"/>
  <c r="CB125"/>
  <c r="CA125"/>
  <c r="BZ125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B124"/>
  <c r="DA124"/>
  <c r="CZ124"/>
  <c r="CY124"/>
  <c r="CX124"/>
  <c r="CW124"/>
  <c r="CV124"/>
  <c r="CU124"/>
  <c r="CT124"/>
  <c r="CS124"/>
  <c r="CR124"/>
  <c r="CQ124"/>
  <c r="CP124"/>
  <c r="CO124"/>
  <c r="CN124"/>
  <c r="CM124"/>
  <c r="CL124"/>
  <c r="CK124"/>
  <c r="CJ124"/>
  <c r="CI124"/>
  <c r="CH124"/>
  <c r="CG124"/>
  <c r="CF124"/>
  <c r="CE124"/>
  <c r="CD124"/>
  <c r="CC124"/>
  <c r="CB124"/>
  <c r="CA124"/>
  <c r="BZ124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DE123"/>
  <c r="DB123"/>
  <c r="DA123"/>
  <c r="CZ123"/>
  <c r="CY123"/>
  <c r="CX123"/>
  <c r="CW123"/>
  <c r="CV123"/>
  <c r="CU123"/>
  <c r="CT123"/>
  <c r="CS123"/>
  <c r="CR123"/>
  <c r="CQ123"/>
  <c r="CP123"/>
  <c r="CO123"/>
  <c r="CN123"/>
  <c r="CM123"/>
  <c r="CL123"/>
  <c r="CK123"/>
  <c r="CJ123"/>
  <c r="CI123"/>
  <c r="CH123"/>
  <c r="CG123"/>
  <c r="CF123"/>
  <c r="CE123"/>
  <c r="CD123"/>
  <c r="CC123"/>
  <c r="CB123"/>
  <c r="CA123"/>
  <c r="BZ123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B122"/>
  <c r="DA122"/>
  <c r="CZ122"/>
  <c r="CY122"/>
  <c r="CX122"/>
  <c r="CW122"/>
  <c r="CV122"/>
  <c r="CU122"/>
  <c r="CT122"/>
  <c r="CS122"/>
  <c r="CR122"/>
  <c r="CQ122"/>
  <c r="CP122"/>
  <c r="CO122"/>
  <c r="CN122"/>
  <c r="CM122"/>
  <c r="CL122"/>
  <c r="CK122"/>
  <c r="CJ122"/>
  <c r="CI122"/>
  <c r="CH122"/>
  <c r="CG122"/>
  <c r="CF122"/>
  <c r="CE122"/>
  <c r="CD122"/>
  <c r="CC122"/>
  <c r="CB122"/>
  <c r="CA122"/>
  <c r="BZ122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P121"/>
  <c r="DO121"/>
  <c r="DN121"/>
  <c r="DM121"/>
  <c r="DL121"/>
  <c r="DK121"/>
  <c r="DJ121"/>
  <c r="DI121"/>
  <c r="DH121"/>
  <c r="DG121"/>
  <c r="DF121"/>
  <c r="DE121"/>
  <c r="DB121"/>
  <c r="DA121"/>
  <c r="CZ121"/>
  <c r="CY121"/>
  <c r="CX121"/>
  <c r="CW121"/>
  <c r="CV121"/>
  <c r="CU121"/>
  <c r="CT121"/>
  <c r="CS121"/>
  <c r="CR121"/>
  <c r="CQ121"/>
  <c r="CP121"/>
  <c r="CO121"/>
  <c r="CN121"/>
  <c r="CM121"/>
  <c r="CL121"/>
  <c r="CK121"/>
  <c r="CJ121"/>
  <c r="CI121"/>
  <c r="CH121"/>
  <c r="CG121"/>
  <c r="CF121"/>
  <c r="CE121"/>
  <c r="CD121"/>
  <c r="CC121"/>
  <c r="CB121"/>
  <c r="CA121"/>
  <c r="BZ121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Q120"/>
  <c r="DP120"/>
  <c r="DO120"/>
  <c r="DN120"/>
  <c r="DM120"/>
  <c r="DL120"/>
  <c r="DK120"/>
  <c r="DJ120"/>
  <c r="DI120"/>
  <c r="DH120"/>
  <c r="DG120"/>
  <c r="DF120"/>
  <c r="DE120"/>
  <c r="DB120"/>
  <c r="DA120"/>
  <c r="CZ120"/>
  <c r="CY120"/>
  <c r="CX120"/>
  <c r="CW120"/>
  <c r="CV120"/>
  <c r="CU120"/>
  <c r="CT120"/>
  <c r="CS120"/>
  <c r="CR120"/>
  <c r="CQ120"/>
  <c r="CP120"/>
  <c r="CO120"/>
  <c r="CN120"/>
  <c r="CM120"/>
  <c r="CL120"/>
  <c r="CK120"/>
  <c r="CJ120"/>
  <c r="CI120"/>
  <c r="CH120"/>
  <c r="CG120"/>
  <c r="CF120"/>
  <c r="CE120"/>
  <c r="CD120"/>
  <c r="CC120"/>
  <c r="CB120"/>
  <c r="CA120"/>
  <c r="BZ120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Q119"/>
  <c r="DP119"/>
  <c r="DO119"/>
  <c r="DN119"/>
  <c r="DM119"/>
  <c r="DL119"/>
  <c r="DK119"/>
  <c r="DJ119"/>
  <c r="DI119"/>
  <c r="DH119"/>
  <c r="DG119"/>
  <c r="DF119"/>
  <c r="DE119"/>
  <c r="DB119"/>
  <c r="DA119"/>
  <c r="CZ119"/>
  <c r="CY119"/>
  <c r="CX119"/>
  <c r="CW119"/>
  <c r="CV119"/>
  <c r="CU119"/>
  <c r="CT119"/>
  <c r="CS119"/>
  <c r="CR119"/>
  <c r="CQ119"/>
  <c r="CP119"/>
  <c r="CO119"/>
  <c r="CN119"/>
  <c r="CM119"/>
  <c r="CL119"/>
  <c r="CK119"/>
  <c r="CJ119"/>
  <c r="CI119"/>
  <c r="CH119"/>
  <c r="CG119"/>
  <c r="CF119"/>
  <c r="CE119"/>
  <c r="CD119"/>
  <c r="CC119"/>
  <c r="CB119"/>
  <c r="CA119"/>
  <c r="BZ119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Q118"/>
  <c r="DP118"/>
  <c r="DO118"/>
  <c r="DN118"/>
  <c r="DM118"/>
  <c r="DL118"/>
  <c r="DK118"/>
  <c r="DJ118"/>
  <c r="DI118"/>
  <c r="DH118"/>
  <c r="DG118"/>
  <c r="DF118"/>
  <c r="DE118"/>
  <c r="DB118"/>
  <c r="DA118"/>
  <c r="CZ118"/>
  <c r="CY118"/>
  <c r="CX118"/>
  <c r="CW118"/>
  <c r="CV118"/>
  <c r="CU118"/>
  <c r="CT118"/>
  <c r="CS118"/>
  <c r="CR118"/>
  <c r="CQ118"/>
  <c r="CP118"/>
  <c r="CO118"/>
  <c r="CN118"/>
  <c r="CM118"/>
  <c r="CL118"/>
  <c r="CK118"/>
  <c r="CJ118"/>
  <c r="CI118"/>
  <c r="CH118"/>
  <c r="CG118"/>
  <c r="CF118"/>
  <c r="CE118"/>
  <c r="CD118"/>
  <c r="CC118"/>
  <c r="CB118"/>
  <c r="CA118"/>
  <c r="BZ118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Q117"/>
  <c r="DP117"/>
  <c r="DO117"/>
  <c r="DN117"/>
  <c r="DM117"/>
  <c r="DL117"/>
  <c r="DK117"/>
  <c r="DJ117"/>
  <c r="DI117"/>
  <c r="DH117"/>
  <c r="DG117"/>
  <c r="DF117"/>
  <c r="DE117"/>
  <c r="DB117"/>
  <c r="DA117"/>
  <c r="CZ117"/>
  <c r="CY117"/>
  <c r="CX117"/>
  <c r="CW117"/>
  <c r="CV117"/>
  <c r="CU117"/>
  <c r="CT117"/>
  <c r="CS117"/>
  <c r="CR117"/>
  <c r="CQ117"/>
  <c r="CP117"/>
  <c r="CO117"/>
  <c r="CN117"/>
  <c r="CM117"/>
  <c r="CL117"/>
  <c r="CK117"/>
  <c r="CJ117"/>
  <c r="CI117"/>
  <c r="CH117"/>
  <c r="CG117"/>
  <c r="CF117"/>
  <c r="CE117"/>
  <c r="CD117"/>
  <c r="CC117"/>
  <c r="CB117"/>
  <c r="CA117"/>
  <c r="BZ117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Q116"/>
  <c r="DP116"/>
  <c r="DO116"/>
  <c r="DN116"/>
  <c r="DM116"/>
  <c r="DL116"/>
  <c r="DK116"/>
  <c r="DJ116"/>
  <c r="DI116"/>
  <c r="DH116"/>
  <c r="DG116"/>
  <c r="DF116"/>
  <c r="DE116"/>
  <c r="DB116"/>
  <c r="DA116"/>
  <c r="CZ116"/>
  <c r="CY116"/>
  <c r="CX116"/>
  <c r="CW116"/>
  <c r="CV116"/>
  <c r="CU116"/>
  <c r="CT116"/>
  <c r="CS116"/>
  <c r="CR116"/>
  <c r="CQ116"/>
  <c r="CP116"/>
  <c r="CO116"/>
  <c r="CN116"/>
  <c r="CM116"/>
  <c r="CL116"/>
  <c r="CK116"/>
  <c r="CJ116"/>
  <c r="CI116"/>
  <c r="CH116"/>
  <c r="CG116"/>
  <c r="CF116"/>
  <c r="CE116"/>
  <c r="CD116"/>
  <c r="CC116"/>
  <c r="CB116"/>
  <c r="CA116"/>
  <c r="BZ116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L115"/>
  <c r="DK115"/>
  <c r="DJ115"/>
  <c r="DI115"/>
  <c r="DH115"/>
  <c r="DG115"/>
  <c r="DF115"/>
  <c r="DE115"/>
  <c r="DB115"/>
  <c r="DA115"/>
  <c r="CZ115"/>
  <c r="CY115"/>
  <c r="CX115"/>
  <c r="CW115"/>
  <c r="CV115"/>
  <c r="CU115"/>
  <c r="CT115"/>
  <c r="CS115"/>
  <c r="CR115"/>
  <c r="CQ115"/>
  <c r="CP115"/>
  <c r="CO115"/>
  <c r="CN115"/>
  <c r="CM115"/>
  <c r="CL115"/>
  <c r="CK115"/>
  <c r="CJ115"/>
  <c r="CI115"/>
  <c r="CH115"/>
  <c r="CG115"/>
  <c r="CF115"/>
  <c r="CE115"/>
  <c r="CD115"/>
  <c r="CC115"/>
  <c r="CB115"/>
  <c r="CA115"/>
  <c r="BZ115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Q114"/>
  <c r="DP114"/>
  <c r="DO114"/>
  <c r="DN114"/>
  <c r="DM114"/>
  <c r="DL114"/>
  <c r="DK114"/>
  <c r="DJ114"/>
  <c r="DI114"/>
  <c r="DH114"/>
  <c r="DG114"/>
  <c r="DF114"/>
  <c r="DE114"/>
  <c r="DB114"/>
  <c r="DA114"/>
  <c r="CZ114"/>
  <c r="CY114"/>
  <c r="CX114"/>
  <c r="CW114"/>
  <c r="CV114"/>
  <c r="CU114"/>
  <c r="CT114"/>
  <c r="CS114"/>
  <c r="CR114"/>
  <c r="CQ114"/>
  <c r="CP114"/>
  <c r="CO114"/>
  <c r="CN114"/>
  <c r="CM114"/>
  <c r="CL114"/>
  <c r="CK114"/>
  <c r="CJ114"/>
  <c r="CI114"/>
  <c r="CH114"/>
  <c r="CG114"/>
  <c r="CF114"/>
  <c r="CE114"/>
  <c r="CD114"/>
  <c r="CC114"/>
  <c r="CB114"/>
  <c r="CA114"/>
  <c r="BZ114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DE113"/>
  <c r="DB113"/>
  <c r="DA113"/>
  <c r="CZ113"/>
  <c r="CY113"/>
  <c r="CX113"/>
  <c r="CW113"/>
  <c r="CV113"/>
  <c r="CU113"/>
  <c r="CT113"/>
  <c r="CS113"/>
  <c r="CR113"/>
  <c r="CQ113"/>
  <c r="CP113"/>
  <c r="CO113"/>
  <c r="CN113"/>
  <c r="CM113"/>
  <c r="CL113"/>
  <c r="CK113"/>
  <c r="CJ113"/>
  <c r="CI113"/>
  <c r="CH113"/>
  <c r="CG113"/>
  <c r="CF113"/>
  <c r="CE113"/>
  <c r="CD113"/>
  <c r="CC113"/>
  <c r="CB113"/>
  <c r="CA113"/>
  <c r="BZ113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Q112"/>
  <c r="DP112"/>
  <c r="DO112"/>
  <c r="DN112"/>
  <c r="DM112"/>
  <c r="DL112"/>
  <c r="DK112"/>
  <c r="DJ112"/>
  <c r="DI112"/>
  <c r="DH112"/>
  <c r="DG112"/>
  <c r="DF112"/>
  <c r="DE112"/>
  <c r="DB112"/>
  <c r="DA112"/>
  <c r="CZ112"/>
  <c r="CY112"/>
  <c r="CX112"/>
  <c r="CW112"/>
  <c r="CV112"/>
  <c r="CU112"/>
  <c r="CT112"/>
  <c r="CS112"/>
  <c r="CR112"/>
  <c r="CQ112"/>
  <c r="CP112"/>
  <c r="CO112"/>
  <c r="CN112"/>
  <c r="CM112"/>
  <c r="CL112"/>
  <c r="CK112"/>
  <c r="CJ112"/>
  <c r="CI112"/>
  <c r="CH112"/>
  <c r="CG112"/>
  <c r="CF112"/>
  <c r="CE112"/>
  <c r="CD112"/>
  <c r="CC112"/>
  <c r="CB112"/>
  <c r="CA112"/>
  <c r="BZ112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Q111"/>
  <c r="DP111"/>
  <c r="DO111"/>
  <c r="DN111"/>
  <c r="DM111"/>
  <c r="DL111"/>
  <c r="DK111"/>
  <c r="DJ111"/>
  <c r="DI111"/>
  <c r="DH111"/>
  <c r="DG111"/>
  <c r="DF111"/>
  <c r="DE111"/>
  <c r="DB111"/>
  <c r="DA111"/>
  <c r="CZ111"/>
  <c r="CY111"/>
  <c r="CX111"/>
  <c r="CW111"/>
  <c r="CV111"/>
  <c r="CU111"/>
  <c r="CT111"/>
  <c r="CS111"/>
  <c r="CR111"/>
  <c r="CQ111"/>
  <c r="CP111"/>
  <c r="CO111"/>
  <c r="CN111"/>
  <c r="CM111"/>
  <c r="CL111"/>
  <c r="CK111"/>
  <c r="CJ111"/>
  <c r="CI111"/>
  <c r="CH111"/>
  <c r="CG111"/>
  <c r="CF111"/>
  <c r="CE111"/>
  <c r="CD111"/>
  <c r="CC111"/>
  <c r="CB111"/>
  <c r="CA111"/>
  <c r="BZ111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DE110"/>
  <c r="DB110"/>
  <c r="DA110"/>
  <c r="CZ110"/>
  <c r="CY110"/>
  <c r="CX110"/>
  <c r="CW110"/>
  <c r="CV110"/>
  <c r="CU110"/>
  <c r="CT110"/>
  <c r="CS110"/>
  <c r="CR110"/>
  <c r="CQ110"/>
  <c r="CP110"/>
  <c r="CO110"/>
  <c r="CN110"/>
  <c r="CM110"/>
  <c r="CL110"/>
  <c r="CK110"/>
  <c r="CJ110"/>
  <c r="CI110"/>
  <c r="CH110"/>
  <c r="CG110"/>
  <c r="CF110"/>
  <c r="CE110"/>
  <c r="CD110"/>
  <c r="CC110"/>
  <c r="CB110"/>
  <c r="CA110"/>
  <c r="BZ110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DE109"/>
  <c r="DB109"/>
  <c r="DA109"/>
  <c r="CZ109"/>
  <c r="CY109"/>
  <c r="CX109"/>
  <c r="CW109"/>
  <c r="CV109"/>
  <c r="CU109"/>
  <c r="CT109"/>
  <c r="CS109"/>
  <c r="CR109"/>
  <c r="CQ109"/>
  <c r="CP109"/>
  <c r="CO109"/>
  <c r="CN109"/>
  <c r="CM109"/>
  <c r="CL109"/>
  <c r="CK109"/>
  <c r="CJ109"/>
  <c r="CI109"/>
  <c r="CH109"/>
  <c r="CG109"/>
  <c r="CF109"/>
  <c r="CE109"/>
  <c r="CD109"/>
  <c r="CC109"/>
  <c r="CB109"/>
  <c r="CA109"/>
  <c r="BZ109"/>
  <c r="EG108"/>
  <c r="EF108"/>
  <c r="EE108"/>
  <c r="ED108"/>
  <c r="EC108"/>
  <c r="EB108"/>
  <c r="EA108"/>
  <c r="DZ108"/>
  <c r="DY108"/>
  <c r="DX108"/>
  <c r="DW108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DE108"/>
  <c r="DB108"/>
  <c r="DA108"/>
  <c r="CZ108"/>
  <c r="CY108"/>
  <c r="CX108"/>
  <c r="CW108"/>
  <c r="CV108"/>
  <c r="CU108"/>
  <c r="CT108"/>
  <c r="CS108"/>
  <c r="CR108"/>
  <c r="CQ108"/>
  <c r="CP108"/>
  <c r="CO108"/>
  <c r="CN108"/>
  <c r="CM108"/>
  <c r="CL108"/>
  <c r="CK108"/>
  <c r="CJ108"/>
  <c r="CI108"/>
  <c r="CH108"/>
  <c r="CG108"/>
  <c r="CF108"/>
  <c r="CE108"/>
  <c r="CD108"/>
  <c r="CC108"/>
  <c r="CB108"/>
  <c r="CA108"/>
  <c r="BZ108"/>
  <c r="EG107"/>
  <c r="EF107"/>
  <c r="EE107"/>
  <c r="ED107"/>
  <c r="EC107"/>
  <c r="EB107"/>
  <c r="EA107"/>
  <c r="DZ107"/>
  <c r="DY107"/>
  <c r="DX107"/>
  <c r="DW107"/>
  <c r="DV107"/>
  <c r="DU107"/>
  <c r="DT107"/>
  <c r="DS107"/>
  <c r="DR107"/>
  <c r="DQ107"/>
  <c r="DP107"/>
  <c r="DO107"/>
  <c r="DN107"/>
  <c r="DM107"/>
  <c r="DL107"/>
  <c r="DK107"/>
  <c r="DJ107"/>
  <c r="DI107"/>
  <c r="DH107"/>
  <c r="DG107"/>
  <c r="DF107"/>
  <c r="DE107"/>
  <c r="DB107"/>
  <c r="DA107"/>
  <c r="CZ107"/>
  <c r="CY107"/>
  <c r="CX107"/>
  <c r="CW107"/>
  <c r="CV107"/>
  <c r="CU107"/>
  <c r="CT107"/>
  <c r="CS107"/>
  <c r="CR107"/>
  <c r="CQ107"/>
  <c r="CP107"/>
  <c r="CO107"/>
  <c r="CN107"/>
  <c r="CM107"/>
  <c r="CL107"/>
  <c r="CK107"/>
  <c r="CJ107"/>
  <c r="CI107"/>
  <c r="CH107"/>
  <c r="CG107"/>
  <c r="CF107"/>
  <c r="CE107"/>
  <c r="CD107"/>
  <c r="CC107"/>
  <c r="CB107"/>
  <c r="CA107"/>
  <c r="BZ107"/>
  <c r="EG106"/>
  <c r="EF106"/>
  <c r="EE106"/>
  <c r="ED106"/>
  <c r="EC106"/>
  <c r="EB106"/>
  <c r="EA106"/>
  <c r="DZ106"/>
  <c r="DY106"/>
  <c r="DX106"/>
  <c r="DW106"/>
  <c r="DV106"/>
  <c r="DU106"/>
  <c r="DT106"/>
  <c r="DS106"/>
  <c r="DR106"/>
  <c r="DQ106"/>
  <c r="DP106"/>
  <c r="DO106"/>
  <c r="DN106"/>
  <c r="DM106"/>
  <c r="DL106"/>
  <c r="DK106"/>
  <c r="DJ106"/>
  <c r="DI106"/>
  <c r="DH106"/>
  <c r="DG106"/>
  <c r="DF106"/>
  <c r="DE106"/>
  <c r="DB106"/>
  <c r="DA106"/>
  <c r="CZ106"/>
  <c r="CY106"/>
  <c r="CX106"/>
  <c r="CW106"/>
  <c r="CV106"/>
  <c r="CU106"/>
  <c r="CT106"/>
  <c r="CS106"/>
  <c r="CR106"/>
  <c r="CQ106"/>
  <c r="CP106"/>
  <c r="CO106"/>
  <c r="CN106"/>
  <c r="CM106"/>
  <c r="CL106"/>
  <c r="CK106"/>
  <c r="CJ106"/>
  <c r="CI106"/>
  <c r="CH106"/>
  <c r="CG106"/>
  <c r="CF106"/>
  <c r="CE106"/>
  <c r="CD106"/>
  <c r="CC106"/>
  <c r="CB106"/>
  <c r="CA106"/>
  <c r="BZ106"/>
  <c r="EG105"/>
  <c r="EF105"/>
  <c r="EE105"/>
  <c r="ED105"/>
  <c r="EC105"/>
  <c r="EB105"/>
  <c r="EA105"/>
  <c r="DZ105"/>
  <c r="DY105"/>
  <c r="DX105"/>
  <c r="DW105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DE105"/>
  <c r="DB105"/>
  <c r="DA105"/>
  <c r="CZ105"/>
  <c r="CY105"/>
  <c r="CX105"/>
  <c r="CW105"/>
  <c r="CV105"/>
  <c r="CU105"/>
  <c r="CT105"/>
  <c r="CS105"/>
  <c r="CR105"/>
  <c r="CQ105"/>
  <c r="CP105"/>
  <c r="CO105"/>
  <c r="CN105"/>
  <c r="CM105"/>
  <c r="CL105"/>
  <c r="CK105"/>
  <c r="CJ105"/>
  <c r="CI105"/>
  <c r="CH105"/>
  <c r="CG105"/>
  <c r="CF105"/>
  <c r="CE105"/>
  <c r="CD105"/>
  <c r="CC105"/>
  <c r="CB105"/>
  <c r="CA105"/>
  <c r="BZ105"/>
  <c r="EG104"/>
  <c r="EF104"/>
  <c r="EE104"/>
  <c r="ED104"/>
  <c r="EC104"/>
  <c r="EB104"/>
  <c r="EA104"/>
  <c r="DZ104"/>
  <c r="DY104"/>
  <c r="DX104"/>
  <c r="DW104"/>
  <c r="DV104"/>
  <c r="DU104"/>
  <c r="DT104"/>
  <c r="DS104"/>
  <c r="DR104"/>
  <c r="DQ104"/>
  <c r="DP104"/>
  <c r="DO104"/>
  <c r="DN104"/>
  <c r="DM104"/>
  <c r="DL104"/>
  <c r="DK104"/>
  <c r="DJ104"/>
  <c r="DI104"/>
  <c r="DH104"/>
  <c r="DG104"/>
  <c r="DF104"/>
  <c r="DE104"/>
  <c r="DB104"/>
  <c r="DA104"/>
  <c r="CZ104"/>
  <c r="CY104"/>
  <c r="CX104"/>
  <c r="CW104"/>
  <c r="CV104"/>
  <c r="CU104"/>
  <c r="CT104"/>
  <c r="CS104"/>
  <c r="CR104"/>
  <c r="CQ104"/>
  <c r="CP104"/>
  <c r="CO104"/>
  <c r="CN104"/>
  <c r="CM104"/>
  <c r="CL104"/>
  <c r="CK104"/>
  <c r="CJ104"/>
  <c r="CI104"/>
  <c r="CH104"/>
  <c r="CG104"/>
  <c r="CF104"/>
  <c r="CE104"/>
  <c r="CD104"/>
  <c r="CC104"/>
  <c r="CB104"/>
  <c r="CA104"/>
  <c r="BZ104"/>
  <c r="EG103"/>
  <c r="EF103"/>
  <c r="EE103"/>
  <c r="ED103"/>
  <c r="EC103"/>
  <c r="EB103"/>
  <c r="EA103"/>
  <c r="DZ103"/>
  <c r="DY103"/>
  <c r="DX103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DE103"/>
  <c r="DB103"/>
  <c r="DA103"/>
  <c r="CZ103"/>
  <c r="CY103"/>
  <c r="CX103"/>
  <c r="CW103"/>
  <c r="CV103"/>
  <c r="CU103"/>
  <c r="CT103"/>
  <c r="CS103"/>
  <c r="CR103"/>
  <c r="CQ103"/>
  <c r="CP103"/>
  <c r="CO103"/>
  <c r="CN103"/>
  <c r="CM103"/>
  <c r="CL103"/>
  <c r="CK103"/>
  <c r="CJ103"/>
  <c r="CI103"/>
  <c r="CH103"/>
  <c r="CG103"/>
  <c r="CF103"/>
  <c r="CE103"/>
  <c r="CD103"/>
  <c r="CC103"/>
  <c r="CB103"/>
  <c r="CA103"/>
  <c r="BZ103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Q102"/>
  <c r="DP102"/>
  <c r="DO102"/>
  <c r="DN102"/>
  <c r="DM102"/>
  <c r="DL102"/>
  <c r="DK102"/>
  <c r="DJ102"/>
  <c r="DI102"/>
  <c r="DH102"/>
  <c r="DG102"/>
  <c r="DF102"/>
  <c r="DE102"/>
  <c r="DB102"/>
  <c r="DA102"/>
  <c r="CZ102"/>
  <c r="CY102"/>
  <c r="CX102"/>
  <c r="CW102"/>
  <c r="CV102"/>
  <c r="CU102"/>
  <c r="CT102"/>
  <c r="CS102"/>
  <c r="CR102"/>
  <c r="CQ102"/>
  <c r="CP102"/>
  <c r="CO102"/>
  <c r="CN102"/>
  <c r="CM102"/>
  <c r="CL102"/>
  <c r="CK102"/>
  <c r="CJ102"/>
  <c r="CI102"/>
  <c r="CH102"/>
  <c r="CG102"/>
  <c r="CF102"/>
  <c r="CE102"/>
  <c r="CD102"/>
  <c r="CC102"/>
  <c r="CB102"/>
  <c r="CA102"/>
  <c r="BZ102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Q101"/>
  <c r="DP101"/>
  <c r="DO101"/>
  <c r="DN101"/>
  <c r="DM101"/>
  <c r="DL101"/>
  <c r="DK101"/>
  <c r="DJ101"/>
  <c r="DI101"/>
  <c r="DH101"/>
  <c r="DG101"/>
  <c r="DF101"/>
  <c r="DE101"/>
  <c r="DB101"/>
  <c r="DA101"/>
  <c r="CZ101"/>
  <c r="CY101"/>
  <c r="CX101"/>
  <c r="CW101"/>
  <c r="CV101"/>
  <c r="CU101"/>
  <c r="CT101"/>
  <c r="CS101"/>
  <c r="CR101"/>
  <c r="CQ101"/>
  <c r="CP101"/>
  <c r="CO101"/>
  <c r="CN101"/>
  <c r="CM101"/>
  <c r="CL101"/>
  <c r="CK101"/>
  <c r="CJ101"/>
  <c r="CI101"/>
  <c r="CH101"/>
  <c r="CG101"/>
  <c r="CF101"/>
  <c r="CE101"/>
  <c r="CD101"/>
  <c r="CC101"/>
  <c r="CB101"/>
  <c r="CA101"/>
  <c r="BZ101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Q100"/>
  <c r="DP100"/>
  <c r="DO100"/>
  <c r="DN100"/>
  <c r="DM100"/>
  <c r="DL100"/>
  <c r="DK100"/>
  <c r="DJ100"/>
  <c r="DI100"/>
  <c r="DH100"/>
  <c r="DG100"/>
  <c r="DF100"/>
  <c r="DE100"/>
  <c r="DB100"/>
  <c r="DA100"/>
  <c r="CZ100"/>
  <c r="CY100"/>
  <c r="CX100"/>
  <c r="CW100"/>
  <c r="CV100"/>
  <c r="CU100"/>
  <c r="CT100"/>
  <c r="CS100"/>
  <c r="CR100"/>
  <c r="CQ100"/>
  <c r="CP100"/>
  <c r="CO100"/>
  <c r="CN100"/>
  <c r="CM100"/>
  <c r="CL100"/>
  <c r="CK100"/>
  <c r="CJ100"/>
  <c r="CI100"/>
  <c r="CH100"/>
  <c r="CG100"/>
  <c r="CF100"/>
  <c r="CE100"/>
  <c r="CD100"/>
  <c r="CC100"/>
  <c r="CB100"/>
  <c r="CA100"/>
  <c r="BZ100"/>
  <c r="EG99"/>
  <c r="EF99"/>
  <c r="EE99"/>
  <c r="ED99"/>
  <c r="EC99"/>
  <c r="EB99"/>
  <c r="EA99"/>
  <c r="DZ99"/>
  <c r="DY99"/>
  <c r="DX99"/>
  <c r="DW99"/>
  <c r="DV99"/>
  <c r="DU99"/>
  <c r="DT99"/>
  <c r="DS99"/>
  <c r="DR99"/>
  <c r="DQ99"/>
  <c r="DP99"/>
  <c r="DO99"/>
  <c r="DN99"/>
  <c r="DM99"/>
  <c r="DL99"/>
  <c r="DK99"/>
  <c r="DJ99"/>
  <c r="DI99"/>
  <c r="DH99"/>
  <c r="DG99"/>
  <c r="DF99"/>
  <c r="DE99"/>
  <c r="DB99"/>
  <c r="DA99"/>
  <c r="CZ99"/>
  <c r="CY99"/>
  <c r="CX99"/>
  <c r="CW99"/>
  <c r="CV99"/>
  <c r="CU99"/>
  <c r="CT99"/>
  <c r="CS99"/>
  <c r="CR99"/>
  <c r="CQ99"/>
  <c r="CP99"/>
  <c r="CO99"/>
  <c r="CN99"/>
  <c r="CM99"/>
  <c r="CL99"/>
  <c r="CK99"/>
  <c r="CJ99"/>
  <c r="CI99"/>
  <c r="CH99"/>
  <c r="CG99"/>
  <c r="CF99"/>
  <c r="CE99"/>
  <c r="CD99"/>
  <c r="CC99"/>
  <c r="CB99"/>
  <c r="CA99"/>
  <c r="BZ99"/>
  <c r="EG98"/>
  <c r="EF98"/>
  <c r="EE98"/>
  <c r="ED98"/>
  <c r="EC98"/>
  <c r="EB98"/>
  <c r="EA98"/>
  <c r="DZ98"/>
  <c r="DY98"/>
  <c r="DX98"/>
  <c r="DW98"/>
  <c r="DV98"/>
  <c r="DU98"/>
  <c r="DT98"/>
  <c r="DS98"/>
  <c r="DR98"/>
  <c r="DQ98"/>
  <c r="DP98"/>
  <c r="DO98"/>
  <c r="DN98"/>
  <c r="DM98"/>
  <c r="DL98"/>
  <c r="DK98"/>
  <c r="DJ98"/>
  <c r="DI98"/>
  <c r="DH98"/>
  <c r="DG98"/>
  <c r="DF98"/>
  <c r="DE98"/>
  <c r="DB98"/>
  <c r="DA98"/>
  <c r="CZ98"/>
  <c r="CY98"/>
  <c r="CX98"/>
  <c r="CW98"/>
  <c r="CV98"/>
  <c r="CU98"/>
  <c r="CT98"/>
  <c r="CS98"/>
  <c r="CR98"/>
  <c r="CQ98"/>
  <c r="CP98"/>
  <c r="CO98"/>
  <c r="CN98"/>
  <c r="CM98"/>
  <c r="CL98"/>
  <c r="CK98"/>
  <c r="CJ98"/>
  <c r="CI98"/>
  <c r="CH98"/>
  <c r="CG98"/>
  <c r="CF98"/>
  <c r="CE98"/>
  <c r="CD98"/>
  <c r="CC98"/>
  <c r="CB98"/>
  <c r="CA98"/>
  <c r="BZ98"/>
  <c r="EG97"/>
  <c r="EF97"/>
  <c r="EE97"/>
  <c r="ED97"/>
  <c r="EC97"/>
  <c r="EB97"/>
  <c r="EA97"/>
  <c r="DZ97"/>
  <c r="DY97"/>
  <c r="DX97"/>
  <c r="DW97"/>
  <c r="DV97"/>
  <c r="DU97"/>
  <c r="DT97"/>
  <c r="DS97"/>
  <c r="DR97"/>
  <c r="DQ97"/>
  <c r="DP97"/>
  <c r="DO97"/>
  <c r="DN97"/>
  <c r="DM97"/>
  <c r="DL97"/>
  <c r="DK97"/>
  <c r="DJ97"/>
  <c r="DI97"/>
  <c r="DH97"/>
  <c r="DG97"/>
  <c r="DF97"/>
  <c r="DE97"/>
  <c r="DB97"/>
  <c r="DA97"/>
  <c r="CZ97"/>
  <c r="CY97"/>
  <c r="CX97"/>
  <c r="CW97"/>
  <c r="CV97"/>
  <c r="CU97"/>
  <c r="CT97"/>
  <c r="CS97"/>
  <c r="CR97"/>
  <c r="CQ97"/>
  <c r="CP97"/>
  <c r="CO97"/>
  <c r="CN97"/>
  <c r="CM97"/>
  <c r="CL97"/>
  <c r="CK97"/>
  <c r="CJ97"/>
  <c r="CI97"/>
  <c r="CH97"/>
  <c r="CG97"/>
  <c r="CF97"/>
  <c r="CE97"/>
  <c r="CD97"/>
  <c r="CC97"/>
  <c r="CB97"/>
  <c r="CA97"/>
  <c r="BZ97"/>
  <c r="EG96"/>
  <c r="EF96"/>
  <c r="EE96"/>
  <c r="ED96"/>
  <c r="EC96"/>
  <c r="EB96"/>
  <c r="EA96"/>
  <c r="DZ96"/>
  <c r="DY96"/>
  <c r="DX96"/>
  <c r="DW96"/>
  <c r="DV96"/>
  <c r="DU96"/>
  <c r="DT96"/>
  <c r="DS96"/>
  <c r="DR96"/>
  <c r="DQ96"/>
  <c r="DP96"/>
  <c r="DO96"/>
  <c r="DN96"/>
  <c r="DM96"/>
  <c r="DL96"/>
  <c r="DK96"/>
  <c r="DJ96"/>
  <c r="DI96"/>
  <c r="DH96"/>
  <c r="DG96"/>
  <c r="DF96"/>
  <c r="DE96"/>
  <c r="DB96"/>
  <c r="DA96"/>
  <c r="CZ96"/>
  <c r="CY96"/>
  <c r="CX96"/>
  <c r="CW96"/>
  <c r="CV96"/>
  <c r="CU96"/>
  <c r="CT96"/>
  <c r="CS96"/>
  <c r="CR96"/>
  <c r="CQ96"/>
  <c r="CP96"/>
  <c r="CO96"/>
  <c r="CN96"/>
  <c r="CM96"/>
  <c r="CL96"/>
  <c r="CK96"/>
  <c r="CJ96"/>
  <c r="CI96"/>
  <c r="CH96"/>
  <c r="CG96"/>
  <c r="CF96"/>
  <c r="CE96"/>
  <c r="CD96"/>
  <c r="CC96"/>
  <c r="CB96"/>
  <c r="CA96"/>
  <c r="BZ96"/>
  <c r="EG95"/>
  <c r="EF95"/>
  <c r="EE95"/>
  <c r="ED95"/>
  <c r="EC95"/>
  <c r="EB95"/>
  <c r="EA95"/>
  <c r="DZ95"/>
  <c r="DY95"/>
  <c r="DX95"/>
  <c r="DW95"/>
  <c r="DV95"/>
  <c r="DU95"/>
  <c r="DT95"/>
  <c r="DS95"/>
  <c r="DR95"/>
  <c r="DQ95"/>
  <c r="DP95"/>
  <c r="DO95"/>
  <c r="DN95"/>
  <c r="DM95"/>
  <c r="DL95"/>
  <c r="DK95"/>
  <c r="DJ95"/>
  <c r="DI95"/>
  <c r="DH95"/>
  <c r="DG95"/>
  <c r="DF95"/>
  <c r="DE95"/>
  <c r="DB95"/>
  <c r="DA95"/>
  <c r="CZ95"/>
  <c r="CY95"/>
  <c r="CX95"/>
  <c r="CW95"/>
  <c r="CV95"/>
  <c r="CU95"/>
  <c r="CT95"/>
  <c r="CS95"/>
  <c r="CR95"/>
  <c r="CQ95"/>
  <c r="CP95"/>
  <c r="CO95"/>
  <c r="CN95"/>
  <c r="CM95"/>
  <c r="CL95"/>
  <c r="CK95"/>
  <c r="CJ95"/>
  <c r="CI95"/>
  <c r="CH95"/>
  <c r="CG95"/>
  <c r="CF95"/>
  <c r="CE95"/>
  <c r="CD95"/>
  <c r="CC95"/>
  <c r="CB95"/>
  <c r="CA95"/>
  <c r="BZ95"/>
  <c r="EG94"/>
  <c r="EF94"/>
  <c r="EE94"/>
  <c r="ED94"/>
  <c r="EC94"/>
  <c r="EB94"/>
  <c r="EA94"/>
  <c r="DZ94"/>
  <c r="DY94"/>
  <c r="DX94"/>
  <c r="DW94"/>
  <c r="DV94"/>
  <c r="DU94"/>
  <c r="DT94"/>
  <c r="DS94"/>
  <c r="DR94"/>
  <c r="DQ94"/>
  <c r="DP94"/>
  <c r="DO94"/>
  <c r="DN94"/>
  <c r="DM94"/>
  <c r="DL94"/>
  <c r="DK94"/>
  <c r="DJ94"/>
  <c r="DI94"/>
  <c r="DH94"/>
  <c r="DG94"/>
  <c r="DF94"/>
  <c r="DE94"/>
  <c r="DB94"/>
  <c r="DA94"/>
  <c r="CZ94"/>
  <c r="CY94"/>
  <c r="CX94"/>
  <c r="CW94"/>
  <c r="CV94"/>
  <c r="CU94"/>
  <c r="CT94"/>
  <c r="CS94"/>
  <c r="CR94"/>
  <c r="CQ94"/>
  <c r="CP94"/>
  <c r="CO94"/>
  <c r="CN94"/>
  <c r="CM94"/>
  <c r="CL94"/>
  <c r="CK94"/>
  <c r="CJ94"/>
  <c r="CI94"/>
  <c r="CH94"/>
  <c r="CG94"/>
  <c r="CF94"/>
  <c r="CE94"/>
  <c r="CD94"/>
  <c r="CC94"/>
  <c r="CB94"/>
  <c r="CA94"/>
  <c r="BZ94"/>
  <c r="EG93"/>
  <c r="EF93"/>
  <c r="EE93"/>
  <c r="ED93"/>
  <c r="EC93"/>
  <c r="EB93"/>
  <c r="EA93"/>
  <c r="DZ93"/>
  <c r="DY93"/>
  <c r="DX93"/>
  <c r="DW93"/>
  <c r="DV93"/>
  <c r="DU93"/>
  <c r="DT93"/>
  <c r="DS93"/>
  <c r="DR93"/>
  <c r="DQ93"/>
  <c r="DP93"/>
  <c r="DO93"/>
  <c r="DN93"/>
  <c r="DM93"/>
  <c r="DL93"/>
  <c r="DK93"/>
  <c r="DJ93"/>
  <c r="DI93"/>
  <c r="DH93"/>
  <c r="DG93"/>
  <c r="DF93"/>
  <c r="DE93"/>
  <c r="DB93"/>
  <c r="DA93"/>
  <c r="CZ93"/>
  <c r="CY93"/>
  <c r="CX93"/>
  <c r="CW93"/>
  <c r="CV93"/>
  <c r="CU93"/>
  <c r="CT93"/>
  <c r="CS93"/>
  <c r="CR93"/>
  <c r="CQ93"/>
  <c r="CP93"/>
  <c r="CO93"/>
  <c r="CN93"/>
  <c r="CM93"/>
  <c r="CL93"/>
  <c r="CK93"/>
  <c r="CJ93"/>
  <c r="CI93"/>
  <c r="CH93"/>
  <c r="CG93"/>
  <c r="CF93"/>
  <c r="CE93"/>
  <c r="CD93"/>
  <c r="CC93"/>
  <c r="CB93"/>
  <c r="CA93"/>
  <c r="BZ93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H92"/>
  <c r="DG92"/>
  <c r="DF92"/>
  <c r="DE92"/>
  <c r="DB92"/>
  <c r="DA92"/>
  <c r="CZ92"/>
  <c r="CY92"/>
  <c r="CX92"/>
  <c r="CW92"/>
  <c r="CV92"/>
  <c r="CU92"/>
  <c r="CT92"/>
  <c r="CS92"/>
  <c r="CR92"/>
  <c r="CQ92"/>
  <c r="CP92"/>
  <c r="CO92"/>
  <c r="CN92"/>
  <c r="CM92"/>
  <c r="CL92"/>
  <c r="CK92"/>
  <c r="CJ92"/>
  <c r="CI92"/>
  <c r="CH92"/>
  <c r="CG92"/>
  <c r="CF92"/>
  <c r="CE92"/>
  <c r="CD92"/>
  <c r="CC92"/>
  <c r="CB92"/>
  <c r="CA92"/>
  <c r="BZ92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H91"/>
  <c r="DG91"/>
  <c r="DF91"/>
  <c r="DE91"/>
  <c r="DB91"/>
  <c r="DA91"/>
  <c r="CZ91"/>
  <c r="CY91"/>
  <c r="CX91"/>
  <c r="CW91"/>
  <c r="CV91"/>
  <c r="CU91"/>
  <c r="CT91"/>
  <c r="CS91"/>
  <c r="CR91"/>
  <c r="CQ91"/>
  <c r="CP91"/>
  <c r="CO91"/>
  <c r="CN91"/>
  <c r="CM91"/>
  <c r="CL91"/>
  <c r="CK91"/>
  <c r="CJ91"/>
  <c r="CI91"/>
  <c r="CH91"/>
  <c r="CG91"/>
  <c r="CF91"/>
  <c r="CE91"/>
  <c r="CD91"/>
  <c r="CC91"/>
  <c r="CB91"/>
  <c r="CA91"/>
  <c r="BZ91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H90"/>
  <c r="DG90"/>
  <c r="DF90"/>
  <c r="DE90"/>
  <c r="DB90"/>
  <c r="DA90"/>
  <c r="CZ90"/>
  <c r="CY90"/>
  <c r="CX90"/>
  <c r="CW90"/>
  <c r="CV90"/>
  <c r="CU90"/>
  <c r="CT90"/>
  <c r="CS90"/>
  <c r="CR90"/>
  <c r="CQ90"/>
  <c r="CP90"/>
  <c r="CO90"/>
  <c r="CN90"/>
  <c r="CM90"/>
  <c r="CL90"/>
  <c r="CK90"/>
  <c r="CJ90"/>
  <c r="CI90"/>
  <c r="CH90"/>
  <c r="CG90"/>
  <c r="CF90"/>
  <c r="CE90"/>
  <c r="CD90"/>
  <c r="CC90"/>
  <c r="CB90"/>
  <c r="CA90"/>
  <c r="BZ90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H89"/>
  <c r="DG89"/>
  <c r="DF89"/>
  <c r="DE89"/>
  <c r="DB89"/>
  <c r="DA89"/>
  <c r="CZ89"/>
  <c r="CY89"/>
  <c r="CX89"/>
  <c r="CW89"/>
  <c r="CV89"/>
  <c r="CU89"/>
  <c r="CT89"/>
  <c r="CS89"/>
  <c r="CR89"/>
  <c r="CQ89"/>
  <c r="CP89"/>
  <c r="CO89"/>
  <c r="CN89"/>
  <c r="CM89"/>
  <c r="CL89"/>
  <c r="CK89"/>
  <c r="CJ89"/>
  <c r="CI89"/>
  <c r="CH89"/>
  <c r="CG89"/>
  <c r="CF89"/>
  <c r="CE89"/>
  <c r="CD89"/>
  <c r="CC89"/>
  <c r="CB89"/>
  <c r="CA89"/>
  <c r="BZ89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H88"/>
  <c r="DG88"/>
  <c r="DF88"/>
  <c r="DE88"/>
  <c r="DB88"/>
  <c r="DA88"/>
  <c r="CZ88"/>
  <c r="CY88"/>
  <c r="CX88"/>
  <c r="CW88"/>
  <c r="CV88"/>
  <c r="CU88"/>
  <c r="CT88"/>
  <c r="CS88"/>
  <c r="CR88"/>
  <c r="CQ88"/>
  <c r="CP88"/>
  <c r="CO88"/>
  <c r="CN88"/>
  <c r="CM88"/>
  <c r="CL88"/>
  <c r="CK88"/>
  <c r="CJ88"/>
  <c r="CI88"/>
  <c r="CH88"/>
  <c r="CG88"/>
  <c r="CF88"/>
  <c r="CE88"/>
  <c r="CD88"/>
  <c r="CC88"/>
  <c r="CB88"/>
  <c r="CA88"/>
  <c r="BZ88"/>
  <c r="EG87"/>
  <c r="EF87"/>
  <c r="EE87"/>
  <c r="ED87"/>
  <c r="EC87"/>
  <c r="EB87"/>
  <c r="EA87"/>
  <c r="DZ87"/>
  <c r="DY87"/>
  <c r="DX87"/>
  <c r="DW87"/>
  <c r="DV87"/>
  <c r="DU87"/>
  <c r="DT87"/>
  <c r="DS87"/>
  <c r="DR87"/>
  <c r="DQ87"/>
  <c r="DP87"/>
  <c r="DO87"/>
  <c r="DN87"/>
  <c r="DM87"/>
  <c r="DL87"/>
  <c r="DK87"/>
  <c r="DJ87"/>
  <c r="DI87"/>
  <c r="DH87"/>
  <c r="DG87"/>
  <c r="DF87"/>
  <c r="DE87"/>
  <c r="DB87"/>
  <c r="DA87"/>
  <c r="CZ87"/>
  <c r="CY87"/>
  <c r="CX87"/>
  <c r="CW87"/>
  <c r="CV87"/>
  <c r="CU87"/>
  <c r="CT87"/>
  <c r="CS87"/>
  <c r="CR87"/>
  <c r="CQ87"/>
  <c r="CP87"/>
  <c r="CO87"/>
  <c r="CN87"/>
  <c r="CM87"/>
  <c r="CL87"/>
  <c r="CK87"/>
  <c r="CJ87"/>
  <c r="CI87"/>
  <c r="CH87"/>
  <c r="CG87"/>
  <c r="CF87"/>
  <c r="CE87"/>
  <c r="CD87"/>
  <c r="CC87"/>
  <c r="CB87"/>
  <c r="CA87"/>
  <c r="BZ87"/>
  <c r="EG86"/>
  <c r="EF86"/>
  <c r="EE86"/>
  <c r="ED86"/>
  <c r="EC86"/>
  <c r="EB86"/>
  <c r="EA86"/>
  <c r="DZ86"/>
  <c r="DY86"/>
  <c r="DX86"/>
  <c r="DW86"/>
  <c r="DV86"/>
  <c r="DU86"/>
  <c r="DT86"/>
  <c r="DS86"/>
  <c r="DR86"/>
  <c r="DQ86"/>
  <c r="DP86"/>
  <c r="DO86"/>
  <c r="DN86"/>
  <c r="DM86"/>
  <c r="DL86"/>
  <c r="DK86"/>
  <c r="DJ86"/>
  <c r="DI86"/>
  <c r="DH86"/>
  <c r="DG86"/>
  <c r="DF86"/>
  <c r="DE86"/>
  <c r="DB86"/>
  <c r="DA86"/>
  <c r="CZ86"/>
  <c r="CY86"/>
  <c r="CX86"/>
  <c r="CW86"/>
  <c r="CV86"/>
  <c r="CU86"/>
  <c r="CT86"/>
  <c r="CS86"/>
  <c r="CR86"/>
  <c r="CQ86"/>
  <c r="CP86"/>
  <c r="CO86"/>
  <c r="CN86"/>
  <c r="CM86"/>
  <c r="CL86"/>
  <c r="CK86"/>
  <c r="CJ86"/>
  <c r="CI86"/>
  <c r="CH86"/>
  <c r="CG86"/>
  <c r="CF86"/>
  <c r="CE86"/>
  <c r="CD86"/>
  <c r="CC86"/>
  <c r="CB86"/>
  <c r="CA86"/>
  <c r="BZ86"/>
  <c r="EG85"/>
  <c r="EF85"/>
  <c r="EE85"/>
  <c r="ED85"/>
  <c r="EC85"/>
  <c r="EB85"/>
  <c r="EA85"/>
  <c r="DZ85"/>
  <c r="DY85"/>
  <c r="DX85"/>
  <c r="DW85"/>
  <c r="DV85"/>
  <c r="DU85"/>
  <c r="DT85"/>
  <c r="DS85"/>
  <c r="DR85"/>
  <c r="DQ85"/>
  <c r="DP85"/>
  <c r="DO85"/>
  <c r="DN85"/>
  <c r="DM85"/>
  <c r="DL85"/>
  <c r="DK85"/>
  <c r="DJ85"/>
  <c r="DI85"/>
  <c r="DH85"/>
  <c r="DG85"/>
  <c r="DF85"/>
  <c r="DE85"/>
  <c r="DB85"/>
  <c r="DA85"/>
  <c r="CZ85"/>
  <c r="CY85"/>
  <c r="CX85"/>
  <c r="CW85"/>
  <c r="CV85"/>
  <c r="CU85"/>
  <c r="CT85"/>
  <c r="CS85"/>
  <c r="CR85"/>
  <c r="CQ85"/>
  <c r="CP85"/>
  <c r="CO85"/>
  <c r="CN85"/>
  <c r="CM85"/>
  <c r="CL85"/>
  <c r="CK85"/>
  <c r="CJ85"/>
  <c r="CI85"/>
  <c r="CH85"/>
  <c r="CG85"/>
  <c r="CF85"/>
  <c r="CE85"/>
  <c r="CD85"/>
  <c r="CC85"/>
  <c r="CB85"/>
  <c r="CA85"/>
  <c r="BZ85"/>
  <c r="EG84"/>
  <c r="EF84"/>
  <c r="EE84"/>
  <c r="ED84"/>
  <c r="EC84"/>
  <c r="EB84"/>
  <c r="EA84"/>
  <c r="DZ84"/>
  <c r="DY84"/>
  <c r="DX84"/>
  <c r="DW84"/>
  <c r="DV84"/>
  <c r="DU84"/>
  <c r="DT84"/>
  <c r="DS84"/>
  <c r="DR84"/>
  <c r="DQ84"/>
  <c r="DP84"/>
  <c r="DO84"/>
  <c r="DN84"/>
  <c r="DM84"/>
  <c r="DL84"/>
  <c r="DK84"/>
  <c r="DJ84"/>
  <c r="DI84"/>
  <c r="DH84"/>
  <c r="DG84"/>
  <c r="DF84"/>
  <c r="DE84"/>
  <c r="DB84"/>
  <c r="DA84"/>
  <c r="CZ84"/>
  <c r="CY84"/>
  <c r="CX84"/>
  <c r="CW84"/>
  <c r="CV84"/>
  <c r="CU84"/>
  <c r="CT84"/>
  <c r="CS84"/>
  <c r="CR84"/>
  <c r="CQ84"/>
  <c r="CP84"/>
  <c r="CO84"/>
  <c r="CN84"/>
  <c r="CM84"/>
  <c r="CL84"/>
  <c r="CK84"/>
  <c r="CJ84"/>
  <c r="CI84"/>
  <c r="CH84"/>
  <c r="CG84"/>
  <c r="CF84"/>
  <c r="CE84"/>
  <c r="CD84"/>
  <c r="CC84"/>
  <c r="CB84"/>
  <c r="CA84"/>
  <c r="BZ84"/>
  <c r="EG83"/>
  <c r="EF83"/>
  <c r="EE83"/>
  <c r="ED83"/>
  <c r="EC83"/>
  <c r="EB83"/>
  <c r="EA83"/>
  <c r="DZ83"/>
  <c r="DY83"/>
  <c r="DX83"/>
  <c r="DW83"/>
  <c r="DV83"/>
  <c r="DU83"/>
  <c r="DT83"/>
  <c r="DS83"/>
  <c r="DR83"/>
  <c r="DQ83"/>
  <c r="DP83"/>
  <c r="DO83"/>
  <c r="DN83"/>
  <c r="DM83"/>
  <c r="DL83"/>
  <c r="DK83"/>
  <c r="DJ83"/>
  <c r="DI83"/>
  <c r="DH83"/>
  <c r="DG83"/>
  <c r="DF83"/>
  <c r="DE83"/>
  <c r="DB83"/>
  <c r="DA83"/>
  <c r="CZ83"/>
  <c r="CY83"/>
  <c r="CX83"/>
  <c r="CW83"/>
  <c r="CV83"/>
  <c r="CU83"/>
  <c r="CT83"/>
  <c r="CS83"/>
  <c r="CR83"/>
  <c r="CQ83"/>
  <c r="CP83"/>
  <c r="CO83"/>
  <c r="CN83"/>
  <c r="CM83"/>
  <c r="CL83"/>
  <c r="CK83"/>
  <c r="CJ83"/>
  <c r="CI83"/>
  <c r="CH83"/>
  <c r="CG83"/>
  <c r="CF83"/>
  <c r="CE83"/>
  <c r="CD83"/>
  <c r="CC83"/>
  <c r="CB83"/>
  <c r="CA83"/>
  <c r="BZ83"/>
  <c r="EG82"/>
  <c r="EF82"/>
  <c r="EE82"/>
  <c r="ED82"/>
  <c r="EC82"/>
  <c r="EB82"/>
  <c r="EA82"/>
  <c r="DZ82"/>
  <c r="DY82"/>
  <c r="DX82"/>
  <c r="DW82"/>
  <c r="DV82"/>
  <c r="DU82"/>
  <c r="DT82"/>
  <c r="DS82"/>
  <c r="DR82"/>
  <c r="DQ82"/>
  <c r="DP82"/>
  <c r="DO82"/>
  <c r="DN82"/>
  <c r="DM82"/>
  <c r="DL82"/>
  <c r="DK82"/>
  <c r="DJ82"/>
  <c r="DI82"/>
  <c r="DH82"/>
  <c r="DG82"/>
  <c r="DF82"/>
  <c r="DE82"/>
  <c r="DB82"/>
  <c r="DA82"/>
  <c r="CZ82"/>
  <c r="CY82"/>
  <c r="CX82"/>
  <c r="CW82"/>
  <c r="CV82"/>
  <c r="CU82"/>
  <c r="CT82"/>
  <c r="CS82"/>
  <c r="CR82"/>
  <c r="CQ82"/>
  <c r="CP82"/>
  <c r="CO82"/>
  <c r="CN82"/>
  <c r="CM82"/>
  <c r="CL82"/>
  <c r="CK82"/>
  <c r="CJ82"/>
  <c r="CI82"/>
  <c r="CH82"/>
  <c r="CG82"/>
  <c r="CF82"/>
  <c r="CE82"/>
  <c r="CD82"/>
  <c r="CC82"/>
  <c r="CB82"/>
  <c r="CA82"/>
  <c r="BZ82"/>
  <c r="EG81"/>
  <c r="EF81"/>
  <c r="EE81"/>
  <c r="ED81"/>
  <c r="EC81"/>
  <c r="EB81"/>
  <c r="EA81"/>
  <c r="DZ81"/>
  <c r="DY81"/>
  <c r="DX81"/>
  <c r="DW81"/>
  <c r="DV81"/>
  <c r="DU81"/>
  <c r="DT81"/>
  <c r="DS81"/>
  <c r="DR81"/>
  <c r="DQ81"/>
  <c r="DP81"/>
  <c r="DO81"/>
  <c r="DN81"/>
  <c r="DM81"/>
  <c r="DL81"/>
  <c r="DK81"/>
  <c r="DJ81"/>
  <c r="DI81"/>
  <c r="DH81"/>
  <c r="DG81"/>
  <c r="DF81"/>
  <c r="DE81"/>
  <c r="DB81"/>
  <c r="DA81"/>
  <c r="CZ81"/>
  <c r="CY81"/>
  <c r="CX81"/>
  <c r="CW81"/>
  <c r="CV81"/>
  <c r="CU81"/>
  <c r="CT81"/>
  <c r="CS81"/>
  <c r="CR81"/>
  <c r="CQ81"/>
  <c r="CP81"/>
  <c r="CO81"/>
  <c r="CN81"/>
  <c r="CM81"/>
  <c r="CL81"/>
  <c r="CK81"/>
  <c r="CJ81"/>
  <c r="CI81"/>
  <c r="CH81"/>
  <c r="CG81"/>
  <c r="CF81"/>
  <c r="CE81"/>
  <c r="CD81"/>
  <c r="CC81"/>
  <c r="CB81"/>
  <c r="CA81"/>
  <c r="BZ81"/>
  <c r="EG80"/>
  <c r="EF80"/>
  <c r="EE80"/>
  <c r="ED80"/>
  <c r="EC80"/>
  <c r="EB80"/>
  <c r="EA80"/>
  <c r="DZ80"/>
  <c r="DY80"/>
  <c r="DX80"/>
  <c r="DW80"/>
  <c r="DV80"/>
  <c r="DU80"/>
  <c r="DT80"/>
  <c r="DS80"/>
  <c r="DR80"/>
  <c r="DQ80"/>
  <c r="DP80"/>
  <c r="DO80"/>
  <c r="DN80"/>
  <c r="DM80"/>
  <c r="DL80"/>
  <c r="DK80"/>
  <c r="DJ80"/>
  <c r="DI80"/>
  <c r="DH80"/>
  <c r="DG80"/>
  <c r="DF80"/>
  <c r="DE80"/>
  <c r="DB80"/>
  <c r="DA80"/>
  <c r="CZ80"/>
  <c r="CY80"/>
  <c r="CX80"/>
  <c r="CW80"/>
  <c r="CV80"/>
  <c r="CU80"/>
  <c r="CT80"/>
  <c r="CS80"/>
  <c r="CR80"/>
  <c r="CQ80"/>
  <c r="CP80"/>
  <c r="CO80"/>
  <c r="CN80"/>
  <c r="CM80"/>
  <c r="CL80"/>
  <c r="CK80"/>
  <c r="CJ80"/>
  <c r="CI80"/>
  <c r="CH80"/>
  <c r="CG80"/>
  <c r="CF80"/>
  <c r="CE80"/>
  <c r="CD80"/>
  <c r="CC80"/>
  <c r="CB80"/>
  <c r="CA80"/>
  <c r="BZ80"/>
  <c r="EG79"/>
  <c r="EF79"/>
  <c r="EE79"/>
  <c r="ED79"/>
  <c r="EC79"/>
  <c r="EB79"/>
  <c r="EA79"/>
  <c r="DZ79"/>
  <c r="DY79"/>
  <c r="DX79"/>
  <c r="DW79"/>
  <c r="DV79"/>
  <c r="DU79"/>
  <c r="DT79"/>
  <c r="DS79"/>
  <c r="DR79"/>
  <c r="DQ79"/>
  <c r="DP79"/>
  <c r="DO79"/>
  <c r="DN79"/>
  <c r="DM79"/>
  <c r="DL79"/>
  <c r="DK79"/>
  <c r="DJ79"/>
  <c r="DI79"/>
  <c r="DH79"/>
  <c r="DG79"/>
  <c r="DF79"/>
  <c r="DE79"/>
  <c r="DB79"/>
  <c r="DA79"/>
  <c r="CZ79"/>
  <c r="CY79"/>
  <c r="CX79"/>
  <c r="CW79"/>
  <c r="CV79"/>
  <c r="CU79"/>
  <c r="CT79"/>
  <c r="CS79"/>
  <c r="CR79"/>
  <c r="CQ79"/>
  <c r="CP79"/>
  <c r="CO79"/>
  <c r="CN79"/>
  <c r="CM79"/>
  <c r="CL79"/>
  <c r="CK79"/>
  <c r="CJ79"/>
  <c r="CI79"/>
  <c r="CH79"/>
  <c r="CG79"/>
  <c r="CF79"/>
  <c r="CE79"/>
  <c r="CD79"/>
  <c r="CC79"/>
  <c r="CB79"/>
  <c r="CA79"/>
  <c r="BZ79"/>
  <c r="EG78"/>
  <c r="EF78"/>
  <c r="EE78"/>
  <c r="ED78"/>
  <c r="EC78"/>
  <c r="EB78"/>
  <c r="EA78"/>
  <c r="DZ78"/>
  <c r="DY78"/>
  <c r="DX78"/>
  <c r="DW78"/>
  <c r="DV78"/>
  <c r="DU78"/>
  <c r="DT78"/>
  <c r="DS78"/>
  <c r="DR78"/>
  <c r="DQ78"/>
  <c r="DP78"/>
  <c r="DO78"/>
  <c r="DN78"/>
  <c r="DM78"/>
  <c r="DL78"/>
  <c r="DK78"/>
  <c r="DJ78"/>
  <c r="DI78"/>
  <c r="DH78"/>
  <c r="DG78"/>
  <c r="DF78"/>
  <c r="DE78"/>
  <c r="DB78"/>
  <c r="DA78"/>
  <c r="CZ78"/>
  <c r="CY78"/>
  <c r="CX78"/>
  <c r="CW78"/>
  <c r="CV78"/>
  <c r="CU78"/>
  <c r="CT78"/>
  <c r="CS78"/>
  <c r="CR78"/>
  <c r="CQ78"/>
  <c r="CP78"/>
  <c r="CO78"/>
  <c r="CN78"/>
  <c r="CM78"/>
  <c r="CL78"/>
  <c r="CK78"/>
  <c r="CJ78"/>
  <c r="CI78"/>
  <c r="CH78"/>
  <c r="CG78"/>
  <c r="CF78"/>
  <c r="CE78"/>
  <c r="CD78"/>
  <c r="CC78"/>
  <c r="CB78"/>
  <c r="CA78"/>
  <c r="BZ78"/>
  <c r="EG77"/>
  <c r="EF77"/>
  <c r="EE77"/>
  <c r="ED77"/>
  <c r="EC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H77"/>
  <c r="DG77"/>
  <c r="DF77"/>
  <c r="DE77"/>
  <c r="DB77"/>
  <c r="DA77"/>
  <c r="CZ77"/>
  <c r="CY77"/>
  <c r="CX77"/>
  <c r="CW77"/>
  <c r="CV77"/>
  <c r="CU77"/>
  <c r="CT77"/>
  <c r="CS77"/>
  <c r="CR77"/>
  <c r="CQ77"/>
  <c r="CP77"/>
  <c r="CO77"/>
  <c r="CN77"/>
  <c r="CM77"/>
  <c r="CL77"/>
  <c r="CK77"/>
  <c r="CJ77"/>
  <c r="CI77"/>
  <c r="CH77"/>
  <c r="CG77"/>
  <c r="CF77"/>
  <c r="CE77"/>
  <c r="CD77"/>
  <c r="CC77"/>
  <c r="CB77"/>
  <c r="CA77"/>
  <c r="BZ77"/>
  <c r="EG76"/>
  <c r="EF76"/>
  <c r="EE76"/>
  <c r="ED76"/>
  <c r="EC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H76"/>
  <c r="DG76"/>
  <c r="DF76"/>
  <c r="DE76"/>
  <c r="CT76"/>
  <c r="EF75"/>
  <c r="EE75"/>
  <c r="ED75"/>
  <c r="EC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H75"/>
  <c r="DG75"/>
  <c r="DF75"/>
  <c r="DE75"/>
  <c r="CT75"/>
  <c r="EG74"/>
  <c r="EF74"/>
  <c r="EE74"/>
  <c r="ED74"/>
  <c r="EC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H74"/>
  <c r="DG74"/>
  <c r="DF74"/>
  <c r="DE74"/>
  <c r="DB74"/>
  <c r="DA74"/>
  <c r="CZ74"/>
  <c r="CY74"/>
  <c r="CX74"/>
  <c r="CW74"/>
  <c r="CV74"/>
  <c r="CU74"/>
  <c r="CT74"/>
  <c r="CS74"/>
  <c r="CR74"/>
  <c r="CQ74"/>
  <c r="CP74"/>
  <c r="CO74"/>
  <c r="CN74"/>
  <c r="CM74"/>
  <c r="CL74"/>
  <c r="CK74"/>
  <c r="CJ74"/>
  <c r="CI74"/>
  <c r="CH74"/>
  <c r="CG74"/>
  <c r="CF74"/>
  <c r="CE74"/>
  <c r="CD74"/>
  <c r="CC74"/>
  <c r="CB74"/>
  <c r="CA74"/>
  <c r="BZ74"/>
  <c r="EG73"/>
  <c r="EF73"/>
  <c r="EE73"/>
  <c r="ED73"/>
  <c r="EC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H73"/>
  <c r="DG73"/>
  <c r="DF73"/>
  <c r="DE73"/>
  <c r="DB73"/>
  <c r="DA73"/>
  <c r="CZ73"/>
  <c r="CY73"/>
  <c r="CX73"/>
  <c r="CW73"/>
  <c r="CV73"/>
  <c r="CU73"/>
  <c r="CT73"/>
  <c r="CS73"/>
  <c r="CR73"/>
  <c r="CQ73"/>
  <c r="CP73"/>
  <c r="CO73"/>
  <c r="CN73"/>
  <c r="CM73"/>
  <c r="CL73"/>
  <c r="CK73"/>
  <c r="CJ73"/>
  <c r="CI73"/>
  <c r="CH73"/>
  <c r="CG73"/>
  <c r="CF73"/>
  <c r="CE73"/>
  <c r="CD73"/>
  <c r="CC73"/>
  <c r="CB73"/>
  <c r="CA73"/>
  <c r="BZ73"/>
  <c r="EG72"/>
  <c r="EF72"/>
  <c r="EE72"/>
  <c r="ED72"/>
  <c r="EC72"/>
  <c r="EB72"/>
  <c r="EA72"/>
  <c r="DZ72"/>
  <c r="DY72"/>
  <c r="DX72"/>
  <c r="DW72"/>
  <c r="DV72"/>
  <c r="DU72"/>
  <c r="DT72"/>
  <c r="DS72"/>
  <c r="DR72"/>
  <c r="DQ72"/>
  <c r="DP72"/>
  <c r="DO72"/>
  <c r="DN72"/>
  <c r="DM72"/>
  <c r="DL72"/>
  <c r="DK72"/>
  <c r="DJ72"/>
  <c r="DI72"/>
  <c r="DH72"/>
  <c r="DG72"/>
  <c r="DF72"/>
  <c r="DE72"/>
  <c r="DB72"/>
  <c r="DA72"/>
  <c r="CZ72"/>
  <c r="CY72"/>
  <c r="CX72"/>
  <c r="CW72"/>
  <c r="CV72"/>
  <c r="CU72"/>
  <c r="CT72"/>
  <c r="CS72"/>
  <c r="CR72"/>
  <c r="CQ72"/>
  <c r="CP72"/>
  <c r="CO72"/>
  <c r="CN72"/>
  <c r="CM72"/>
  <c r="CL72"/>
  <c r="CK72"/>
  <c r="CJ72"/>
  <c r="CI72"/>
  <c r="CH72"/>
  <c r="CG72"/>
  <c r="CF72"/>
  <c r="CE72"/>
  <c r="CD72"/>
  <c r="CC72"/>
  <c r="CB72"/>
  <c r="CA72"/>
  <c r="BZ72"/>
  <c r="EG71"/>
  <c r="EF71"/>
  <c r="EE71"/>
  <c r="ED71"/>
  <c r="EC71"/>
  <c r="EB71"/>
  <c r="EA71"/>
  <c r="DZ71"/>
  <c r="DY71"/>
  <c r="DX71"/>
  <c r="DW71"/>
  <c r="DV71"/>
  <c r="DU71"/>
  <c r="DT71"/>
  <c r="DS71"/>
  <c r="DR71"/>
  <c r="DQ71"/>
  <c r="DP71"/>
  <c r="DO71"/>
  <c r="DN71"/>
  <c r="DM71"/>
  <c r="DL71"/>
  <c r="DK71"/>
  <c r="DJ71"/>
  <c r="DI71"/>
  <c r="DH71"/>
  <c r="DG71"/>
  <c r="DF71"/>
  <c r="DE71"/>
  <c r="DB71"/>
  <c r="DA71"/>
  <c r="CZ71"/>
  <c r="CY71"/>
  <c r="CX71"/>
  <c r="CW71"/>
  <c r="CV71"/>
  <c r="CU71"/>
  <c r="CT71"/>
  <c r="CS71"/>
  <c r="CR71"/>
  <c r="CQ71"/>
  <c r="CP71"/>
  <c r="CO71"/>
  <c r="CN71"/>
  <c r="CM71"/>
  <c r="CL71"/>
  <c r="CK71"/>
  <c r="CJ71"/>
  <c r="CI71"/>
  <c r="CH71"/>
  <c r="CG71"/>
  <c r="CF71"/>
  <c r="CE71"/>
  <c r="CD71"/>
  <c r="CC71"/>
  <c r="CB71"/>
  <c r="CA71"/>
  <c r="BZ71"/>
  <c r="EG70"/>
  <c r="EF70"/>
  <c r="EE70"/>
  <c r="ED70"/>
  <c r="EC70"/>
  <c r="EB70"/>
  <c r="EA70"/>
  <c r="DZ70"/>
  <c r="DY70"/>
  <c r="DX70"/>
  <c r="DW70"/>
  <c r="DV70"/>
  <c r="DU70"/>
  <c r="DT70"/>
  <c r="DS70"/>
  <c r="DR70"/>
  <c r="DQ70"/>
  <c r="DP70"/>
  <c r="DO70"/>
  <c r="DN70"/>
  <c r="DM70"/>
  <c r="DL70"/>
  <c r="DK70"/>
  <c r="DJ70"/>
  <c r="DI70"/>
  <c r="DH70"/>
  <c r="DG70"/>
  <c r="DF70"/>
  <c r="DE70"/>
  <c r="DB70"/>
  <c r="DA70"/>
  <c r="CZ70"/>
  <c r="CY70"/>
  <c r="CX70"/>
  <c r="CW70"/>
  <c r="CV70"/>
  <c r="CU70"/>
  <c r="CT70"/>
  <c r="CS70"/>
  <c r="CR70"/>
  <c r="CQ70"/>
  <c r="CP70"/>
  <c r="CO70"/>
  <c r="CN70"/>
  <c r="CM70"/>
  <c r="CL70"/>
  <c r="CK70"/>
  <c r="CJ70"/>
  <c r="CI70"/>
  <c r="CH70"/>
  <c r="CG70"/>
  <c r="CF70"/>
  <c r="CE70"/>
  <c r="CD70"/>
  <c r="CC70"/>
  <c r="CB70"/>
  <c r="CA70"/>
  <c r="BZ70"/>
  <c r="EG69"/>
  <c r="EF69"/>
  <c r="EE69"/>
  <c r="ED69"/>
  <c r="EC69"/>
  <c r="EB69"/>
  <c r="EA69"/>
  <c r="DZ69"/>
  <c r="DY69"/>
  <c r="DX69"/>
  <c r="DW69"/>
  <c r="DV69"/>
  <c r="DU69"/>
  <c r="DT69"/>
  <c r="DS69"/>
  <c r="DR69"/>
  <c r="DQ69"/>
  <c r="DP69"/>
  <c r="DO69"/>
  <c r="DN69"/>
  <c r="DM69"/>
  <c r="DL69"/>
  <c r="DK69"/>
  <c r="DJ69"/>
  <c r="DI69"/>
  <c r="DH69"/>
  <c r="DG69"/>
  <c r="DF69"/>
  <c r="DE69"/>
  <c r="DB69"/>
  <c r="DA69"/>
  <c r="CZ69"/>
  <c r="CY69"/>
  <c r="CX69"/>
  <c r="CW69"/>
  <c r="CV69"/>
  <c r="CU69"/>
  <c r="CT69"/>
  <c r="CS69"/>
  <c r="CR69"/>
  <c r="CQ69"/>
  <c r="CP69"/>
  <c r="CO69"/>
  <c r="CN69"/>
  <c r="CM69"/>
  <c r="CL69"/>
  <c r="CK69"/>
  <c r="CJ69"/>
  <c r="CI69"/>
  <c r="CH69"/>
  <c r="CG69"/>
  <c r="CF69"/>
  <c r="CE69"/>
  <c r="CD69"/>
  <c r="CC69"/>
  <c r="CB69"/>
  <c r="CA69"/>
  <c r="BZ69"/>
  <c r="EG68"/>
  <c r="EF68"/>
  <c r="EE68"/>
  <c r="ED68"/>
  <c r="EC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H68"/>
  <c r="DG68"/>
  <c r="DF68"/>
  <c r="DE68"/>
  <c r="DB68"/>
  <c r="DA68"/>
  <c r="CZ68"/>
  <c r="CY68"/>
  <c r="CX68"/>
  <c r="CW68"/>
  <c r="CV68"/>
  <c r="CU68"/>
  <c r="CT68"/>
  <c r="CS68"/>
  <c r="CR68"/>
  <c r="CQ68"/>
  <c r="CP68"/>
  <c r="CO68"/>
  <c r="CN68"/>
  <c r="CM68"/>
  <c r="CL68"/>
  <c r="CK68"/>
  <c r="CJ68"/>
  <c r="CI68"/>
  <c r="CH68"/>
  <c r="CG68"/>
  <c r="CF68"/>
  <c r="CE68"/>
  <c r="CD68"/>
  <c r="CC68"/>
  <c r="CB68"/>
  <c r="CA68"/>
  <c r="BZ68"/>
  <c r="EG67"/>
  <c r="EF67"/>
  <c r="EE67"/>
  <c r="ED67"/>
  <c r="EC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H67"/>
  <c r="DG67"/>
  <c r="DF67"/>
  <c r="DE67"/>
  <c r="DB67"/>
  <c r="DA67"/>
  <c r="CZ67"/>
  <c r="CY67"/>
  <c r="CX67"/>
  <c r="CW67"/>
  <c r="CV67"/>
  <c r="CU67"/>
  <c r="CT67"/>
  <c r="CS67"/>
  <c r="CR67"/>
  <c r="CQ67"/>
  <c r="CP67"/>
  <c r="CO67"/>
  <c r="CN67"/>
  <c r="CM67"/>
  <c r="CL67"/>
  <c r="CK67"/>
  <c r="CJ67"/>
  <c r="CI67"/>
  <c r="CH67"/>
  <c r="CG67"/>
  <c r="CF67"/>
  <c r="CE67"/>
  <c r="CD67"/>
  <c r="CC67"/>
  <c r="CB67"/>
  <c r="CA67"/>
  <c r="BZ67"/>
  <c r="EG66"/>
  <c r="EF66"/>
  <c r="EE66"/>
  <c r="ED66"/>
  <c r="EC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H66"/>
  <c r="DG66"/>
  <c r="DF66"/>
  <c r="DE66"/>
  <c r="DB66"/>
  <c r="DA66"/>
  <c r="CZ66"/>
  <c r="CY66"/>
  <c r="CX66"/>
  <c r="CW66"/>
  <c r="CV66"/>
  <c r="CU66"/>
  <c r="CT66"/>
  <c r="CS66"/>
  <c r="CR66"/>
  <c r="CQ66"/>
  <c r="CP66"/>
  <c r="CO66"/>
  <c r="CN66"/>
  <c r="CM66"/>
  <c r="CL66"/>
  <c r="CK66"/>
  <c r="CJ66"/>
  <c r="CI66"/>
  <c r="CH66"/>
  <c r="CG66"/>
  <c r="CF66"/>
  <c r="CE66"/>
  <c r="CD66"/>
  <c r="CC66"/>
  <c r="CB66"/>
  <c r="CA66"/>
  <c r="BZ66"/>
  <c r="EG65"/>
  <c r="EF65"/>
  <c r="EE65"/>
  <c r="ED65"/>
  <c r="EC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H65"/>
  <c r="DG65"/>
  <c r="DF65"/>
  <c r="DE65"/>
  <c r="DB65"/>
  <c r="DA65"/>
  <c r="CZ65"/>
  <c r="CY65"/>
  <c r="CX65"/>
  <c r="CW65"/>
  <c r="CV65"/>
  <c r="CU65"/>
  <c r="CT65"/>
  <c r="CS65"/>
  <c r="CR65"/>
  <c r="CQ65"/>
  <c r="CP65"/>
  <c r="CO65"/>
  <c r="CN65"/>
  <c r="CM65"/>
  <c r="CL65"/>
  <c r="CK65"/>
  <c r="CJ65"/>
  <c r="CI65"/>
  <c r="CH65"/>
  <c r="CG65"/>
  <c r="CF65"/>
  <c r="CE65"/>
  <c r="CD65"/>
  <c r="CC65"/>
  <c r="CB65"/>
  <c r="CA65"/>
  <c r="BZ65"/>
  <c r="EG64"/>
  <c r="EF64"/>
  <c r="EE64"/>
  <c r="ED64"/>
  <c r="EC64"/>
  <c r="EB64"/>
  <c r="EA64"/>
  <c r="DZ64"/>
  <c r="DY64"/>
  <c r="DX64"/>
  <c r="DW64"/>
  <c r="DV64"/>
  <c r="DU64"/>
  <c r="DT64"/>
  <c r="DS64"/>
  <c r="DR64"/>
  <c r="DQ64"/>
  <c r="DP64"/>
  <c r="DO64"/>
  <c r="DN64"/>
  <c r="DM64"/>
  <c r="DL64"/>
  <c r="DK64"/>
  <c r="DJ64"/>
  <c r="DI64"/>
  <c r="DH64"/>
  <c r="DG64"/>
  <c r="DF64"/>
  <c r="DE64"/>
  <c r="DB64"/>
  <c r="DA64"/>
  <c r="CZ64"/>
  <c r="CY64"/>
  <c r="CX64"/>
  <c r="CW64"/>
  <c r="CV64"/>
  <c r="CU64"/>
  <c r="CT64"/>
  <c r="CS64"/>
  <c r="CR64"/>
  <c r="CQ64"/>
  <c r="CP64"/>
  <c r="CO64"/>
  <c r="CN64"/>
  <c r="CM64"/>
  <c r="CL64"/>
  <c r="CK64"/>
  <c r="CJ64"/>
  <c r="CI64"/>
  <c r="CH64"/>
  <c r="CG64"/>
  <c r="CF64"/>
  <c r="CE64"/>
  <c r="CD64"/>
  <c r="CC64"/>
  <c r="CB64"/>
  <c r="CA64"/>
  <c r="BZ64"/>
  <c r="EG63"/>
  <c r="EF63"/>
  <c r="EE63"/>
  <c r="ED63"/>
  <c r="EC63"/>
  <c r="EB63"/>
  <c r="EA63"/>
  <c r="DZ63"/>
  <c r="DY63"/>
  <c r="DX63"/>
  <c r="DW63"/>
  <c r="DV63"/>
  <c r="DU63"/>
  <c r="DT63"/>
  <c r="DS63"/>
  <c r="DR63"/>
  <c r="DQ63"/>
  <c r="DP63"/>
  <c r="DO63"/>
  <c r="DN63"/>
  <c r="DM63"/>
  <c r="DL63"/>
  <c r="DK63"/>
  <c r="DJ63"/>
  <c r="DI63"/>
  <c r="DH63"/>
  <c r="DG63"/>
  <c r="DF63"/>
  <c r="DE63"/>
  <c r="DB63"/>
  <c r="DA63"/>
  <c r="CZ63"/>
  <c r="CY63"/>
  <c r="CX63"/>
  <c r="CW63"/>
  <c r="CV63"/>
  <c r="CU63"/>
  <c r="CT63"/>
  <c r="CS63"/>
  <c r="CR63"/>
  <c r="CQ63"/>
  <c r="CP63"/>
  <c r="CO63"/>
  <c r="CN63"/>
  <c r="CM63"/>
  <c r="CL63"/>
  <c r="CK63"/>
  <c r="CJ63"/>
  <c r="CI63"/>
  <c r="CH63"/>
  <c r="CG63"/>
  <c r="CF63"/>
  <c r="CE63"/>
  <c r="CD63"/>
  <c r="CC63"/>
  <c r="CB63"/>
  <c r="CA63"/>
  <c r="BZ63"/>
  <c r="EG62"/>
  <c r="EF62"/>
  <c r="EE62"/>
  <c r="ED62"/>
  <c r="EC62"/>
  <c r="EB62"/>
  <c r="EA62"/>
  <c r="DZ62"/>
  <c r="DY62"/>
  <c r="DX62"/>
  <c r="DW62"/>
  <c r="DV62"/>
  <c r="DU62"/>
  <c r="DT62"/>
  <c r="DS62"/>
  <c r="DR62"/>
  <c r="DQ62"/>
  <c r="DP62"/>
  <c r="DO62"/>
  <c r="DN62"/>
  <c r="DM62"/>
  <c r="DL62"/>
  <c r="DK62"/>
  <c r="DJ62"/>
  <c r="DI62"/>
  <c r="DH62"/>
  <c r="DG62"/>
  <c r="DF62"/>
  <c r="DE62"/>
  <c r="DB62"/>
  <c r="DA62"/>
  <c r="CZ62"/>
  <c r="CY62"/>
  <c r="CX62"/>
  <c r="CW62"/>
  <c r="CV62"/>
  <c r="CU62"/>
  <c r="CT62"/>
  <c r="CS62"/>
  <c r="CR62"/>
  <c r="CQ62"/>
  <c r="CP62"/>
  <c r="CO62"/>
  <c r="CN62"/>
  <c r="CM62"/>
  <c r="CL62"/>
  <c r="CK62"/>
  <c r="CJ62"/>
  <c r="CI62"/>
  <c r="CH62"/>
  <c r="CG62"/>
  <c r="CF62"/>
  <c r="CE62"/>
  <c r="CD62"/>
  <c r="CC62"/>
  <c r="CB62"/>
  <c r="CA62"/>
  <c r="BZ62"/>
  <c r="EG61"/>
  <c r="EF61"/>
  <c r="EE61"/>
  <c r="ED61"/>
  <c r="EC61"/>
  <c r="EB61"/>
  <c r="EA61"/>
  <c r="DZ61"/>
  <c r="DY61"/>
  <c r="DX61"/>
  <c r="DW61"/>
  <c r="DV61"/>
  <c r="DU61"/>
  <c r="DT61"/>
  <c r="DS61"/>
  <c r="DR61"/>
  <c r="DQ61"/>
  <c r="DP61"/>
  <c r="DO61"/>
  <c r="DN61"/>
  <c r="DM61"/>
  <c r="DL61"/>
  <c r="DK61"/>
  <c r="DJ61"/>
  <c r="DI61"/>
  <c r="DH61"/>
  <c r="DG61"/>
  <c r="DF61"/>
  <c r="DE61"/>
  <c r="DB61"/>
  <c r="DA61"/>
  <c r="CZ61"/>
  <c r="CY61"/>
  <c r="CX61"/>
  <c r="CW61"/>
  <c r="CV61"/>
  <c r="CU61"/>
  <c r="CT61"/>
  <c r="CS61"/>
  <c r="CR61"/>
  <c r="CQ61"/>
  <c r="CP61"/>
  <c r="CO61"/>
  <c r="CN61"/>
  <c r="CM61"/>
  <c r="CL61"/>
  <c r="CK61"/>
  <c r="CJ61"/>
  <c r="CI61"/>
  <c r="CH61"/>
  <c r="CG61"/>
  <c r="CF61"/>
  <c r="CE61"/>
  <c r="CD61"/>
  <c r="CC61"/>
  <c r="CB61"/>
  <c r="CA61"/>
  <c r="BZ61"/>
  <c r="EG60"/>
  <c r="EF60"/>
  <c r="EE60"/>
  <c r="ED60"/>
  <c r="EC60"/>
  <c r="EB60"/>
  <c r="EA60"/>
  <c r="DZ60"/>
  <c r="DY60"/>
  <c r="DX60"/>
  <c r="DW60"/>
  <c r="DV60"/>
  <c r="DU60"/>
  <c r="DT60"/>
  <c r="DS60"/>
  <c r="DR60"/>
  <c r="DQ60"/>
  <c r="DP60"/>
  <c r="DO60"/>
  <c r="DN60"/>
  <c r="DM60"/>
  <c r="DL60"/>
  <c r="DK60"/>
  <c r="DJ60"/>
  <c r="DI60"/>
  <c r="DH60"/>
  <c r="DG60"/>
  <c r="DF60"/>
  <c r="DE60"/>
  <c r="DB60"/>
  <c r="DA60"/>
  <c r="CZ60"/>
  <c r="CY60"/>
  <c r="CX60"/>
  <c r="CW60"/>
  <c r="CV60"/>
  <c r="CU60"/>
  <c r="CT60"/>
  <c r="CS60"/>
  <c r="CR60"/>
  <c r="CQ60"/>
  <c r="CP60"/>
  <c r="CO60"/>
  <c r="CN60"/>
  <c r="CM60"/>
  <c r="CL60"/>
  <c r="CK60"/>
  <c r="CJ60"/>
  <c r="CI60"/>
  <c r="CH60"/>
  <c r="CG60"/>
  <c r="CF60"/>
  <c r="CE60"/>
  <c r="CD60"/>
  <c r="CC60"/>
  <c r="CB60"/>
  <c r="CA60"/>
  <c r="BZ60"/>
  <c r="EG59"/>
  <c r="EF59"/>
  <c r="EE59"/>
  <c r="ED59"/>
  <c r="EC59"/>
  <c r="EB59"/>
  <c r="EA59"/>
  <c r="DZ59"/>
  <c r="DY59"/>
  <c r="DX59"/>
  <c r="DW59"/>
  <c r="DV59"/>
  <c r="DU59"/>
  <c r="DT59"/>
  <c r="DS59"/>
  <c r="DR59"/>
  <c r="DQ59"/>
  <c r="DP59"/>
  <c r="DO59"/>
  <c r="DN59"/>
  <c r="DM59"/>
  <c r="DL59"/>
  <c r="DK59"/>
  <c r="DJ59"/>
  <c r="DI59"/>
  <c r="DH59"/>
  <c r="DG59"/>
  <c r="DF59"/>
  <c r="DE59"/>
  <c r="DB59"/>
  <c r="DA59"/>
  <c r="CZ59"/>
  <c r="CY59"/>
  <c r="CX59"/>
  <c r="CW59"/>
  <c r="CV59"/>
  <c r="CU59"/>
  <c r="CT59"/>
  <c r="CS59"/>
  <c r="CR59"/>
  <c r="CQ59"/>
  <c r="CP59"/>
  <c r="CO59"/>
  <c r="CN59"/>
  <c r="CM59"/>
  <c r="CL59"/>
  <c r="CK59"/>
  <c r="CJ59"/>
  <c r="CI59"/>
  <c r="CH59"/>
  <c r="CG59"/>
  <c r="CF59"/>
  <c r="CE59"/>
  <c r="CD59"/>
  <c r="CC59"/>
  <c r="CB59"/>
  <c r="CA59"/>
  <c r="BZ59"/>
  <c r="EG58"/>
  <c r="EF58"/>
  <c r="EE58"/>
  <c r="ED58"/>
  <c r="EC58"/>
  <c r="EB58"/>
  <c r="EA58"/>
  <c r="DZ58"/>
  <c r="DY58"/>
  <c r="DX58"/>
  <c r="DW58"/>
  <c r="DV58"/>
  <c r="DU58"/>
  <c r="DT58"/>
  <c r="DS58"/>
  <c r="DR58"/>
  <c r="DQ58"/>
  <c r="DP58"/>
  <c r="DO58"/>
  <c r="DN58"/>
  <c r="DM58"/>
  <c r="DL58"/>
  <c r="DK58"/>
  <c r="DJ58"/>
  <c r="DI58"/>
  <c r="DH58"/>
  <c r="DG58"/>
  <c r="DF58"/>
  <c r="DE58"/>
  <c r="DB58"/>
  <c r="DA58"/>
  <c r="CZ58"/>
  <c r="CY58"/>
  <c r="CX58"/>
  <c r="CW58"/>
  <c r="CV58"/>
  <c r="CU58"/>
  <c r="CT58"/>
  <c r="CS58"/>
  <c r="CR58"/>
  <c r="CQ58"/>
  <c r="CP58"/>
  <c r="CO58"/>
  <c r="CN58"/>
  <c r="CM58"/>
  <c r="CL58"/>
  <c r="CK58"/>
  <c r="CJ58"/>
  <c r="CI58"/>
  <c r="CH58"/>
  <c r="CG58"/>
  <c r="CF58"/>
  <c r="CE58"/>
  <c r="CD58"/>
  <c r="CC58"/>
  <c r="CB58"/>
  <c r="CA58"/>
  <c r="BZ58"/>
  <c r="EG57"/>
  <c r="EF57"/>
  <c r="EE57"/>
  <c r="ED57"/>
  <c r="EC57"/>
  <c r="EB57"/>
  <c r="EA57"/>
  <c r="DZ57"/>
  <c r="DY57"/>
  <c r="DX57"/>
  <c r="DW57"/>
  <c r="DV57"/>
  <c r="DU57"/>
  <c r="DT57"/>
  <c r="DS57"/>
  <c r="DR57"/>
  <c r="DQ57"/>
  <c r="DP57"/>
  <c r="DO57"/>
  <c r="DN57"/>
  <c r="DM57"/>
  <c r="DL57"/>
  <c r="DK57"/>
  <c r="DJ57"/>
  <c r="DI57"/>
  <c r="DH57"/>
  <c r="DG57"/>
  <c r="DF57"/>
  <c r="DE57"/>
  <c r="DB57"/>
  <c r="DA57"/>
  <c r="CZ57"/>
  <c r="CY57"/>
  <c r="CX57"/>
  <c r="CW57"/>
  <c r="CV57"/>
  <c r="CU57"/>
  <c r="CT57"/>
  <c r="CS57"/>
  <c r="CR57"/>
  <c r="CQ57"/>
  <c r="CP57"/>
  <c r="CO57"/>
  <c r="CN57"/>
  <c r="CM57"/>
  <c r="CL57"/>
  <c r="CK57"/>
  <c r="CJ57"/>
  <c r="CI57"/>
  <c r="CH57"/>
  <c r="CG57"/>
  <c r="CF57"/>
  <c r="CE57"/>
  <c r="CD57"/>
  <c r="CC57"/>
  <c r="CB57"/>
  <c r="CA57"/>
  <c r="BZ57"/>
  <c r="EG56"/>
  <c r="EF56"/>
  <c r="EE56"/>
  <c r="ED56"/>
  <c r="EC56"/>
  <c r="EB56"/>
  <c r="EA56"/>
  <c r="DZ56"/>
  <c r="DY56"/>
  <c r="DX56"/>
  <c r="DW56"/>
  <c r="DV56"/>
  <c r="DU56"/>
  <c r="DT56"/>
  <c r="DS56"/>
  <c r="DR56"/>
  <c r="DQ56"/>
  <c r="DP56"/>
  <c r="DO56"/>
  <c r="DN56"/>
  <c r="DM56"/>
  <c r="DL56"/>
  <c r="DK56"/>
  <c r="DJ56"/>
  <c r="DI56"/>
  <c r="DH56"/>
  <c r="DG56"/>
  <c r="DF56"/>
  <c r="DE56"/>
  <c r="DB56"/>
  <c r="DA56"/>
  <c r="CZ56"/>
  <c r="CY56"/>
  <c r="CX56"/>
  <c r="CW56"/>
  <c r="CV56"/>
  <c r="CU56"/>
  <c r="CT56"/>
  <c r="CS56"/>
  <c r="CR56"/>
  <c r="CQ56"/>
  <c r="CP56"/>
  <c r="CO56"/>
  <c r="CN56"/>
  <c r="CM56"/>
  <c r="CL56"/>
  <c r="CK56"/>
  <c r="CJ56"/>
  <c r="CI56"/>
  <c r="CH56"/>
  <c r="CG56"/>
  <c r="CF56"/>
  <c r="CE56"/>
  <c r="CD56"/>
  <c r="CC56"/>
  <c r="CB56"/>
  <c r="CA56"/>
  <c r="BZ56"/>
  <c r="EG55"/>
  <c r="EF55"/>
  <c r="EE55"/>
  <c r="ED55"/>
  <c r="EC55"/>
  <c r="EB55"/>
  <c r="EA55"/>
  <c r="DZ55"/>
  <c r="DY55"/>
  <c r="DX55"/>
  <c r="DW55"/>
  <c r="DV55"/>
  <c r="DU55"/>
  <c r="DT55"/>
  <c r="DS55"/>
  <c r="DR55"/>
  <c r="DQ55"/>
  <c r="DP55"/>
  <c r="DO55"/>
  <c r="DN55"/>
  <c r="DM55"/>
  <c r="DL55"/>
  <c r="DK55"/>
  <c r="DJ55"/>
  <c r="DI55"/>
  <c r="DH55"/>
  <c r="DG55"/>
  <c r="DF55"/>
  <c r="DE55"/>
  <c r="DB55"/>
  <c r="DA55"/>
  <c r="CZ55"/>
  <c r="CY55"/>
  <c r="CX55"/>
  <c r="CW55"/>
  <c r="CV55"/>
  <c r="CU55"/>
  <c r="CT55"/>
  <c r="CS55"/>
  <c r="CR55"/>
  <c r="CQ55"/>
  <c r="CP55"/>
  <c r="CO55"/>
  <c r="CN55"/>
  <c r="CM55"/>
  <c r="CL55"/>
  <c r="CK55"/>
  <c r="CJ55"/>
  <c r="CI55"/>
  <c r="CH55"/>
  <c r="CG55"/>
  <c r="CF55"/>
  <c r="CE55"/>
  <c r="CD55"/>
  <c r="CC55"/>
  <c r="CB55"/>
  <c r="CA55"/>
  <c r="BZ55"/>
  <c r="EG54"/>
  <c r="EF54"/>
  <c r="EE54"/>
  <c r="ED54"/>
  <c r="EC54"/>
  <c r="EB54"/>
  <c r="EA54"/>
  <c r="DZ54"/>
  <c r="DY54"/>
  <c r="DX54"/>
  <c r="DW54"/>
  <c r="DV54"/>
  <c r="DU54"/>
  <c r="DT54"/>
  <c r="DS54"/>
  <c r="DR54"/>
  <c r="DQ54"/>
  <c r="DP54"/>
  <c r="DO54"/>
  <c r="DN54"/>
  <c r="DM54"/>
  <c r="DL54"/>
  <c r="DK54"/>
  <c r="DJ54"/>
  <c r="DI54"/>
  <c r="DH54"/>
  <c r="DG54"/>
  <c r="DF54"/>
  <c r="DE54"/>
  <c r="DB54"/>
  <c r="DA54"/>
  <c r="CZ54"/>
  <c r="CY54"/>
  <c r="CX54"/>
  <c r="CW54"/>
  <c r="CV54"/>
  <c r="CU54"/>
  <c r="CT54"/>
  <c r="CS54"/>
  <c r="CR54"/>
  <c r="CQ54"/>
  <c r="CP54"/>
  <c r="CO54"/>
  <c r="CN54"/>
  <c r="CM54"/>
  <c r="CL54"/>
  <c r="CK54"/>
  <c r="CJ54"/>
  <c r="CI54"/>
  <c r="CH54"/>
  <c r="CG54"/>
  <c r="CF54"/>
  <c r="CE54"/>
  <c r="CD54"/>
  <c r="CC54"/>
  <c r="CB54"/>
  <c r="CA54"/>
  <c r="BZ54"/>
  <c r="EG53"/>
  <c r="EF53"/>
  <c r="EE53"/>
  <c r="ED53"/>
  <c r="EC53"/>
  <c r="EB53"/>
  <c r="EA53"/>
  <c r="DZ53"/>
  <c r="DY53"/>
  <c r="DX53"/>
  <c r="DW53"/>
  <c r="DV53"/>
  <c r="DU53"/>
  <c r="DT53"/>
  <c r="DS53"/>
  <c r="DR53"/>
  <c r="DQ53"/>
  <c r="DP53"/>
  <c r="DO53"/>
  <c r="DN53"/>
  <c r="DM53"/>
  <c r="DL53"/>
  <c r="DK53"/>
  <c r="DJ53"/>
  <c r="DI53"/>
  <c r="DH53"/>
  <c r="DG53"/>
  <c r="DF53"/>
  <c r="DE53"/>
  <c r="DB53"/>
  <c r="DA53"/>
  <c r="CZ53"/>
  <c r="CY53"/>
  <c r="CX53"/>
  <c r="CW53"/>
  <c r="CV53"/>
  <c r="CU53"/>
  <c r="CT53"/>
  <c r="CS53"/>
  <c r="CR53"/>
  <c r="CQ53"/>
  <c r="CP53"/>
  <c r="CO53"/>
  <c r="CN53"/>
  <c r="CM53"/>
  <c r="CL53"/>
  <c r="CK53"/>
  <c r="CJ53"/>
  <c r="CI53"/>
  <c r="CH53"/>
  <c r="CG53"/>
  <c r="CF53"/>
  <c r="CE53"/>
  <c r="CD53"/>
  <c r="CC53"/>
  <c r="CB53"/>
  <c r="CA53"/>
  <c r="BZ53"/>
  <c r="EG52"/>
  <c r="EF52"/>
  <c r="EE52"/>
  <c r="ED52"/>
  <c r="EC52"/>
  <c r="EB52"/>
  <c r="EA52"/>
  <c r="DZ52"/>
  <c r="DY52"/>
  <c r="DX52"/>
  <c r="DW52"/>
  <c r="DV52"/>
  <c r="DU52"/>
  <c r="DT52"/>
  <c r="DS52"/>
  <c r="DR52"/>
  <c r="DQ52"/>
  <c r="DP52"/>
  <c r="DO52"/>
  <c r="DN52"/>
  <c r="DM52"/>
  <c r="DL52"/>
  <c r="DK52"/>
  <c r="DJ52"/>
  <c r="DI52"/>
  <c r="DH52"/>
  <c r="DG52"/>
  <c r="DF52"/>
  <c r="DE52"/>
  <c r="DB52"/>
  <c r="DA52"/>
  <c r="CZ52"/>
  <c r="CY52"/>
  <c r="CX52"/>
  <c r="CW52"/>
  <c r="CV52"/>
  <c r="CU52"/>
  <c r="CT52"/>
  <c r="CS52"/>
  <c r="CR52"/>
  <c r="CQ52"/>
  <c r="CP52"/>
  <c r="CO52"/>
  <c r="CN52"/>
  <c r="CM52"/>
  <c r="CL52"/>
  <c r="CK52"/>
  <c r="CJ52"/>
  <c r="CI52"/>
  <c r="CH52"/>
  <c r="CG52"/>
  <c r="CF52"/>
  <c r="CE52"/>
  <c r="CD52"/>
  <c r="CC52"/>
  <c r="CB52"/>
  <c r="CA52"/>
  <c r="BZ52"/>
  <c r="EG51"/>
  <c r="EF51"/>
  <c r="EE51"/>
  <c r="ED51"/>
  <c r="EC51"/>
  <c r="EB51"/>
  <c r="EA51"/>
  <c r="DZ51"/>
  <c r="DY51"/>
  <c r="DX51"/>
  <c r="DW51"/>
  <c r="DV51"/>
  <c r="DU51"/>
  <c r="DT51"/>
  <c r="DS51"/>
  <c r="DR51"/>
  <c r="DQ51"/>
  <c r="DP51"/>
  <c r="DO51"/>
  <c r="DN51"/>
  <c r="DM51"/>
  <c r="DL51"/>
  <c r="DK51"/>
  <c r="DJ51"/>
  <c r="DI51"/>
  <c r="DH51"/>
  <c r="DG51"/>
  <c r="DF51"/>
  <c r="DE51"/>
  <c r="DB51"/>
  <c r="DA51"/>
  <c r="CZ51"/>
  <c r="CY51"/>
  <c r="CX51"/>
  <c r="CW51"/>
  <c r="CV51"/>
  <c r="CU51"/>
  <c r="CT51"/>
  <c r="CS51"/>
  <c r="CR51"/>
  <c r="CQ51"/>
  <c r="CP51"/>
  <c r="CO51"/>
  <c r="CN51"/>
  <c r="CM51"/>
  <c r="CL51"/>
  <c r="CK51"/>
  <c r="CJ51"/>
  <c r="CI51"/>
  <c r="CH51"/>
  <c r="CG51"/>
  <c r="CF51"/>
  <c r="CE51"/>
  <c r="CD51"/>
  <c r="CC51"/>
  <c r="CB51"/>
  <c r="CA51"/>
  <c r="BZ51"/>
  <c r="EG50"/>
  <c r="EF50"/>
  <c r="EE50"/>
  <c r="ED50"/>
  <c r="EC50"/>
  <c r="EB50"/>
  <c r="EA50"/>
  <c r="DZ50"/>
  <c r="DY50"/>
  <c r="DX50"/>
  <c r="DW50"/>
  <c r="DV50"/>
  <c r="DU50"/>
  <c r="DT50"/>
  <c r="DS50"/>
  <c r="DR50"/>
  <c r="DQ50"/>
  <c r="DP50"/>
  <c r="DO50"/>
  <c r="DN50"/>
  <c r="DM50"/>
  <c r="DL50"/>
  <c r="DK50"/>
  <c r="DJ50"/>
  <c r="DI50"/>
  <c r="DH50"/>
  <c r="DG50"/>
  <c r="DF50"/>
  <c r="DE50"/>
  <c r="DB50"/>
  <c r="DA50"/>
  <c r="CZ50"/>
  <c r="CY50"/>
  <c r="CX50"/>
  <c r="CW50"/>
  <c r="CV50"/>
  <c r="CU50"/>
  <c r="CT50"/>
  <c r="CS50"/>
  <c r="CR50"/>
  <c r="CQ50"/>
  <c r="CP50"/>
  <c r="CO50"/>
  <c r="CN50"/>
  <c r="CM50"/>
  <c r="CL50"/>
  <c r="CK50"/>
  <c r="CJ50"/>
  <c r="CI50"/>
  <c r="CH50"/>
  <c r="CG50"/>
  <c r="CF50"/>
  <c r="CE50"/>
  <c r="CD50"/>
  <c r="CC50"/>
  <c r="CB50"/>
  <c r="CA50"/>
  <c r="BZ50"/>
  <c r="EG49"/>
  <c r="EF49"/>
  <c r="EE49"/>
  <c r="ED49"/>
  <c r="EC49"/>
  <c r="EB49"/>
  <c r="EA49"/>
  <c r="DZ49"/>
  <c r="DY49"/>
  <c r="DX49"/>
  <c r="DW49"/>
  <c r="DV49"/>
  <c r="DU49"/>
  <c r="DT49"/>
  <c r="DS49"/>
  <c r="DR49"/>
  <c r="DQ49"/>
  <c r="DP49"/>
  <c r="DO49"/>
  <c r="DN49"/>
  <c r="DM49"/>
  <c r="DL49"/>
  <c r="DK49"/>
  <c r="DJ49"/>
  <c r="DI49"/>
  <c r="DH49"/>
  <c r="DG49"/>
  <c r="DF49"/>
  <c r="DE49"/>
  <c r="DB49"/>
  <c r="DA49"/>
  <c r="CZ49"/>
  <c r="CY49"/>
  <c r="CX49"/>
  <c r="CW49"/>
  <c r="CV49"/>
  <c r="CU49"/>
  <c r="CT49"/>
  <c r="CS49"/>
  <c r="CR49"/>
  <c r="CQ49"/>
  <c r="CP49"/>
  <c r="CO49"/>
  <c r="CN49"/>
  <c r="CM49"/>
  <c r="CL49"/>
  <c r="CK49"/>
  <c r="CJ49"/>
  <c r="CI49"/>
  <c r="CH49"/>
  <c r="CG49"/>
  <c r="CF49"/>
  <c r="CE49"/>
  <c r="CD49"/>
  <c r="CC49"/>
  <c r="CB49"/>
  <c r="CA49"/>
  <c r="BZ49"/>
  <c r="EG48"/>
  <c r="EF48"/>
  <c r="EE48"/>
  <c r="ED48"/>
  <c r="EC48"/>
  <c r="EB48"/>
  <c r="EA48"/>
  <c r="DZ48"/>
  <c r="DY48"/>
  <c r="DX48"/>
  <c r="DW48"/>
  <c r="DV48"/>
  <c r="DU48"/>
  <c r="DT48"/>
  <c r="DS48"/>
  <c r="DR48"/>
  <c r="DQ48"/>
  <c r="DP48"/>
  <c r="DO48"/>
  <c r="DN48"/>
  <c r="DM48"/>
  <c r="DL48"/>
  <c r="DK48"/>
  <c r="DJ48"/>
  <c r="DI48"/>
  <c r="DH48"/>
  <c r="DG48"/>
  <c r="DF48"/>
  <c r="DE48"/>
  <c r="DB48"/>
  <c r="DA48"/>
  <c r="CZ48"/>
  <c r="CY48"/>
  <c r="CX48"/>
  <c r="CW48"/>
  <c r="CV48"/>
  <c r="CU48"/>
  <c r="CT48"/>
  <c r="CS48"/>
  <c r="CR48"/>
  <c r="CQ48"/>
  <c r="CP48"/>
  <c r="CO48"/>
  <c r="CN48"/>
  <c r="CM48"/>
  <c r="CL48"/>
  <c r="CK48"/>
  <c r="CJ48"/>
  <c r="CI48"/>
  <c r="CH48"/>
  <c r="CG48"/>
  <c r="CF48"/>
  <c r="CE48"/>
  <c r="CD48"/>
  <c r="CC48"/>
  <c r="CB48"/>
  <c r="CA48"/>
  <c r="BZ48"/>
  <c r="EG47"/>
  <c r="EF47"/>
  <c r="EE47"/>
  <c r="ED47"/>
  <c r="EC47"/>
  <c r="EB47"/>
  <c r="EA47"/>
  <c r="DZ47"/>
  <c r="DY47"/>
  <c r="DX47"/>
  <c r="DW47"/>
  <c r="DV47"/>
  <c r="DU47"/>
  <c r="DT47"/>
  <c r="DS47"/>
  <c r="DR47"/>
  <c r="DQ47"/>
  <c r="DP47"/>
  <c r="DO47"/>
  <c r="DN47"/>
  <c r="DM47"/>
  <c r="DL47"/>
  <c r="DK47"/>
  <c r="DJ47"/>
  <c r="DI47"/>
  <c r="DH47"/>
  <c r="DG47"/>
  <c r="DF47"/>
  <c r="DE47"/>
  <c r="DB47"/>
  <c r="DA47"/>
  <c r="CZ47"/>
  <c r="CY47"/>
  <c r="CX47"/>
  <c r="CW47"/>
  <c r="CV47"/>
  <c r="CU47"/>
  <c r="CT47"/>
  <c r="CS47"/>
  <c r="CR47"/>
  <c r="CQ47"/>
  <c r="CP47"/>
  <c r="CO47"/>
  <c r="CN47"/>
  <c r="CM47"/>
  <c r="CL47"/>
  <c r="CK47"/>
  <c r="CJ47"/>
  <c r="CI47"/>
  <c r="CH47"/>
  <c r="CG47"/>
  <c r="CF47"/>
  <c r="CE47"/>
  <c r="CD47"/>
  <c r="CC47"/>
  <c r="CB47"/>
  <c r="CA47"/>
  <c r="BZ47"/>
  <c r="EG46"/>
  <c r="EF46"/>
  <c r="EE46"/>
  <c r="ED46"/>
  <c r="EC46"/>
  <c r="EB46"/>
  <c r="EA46"/>
  <c r="DZ46"/>
  <c r="DY46"/>
  <c r="DX46"/>
  <c r="DW46"/>
  <c r="DV46"/>
  <c r="DU46"/>
  <c r="DT46"/>
  <c r="DS46"/>
  <c r="DR46"/>
  <c r="DQ46"/>
  <c r="DP46"/>
  <c r="DO46"/>
  <c r="DN46"/>
  <c r="DM46"/>
  <c r="DL46"/>
  <c r="DK46"/>
  <c r="DJ46"/>
  <c r="DI46"/>
  <c r="DH46"/>
  <c r="DG46"/>
  <c r="DF46"/>
  <c r="DE46"/>
  <c r="DB46"/>
  <c r="DA46"/>
  <c r="CZ46"/>
  <c r="CY46"/>
  <c r="CX46"/>
  <c r="CW46"/>
  <c r="CV46"/>
  <c r="CU46"/>
  <c r="CT46"/>
  <c r="CS46"/>
  <c r="CR46"/>
  <c r="CQ46"/>
  <c r="CP46"/>
  <c r="CO46"/>
  <c r="CN46"/>
  <c r="CM46"/>
  <c r="CL46"/>
  <c r="CK46"/>
  <c r="CJ46"/>
  <c r="CI46"/>
  <c r="CH46"/>
  <c r="CG46"/>
  <c r="CF46"/>
  <c r="CE46"/>
  <c r="CD46"/>
  <c r="CC46"/>
  <c r="CB46"/>
  <c r="CA46"/>
  <c r="BZ46"/>
  <c r="EG45"/>
  <c r="EF45"/>
  <c r="EE45"/>
  <c r="ED45"/>
  <c r="EC45"/>
  <c r="EB45"/>
  <c r="EA45"/>
  <c r="DZ45"/>
  <c r="DY45"/>
  <c r="DX45"/>
  <c r="DW45"/>
  <c r="DV45"/>
  <c r="DU45"/>
  <c r="DT45"/>
  <c r="DS45"/>
  <c r="DR45"/>
  <c r="DQ45"/>
  <c r="DP45"/>
  <c r="DO45"/>
  <c r="DN45"/>
  <c r="DM45"/>
  <c r="DL45"/>
  <c r="DK45"/>
  <c r="DJ45"/>
  <c r="DI45"/>
  <c r="DH45"/>
  <c r="DG45"/>
  <c r="DF45"/>
  <c r="DE45"/>
  <c r="DB45"/>
  <c r="DA45"/>
  <c r="CZ45"/>
  <c r="CY45"/>
  <c r="CX45"/>
  <c r="CW45"/>
  <c r="CV45"/>
  <c r="CU45"/>
  <c r="CT45"/>
  <c r="CS45"/>
  <c r="CR45"/>
  <c r="CQ45"/>
  <c r="CP45"/>
  <c r="CO45"/>
  <c r="CN45"/>
  <c r="CM45"/>
  <c r="CL45"/>
  <c r="CK45"/>
  <c r="CJ45"/>
  <c r="CI45"/>
  <c r="CH45"/>
  <c r="CG45"/>
  <c r="CF45"/>
  <c r="CE45"/>
  <c r="CD45"/>
  <c r="CC45"/>
  <c r="CB45"/>
  <c r="CA45"/>
  <c r="BZ45"/>
  <c r="EG44"/>
  <c r="EF44"/>
  <c r="EE44"/>
  <c r="ED44"/>
  <c r="EC44"/>
  <c r="EB44"/>
  <c r="EA44"/>
  <c r="DZ44"/>
  <c r="DY44"/>
  <c r="DX44"/>
  <c r="DW44"/>
  <c r="DV44"/>
  <c r="DU44"/>
  <c r="DT44"/>
  <c r="DS44"/>
  <c r="DR44"/>
  <c r="DQ44"/>
  <c r="DP44"/>
  <c r="DO44"/>
  <c r="DN44"/>
  <c r="DM44"/>
  <c r="DL44"/>
  <c r="DK44"/>
  <c r="DJ44"/>
  <c r="DI44"/>
  <c r="DH44"/>
  <c r="DG44"/>
  <c r="DF44"/>
  <c r="DE44"/>
  <c r="DB44"/>
  <c r="DA44"/>
  <c r="CZ44"/>
  <c r="CY44"/>
  <c r="CX44"/>
  <c r="CW44"/>
  <c r="CV44"/>
  <c r="CU44"/>
  <c r="CT44"/>
  <c r="CS44"/>
  <c r="CR44"/>
  <c r="CQ44"/>
  <c r="CP44"/>
  <c r="CO44"/>
  <c r="CN44"/>
  <c r="CM44"/>
  <c r="CL44"/>
  <c r="CK44"/>
  <c r="CJ44"/>
  <c r="CI44"/>
  <c r="CH44"/>
  <c r="CG44"/>
  <c r="CF44"/>
  <c r="CE44"/>
  <c r="CD44"/>
  <c r="CC44"/>
  <c r="CB44"/>
  <c r="CA44"/>
  <c r="BZ44"/>
  <c r="EG43"/>
  <c r="EF43"/>
  <c r="EE43"/>
  <c r="ED43"/>
  <c r="EC43"/>
  <c r="EB43"/>
  <c r="EA43"/>
  <c r="DZ43"/>
  <c r="DY43"/>
  <c r="DX43"/>
  <c r="DW43"/>
  <c r="DV43"/>
  <c r="DU43"/>
  <c r="DT43"/>
  <c r="DS43"/>
  <c r="DR43"/>
  <c r="DQ43"/>
  <c r="DP43"/>
  <c r="DO43"/>
  <c r="DN43"/>
  <c r="DM43"/>
  <c r="DL43"/>
  <c r="DK43"/>
  <c r="DJ43"/>
  <c r="DI43"/>
  <c r="DH43"/>
  <c r="DG43"/>
  <c r="DF43"/>
  <c r="DE43"/>
  <c r="DB43"/>
  <c r="DA43"/>
  <c r="CZ43"/>
  <c r="CY43"/>
  <c r="CX43"/>
  <c r="CW43"/>
  <c r="CV43"/>
  <c r="CU43"/>
  <c r="CT43"/>
  <c r="CS43"/>
  <c r="CR43"/>
  <c r="CQ43"/>
  <c r="CP43"/>
  <c r="CO43"/>
  <c r="CN43"/>
  <c r="CM43"/>
  <c r="CL43"/>
  <c r="CK43"/>
  <c r="CJ43"/>
  <c r="CI43"/>
  <c r="CH43"/>
  <c r="CG43"/>
  <c r="CF43"/>
  <c r="CE43"/>
  <c r="CD43"/>
  <c r="CC43"/>
  <c r="CB43"/>
  <c r="CA43"/>
  <c r="BZ43"/>
  <c r="EG42"/>
  <c r="EF42"/>
  <c r="EE42"/>
  <c r="ED42"/>
  <c r="EC42"/>
  <c r="EB42"/>
  <c r="EA42"/>
  <c r="DZ42"/>
  <c r="DY42"/>
  <c r="DX42"/>
  <c r="DW42"/>
  <c r="DV42"/>
  <c r="DU42"/>
  <c r="DT42"/>
  <c r="DS42"/>
  <c r="DR42"/>
  <c r="DQ42"/>
  <c r="DP42"/>
  <c r="DO42"/>
  <c r="DN42"/>
  <c r="DM42"/>
  <c r="DL42"/>
  <c r="DK42"/>
  <c r="DJ42"/>
  <c r="DI42"/>
  <c r="DH42"/>
  <c r="DG42"/>
  <c r="DF42"/>
  <c r="DE42"/>
  <c r="DB42"/>
  <c r="DA42"/>
  <c r="CZ42"/>
  <c r="CY42"/>
  <c r="CX42"/>
  <c r="CW42"/>
  <c r="CV42"/>
  <c r="CU42"/>
  <c r="CT42"/>
  <c r="CS42"/>
  <c r="CR42"/>
  <c r="CQ42"/>
  <c r="CP42"/>
  <c r="CO42"/>
  <c r="CN42"/>
  <c r="CM42"/>
  <c r="CL42"/>
  <c r="CK42"/>
  <c r="CJ42"/>
  <c r="CI42"/>
  <c r="CH42"/>
  <c r="CG42"/>
  <c r="CF42"/>
  <c r="CE42"/>
  <c r="CD42"/>
  <c r="CC42"/>
  <c r="CB42"/>
  <c r="CA42"/>
  <c r="BZ42"/>
  <c r="EG41"/>
  <c r="EF41"/>
  <c r="EE41"/>
  <c r="ED41"/>
  <c r="EC41"/>
  <c r="EB41"/>
  <c r="EA41"/>
  <c r="DZ41"/>
  <c r="DY41"/>
  <c r="DX41"/>
  <c r="DW41"/>
  <c r="DV41"/>
  <c r="DU41"/>
  <c r="DT41"/>
  <c r="DS41"/>
  <c r="DR41"/>
  <c r="DQ41"/>
  <c r="DP41"/>
  <c r="DO41"/>
  <c r="DN41"/>
  <c r="DM41"/>
  <c r="DL41"/>
  <c r="DK41"/>
  <c r="DJ41"/>
  <c r="DI41"/>
  <c r="DH41"/>
  <c r="DG41"/>
  <c r="DF41"/>
  <c r="DE41"/>
  <c r="DB41"/>
  <c r="DA41"/>
  <c r="CZ41"/>
  <c r="CY41"/>
  <c r="CX41"/>
  <c r="CW41"/>
  <c r="CV41"/>
  <c r="CU41"/>
  <c r="CT41"/>
  <c r="CS41"/>
  <c r="CR41"/>
  <c r="CQ41"/>
  <c r="CP41"/>
  <c r="CO41"/>
  <c r="CN41"/>
  <c r="CM41"/>
  <c r="CL41"/>
  <c r="CK41"/>
  <c r="CJ41"/>
  <c r="CI41"/>
  <c r="CH41"/>
  <c r="CG41"/>
  <c r="CF41"/>
  <c r="CE41"/>
  <c r="CD41"/>
  <c r="CC41"/>
  <c r="CB41"/>
  <c r="CA41"/>
  <c r="BZ41"/>
  <c r="EG40"/>
  <c r="EF40"/>
  <c r="EE40"/>
  <c r="ED40"/>
  <c r="EC40"/>
  <c r="EB40"/>
  <c r="EA40"/>
  <c r="DZ40"/>
  <c r="DY40"/>
  <c r="DX40"/>
  <c r="DW40"/>
  <c r="DV40"/>
  <c r="DU40"/>
  <c r="DT40"/>
  <c r="DS40"/>
  <c r="DR40"/>
  <c r="DQ40"/>
  <c r="DP40"/>
  <c r="DO40"/>
  <c r="DN40"/>
  <c r="DM40"/>
  <c r="DL40"/>
  <c r="DK40"/>
  <c r="DJ40"/>
  <c r="DI40"/>
  <c r="DH40"/>
  <c r="DG40"/>
  <c r="DF40"/>
  <c r="DE40"/>
  <c r="DB40"/>
  <c r="DA40"/>
  <c r="CZ40"/>
  <c r="CY40"/>
  <c r="CX40"/>
  <c r="CW40"/>
  <c r="CV40"/>
  <c r="CU40"/>
  <c r="CT40"/>
  <c r="CS40"/>
  <c r="CR40"/>
  <c r="CQ40"/>
  <c r="CP40"/>
  <c r="CO40"/>
  <c r="CN40"/>
  <c r="CM40"/>
  <c r="CL40"/>
  <c r="CK40"/>
  <c r="CJ40"/>
  <c r="CI40"/>
  <c r="CH40"/>
  <c r="CG40"/>
  <c r="CF40"/>
  <c r="CE40"/>
  <c r="CD40"/>
  <c r="CC40"/>
  <c r="CB40"/>
  <c r="CA40"/>
  <c r="BZ40"/>
  <c r="EG39"/>
  <c r="EF39"/>
  <c r="EE39"/>
  <c r="ED39"/>
  <c r="EC39"/>
  <c r="EB39"/>
  <c r="EA39"/>
  <c r="DZ39"/>
  <c r="DY39"/>
  <c r="DX39"/>
  <c r="DW39"/>
  <c r="DV39"/>
  <c r="DU39"/>
  <c r="DT39"/>
  <c r="DS39"/>
  <c r="DR39"/>
  <c r="DQ39"/>
  <c r="DP39"/>
  <c r="DO39"/>
  <c r="DN39"/>
  <c r="DM39"/>
  <c r="DL39"/>
  <c r="DK39"/>
  <c r="DJ39"/>
  <c r="DI39"/>
  <c r="DH39"/>
  <c r="DG39"/>
  <c r="DF39"/>
  <c r="DE39"/>
  <c r="DB39"/>
  <c r="DA39"/>
  <c r="CZ39"/>
  <c r="CY39"/>
  <c r="CX39"/>
  <c r="CW39"/>
  <c r="CV39"/>
  <c r="CU39"/>
  <c r="CT39"/>
  <c r="CS39"/>
  <c r="CR39"/>
  <c r="CQ39"/>
  <c r="CP39"/>
  <c r="CO39"/>
  <c r="CN39"/>
  <c r="CM39"/>
  <c r="CL39"/>
  <c r="CK39"/>
  <c r="CJ39"/>
  <c r="CI39"/>
  <c r="CH39"/>
  <c r="CG39"/>
  <c r="CF39"/>
  <c r="CE39"/>
  <c r="CD39"/>
  <c r="CC39"/>
  <c r="CB39"/>
  <c r="CA39"/>
  <c r="BZ39"/>
  <c r="EG38"/>
  <c r="EF38"/>
  <c r="EE38"/>
  <c r="ED38"/>
  <c r="EC38"/>
  <c r="EB38"/>
  <c r="EA38"/>
  <c r="DZ38"/>
  <c r="DY38"/>
  <c r="DX38"/>
  <c r="DW38"/>
  <c r="DV38"/>
  <c r="DU38"/>
  <c r="DT38"/>
  <c r="DS38"/>
  <c r="DR38"/>
  <c r="DQ38"/>
  <c r="DP38"/>
  <c r="DO38"/>
  <c r="DN38"/>
  <c r="DM38"/>
  <c r="DL38"/>
  <c r="DK38"/>
  <c r="DJ38"/>
  <c r="DI38"/>
  <c r="DH38"/>
  <c r="DG38"/>
  <c r="DF38"/>
  <c r="DE38"/>
  <c r="DB38"/>
  <c r="DA38"/>
  <c r="CZ38"/>
  <c r="CY38"/>
  <c r="CX38"/>
  <c r="CW38"/>
  <c r="CV38"/>
  <c r="CU38"/>
  <c r="CT38"/>
  <c r="CS38"/>
  <c r="CR38"/>
  <c r="CQ38"/>
  <c r="CP38"/>
  <c r="CO38"/>
  <c r="CN38"/>
  <c r="CM38"/>
  <c r="CL38"/>
  <c r="CK38"/>
  <c r="CJ38"/>
  <c r="CI38"/>
  <c r="CH38"/>
  <c r="CG38"/>
  <c r="CF38"/>
  <c r="CE38"/>
  <c r="CD38"/>
  <c r="CC38"/>
  <c r="CB38"/>
  <c r="CA38"/>
  <c r="BZ38"/>
  <c r="EG37"/>
  <c r="EF37"/>
  <c r="EE37"/>
  <c r="ED37"/>
  <c r="EC37"/>
  <c r="EB37"/>
  <c r="EA37"/>
  <c r="DZ37"/>
  <c r="DY37"/>
  <c r="DX37"/>
  <c r="DW37"/>
  <c r="DV37"/>
  <c r="DU37"/>
  <c r="DT37"/>
  <c r="DS37"/>
  <c r="DR37"/>
  <c r="DQ37"/>
  <c r="DP37"/>
  <c r="DO37"/>
  <c r="DN37"/>
  <c r="DM37"/>
  <c r="DL37"/>
  <c r="DK37"/>
  <c r="DJ37"/>
  <c r="DI37"/>
  <c r="DH37"/>
  <c r="DG37"/>
  <c r="DF37"/>
  <c r="DE37"/>
  <c r="DB37"/>
  <c r="DA37"/>
  <c r="CZ37"/>
  <c r="CY37"/>
  <c r="CX37"/>
  <c r="CW37"/>
  <c r="CV37"/>
  <c r="CU37"/>
  <c r="CT37"/>
  <c r="CS37"/>
  <c r="CR37"/>
  <c r="CQ37"/>
  <c r="CP37"/>
  <c r="CO37"/>
  <c r="CN37"/>
  <c r="CM37"/>
  <c r="CL37"/>
  <c r="CK37"/>
  <c r="CJ37"/>
  <c r="CI37"/>
  <c r="CH37"/>
  <c r="CG37"/>
  <c r="CF37"/>
  <c r="CE37"/>
  <c r="CD37"/>
  <c r="CC37"/>
  <c r="CB37"/>
  <c r="CA37"/>
  <c r="BZ37"/>
  <c r="EG36"/>
  <c r="EF36"/>
  <c r="EE36"/>
  <c r="ED36"/>
  <c r="EC36"/>
  <c r="EB36"/>
  <c r="EA36"/>
  <c r="DZ36"/>
  <c r="DY36"/>
  <c r="DX36"/>
  <c r="DW36"/>
  <c r="DV36"/>
  <c r="DU36"/>
  <c r="DT36"/>
  <c r="DS36"/>
  <c r="DR36"/>
  <c r="DQ36"/>
  <c r="DP36"/>
  <c r="DO36"/>
  <c r="DN36"/>
  <c r="DM36"/>
  <c r="DL36"/>
  <c r="DK36"/>
  <c r="DJ36"/>
  <c r="DI36"/>
  <c r="DH36"/>
  <c r="DG36"/>
  <c r="DF36"/>
  <c r="DE36"/>
  <c r="DB36"/>
  <c r="DA36"/>
  <c r="CZ36"/>
  <c r="CY36"/>
  <c r="CX36"/>
  <c r="CW36"/>
  <c r="CV36"/>
  <c r="CU36"/>
  <c r="CT36"/>
  <c r="CS36"/>
  <c r="CR36"/>
  <c r="CQ36"/>
  <c r="CP36"/>
  <c r="CO36"/>
  <c r="CN36"/>
  <c r="CM36"/>
  <c r="CL36"/>
  <c r="CK36"/>
  <c r="CJ36"/>
  <c r="CI36"/>
  <c r="CH36"/>
  <c r="CG36"/>
  <c r="CF36"/>
  <c r="CE36"/>
  <c r="CD36"/>
  <c r="CC36"/>
  <c r="CB36"/>
  <c r="CA36"/>
  <c r="BZ36"/>
  <c r="EG35"/>
  <c r="EF35"/>
  <c r="EE35"/>
  <c r="ED35"/>
  <c r="EC35"/>
  <c r="EB35"/>
  <c r="EA35"/>
  <c r="DZ35"/>
  <c r="DY35"/>
  <c r="DX35"/>
  <c r="DW35"/>
  <c r="DV35"/>
  <c r="DU35"/>
  <c r="DT35"/>
  <c r="DS35"/>
  <c r="DR35"/>
  <c r="DQ35"/>
  <c r="DP35"/>
  <c r="DO35"/>
  <c r="DN35"/>
  <c r="DM35"/>
  <c r="DL35"/>
  <c r="DK35"/>
  <c r="DJ35"/>
  <c r="DI35"/>
  <c r="DH35"/>
  <c r="DG35"/>
  <c r="DF35"/>
  <c r="DE35"/>
  <c r="DB35"/>
  <c r="DA35"/>
  <c r="CZ35"/>
  <c r="CY35"/>
  <c r="CX35"/>
  <c r="CW35"/>
  <c r="CV35"/>
  <c r="CU35"/>
  <c r="CT35"/>
  <c r="CS35"/>
  <c r="CR35"/>
  <c r="CQ35"/>
  <c r="CP35"/>
  <c r="CO35"/>
  <c r="CN35"/>
  <c r="CM35"/>
  <c r="CL35"/>
  <c r="CK35"/>
  <c r="CJ35"/>
  <c r="CI35"/>
  <c r="CH35"/>
  <c r="CG35"/>
  <c r="CF35"/>
  <c r="CE35"/>
  <c r="CD35"/>
  <c r="CC35"/>
  <c r="CB35"/>
  <c r="CA35"/>
  <c r="BZ35"/>
  <c r="EG34"/>
  <c r="EF34"/>
  <c r="EE34"/>
  <c r="ED34"/>
  <c r="EC34"/>
  <c r="EB34"/>
  <c r="EA34"/>
  <c r="DZ34"/>
  <c r="DY34"/>
  <c r="DX34"/>
  <c r="DW34"/>
  <c r="DV34"/>
  <c r="DU34"/>
  <c r="DT34"/>
  <c r="DS34"/>
  <c r="DR34"/>
  <c r="DQ34"/>
  <c r="DP34"/>
  <c r="DO34"/>
  <c r="DN34"/>
  <c r="DM34"/>
  <c r="DL34"/>
  <c r="DK34"/>
  <c r="DJ34"/>
  <c r="DI34"/>
  <c r="DH34"/>
  <c r="DG34"/>
  <c r="DF34"/>
  <c r="DE34"/>
  <c r="DB34"/>
  <c r="DA34"/>
  <c r="CZ34"/>
  <c r="CY34"/>
  <c r="CX34"/>
  <c r="CW34"/>
  <c r="CV34"/>
  <c r="CU34"/>
  <c r="CT34"/>
  <c r="CS34"/>
  <c r="CR34"/>
  <c r="CQ34"/>
  <c r="CP34"/>
  <c r="CO34"/>
  <c r="CN34"/>
  <c r="CM34"/>
  <c r="CL34"/>
  <c r="CK34"/>
  <c r="CJ34"/>
  <c r="CI34"/>
  <c r="CH34"/>
  <c r="CG34"/>
  <c r="CF34"/>
  <c r="CE34"/>
  <c r="CD34"/>
  <c r="CC34"/>
  <c r="CB34"/>
  <c r="CA34"/>
  <c r="BZ34"/>
  <c r="AE34"/>
  <c r="EG33"/>
  <c r="EF33"/>
  <c r="EE33"/>
  <c r="ED33"/>
  <c r="EC33"/>
  <c r="EB33"/>
  <c r="EA33"/>
  <c r="DZ33"/>
  <c r="DY33"/>
  <c r="DX33"/>
  <c r="DW33"/>
  <c r="DV33"/>
  <c r="DU33"/>
  <c r="DT33"/>
  <c r="DS33"/>
  <c r="DR33"/>
  <c r="DQ33"/>
  <c r="DP33"/>
  <c r="DO33"/>
  <c r="DN33"/>
  <c r="DM33"/>
  <c r="DL33"/>
  <c r="DK33"/>
  <c r="DJ33"/>
  <c r="DI33"/>
  <c r="DH33"/>
  <c r="DG33"/>
  <c r="DF33"/>
  <c r="DE33"/>
  <c r="DB33"/>
  <c r="DA33"/>
  <c r="CZ33"/>
  <c r="CY33"/>
  <c r="CX33"/>
  <c r="CW33"/>
  <c r="CV33"/>
  <c r="CU33"/>
  <c r="CT33"/>
  <c r="CS33"/>
  <c r="CR33"/>
  <c r="CQ33"/>
  <c r="CP33"/>
  <c r="CO33"/>
  <c r="CN33"/>
  <c r="CM33"/>
  <c r="CL33"/>
  <c r="CK33"/>
  <c r="CJ33"/>
  <c r="CI33"/>
  <c r="CH33"/>
  <c r="CG33"/>
  <c r="CF33"/>
  <c r="CE33"/>
  <c r="CD33"/>
  <c r="CC33"/>
  <c r="CB33"/>
  <c r="CA33"/>
  <c r="BZ33"/>
  <c r="EG32"/>
  <c r="EF32"/>
  <c r="EE32"/>
  <c r="ED32"/>
  <c r="EC32"/>
  <c r="EB32"/>
  <c r="EA32"/>
  <c r="DZ32"/>
  <c r="DY32"/>
  <c r="DX32"/>
  <c r="DW32"/>
  <c r="DV32"/>
  <c r="DU32"/>
  <c r="DT32"/>
  <c r="DS32"/>
  <c r="DR32"/>
  <c r="DQ32"/>
  <c r="DP32"/>
  <c r="DO32"/>
  <c r="DN32"/>
  <c r="DM32"/>
  <c r="DL32"/>
  <c r="DK32"/>
  <c r="DJ32"/>
  <c r="DI32"/>
  <c r="DH32"/>
  <c r="DG32"/>
  <c r="DF32"/>
  <c r="DE32"/>
  <c r="DB32"/>
  <c r="DA32"/>
  <c r="CZ32"/>
  <c r="CY32"/>
  <c r="CX32"/>
  <c r="CW32"/>
  <c r="CV32"/>
  <c r="CU32"/>
  <c r="CT32"/>
  <c r="CS32"/>
  <c r="CR32"/>
  <c r="CQ32"/>
  <c r="CP32"/>
  <c r="CO32"/>
  <c r="CN32"/>
  <c r="CM32"/>
  <c r="CL32"/>
  <c r="CK32"/>
  <c r="CJ32"/>
  <c r="CI32"/>
  <c r="CH32"/>
  <c r="CG32"/>
  <c r="CF32"/>
  <c r="CE32"/>
  <c r="CD32"/>
  <c r="CC32"/>
  <c r="CB32"/>
  <c r="CA32"/>
  <c r="BZ32"/>
  <c r="EG31"/>
  <c r="EF31"/>
  <c r="EE31"/>
  <c r="ED31"/>
  <c r="EC31"/>
  <c r="EB31"/>
  <c r="EA31"/>
  <c r="DZ31"/>
  <c r="DY31"/>
  <c r="DX31"/>
  <c r="DW31"/>
  <c r="DV31"/>
  <c r="DU31"/>
  <c r="DT31"/>
  <c r="DS31"/>
  <c r="DR31"/>
  <c r="DQ31"/>
  <c r="DP31"/>
  <c r="DO31"/>
  <c r="DN31"/>
  <c r="DM31"/>
  <c r="DL31"/>
  <c r="DK31"/>
  <c r="DJ31"/>
  <c r="DI31"/>
  <c r="DH31"/>
  <c r="DG31"/>
  <c r="DF31"/>
  <c r="DE31"/>
  <c r="DB31"/>
  <c r="DA31"/>
  <c r="CZ31"/>
  <c r="CY31"/>
  <c r="CX31"/>
  <c r="CW31"/>
  <c r="CV31"/>
  <c r="CU31"/>
  <c r="CT31"/>
  <c r="CS31"/>
  <c r="CR31"/>
  <c r="CQ31"/>
  <c r="CP31"/>
  <c r="CO31"/>
  <c r="CN31"/>
  <c r="CM31"/>
  <c r="CL31"/>
  <c r="CK31"/>
  <c r="CJ31"/>
  <c r="CI31"/>
  <c r="CH31"/>
  <c r="CG31"/>
  <c r="CF31"/>
  <c r="CE31"/>
  <c r="CD31"/>
  <c r="CC31"/>
  <c r="CB31"/>
  <c r="CA31"/>
  <c r="BZ31"/>
  <c r="EG30"/>
  <c r="EF30"/>
  <c r="EE30"/>
  <c r="ED30"/>
  <c r="EC30"/>
  <c r="EB30"/>
  <c r="EA30"/>
  <c r="DZ30"/>
  <c r="DY30"/>
  <c r="DX30"/>
  <c r="DW30"/>
  <c r="DV30"/>
  <c r="DU30"/>
  <c r="DT30"/>
  <c r="DS30"/>
  <c r="DR30"/>
  <c r="DQ30"/>
  <c r="DP30"/>
  <c r="DO30"/>
  <c r="DN30"/>
  <c r="DM30"/>
  <c r="DL30"/>
  <c r="DK30"/>
  <c r="DJ30"/>
  <c r="DI30"/>
  <c r="DH30"/>
  <c r="DG30"/>
  <c r="DF30"/>
  <c r="DE30"/>
  <c r="DB30"/>
  <c r="DA30"/>
  <c r="CZ30"/>
  <c r="CY30"/>
  <c r="CX30"/>
  <c r="CW30"/>
  <c r="CV30"/>
  <c r="CU30"/>
  <c r="CT30"/>
  <c r="CS30"/>
  <c r="CR30"/>
  <c r="CQ30"/>
  <c r="CP30"/>
  <c r="CO30"/>
  <c r="CN30"/>
  <c r="CM30"/>
  <c r="CL30"/>
  <c r="CK30"/>
  <c r="CJ30"/>
  <c r="CI30"/>
  <c r="CH30"/>
  <c r="CG30"/>
  <c r="CF30"/>
  <c r="CE30"/>
  <c r="CD30"/>
  <c r="CC30"/>
  <c r="CB30"/>
  <c r="CA30"/>
  <c r="BZ30"/>
  <c r="EG29"/>
  <c r="EF29"/>
  <c r="EE29"/>
  <c r="ED29"/>
  <c r="EC29"/>
  <c r="EB29"/>
  <c r="EA29"/>
  <c r="DZ29"/>
  <c r="DY29"/>
  <c r="DX29"/>
  <c r="DW29"/>
  <c r="DV29"/>
  <c r="DU29"/>
  <c r="DT29"/>
  <c r="DS29"/>
  <c r="DR29"/>
  <c r="DQ29"/>
  <c r="DP29"/>
  <c r="DO29"/>
  <c r="DN29"/>
  <c r="DM29"/>
  <c r="DL29"/>
  <c r="DK29"/>
  <c r="DJ29"/>
  <c r="DI29"/>
  <c r="DH29"/>
  <c r="DG29"/>
  <c r="DF29"/>
  <c r="DE29"/>
  <c r="DB29"/>
  <c r="DA29"/>
  <c r="CZ29"/>
  <c r="CY29"/>
  <c r="CX29"/>
  <c r="CW29"/>
  <c r="CV29"/>
  <c r="CU29"/>
  <c r="CT29"/>
  <c r="CS29"/>
  <c r="CR29"/>
  <c r="CQ29"/>
  <c r="CP29"/>
  <c r="CO29"/>
  <c r="CN29"/>
  <c r="CM29"/>
  <c r="CL29"/>
  <c r="CK29"/>
  <c r="CJ29"/>
  <c r="CI29"/>
  <c r="CH29"/>
  <c r="CG29"/>
  <c r="CF29"/>
  <c r="CE29"/>
  <c r="CD29"/>
  <c r="CC29"/>
  <c r="CB29"/>
  <c r="CA29"/>
  <c r="BZ29"/>
  <c r="EG28"/>
  <c r="EF28"/>
  <c r="EE28"/>
  <c r="ED28"/>
  <c r="EC28"/>
  <c r="EB28"/>
  <c r="EA28"/>
  <c r="DZ28"/>
  <c r="DY28"/>
  <c r="DX28"/>
  <c r="DW28"/>
  <c r="DV28"/>
  <c r="DU28"/>
  <c r="DT28"/>
  <c r="DS28"/>
  <c r="DR28"/>
  <c r="DQ28"/>
  <c r="DP28"/>
  <c r="DO28"/>
  <c r="DN28"/>
  <c r="DM28"/>
  <c r="DL28"/>
  <c r="DK28"/>
  <c r="DJ28"/>
  <c r="DI28"/>
  <c r="DH28"/>
  <c r="DG28"/>
  <c r="DF28"/>
  <c r="DE28"/>
  <c r="DB28"/>
  <c r="DA28"/>
  <c r="CZ28"/>
  <c r="CY28"/>
  <c r="CX28"/>
  <c r="CW28"/>
  <c r="CV28"/>
  <c r="CU28"/>
  <c r="CT28"/>
  <c r="CS28"/>
  <c r="CR28"/>
  <c r="CQ28"/>
  <c r="CP28"/>
  <c r="CO28"/>
  <c r="CN28"/>
  <c r="CM28"/>
  <c r="CL28"/>
  <c r="CK28"/>
  <c r="CJ28"/>
  <c r="CI28"/>
  <c r="CH28"/>
  <c r="CG28"/>
  <c r="CF28"/>
  <c r="CE28"/>
  <c r="CD28"/>
  <c r="CC28"/>
  <c r="CB28"/>
  <c r="CA28"/>
  <c r="BZ28"/>
  <c r="EG27"/>
  <c r="EF27"/>
  <c r="EE27"/>
  <c r="ED27"/>
  <c r="EC27"/>
  <c r="EB27"/>
  <c r="EA27"/>
  <c r="DZ27"/>
  <c r="DY27"/>
  <c r="DX27"/>
  <c r="DW27"/>
  <c r="DV27"/>
  <c r="DU27"/>
  <c r="DT27"/>
  <c r="DS27"/>
  <c r="DR27"/>
  <c r="DQ27"/>
  <c r="DP27"/>
  <c r="DO27"/>
  <c r="DN27"/>
  <c r="DM27"/>
  <c r="DL27"/>
  <c r="DK27"/>
  <c r="DJ27"/>
  <c r="DI27"/>
  <c r="DH27"/>
  <c r="DG27"/>
  <c r="DF27"/>
  <c r="DE27"/>
  <c r="DB27"/>
  <c r="DA27"/>
  <c r="CZ27"/>
  <c r="CY27"/>
  <c r="CX27"/>
  <c r="CW27"/>
  <c r="CV27"/>
  <c r="CU27"/>
  <c r="CT27"/>
  <c r="CS27"/>
  <c r="CR27"/>
  <c r="CQ27"/>
  <c r="CP27"/>
  <c r="CO27"/>
  <c r="CN27"/>
  <c r="CM27"/>
  <c r="CL27"/>
  <c r="CK27"/>
  <c r="CJ27"/>
  <c r="CI27"/>
  <c r="CH27"/>
  <c r="CG27"/>
  <c r="CF27"/>
  <c r="CE27"/>
  <c r="CD27"/>
  <c r="CC27"/>
  <c r="CB27"/>
  <c r="CA27"/>
  <c r="BZ27"/>
  <c r="EG26"/>
  <c r="EF26"/>
  <c r="EE26"/>
  <c r="ED26"/>
  <c r="EC26"/>
  <c r="EB26"/>
  <c r="EA26"/>
  <c r="DZ26"/>
  <c r="DY26"/>
  <c r="DX26"/>
  <c r="DW26"/>
  <c r="DV26"/>
  <c r="DU26"/>
  <c r="DT26"/>
  <c r="DS26"/>
  <c r="DR26"/>
  <c r="DQ26"/>
  <c r="DP26"/>
  <c r="DO26"/>
  <c r="DN26"/>
  <c r="DM26"/>
  <c r="DL26"/>
  <c r="DK26"/>
  <c r="DJ26"/>
  <c r="DI26"/>
  <c r="DH26"/>
  <c r="DG26"/>
  <c r="DF26"/>
  <c r="DE26"/>
  <c r="DB26"/>
  <c r="DA26"/>
  <c r="CZ26"/>
  <c r="CY26"/>
  <c r="CX26"/>
  <c r="CW26"/>
  <c r="CV26"/>
  <c r="CU26"/>
  <c r="CT26"/>
  <c r="CS26"/>
  <c r="CR26"/>
  <c r="CQ26"/>
  <c r="CP26"/>
  <c r="CO26"/>
  <c r="CN26"/>
  <c r="CM26"/>
  <c r="CL26"/>
  <c r="CK26"/>
  <c r="CJ26"/>
  <c r="CI26"/>
  <c r="CH26"/>
  <c r="CG26"/>
  <c r="CF26"/>
  <c r="CE26"/>
  <c r="CD26"/>
  <c r="CC26"/>
  <c r="CB26"/>
  <c r="CA26"/>
  <c r="BZ26"/>
  <c r="EG25"/>
  <c r="EF25"/>
  <c r="EE25"/>
  <c r="ED25"/>
  <c r="EC25"/>
  <c r="EB25"/>
  <c r="EA25"/>
  <c r="DZ25"/>
  <c r="DY25"/>
  <c r="DX25"/>
  <c r="DW25"/>
  <c r="DV25"/>
  <c r="DU25"/>
  <c r="DT25"/>
  <c r="DS25"/>
  <c r="DR25"/>
  <c r="DQ25"/>
  <c r="DP25"/>
  <c r="DO25"/>
  <c r="DN25"/>
  <c r="DM25"/>
  <c r="DL25"/>
  <c r="DK25"/>
  <c r="DJ25"/>
  <c r="DI25"/>
  <c r="DH25"/>
  <c r="DG25"/>
  <c r="DF25"/>
  <c r="DE25"/>
  <c r="DB25"/>
  <c r="DA25"/>
  <c r="CZ25"/>
  <c r="CY25"/>
  <c r="CX25"/>
  <c r="CW25"/>
  <c r="CV25"/>
  <c r="CU25"/>
  <c r="CT25"/>
  <c r="CS25"/>
  <c r="CR25"/>
  <c r="CQ25"/>
  <c r="CP25"/>
  <c r="CO25"/>
  <c r="CN25"/>
  <c r="CM25"/>
  <c r="CL25"/>
  <c r="CK25"/>
  <c r="CJ25"/>
  <c r="CI25"/>
  <c r="CH25"/>
  <c r="CG25"/>
  <c r="CF25"/>
  <c r="CE25"/>
  <c r="CD25"/>
  <c r="CC25"/>
  <c r="CB25"/>
  <c r="CA25"/>
  <c r="BZ25"/>
  <c r="EG24"/>
  <c r="EF24"/>
  <c r="EE24"/>
  <c r="ED24"/>
  <c r="EC24"/>
  <c r="EB24"/>
  <c r="EA24"/>
  <c r="DZ24"/>
  <c r="DY24"/>
  <c r="DX24"/>
  <c r="DW24"/>
  <c r="DV24"/>
  <c r="DU24"/>
  <c r="DT24"/>
  <c r="DS24"/>
  <c r="DR24"/>
  <c r="DQ24"/>
  <c r="DP24"/>
  <c r="DO24"/>
  <c r="DN24"/>
  <c r="DM24"/>
  <c r="DL24"/>
  <c r="DK24"/>
  <c r="DJ24"/>
  <c r="DI24"/>
  <c r="DH24"/>
  <c r="DG24"/>
  <c r="DF24"/>
  <c r="DE24"/>
  <c r="DB24"/>
  <c r="DA24"/>
  <c r="CZ24"/>
  <c r="CY24"/>
  <c r="CX24"/>
  <c r="CW24"/>
  <c r="CV24"/>
  <c r="CU24"/>
  <c r="CT24"/>
  <c r="CS24"/>
  <c r="CR24"/>
  <c r="CQ24"/>
  <c r="CP24"/>
  <c r="CO24"/>
  <c r="CN24"/>
  <c r="CM24"/>
  <c r="CL24"/>
  <c r="CK24"/>
  <c r="CJ24"/>
  <c r="CI24"/>
  <c r="CH24"/>
  <c r="CG24"/>
  <c r="CF24"/>
  <c r="CE24"/>
  <c r="CD24"/>
  <c r="CC24"/>
  <c r="CB24"/>
  <c r="CA24"/>
  <c r="BZ24"/>
  <c r="EG23"/>
  <c r="EF23"/>
  <c r="EE23"/>
  <c r="ED23"/>
  <c r="EC23"/>
  <c r="EB23"/>
  <c r="EA23"/>
  <c r="DZ23"/>
  <c r="DY23"/>
  <c r="DX23"/>
  <c r="DW23"/>
  <c r="DV23"/>
  <c r="DU23"/>
  <c r="DT23"/>
  <c r="DS23"/>
  <c r="DR23"/>
  <c r="DQ23"/>
  <c r="DP23"/>
  <c r="DO23"/>
  <c r="DN23"/>
  <c r="DM23"/>
  <c r="DL23"/>
  <c r="DK23"/>
  <c r="DJ23"/>
  <c r="DI23"/>
  <c r="DH23"/>
  <c r="DG23"/>
  <c r="DF23"/>
  <c r="DE23"/>
  <c r="DB23"/>
  <c r="DA23"/>
  <c r="CZ23"/>
  <c r="CY23"/>
  <c r="CX23"/>
  <c r="CW23"/>
  <c r="CV23"/>
  <c r="CU23"/>
  <c r="CT23"/>
  <c r="CS23"/>
  <c r="CR23"/>
  <c r="CQ23"/>
  <c r="CP23"/>
  <c r="CO23"/>
  <c r="CN23"/>
  <c r="CM23"/>
  <c r="CL23"/>
  <c r="CK23"/>
  <c r="CJ23"/>
  <c r="CI23"/>
  <c r="CH23"/>
  <c r="CG23"/>
  <c r="CF23"/>
  <c r="CE23"/>
  <c r="CD23"/>
  <c r="CC23"/>
  <c r="CB23"/>
  <c r="CA23"/>
  <c r="BZ23"/>
  <c r="EG22"/>
  <c r="EF22"/>
  <c r="EE22"/>
  <c r="ED22"/>
  <c r="EC22"/>
  <c r="EB22"/>
  <c r="EA22"/>
  <c r="DZ22"/>
  <c r="DY22"/>
  <c r="DX22"/>
  <c r="DW22"/>
  <c r="DV22"/>
  <c r="DU22"/>
  <c r="DT22"/>
  <c r="DS22"/>
  <c r="DR22"/>
  <c r="DQ22"/>
  <c r="DP22"/>
  <c r="DO22"/>
  <c r="DN22"/>
  <c r="DM22"/>
  <c r="DL22"/>
  <c r="DK22"/>
  <c r="DJ22"/>
  <c r="DI22"/>
  <c r="DH22"/>
  <c r="DG22"/>
  <c r="DF22"/>
  <c r="DE22"/>
  <c r="DB22"/>
  <c r="DA22"/>
  <c r="CZ22"/>
  <c r="CY22"/>
  <c r="CX22"/>
  <c r="CW22"/>
  <c r="CV22"/>
  <c r="CU22"/>
  <c r="CT22"/>
  <c r="CS22"/>
  <c r="CR22"/>
  <c r="CQ22"/>
  <c r="CP22"/>
  <c r="CO22"/>
  <c r="CN22"/>
  <c r="CM22"/>
  <c r="CL22"/>
  <c r="CK22"/>
  <c r="CJ22"/>
  <c r="CI22"/>
  <c r="CH22"/>
  <c r="CG22"/>
  <c r="CF22"/>
  <c r="CE22"/>
  <c r="CD22"/>
  <c r="CC22"/>
  <c r="CB22"/>
  <c r="CA22"/>
  <c r="BZ22"/>
  <c r="EG21"/>
  <c r="EF21"/>
  <c r="EE21"/>
  <c r="ED21"/>
  <c r="EC21"/>
  <c r="EB21"/>
  <c r="EA21"/>
  <c r="DZ21"/>
  <c r="DY21"/>
  <c r="DX21"/>
  <c r="DW21"/>
  <c r="DV21"/>
  <c r="DU21"/>
  <c r="DT21"/>
  <c r="DS21"/>
  <c r="DR21"/>
  <c r="DQ21"/>
  <c r="DP21"/>
  <c r="DO21"/>
  <c r="DN21"/>
  <c r="DM21"/>
  <c r="DL21"/>
  <c r="DK21"/>
  <c r="DJ21"/>
  <c r="DI21"/>
  <c r="DH21"/>
  <c r="DG21"/>
  <c r="DF21"/>
  <c r="DE21"/>
  <c r="DB21"/>
  <c r="DA21"/>
  <c r="CZ21"/>
  <c r="CY21"/>
  <c r="CX21"/>
  <c r="CW21"/>
  <c r="CV21"/>
  <c r="CU21"/>
  <c r="CT21"/>
  <c r="CS21"/>
  <c r="CR21"/>
  <c r="CQ21"/>
  <c r="CP21"/>
  <c r="CO21"/>
  <c r="CN21"/>
  <c r="CM21"/>
  <c r="CL21"/>
  <c r="CK21"/>
  <c r="CJ21"/>
  <c r="CI21"/>
  <c r="CH21"/>
  <c r="CG21"/>
  <c r="CF21"/>
  <c r="CE21"/>
  <c r="CD21"/>
  <c r="CC21"/>
  <c r="CB21"/>
  <c r="CA21"/>
  <c r="BZ21"/>
  <c r="EG20"/>
  <c r="EF20"/>
  <c r="EE20"/>
  <c r="ED20"/>
  <c r="EC20"/>
  <c r="EB20"/>
  <c r="EA20"/>
  <c r="DZ20"/>
  <c r="DY20"/>
  <c r="DX20"/>
  <c r="DW20"/>
  <c r="DV20"/>
  <c r="DU20"/>
  <c r="DT20"/>
  <c r="DS20"/>
  <c r="DR20"/>
  <c r="DQ20"/>
  <c r="DP20"/>
  <c r="DO20"/>
  <c r="DN20"/>
  <c r="DM20"/>
  <c r="DL20"/>
  <c r="DK20"/>
  <c r="DJ20"/>
  <c r="DI20"/>
  <c r="DH20"/>
  <c r="DG20"/>
  <c r="DF20"/>
  <c r="DE20"/>
  <c r="DB20"/>
  <c r="DA20"/>
  <c r="CZ20"/>
  <c r="CY20"/>
  <c r="CX20"/>
  <c r="CW20"/>
  <c r="CV20"/>
  <c r="CU20"/>
  <c r="CT20"/>
  <c r="CS20"/>
  <c r="CR20"/>
  <c r="CQ20"/>
  <c r="CP20"/>
  <c r="CO20"/>
  <c r="CN20"/>
  <c r="CM20"/>
  <c r="CL20"/>
  <c r="CK20"/>
  <c r="CJ20"/>
  <c r="CI20"/>
  <c r="CH20"/>
  <c r="CG20"/>
  <c r="CF20"/>
  <c r="CE20"/>
  <c r="CD20"/>
  <c r="CC20"/>
  <c r="CB20"/>
  <c r="CA20"/>
  <c r="BZ20"/>
  <c r="EG19"/>
  <c r="EF19"/>
  <c r="EE19"/>
  <c r="ED19"/>
  <c r="EC19"/>
  <c r="EB19"/>
  <c r="EA19"/>
  <c r="DZ19"/>
  <c r="DY19"/>
  <c r="DX19"/>
  <c r="DW19"/>
  <c r="DV19"/>
  <c r="DU19"/>
  <c r="DT19"/>
  <c r="DS19"/>
  <c r="DR19"/>
  <c r="DQ19"/>
  <c r="DP19"/>
  <c r="DO19"/>
  <c r="DN19"/>
  <c r="DM19"/>
  <c r="DL19"/>
  <c r="DK19"/>
  <c r="DJ19"/>
  <c r="DI19"/>
  <c r="DH19"/>
  <c r="DG19"/>
  <c r="DF19"/>
  <c r="DE19"/>
  <c r="DB19"/>
  <c r="DA19"/>
  <c r="CZ19"/>
  <c r="CY19"/>
  <c r="CX19"/>
  <c r="CW19"/>
  <c r="CV19"/>
  <c r="CU19"/>
  <c r="CT19"/>
  <c r="CS19"/>
  <c r="CR19"/>
  <c r="CQ19"/>
  <c r="CP19"/>
  <c r="CO19"/>
  <c r="CN19"/>
  <c r="CM19"/>
  <c r="CL19"/>
  <c r="CK19"/>
  <c r="CJ19"/>
  <c r="CI19"/>
  <c r="CH19"/>
  <c r="CG19"/>
  <c r="CF19"/>
  <c r="CE19"/>
  <c r="CD19"/>
  <c r="CC19"/>
  <c r="CB19"/>
  <c r="CA19"/>
  <c r="BZ19"/>
  <c r="EG18"/>
  <c r="EF18"/>
  <c r="EE18"/>
  <c r="ED18"/>
  <c r="EC18"/>
  <c r="EB18"/>
  <c r="EA18"/>
  <c r="DZ18"/>
  <c r="DY18"/>
  <c r="DX18"/>
  <c r="DW18"/>
  <c r="DV18"/>
  <c r="DU18"/>
  <c r="DT18"/>
  <c r="DS18"/>
  <c r="DR18"/>
  <c r="DQ18"/>
  <c r="DP18"/>
  <c r="DO18"/>
  <c r="DN18"/>
  <c r="DM18"/>
  <c r="DL18"/>
  <c r="DK18"/>
  <c r="DJ18"/>
  <c r="DI18"/>
  <c r="DH18"/>
  <c r="DG18"/>
  <c r="DF18"/>
  <c r="DE18"/>
  <c r="DB18"/>
  <c r="DA18"/>
  <c r="CZ18"/>
  <c r="CY18"/>
  <c r="CX18"/>
  <c r="CW18"/>
  <c r="CV18"/>
  <c r="CU18"/>
  <c r="CT18"/>
  <c r="CS18"/>
  <c r="CR18"/>
  <c r="CQ18"/>
  <c r="CP18"/>
  <c r="CO18"/>
  <c r="CN18"/>
  <c r="CM18"/>
  <c r="CL18"/>
  <c r="CK18"/>
  <c r="CJ18"/>
  <c r="CI18"/>
  <c r="CH18"/>
  <c r="CG18"/>
  <c r="CF18"/>
  <c r="CE18"/>
  <c r="CD18"/>
  <c r="CC18"/>
  <c r="CB18"/>
  <c r="CA18"/>
  <c r="BZ18"/>
  <c r="EG17"/>
  <c r="EF17"/>
  <c r="EE17"/>
  <c r="ED17"/>
  <c r="EC17"/>
  <c r="EB17"/>
  <c r="EA17"/>
  <c r="DZ17"/>
  <c r="DY17"/>
  <c r="DX17"/>
  <c r="DW17"/>
  <c r="DV17"/>
  <c r="DU17"/>
  <c r="DT17"/>
  <c r="DS17"/>
  <c r="DR17"/>
  <c r="DQ17"/>
  <c r="DP17"/>
  <c r="DO17"/>
  <c r="DN17"/>
  <c r="DM17"/>
  <c r="DL17"/>
  <c r="DK17"/>
  <c r="DJ17"/>
  <c r="DI17"/>
  <c r="DH17"/>
  <c r="DG17"/>
  <c r="DF17"/>
  <c r="DE17"/>
  <c r="DB17"/>
  <c r="DA17"/>
  <c r="CZ17"/>
  <c r="CY17"/>
  <c r="CX17"/>
  <c r="CW17"/>
  <c r="CV17"/>
  <c r="CU17"/>
  <c r="CT17"/>
  <c r="CS17"/>
  <c r="CR17"/>
  <c r="CQ17"/>
  <c r="CP17"/>
  <c r="CO17"/>
  <c r="CN17"/>
  <c r="CM17"/>
  <c r="CL17"/>
  <c r="CK17"/>
  <c r="CJ17"/>
  <c r="CI17"/>
  <c r="CH17"/>
  <c r="CG17"/>
  <c r="CF17"/>
  <c r="CE17"/>
  <c r="CD17"/>
  <c r="CC17"/>
  <c r="CB17"/>
  <c r="CA17"/>
  <c r="BZ17"/>
  <c r="EG16"/>
  <c r="EF16"/>
  <c r="EE16"/>
  <c r="ED16"/>
  <c r="EC16"/>
  <c r="EB16"/>
  <c r="EA16"/>
  <c r="DZ16"/>
  <c r="DY16"/>
  <c r="DX16"/>
  <c r="DW16"/>
  <c r="DV16"/>
  <c r="DU16"/>
  <c r="DT16"/>
  <c r="DS16"/>
  <c r="DR16"/>
  <c r="DQ16"/>
  <c r="DP16"/>
  <c r="DO16"/>
  <c r="DN16"/>
  <c r="DM16"/>
  <c r="DL16"/>
  <c r="DK16"/>
  <c r="DJ16"/>
  <c r="DI16"/>
  <c r="DH16"/>
  <c r="DG16"/>
  <c r="DF16"/>
  <c r="DE16"/>
  <c r="DB16"/>
  <c r="DA16"/>
  <c r="CZ16"/>
  <c r="CY16"/>
  <c r="CX16"/>
  <c r="CW16"/>
  <c r="CV16"/>
  <c r="CU16"/>
  <c r="CT16"/>
  <c r="CS16"/>
  <c r="CR16"/>
  <c r="CQ16"/>
  <c r="CP16"/>
  <c r="CO16"/>
  <c r="CN16"/>
  <c r="CM16"/>
  <c r="CL16"/>
  <c r="CK16"/>
  <c r="CJ16"/>
  <c r="CI16"/>
  <c r="CH16"/>
  <c r="CG16"/>
  <c r="CF16"/>
  <c r="CE16"/>
  <c r="CD16"/>
  <c r="CC16"/>
  <c r="CB16"/>
  <c r="CA16"/>
  <c r="BZ16"/>
  <c r="EG15"/>
  <c r="EF15"/>
  <c r="EE15"/>
  <c r="ED15"/>
  <c r="EC15"/>
  <c r="EB15"/>
  <c r="EA15"/>
  <c r="DZ15"/>
  <c r="DY15"/>
  <c r="DX15"/>
  <c r="DW15"/>
  <c r="DV15"/>
  <c r="DU15"/>
  <c r="DT15"/>
  <c r="DS15"/>
  <c r="DR15"/>
  <c r="DQ15"/>
  <c r="DP15"/>
  <c r="DO15"/>
  <c r="DN15"/>
  <c r="DM15"/>
  <c r="DL15"/>
  <c r="DK15"/>
  <c r="DJ15"/>
  <c r="DI15"/>
  <c r="DH15"/>
  <c r="DG15"/>
  <c r="DF15"/>
  <c r="DE15"/>
  <c r="DB15"/>
  <c r="DA15"/>
  <c r="CZ15"/>
  <c r="CY15"/>
  <c r="CX15"/>
  <c r="CW15"/>
  <c r="CV15"/>
  <c r="CU15"/>
  <c r="CT15"/>
  <c r="CS15"/>
  <c r="CR15"/>
  <c r="CQ15"/>
  <c r="CP15"/>
  <c r="CO15"/>
  <c r="CN15"/>
  <c r="CM15"/>
  <c r="CL15"/>
  <c r="CK15"/>
  <c r="CJ15"/>
  <c r="CI15"/>
  <c r="CH15"/>
  <c r="CG15"/>
  <c r="CF15"/>
  <c r="CE15"/>
  <c r="CD15"/>
  <c r="CC15"/>
  <c r="CB15"/>
  <c r="CA15"/>
  <c r="BZ15"/>
  <c r="EG14"/>
  <c r="EF14"/>
  <c r="EE14"/>
  <c r="ED14"/>
  <c r="EC14"/>
  <c r="EB14"/>
  <c r="EA14"/>
  <c r="DZ14"/>
  <c r="DY14"/>
  <c r="DX14"/>
  <c r="DW14"/>
  <c r="DV14"/>
  <c r="DU14"/>
  <c r="DT14"/>
  <c r="DS14"/>
  <c r="DR14"/>
  <c r="DQ14"/>
  <c r="DP14"/>
  <c r="DO14"/>
  <c r="DN14"/>
  <c r="DM14"/>
  <c r="DL14"/>
  <c r="DK14"/>
  <c r="DJ14"/>
  <c r="DI14"/>
  <c r="DH14"/>
  <c r="DG14"/>
  <c r="DF14"/>
  <c r="DE14"/>
  <c r="DB14"/>
  <c r="DA14"/>
  <c r="CZ14"/>
  <c r="CY14"/>
  <c r="CX14"/>
  <c r="CW14"/>
  <c r="CV14"/>
  <c r="CU14"/>
  <c r="CT14"/>
  <c r="CS14"/>
  <c r="CR14"/>
  <c r="CQ14"/>
  <c r="CP14"/>
  <c r="CO14"/>
  <c r="CN14"/>
  <c r="CM14"/>
  <c r="CL14"/>
  <c r="CK14"/>
  <c r="CJ14"/>
  <c r="CI14"/>
  <c r="CH14"/>
  <c r="CG14"/>
  <c r="CF14"/>
  <c r="CE14"/>
  <c r="CD14"/>
  <c r="CC14"/>
  <c r="CB14"/>
  <c r="CA14"/>
  <c r="BZ14"/>
  <c r="EG13"/>
  <c r="EF13"/>
  <c r="EE13"/>
  <c r="ED13"/>
  <c r="EC13"/>
  <c r="EB13"/>
  <c r="EA13"/>
  <c r="DZ13"/>
  <c r="DY13"/>
  <c r="DX13"/>
  <c r="DW13"/>
  <c r="DV13"/>
  <c r="DU13"/>
  <c r="DT13"/>
  <c r="DS13"/>
  <c r="DR13"/>
  <c r="DQ13"/>
  <c r="DP13"/>
  <c r="DO13"/>
  <c r="DN13"/>
  <c r="DM13"/>
  <c r="DL13"/>
  <c r="DK13"/>
  <c r="DJ13"/>
  <c r="DI13"/>
  <c r="DH13"/>
  <c r="DG13"/>
  <c r="DF13"/>
  <c r="DE13"/>
  <c r="DB13"/>
  <c r="DA13"/>
  <c r="CZ13"/>
  <c r="CY13"/>
  <c r="CX13"/>
  <c r="CW13"/>
  <c r="CV13"/>
  <c r="CU13"/>
  <c r="CT13"/>
  <c r="CS13"/>
  <c r="CR13"/>
  <c r="CQ13"/>
  <c r="CP13"/>
  <c r="CO13"/>
  <c r="CN13"/>
  <c r="CM13"/>
  <c r="CL13"/>
  <c r="CK13"/>
  <c r="CJ13"/>
  <c r="CI13"/>
  <c r="CH13"/>
  <c r="CG13"/>
  <c r="CF13"/>
  <c r="CE13"/>
  <c r="CD13"/>
  <c r="CC13"/>
  <c r="CB13"/>
  <c r="CA13"/>
  <c r="BZ13"/>
  <c r="EG12"/>
  <c r="EF12"/>
  <c r="EE12"/>
  <c r="ED12"/>
  <c r="EC12"/>
  <c r="EB12"/>
  <c r="EA12"/>
  <c r="DZ12"/>
  <c r="DY12"/>
  <c r="DX12"/>
  <c r="DW12"/>
  <c r="DV12"/>
  <c r="DU12"/>
  <c r="DT12"/>
  <c r="DS12"/>
  <c r="DR12"/>
  <c r="DQ12"/>
  <c r="DP12"/>
  <c r="DO12"/>
  <c r="DN12"/>
  <c r="DM12"/>
  <c r="DL12"/>
  <c r="DK12"/>
  <c r="DJ12"/>
  <c r="DI12"/>
  <c r="DH12"/>
  <c r="DG12"/>
  <c r="DF12"/>
  <c r="DE12"/>
  <c r="DB12"/>
  <c r="DA12"/>
  <c r="CZ12"/>
  <c r="CY12"/>
  <c r="CX12"/>
  <c r="CW12"/>
  <c r="CV12"/>
  <c r="CU12"/>
  <c r="CT12"/>
  <c r="CS12"/>
  <c r="CR12"/>
  <c r="CQ12"/>
  <c r="CP12"/>
  <c r="CO12"/>
  <c r="CN12"/>
  <c r="CM12"/>
  <c r="CL12"/>
  <c r="CK12"/>
  <c r="CJ12"/>
  <c r="CI12"/>
  <c r="CH12"/>
  <c r="CG12"/>
  <c r="CF12"/>
  <c r="CE12"/>
  <c r="CD12"/>
  <c r="CC12"/>
  <c r="CB12"/>
  <c r="CA12"/>
  <c r="BZ12"/>
  <c r="EG11"/>
  <c r="EF11"/>
  <c r="EE11"/>
  <c r="ED11"/>
  <c r="EC11"/>
  <c r="EB11"/>
  <c r="EA11"/>
  <c r="DZ11"/>
  <c r="DY11"/>
  <c r="DX11"/>
  <c r="DW11"/>
  <c r="DV11"/>
  <c r="DU11"/>
  <c r="DT11"/>
  <c r="DS11"/>
  <c r="DR11"/>
  <c r="DQ11"/>
  <c r="DP11"/>
  <c r="DO11"/>
  <c r="DN11"/>
  <c r="DM11"/>
  <c r="DL11"/>
  <c r="DK11"/>
  <c r="DJ11"/>
  <c r="DI11"/>
  <c r="DH11"/>
  <c r="DG11"/>
  <c r="DF11"/>
  <c r="DE11"/>
  <c r="DB11"/>
  <c r="DA11"/>
  <c r="CZ11"/>
  <c r="CY11"/>
  <c r="CX11"/>
  <c r="CW11"/>
  <c r="CV11"/>
  <c r="CU11"/>
  <c r="CT11"/>
  <c r="CS11"/>
  <c r="CR11"/>
  <c r="CQ11"/>
  <c r="CP11"/>
  <c r="CO11"/>
  <c r="CN11"/>
  <c r="CM11"/>
  <c r="CL11"/>
  <c r="CK11"/>
  <c r="CJ11"/>
  <c r="CI11"/>
  <c r="CH11"/>
  <c r="CG11"/>
  <c r="CF11"/>
  <c r="CE11"/>
  <c r="CD11"/>
  <c r="CC11"/>
  <c r="CB11"/>
  <c r="CA11"/>
  <c r="BZ11"/>
  <c r="EG10"/>
  <c r="EF10"/>
  <c r="EE10"/>
  <c r="ED10"/>
  <c r="EC10"/>
  <c r="EB10"/>
  <c r="EA10"/>
  <c r="DZ10"/>
  <c r="DY10"/>
  <c r="DX10"/>
  <c r="DW10"/>
  <c r="DV10"/>
  <c r="DU10"/>
  <c r="DT10"/>
  <c r="DS10"/>
  <c r="DR10"/>
  <c r="DQ10"/>
  <c r="DP10"/>
  <c r="DO10"/>
  <c r="DN10"/>
  <c r="DM10"/>
  <c r="DL10"/>
  <c r="DK10"/>
  <c r="DJ10"/>
  <c r="DI10"/>
  <c r="DH10"/>
  <c r="DG10"/>
  <c r="DF10"/>
  <c r="DE10"/>
  <c r="DB10"/>
  <c r="DA10"/>
  <c r="CZ10"/>
  <c r="CY10"/>
  <c r="CX10"/>
  <c r="CW10"/>
  <c r="CV10"/>
  <c r="CU10"/>
  <c r="CT10"/>
  <c r="CS10"/>
  <c r="CR10"/>
  <c r="CQ10"/>
  <c r="CP10"/>
  <c r="CO10"/>
  <c r="CN10"/>
  <c r="CM10"/>
  <c r="CL10"/>
  <c r="CK10"/>
  <c r="CJ10"/>
  <c r="CI10"/>
  <c r="CH10"/>
  <c r="CG10"/>
  <c r="CF10"/>
  <c r="CE10"/>
  <c r="CD10"/>
  <c r="CC10"/>
  <c r="CB10"/>
  <c r="CA10"/>
  <c r="BZ10"/>
  <c r="EG9"/>
  <c r="EF9"/>
  <c r="EE9"/>
  <c r="ED9"/>
  <c r="EC9"/>
  <c r="EB9"/>
  <c r="EA9"/>
  <c r="DZ9"/>
  <c r="DY9"/>
  <c r="DX9"/>
  <c r="DW9"/>
  <c r="DV9"/>
  <c r="DU9"/>
  <c r="DT9"/>
  <c r="DS9"/>
  <c r="DR9"/>
  <c r="DQ9"/>
  <c r="DP9"/>
  <c r="DO9"/>
  <c r="DN9"/>
  <c r="DM9"/>
  <c r="DL9"/>
  <c r="DK9"/>
  <c r="DJ9"/>
  <c r="DI9"/>
  <c r="DH9"/>
  <c r="DG9"/>
  <c r="DF9"/>
  <c r="DE9"/>
  <c r="DB9"/>
  <c r="DA9"/>
  <c r="CZ9"/>
  <c r="CY9"/>
  <c r="CX9"/>
  <c r="CW9"/>
  <c r="CV9"/>
  <c r="CU9"/>
  <c r="CT9"/>
  <c r="CS9"/>
  <c r="CR9"/>
  <c r="CQ9"/>
  <c r="CP9"/>
  <c r="CO9"/>
  <c r="CN9"/>
  <c r="CM9"/>
  <c r="CL9"/>
  <c r="CK9"/>
  <c r="CJ9"/>
  <c r="CI9"/>
  <c r="CH9"/>
  <c r="CG9"/>
  <c r="CF9"/>
  <c r="CE9"/>
  <c r="CD9"/>
  <c r="CC9"/>
  <c r="CB9"/>
  <c r="CA9"/>
  <c r="BZ9"/>
  <c r="EG8"/>
  <c r="EF8"/>
  <c r="EE8"/>
  <c r="ED8"/>
  <c r="EC8"/>
  <c r="EB8"/>
  <c r="EA8"/>
  <c r="DZ8"/>
  <c r="DY8"/>
  <c r="DX8"/>
  <c r="DW8"/>
  <c r="DV8"/>
  <c r="DU8"/>
  <c r="DT8"/>
  <c r="DS8"/>
  <c r="DR8"/>
  <c r="DQ8"/>
  <c r="DP8"/>
  <c r="DO8"/>
  <c r="DN8"/>
  <c r="DM8"/>
  <c r="DL8"/>
  <c r="DK8"/>
  <c r="DJ8"/>
  <c r="DI8"/>
  <c r="DH8"/>
  <c r="DG8"/>
  <c r="DF8"/>
  <c r="DE8"/>
  <c r="DB8"/>
  <c r="DA8"/>
  <c r="CZ8"/>
  <c r="CY8"/>
  <c r="CX8"/>
  <c r="CW8"/>
  <c r="CV8"/>
  <c r="CU8"/>
  <c r="CT8"/>
  <c r="CS8"/>
  <c r="CR8"/>
  <c r="CQ8"/>
  <c r="CP8"/>
  <c r="CO8"/>
  <c r="CN8"/>
  <c r="CM8"/>
  <c r="CL8"/>
  <c r="CK8"/>
  <c r="CJ8"/>
  <c r="CI8"/>
  <c r="CH8"/>
  <c r="CG8"/>
  <c r="CF8"/>
  <c r="CE8"/>
  <c r="CD8"/>
  <c r="CC8"/>
  <c r="CB8"/>
  <c r="CA8"/>
  <c r="BZ8"/>
  <c r="EG7"/>
  <c r="EF7"/>
  <c r="EE7"/>
  <c r="ED7"/>
  <c r="EC7"/>
  <c r="EB7"/>
  <c r="EA7"/>
  <c r="DZ7"/>
  <c r="DY7"/>
  <c r="DX7"/>
  <c r="DW7"/>
  <c r="DV7"/>
  <c r="DU7"/>
  <c r="DT7"/>
  <c r="DS7"/>
  <c r="DR7"/>
  <c r="DQ7"/>
  <c r="DP7"/>
  <c r="DO7"/>
  <c r="DN7"/>
  <c r="DM7"/>
  <c r="DL7"/>
  <c r="DK7"/>
  <c r="DJ7"/>
  <c r="DI7"/>
  <c r="DH7"/>
  <c r="DG7"/>
  <c r="DF7"/>
  <c r="DE7"/>
  <c r="DB7"/>
  <c r="DA7"/>
  <c r="CZ7"/>
  <c r="CY7"/>
  <c r="CX7"/>
  <c r="CW7"/>
  <c r="CV7"/>
  <c r="CU7"/>
  <c r="CT7"/>
  <c r="CS7"/>
  <c r="CR7"/>
  <c r="CQ7"/>
  <c r="CP7"/>
  <c r="CO7"/>
  <c r="CN7"/>
  <c r="CM7"/>
  <c r="CL7"/>
  <c r="CK7"/>
  <c r="CJ7"/>
  <c r="CI7"/>
  <c r="CH7"/>
  <c r="CG7"/>
  <c r="CF7"/>
  <c r="CE7"/>
  <c r="CD7"/>
  <c r="CC7"/>
  <c r="CB7"/>
  <c r="CA7"/>
  <c r="BZ7"/>
  <c r="EG6"/>
  <c r="EF6"/>
  <c r="EE6"/>
  <c r="ED6"/>
  <c r="EC6"/>
  <c r="EB6"/>
  <c r="EA6"/>
  <c r="DZ6"/>
  <c r="DY6"/>
  <c r="DX6"/>
  <c r="DW6"/>
  <c r="DV6"/>
  <c r="DU6"/>
  <c r="DT6"/>
  <c r="DS6"/>
  <c r="DR6"/>
  <c r="DQ6"/>
  <c r="DP6"/>
  <c r="DO6"/>
  <c r="DN6"/>
  <c r="DM6"/>
  <c r="DL6"/>
  <c r="DK6"/>
  <c r="DJ6"/>
  <c r="DI6"/>
  <c r="DH6"/>
  <c r="DG6"/>
  <c r="DF6"/>
  <c r="DE6"/>
  <c r="DB6"/>
  <c r="DA6"/>
  <c r="CZ6"/>
  <c r="CY6"/>
  <c r="CX6"/>
  <c r="CW6"/>
  <c r="CV6"/>
  <c r="CU6"/>
  <c r="CT6"/>
  <c r="CS6"/>
  <c r="CR6"/>
  <c r="CQ6"/>
  <c r="CP6"/>
  <c r="CO6"/>
  <c r="CN6"/>
  <c r="CM6"/>
  <c r="CL6"/>
  <c r="CK6"/>
  <c r="CJ6"/>
  <c r="CI6"/>
  <c r="CH6"/>
  <c r="CG6"/>
  <c r="CF6"/>
  <c r="CE6"/>
  <c r="CD6"/>
  <c r="CC6"/>
  <c r="CB6"/>
  <c r="CA6"/>
  <c r="BZ6"/>
  <c r="EG5"/>
  <c r="EF5"/>
  <c r="EE5"/>
  <c r="ED5"/>
  <c r="EC5"/>
  <c r="EB5"/>
  <c r="EA5"/>
  <c r="DZ5"/>
  <c r="DY5"/>
  <c r="DX5"/>
  <c r="DW5"/>
  <c r="DV5"/>
  <c r="DU5"/>
  <c r="DT5"/>
  <c r="DS5"/>
  <c r="DR5"/>
  <c r="DQ5"/>
  <c r="DP5"/>
  <c r="DO5"/>
  <c r="DN5"/>
  <c r="DM5"/>
  <c r="DL5"/>
  <c r="DK5"/>
  <c r="DJ5"/>
  <c r="DI5"/>
  <c r="DH5"/>
  <c r="DG5"/>
  <c r="DF5"/>
  <c r="DE5"/>
  <c r="DB5"/>
  <c r="DA5"/>
  <c r="CZ5"/>
  <c r="CY5"/>
  <c r="CX5"/>
  <c r="CW5"/>
  <c r="CV5"/>
  <c r="CU5"/>
  <c r="CT5"/>
  <c r="CS5"/>
  <c r="CR5"/>
  <c r="CQ5"/>
  <c r="CP5"/>
  <c r="CO5"/>
  <c r="CN5"/>
  <c r="CM5"/>
  <c r="CL5"/>
  <c r="CK5"/>
  <c r="CJ5"/>
  <c r="CI5"/>
  <c r="CH5"/>
  <c r="CG5"/>
  <c r="CF5"/>
  <c r="CE5"/>
  <c r="CD5"/>
  <c r="CC5"/>
  <c r="CB5"/>
  <c r="CA5"/>
  <c r="BZ5"/>
  <c r="EG4"/>
  <c r="EF4"/>
  <c r="EE4"/>
  <c r="ED4"/>
  <c r="EC4"/>
  <c r="EB4"/>
  <c r="EA4"/>
  <c r="DZ4"/>
  <c r="DY4"/>
  <c r="DX4"/>
  <c r="DW4"/>
  <c r="DV4"/>
  <c r="DU4"/>
  <c r="DT4"/>
  <c r="DS4"/>
  <c r="DR4"/>
  <c r="DQ4"/>
  <c r="DP4"/>
  <c r="DO4"/>
  <c r="DN4"/>
  <c r="DM4"/>
  <c r="DL4"/>
  <c r="DK4"/>
  <c r="DJ4"/>
  <c r="DI4"/>
  <c r="DH4"/>
  <c r="DG4"/>
  <c r="DF4"/>
  <c r="DE4"/>
  <c r="DB4"/>
  <c r="DA4"/>
  <c r="CZ4"/>
  <c r="CY4"/>
  <c r="CX4"/>
  <c r="CW4"/>
  <c r="CV4"/>
  <c r="CU4"/>
  <c r="CT4"/>
  <c r="CS4"/>
  <c r="CR4"/>
  <c r="CQ4"/>
  <c r="CP4"/>
  <c r="CO4"/>
  <c r="CN4"/>
  <c r="CM4"/>
  <c r="CL4"/>
  <c r="CK4"/>
  <c r="CJ4"/>
  <c r="CI4"/>
  <c r="CH4"/>
  <c r="CG4"/>
  <c r="CF4"/>
  <c r="CE4"/>
  <c r="CD4"/>
  <c r="CC4"/>
  <c r="CB4"/>
  <c r="CA4"/>
  <c r="BZ4"/>
  <c r="EL8" s="1"/>
  <c r="AF3"/>
  <c r="AG3" s="1"/>
  <c r="AH3" s="1"/>
  <c r="AI3" s="1"/>
  <c r="AJ3" s="1"/>
  <c r="AK3" s="1"/>
  <c r="AL3" s="1"/>
  <c r="AM3" s="1"/>
  <c r="AN3" s="1"/>
  <c r="AO3" s="1"/>
  <c r="AP3" s="1"/>
  <c r="AQ3" s="1"/>
  <c r="AR3" s="1"/>
  <c r="AS3" s="1"/>
  <c r="AT3" s="1"/>
  <c r="AU3" s="1"/>
  <c r="AV3" s="1"/>
  <c r="AW3" s="1"/>
  <c r="AX3" s="1"/>
  <c r="AY3" s="1"/>
  <c r="AZ3" s="1"/>
  <c r="BA3" s="1"/>
  <c r="BB3" s="1"/>
  <c r="BC3" s="1"/>
  <c r="BD3" s="1"/>
  <c r="BE3" s="1"/>
  <c r="BF3" s="1"/>
  <c r="BG3" s="1"/>
  <c r="BH3" s="1"/>
  <c r="BI3" s="1"/>
  <c r="BJ3" s="1"/>
  <c r="BK3" s="1"/>
  <c r="BL3" s="1"/>
  <c r="BM3" s="1"/>
  <c r="BN3" s="1"/>
  <c r="BO3" s="1"/>
  <c r="BP3" s="1"/>
  <c r="BQ3" s="1"/>
  <c r="BR3" s="1"/>
  <c r="BS3" s="1"/>
  <c r="BT3" s="1"/>
  <c r="BU3" s="1"/>
  <c r="BV3" s="1"/>
  <c r="AE3"/>
  <c r="J1"/>
  <c r="K1" s="1"/>
  <c r="L1" s="1"/>
  <c r="CI5" i="7"/>
  <c r="CH5"/>
  <c r="CG5"/>
  <c r="CF5"/>
  <c r="CK5"/>
  <c r="AT5"/>
  <c r="U5" s="1"/>
  <c r="V5"/>
  <c r="DG5" l="1"/>
  <c r="BA5"/>
  <c r="AW5"/>
  <c r="CL5"/>
  <c r="CJ5"/>
  <c r="CP5" s="1"/>
  <c r="C146" i="8"/>
  <c r="DF145"/>
  <c r="K146"/>
  <c r="DN145"/>
  <c r="S146"/>
  <c r="DV145"/>
  <c r="AA146"/>
  <c r="ED145"/>
  <c r="B145"/>
  <c r="DE144"/>
  <c r="F145"/>
  <c r="DI144"/>
  <c r="J145"/>
  <c r="DM144"/>
  <c r="N145"/>
  <c r="DQ144"/>
  <c r="R145"/>
  <c r="DU144"/>
  <c r="V145"/>
  <c r="DY144"/>
  <c r="Z145"/>
  <c r="EC144"/>
  <c r="AD145"/>
  <c r="EG144"/>
  <c r="G146"/>
  <c r="DJ145"/>
  <c r="O146"/>
  <c r="DR145"/>
  <c r="W146"/>
  <c r="DZ145"/>
  <c r="AA5" i="7"/>
  <c r="AB5" s="1"/>
  <c r="D144" i="8"/>
  <c r="H144"/>
  <c r="L144"/>
  <c r="P144"/>
  <c r="T144"/>
  <c r="X144"/>
  <c r="AB144"/>
  <c r="E145"/>
  <c r="I145"/>
  <c r="M145"/>
  <c r="Q145"/>
  <c r="U145"/>
  <c r="Y145"/>
  <c r="AC145"/>
  <c r="CM5" i="7"/>
  <c r="Y5"/>
  <c r="AC5"/>
  <c r="AE5" l="1"/>
  <c r="AD5"/>
  <c r="CN5"/>
  <c r="CO5" s="1"/>
  <c r="Z5"/>
  <c r="DT145" i="8"/>
  <c r="Q146"/>
  <c r="EE144"/>
  <c r="AB145"/>
  <c r="DO144"/>
  <c r="L145"/>
  <c r="DZ146"/>
  <c r="W147"/>
  <c r="DJ146"/>
  <c r="G147"/>
  <c r="ED146"/>
  <c r="AA147"/>
  <c r="DN146"/>
  <c r="K147"/>
  <c r="DU145"/>
  <c r="R146"/>
  <c r="DM145"/>
  <c r="J146"/>
  <c r="CR5" i="7"/>
  <c r="CQ5"/>
  <c r="DX145" i="8"/>
  <c r="U146"/>
  <c r="DH145"/>
  <c r="E146"/>
  <c r="DS144"/>
  <c r="P145"/>
  <c r="EC145"/>
  <c r="Z146"/>
  <c r="DE145"/>
  <c r="B146"/>
  <c r="EB145"/>
  <c r="Y146"/>
  <c r="DL145"/>
  <c r="I146"/>
  <c r="DW144"/>
  <c r="T145"/>
  <c r="DG144"/>
  <c r="D145"/>
  <c r="DR146"/>
  <c r="O147"/>
  <c r="DH5" i="7"/>
  <c r="X5" s="1"/>
  <c r="W5"/>
  <c r="DV146" i="8"/>
  <c r="S147"/>
  <c r="DF146"/>
  <c r="C147"/>
  <c r="EF145"/>
  <c r="AC146"/>
  <c r="DP145"/>
  <c r="M146"/>
  <c r="EA144"/>
  <c r="X145"/>
  <c r="DK144"/>
  <c r="H145"/>
  <c r="EG145"/>
  <c r="AD146"/>
  <c r="DY145"/>
  <c r="V146"/>
  <c r="DQ145"/>
  <c r="N146"/>
  <c r="DI145"/>
  <c r="F146"/>
  <c r="CU5" i="7" l="1"/>
  <c r="CV5" s="1"/>
  <c r="ED147" i="8"/>
  <c r="AA148"/>
  <c r="DJ147"/>
  <c r="G148"/>
  <c r="EE145"/>
  <c r="AB146"/>
  <c r="DR147"/>
  <c r="O148"/>
  <c r="Y147"/>
  <c r="EB146"/>
  <c r="J147"/>
  <c r="DM146"/>
  <c r="DN147"/>
  <c r="K148"/>
  <c r="DZ147"/>
  <c r="W148"/>
  <c r="DO145"/>
  <c r="L146"/>
  <c r="Q147"/>
  <c r="DT146"/>
  <c r="N147"/>
  <c r="DQ146"/>
  <c r="EG146"/>
  <c r="AD147"/>
  <c r="EA145"/>
  <c r="X146"/>
  <c r="AC147"/>
  <c r="EF146"/>
  <c r="DV147"/>
  <c r="S148"/>
  <c r="DW145"/>
  <c r="T146"/>
  <c r="EC146"/>
  <c r="Z147"/>
  <c r="E147"/>
  <c r="DH146"/>
  <c r="CS5" i="7"/>
  <c r="CT5" s="1"/>
  <c r="CY5"/>
  <c r="CZ5" s="1"/>
  <c r="CW5"/>
  <c r="F147" i="8"/>
  <c r="DI146"/>
  <c r="V147"/>
  <c r="DY146"/>
  <c r="DK145"/>
  <c r="H146"/>
  <c r="M147"/>
  <c r="DP146"/>
  <c r="DF147"/>
  <c r="C148"/>
  <c r="DG145"/>
  <c r="D146"/>
  <c r="I147"/>
  <c r="DL146"/>
  <c r="B147"/>
  <c r="DE146"/>
  <c r="DS145"/>
  <c r="P146"/>
  <c r="U147"/>
  <c r="DX146"/>
  <c r="R147"/>
  <c r="DU146"/>
  <c r="DA5" i="7"/>
  <c r="P147" i="8" l="1"/>
  <c r="DS146"/>
  <c r="C149"/>
  <c r="DF148"/>
  <c r="O149"/>
  <c r="DR148"/>
  <c r="F148"/>
  <c r="DI147"/>
  <c r="AC148"/>
  <c r="EF147"/>
  <c r="Q148"/>
  <c r="DT147"/>
  <c r="U148"/>
  <c r="DX147"/>
  <c r="B148"/>
  <c r="DE147"/>
  <c r="DB5" i="7"/>
  <c r="CX5"/>
  <c r="T147" i="8"/>
  <c r="DW146"/>
  <c r="AD148"/>
  <c r="EG147"/>
  <c r="W149"/>
  <c r="DZ148"/>
  <c r="Y148"/>
  <c r="EB147"/>
  <c r="AB147"/>
  <c r="EE146"/>
  <c r="AA149"/>
  <c r="ED148"/>
  <c r="H147"/>
  <c r="DK146"/>
  <c r="R148"/>
  <c r="DU147"/>
  <c r="D147"/>
  <c r="DG146"/>
  <c r="M148"/>
  <c r="DP147"/>
  <c r="V148"/>
  <c r="DY147"/>
  <c r="Z148"/>
  <c r="EC147"/>
  <c r="N148"/>
  <c r="DQ147"/>
  <c r="J148"/>
  <c r="DM147"/>
  <c r="I148"/>
  <c r="DL147"/>
  <c r="E148"/>
  <c r="DH147"/>
  <c r="S149"/>
  <c r="DV148"/>
  <c r="X147"/>
  <c r="EA146"/>
  <c r="DO146"/>
  <c r="L147"/>
  <c r="K149"/>
  <c r="DN148"/>
  <c r="G149"/>
  <c r="DJ148"/>
  <c r="DC5" i="7" l="1"/>
  <c r="DE5" s="1"/>
  <c r="AX5" s="1"/>
  <c r="DV149" i="8"/>
  <c r="S150"/>
  <c r="DL148"/>
  <c r="I149"/>
  <c r="N149"/>
  <c r="DQ148"/>
  <c r="EC148"/>
  <c r="Z149"/>
  <c r="DP148"/>
  <c r="M149"/>
  <c r="R149"/>
  <c r="DU148"/>
  <c r="ED149"/>
  <c r="AA150"/>
  <c r="EB148"/>
  <c r="Y149"/>
  <c r="DX148"/>
  <c r="U149"/>
  <c r="DT148"/>
  <c r="Q149"/>
  <c r="DI148"/>
  <c r="F149"/>
  <c r="DF149"/>
  <c r="C150"/>
  <c r="DO147"/>
  <c r="L148"/>
  <c r="DJ149"/>
  <c r="G150"/>
  <c r="DN149"/>
  <c r="K150"/>
  <c r="EA147"/>
  <c r="X148"/>
  <c r="DH148"/>
  <c r="E149"/>
  <c r="DM148"/>
  <c r="J149"/>
  <c r="DY148"/>
  <c r="V149"/>
  <c r="DG147"/>
  <c r="D148"/>
  <c r="DK147"/>
  <c r="H148"/>
  <c r="EE147"/>
  <c r="AB148"/>
  <c r="DZ149"/>
  <c r="W150"/>
  <c r="DW147"/>
  <c r="T148"/>
  <c r="B149"/>
  <c r="DE148"/>
  <c r="EF148"/>
  <c r="AC149"/>
  <c r="DR149"/>
  <c r="O150"/>
  <c r="DS147"/>
  <c r="P148"/>
  <c r="AD149"/>
  <c r="EG148"/>
  <c r="DF5" i="7" l="1"/>
  <c r="AY5"/>
  <c r="AG5" s="1"/>
  <c r="DU149" i="8"/>
  <c r="R150"/>
  <c r="DE149"/>
  <c r="B150"/>
  <c r="AF5" i="7"/>
  <c r="DQ149" i="8"/>
  <c r="N150"/>
  <c r="EG149"/>
  <c r="AD150"/>
  <c r="DS148"/>
  <c r="P149"/>
  <c r="EF149"/>
  <c r="AC150"/>
  <c r="DZ150"/>
  <c r="W151"/>
  <c r="DK148"/>
  <c r="H149"/>
  <c r="DY149"/>
  <c r="V150"/>
  <c r="DH149"/>
  <c r="E150"/>
  <c r="DN150"/>
  <c r="K151"/>
  <c r="DO148"/>
  <c r="L149"/>
  <c r="DT149"/>
  <c r="Q150"/>
  <c r="ED150"/>
  <c r="AA151"/>
  <c r="DP149"/>
  <c r="M150"/>
  <c r="DL149"/>
  <c r="I150"/>
  <c r="DR150"/>
  <c r="O151"/>
  <c r="DW148"/>
  <c r="T149"/>
  <c r="EE148"/>
  <c r="AB149"/>
  <c r="DG148"/>
  <c r="D149"/>
  <c r="DM149"/>
  <c r="J150"/>
  <c r="EA148"/>
  <c r="X149"/>
  <c r="DJ150"/>
  <c r="G151"/>
  <c r="DF150"/>
  <c r="C151"/>
  <c r="DI149"/>
  <c r="F150"/>
  <c r="DX149"/>
  <c r="U150"/>
  <c r="EB149"/>
  <c r="Y150"/>
  <c r="EC149"/>
  <c r="Z150"/>
  <c r="DV150"/>
  <c r="S151"/>
  <c r="DV151" l="1"/>
  <c r="S152"/>
  <c r="Y151"/>
  <c r="EB150"/>
  <c r="DI150"/>
  <c r="F151"/>
  <c r="DJ151"/>
  <c r="G152"/>
  <c r="DM150"/>
  <c r="J151"/>
  <c r="AB150"/>
  <c r="EE149"/>
  <c r="DR151"/>
  <c r="O152"/>
  <c r="I151"/>
  <c r="DL150"/>
  <c r="ED151"/>
  <c r="AA152"/>
  <c r="L150"/>
  <c r="DO149"/>
  <c r="E151"/>
  <c r="DH150"/>
  <c r="H150"/>
  <c r="DK149"/>
  <c r="AC151"/>
  <c r="EF150"/>
  <c r="DE150"/>
  <c r="B151"/>
  <c r="DU150"/>
  <c r="R151"/>
  <c r="EC150"/>
  <c r="Z151"/>
  <c r="U151"/>
  <c r="DX150"/>
  <c r="DF151"/>
  <c r="C152"/>
  <c r="X150"/>
  <c r="EA149"/>
  <c r="D150"/>
  <c r="DG149"/>
  <c r="T150"/>
  <c r="DW149"/>
  <c r="M151"/>
  <c r="DP150"/>
  <c r="Q151"/>
  <c r="DT150"/>
  <c r="DN151"/>
  <c r="K152"/>
  <c r="DY150"/>
  <c r="V151"/>
  <c r="DZ151"/>
  <c r="W152"/>
  <c r="P150"/>
  <c r="DS149"/>
  <c r="EG150"/>
  <c r="AD151"/>
  <c r="DQ150"/>
  <c r="N151"/>
  <c r="N152" l="1"/>
  <c r="DQ151"/>
  <c r="V152"/>
  <c r="DY151"/>
  <c r="R152"/>
  <c r="DU151"/>
  <c r="AA153"/>
  <c r="ED152"/>
  <c r="O153"/>
  <c r="DR152"/>
  <c r="J152"/>
  <c r="DM151"/>
  <c r="F152"/>
  <c r="DI151"/>
  <c r="S153"/>
  <c r="DV152"/>
  <c r="DP151"/>
  <c r="M152"/>
  <c r="DG150"/>
  <c r="D151"/>
  <c r="DK150"/>
  <c r="H151"/>
  <c r="DO150"/>
  <c r="L151"/>
  <c r="DL151"/>
  <c r="I152"/>
  <c r="EE150"/>
  <c r="AB151"/>
  <c r="EB151"/>
  <c r="Y152"/>
  <c r="AD152"/>
  <c r="EG151"/>
  <c r="W153"/>
  <c r="DZ152"/>
  <c r="K153"/>
  <c r="DN152"/>
  <c r="C153"/>
  <c r="DF152"/>
  <c r="Z152"/>
  <c r="EC151"/>
  <c r="B152"/>
  <c r="DE151"/>
  <c r="G153"/>
  <c r="DJ152"/>
  <c r="DS150"/>
  <c r="P151"/>
  <c r="DT151"/>
  <c r="Q152"/>
  <c r="DW150"/>
  <c r="T151"/>
  <c r="EA150"/>
  <c r="X151"/>
  <c r="DX151"/>
  <c r="U152"/>
  <c r="EF151"/>
  <c r="AC152"/>
  <c r="DH151"/>
  <c r="E152"/>
  <c r="DH152" l="1"/>
  <c r="E153"/>
  <c r="DX152"/>
  <c r="U153"/>
  <c r="DW151"/>
  <c r="T152"/>
  <c r="DS151"/>
  <c r="P152"/>
  <c r="EB152"/>
  <c r="Y153"/>
  <c r="DL152"/>
  <c r="I153"/>
  <c r="DK151"/>
  <c r="H152"/>
  <c r="DP152"/>
  <c r="M153"/>
  <c r="DJ153"/>
  <c r="G154"/>
  <c r="EC152"/>
  <c r="Z153"/>
  <c r="DN153"/>
  <c r="K154"/>
  <c r="EG152"/>
  <c r="AD153"/>
  <c r="DV153"/>
  <c r="S154"/>
  <c r="DM152"/>
  <c r="J153"/>
  <c r="ED153"/>
  <c r="AA154"/>
  <c r="DY152"/>
  <c r="V153"/>
  <c r="EF152"/>
  <c r="AC153"/>
  <c r="EA151"/>
  <c r="X152"/>
  <c r="DT152"/>
  <c r="Q153"/>
  <c r="EE151"/>
  <c r="AB152"/>
  <c r="DO151"/>
  <c r="L152"/>
  <c r="DG151"/>
  <c r="D152"/>
  <c r="DE152"/>
  <c r="B153"/>
  <c r="DF153"/>
  <c r="C154"/>
  <c r="DZ153"/>
  <c r="W154"/>
  <c r="DI152"/>
  <c r="F153"/>
  <c r="DR153"/>
  <c r="O154"/>
  <c r="DU152"/>
  <c r="R153"/>
  <c r="DQ152"/>
  <c r="N153"/>
  <c r="DQ153" l="1"/>
  <c r="N154"/>
  <c r="DR154"/>
  <c r="O155"/>
  <c r="DZ154"/>
  <c r="W155"/>
  <c r="DE153"/>
  <c r="B154"/>
  <c r="DO152"/>
  <c r="L153"/>
  <c r="DT153"/>
  <c r="Q154"/>
  <c r="EF153"/>
  <c r="AC154"/>
  <c r="AA155"/>
  <c r="ED154"/>
  <c r="DV154"/>
  <c r="S155"/>
  <c r="DN154"/>
  <c r="K155"/>
  <c r="DJ154"/>
  <c r="G155"/>
  <c r="DK152"/>
  <c r="H153"/>
  <c r="EB153"/>
  <c r="Y154"/>
  <c r="DW152"/>
  <c r="T153"/>
  <c r="DH153"/>
  <c r="E154"/>
  <c r="DU153"/>
  <c r="R154"/>
  <c r="DI153"/>
  <c r="F154"/>
  <c r="DF154"/>
  <c r="C155"/>
  <c r="DG152"/>
  <c r="D153"/>
  <c r="EE152"/>
  <c r="AB153"/>
  <c r="EA152"/>
  <c r="X153"/>
  <c r="DY153"/>
  <c r="V154"/>
  <c r="DM153"/>
  <c r="J154"/>
  <c r="EG153"/>
  <c r="AD154"/>
  <c r="EC153"/>
  <c r="Z154"/>
  <c r="DP153"/>
  <c r="M154"/>
  <c r="DL153"/>
  <c r="I154"/>
  <c r="DS152"/>
  <c r="P153"/>
  <c r="DX153"/>
  <c r="U154"/>
  <c r="P154" l="1"/>
  <c r="DS153"/>
  <c r="M155"/>
  <c r="DP154"/>
  <c r="AD155"/>
  <c r="EG154"/>
  <c r="DY154"/>
  <c r="V155"/>
  <c r="C156"/>
  <c r="DF155"/>
  <c r="DU154"/>
  <c r="R155"/>
  <c r="T154"/>
  <c r="DW153"/>
  <c r="H154"/>
  <c r="DK153"/>
  <c r="K156"/>
  <c r="DN155"/>
  <c r="O156"/>
  <c r="DR155"/>
  <c r="U155"/>
  <c r="DX154"/>
  <c r="I155"/>
  <c r="DL154"/>
  <c r="Z155"/>
  <c r="EC154"/>
  <c r="DM154"/>
  <c r="J155"/>
  <c r="X154"/>
  <c r="EA153"/>
  <c r="D154"/>
  <c r="DG153"/>
  <c r="DI154"/>
  <c r="F155"/>
  <c r="E155"/>
  <c r="DH154"/>
  <c r="EB154"/>
  <c r="Y155"/>
  <c r="G156"/>
  <c r="DJ155"/>
  <c r="S156"/>
  <c r="DV155"/>
  <c r="AC155"/>
  <c r="EF154"/>
  <c r="L154"/>
  <c r="DO153"/>
  <c r="W156"/>
  <c r="DZ155"/>
  <c r="DQ154"/>
  <c r="N155"/>
  <c r="AA156"/>
  <c r="ED155"/>
  <c r="AB154"/>
  <c r="EE153"/>
  <c r="Q155"/>
  <c r="DT154"/>
  <c r="DE154"/>
  <c r="B155"/>
  <c r="AB155" l="1"/>
  <c r="EE154"/>
  <c r="DO154"/>
  <c r="L155"/>
  <c r="DV156"/>
  <c r="S157"/>
  <c r="X155"/>
  <c r="EA154"/>
  <c r="EC155"/>
  <c r="Z156"/>
  <c r="U156"/>
  <c r="DX155"/>
  <c r="DN156"/>
  <c r="K157"/>
  <c r="DW154"/>
  <c r="T155"/>
  <c r="DF156"/>
  <c r="C157"/>
  <c r="EG155"/>
  <c r="AD156"/>
  <c r="DS154"/>
  <c r="P155"/>
  <c r="DE155"/>
  <c r="B156"/>
  <c r="DQ155"/>
  <c r="N156"/>
  <c r="Y156"/>
  <c r="EB155"/>
  <c r="DI155"/>
  <c r="F156"/>
  <c r="Q156"/>
  <c r="DT155"/>
  <c r="ED156"/>
  <c r="AA157"/>
  <c r="DZ156"/>
  <c r="W157"/>
  <c r="AC156"/>
  <c r="EF155"/>
  <c r="DJ156"/>
  <c r="G157"/>
  <c r="E156"/>
  <c r="DH155"/>
  <c r="DG154"/>
  <c r="D155"/>
  <c r="I156"/>
  <c r="DL155"/>
  <c r="DR156"/>
  <c r="O157"/>
  <c r="DK154"/>
  <c r="H155"/>
  <c r="M156"/>
  <c r="DP155"/>
  <c r="DM155"/>
  <c r="J156"/>
  <c r="DU155"/>
  <c r="R156"/>
  <c r="DY155"/>
  <c r="V156"/>
  <c r="DL156" l="1"/>
  <c r="I157"/>
  <c r="DH156"/>
  <c r="E157"/>
  <c r="EF156"/>
  <c r="AC157"/>
  <c r="EE155"/>
  <c r="AB156"/>
  <c r="V157"/>
  <c r="DY156"/>
  <c r="J157"/>
  <c r="DM156"/>
  <c r="DK155"/>
  <c r="H156"/>
  <c r="AA158"/>
  <c r="ED157"/>
  <c r="F157"/>
  <c r="DI156"/>
  <c r="N157"/>
  <c r="DQ156"/>
  <c r="DS155"/>
  <c r="P156"/>
  <c r="C158"/>
  <c r="DF157"/>
  <c r="K158"/>
  <c r="DN157"/>
  <c r="Z157"/>
  <c r="EC156"/>
  <c r="S158"/>
  <c r="DV157"/>
  <c r="DP156"/>
  <c r="M157"/>
  <c r="DT156"/>
  <c r="Q157"/>
  <c r="EB156"/>
  <c r="Y157"/>
  <c r="DX156"/>
  <c r="U157"/>
  <c r="EA155"/>
  <c r="X156"/>
  <c r="R157"/>
  <c r="DU156"/>
  <c r="O158"/>
  <c r="DR157"/>
  <c r="DG155"/>
  <c r="D156"/>
  <c r="G158"/>
  <c r="DJ157"/>
  <c r="W158"/>
  <c r="DZ157"/>
  <c r="B157"/>
  <c r="DE156"/>
  <c r="AD157"/>
  <c r="EG156"/>
  <c r="DW155"/>
  <c r="T156"/>
  <c r="DO155"/>
  <c r="L156"/>
  <c r="DJ158" l="1"/>
  <c r="G159"/>
  <c r="DR158"/>
  <c r="O159"/>
  <c r="DM157"/>
  <c r="J158"/>
  <c r="X157"/>
  <c r="EA156"/>
  <c r="Y158"/>
  <c r="EB157"/>
  <c r="EG157"/>
  <c r="AD158"/>
  <c r="DZ158"/>
  <c r="W159"/>
  <c r="DU157"/>
  <c r="R158"/>
  <c r="DV158"/>
  <c r="S159"/>
  <c r="DN158"/>
  <c r="K159"/>
  <c r="DI157"/>
  <c r="F158"/>
  <c r="DY157"/>
  <c r="V158"/>
  <c r="L157"/>
  <c r="DO156"/>
  <c r="D157"/>
  <c r="DG156"/>
  <c r="U158"/>
  <c r="DX157"/>
  <c r="Q158"/>
  <c r="DT157"/>
  <c r="P157"/>
  <c r="DS156"/>
  <c r="H157"/>
  <c r="DK156"/>
  <c r="AC158"/>
  <c r="EF157"/>
  <c r="I158"/>
  <c r="DL157"/>
  <c r="DE157"/>
  <c r="B158"/>
  <c r="EC157"/>
  <c r="Z158"/>
  <c r="DF158"/>
  <c r="C159"/>
  <c r="DQ157"/>
  <c r="N158"/>
  <c r="ED158"/>
  <c r="AA159"/>
  <c r="T157"/>
  <c r="DW156"/>
  <c r="M158"/>
  <c r="DP157"/>
  <c r="AB157"/>
  <c r="EE156"/>
  <c r="E158"/>
  <c r="DH157"/>
  <c r="DW157" l="1"/>
  <c r="T158"/>
  <c r="DK157"/>
  <c r="H158"/>
  <c r="DT158"/>
  <c r="Q159"/>
  <c r="DG157"/>
  <c r="D158"/>
  <c r="EA157"/>
  <c r="X158"/>
  <c r="N159"/>
  <c r="DQ158"/>
  <c r="Z159"/>
  <c r="EC158"/>
  <c r="V159"/>
  <c r="DY158"/>
  <c r="K160"/>
  <c r="DN159"/>
  <c r="AD159"/>
  <c r="EG158"/>
  <c r="O160"/>
  <c r="DR159"/>
  <c r="DH158"/>
  <c r="E159"/>
  <c r="DP158"/>
  <c r="M159"/>
  <c r="EF158"/>
  <c r="AC159"/>
  <c r="DS157"/>
  <c r="P158"/>
  <c r="DX158"/>
  <c r="U159"/>
  <c r="DO157"/>
  <c r="L158"/>
  <c r="EB158"/>
  <c r="Y159"/>
  <c r="AA160"/>
  <c r="ED159"/>
  <c r="C160"/>
  <c r="DF159"/>
  <c r="B159"/>
  <c r="DE158"/>
  <c r="F159"/>
  <c r="DI158"/>
  <c r="S160"/>
  <c r="DV159"/>
  <c r="W160"/>
  <c r="DZ159"/>
  <c r="J159"/>
  <c r="DM158"/>
  <c r="G160"/>
  <c r="DJ159"/>
  <c r="EE157"/>
  <c r="AB158"/>
  <c r="DL158"/>
  <c r="I159"/>
  <c r="R159"/>
  <c r="DU158"/>
  <c r="DJ160" l="1"/>
  <c r="G161"/>
  <c r="DI159"/>
  <c r="F160"/>
  <c r="DF160"/>
  <c r="C161"/>
  <c r="DY159"/>
  <c r="V160"/>
  <c r="DQ159"/>
  <c r="N160"/>
  <c r="Y160"/>
  <c r="EB159"/>
  <c r="U160"/>
  <c r="DX159"/>
  <c r="AC160"/>
  <c r="EF159"/>
  <c r="D159"/>
  <c r="DG158"/>
  <c r="H159"/>
  <c r="DK158"/>
  <c r="DU159"/>
  <c r="R160"/>
  <c r="DM159"/>
  <c r="J160"/>
  <c r="DV160"/>
  <c r="S161"/>
  <c r="DE159"/>
  <c r="B160"/>
  <c r="ED160"/>
  <c r="AA161"/>
  <c r="DR160"/>
  <c r="O161"/>
  <c r="DN160"/>
  <c r="K161"/>
  <c r="EC159"/>
  <c r="Z160"/>
  <c r="AB159"/>
  <c r="EE158"/>
  <c r="L159"/>
  <c r="DO158"/>
  <c r="P159"/>
  <c r="DS158"/>
  <c r="M160"/>
  <c r="DP159"/>
  <c r="X159"/>
  <c r="EA158"/>
  <c r="Q160"/>
  <c r="DT159"/>
  <c r="T159"/>
  <c r="DW158"/>
  <c r="DZ160"/>
  <c r="W161"/>
  <c r="EG159"/>
  <c r="AD160"/>
  <c r="I160"/>
  <c r="DL159"/>
  <c r="E160"/>
  <c r="DH159"/>
  <c r="AD161" l="1"/>
  <c r="EG160"/>
  <c r="K162"/>
  <c r="DN161"/>
  <c r="R161"/>
  <c r="DU160"/>
  <c r="DL160"/>
  <c r="I161"/>
  <c r="DT160"/>
  <c r="Q161"/>
  <c r="Z161"/>
  <c r="EC160"/>
  <c r="O162"/>
  <c r="DR161"/>
  <c r="B161"/>
  <c r="DE160"/>
  <c r="J161"/>
  <c r="DM160"/>
  <c r="V161"/>
  <c r="DY160"/>
  <c r="F161"/>
  <c r="DI160"/>
  <c r="DH160"/>
  <c r="E161"/>
  <c r="DW159"/>
  <c r="T160"/>
  <c r="EA159"/>
  <c r="X160"/>
  <c r="DS159"/>
  <c r="P160"/>
  <c r="EE159"/>
  <c r="AB160"/>
  <c r="DG159"/>
  <c r="D160"/>
  <c r="DX160"/>
  <c r="U161"/>
  <c r="AA162"/>
  <c r="ED161"/>
  <c r="N161"/>
  <c r="DQ160"/>
  <c r="C162"/>
  <c r="DF161"/>
  <c r="G162"/>
  <c r="DJ161"/>
  <c r="DP160"/>
  <c r="M161"/>
  <c r="DO159"/>
  <c r="L160"/>
  <c r="DK159"/>
  <c r="H160"/>
  <c r="EF160"/>
  <c r="AC161"/>
  <c r="EB160"/>
  <c r="Y161"/>
  <c r="S162"/>
  <c r="DV161"/>
  <c r="W162"/>
  <c r="DZ161"/>
  <c r="AC162" l="1"/>
  <c r="EF161"/>
  <c r="L161"/>
  <c r="DO160"/>
  <c r="U162"/>
  <c r="DX161"/>
  <c r="AB161"/>
  <c r="EE160"/>
  <c r="X161"/>
  <c r="EA160"/>
  <c r="E162"/>
  <c r="DH161"/>
  <c r="I162"/>
  <c r="DL161"/>
  <c r="DZ162"/>
  <c r="W163"/>
  <c r="DF162"/>
  <c r="C163"/>
  <c r="ED162"/>
  <c r="AA163"/>
  <c r="DI161"/>
  <c r="F162"/>
  <c r="DM161"/>
  <c r="J162"/>
  <c r="DR162"/>
  <c r="O163"/>
  <c r="DU161"/>
  <c r="R162"/>
  <c r="EG161"/>
  <c r="AD162"/>
  <c r="P161"/>
  <c r="DS160"/>
  <c r="Q162"/>
  <c r="DT161"/>
  <c r="Y162"/>
  <c r="EB161"/>
  <c r="M162"/>
  <c r="DP161"/>
  <c r="D161"/>
  <c r="DG160"/>
  <c r="T161"/>
  <c r="DW160"/>
  <c r="DV162"/>
  <c r="S163"/>
  <c r="DJ162"/>
  <c r="G163"/>
  <c r="DQ161"/>
  <c r="N162"/>
  <c r="DY161"/>
  <c r="V162"/>
  <c r="DE161"/>
  <c r="B162"/>
  <c r="EC161"/>
  <c r="Z162"/>
  <c r="DN162"/>
  <c r="K163"/>
  <c r="H161"/>
  <c r="DK160"/>
  <c r="F163" l="1"/>
  <c r="DI162"/>
  <c r="EB162"/>
  <c r="Y163"/>
  <c r="B163"/>
  <c r="DE162"/>
  <c r="N163"/>
  <c r="DQ162"/>
  <c r="S164"/>
  <c r="DV163"/>
  <c r="R163"/>
  <c r="DU162"/>
  <c r="J163"/>
  <c r="DM162"/>
  <c r="AA164"/>
  <c r="ED163"/>
  <c r="DK161"/>
  <c r="H162"/>
  <c r="DW161"/>
  <c r="T162"/>
  <c r="DP162"/>
  <c r="M163"/>
  <c r="DT162"/>
  <c r="Q163"/>
  <c r="DL162"/>
  <c r="I163"/>
  <c r="EA161"/>
  <c r="X162"/>
  <c r="DX162"/>
  <c r="U163"/>
  <c r="EF162"/>
  <c r="AC163"/>
  <c r="Z163"/>
  <c r="EC162"/>
  <c r="AD163"/>
  <c r="EG162"/>
  <c r="C164"/>
  <c r="DF163"/>
  <c r="DG161"/>
  <c r="D162"/>
  <c r="DS161"/>
  <c r="P162"/>
  <c r="DH162"/>
  <c r="E163"/>
  <c r="EE161"/>
  <c r="AB162"/>
  <c r="DO161"/>
  <c r="L162"/>
  <c r="V163"/>
  <c r="DY162"/>
  <c r="G164"/>
  <c r="DJ163"/>
  <c r="O164"/>
  <c r="DR163"/>
  <c r="K164"/>
  <c r="DN163"/>
  <c r="W164"/>
  <c r="DZ163"/>
  <c r="I164" l="1"/>
  <c r="DL163"/>
  <c r="ED164"/>
  <c r="AA165"/>
  <c r="L163"/>
  <c r="DO162"/>
  <c r="E164"/>
  <c r="DH163"/>
  <c r="D163"/>
  <c r="DG162"/>
  <c r="AC164"/>
  <c r="EF163"/>
  <c r="X163"/>
  <c r="EA162"/>
  <c r="Q164"/>
  <c r="DT163"/>
  <c r="T163"/>
  <c r="DW162"/>
  <c r="Y164"/>
  <c r="EB163"/>
  <c r="DZ164"/>
  <c r="W165"/>
  <c r="DR164"/>
  <c r="O165"/>
  <c r="DY163"/>
  <c r="V164"/>
  <c r="DF164"/>
  <c r="C165"/>
  <c r="EC163"/>
  <c r="Z164"/>
  <c r="DM163"/>
  <c r="J164"/>
  <c r="DV164"/>
  <c r="S165"/>
  <c r="DE163"/>
  <c r="B164"/>
  <c r="DI163"/>
  <c r="F164"/>
  <c r="H163"/>
  <c r="DK162"/>
  <c r="AB163"/>
  <c r="EE162"/>
  <c r="P163"/>
  <c r="DS162"/>
  <c r="U164"/>
  <c r="DX163"/>
  <c r="DN164"/>
  <c r="K165"/>
  <c r="DJ164"/>
  <c r="G165"/>
  <c r="EG163"/>
  <c r="AD164"/>
  <c r="DU163"/>
  <c r="R164"/>
  <c r="DQ163"/>
  <c r="N164"/>
  <c r="M164"/>
  <c r="DP163"/>
  <c r="N165" l="1"/>
  <c r="DQ164"/>
  <c r="K166"/>
  <c r="DN165"/>
  <c r="DP164"/>
  <c r="M165"/>
  <c r="DX164"/>
  <c r="U165"/>
  <c r="EE163"/>
  <c r="AB164"/>
  <c r="DW163"/>
  <c r="T164"/>
  <c r="EA163"/>
  <c r="X164"/>
  <c r="DG163"/>
  <c r="D164"/>
  <c r="DO163"/>
  <c r="L164"/>
  <c r="DL164"/>
  <c r="I165"/>
  <c r="F165"/>
  <c r="DI164"/>
  <c r="S166"/>
  <c r="DV165"/>
  <c r="Z165"/>
  <c r="EC164"/>
  <c r="V165"/>
  <c r="DY164"/>
  <c r="W166"/>
  <c r="DZ165"/>
  <c r="R165"/>
  <c r="DU164"/>
  <c r="DS163"/>
  <c r="P164"/>
  <c r="DK163"/>
  <c r="H164"/>
  <c r="EB164"/>
  <c r="Y165"/>
  <c r="DT164"/>
  <c r="Q165"/>
  <c r="EF164"/>
  <c r="AC165"/>
  <c r="DH164"/>
  <c r="E165"/>
  <c r="G166"/>
  <c r="DJ165"/>
  <c r="AD165"/>
  <c r="EG164"/>
  <c r="B165"/>
  <c r="DE164"/>
  <c r="J165"/>
  <c r="DM164"/>
  <c r="C166"/>
  <c r="DF165"/>
  <c r="O166"/>
  <c r="DR165"/>
  <c r="AA166"/>
  <c r="ED165"/>
  <c r="P165" l="1"/>
  <c r="DS164"/>
  <c r="DR166"/>
  <c r="O167"/>
  <c r="DU165"/>
  <c r="R166"/>
  <c r="DV166"/>
  <c r="S167"/>
  <c r="E166"/>
  <c r="DH165"/>
  <c r="Q166"/>
  <c r="DT165"/>
  <c r="H165"/>
  <c r="DK164"/>
  <c r="I166"/>
  <c r="DL165"/>
  <c r="D165"/>
  <c r="DG164"/>
  <c r="T165"/>
  <c r="DW164"/>
  <c r="U166"/>
  <c r="DX165"/>
  <c r="ED166"/>
  <c r="AA167"/>
  <c r="DF166"/>
  <c r="C167"/>
  <c r="DE165"/>
  <c r="B166"/>
  <c r="DJ166"/>
  <c r="G167"/>
  <c r="DZ166"/>
  <c r="W167"/>
  <c r="EC165"/>
  <c r="Z166"/>
  <c r="DI165"/>
  <c r="F166"/>
  <c r="DQ165"/>
  <c r="N166"/>
  <c r="AC166"/>
  <c r="EF165"/>
  <c r="L165"/>
  <c r="DO164"/>
  <c r="X165"/>
  <c r="EA164"/>
  <c r="AB165"/>
  <c r="EE164"/>
  <c r="M166"/>
  <c r="DP165"/>
  <c r="Y166"/>
  <c r="EB165"/>
  <c r="DM165"/>
  <c r="J166"/>
  <c r="EG165"/>
  <c r="AD166"/>
  <c r="DY165"/>
  <c r="V166"/>
  <c r="DN166"/>
  <c r="K167"/>
  <c r="DP166" l="1"/>
  <c r="M167"/>
  <c r="EF166"/>
  <c r="AC167"/>
  <c r="DT166"/>
  <c r="Q167"/>
  <c r="V167"/>
  <c r="DY166"/>
  <c r="J167"/>
  <c r="DM166"/>
  <c r="F167"/>
  <c r="DI166"/>
  <c r="W168"/>
  <c r="DZ167"/>
  <c r="B167"/>
  <c r="DE166"/>
  <c r="AA168"/>
  <c r="ED167"/>
  <c r="S168"/>
  <c r="DV167"/>
  <c r="O168"/>
  <c r="DR167"/>
  <c r="EB166"/>
  <c r="Y167"/>
  <c r="EE165"/>
  <c r="AB166"/>
  <c r="DO165"/>
  <c r="L166"/>
  <c r="DX166"/>
  <c r="U167"/>
  <c r="DG165"/>
  <c r="D166"/>
  <c r="DK165"/>
  <c r="H166"/>
  <c r="DH166"/>
  <c r="E167"/>
  <c r="DS165"/>
  <c r="P166"/>
  <c r="K168"/>
  <c r="DN167"/>
  <c r="N167"/>
  <c r="DQ166"/>
  <c r="Z167"/>
  <c r="EC166"/>
  <c r="C168"/>
  <c r="DF167"/>
  <c r="R167"/>
  <c r="DU166"/>
  <c r="G168"/>
  <c r="DJ167"/>
  <c r="EA165"/>
  <c r="X166"/>
  <c r="DW165"/>
  <c r="T166"/>
  <c r="DL166"/>
  <c r="I167"/>
  <c r="AD167"/>
  <c r="EG166"/>
  <c r="T167" l="1"/>
  <c r="DW166"/>
  <c r="DU167"/>
  <c r="R168"/>
  <c r="EC167"/>
  <c r="Z168"/>
  <c r="DN168"/>
  <c r="K169"/>
  <c r="I168"/>
  <c r="DL167"/>
  <c r="E168"/>
  <c r="DH167"/>
  <c r="D167"/>
  <c r="DG166"/>
  <c r="L167"/>
  <c r="DO166"/>
  <c r="Y168"/>
  <c r="EB167"/>
  <c r="AC168"/>
  <c r="EF167"/>
  <c r="EG167"/>
  <c r="AD168"/>
  <c r="DJ168"/>
  <c r="G169"/>
  <c r="DF168"/>
  <c r="C169"/>
  <c r="DQ167"/>
  <c r="N168"/>
  <c r="DR168"/>
  <c r="O169"/>
  <c r="ED168"/>
  <c r="AA169"/>
  <c r="DZ168"/>
  <c r="W169"/>
  <c r="DM167"/>
  <c r="J168"/>
  <c r="P167"/>
  <c r="DS166"/>
  <c r="U168"/>
  <c r="DX167"/>
  <c r="Q168"/>
  <c r="DT167"/>
  <c r="M168"/>
  <c r="DP167"/>
  <c r="H167"/>
  <c r="DK166"/>
  <c r="DV168"/>
  <c r="S169"/>
  <c r="DE167"/>
  <c r="B168"/>
  <c r="DI167"/>
  <c r="F168"/>
  <c r="DY167"/>
  <c r="V168"/>
  <c r="AB167"/>
  <c r="EE166"/>
  <c r="X167"/>
  <c r="EA166"/>
  <c r="EE167" l="1"/>
  <c r="AB168"/>
  <c r="DX168"/>
  <c r="U169"/>
  <c r="EF168"/>
  <c r="AC169"/>
  <c r="DH168"/>
  <c r="E169"/>
  <c r="F169"/>
  <c r="DI168"/>
  <c r="S170"/>
  <c r="DV169"/>
  <c r="J169"/>
  <c r="DM168"/>
  <c r="AA170"/>
  <c r="ED169"/>
  <c r="N169"/>
  <c r="DQ168"/>
  <c r="G170"/>
  <c r="DJ169"/>
  <c r="K170"/>
  <c r="DN169"/>
  <c r="R169"/>
  <c r="DU168"/>
  <c r="EA167"/>
  <c r="X168"/>
  <c r="DK167"/>
  <c r="H168"/>
  <c r="DT168"/>
  <c r="Q169"/>
  <c r="DS167"/>
  <c r="P168"/>
  <c r="EB168"/>
  <c r="Y169"/>
  <c r="DG167"/>
  <c r="D168"/>
  <c r="DL168"/>
  <c r="I169"/>
  <c r="DW167"/>
  <c r="T168"/>
  <c r="V169"/>
  <c r="DY168"/>
  <c r="W170"/>
  <c r="DZ169"/>
  <c r="C170"/>
  <c r="DF169"/>
  <c r="Z169"/>
  <c r="EC168"/>
  <c r="O170"/>
  <c r="DR169"/>
  <c r="DP168"/>
  <c r="M169"/>
  <c r="DO167"/>
  <c r="L168"/>
  <c r="B169"/>
  <c r="DE168"/>
  <c r="AD169"/>
  <c r="EG168"/>
  <c r="L169" l="1"/>
  <c r="DO168"/>
  <c r="I170"/>
  <c r="DL169"/>
  <c r="DE169"/>
  <c r="B170"/>
  <c r="EC169"/>
  <c r="Z170"/>
  <c r="ED170"/>
  <c r="AA171"/>
  <c r="M170"/>
  <c r="DP169"/>
  <c r="T169"/>
  <c r="DW168"/>
  <c r="D169"/>
  <c r="DG168"/>
  <c r="P169"/>
  <c r="DS168"/>
  <c r="H169"/>
  <c r="DK168"/>
  <c r="E170"/>
  <c r="DH169"/>
  <c r="U170"/>
  <c r="DX169"/>
  <c r="EG169"/>
  <c r="AD170"/>
  <c r="DR170"/>
  <c r="O171"/>
  <c r="DF170"/>
  <c r="C171"/>
  <c r="DY169"/>
  <c r="V170"/>
  <c r="DN170"/>
  <c r="K171"/>
  <c r="DQ169"/>
  <c r="N170"/>
  <c r="DM169"/>
  <c r="J170"/>
  <c r="DI169"/>
  <c r="F170"/>
  <c r="Y170"/>
  <c r="EB169"/>
  <c r="X169"/>
  <c r="EA168"/>
  <c r="AC170"/>
  <c r="EF169"/>
  <c r="AB169"/>
  <c r="EE168"/>
  <c r="Q170"/>
  <c r="DT169"/>
  <c r="DZ170"/>
  <c r="W171"/>
  <c r="DU169"/>
  <c r="R170"/>
  <c r="DJ170"/>
  <c r="G171"/>
  <c r="DV170"/>
  <c r="S171"/>
  <c r="G172" l="1"/>
  <c r="DJ172" s="1"/>
  <c r="DJ171"/>
  <c r="F171"/>
  <c r="DI170"/>
  <c r="N171"/>
  <c r="DQ170"/>
  <c r="V171"/>
  <c r="DY170"/>
  <c r="O172"/>
  <c r="DR172" s="1"/>
  <c r="DR171"/>
  <c r="Z171"/>
  <c r="EC170"/>
  <c r="DT170"/>
  <c r="Q171"/>
  <c r="EF170"/>
  <c r="AC171"/>
  <c r="EB170"/>
  <c r="Y171"/>
  <c r="DH170"/>
  <c r="E171"/>
  <c r="DS169"/>
  <c r="P170"/>
  <c r="DW169"/>
  <c r="T170"/>
  <c r="DO169"/>
  <c r="L170"/>
  <c r="S172"/>
  <c r="DV172" s="1"/>
  <c r="DV171"/>
  <c r="J171"/>
  <c r="DM170"/>
  <c r="C172"/>
  <c r="DF172" s="1"/>
  <c r="DF171"/>
  <c r="AA172"/>
  <c r="ED172" s="1"/>
  <c r="ED171"/>
  <c r="B171"/>
  <c r="DE170"/>
  <c r="R171"/>
  <c r="DU170"/>
  <c r="K172"/>
  <c r="DN172" s="1"/>
  <c r="DN171"/>
  <c r="EE169"/>
  <c r="AB170"/>
  <c r="EA169"/>
  <c r="X170"/>
  <c r="DX170"/>
  <c r="U171"/>
  <c r="DK169"/>
  <c r="H170"/>
  <c r="DG169"/>
  <c r="D170"/>
  <c r="DP170"/>
  <c r="M171"/>
  <c r="DL170"/>
  <c r="I171"/>
  <c r="AD171"/>
  <c r="EG170"/>
  <c r="W172"/>
  <c r="DZ172" s="1"/>
  <c r="DZ171"/>
  <c r="I172" l="1"/>
  <c r="DL172" s="1"/>
  <c r="DL171"/>
  <c r="AB171"/>
  <c r="EE170"/>
  <c r="DE171"/>
  <c r="B172"/>
  <c r="DE172" s="1"/>
  <c r="M172"/>
  <c r="DP172" s="1"/>
  <c r="DP171"/>
  <c r="H171"/>
  <c r="DK170"/>
  <c r="X171"/>
  <c r="EA170"/>
  <c r="T171"/>
  <c r="DW170"/>
  <c r="E172"/>
  <c r="DH172" s="1"/>
  <c r="DH171"/>
  <c r="DU171"/>
  <c r="R172"/>
  <c r="DU172" s="1"/>
  <c r="DM171"/>
  <c r="J172"/>
  <c r="DM172" s="1"/>
  <c r="DQ171"/>
  <c r="N172"/>
  <c r="DQ172" s="1"/>
  <c r="D171"/>
  <c r="DG170"/>
  <c r="L171"/>
  <c r="DO170"/>
  <c r="P171"/>
  <c r="DS170"/>
  <c r="Y172"/>
  <c r="EB172" s="1"/>
  <c r="EB171"/>
  <c r="Q172"/>
  <c r="DT172" s="1"/>
  <c r="DT171"/>
  <c r="U172"/>
  <c r="DX172" s="1"/>
  <c r="DX171"/>
  <c r="EC171"/>
  <c r="Z172"/>
  <c r="EC172" s="1"/>
  <c r="DY171"/>
  <c r="V172"/>
  <c r="DY172" s="1"/>
  <c r="DI171"/>
  <c r="F172"/>
  <c r="DI172" s="1"/>
  <c r="EG171"/>
  <c r="AD172"/>
  <c r="EG172" s="1"/>
  <c r="AC172"/>
  <c r="EF172" s="1"/>
  <c r="EF171"/>
  <c r="DG171" l="1"/>
  <c r="D172"/>
  <c r="DG172" s="1"/>
  <c r="DO171"/>
  <c r="L172"/>
  <c r="DO172" s="1"/>
  <c r="DW171"/>
  <c r="T172"/>
  <c r="DW172" s="1"/>
  <c r="DK171"/>
  <c r="H172"/>
  <c r="DK172" s="1"/>
  <c r="DS171"/>
  <c r="P172"/>
  <c r="DS172" s="1"/>
  <c r="EA171"/>
  <c r="X172"/>
  <c r="EA172" s="1"/>
  <c r="EE171"/>
  <c r="AB172"/>
  <c r="EE172" s="1"/>
  <c r="E5" i="5" l="1"/>
  <c r="E4"/>
  <c r="B3"/>
  <c r="H5" l="1"/>
  <c r="G5"/>
  <c r="F5"/>
  <c r="H4"/>
  <c r="F4"/>
  <c r="E6" s="1"/>
  <c r="G4"/>
  <c r="E7" s="1"/>
  <c r="B4"/>
  <c r="B5"/>
  <c r="E9" l="1"/>
  <c r="F9" s="1"/>
  <c r="E8"/>
  <c r="F8" s="1"/>
  <c r="E14" s="1"/>
  <c r="G7"/>
  <c r="E13" s="1"/>
  <c r="F7"/>
  <c r="E12" s="1"/>
  <c r="H7"/>
  <c r="F6"/>
  <c r="E10" s="1"/>
  <c r="H6"/>
  <c r="G6"/>
  <c r="E11" s="1"/>
  <c r="B7"/>
  <c r="B6"/>
  <c r="H9" l="1"/>
  <c r="B9"/>
  <c r="H8"/>
  <c r="B8"/>
  <c r="G8"/>
  <c r="E15" s="1"/>
  <c r="H15" s="1"/>
  <c r="G9"/>
  <c r="E17" s="1"/>
  <c r="F17" s="1"/>
  <c r="E16"/>
  <c r="G16" s="1"/>
  <c r="F14"/>
  <c r="H14"/>
  <c r="G14"/>
  <c r="H12"/>
  <c r="G12"/>
  <c r="F12"/>
  <c r="F10"/>
  <c r="H10"/>
  <c r="G10"/>
  <c r="H13"/>
  <c r="G13"/>
  <c r="F13"/>
  <c r="G11"/>
  <c r="F11"/>
  <c r="H11"/>
  <c r="B11"/>
  <c r="E21"/>
  <c r="E20"/>
  <c r="B10"/>
  <c r="E18"/>
  <c r="E19"/>
  <c r="E23"/>
  <c r="B12"/>
  <c r="E22"/>
  <c r="E26"/>
  <c r="E27"/>
  <c r="B14"/>
  <c r="E24"/>
  <c r="E25"/>
  <c r="B13"/>
  <c r="G15" l="1"/>
  <c r="F15"/>
  <c r="E29"/>
  <c r="F29" s="1"/>
  <c r="B15"/>
  <c r="E28"/>
  <c r="G28" s="1"/>
  <c r="E31"/>
  <c r="H31" s="1"/>
  <c r="E30"/>
  <c r="F30" s="1"/>
  <c r="H16"/>
  <c r="F16"/>
  <c r="B17"/>
  <c r="H17"/>
  <c r="E32"/>
  <c r="G32" s="1"/>
  <c r="B16"/>
  <c r="G17"/>
  <c r="E33"/>
  <c r="G33" s="1"/>
  <c r="F26"/>
  <c r="H26"/>
  <c r="G26"/>
  <c r="H20"/>
  <c r="G20"/>
  <c r="F20"/>
  <c r="G27"/>
  <c r="F27"/>
  <c r="H27"/>
  <c r="G23"/>
  <c r="F23"/>
  <c r="H23"/>
  <c r="G19"/>
  <c r="F19"/>
  <c r="H19"/>
  <c r="H24"/>
  <c r="G24"/>
  <c r="F24"/>
  <c r="F22"/>
  <c r="H22"/>
  <c r="G22"/>
  <c r="H21"/>
  <c r="G21"/>
  <c r="F21"/>
  <c r="H25"/>
  <c r="G25"/>
  <c r="F25"/>
  <c r="F18"/>
  <c r="H18"/>
  <c r="G18"/>
  <c r="E42"/>
  <c r="B22"/>
  <c r="E43"/>
  <c r="E44"/>
  <c r="E45"/>
  <c r="B23"/>
  <c r="B24"/>
  <c r="E47"/>
  <c r="E46"/>
  <c r="E41"/>
  <c r="B21"/>
  <c r="E40"/>
  <c r="B25"/>
  <c r="E49"/>
  <c r="E48"/>
  <c r="E52"/>
  <c r="B27"/>
  <c r="E53"/>
  <c r="E34"/>
  <c r="E35"/>
  <c r="B18"/>
  <c r="B20"/>
  <c r="E38"/>
  <c r="E39"/>
  <c r="E51"/>
  <c r="E50"/>
  <c r="B26"/>
  <c r="B19"/>
  <c r="E36"/>
  <c r="E37"/>
  <c r="H29" l="1"/>
  <c r="G29"/>
  <c r="E56"/>
  <c r="G56" s="1"/>
  <c r="B29"/>
  <c r="E57"/>
  <c r="H57" s="1"/>
  <c r="G31"/>
  <c r="E55"/>
  <c r="H55" s="1"/>
  <c r="B28"/>
  <c r="F28"/>
  <c r="H28"/>
  <c r="E54"/>
  <c r="F54" s="1"/>
  <c r="E60"/>
  <c r="G60" s="1"/>
  <c r="E61"/>
  <c r="F61" s="1"/>
  <c r="B31"/>
  <c r="F31"/>
  <c r="E58"/>
  <c r="H58" s="1"/>
  <c r="H32"/>
  <c r="E63"/>
  <c r="H63" s="1"/>
  <c r="G30"/>
  <c r="E64"/>
  <c r="H64" s="1"/>
  <c r="B30"/>
  <c r="B32"/>
  <c r="F32"/>
  <c r="E65"/>
  <c r="F65" s="1"/>
  <c r="H30"/>
  <c r="E59"/>
  <c r="G59" s="1"/>
  <c r="B33"/>
  <c r="F33"/>
  <c r="H33"/>
  <c r="E62"/>
  <c r="G62" s="1"/>
  <c r="G35"/>
  <c r="F35"/>
  <c r="H35"/>
  <c r="H40"/>
  <c r="G40"/>
  <c r="F40"/>
  <c r="H36"/>
  <c r="G36"/>
  <c r="F36"/>
  <c r="G39"/>
  <c r="F39"/>
  <c r="H39"/>
  <c r="F34"/>
  <c r="H34"/>
  <c r="G34"/>
  <c r="H48"/>
  <c r="G48"/>
  <c r="F48"/>
  <c r="H41"/>
  <c r="G41"/>
  <c r="F41"/>
  <c r="F42"/>
  <c r="H42"/>
  <c r="G42"/>
  <c r="H37"/>
  <c r="G37"/>
  <c r="F37"/>
  <c r="H52"/>
  <c r="G52"/>
  <c r="F52"/>
  <c r="G47"/>
  <c r="F47"/>
  <c r="H47"/>
  <c r="H44"/>
  <c r="G44"/>
  <c r="F44"/>
  <c r="G43"/>
  <c r="F43"/>
  <c r="H43"/>
  <c r="G51"/>
  <c r="F51"/>
  <c r="H51"/>
  <c r="F50"/>
  <c r="H50"/>
  <c r="G50"/>
  <c r="F38"/>
  <c r="H38"/>
  <c r="G38"/>
  <c r="H53"/>
  <c r="G53"/>
  <c r="F53"/>
  <c r="H49"/>
  <c r="G49"/>
  <c r="F49"/>
  <c r="F46"/>
  <c r="H46"/>
  <c r="G46"/>
  <c r="H45"/>
  <c r="G45"/>
  <c r="F45"/>
  <c r="B37"/>
  <c r="J37" s="1"/>
  <c r="A37" s="1"/>
  <c r="B51"/>
  <c r="B39"/>
  <c r="J39" s="1"/>
  <c r="A39" s="1"/>
  <c r="B34"/>
  <c r="J34" s="1"/>
  <c r="A34" s="1"/>
  <c r="B52"/>
  <c r="B47"/>
  <c r="J47" s="1"/>
  <c r="A47" s="1"/>
  <c r="B42"/>
  <c r="B35"/>
  <c r="J35" s="1"/>
  <c r="A35" s="1"/>
  <c r="B40"/>
  <c r="J40" s="1"/>
  <c r="A40" s="1"/>
  <c r="B44"/>
  <c r="J44" s="1"/>
  <c r="A44" s="1"/>
  <c r="B49"/>
  <c r="J49" s="1"/>
  <c r="A49" s="1"/>
  <c r="B43"/>
  <c r="B53"/>
  <c r="B41"/>
  <c r="J41" s="1"/>
  <c r="A41" s="1"/>
  <c r="B38"/>
  <c r="J38" s="1"/>
  <c r="A38" s="1"/>
  <c r="B48"/>
  <c r="J48" s="1"/>
  <c r="A48" s="1"/>
  <c r="B45"/>
  <c r="J45" s="1"/>
  <c r="A45" s="1"/>
  <c r="B50"/>
  <c r="B46"/>
  <c r="J46" s="1"/>
  <c r="A46" s="1"/>
  <c r="B36"/>
  <c r="J36" s="1"/>
  <c r="A36" s="1"/>
  <c r="G55" l="1"/>
  <c r="F60"/>
  <c r="B56"/>
  <c r="F56"/>
  <c r="H56"/>
  <c r="B63"/>
  <c r="B61"/>
  <c r="B57"/>
  <c r="B55"/>
  <c r="F55"/>
  <c r="F57"/>
  <c r="G57"/>
  <c r="H61"/>
  <c r="G54"/>
  <c r="H54"/>
  <c r="H60"/>
  <c r="B54"/>
  <c r="B60"/>
  <c r="G61"/>
  <c r="G63"/>
  <c r="G58"/>
  <c r="B64"/>
  <c r="F58"/>
  <c r="B58"/>
  <c r="B62"/>
  <c r="J62" s="1"/>
  <c r="A62" s="1"/>
  <c r="B59"/>
  <c r="H59"/>
  <c r="F63"/>
  <c r="F59"/>
  <c r="F62"/>
  <c r="B65"/>
  <c r="F64"/>
  <c r="G65"/>
  <c r="H65"/>
  <c r="G64"/>
  <c r="H62"/>
  <c r="H3" l="1"/>
  <c r="I5" s="1"/>
  <c r="J5" s="1"/>
  <c r="I60" l="1"/>
  <c r="J60" s="1"/>
  <c r="A60" s="1"/>
  <c r="I44"/>
  <c r="I51"/>
  <c r="J51" s="1"/>
  <c r="I55"/>
  <c r="J55" s="1"/>
  <c r="A55" s="1"/>
  <c r="I56"/>
  <c r="J56" s="1"/>
  <c r="A56" s="1"/>
  <c r="I57"/>
  <c r="J57" s="1"/>
  <c r="A57" s="1"/>
  <c r="I41"/>
  <c r="I61"/>
  <c r="J61" s="1"/>
  <c r="A61" s="1"/>
  <c r="I36"/>
  <c r="I18"/>
  <c r="J18" s="1"/>
  <c r="A18" s="1"/>
  <c r="I23"/>
  <c r="J23" s="1"/>
  <c r="A23" s="1"/>
  <c r="I31"/>
  <c r="J31" s="1"/>
  <c r="A31" s="1"/>
  <c r="I30"/>
  <c r="J30" s="1"/>
  <c r="A30" s="1"/>
  <c r="I16"/>
  <c r="J16" s="1"/>
  <c r="A16" s="1"/>
  <c r="I6"/>
  <c r="J6" s="1"/>
  <c r="I8"/>
  <c r="J8" s="1"/>
  <c r="I37"/>
  <c r="I53"/>
  <c r="J53" s="1"/>
  <c r="A53" s="1"/>
  <c r="I48"/>
  <c r="I47"/>
  <c r="I39"/>
  <c r="I24"/>
  <c r="J24" s="1"/>
  <c r="A24" s="1"/>
  <c r="I42"/>
  <c r="J42" s="1"/>
  <c r="A42" s="1"/>
  <c r="I22"/>
  <c r="J22" s="1"/>
  <c r="A22" s="1"/>
  <c r="I26"/>
  <c r="J26" s="1"/>
  <c r="A26" s="1"/>
  <c r="I20"/>
  <c r="J20" s="1"/>
  <c r="A20" s="1"/>
  <c r="I17"/>
  <c r="J17" s="1"/>
  <c r="A17" s="1"/>
  <c r="I10"/>
  <c r="J10" s="1"/>
  <c r="A10" s="1"/>
  <c r="I15"/>
  <c r="J15" s="1"/>
  <c r="A15" s="1"/>
  <c r="I3"/>
  <c r="J3" s="1"/>
  <c r="I43"/>
  <c r="J43" s="1"/>
  <c r="A43" s="1"/>
  <c r="I52"/>
  <c r="J52" s="1"/>
  <c r="A52" s="1"/>
  <c r="I50"/>
  <c r="J50" s="1"/>
  <c r="A50" s="1"/>
  <c r="I49"/>
  <c r="I54"/>
  <c r="J54" s="1"/>
  <c r="A54" s="1"/>
  <c r="I35"/>
  <c r="I34"/>
  <c r="I38"/>
  <c r="I32"/>
  <c r="J32" s="1"/>
  <c r="A32" s="1"/>
  <c r="I25"/>
  <c r="J25" s="1"/>
  <c r="A25" s="1"/>
  <c r="I21"/>
  <c r="J21" s="1"/>
  <c r="A21" s="1"/>
  <c r="I29"/>
  <c r="J29" s="1"/>
  <c r="A29" s="1"/>
  <c r="I12"/>
  <c r="J12" s="1"/>
  <c r="A12" s="1"/>
  <c r="I13"/>
  <c r="J13" s="1"/>
  <c r="A13" s="1"/>
  <c r="I7"/>
  <c r="J7" s="1"/>
  <c r="I4"/>
  <c r="J4" s="1"/>
  <c r="I58"/>
  <c r="J58" s="1"/>
  <c r="A58" s="1"/>
  <c r="I45"/>
  <c r="I63"/>
  <c r="J63" s="1"/>
  <c r="A63" s="1"/>
  <c r="I62"/>
  <c r="I59"/>
  <c r="J59" s="1"/>
  <c r="A59" s="1"/>
  <c r="I65"/>
  <c r="J65" s="1"/>
  <c r="A65" s="1"/>
  <c r="I64"/>
  <c r="J64" s="1"/>
  <c r="A64" s="1"/>
  <c r="I40"/>
  <c r="I46"/>
  <c r="I27"/>
  <c r="J27" s="1"/>
  <c r="A27" s="1"/>
  <c r="I19"/>
  <c r="J19" s="1"/>
  <c r="A19" s="1"/>
  <c r="I28"/>
  <c r="J28" s="1"/>
  <c r="A28" s="1"/>
  <c r="I33"/>
  <c r="J33" s="1"/>
  <c r="A33" s="1"/>
  <c r="I14"/>
  <c r="J14" s="1"/>
  <c r="A14" s="1"/>
  <c r="I11"/>
  <c r="J11" s="1"/>
  <c r="A11" s="1"/>
  <c r="I9"/>
  <c r="J9" s="1"/>
  <c r="A51"/>
  <c r="A9" l="1"/>
  <c r="A8"/>
  <c r="A5"/>
  <c r="A3"/>
  <c r="A6"/>
  <c r="A7"/>
  <c r="A4"/>
  <c r="Y4" l="1"/>
  <c r="X4"/>
  <c r="AB4"/>
  <c r="AA4"/>
  <c r="Z4"/>
  <c r="R4"/>
  <c r="N8"/>
  <c r="L8" s="1"/>
  <c r="N27"/>
  <c r="L27" s="1"/>
  <c r="Q4"/>
  <c r="N10"/>
  <c r="AM4"/>
  <c r="P4"/>
  <c r="P2" s="1"/>
  <c r="BA4"/>
  <c r="BA3" s="1"/>
  <c r="AY4"/>
  <c r="U4"/>
  <c r="U2" s="1"/>
  <c r="N13"/>
  <c r="L13" s="1"/>
  <c r="S4"/>
  <c r="S2" s="1"/>
  <c r="BC4"/>
  <c r="AV4"/>
  <c r="AV2" s="1"/>
  <c r="AT4"/>
  <c r="AT3" s="1"/>
  <c r="N39"/>
  <c r="N41"/>
  <c r="M41" s="1"/>
  <c r="N51"/>
  <c r="L51" s="1"/>
  <c r="N63"/>
  <c r="L63" s="1"/>
  <c r="AJ4"/>
  <c r="BU4"/>
  <c r="N6"/>
  <c r="L6" s="1"/>
  <c r="AP4"/>
  <c r="BW4"/>
  <c r="N15"/>
  <c r="N25"/>
  <c r="M25" s="1"/>
  <c r="N38"/>
  <c r="L38" s="1"/>
  <c r="N40"/>
  <c r="L40" s="1"/>
  <c r="N52"/>
  <c r="N56"/>
  <c r="AF4"/>
  <c r="AF2" s="1"/>
  <c r="BP4"/>
  <c r="AI4"/>
  <c r="BT4"/>
  <c r="AD4"/>
  <c r="AD2" s="1"/>
  <c r="BM4"/>
  <c r="BM3" s="1"/>
  <c r="AK4"/>
  <c r="BV4"/>
  <c r="BS4"/>
  <c r="N11"/>
  <c r="M11" s="1"/>
  <c r="N24"/>
  <c r="N34"/>
  <c r="L34" s="1"/>
  <c r="N36"/>
  <c r="N48"/>
  <c r="L48" s="1"/>
  <c r="N55"/>
  <c r="N65"/>
  <c r="M65" s="1"/>
  <c r="T4"/>
  <c r="T3" s="1"/>
  <c r="AZ4"/>
  <c r="W4"/>
  <c r="BD4"/>
  <c r="BD3" s="1"/>
  <c r="BH4"/>
  <c r="AG4"/>
  <c r="AG2" s="1"/>
  <c r="BQ4"/>
  <c r="BG4"/>
  <c r="BG2" s="1"/>
  <c r="N17"/>
  <c r="N14"/>
  <c r="N31"/>
  <c r="M31" s="1"/>
  <c r="N44"/>
  <c r="M44" s="1"/>
  <c r="N45"/>
  <c r="N42"/>
  <c r="N57"/>
  <c r="AW4"/>
  <c r="AW2" s="1"/>
  <c r="N59"/>
  <c r="AR4"/>
  <c r="AR3" s="1"/>
  <c r="O4"/>
  <c r="AU4"/>
  <c r="AU3" s="1"/>
  <c r="AN4"/>
  <c r="AN3" s="1"/>
  <c r="BE4"/>
  <c r="BE2" s="1"/>
  <c r="N7"/>
  <c r="AQ4"/>
  <c r="BI4"/>
  <c r="BI2" s="1"/>
  <c r="AH4"/>
  <c r="AH3" s="1"/>
  <c r="AX4"/>
  <c r="BR4"/>
  <c r="AO4"/>
  <c r="AO2" s="1"/>
  <c r="BF4"/>
  <c r="BK4"/>
  <c r="N5"/>
  <c r="N22"/>
  <c r="M22" s="1"/>
  <c r="N20"/>
  <c r="L20" s="1"/>
  <c r="N18"/>
  <c r="N19"/>
  <c r="L19" s="1"/>
  <c r="N35"/>
  <c r="N29"/>
  <c r="N28"/>
  <c r="L28" s="1"/>
  <c r="N43"/>
  <c r="M43" s="1"/>
  <c r="N49"/>
  <c r="N53"/>
  <c r="N46"/>
  <c r="L46" s="1"/>
  <c r="N60"/>
  <c r="N58"/>
  <c r="N61"/>
  <c r="N66"/>
  <c r="BJ4"/>
  <c r="AE4"/>
  <c r="AE3" s="1"/>
  <c r="BN4"/>
  <c r="V4"/>
  <c r="V57" s="1"/>
  <c r="AL4"/>
  <c r="BB4"/>
  <c r="BX4"/>
  <c r="AC4"/>
  <c r="AC66" s="1"/>
  <c r="AS4"/>
  <c r="BL4"/>
  <c r="N12"/>
  <c r="BO4"/>
  <c r="BO57" s="1"/>
  <c r="N9"/>
  <c r="M9" s="1"/>
  <c r="N16"/>
  <c r="N26"/>
  <c r="N21"/>
  <c r="L21" s="1"/>
  <c r="N23"/>
  <c r="L23" s="1"/>
  <c r="N30"/>
  <c r="N33"/>
  <c r="N32"/>
  <c r="M32" s="1"/>
  <c r="N37"/>
  <c r="N54"/>
  <c r="N47"/>
  <c r="N50"/>
  <c r="M50" s="1"/>
  <c r="N64"/>
  <c r="N62"/>
  <c r="AP63" l="1"/>
  <c r="BV51"/>
  <c r="BT51"/>
  <c r="M27"/>
  <c r="BS13"/>
  <c r="BK57"/>
  <c r="P3"/>
  <c r="M38"/>
  <c r="M13"/>
  <c r="BL59"/>
  <c r="AP3"/>
  <c r="AF3"/>
  <c r="BX63"/>
  <c r="AP2"/>
  <c r="AD63"/>
  <c r="BS27"/>
  <c r="M63"/>
  <c r="AT63"/>
  <c r="BS3"/>
  <c r="AT2"/>
  <c r="AF63"/>
  <c r="BJ63"/>
  <c r="AD3"/>
  <c r="AV66"/>
  <c r="AW63"/>
  <c r="P63"/>
  <c r="AD60"/>
  <c r="AT57"/>
  <c r="BS5"/>
  <c r="BP62"/>
  <c r="BF55"/>
  <c r="Y63"/>
  <c r="BR57"/>
  <c r="AQ57"/>
  <c r="Z3"/>
  <c r="Z2"/>
  <c r="Y3"/>
  <c r="Y2"/>
  <c r="X3"/>
  <c r="X2"/>
  <c r="BQ34"/>
  <c r="AB3"/>
  <c r="AB2"/>
  <c r="AA2"/>
  <c r="AA3"/>
  <c r="BP16"/>
  <c r="BP30"/>
  <c r="BP13"/>
  <c r="BS2"/>
  <c r="BS63"/>
  <c r="AF54"/>
  <c r="BV3"/>
  <c r="Z44"/>
  <c r="BS38"/>
  <c r="AW44"/>
  <c r="AP44"/>
  <c r="Z63"/>
  <c r="BG63"/>
  <c r="BS18"/>
  <c r="BP63"/>
  <c r="AJ63"/>
  <c r="BM37"/>
  <c r="AN57"/>
  <c r="BS43"/>
  <c r="L5"/>
  <c r="BH63"/>
  <c r="AZ63"/>
  <c r="BS19"/>
  <c r="BS40"/>
  <c r="AF56"/>
  <c r="BQ6"/>
  <c r="U3"/>
  <c r="BR63"/>
  <c r="AV65"/>
  <c r="L25"/>
  <c r="AT56"/>
  <c r="BT63"/>
  <c r="AM56"/>
  <c r="BW17"/>
  <c r="BR13"/>
  <c r="AR65"/>
  <c r="P64"/>
  <c r="P60"/>
  <c r="BS28"/>
  <c r="BQ65"/>
  <c r="BV60"/>
  <c r="M28"/>
  <c r="BR3"/>
  <c r="O63"/>
  <c r="BD63"/>
  <c r="L57"/>
  <c r="AN65"/>
  <c r="O2"/>
  <c r="AV63"/>
  <c r="AF65"/>
  <c r="BQ12"/>
  <c r="BN25"/>
  <c r="BT61"/>
  <c r="BI60"/>
  <c r="L60"/>
  <c r="BG64"/>
  <c r="BK63"/>
  <c r="BQ38"/>
  <c r="BT27"/>
  <c r="BE60"/>
  <c r="BK51"/>
  <c r="AP64"/>
  <c r="Z64"/>
  <c r="AW64"/>
  <c r="BV57"/>
  <c r="BJ56"/>
  <c r="BQ5"/>
  <c r="BQ51"/>
  <c r="BD64"/>
  <c r="M56"/>
  <c r="BV38"/>
  <c r="AD66"/>
  <c r="BK34"/>
  <c r="BR28"/>
  <c r="M34"/>
  <c r="Z57"/>
  <c r="BV19"/>
  <c r="BR27"/>
  <c r="AR63"/>
  <c r="BG57"/>
  <c r="BS66"/>
  <c r="L18"/>
  <c r="BS37"/>
  <c r="BS64"/>
  <c r="BM62"/>
  <c r="BK38"/>
  <c r="BT29"/>
  <c r="BS21"/>
  <c r="BQ64"/>
  <c r="BV65"/>
  <c r="BT46"/>
  <c r="Y56"/>
  <c r="AM63"/>
  <c r="BW50"/>
  <c r="BV32"/>
  <c r="BS46"/>
  <c r="BQ31"/>
  <c r="BQ43"/>
  <c r="BQ66"/>
  <c r="AP56"/>
  <c r="AP57"/>
  <c r="BD66"/>
  <c r="AM65"/>
  <c r="M57"/>
  <c r="L56"/>
  <c r="BV13"/>
  <c r="BV28"/>
  <c r="BV56"/>
  <c r="AT66"/>
  <c r="M6"/>
  <c r="AQ56"/>
  <c r="AN2"/>
  <c r="M46"/>
  <c r="BK25"/>
  <c r="BK27"/>
  <c r="M8"/>
  <c r="BR19"/>
  <c r="BR56"/>
  <c r="AR56"/>
  <c r="BT38"/>
  <c r="BT57"/>
  <c r="AV3"/>
  <c r="AL65"/>
  <c r="M66"/>
  <c r="BS51"/>
  <c r="BS56"/>
  <c r="BQ28"/>
  <c r="BQ46"/>
  <c r="AP66"/>
  <c r="Z56"/>
  <c r="BV6"/>
  <c r="BV34"/>
  <c r="BV54"/>
  <c r="AQ63"/>
  <c r="BK3"/>
  <c r="BK43"/>
  <c r="BK56"/>
  <c r="BR18"/>
  <c r="BR38"/>
  <c r="BT13"/>
  <c r="BT58"/>
  <c r="BT59"/>
  <c r="AT64"/>
  <c r="Y66"/>
  <c r="BR46"/>
  <c r="BV63"/>
  <c r="AD56"/>
  <c r="BQ21"/>
  <c r="AQ66"/>
  <c r="BK66"/>
  <c r="BT18"/>
  <c r="BS9"/>
  <c r="BV17"/>
  <c r="BM45"/>
  <c r="BP31"/>
  <c r="BK40"/>
  <c r="BW63"/>
  <c r="AJ57"/>
  <c r="L59"/>
  <c r="BS59"/>
  <c r="BW23"/>
  <c r="BW48"/>
  <c r="BM39"/>
  <c r="BM59"/>
  <c r="BR66"/>
  <c r="BL35"/>
  <c r="BP2"/>
  <c r="BP45"/>
  <c r="AM59"/>
  <c r="M17"/>
  <c r="BA54"/>
  <c r="BM16"/>
  <c r="BM51"/>
  <c r="AD54"/>
  <c r="BI54"/>
  <c r="BL3"/>
  <c r="BP39"/>
  <c r="AN59"/>
  <c r="BQ59"/>
  <c r="BM25"/>
  <c r="BS16"/>
  <c r="BD54"/>
  <c r="BW35"/>
  <c r="AP54"/>
  <c r="BW28"/>
  <c r="BM13"/>
  <c r="AS59"/>
  <c r="BV21"/>
  <c r="AL66"/>
  <c r="BO65"/>
  <c r="AH66"/>
  <c r="V66"/>
  <c r="U54"/>
  <c r="AR66"/>
  <c r="BJ57"/>
  <c r="BD57"/>
  <c r="BT65"/>
  <c r="BS6"/>
  <c r="AM64"/>
  <c r="V65"/>
  <c r="L66"/>
  <c r="M51"/>
  <c r="BS25"/>
  <c r="BS34"/>
  <c r="BS65"/>
  <c r="BQ2"/>
  <c r="BQ18"/>
  <c r="BQ27"/>
  <c r="BQ25"/>
  <c r="BQ44"/>
  <c r="BQ57"/>
  <c r="BQ63"/>
  <c r="AW65"/>
  <c r="BH57"/>
  <c r="BD56"/>
  <c r="BD65"/>
  <c r="AM3"/>
  <c r="AM57"/>
  <c r="AZ57"/>
  <c r="L31"/>
  <c r="BV5"/>
  <c r="BV18"/>
  <c r="BV31"/>
  <c r="BV40"/>
  <c r="BV45"/>
  <c r="BV50"/>
  <c r="BV66"/>
  <c r="BA65"/>
  <c r="U57"/>
  <c r="AD65"/>
  <c r="BI57"/>
  <c r="AQ3"/>
  <c r="AQ65"/>
  <c r="AN66"/>
  <c r="AN63"/>
  <c r="M18"/>
  <c r="BK2"/>
  <c r="BK18"/>
  <c r="BK28"/>
  <c r="BK37"/>
  <c r="BK59"/>
  <c r="BK65"/>
  <c r="BR5"/>
  <c r="BR25"/>
  <c r="BR34"/>
  <c r="BR51"/>
  <c r="BR59"/>
  <c r="BR65"/>
  <c r="O56"/>
  <c r="AR2"/>
  <c r="AR57"/>
  <c r="L65"/>
  <c r="BB57"/>
  <c r="V59"/>
  <c r="BT2"/>
  <c r="BT28"/>
  <c r="BT34"/>
  <c r="BT56"/>
  <c r="BT60"/>
  <c r="BP66"/>
  <c r="AV56"/>
  <c r="BR37"/>
  <c r="AL57"/>
  <c r="BJ65"/>
  <c r="BT43"/>
  <c r="BS32"/>
  <c r="BS31"/>
  <c r="BS50"/>
  <c r="BS57"/>
  <c r="BQ3"/>
  <c r="BQ13"/>
  <c r="BQ32"/>
  <c r="BQ37"/>
  <c r="BQ50"/>
  <c r="BQ56"/>
  <c r="AW66"/>
  <c r="AP65"/>
  <c r="BD2"/>
  <c r="AM2"/>
  <c r="AM66"/>
  <c r="BW57"/>
  <c r="BG56"/>
  <c r="BV2"/>
  <c r="BV25"/>
  <c r="BV27"/>
  <c r="BV43"/>
  <c r="BV37"/>
  <c r="BV46"/>
  <c r="AT65"/>
  <c r="AD57"/>
  <c r="AQ2"/>
  <c r="BE57"/>
  <c r="AN56"/>
  <c r="BK6"/>
  <c r="BK13"/>
  <c r="BK39"/>
  <c r="BK31"/>
  <c r="BK46"/>
  <c r="Y65"/>
  <c r="BR2"/>
  <c r="BR22"/>
  <c r="BR31"/>
  <c r="BR44"/>
  <c r="BR60"/>
  <c r="AU65"/>
  <c r="O57"/>
  <c r="V2"/>
  <c r="BT3"/>
  <c r="BT25"/>
  <c r="BT31"/>
  <c r="BT45"/>
  <c r="BB65"/>
  <c r="AE56"/>
  <c r="AV58"/>
  <c r="BT49"/>
  <c r="BQ35"/>
  <c r="AU56"/>
  <c r="BP11"/>
  <c r="U66"/>
  <c r="U56"/>
  <c r="U63"/>
  <c r="T60"/>
  <c r="BW11"/>
  <c r="U64"/>
  <c r="T57"/>
  <c r="U65"/>
  <c r="BM11"/>
  <c r="T63"/>
  <c r="BO38"/>
  <c r="AC56"/>
  <c r="BO56"/>
  <c r="AC65"/>
  <c r="AQ64"/>
  <c r="BO11"/>
  <c r="AC63"/>
  <c r="BO25"/>
  <c r="BK21"/>
  <c r="BK32"/>
  <c r="BO28"/>
  <c r="V3"/>
  <c r="BT17"/>
  <c r="BO5"/>
  <c r="BO48"/>
  <c r="BK50"/>
  <c r="BR21"/>
  <c r="BR32"/>
  <c r="L50"/>
  <c r="BO18"/>
  <c r="BO51"/>
  <c r="L32"/>
  <c r="BO50"/>
  <c r="BO21"/>
  <c r="BO32"/>
  <c r="BO66"/>
  <c r="L37"/>
  <c r="AS57"/>
  <c r="AN64"/>
  <c r="BK23"/>
  <c r="BK64"/>
  <c r="O54"/>
  <c r="AS2"/>
  <c r="BR50"/>
  <c r="M21"/>
  <c r="BO3"/>
  <c r="BO22"/>
  <c r="BO31"/>
  <c r="BO63"/>
  <c r="AC3"/>
  <c r="P57"/>
  <c r="AC62"/>
  <c r="AO60"/>
  <c r="BT7"/>
  <c r="BS22"/>
  <c r="AZ54"/>
  <c r="BV30"/>
  <c r="AT54"/>
  <c r="AQ54"/>
  <c r="L49"/>
  <c r="M35"/>
  <c r="BK7"/>
  <c r="Y58"/>
  <c r="AH59"/>
  <c r="M54"/>
  <c r="M30"/>
  <c r="BO16"/>
  <c r="BL25"/>
  <c r="BL56"/>
  <c r="BB63"/>
  <c r="BQ62"/>
  <c r="BH54"/>
  <c r="AJ54"/>
  <c r="BW30"/>
  <c r="BV62"/>
  <c r="BE54"/>
  <c r="AO58"/>
  <c r="BR54"/>
  <c r="AU58"/>
  <c r="AE65"/>
  <c r="AR58"/>
  <c r="BL18"/>
  <c r="BL51"/>
  <c r="AS62"/>
  <c r="BB54"/>
  <c r="AQ62"/>
  <c r="BK22"/>
  <c r="BR16"/>
  <c r="AE58"/>
  <c r="BO2"/>
  <c r="BO13"/>
  <c r="BO34"/>
  <c r="BO27"/>
  <c r="BO46"/>
  <c r="BL23"/>
  <c r="BL34"/>
  <c r="AC57"/>
  <c r="V56"/>
  <c r="BO37"/>
  <c r="BT9"/>
  <c r="BT8"/>
  <c r="AR64"/>
  <c r="L64"/>
  <c r="BO64"/>
  <c r="O64"/>
  <c r="BL64"/>
  <c r="BR35"/>
  <c r="AH57"/>
  <c r="BJ64"/>
  <c r="BL62"/>
  <c r="AS60"/>
  <c r="AL60"/>
  <c r="AF60"/>
  <c r="BO19"/>
  <c r="AF59"/>
  <c r="V58"/>
  <c r="AO62"/>
  <c r="BR7"/>
  <c r="AL59"/>
  <c r="BO45"/>
  <c r="BH65"/>
  <c r="AZ65"/>
  <c r="BK48"/>
  <c r="BT11"/>
  <c r="BM66"/>
  <c r="BP57"/>
  <c r="BT40"/>
  <c r="BW65"/>
  <c r="AJ65"/>
  <c r="BT39"/>
  <c r="BA58"/>
  <c r="Q64"/>
  <c r="Q65"/>
  <c r="M59"/>
  <c r="BS54"/>
  <c r="BQ22"/>
  <c r="BQ49"/>
  <c r="BQ58"/>
  <c r="Q58"/>
  <c r="BD59"/>
  <c r="AM62"/>
  <c r="AZ66"/>
  <c r="AJ66"/>
  <c r="M40"/>
  <c r="BW2"/>
  <c r="BW22"/>
  <c r="BW66"/>
  <c r="BV11"/>
  <c r="BA66"/>
  <c r="BM6"/>
  <c r="BM21"/>
  <c r="BM7"/>
  <c r="BM32"/>
  <c r="BM35"/>
  <c r="BM34"/>
  <c r="BM50"/>
  <c r="BM48"/>
  <c r="BM64"/>
  <c r="BM58"/>
  <c r="AD59"/>
  <c r="BI59"/>
  <c r="AQ58"/>
  <c r="M7"/>
  <c r="BE59"/>
  <c r="AN62"/>
  <c r="M58"/>
  <c r="M49"/>
  <c r="BK54"/>
  <c r="BK62"/>
  <c r="AO3"/>
  <c r="AO65"/>
  <c r="AO54"/>
  <c r="BR17"/>
  <c r="BR11"/>
  <c r="BR30"/>
  <c r="BR49"/>
  <c r="BR62"/>
  <c r="AH2"/>
  <c r="AH64"/>
  <c r="AH62"/>
  <c r="AU2"/>
  <c r="AU63"/>
  <c r="AU57"/>
  <c r="AE2"/>
  <c r="AE63"/>
  <c r="AE57"/>
  <c r="AR54"/>
  <c r="M62"/>
  <c r="L54"/>
  <c r="BO9"/>
  <c r="BO39"/>
  <c r="BO40"/>
  <c r="BO59"/>
  <c r="BL11"/>
  <c r="BL17"/>
  <c r="BL21"/>
  <c r="BL31"/>
  <c r="BL30"/>
  <c r="BL43"/>
  <c r="BL49"/>
  <c r="BL58"/>
  <c r="BL65"/>
  <c r="AS54"/>
  <c r="AC58"/>
  <c r="BB2"/>
  <c r="BB59"/>
  <c r="BB66"/>
  <c r="AL54"/>
  <c r="BT22"/>
  <c r="BT16"/>
  <c r="BT30"/>
  <c r="BT48"/>
  <c r="S3"/>
  <c r="BP7"/>
  <c r="BP27"/>
  <c r="BP38"/>
  <c r="BP40"/>
  <c r="BP56"/>
  <c r="BP58"/>
  <c r="BP59"/>
  <c r="AF58"/>
  <c r="BP47"/>
  <c r="BP33"/>
  <c r="BP26"/>
  <c r="Q66"/>
  <c r="M48"/>
  <c r="L11"/>
  <c r="BS11"/>
  <c r="BS39"/>
  <c r="BS62"/>
  <c r="BQ16"/>
  <c r="AW58"/>
  <c r="Q56"/>
  <c r="BH56"/>
  <c r="BH66"/>
  <c r="BH59"/>
  <c r="AP59"/>
  <c r="Z62"/>
  <c r="AM54"/>
  <c r="AZ56"/>
  <c r="AZ59"/>
  <c r="AJ56"/>
  <c r="AJ59"/>
  <c r="T62"/>
  <c r="BW16"/>
  <c r="BW13"/>
  <c r="BW43"/>
  <c r="BW31"/>
  <c r="BW44"/>
  <c r="BW46"/>
  <c r="BW59"/>
  <c r="BW60"/>
  <c r="BG62"/>
  <c r="BV58"/>
  <c r="BA57"/>
  <c r="BA63"/>
  <c r="AT59"/>
  <c r="L39"/>
  <c r="BS17"/>
  <c r="BS35"/>
  <c r="BS49"/>
  <c r="BS58"/>
  <c r="BQ17"/>
  <c r="BQ11"/>
  <c r="BQ30"/>
  <c r="BQ45"/>
  <c r="BQ54"/>
  <c r="Q2"/>
  <c r="Q63"/>
  <c r="BH3"/>
  <c r="BH62"/>
  <c r="BH60"/>
  <c r="AP62"/>
  <c r="BD62"/>
  <c r="AM58"/>
  <c r="AZ3"/>
  <c r="AZ62"/>
  <c r="AZ60"/>
  <c r="AJ3"/>
  <c r="AJ62"/>
  <c r="AJ64"/>
  <c r="T54"/>
  <c r="T59"/>
  <c r="L45"/>
  <c r="BW6"/>
  <c r="BW8"/>
  <c r="BW21"/>
  <c r="BW18"/>
  <c r="BW39"/>
  <c r="BW27"/>
  <c r="BW40"/>
  <c r="BW54"/>
  <c r="BW49"/>
  <c r="BW62"/>
  <c r="BW56"/>
  <c r="BV22"/>
  <c r="BV35"/>
  <c r="BV39"/>
  <c r="BV48"/>
  <c r="BA56"/>
  <c r="BA59"/>
  <c r="BA62"/>
  <c r="U59"/>
  <c r="U62"/>
  <c r="BM2"/>
  <c r="BM18"/>
  <c r="BM22"/>
  <c r="BM28"/>
  <c r="BM31"/>
  <c r="BM30"/>
  <c r="BM46"/>
  <c r="BM56"/>
  <c r="BM65"/>
  <c r="BM54"/>
  <c r="AT62"/>
  <c r="AD62"/>
  <c r="L7"/>
  <c r="AN58"/>
  <c r="L58"/>
  <c r="L22"/>
  <c r="BK17"/>
  <c r="BK35"/>
  <c r="BK49"/>
  <c r="BK58"/>
  <c r="AO57"/>
  <c r="AO63"/>
  <c r="AO66"/>
  <c r="Y64"/>
  <c r="BR39"/>
  <c r="BR45"/>
  <c r="BR48"/>
  <c r="BR58"/>
  <c r="AH56"/>
  <c r="AH58"/>
  <c r="AH65"/>
  <c r="AU59"/>
  <c r="AU66"/>
  <c r="AU64"/>
  <c r="AE59"/>
  <c r="AE66"/>
  <c r="AE60"/>
  <c r="O62"/>
  <c r="BJ2"/>
  <c r="BJ62"/>
  <c r="AR59"/>
  <c r="L62"/>
  <c r="L16"/>
  <c r="BO35"/>
  <c r="BO54"/>
  <c r="BO49"/>
  <c r="BO62"/>
  <c r="BL7"/>
  <c r="BL13"/>
  <c r="BL22"/>
  <c r="BL32"/>
  <c r="BL40"/>
  <c r="BL39"/>
  <c r="BL45"/>
  <c r="BL54"/>
  <c r="BL57"/>
  <c r="BL63"/>
  <c r="BB3"/>
  <c r="BB22" s="1"/>
  <c r="BB64"/>
  <c r="BB62"/>
  <c r="AL3"/>
  <c r="AL58"/>
  <c r="V62"/>
  <c r="BT35"/>
  <c r="BP3"/>
  <c r="BP22"/>
  <c r="BP25"/>
  <c r="BP34"/>
  <c r="BP51"/>
  <c r="BP48"/>
  <c r="BP65"/>
  <c r="AV59"/>
  <c r="P65"/>
  <c r="BP50"/>
  <c r="BP32"/>
  <c r="BP21"/>
  <c r="AC54"/>
  <c r="BP46"/>
  <c r="BP28"/>
  <c r="BP18"/>
  <c r="AF57"/>
  <c r="M39"/>
  <c r="BS30"/>
  <c r="BS48"/>
  <c r="BS45"/>
  <c r="BQ39"/>
  <c r="BQ40"/>
  <c r="BQ48"/>
  <c r="Q3"/>
  <c r="BH2"/>
  <c r="BH58"/>
  <c r="AP58"/>
  <c r="BD58"/>
  <c r="AZ2"/>
  <c r="AZ58"/>
  <c r="AJ2"/>
  <c r="AJ58"/>
  <c r="M45"/>
  <c r="L17"/>
  <c r="BW3"/>
  <c r="BW25"/>
  <c r="BW19"/>
  <c r="BW34"/>
  <c r="BW32"/>
  <c r="BW38"/>
  <c r="BW51"/>
  <c r="BW45"/>
  <c r="BW58"/>
  <c r="BG54"/>
  <c r="BV16"/>
  <c r="BV49"/>
  <c r="BV59"/>
  <c r="BA2"/>
  <c r="BA60"/>
  <c r="U58"/>
  <c r="BM8"/>
  <c r="BM17"/>
  <c r="BM19"/>
  <c r="BM23"/>
  <c r="BM27"/>
  <c r="BM40"/>
  <c r="BM38"/>
  <c r="BM49"/>
  <c r="BM57"/>
  <c r="BM63"/>
  <c r="AT58"/>
  <c r="AD58"/>
  <c r="BI62"/>
  <c r="AQ59"/>
  <c r="BE62"/>
  <c r="AN54"/>
  <c r="L35"/>
  <c r="BK11"/>
  <c r="BK16"/>
  <c r="BK30"/>
  <c r="BK45"/>
  <c r="AO56"/>
  <c r="AO59"/>
  <c r="BR40"/>
  <c r="AH54"/>
  <c r="AH63"/>
  <c r="AU54"/>
  <c r="AU62"/>
  <c r="AE54"/>
  <c r="AE62"/>
  <c r="AR62"/>
  <c r="L30"/>
  <c r="M16"/>
  <c r="BO17"/>
  <c r="BO30"/>
  <c r="BO58"/>
  <c r="BL2"/>
  <c r="BL27"/>
  <c r="BL16"/>
  <c r="BL28"/>
  <c r="BL37"/>
  <c r="BL38"/>
  <c r="BL46"/>
  <c r="BL48"/>
  <c r="BL66"/>
  <c r="AC59"/>
  <c r="BB56"/>
  <c r="BB58"/>
  <c r="BP6"/>
  <c r="BP19"/>
  <c r="BP17"/>
  <c r="BP35"/>
  <c r="BP43"/>
  <c r="BP49"/>
  <c r="BP37"/>
  <c r="BP23"/>
  <c r="BL9"/>
  <c r="AS58"/>
  <c r="BL19"/>
  <c r="BP8"/>
  <c r="BL50"/>
  <c r="AC64"/>
  <c r="BP9"/>
  <c r="Y54"/>
  <c r="BI66"/>
  <c r="BE66"/>
  <c r="AW54"/>
  <c r="BO44"/>
  <c r="BG60"/>
  <c r="Z66"/>
  <c r="BR36"/>
  <c r="M36"/>
  <c r="BS7"/>
  <c r="BS36"/>
  <c r="BQ8"/>
  <c r="BQ9"/>
  <c r="BQ7"/>
  <c r="BQ60"/>
  <c r="AW3"/>
  <c r="AW57"/>
  <c r="AW59"/>
  <c r="AW62"/>
  <c r="Q44"/>
  <c r="Q60"/>
  <c r="Q54"/>
  <c r="Z60"/>
  <c r="Z58"/>
  <c r="Z65"/>
  <c r="AM44"/>
  <c r="T56"/>
  <c r="T66"/>
  <c r="T64"/>
  <c r="BW7"/>
  <c r="BW5"/>
  <c r="BG3"/>
  <c r="BG58"/>
  <c r="BG65"/>
  <c r="BV7"/>
  <c r="BV23"/>
  <c r="BV44"/>
  <c r="BV64"/>
  <c r="BM5"/>
  <c r="BM36"/>
  <c r="BM44"/>
  <c r="AD64"/>
  <c r="BI56"/>
  <c r="BI64"/>
  <c r="BI58"/>
  <c r="BE56"/>
  <c r="BE64"/>
  <c r="BE58"/>
  <c r="AN60"/>
  <c r="L43"/>
  <c r="M5"/>
  <c r="BK8"/>
  <c r="BK44"/>
  <c r="BK60"/>
  <c r="Y57"/>
  <c r="Y59"/>
  <c r="Y62"/>
  <c r="BR9"/>
  <c r="AE64"/>
  <c r="O59"/>
  <c r="O66"/>
  <c r="O60"/>
  <c r="BJ54"/>
  <c r="BJ59"/>
  <c r="BJ66"/>
  <c r="AR60"/>
  <c r="M64"/>
  <c r="M23"/>
  <c r="BO6"/>
  <c r="BO43"/>
  <c r="BO36"/>
  <c r="BL6"/>
  <c r="BL5"/>
  <c r="BL8"/>
  <c r="BL36"/>
  <c r="BL44"/>
  <c r="BL60"/>
  <c r="AS3"/>
  <c r="AS65"/>
  <c r="AS63"/>
  <c r="AS66"/>
  <c r="AL2"/>
  <c r="AL64"/>
  <c r="AL62"/>
  <c r="V60"/>
  <c r="BT5"/>
  <c r="BT19"/>
  <c r="BT23"/>
  <c r="BT36"/>
  <c r="BT44"/>
  <c r="BP44"/>
  <c r="P59"/>
  <c r="L36"/>
  <c r="BQ36"/>
  <c r="BW36"/>
  <c r="BV36"/>
  <c r="BP36"/>
  <c r="BS8"/>
  <c r="BS23"/>
  <c r="BS44"/>
  <c r="BS60"/>
  <c r="BQ23"/>
  <c r="BQ19"/>
  <c r="AW56"/>
  <c r="AW60"/>
  <c r="Q57"/>
  <c r="Q59"/>
  <c r="Q62"/>
  <c r="BH64"/>
  <c r="AP60"/>
  <c r="Z54"/>
  <c r="Z59"/>
  <c r="BD60"/>
  <c r="AM60"/>
  <c r="AZ64"/>
  <c r="AJ60"/>
  <c r="T2"/>
  <c r="T58"/>
  <c r="T65"/>
  <c r="L44"/>
  <c r="BW9"/>
  <c r="BW37"/>
  <c r="BW64"/>
  <c r="BG59"/>
  <c r="BG66"/>
  <c r="BV8"/>
  <c r="BV9"/>
  <c r="BA64"/>
  <c r="U60"/>
  <c r="BM9"/>
  <c r="BM43"/>
  <c r="BM60"/>
  <c r="AT60"/>
  <c r="BI3"/>
  <c r="BI65"/>
  <c r="BI63"/>
  <c r="AQ60"/>
  <c r="BE3"/>
  <c r="BE65"/>
  <c r="BE63"/>
  <c r="M60"/>
  <c r="M19"/>
  <c r="BK5"/>
  <c r="BK19"/>
  <c r="BK9"/>
  <c r="BK36"/>
  <c r="AO64"/>
  <c r="Y60"/>
  <c r="BR6"/>
  <c r="BR8"/>
  <c r="BR23"/>
  <c r="BR43"/>
  <c r="BR64"/>
  <c r="AH60"/>
  <c r="AU60"/>
  <c r="O3"/>
  <c r="O58"/>
  <c r="O65"/>
  <c r="BJ3"/>
  <c r="BJ60"/>
  <c r="BJ58"/>
  <c r="M37"/>
  <c r="L9"/>
  <c r="BO7"/>
  <c r="BO8"/>
  <c r="BO23"/>
  <c r="BO60"/>
  <c r="AS56"/>
  <c r="AS64"/>
  <c r="AC2"/>
  <c r="AC60"/>
  <c r="BB60"/>
  <c r="AL56"/>
  <c r="AL63"/>
  <c r="V54"/>
  <c r="V63"/>
  <c r="BT6"/>
  <c r="BP5"/>
  <c r="BP60"/>
  <c r="P56"/>
  <c r="AV57"/>
  <c r="BT21"/>
  <c r="BT66"/>
  <c r="BT32"/>
  <c r="S59"/>
  <c r="S16"/>
  <c r="P58"/>
  <c r="V64"/>
  <c r="BT37"/>
  <c r="BP42"/>
  <c r="BT64"/>
  <c r="AR53"/>
  <c r="AA66"/>
  <c r="BR14"/>
  <c r="AI63"/>
  <c r="BU49"/>
  <c r="BR29"/>
  <c r="BQ61"/>
  <c r="AP53"/>
  <c r="BG53"/>
  <c r="AA56"/>
  <c r="BM14"/>
  <c r="P62"/>
  <c r="BN33"/>
  <c r="AX64"/>
  <c r="X66"/>
  <c r="AB66"/>
  <c r="W61"/>
  <c r="Q55"/>
  <c r="BP24"/>
  <c r="AK66"/>
  <c r="BV15"/>
  <c r="BU63"/>
  <c r="BC57"/>
  <c r="AY59"/>
  <c r="BQ10"/>
  <c r="R65"/>
  <c r="BU35"/>
  <c r="L14"/>
  <c r="BN65"/>
  <c r="BU17"/>
  <c r="BW61"/>
  <c r="BF65"/>
  <c r="AO55"/>
  <c r="BR55"/>
  <c r="BN51"/>
  <c r="AE61"/>
  <c r="BX28"/>
  <c r="P66"/>
  <c r="BT50"/>
  <c r="P53"/>
  <c r="BN46"/>
  <c r="AX62"/>
  <c r="X60"/>
  <c r="AB60"/>
  <c r="BL14"/>
  <c r="AG53"/>
  <c r="W64"/>
  <c r="Y55"/>
  <c r="BV24"/>
  <c r="AK56"/>
  <c r="AI61"/>
  <c r="BM52"/>
  <c r="BR15"/>
  <c r="BU66"/>
  <c r="BO41"/>
  <c r="BC60"/>
  <c r="AY66"/>
  <c r="BO10"/>
  <c r="S57"/>
  <c r="BS15"/>
  <c r="BS29"/>
  <c r="BC63"/>
  <c r="BQ24"/>
  <c r="BQ55"/>
  <c r="AG54"/>
  <c r="AP61"/>
  <c r="BD61"/>
  <c r="BD55"/>
  <c r="W58"/>
  <c r="BU14"/>
  <c r="BU28"/>
  <c r="BU42"/>
  <c r="BU56"/>
  <c r="M42"/>
  <c r="BW10"/>
  <c r="BG61"/>
  <c r="BV14"/>
  <c r="AK63"/>
  <c r="AD53"/>
  <c r="AA59"/>
  <c r="BE55"/>
  <c r="X56"/>
  <c r="BK10"/>
  <c r="BF62"/>
  <c r="AX53"/>
  <c r="R62"/>
  <c r="BN26"/>
  <c r="BN30"/>
  <c r="BN48"/>
  <c r="BN62"/>
  <c r="AB53"/>
  <c r="BX18"/>
  <c r="BT20"/>
  <c r="BT52"/>
  <c r="AY2"/>
  <c r="AI3"/>
  <c r="BC53"/>
  <c r="AG60"/>
  <c r="BH53"/>
  <c r="AM55"/>
  <c r="W54"/>
  <c r="BU8"/>
  <c r="BU18"/>
  <c r="BU33"/>
  <c r="BU53"/>
  <c r="BW12"/>
  <c r="BW26"/>
  <c r="BW52"/>
  <c r="AK65"/>
  <c r="BM15"/>
  <c r="X63"/>
  <c r="BK42"/>
  <c r="BF64"/>
  <c r="BR41"/>
  <c r="AX65"/>
  <c r="R64"/>
  <c r="BN13"/>
  <c r="BN27"/>
  <c r="BN41"/>
  <c r="BN64"/>
  <c r="AU61"/>
  <c r="O61"/>
  <c r="BJ53"/>
  <c r="AB63"/>
  <c r="L12"/>
  <c r="S12" s="1"/>
  <c r="BL53"/>
  <c r="BX60"/>
  <c r="BB53"/>
  <c r="AY56"/>
  <c r="S60"/>
  <c r="L10"/>
  <c r="BS20"/>
  <c r="BS47"/>
  <c r="W2"/>
  <c r="BU16"/>
  <c r="BU39"/>
  <c r="BU43"/>
  <c r="BW53"/>
  <c r="BV41"/>
  <c r="BM42"/>
  <c r="AT53"/>
  <c r="BR42"/>
  <c r="AH53"/>
  <c r="R53"/>
  <c r="BN3"/>
  <c r="BN14"/>
  <c r="BN32"/>
  <c r="BO53"/>
  <c r="BX46"/>
  <c r="BO33"/>
  <c r="BX11"/>
  <c r="BX29"/>
  <c r="BX39"/>
  <c r="BX66"/>
  <c r="AL53"/>
  <c r="BT12"/>
  <c r="AV53"/>
  <c r="BX3"/>
  <c r="BX20"/>
  <c r="BX38"/>
  <c r="BX48"/>
  <c r="BP53"/>
  <c r="BX22"/>
  <c r="BX41"/>
  <c r="BX45"/>
  <c r="V53"/>
  <c r="P61"/>
  <c r="BT54"/>
  <c r="AF66"/>
  <c r="BX64"/>
  <c r="BN66"/>
  <c r="AC53"/>
  <c r="BL29"/>
  <c r="BF66"/>
  <c r="AX66"/>
  <c r="AA60"/>
  <c r="X64"/>
  <c r="AB64"/>
  <c r="BQ42"/>
  <c r="BO14"/>
  <c r="AG58"/>
  <c r="W65"/>
  <c r="AV55"/>
  <c r="BL24"/>
  <c r="AK54"/>
  <c r="AI65"/>
  <c r="BO52"/>
  <c r="BP15"/>
  <c r="BU54"/>
  <c r="BW41"/>
  <c r="BC64"/>
  <c r="AY60"/>
  <c r="BS10"/>
  <c r="S61"/>
  <c r="L55"/>
  <c r="M24"/>
  <c r="BS42"/>
  <c r="BC3"/>
  <c r="BC59"/>
  <c r="BC66"/>
  <c r="BC56"/>
  <c r="BQ15"/>
  <c r="BQ20"/>
  <c r="BQ41"/>
  <c r="BQ33"/>
  <c r="BQ47"/>
  <c r="AW53"/>
  <c r="AG3"/>
  <c r="AG55"/>
  <c r="AG65"/>
  <c r="AG63"/>
  <c r="AG66"/>
  <c r="Q61"/>
  <c r="AM61"/>
  <c r="W53"/>
  <c r="W63"/>
  <c r="W57"/>
  <c r="W60"/>
  <c r="BU3"/>
  <c r="BU10"/>
  <c r="BU13"/>
  <c r="BU12"/>
  <c r="BU15"/>
  <c r="BU24"/>
  <c r="BU31"/>
  <c r="BU36"/>
  <c r="BU29"/>
  <c r="BU38"/>
  <c r="BU45"/>
  <c r="BU55"/>
  <c r="BU52"/>
  <c r="BU65"/>
  <c r="BU59"/>
  <c r="BU62"/>
  <c r="AZ53"/>
  <c r="AJ53"/>
  <c r="T53"/>
  <c r="L42"/>
  <c r="M14"/>
  <c r="BW24"/>
  <c r="BW42"/>
  <c r="BW47"/>
  <c r="BV12"/>
  <c r="BV10"/>
  <c r="BV53"/>
  <c r="BV47"/>
  <c r="BV61"/>
  <c r="BA55"/>
  <c r="BA61"/>
  <c r="AK55"/>
  <c r="AK61"/>
  <c r="AK59"/>
  <c r="AK62"/>
  <c r="U55"/>
  <c r="U61"/>
  <c r="BM10"/>
  <c r="BM24"/>
  <c r="BM41"/>
  <c r="BM47"/>
  <c r="BM61"/>
  <c r="AT61"/>
  <c r="AD61"/>
  <c r="BI53"/>
  <c r="AQ55"/>
  <c r="AA55"/>
  <c r="AA62"/>
  <c r="AA65"/>
  <c r="BE61"/>
  <c r="AN53"/>
  <c r="X53"/>
  <c r="X62"/>
  <c r="X65"/>
  <c r="X59"/>
  <c r="BK24"/>
  <c r="BK33"/>
  <c r="BK47"/>
  <c r="BK41"/>
  <c r="BK55"/>
  <c r="BF53"/>
  <c r="BF60"/>
  <c r="BF58"/>
  <c r="BF61"/>
  <c r="AO61"/>
  <c r="Y61"/>
  <c r="BR12"/>
  <c r="BR10"/>
  <c r="BR53"/>
  <c r="BR61"/>
  <c r="AX55"/>
  <c r="AX60"/>
  <c r="AX58"/>
  <c r="AX61"/>
  <c r="AH55"/>
  <c r="AH61"/>
  <c r="R55"/>
  <c r="R60"/>
  <c r="R58"/>
  <c r="R61"/>
  <c r="BN7"/>
  <c r="BN9"/>
  <c r="BN21"/>
  <c r="BN22"/>
  <c r="BN10"/>
  <c r="BN23"/>
  <c r="BN40"/>
  <c r="BN29"/>
  <c r="BN28"/>
  <c r="BN37"/>
  <c r="BN44"/>
  <c r="BN47"/>
  <c r="BN42"/>
  <c r="BN60"/>
  <c r="BN58"/>
  <c r="BN61"/>
  <c r="AU53"/>
  <c r="AE53"/>
  <c r="O53"/>
  <c r="BJ61"/>
  <c r="AB56"/>
  <c r="AB62"/>
  <c r="AB65"/>
  <c r="AB59"/>
  <c r="BO24"/>
  <c r="BO29"/>
  <c r="BO55"/>
  <c r="M12"/>
  <c r="BL12"/>
  <c r="BL26"/>
  <c r="BL41"/>
  <c r="BL52"/>
  <c r="AS55"/>
  <c r="AS61"/>
  <c r="AC55"/>
  <c r="AC61"/>
  <c r="BX2"/>
  <c r="BX7"/>
  <c r="BX14"/>
  <c r="BX19"/>
  <c r="BX16"/>
  <c r="BX25"/>
  <c r="BX42"/>
  <c r="BX40"/>
  <c r="BX35"/>
  <c r="BX34"/>
  <c r="BX51"/>
  <c r="BX56"/>
  <c r="BX44"/>
  <c r="BX62"/>
  <c r="BX65"/>
  <c r="BX59"/>
  <c r="BB61"/>
  <c r="AL61"/>
  <c r="V61"/>
  <c r="BT14"/>
  <c r="BT26"/>
  <c r="BT41"/>
  <c r="BT53"/>
  <c r="AY55"/>
  <c r="AY62"/>
  <c r="AY65"/>
  <c r="AI2"/>
  <c r="AI59"/>
  <c r="AI57"/>
  <c r="AI60"/>
  <c r="S55"/>
  <c r="S66"/>
  <c r="S56"/>
  <c r="BP20"/>
  <c r="BP12"/>
  <c r="BP52"/>
  <c r="BP61"/>
  <c r="AV61"/>
  <c r="AF53"/>
  <c r="AF61"/>
  <c r="M55"/>
  <c r="L24"/>
  <c r="BS14"/>
  <c r="BS24"/>
  <c r="BS52"/>
  <c r="BS41"/>
  <c r="BS55"/>
  <c r="BC2"/>
  <c r="BC55"/>
  <c r="BC62"/>
  <c r="BC65"/>
  <c r="BQ26"/>
  <c r="BQ29"/>
  <c r="BQ53"/>
  <c r="AW55"/>
  <c r="AG56"/>
  <c r="AG61"/>
  <c r="AG59"/>
  <c r="AG62"/>
  <c r="BH61"/>
  <c r="BH55"/>
  <c r="Z55"/>
  <c r="AM53"/>
  <c r="W44"/>
  <c r="W59"/>
  <c r="W66"/>
  <c r="W56"/>
  <c r="BU9"/>
  <c r="BU6"/>
  <c r="BU22"/>
  <c r="BU26"/>
  <c r="BU11"/>
  <c r="BU20"/>
  <c r="BU27"/>
  <c r="BU34"/>
  <c r="BU25"/>
  <c r="BU40"/>
  <c r="BU50"/>
  <c r="BU48"/>
  <c r="BU51"/>
  <c r="BU61"/>
  <c r="BU64"/>
  <c r="BU58"/>
  <c r="AZ61"/>
  <c r="AZ55"/>
  <c r="AJ61"/>
  <c r="AJ55"/>
  <c r="T61"/>
  <c r="T55"/>
  <c r="L52"/>
  <c r="M15"/>
  <c r="BW20"/>
  <c r="BW33"/>
  <c r="BV26"/>
  <c r="BV33"/>
  <c r="BV55"/>
  <c r="BV42"/>
  <c r="AK2"/>
  <c r="AK57"/>
  <c r="AK64"/>
  <c r="AK58"/>
  <c r="BM12"/>
  <c r="BM20"/>
  <c r="BM33"/>
  <c r="AQ53"/>
  <c r="AQ61"/>
  <c r="AA53"/>
  <c r="AA58"/>
  <c r="AA61"/>
  <c r="AA64"/>
  <c r="AN61"/>
  <c r="AN55"/>
  <c r="X58"/>
  <c r="X61"/>
  <c r="X55"/>
  <c r="L61"/>
  <c r="M53"/>
  <c r="M29"/>
  <c r="M20"/>
  <c r="BK12"/>
  <c r="BK20"/>
  <c r="BK26"/>
  <c r="BK29"/>
  <c r="BK53"/>
  <c r="BK61"/>
  <c r="BF3"/>
  <c r="BF56"/>
  <c r="BF63"/>
  <c r="BF57"/>
  <c r="BR20"/>
  <c r="BR26"/>
  <c r="BR24"/>
  <c r="BR47"/>
  <c r="AX3"/>
  <c r="AX56"/>
  <c r="AX63"/>
  <c r="AX57"/>
  <c r="R2"/>
  <c r="R56"/>
  <c r="R63"/>
  <c r="R57"/>
  <c r="BN2"/>
  <c r="BN5"/>
  <c r="BN18"/>
  <c r="BN16"/>
  <c r="BN15"/>
  <c r="BN19"/>
  <c r="BN35"/>
  <c r="BN43"/>
  <c r="BN24"/>
  <c r="BN39"/>
  <c r="BN49"/>
  <c r="BN55"/>
  <c r="BN54"/>
  <c r="BN56"/>
  <c r="BN63"/>
  <c r="BN57"/>
  <c r="AR61"/>
  <c r="AR55"/>
  <c r="AB58"/>
  <c r="AB61"/>
  <c r="AB55"/>
  <c r="M47"/>
  <c r="M33"/>
  <c r="L26"/>
  <c r="BO12"/>
  <c r="BO20"/>
  <c r="BO26"/>
  <c r="BO42"/>
  <c r="BO47"/>
  <c r="BO61"/>
  <c r="BL10"/>
  <c r="BL20"/>
  <c r="BL33"/>
  <c r="BL42"/>
  <c r="BL47"/>
  <c r="BL61"/>
  <c r="BL55"/>
  <c r="BX10"/>
  <c r="BX6"/>
  <c r="BX24"/>
  <c r="BX17"/>
  <c r="BX12"/>
  <c r="BX21"/>
  <c r="BX36"/>
  <c r="BX37"/>
  <c r="BX31"/>
  <c r="BX30"/>
  <c r="BX47"/>
  <c r="BX52"/>
  <c r="BX53"/>
  <c r="BX58"/>
  <c r="BX61"/>
  <c r="BX55"/>
  <c r="BB42"/>
  <c r="BT10"/>
  <c r="BT24"/>
  <c r="BT42"/>
  <c r="BT47"/>
  <c r="AY53"/>
  <c r="AY58"/>
  <c r="AY61"/>
  <c r="AY64"/>
  <c r="AI55"/>
  <c r="AI66"/>
  <c r="AI56"/>
  <c r="S53"/>
  <c r="S58"/>
  <c r="S65"/>
  <c r="BP10"/>
  <c r="BP14"/>
  <c r="BP29"/>
  <c r="BP41"/>
  <c r="BP55"/>
  <c r="AF55"/>
  <c r="P55"/>
  <c r="L41"/>
  <c r="M10"/>
  <c r="BS12"/>
  <c r="BS26"/>
  <c r="BS33"/>
  <c r="BS53"/>
  <c r="BS61"/>
  <c r="BC54"/>
  <c r="BC58"/>
  <c r="BC61"/>
  <c r="BQ14"/>
  <c r="BQ52"/>
  <c r="AW61"/>
  <c r="AG44"/>
  <c r="AG57"/>
  <c r="AG64"/>
  <c r="Q53"/>
  <c r="AP55"/>
  <c r="Z53"/>
  <c r="Z61"/>
  <c r="BD53"/>
  <c r="W3"/>
  <c r="W55"/>
  <c r="W62"/>
  <c r="BU5"/>
  <c r="BU2"/>
  <c r="BU19"/>
  <c r="BU23"/>
  <c r="BU7"/>
  <c r="BU21"/>
  <c r="BU32"/>
  <c r="BU30"/>
  <c r="BU41"/>
  <c r="BU37"/>
  <c r="BU46"/>
  <c r="BU44"/>
  <c r="BU47"/>
  <c r="BU57"/>
  <c r="BU60"/>
  <c r="M52"/>
  <c r="L15"/>
  <c r="BW15"/>
  <c r="BW14"/>
  <c r="BW29"/>
  <c r="BW55"/>
  <c r="BG55"/>
  <c r="BV20"/>
  <c r="BV29"/>
  <c r="BV52"/>
  <c r="BA53"/>
  <c r="AK3"/>
  <c r="AK53"/>
  <c r="AK60"/>
  <c r="U53"/>
  <c r="BM26"/>
  <c r="BM29"/>
  <c r="BM55"/>
  <c r="BM53"/>
  <c r="AT55"/>
  <c r="AD55"/>
  <c r="BI55"/>
  <c r="BI61"/>
  <c r="AA54"/>
  <c r="AA63"/>
  <c r="AA57"/>
  <c r="BE53"/>
  <c r="X54"/>
  <c r="X57"/>
  <c r="M61"/>
  <c r="L53"/>
  <c r="L29"/>
  <c r="BK15"/>
  <c r="BK14"/>
  <c r="BK52"/>
  <c r="BF2"/>
  <c r="BF54"/>
  <c r="BF59"/>
  <c r="AO53"/>
  <c r="Y53"/>
  <c r="BR33"/>
  <c r="BR52"/>
  <c r="AX2"/>
  <c r="AX54"/>
  <c r="AX59"/>
  <c r="R3"/>
  <c r="R54"/>
  <c r="R59"/>
  <c r="R66"/>
  <c r="BN8"/>
  <c r="BN6"/>
  <c r="BN17"/>
  <c r="BN12"/>
  <c r="BN11"/>
  <c r="BN20"/>
  <c r="BN31"/>
  <c r="BN34"/>
  <c r="BN38"/>
  <c r="BN36"/>
  <c r="BN45"/>
  <c r="BN52"/>
  <c r="BN53"/>
  <c r="BN50"/>
  <c r="BN59"/>
  <c r="AU55"/>
  <c r="AE55"/>
  <c r="O55"/>
  <c r="BJ55"/>
  <c r="AB54"/>
  <c r="AB57"/>
  <c r="L47"/>
  <c r="L33"/>
  <c r="M26"/>
  <c r="BO15"/>
  <c r="BL15"/>
  <c r="AS53"/>
  <c r="BX9"/>
  <c r="BX5"/>
  <c r="BX15"/>
  <c r="BX13"/>
  <c r="BX8"/>
  <c r="BX23"/>
  <c r="BX33"/>
  <c r="BX32"/>
  <c r="BX27"/>
  <c r="BX26"/>
  <c r="BX43"/>
  <c r="BX50"/>
  <c r="BX49"/>
  <c r="BX54"/>
  <c r="BX57"/>
  <c r="BB55"/>
  <c r="AL55"/>
  <c r="V55"/>
  <c r="BT15"/>
  <c r="BT33"/>
  <c r="BT55"/>
  <c r="AY3"/>
  <c r="AY63"/>
  <c r="AY57"/>
  <c r="AI53"/>
  <c r="AI58"/>
  <c r="S63"/>
  <c r="AI62"/>
  <c r="S64"/>
  <c r="AI64"/>
  <c r="S62"/>
  <c r="P54"/>
  <c r="AY54"/>
  <c r="AI54"/>
  <c r="S54"/>
  <c r="AV54"/>
  <c r="BP54"/>
  <c r="AV62"/>
  <c r="AF62"/>
  <c r="BT62"/>
  <c r="AV60"/>
  <c r="BP64"/>
  <c r="AV64"/>
  <c r="AF64"/>
  <c r="Z16"/>
  <c r="W16"/>
  <c r="R16"/>
  <c r="T15"/>
  <c r="W14"/>
  <c r="AJ44"/>
  <c r="X12"/>
  <c r="Q14"/>
  <c r="Q16"/>
  <c r="T16"/>
  <c r="U16"/>
  <c r="Y16"/>
  <c r="O16"/>
  <c r="Q15"/>
  <c r="Q12"/>
  <c r="W9"/>
  <c r="W15"/>
  <c r="T12"/>
  <c r="U12"/>
  <c r="O12"/>
  <c r="X16"/>
  <c r="R12"/>
  <c r="AZ44"/>
  <c r="P15"/>
  <c r="X5"/>
  <c r="V5"/>
  <c r="V8"/>
  <c r="P44"/>
  <c r="V14"/>
  <c r="V6"/>
  <c r="Z14"/>
  <c r="Y5"/>
  <c r="Z12"/>
  <c r="X9"/>
  <c r="X10"/>
  <c r="Y7"/>
  <c r="T44"/>
  <c r="T14"/>
  <c r="V13"/>
  <c r="R13"/>
  <c r="S13"/>
  <c r="U13"/>
  <c r="W13"/>
  <c r="P13"/>
  <c r="T13"/>
  <c r="O13"/>
  <c r="Q13"/>
  <c r="Z8"/>
  <c r="Z9"/>
  <c r="Z15"/>
  <c r="Z10"/>
  <c r="W8"/>
  <c r="U14"/>
  <c r="X6"/>
  <c r="X11"/>
  <c r="Y8"/>
  <c r="AL8" s="1"/>
  <c r="Y14"/>
  <c r="Y13"/>
  <c r="Y12"/>
  <c r="Y15"/>
  <c r="Y28" s="1"/>
  <c r="AE8"/>
  <c r="AE15"/>
  <c r="O15"/>
  <c r="BB13"/>
  <c r="BB16"/>
  <c r="BB15"/>
  <c r="BB14"/>
  <c r="BB27"/>
  <c r="BB39"/>
  <c r="BB29"/>
  <c r="BB32"/>
  <c r="BB41"/>
  <c r="BB44"/>
  <c r="AL28"/>
  <c r="V9"/>
  <c r="V16"/>
  <c r="V11"/>
  <c r="V10"/>
  <c r="S15"/>
  <c r="P14"/>
  <c r="AE14" s="1"/>
  <c r="P16"/>
  <c r="Z6"/>
  <c r="Z5"/>
  <c r="Z11"/>
  <c r="W10"/>
  <c r="W11"/>
  <c r="AK44"/>
  <c r="U15"/>
  <c r="U44"/>
  <c r="AT44"/>
  <c r="AD44"/>
  <c r="AQ44"/>
  <c r="AA44"/>
  <c r="X7"/>
  <c r="X14"/>
  <c r="X13"/>
  <c r="X8"/>
  <c r="Y10"/>
  <c r="Y11"/>
  <c r="AX44"/>
  <c r="R15"/>
  <c r="O14"/>
  <c r="AC44"/>
  <c r="BB9"/>
  <c r="BB12"/>
  <c r="BB11"/>
  <c r="BB10"/>
  <c r="BB23"/>
  <c r="BB36"/>
  <c r="BB40"/>
  <c r="BB28"/>
  <c r="BB37"/>
  <c r="AL44"/>
  <c r="V12"/>
  <c r="V44"/>
  <c r="P12"/>
  <c r="P21"/>
  <c r="Z7"/>
  <c r="W5"/>
  <c r="W7"/>
  <c r="BA44"/>
  <c r="AN44"/>
  <c r="BC44" s="1"/>
  <c r="X44"/>
  <c r="AO44"/>
  <c r="Y9"/>
  <c r="Y6"/>
  <c r="Y21" s="1"/>
  <c r="AE16"/>
  <c r="O44"/>
  <c r="AR44"/>
  <c r="AB44"/>
  <c r="AS44"/>
  <c r="BB7"/>
  <c r="BB5"/>
  <c r="BB20"/>
  <c r="BB21"/>
  <c r="BB26"/>
  <c r="BB19"/>
  <c r="BB35"/>
  <c r="BB34"/>
  <c r="BB24"/>
  <c r="BB43"/>
  <c r="V7"/>
  <c r="S14"/>
  <c r="Z13"/>
  <c r="AL13" s="1"/>
  <c r="W6"/>
  <c r="W12"/>
  <c r="X15"/>
  <c r="Y44"/>
  <c r="AH44"/>
  <c r="R14"/>
  <c r="AL14" s="1"/>
  <c r="R44"/>
  <c r="AU44"/>
  <c r="AE44"/>
  <c r="BB6"/>
  <c r="BB8"/>
  <c r="BB17"/>
  <c r="BB18"/>
  <c r="BB25"/>
  <c r="BB31"/>
  <c r="BB46" s="1"/>
  <c r="BB30"/>
  <c r="BB33"/>
  <c r="BB38"/>
  <c r="V15"/>
  <c r="AY44"/>
  <c r="AI44"/>
  <c r="S44"/>
  <c r="AV44"/>
  <c r="AF44"/>
  <c r="O5" l="1"/>
  <c r="P5" s="1"/>
  <c r="T10" s="1"/>
  <c r="P10"/>
  <c r="T5"/>
  <c r="T6"/>
  <c r="O10"/>
  <c r="AE7"/>
  <c r="AE5"/>
  <c r="AE6"/>
  <c r="Q28"/>
  <c r="Q21"/>
  <c r="AL15"/>
  <c r="R28"/>
  <c r="AE10"/>
  <c r="BB47"/>
  <c r="BB45"/>
  <c r="S28"/>
  <c r="Z21"/>
  <c r="T21"/>
  <c r="AE13"/>
  <c r="AE11"/>
  <c r="V21"/>
  <c r="AL21" s="1"/>
  <c r="AE21"/>
  <c r="Z28"/>
  <c r="BB50"/>
  <c r="AL10"/>
  <c r="AL11"/>
  <c r="S21"/>
  <c r="AL9"/>
  <c r="AE12"/>
  <c r="W21"/>
  <c r="O21"/>
  <c r="X21"/>
  <c r="AL7"/>
  <c r="BE44"/>
  <c r="AL16"/>
  <c r="AL6"/>
  <c r="P28"/>
  <c r="W28"/>
  <c r="AL12"/>
  <c r="U28"/>
  <c r="BD44"/>
  <c r="BF44" s="1"/>
  <c r="BG44" s="1"/>
  <c r="X28"/>
  <c r="T28"/>
  <c r="O28"/>
  <c r="BH44"/>
  <c r="AE28"/>
  <c r="V28"/>
  <c r="AL5"/>
  <c r="BB48"/>
  <c r="O6" l="1"/>
  <c r="O7" s="1"/>
  <c r="O8" s="1"/>
  <c r="P6"/>
  <c r="P7" s="1"/>
  <c r="P8" s="1"/>
  <c r="P9" s="1"/>
  <c r="AE9" s="1"/>
  <c r="Q7"/>
  <c r="Q5"/>
  <c r="R5" s="1"/>
  <c r="Q10"/>
  <c r="P11"/>
  <c r="T7"/>
  <c r="BI44"/>
  <c r="BJ44" s="1"/>
  <c r="BB49"/>
  <c r="BB51" s="1"/>
  <c r="BB52" s="1"/>
  <c r="Q6" l="1"/>
  <c r="R6" s="1"/>
  <c r="S6" s="1"/>
  <c r="U6" s="1"/>
  <c r="R7"/>
  <c r="S7" s="1"/>
  <c r="Q11"/>
  <c r="T8"/>
  <c r="S5"/>
  <c r="R10"/>
  <c r="U7"/>
  <c r="U21" s="1"/>
  <c r="R21"/>
  <c r="S9"/>
  <c r="O9"/>
  <c r="S30"/>
  <c r="Q8" l="1"/>
  <c r="Q9" s="1"/>
  <c r="R8"/>
  <c r="S8" s="1"/>
  <c r="U8"/>
  <c r="U5"/>
  <c r="S10"/>
  <c r="T9"/>
  <c r="O11"/>
  <c r="R11"/>
  <c r="AN12"/>
  <c r="AN16"/>
  <c r="AE30"/>
  <c r="R30"/>
  <c r="AN8"/>
  <c r="AN9"/>
  <c r="P30"/>
  <c r="AN5"/>
  <c r="W30"/>
  <c r="X30"/>
  <c r="Q30"/>
  <c r="AN6"/>
  <c r="O30"/>
  <c r="AU6"/>
  <c r="R9" l="1"/>
  <c r="S11"/>
  <c r="U11"/>
  <c r="U10"/>
  <c r="U9"/>
  <c r="T11"/>
  <c r="W46"/>
  <c r="P45"/>
  <c r="BD6"/>
  <c r="AU16"/>
  <c r="AU37"/>
  <c r="AE37"/>
  <c r="AU8"/>
  <c r="P37"/>
  <c r="Q37"/>
  <c r="X37"/>
  <c r="BC6"/>
  <c r="R37"/>
  <c r="P47" l="1"/>
  <c r="Q46"/>
  <c r="X45"/>
  <c r="O45"/>
  <c r="R46"/>
  <c r="AE47"/>
  <c r="AG16"/>
  <c r="BD8"/>
  <c r="R45"/>
  <c r="Q45"/>
  <c r="BD5"/>
  <c r="BC8"/>
  <c r="P46"/>
  <c r="BE8" l="1"/>
  <c r="BC16"/>
  <c r="R23"/>
  <c r="BE16"/>
  <c r="AE46"/>
  <c r="X23"/>
  <c r="BD16"/>
  <c r="Q23"/>
  <c r="W45"/>
  <c r="BC5"/>
  <c r="O23"/>
  <c r="R47" l="1"/>
  <c r="AG5"/>
  <c r="BE5"/>
  <c r="W23"/>
  <c r="BE41"/>
  <c r="Q47"/>
  <c r="W47" l="1"/>
  <c r="O37"/>
  <c r="AQ47"/>
  <c r="BA47"/>
  <c r="BE43"/>
  <c r="AG23" l="1"/>
  <c r="AD45"/>
  <c r="BC7"/>
  <c r="BD19"/>
  <c r="BD17"/>
  <c r="BE26"/>
  <c r="U23"/>
  <c r="AU7"/>
  <c r="BC9"/>
  <c r="BD21"/>
  <c r="BC26"/>
  <c r="U30"/>
  <c r="V23"/>
  <c r="AR45"/>
  <c r="AN10"/>
  <c r="AU11"/>
  <c r="AQ45"/>
  <c r="AU14"/>
  <c r="AG11"/>
  <c r="AT46"/>
  <c r="AN15"/>
  <c r="BC40"/>
  <c r="AD47"/>
  <c r="Z47"/>
  <c r="T37"/>
  <c r="AZ46"/>
  <c r="T23"/>
  <c r="AN28"/>
  <c r="AU15"/>
  <c r="AU9"/>
  <c r="V37"/>
  <c r="BE7"/>
  <c r="BC11"/>
  <c r="V30"/>
  <c r="AZ45"/>
  <c r="AN14"/>
  <c r="BC41"/>
  <c r="BC22"/>
  <c r="BE42"/>
  <c r="BC10"/>
  <c r="BD42"/>
  <c r="AG10"/>
  <c r="T30"/>
  <c r="BA45"/>
  <c r="BE13"/>
  <c r="AU10"/>
  <c r="AY45"/>
  <c r="BC42"/>
  <c r="Y30"/>
  <c r="Z30"/>
  <c r="AN13"/>
  <c r="AC46"/>
  <c r="Z37" l="1"/>
  <c r="BD13"/>
  <c r="Y23"/>
  <c r="T47"/>
  <c r="BE10"/>
  <c r="Z46"/>
  <c r="U45"/>
  <c r="T45"/>
  <c r="U46"/>
  <c r="BD11"/>
  <c r="V47"/>
  <c r="BD10"/>
  <c r="V45"/>
  <c r="V46"/>
  <c r="T46"/>
  <c r="AA47"/>
  <c r="Y37"/>
  <c r="U47"/>
  <c r="BE22"/>
  <c r="BD26"/>
  <c r="BD9"/>
  <c r="BC15"/>
  <c r="BC14"/>
  <c r="AG30"/>
  <c r="BE35"/>
  <c r="AL37"/>
  <c r="AG37"/>
  <c r="AU28"/>
  <c r="AA45"/>
  <c r="AG9"/>
  <c r="BC35"/>
  <c r="BC33"/>
  <c r="BD15"/>
  <c r="AC47"/>
  <c r="AW46"/>
  <c r="AN23"/>
  <c r="BD25"/>
  <c r="AI46"/>
  <c r="Z45"/>
  <c r="BC13"/>
  <c r="Y45"/>
  <c r="BE33"/>
  <c r="BE11"/>
  <c r="BD7"/>
  <c r="BD38"/>
  <c r="R41" l="1"/>
  <c r="AF37"/>
  <c r="AY37" s="1"/>
  <c r="AY16"/>
  <c r="AG14"/>
  <c r="AG13"/>
  <c r="AG15"/>
  <c r="BE30"/>
  <c r="AG45"/>
  <c r="BE29"/>
  <c r="AP46"/>
  <c r="BD46"/>
  <c r="BC30"/>
  <c r="AM45"/>
  <c r="AK46"/>
  <c r="AF47"/>
  <c r="AM46"/>
  <c r="BE9"/>
  <c r="AC45"/>
  <c r="AU30"/>
  <c r="AL46"/>
  <c r="AS45"/>
  <c r="BD14"/>
  <c r="AB45"/>
  <c r="AB47"/>
  <c r="BE19"/>
  <c r="AF45"/>
  <c r="AH37"/>
  <c r="BE37"/>
  <c r="BC17"/>
  <c r="AU47"/>
  <c r="BA16" l="1"/>
  <c r="BE14"/>
  <c r="BA37"/>
  <c r="BE15"/>
  <c r="AO47"/>
  <c r="AG46"/>
  <c r="BE31"/>
  <c r="AU45"/>
  <c r="AN37"/>
  <c r="BC18"/>
  <c r="AY47"/>
  <c r="AW47"/>
  <c r="BE39"/>
  <c r="BE45"/>
  <c r="BC45"/>
  <c r="AN45"/>
  <c r="BC29"/>
  <c r="BE27"/>
  <c r="AW39"/>
  <c r="AW45"/>
  <c r="BC20" l="1"/>
  <c r="BD33"/>
  <c r="BD23"/>
  <c r="BD47" s="1"/>
  <c r="BD31"/>
  <c r="BD29"/>
  <c r="AO45"/>
  <c r="BE24"/>
  <c r="AG47"/>
  <c r="AD46"/>
  <c r="BD18"/>
  <c r="BC37"/>
  <c r="BC39"/>
  <c r="AH46"/>
  <c r="AU17" l="1"/>
  <c r="BE38"/>
  <c r="Z23"/>
  <c r="AU22"/>
  <c r="Z41"/>
  <c r="AU46"/>
  <c r="BD35"/>
  <c r="BC23"/>
  <c r="BD39"/>
  <c r="BE46"/>
  <c r="AN46"/>
  <c r="BC31"/>
  <c r="BD45"/>
  <c r="AL23" l="1"/>
  <c r="AL47" s="1"/>
  <c r="AY14"/>
  <c r="T41"/>
  <c r="AV47"/>
  <c r="AY10"/>
  <c r="Z43"/>
  <c r="AU23"/>
  <c r="AU43" s="1"/>
  <c r="BC46"/>
  <c r="BD32"/>
  <c r="BD48" s="1"/>
  <c r="AO46"/>
  <c r="AU18" l="1"/>
  <c r="AU38" s="1"/>
  <c r="Z38"/>
  <c r="U43"/>
  <c r="BC24"/>
  <c r="AS46"/>
  <c r="AN47"/>
  <c r="BE28"/>
  <c r="Y46"/>
  <c r="AR46"/>
  <c r="O46"/>
  <c r="AI47"/>
  <c r="AR47"/>
  <c r="BC47"/>
  <c r="AM47"/>
  <c r="AS47"/>
  <c r="S23"/>
  <c r="AH47"/>
  <c r="Y47"/>
  <c r="AK47"/>
  <c r="O47"/>
  <c r="X47"/>
  <c r="X46"/>
  <c r="BE23"/>
  <c r="BE12"/>
  <c r="BC12"/>
  <c r="BD12"/>
  <c r="S46"/>
  <c r="S45"/>
  <c r="S47"/>
  <c r="BE47"/>
  <c r="AP47" l="1"/>
  <c r="BG47" l="1"/>
  <c r="BE17"/>
  <c r="AN11" l="1"/>
  <c r="BE34"/>
  <c r="BE49" s="1"/>
  <c r="BC27"/>
  <c r="AT45"/>
  <c r="AN30"/>
  <c r="AT47"/>
  <c r="BE20"/>
  <c r="BC34"/>
  <c r="AN7"/>
  <c r="AG7"/>
  <c r="BE36"/>
  <c r="AG6"/>
  <c r="AL30"/>
  <c r="BE6"/>
  <c r="AE45"/>
  <c r="AN21"/>
  <c r="AL45"/>
  <c r="AX40"/>
  <c r="BC21"/>
  <c r="BC49" l="1"/>
  <c r="BD28"/>
  <c r="AF46"/>
  <c r="BD20" l="1"/>
  <c r="AU12"/>
  <c r="AG21"/>
  <c r="BC25"/>
  <c r="BC50" s="1"/>
  <c r="AZ47"/>
  <c r="S37"/>
  <c r="AX45"/>
  <c r="AG12"/>
  <c r="AX47"/>
  <c r="AY46" l="1"/>
  <c r="BF46"/>
  <c r="AI21"/>
  <c r="AE23"/>
  <c r="AX46"/>
  <c r="AZ42"/>
  <c r="AI12" l="1"/>
  <c r="BA24"/>
  <c r="AG43"/>
  <c r="S25"/>
  <c r="AB46"/>
  <c r="AB37"/>
  <c r="AQ46"/>
  <c r="S42" l="1"/>
  <c r="S40"/>
  <c r="AZ12"/>
  <c r="AX12"/>
  <c r="BG46"/>
  <c r="BA11"/>
  <c r="S39"/>
  <c r="O39"/>
  <c r="BI46"/>
  <c r="O43" l="1"/>
  <c r="AJ47"/>
  <c r="BH47" s="1"/>
  <c r="AK45"/>
  <c r="BD24"/>
  <c r="AP45"/>
  <c r="BE25"/>
  <c r="BE50" s="1"/>
  <c r="BD34"/>
  <c r="BD49" s="1"/>
  <c r="AA37"/>
  <c r="AH45"/>
  <c r="AA46"/>
  <c r="BD22"/>
  <c r="AJ45"/>
  <c r="AV45"/>
  <c r="AV46"/>
  <c r="BA46"/>
  <c r="BD41"/>
  <c r="BC36"/>
  <c r="BD27"/>
  <c r="X41"/>
  <c r="X39"/>
  <c r="BD50"/>
  <c r="BD52" s="1"/>
  <c r="BD51"/>
  <c r="BF47"/>
  <c r="BI47" s="1"/>
  <c r="BJ47"/>
  <c r="AI45"/>
  <c r="BH45" s="1"/>
  <c r="BF45"/>
  <c r="BE40"/>
  <c r="U41"/>
  <c r="BE21"/>
  <c r="AV37"/>
  <c r="BD43"/>
  <c r="BG45"/>
  <c r="BI45"/>
  <c r="AY5"/>
  <c r="BJ45"/>
  <c r="AX9" l="1"/>
  <c r="AZ9"/>
  <c r="U38"/>
  <c r="AN17"/>
  <c r="AN22"/>
  <c r="AN41" s="1"/>
  <c r="AI9"/>
  <c r="AY23" l="1"/>
  <c r="W38"/>
  <c r="AH39"/>
  <c r="AV5"/>
  <c r="AB39"/>
  <c r="U29"/>
  <c r="V39"/>
  <c r="U26" l="1"/>
  <c r="U22"/>
  <c r="U17" s="1"/>
  <c r="AW17" l="1"/>
  <c r="AJ46"/>
  <c r="BH46" s="1"/>
  <c r="BJ46" s="1"/>
  <c r="AI5" l="1"/>
  <c r="AI6"/>
  <c r="AC41"/>
  <c r="AV22"/>
  <c r="AP22" s="1"/>
  <c r="AH22" s="1"/>
  <c r="AV8"/>
  <c r="AP8" s="1"/>
  <c r="AH8" s="1"/>
  <c r="AA39"/>
  <c r="P23"/>
  <c r="Y38"/>
  <c r="Y32" s="1"/>
  <c r="Y24" s="1"/>
  <c r="Y18" s="1"/>
  <c r="AY6"/>
  <c r="Y41"/>
  <c r="P41"/>
  <c r="AM28"/>
  <c r="BC28"/>
  <c r="AX28"/>
  <c r="AY7"/>
  <c r="AL29"/>
  <c r="S41"/>
  <c r="Y43"/>
  <c r="BD36"/>
  <c r="Y50" l="1"/>
  <c r="O50"/>
  <c r="AJ12"/>
  <c r="AC12" s="1"/>
  <c r="AW12" s="1"/>
  <c r="AJ21"/>
  <c r="BH8"/>
  <c r="AG28"/>
  <c r="BA8"/>
  <c r="P50"/>
  <c r="AO37"/>
  <c r="AU31"/>
  <c r="AJ10"/>
  <c r="AM30"/>
  <c r="AG31"/>
  <c r="AG27" s="1"/>
  <c r="AE29"/>
  <c r="AM17"/>
  <c r="AS38"/>
  <c r="O41"/>
  <c r="AK37"/>
  <c r="AK31" s="1"/>
  <c r="AI16"/>
  <c r="AE42"/>
  <c r="AE40"/>
  <c r="AY20"/>
  <c r="AY42" s="1"/>
  <c r="AE39"/>
  <c r="AY19"/>
  <c r="AJ15"/>
  <c r="AT39"/>
  <c r="AX11"/>
  <c r="AZ11"/>
  <c r="AU27"/>
  <c r="Z25"/>
  <c r="AD39"/>
  <c r="AZ19"/>
  <c r="AF30"/>
  <c r="AY30" s="1"/>
  <c r="AY11"/>
  <c r="AV39"/>
  <c r="AM23"/>
  <c r="BH7"/>
  <c r="AK30"/>
  <c r="AI10"/>
  <c r="AM16"/>
  <c r="AF16" s="1"/>
  <c r="AA16" s="1"/>
  <c r="AS37"/>
  <c r="AO23"/>
  <c r="AD31"/>
  <c r="AZ36"/>
  <c r="AU36" s="1"/>
  <c r="AO31" s="1"/>
  <c r="AX36"/>
  <c r="AE31"/>
  <c r="AG29"/>
  <c r="AO17"/>
  <c r="AZ16"/>
  <c r="AX16"/>
  <c r="AD37"/>
  <c r="AX37" s="1"/>
  <c r="T40"/>
  <c r="T42"/>
  <c r="BH15"/>
  <c r="AZ7"/>
  <c r="AX7"/>
  <c r="AX24"/>
  <c r="AZ24"/>
  <c r="Z40"/>
  <c r="AU20"/>
  <c r="Z42"/>
  <c r="AA30"/>
  <c r="AV11"/>
  <c r="AP11" s="1"/>
  <c r="AY21"/>
  <c r="AF41"/>
  <c r="AY41"/>
  <c r="AG38"/>
  <c r="BA17"/>
  <c r="AX10"/>
  <c r="AZ10"/>
  <c r="AD30"/>
  <c r="AW10"/>
  <c r="AC30"/>
  <c r="AW30" s="1"/>
  <c r="T25"/>
  <c r="BH27"/>
  <c r="AJ14"/>
  <c r="T26"/>
  <c r="AN29"/>
  <c r="AJ26" s="1"/>
  <c r="T39"/>
  <c r="AN19"/>
  <c r="AG42"/>
  <c r="AG40"/>
  <c r="AD40"/>
  <c r="AD42"/>
  <c r="AX20"/>
  <c r="AZ20"/>
  <c r="AZ15"/>
  <c r="AX15"/>
  <c r="AZ21"/>
  <c r="AD41"/>
  <c r="AZ41" s="1"/>
  <c r="AX21"/>
  <c r="AX6"/>
  <c r="AZ6"/>
  <c r="AW7"/>
  <c r="AZ8"/>
  <c r="AX8"/>
  <c r="Y40"/>
  <c r="Y42"/>
  <c r="AZ5"/>
  <c r="AX5"/>
  <c r="AA29"/>
  <c r="AV24"/>
  <c r="AA43"/>
  <c r="AV17"/>
  <c r="AP17" s="1"/>
  <c r="AH17" s="1"/>
  <c r="AA38"/>
  <c r="AA32" s="1"/>
  <c r="R40"/>
  <c r="R42"/>
  <c r="AV38"/>
  <c r="AX14"/>
  <c r="AZ14"/>
  <c r="AZ23"/>
  <c r="AD43"/>
  <c r="AX23"/>
  <c r="AW23"/>
  <c r="AW43" s="1"/>
  <c r="AC43"/>
  <c r="AX18"/>
  <c r="AZ18"/>
  <c r="BF22"/>
  <c r="BA22"/>
  <c r="P32"/>
  <c r="P24" s="1"/>
  <c r="P18" s="1"/>
  <c r="BH5"/>
  <c r="S29"/>
  <c r="AU35"/>
  <c r="Z29"/>
  <c r="Z22" s="1"/>
  <c r="Z17" s="1"/>
  <c r="AT41"/>
  <c r="AE38"/>
  <c r="AA41"/>
  <c r="AV21"/>
  <c r="AG39"/>
  <c r="BA39" s="1"/>
  <c r="BA19"/>
  <c r="AC42"/>
  <c r="AC40"/>
  <c r="P40"/>
  <c r="P42"/>
  <c r="P39"/>
  <c r="O40"/>
  <c r="O42"/>
  <c r="AZ17"/>
  <c r="AD38"/>
  <c r="AX17"/>
  <c r="AX22"/>
  <c r="AZ22"/>
  <c r="BA5"/>
  <c r="AA48"/>
  <c r="AF42"/>
  <c r="AF40"/>
  <c r="AA40"/>
  <c r="AA42"/>
  <c r="AY39"/>
  <c r="BF11" l="1"/>
  <c r="AH11"/>
  <c r="AB11" s="1"/>
  <c r="S26"/>
  <c r="S19" s="1"/>
  <c r="S22"/>
  <c r="T19"/>
  <c r="AC10"/>
  <c r="AD32"/>
  <c r="AZ38"/>
  <c r="AX27"/>
  <c r="AZ27"/>
  <c r="AN26"/>
  <c r="T50"/>
  <c r="BH10"/>
  <c r="AI30"/>
  <c r="AX39"/>
  <c r="AZ39"/>
  <c r="AY15"/>
  <c r="AY40"/>
  <c r="AK41"/>
  <c r="BD37"/>
  <c r="AZ37" s="1"/>
  <c r="AG25"/>
  <c r="BH12"/>
  <c r="O49"/>
  <c r="O51" s="1"/>
  <c r="Y49"/>
  <c r="Y51" s="1"/>
  <c r="Y52" s="1"/>
  <c r="AU29"/>
  <c r="Z26"/>
  <c r="AX43"/>
  <c r="BH14"/>
  <c r="BA12"/>
  <c r="AX41"/>
  <c r="AZ33"/>
  <c r="AX33"/>
  <c r="BC19"/>
  <c r="AX19" s="1"/>
  <c r="AN39"/>
  <c r="BF17"/>
  <c r="AE27"/>
  <c r="AX31"/>
  <c r="AZ31"/>
  <c r="AD48"/>
  <c r="AM37"/>
  <c r="AJ16"/>
  <c r="AJ37" s="1"/>
  <c r="AM38"/>
  <c r="P43"/>
  <c r="AK42"/>
  <c r="AK40"/>
  <c r="S48"/>
  <c r="S50"/>
  <c r="S51" s="1"/>
  <c r="S52" s="1"/>
  <c r="AC25"/>
  <c r="AW27"/>
  <c r="AU5"/>
  <c r="AO5" s="1"/>
  <c r="AX30"/>
  <c r="AG32"/>
  <c r="Z49"/>
  <c r="AU33"/>
  <c r="AU49" s="1"/>
  <c r="AG26"/>
  <c r="BH16"/>
  <c r="AI37"/>
  <c r="AI31" s="1"/>
  <c r="AI27" s="1"/>
  <c r="BH21"/>
  <c r="AF49"/>
  <c r="AE32"/>
  <c r="AA49"/>
  <c r="AK39"/>
  <c r="AK32" s="1"/>
  <c r="AW33"/>
  <c r="AW49" s="1"/>
  <c r="AC49"/>
  <c r="AV41"/>
  <c r="AP21"/>
  <c r="AK38"/>
  <c r="AZ43"/>
  <c r="AP24"/>
  <c r="AU21"/>
  <c r="AX42"/>
  <c r="AU40"/>
  <c r="AU42"/>
  <c r="BG16"/>
  <c r="AQ37"/>
  <c r="AK23"/>
  <c r="AJ23"/>
  <c r="AU25"/>
  <c r="Z50"/>
  <c r="AE22"/>
  <c r="AE26"/>
  <c r="AJ30"/>
  <c r="AA50"/>
  <c r="AA51"/>
  <c r="BG5"/>
  <c r="BG8"/>
  <c r="BI8" s="1"/>
  <c r="BJ8" s="1"/>
  <c r="AM31"/>
  <c r="P48"/>
  <c r="O52"/>
  <c r="AG19" l="1"/>
  <c r="AC16"/>
  <c r="AG48"/>
  <c r="AG24"/>
  <c r="BF5"/>
  <c r="AK5"/>
  <c r="S17"/>
  <c r="AU41"/>
  <c r="AO21"/>
  <c r="AK21" s="1"/>
  <c r="AE24"/>
  <c r="AZ25"/>
  <c r="AX25"/>
  <c r="AE48"/>
  <c r="AE41"/>
  <c r="AY22"/>
  <c r="BH37"/>
  <c r="AG49"/>
  <c r="AH21"/>
  <c r="AP41"/>
  <c r="AW16"/>
  <c r="AP16" s="1"/>
  <c r="AH16" s="1"/>
  <c r="AB16" s="1"/>
  <c r="AC37"/>
  <c r="AW25"/>
  <c r="Z19"/>
  <c r="AU26"/>
  <c r="AZ32"/>
  <c r="BI5"/>
  <c r="BJ5" s="1"/>
  <c r="AI23"/>
  <c r="AK43"/>
  <c r="AF38"/>
  <c r="AY17"/>
  <c r="AE25"/>
  <c r="AY27"/>
  <c r="AQ39"/>
  <c r="BG39" s="1"/>
  <c r="BG19"/>
  <c r="AQ41"/>
  <c r="AA52"/>
  <c r="AQ40"/>
  <c r="AQ42"/>
  <c r="AX34"/>
  <c r="AX49" s="1"/>
  <c r="AZ34"/>
  <c r="AZ49" s="1"/>
  <c r="BG12"/>
  <c r="BI12" s="1"/>
  <c r="BJ12" s="1"/>
  <c r="AG50"/>
  <c r="AG51" s="1"/>
  <c r="AF31"/>
  <c r="AY36"/>
  <c r="P51"/>
  <c r="P52" s="1"/>
  <c r="AU50"/>
  <c r="AK48"/>
  <c r="AV16" l="1"/>
  <c r="AQ16"/>
  <c r="S38"/>
  <c r="S32" s="1"/>
  <c r="S24" s="1"/>
  <c r="AD5"/>
  <c r="AF32"/>
  <c r="AY38"/>
  <c r="Z39"/>
  <c r="Z32" s="1"/>
  <c r="Z24" s="1"/>
  <c r="AU19"/>
  <c r="AH41"/>
  <c r="BA41" s="1"/>
  <c r="BA21"/>
  <c r="AY24"/>
  <c r="AE43"/>
  <c r="AQ38"/>
  <c r="BG17"/>
  <c r="BI17" s="1"/>
  <c r="AG52"/>
  <c r="AF48"/>
  <c r="AF51" s="1"/>
  <c r="AY31"/>
  <c r="AE50"/>
  <c r="AY25"/>
  <c r="BH23"/>
  <c r="AP37"/>
  <c r="BF37" s="1"/>
  <c r="BF16"/>
  <c r="BI16" s="1"/>
  <c r="BJ16" s="1"/>
  <c r="AE49"/>
  <c r="AY33"/>
  <c r="AY49" s="1"/>
  <c r="AK51"/>
  <c r="AW37"/>
  <c r="AC31"/>
  <c r="AC27" s="1"/>
  <c r="BF21"/>
  <c r="AO41"/>
  <c r="BF41" s="1"/>
  <c r="AU24" l="1"/>
  <c r="Z18"/>
  <c r="Z33" s="1"/>
  <c r="AY32"/>
  <c r="S43"/>
  <c r="S18"/>
  <c r="AW31"/>
  <c r="AR41"/>
  <c r="BG41" s="1"/>
  <c r="BI41" s="1"/>
  <c r="BG21"/>
  <c r="AY48"/>
  <c r="AY51" s="1"/>
  <c r="AY43"/>
  <c r="AU32"/>
  <c r="AU48" s="1"/>
  <c r="AU51" s="1"/>
  <c r="AU52" s="1"/>
  <c r="Z48"/>
  <c r="Z51" s="1"/>
  <c r="Z52" s="1"/>
  <c r="BI21"/>
  <c r="BJ21" s="1"/>
  <c r="AU39"/>
  <c r="AO19"/>
  <c r="AE51"/>
  <c r="AE52" s="1"/>
  <c r="S33" l="1"/>
  <c r="AO39"/>
  <c r="BG24"/>
  <c r="AQ43"/>
  <c r="S49" l="1"/>
  <c r="AQ49" l="1"/>
  <c r="AH42"/>
  <c r="BA42"/>
  <c r="BG34"/>
  <c r="AW19"/>
  <c r="AP19"/>
  <c r="AP39"/>
  <c r="BF39"/>
  <c r="BA23"/>
  <c r="AR43"/>
  <c r="BG43"/>
  <c r="BE32"/>
  <c r="AC39"/>
  <c r="AC32"/>
  <c r="AR32" s="1"/>
  <c r="AW32"/>
  <c r="AW48"/>
  <c r="AC48"/>
  <c r="AR37"/>
  <c r="BG37"/>
  <c r="BI37"/>
  <c r="BJ37"/>
  <c r="AF29"/>
  <c r="AY26"/>
  <c r="AY50"/>
  <c r="BA18"/>
  <c r="AR38"/>
  <c r="BG38"/>
  <c r="AV23"/>
  <c r="AP23"/>
  <c r="AH23" s="1"/>
  <c r="AB18" s="1"/>
  <c r="BF23"/>
  <c r="BG23"/>
  <c r="BI23"/>
  <c r="BJ23"/>
  <c r="AC29"/>
  <c r="AW26"/>
  <c r="AW50"/>
  <c r="BC32"/>
  <c r="AX32"/>
  <c r="AX48"/>
  <c r="AX51"/>
  <c r="BA14"/>
  <c r="BA15"/>
  <c r="BG36"/>
  <c r="BA20"/>
  <c r="AR42"/>
  <c r="BG42"/>
  <c r="AO20"/>
  <c r="AO42"/>
  <c r="AV20"/>
  <c r="AW20"/>
  <c r="AP20"/>
  <c r="AP42"/>
  <c r="BF42"/>
  <c r="BI42"/>
  <c r="AI42"/>
  <c r="AM20"/>
  <c r="AN20"/>
  <c r="AJ42"/>
  <c r="BH42"/>
  <c r="BJ42"/>
  <c r="AH38"/>
  <c r="AH32"/>
  <c r="BA32"/>
  <c r="AR40"/>
  <c r="BG40"/>
  <c r="BA27"/>
  <c r="BG27"/>
  <c r="AZ13"/>
  <c r="BA13"/>
  <c r="T38"/>
  <c r="T32"/>
  <c r="T24" s="1"/>
  <c r="T18" s="1"/>
  <c r="AG18" s="1"/>
  <c r="T48"/>
  <c r="T43"/>
  <c r="T49"/>
  <c r="T51"/>
  <c r="T52"/>
  <c r="AM24"/>
  <c r="AN24"/>
  <c r="AJ43"/>
  <c r="AJ40"/>
  <c r="AM22"/>
  <c r="AJ41"/>
  <c r="AD29"/>
  <c r="AD50"/>
  <c r="AD52"/>
  <c r="BD30"/>
  <c r="AZ30"/>
  <c r="AH30"/>
  <c r="BA30"/>
  <c r="AR30"/>
  <c r="BG30"/>
  <c r="AB30"/>
  <c r="AQ30" s="1"/>
  <c r="AV30"/>
  <c r="AP30"/>
  <c r="BF30"/>
  <c r="BI30"/>
  <c r="BH30"/>
  <c r="AV6"/>
  <c r="AP6"/>
  <c r="AH6" s="1"/>
  <c r="AB6" s="1"/>
  <c r="AN18"/>
  <c r="AJ38"/>
  <c r="AM19"/>
  <c r="AM34" s="1"/>
  <c r="AM39"/>
  <c r="AM32"/>
  <c r="AM48"/>
  <c r="AW51"/>
  <c r="AH29"/>
  <c r="BA26"/>
  <c r="AX26"/>
  <c r="AX50"/>
  <c r="AN38"/>
  <c r="AN32"/>
  <c r="BC38"/>
  <c r="BG15"/>
  <c r="AV15"/>
  <c r="AP15"/>
  <c r="AH15" s="1"/>
  <c r="BF15"/>
  <c r="BI15"/>
  <c r="AB29"/>
  <c r="AV26"/>
  <c r="BA7"/>
  <c r="AB38"/>
  <c r="AB32"/>
  <c r="AB24" s="1"/>
  <c r="AV32"/>
  <c r="AO27"/>
  <c r="AV27"/>
  <c r="AP27"/>
  <c r="BF27"/>
  <c r="BI27"/>
  <c r="BJ27"/>
  <c r="AX38"/>
  <c r="BG7"/>
  <c r="AV7"/>
  <c r="AP7"/>
  <c r="AH7" s="1"/>
  <c r="AB7" s="1"/>
  <c r="BF7"/>
  <c r="BI7"/>
  <c r="BJ7"/>
  <c r="BA6"/>
  <c r="BG6"/>
  <c r="BF6"/>
  <c r="BI6"/>
  <c r="BA10"/>
  <c r="BG10"/>
  <c r="AM13"/>
  <c r="AF13" s="1"/>
  <c r="AJ13"/>
  <c r="AV10"/>
  <c r="AP10"/>
  <c r="AH10" s="1"/>
  <c r="AB10" s="1"/>
  <c r="BF10"/>
  <c r="BG18"/>
  <c r="AB42"/>
  <c r="AB43"/>
  <c r="AV34"/>
  <c r="AB50"/>
  <c r="AV18"/>
  <c r="BE18"/>
  <c r="AW18"/>
  <c r="AP18"/>
  <c r="AP33" s="1"/>
  <c r="AP38"/>
  <c r="R43"/>
  <c r="BA28"/>
  <c r="R49"/>
  <c r="R38"/>
  <c r="R32"/>
  <c r="R24" s="1"/>
  <c r="R18" s="1"/>
  <c r="R48"/>
  <c r="R51"/>
  <c r="AV25"/>
  <c r="AP43"/>
  <c r="AV29"/>
  <c r="AV14"/>
  <c r="AP14"/>
  <c r="AH14" s="1"/>
  <c r="AB14" s="1"/>
  <c r="BF36"/>
  <c r="BJ15"/>
  <c r="BJ6"/>
  <c r="AF50"/>
  <c r="AL18"/>
  <c r="AL38"/>
  <c r="AL39"/>
  <c r="AL32"/>
  <c r="AL48"/>
  <c r="AV13"/>
  <c r="AW13"/>
  <c r="AP13"/>
  <c r="AH13" s="1"/>
  <c r="R52"/>
  <c r="AV28"/>
  <c r="AP28"/>
  <c r="BF28"/>
  <c r="BG28"/>
  <c r="BI28"/>
  <c r="BJ28"/>
  <c r="BH36"/>
  <c r="AJ31"/>
  <c r="AJ27" s="1"/>
  <c r="X25"/>
  <c r="AO25"/>
  <c r="AP25"/>
  <c r="BF25"/>
  <c r="X29"/>
  <c r="X22" s="1"/>
  <c r="X17" s="1"/>
  <c r="X26"/>
  <c r="AO26"/>
  <c r="AP26"/>
  <c r="BF26"/>
  <c r="BF50"/>
  <c r="BA25"/>
  <c r="BG25"/>
  <c r="AZ26"/>
  <c r="BG26"/>
  <c r="BG50"/>
  <c r="BI50"/>
  <c r="BJ52"/>
  <c r="AZ50"/>
  <c r="AZ48"/>
  <c r="BG14"/>
  <c r="BF14"/>
  <c r="BI14"/>
  <c r="BJ14"/>
  <c r="X42"/>
  <c r="X43"/>
  <c r="AB40"/>
  <c r="V29"/>
  <c r="V22" s="1"/>
  <c r="V26"/>
  <c r="W29"/>
  <c r="W22" s="1"/>
  <c r="W26"/>
  <c r="V42"/>
  <c r="W42"/>
  <c r="W43"/>
  <c r="Q29"/>
  <c r="Q22" s="1"/>
  <c r="Q17" s="1"/>
  <c r="Q26"/>
  <c r="AL42"/>
  <c r="AL24"/>
  <c r="AL43"/>
  <c r="AL40"/>
  <c r="AL41"/>
  <c r="V40"/>
  <c r="V41"/>
  <c r="U37"/>
  <c r="U31"/>
  <c r="U27" s="1"/>
  <c r="U20" s="1"/>
  <c r="W39"/>
  <c r="W32"/>
  <c r="W24" s="1"/>
  <c r="BA38"/>
  <c r="AX13"/>
  <c r="AY13"/>
  <c r="AH43"/>
  <c r="BA34"/>
  <c r="AY9"/>
  <c r="AV9"/>
  <c r="W40"/>
  <c r="W41"/>
  <c r="AM9"/>
  <c r="AF9" s="1"/>
  <c r="AJ9"/>
  <c r="AC9" s="1"/>
  <c r="BH9"/>
  <c r="U42"/>
  <c r="AM43"/>
  <c r="AN48"/>
  <c r="BA29"/>
  <c r="AM41"/>
  <c r="AJ39"/>
  <c r="BE48"/>
  <c r="BE51"/>
  <c r="AB31"/>
  <c r="AV31"/>
  <c r="AB48"/>
  <c r="W37"/>
  <c r="X40"/>
  <c r="X38"/>
  <c r="AY29"/>
  <c r="BA9"/>
  <c r="X31"/>
  <c r="X27" s="1"/>
  <c r="X20" s="1"/>
  <c r="X32"/>
  <c r="X24" s="1"/>
  <c r="X18" s="1"/>
  <c r="X33" s="1"/>
  <c r="X48"/>
  <c r="X49"/>
  <c r="X51"/>
  <c r="X50"/>
  <c r="X52"/>
  <c r="Q25"/>
  <c r="Q50"/>
  <c r="Q31"/>
  <c r="Q27" s="1"/>
  <c r="Q20" s="1"/>
  <c r="Q38"/>
  <c r="Q39"/>
  <c r="Q32"/>
  <c r="Q24" s="1"/>
  <c r="Q18" s="1"/>
  <c r="AE18" s="1"/>
  <c r="AY18" s="1"/>
  <c r="Q48"/>
  <c r="Q40"/>
  <c r="Q41"/>
  <c r="Q42"/>
  <c r="Q43"/>
  <c r="Q49"/>
  <c r="Q51"/>
  <c r="Q52"/>
  <c r="V25"/>
  <c r="V19" s="1"/>
  <c r="AK19" s="1"/>
  <c r="W25"/>
  <c r="W19" s="1"/>
  <c r="AM25"/>
  <c r="U25"/>
  <c r="U19" s="1"/>
  <c r="U39" s="1"/>
  <c r="U32" s="1"/>
  <c r="AN25"/>
  <c r="BH17"/>
  <c r="BJ17"/>
  <c r="AI40"/>
  <c r="AI41"/>
  <c r="AI43"/>
  <c r="AI49"/>
  <c r="AJ49"/>
  <c r="BH49"/>
  <c r="AO40"/>
  <c r="AP40"/>
  <c r="BF33"/>
  <c r="AO24"/>
  <c r="AO43"/>
  <c r="AO34"/>
  <c r="BF34"/>
  <c r="BF49"/>
  <c r="AH40"/>
  <c r="BA33"/>
  <c r="BG49"/>
  <c r="BI49"/>
  <c r="BJ49"/>
  <c r="AI38"/>
  <c r="BH38"/>
  <c r="AO18"/>
  <c r="AO33" s="1"/>
  <c r="AO38"/>
  <c r="BF38"/>
  <c r="BI38"/>
  <c r="BJ38"/>
  <c r="V31"/>
  <c r="V27" s="1"/>
  <c r="V20" s="1"/>
  <c r="V48"/>
  <c r="V49"/>
  <c r="V51"/>
  <c r="AX52"/>
  <c r="AP50"/>
  <c r="AP31"/>
  <c r="AP48"/>
  <c r="AP49"/>
  <c r="AP51"/>
  <c r="AP52"/>
  <c r="BI36"/>
  <c r="V50"/>
  <c r="AQ32"/>
  <c r="AQ48"/>
  <c r="BG32"/>
  <c r="BH19"/>
  <c r="BF19"/>
  <c r="BI19"/>
  <c r="BJ19"/>
  <c r="AI13"/>
  <c r="AI29"/>
  <c r="BH26"/>
  <c r="BI26"/>
  <c r="BJ26"/>
  <c r="AC50"/>
  <c r="AC51"/>
  <c r="AC52"/>
  <c r="BH35"/>
  <c r="AU13"/>
  <c r="AO13"/>
  <c r="AK13" s="1"/>
  <c r="AD13" s="1"/>
  <c r="BF35"/>
  <c r="BG35"/>
  <c r="BI35"/>
  <c r="BJ35"/>
  <c r="AH31"/>
  <c r="BA31"/>
  <c r="BA48"/>
  <c r="BA49"/>
  <c r="BA51"/>
  <c r="AJ50"/>
  <c r="AJ32"/>
  <c r="AJ48"/>
  <c r="AJ51"/>
  <c r="AJ52"/>
  <c r="AM26"/>
  <c r="AM50"/>
  <c r="AM40"/>
  <c r="AM42"/>
  <c r="AM49"/>
  <c r="AM51"/>
  <c r="AM52"/>
  <c r="AL49"/>
  <c r="AJ29"/>
  <c r="BH29"/>
  <c r="AV33"/>
  <c r="AV49"/>
  <c r="W31"/>
  <c r="W27" s="1"/>
  <c r="W20" s="1"/>
  <c r="AS48"/>
  <c r="BF13"/>
  <c r="BG13"/>
  <c r="BI13"/>
  <c r="BH18"/>
  <c r="BF18"/>
  <c r="BI18"/>
  <c r="BJ18"/>
  <c r="AO49"/>
  <c r="W49"/>
  <c r="U48"/>
  <c r="BF40"/>
  <c r="BD40"/>
  <c r="AZ40"/>
  <c r="BG9"/>
  <c r="U40"/>
  <c r="AO32"/>
  <c r="AS49"/>
  <c r="AT43"/>
  <c r="BE52"/>
  <c r="BH31"/>
  <c r="BF31"/>
  <c r="AR31"/>
  <c r="BG31"/>
  <c r="BI31"/>
  <c r="BJ31"/>
  <c r="BA36"/>
  <c r="BA35"/>
  <c r="W48"/>
  <c r="AI39"/>
  <c r="AI32"/>
  <c r="AI48"/>
  <c r="BH48"/>
  <c r="BH51"/>
  <c r="BF48"/>
  <c r="AR48"/>
  <c r="BG48"/>
  <c r="BI48"/>
  <c r="BJ48"/>
  <c r="AQ50"/>
  <c r="AQ51"/>
  <c r="AQ52"/>
  <c r="V52"/>
  <c r="BH50"/>
  <c r="BJ50"/>
  <c r="BH52"/>
  <c r="BH33"/>
  <c r="BG33"/>
  <c r="BI33"/>
  <c r="BJ33"/>
  <c r="AH50"/>
  <c r="BH24"/>
  <c r="BF24"/>
  <c r="BI24"/>
  <c r="BJ24"/>
  <c r="AN40"/>
  <c r="AN33"/>
  <c r="AN42"/>
  <c r="AN43"/>
  <c r="AN34"/>
  <c r="AN49"/>
  <c r="AN51"/>
  <c r="BH32"/>
  <c r="BH39"/>
  <c r="BI39"/>
  <c r="BJ39"/>
  <c r="AN50"/>
  <c r="AO48"/>
  <c r="AO51"/>
  <c r="BA50"/>
  <c r="BA52"/>
  <c r="BI40"/>
  <c r="AL50"/>
  <c r="AO29"/>
  <c r="AW29"/>
  <c r="AP29"/>
  <c r="BF29"/>
  <c r="AX29"/>
  <c r="AQ29"/>
  <c r="AZ29"/>
  <c r="AR29"/>
  <c r="BG29"/>
  <c r="BI29"/>
  <c r="AV48"/>
  <c r="AV51"/>
  <c r="AT48"/>
  <c r="AT49"/>
  <c r="AT51"/>
  <c r="AF52"/>
  <c r="BH13"/>
  <c r="BJ13"/>
  <c r="BH41"/>
  <c r="BJ41"/>
  <c r="BF43"/>
  <c r="BI43"/>
  <c r="AO9"/>
  <c r="AK9" s="1"/>
  <c r="AD9" s="1"/>
  <c r="AR49"/>
  <c r="AY35"/>
  <c r="AI25"/>
  <c r="AI50"/>
  <c r="BH25"/>
  <c r="AT50"/>
  <c r="AZ51"/>
  <c r="AZ52"/>
  <c r="W51"/>
  <c r="W50"/>
  <c r="BI51"/>
  <c r="BI52"/>
  <c r="BG51"/>
  <c r="AH48"/>
  <c r="AH49"/>
  <c r="AH51"/>
  <c r="BH34"/>
  <c r="BI34"/>
  <c r="BJ34"/>
  <c r="AL51"/>
  <c r="AL52"/>
  <c r="AI51"/>
  <c r="AI52"/>
  <c r="AN52"/>
  <c r="U50"/>
  <c r="U49"/>
  <c r="U51"/>
  <c r="U52"/>
  <c r="BF32"/>
  <c r="BI32"/>
  <c r="BG52"/>
  <c r="AY52"/>
  <c r="BH40"/>
  <c r="BJ40"/>
  <c r="BJ29"/>
  <c r="AV50"/>
  <c r="AV52"/>
  <c r="AS51"/>
  <c r="AR50"/>
  <c r="BH43"/>
  <c r="BJ43"/>
  <c r="AK29"/>
  <c r="AP9"/>
  <c r="AH9" s="1"/>
  <c r="AB9" s="1"/>
  <c r="AB23" s="1"/>
  <c r="BF9"/>
  <c r="BA40"/>
  <c r="BI25"/>
  <c r="AK50"/>
  <c r="AK52"/>
  <c r="AS39"/>
  <c r="W52"/>
  <c r="BI9"/>
  <c r="BJ9"/>
  <c r="AW52"/>
  <c r="BJ51"/>
  <c r="AH52"/>
  <c r="BJ36"/>
  <c r="BH22"/>
  <c r="BJ22"/>
  <c r="AO50"/>
  <c r="AO52"/>
  <c r="BJ32"/>
  <c r="AT52"/>
  <c r="AR51"/>
  <c r="AR52"/>
  <c r="AS50"/>
  <c r="AS52"/>
  <c r="BF51"/>
  <c r="BF52"/>
  <c r="AT38"/>
  <c r="AS41"/>
  <c r="AS43"/>
  <c r="BJ25"/>
  <c r="AB49"/>
  <c r="AB51"/>
  <c r="AB52"/>
  <c r="BG20"/>
  <c r="BF20"/>
  <c r="BI20"/>
  <c r="BH20"/>
  <c r="BJ20"/>
  <c r="AW42"/>
  <c r="AW40"/>
  <c r="BJ30"/>
  <c r="AV36"/>
  <c r="AV42"/>
  <c r="AV40"/>
  <c r="AV35"/>
  <c r="BC48"/>
  <c r="BC51"/>
  <c r="BC52"/>
  <c r="AZ35"/>
  <c r="AX35"/>
  <c r="AW35"/>
  <c r="AT40"/>
  <c r="AT42"/>
  <c r="AT37"/>
  <c r="AS40"/>
  <c r="AS42"/>
  <c r="AM27"/>
  <c r="AV43"/>
  <c r="BA43"/>
  <c r="BI10"/>
  <c r="BJ10"/>
  <c r="BC43"/>
  <c r="AN27"/>
  <c r="Q19" l="1"/>
  <c r="AK25"/>
  <c r="AP34"/>
  <c r="AC13"/>
  <c r="AR13" s="1"/>
  <c r="AK26"/>
  <c r="AS32"/>
  <c r="AJ25"/>
  <c r="AC19" s="1"/>
  <c r="AS30"/>
  <c r="AT30" s="1"/>
  <c r="AO30" s="1"/>
  <c r="AS29"/>
  <c r="AO35"/>
  <c r="AO36" s="1"/>
  <c r="U34"/>
  <c r="AN35"/>
  <c r="AN36" s="1"/>
  <c r="AN31" s="1"/>
  <c r="AP35"/>
  <c r="Q34"/>
  <c r="V17"/>
  <c r="AI22"/>
  <c r="Q33"/>
  <c r="Q35" s="1"/>
  <c r="Q36" s="1"/>
  <c r="AB21"/>
  <c r="AA9"/>
  <c r="W17"/>
  <c r="AJ22"/>
  <c r="AA13"/>
  <c r="AH28"/>
  <c r="AB15"/>
  <c r="AB28" s="1"/>
  <c r="AJ20"/>
  <c r="AK20"/>
  <c r="AI20"/>
  <c r="W34"/>
  <c r="AH20"/>
  <c r="W18"/>
  <c r="AJ18" s="1"/>
  <c r="AJ24"/>
  <c r="AB13"/>
  <c r="AB26" s="1"/>
  <c r="AH26"/>
  <c r="U24"/>
  <c r="U18" s="1"/>
  <c r="U33" s="1"/>
  <c r="U35" s="1"/>
  <c r="U36" s="1"/>
  <c r="AH24"/>
  <c r="V34"/>
  <c r="AI19"/>
  <c r="AH19"/>
  <c r="AH34" s="1"/>
  <c r="X19"/>
  <c r="X34" s="1"/>
  <c r="X35" s="1"/>
  <c r="X36" s="1"/>
  <c r="AK34"/>
  <c r="AK49" s="1"/>
  <c r="AR9"/>
  <c r="AW9"/>
  <c r="AC23"/>
  <c r="AI34" l="1"/>
  <c r="AQ9"/>
  <c r="AS9" s="1"/>
  <c r="AT9" s="1"/>
  <c r="AH18"/>
  <c r="AH33" s="1"/>
  <c r="AH35" s="1"/>
  <c r="AJ17"/>
  <c r="AJ33" s="1"/>
  <c r="W33"/>
  <c r="W35" s="1"/>
  <c r="W36" s="1"/>
  <c r="AK17"/>
  <c r="AI17"/>
  <c r="AQ13"/>
  <c r="AS13" s="1"/>
  <c r="AT13" s="1"/>
  <c r="AJ19"/>
  <c r="AJ34" s="1"/>
  <c r="AC17" l="1"/>
  <c r="AJ35"/>
  <c r="AO10"/>
  <c r="AK10" s="1"/>
  <c r="AD10" s="1"/>
  <c r="R31"/>
  <c r="R27" s="1"/>
  <c r="R20" s="1"/>
  <c r="AF20" s="1"/>
  <c r="AO14"/>
  <c r="AK14" s="1"/>
  <c r="AD14" s="1"/>
  <c r="AD26" s="1"/>
  <c r="AO8"/>
  <c r="AK8" s="1"/>
  <c r="AD8" s="1"/>
  <c r="AG8"/>
  <c r="AB8" s="1"/>
  <c r="AB22" s="1"/>
  <c r="AB41"/>
  <c r="AM10"/>
  <c r="AF10" s="1"/>
  <c r="AO22"/>
  <c r="AK22" s="1"/>
  <c r="Y26"/>
  <c r="AL26" s="1"/>
  <c r="AM12"/>
  <c r="AF12" s="1"/>
  <c r="AM14"/>
  <c r="AF14" s="1"/>
  <c r="AP12"/>
  <c r="AH12" s="1"/>
  <c r="AA31"/>
  <c r="AQ31" s="1"/>
  <c r="AS31" s="1"/>
  <c r="AM15"/>
  <c r="AF15" s="1"/>
  <c r="Y25"/>
  <c r="AL25" s="1"/>
  <c r="V32"/>
  <c r="V24" s="1"/>
  <c r="AM5"/>
  <c r="AF5" s="1"/>
  <c r="AP5"/>
  <c r="AH5" s="1"/>
  <c r="AJ5"/>
  <c r="AC5" s="1"/>
  <c r="AO12"/>
  <c r="AK12" s="1"/>
  <c r="AD12" s="1"/>
  <c r="T31"/>
  <c r="T27" s="1"/>
  <c r="T20" s="1"/>
  <c r="T34" s="1"/>
  <c r="AC38"/>
  <c r="AW38"/>
  <c r="AP32"/>
  <c r="R29"/>
  <c r="R22" s="1"/>
  <c r="R17" s="1"/>
  <c r="AM18"/>
  <c r="AF18" s="1"/>
  <c r="R25"/>
  <c r="R26"/>
  <c r="Y31"/>
  <c r="Y27" s="1"/>
  <c r="Z31"/>
  <c r="Z27" s="1"/>
  <c r="Z20" s="1"/>
  <c r="Z34" s="1"/>
  <c r="Z35" s="1"/>
  <c r="Z36" s="1"/>
  <c r="O25"/>
  <c r="O26"/>
  <c r="O31"/>
  <c r="O27" s="1"/>
  <c r="AI14"/>
  <c r="AC14" s="1"/>
  <c r="AP36"/>
  <c r="AM8"/>
  <c r="AF8" s="1"/>
  <c r="AA8" s="1"/>
  <c r="AI8"/>
  <c r="AJ8"/>
  <c r="BG22"/>
  <c r="BI22"/>
  <c r="AM11"/>
  <c r="AF11" s="1"/>
  <c r="AI11"/>
  <c r="AJ11"/>
  <c r="AO11"/>
  <c r="AK11" s="1"/>
  <c r="AD11" s="1"/>
  <c r="AD24" s="1"/>
  <c r="T29"/>
  <c r="T22" s="1"/>
  <c r="Y29"/>
  <c r="Y22" s="1"/>
  <c r="O32"/>
  <c r="O24" s="1"/>
  <c r="R39"/>
  <c r="AI7"/>
  <c r="AJ7"/>
  <c r="AO7"/>
  <c r="AK7" s="1"/>
  <c r="AD7" s="1"/>
  <c r="AI15"/>
  <c r="AC15"/>
  <c r="AC28" s="1"/>
  <c r="AW34"/>
  <c r="AW14"/>
  <c r="S31"/>
  <c r="S27" s="1"/>
  <c r="S20" s="1"/>
  <c r="AU34"/>
  <c r="AJ6"/>
  <c r="AC6" s="1"/>
  <c r="AO6"/>
  <c r="AK6" s="1"/>
  <c r="AD6" s="1"/>
  <c r="AW21"/>
  <c r="AW41"/>
  <c r="AO16"/>
  <c r="AK16" s="1"/>
  <c r="AD16" s="1"/>
  <c r="AR16" s="1"/>
  <c r="AS16" s="1"/>
  <c r="AT16" s="1"/>
  <c r="AO15"/>
  <c r="AK15" s="1"/>
  <c r="AW28"/>
  <c r="P25"/>
  <c r="P26"/>
  <c r="P31"/>
  <c r="P27" s="1"/>
  <c r="P20" s="1"/>
  <c r="AE20" s="1"/>
  <c r="AY34"/>
  <c r="P29"/>
  <c r="P22" s="1"/>
  <c r="P17" s="1"/>
  <c r="AW5"/>
  <c r="AG41"/>
  <c r="AW8"/>
  <c r="AF39"/>
  <c r="AV19"/>
  <c r="AW22"/>
  <c r="V38"/>
  <c r="AW11"/>
  <c r="Y39"/>
  <c r="AM6"/>
  <c r="AF6" s="1"/>
  <c r="AA6" s="1"/>
  <c r="AM7"/>
  <c r="AF7" s="1"/>
  <c r="AA7" s="1"/>
  <c r="AQ7" s="1"/>
  <c r="AM21"/>
  <c r="AF21" s="1"/>
  <c r="AA17" s="1"/>
  <c r="AR39"/>
  <c r="AD49"/>
  <c r="AD51"/>
  <c r="AW24"/>
  <c r="BH6"/>
  <c r="AW15"/>
  <c r="O29"/>
  <c r="O22" s="1"/>
  <c r="AL31"/>
  <c r="BG11"/>
  <c r="BI11"/>
  <c r="BJ11"/>
  <c r="AW36"/>
  <c r="AV12"/>
  <c r="Y48"/>
  <c r="BH11"/>
  <c r="AM29"/>
  <c r="AO28"/>
  <c r="AJ28"/>
  <c r="P49"/>
  <c r="BF8"/>
  <c r="AF43"/>
  <c r="R50"/>
  <c r="AY28"/>
  <c r="O38"/>
  <c r="AZ28"/>
  <c r="AW6"/>
  <c r="AY8"/>
  <c r="AY12"/>
  <c r="AI26"/>
  <c r="P38"/>
  <c r="O48"/>
  <c r="V43"/>
  <c r="AK27"/>
  <c r="BF12"/>
  <c r="AI28"/>
  <c r="BH28"/>
  <c r="AF22"/>
  <c r="AJ36" l="1"/>
  <c r="AA15"/>
  <c r="AF28"/>
  <c r="O19"/>
  <c r="AC8"/>
  <c r="AC22" s="1"/>
  <c r="AM33"/>
  <c r="AM35" s="1"/>
  <c r="AM36" s="1"/>
  <c r="Y19"/>
  <c r="Y17"/>
  <c r="AL22"/>
  <c r="AA11"/>
  <c r="AF24"/>
  <c r="AT29"/>
  <c r="AC11"/>
  <c r="AR11" s="1"/>
  <c r="AQ15"/>
  <c r="AA28"/>
  <c r="AQ28" s="1"/>
  <c r="AD22"/>
  <c r="AR8"/>
  <c r="AB12"/>
  <c r="AH27"/>
  <c r="AH25"/>
  <c r="AD15"/>
  <c r="AD28" s="1"/>
  <c r="AR28" s="1"/>
  <c r="AS28" s="1"/>
  <c r="AT28" s="1"/>
  <c r="AK28"/>
  <c r="AC26"/>
  <c r="AR26" s="1"/>
  <c r="AR14"/>
  <c r="AD21"/>
  <c r="P19"/>
  <c r="AT31"/>
  <c r="AT32"/>
  <c r="AC7"/>
  <c r="R19"/>
  <c r="AG20"/>
  <c r="AG34" s="1"/>
  <c r="S34"/>
  <c r="S35" s="1"/>
  <c r="S36" s="1"/>
  <c r="AC20"/>
  <c r="Y33"/>
  <c r="AL17"/>
  <c r="O20"/>
  <c r="O34" s="1"/>
  <c r="AR12"/>
  <c r="AD25"/>
  <c r="AR25" s="1"/>
  <c r="AD27"/>
  <c r="AR27" s="1"/>
  <c r="AI24"/>
  <c r="V18"/>
  <c r="AK24"/>
  <c r="P34"/>
  <c r="AE19"/>
  <c r="AE34" s="1"/>
  <c r="O18"/>
  <c r="AF17"/>
  <c r="AF33" s="1"/>
  <c r="R33"/>
  <c r="AA5"/>
  <c r="AB25"/>
  <c r="AB19" s="1"/>
  <c r="AB27"/>
  <c r="AB20" s="1"/>
  <c r="AQ8"/>
  <c r="AA22"/>
  <c r="AQ22" s="1"/>
  <c r="O17"/>
  <c r="AR15"/>
  <c r="AS15" s="1"/>
  <c r="AT15" s="1"/>
  <c r="T17"/>
  <c r="AG22"/>
  <c r="AC24"/>
  <c r="AR24" s="1"/>
  <c r="AH36"/>
  <c r="AB5"/>
  <c r="AF27"/>
  <c r="AA12"/>
  <c r="AF25"/>
  <c r="AR10"/>
  <c r="AD23"/>
  <c r="AR23" s="1"/>
  <c r="AA21"/>
  <c r="AQ21" s="1"/>
  <c r="AQ6"/>
  <c r="AE17"/>
  <c r="AE33" s="1"/>
  <c r="P33"/>
  <c r="P35" s="1"/>
  <c r="P36" s="1"/>
  <c r="AC21"/>
  <c r="AR6"/>
  <c r="Y20"/>
  <c r="AL20" s="1"/>
  <c r="AL27"/>
  <c r="AD20" s="1"/>
  <c r="R34"/>
  <c r="AF19"/>
  <c r="AF34" s="1"/>
  <c r="AR5"/>
  <c r="AL19"/>
  <c r="AF26"/>
  <c r="AA14"/>
  <c r="AA10"/>
  <c r="AF23"/>
  <c r="AR7"/>
  <c r="AS7" s="1"/>
  <c r="AT7" s="1"/>
  <c r="AR22" l="1"/>
  <c r="AS22" s="1"/>
  <c r="AT22" s="1"/>
  <c r="AR21"/>
  <c r="AE35"/>
  <c r="AE36" s="1"/>
  <c r="AS8"/>
  <c r="AT8" s="1"/>
  <c r="AA24"/>
  <c r="AQ24" s="1"/>
  <c r="AS24" s="1"/>
  <c r="AT24" s="1"/>
  <c r="AQ11"/>
  <c r="AS11" s="1"/>
  <c r="AT11" s="1"/>
  <c r="AB34"/>
  <c r="AQ5"/>
  <c r="AI18"/>
  <c r="V33"/>
  <c r="V35" s="1"/>
  <c r="V36" s="1"/>
  <c r="AK18"/>
  <c r="AA26"/>
  <c r="AQ26" s="1"/>
  <c r="AS26" s="1"/>
  <c r="AT26" s="1"/>
  <c r="AQ14"/>
  <c r="AS14" s="1"/>
  <c r="AT14" s="1"/>
  <c r="AG17"/>
  <c r="T33"/>
  <c r="T35" s="1"/>
  <c r="T36" s="1"/>
  <c r="O33"/>
  <c r="AD17"/>
  <c r="AL33"/>
  <c r="AQ10"/>
  <c r="AS10" s="1"/>
  <c r="AT10" s="1"/>
  <c r="AA23"/>
  <c r="AD19"/>
  <c r="AL34"/>
  <c r="AA27"/>
  <c r="AQ12"/>
  <c r="AS12" s="1"/>
  <c r="AT12" s="1"/>
  <c r="AA25"/>
  <c r="AR20"/>
  <c r="AC34"/>
  <c r="AS21"/>
  <c r="AT21" s="1"/>
  <c r="AF35"/>
  <c r="AF36" s="1"/>
  <c r="Y34"/>
  <c r="Y35" s="1"/>
  <c r="Y36" s="1"/>
  <c r="AS6"/>
  <c r="AT6" s="1"/>
  <c r="R35"/>
  <c r="R36" s="1"/>
  <c r="AL35" l="1"/>
  <c r="AL36" s="1"/>
  <c r="AR19"/>
  <c r="AR34"/>
  <c r="AD34"/>
  <c r="O35"/>
  <c r="AD18"/>
  <c r="AK33"/>
  <c r="AK35" s="1"/>
  <c r="AK36" s="1"/>
  <c r="AS5"/>
  <c r="AA19"/>
  <c r="AQ25"/>
  <c r="AS25" s="1"/>
  <c r="AT25" s="1"/>
  <c r="AQ27"/>
  <c r="AS27" s="1"/>
  <c r="AT27" s="1"/>
  <c r="AA20"/>
  <c r="AQ20" s="1"/>
  <c r="AS20" s="1"/>
  <c r="AT20" s="1"/>
  <c r="AR17"/>
  <c r="AD33"/>
  <c r="AD35" s="1"/>
  <c r="AD36" s="1"/>
  <c r="AG33"/>
  <c r="AG35" s="1"/>
  <c r="AG36" s="1"/>
  <c r="AB17"/>
  <c r="AI33"/>
  <c r="AI35" s="1"/>
  <c r="AI36" s="1"/>
  <c r="AC18"/>
  <c r="AA18"/>
  <c r="AQ23"/>
  <c r="AS23" s="1"/>
  <c r="AT23" s="1"/>
  <c r="AC33" l="1"/>
  <c r="AR18"/>
  <c r="AQ33"/>
  <c r="AB33"/>
  <c r="AB35" s="1"/>
  <c r="AB36" s="1"/>
  <c r="AQ17"/>
  <c r="AS17" s="1"/>
  <c r="AT17" s="1"/>
  <c r="AA34"/>
  <c r="AQ19"/>
  <c r="AQ18"/>
  <c r="AS18" s="1"/>
  <c r="AT18" s="1"/>
  <c r="AA33"/>
  <c r="AA35" s="1"/>
  <c r="AA36" s="1"/>
  <c r="AT36"/>
  <c r="N3" s="1" a="1"/>
  <c r="N3" s="1"/>
  <c r="M3" s="1"/>
  <c r="AT5"/>
  <c r="O36"/>
  <c r="AR33" l="1"/>
  <c r="AC35"/>
  <c r="AC36" s="1"/>
  <c r="AS19"/>
  <c r="AT19" s="1"/>
  <c r="AQ34"/>
  <c r="AS34" s="1"/>
  <c r="AT34" s="1"/>
  <c r="AQ35"/>
  <c r="AQ36" s="1"/>
  <c r="AS33"/>
  <c r="AT33" s="1"/>
  <c r="AR35" l="1"/>
  <c r="AR36" s="1"/>
  <c r="AS35"/>
  <c r="AS36" l="1"/>
  <c r="AT35"/>
</calcChain>
</file>

<file path=xl/sharedStrings.xml><?xml version="1.0" encoding="utf-8"?>
<sst xmlns="http://schemas.openxmlformats.org/spreadsheetml/2006/main" count="998" uniqueCount="458">
  <si>
    <t>col28</t>
  </si>
  <si>
    <t>col29</t>
  </si>
  <si>
    <t>Nái</t>
  </si>
  <si>
    <t>Số tai đực</t>
  </si>
  <si>
    <t>% Cận huyết</t>
  </si>
  <si>
    <t>Bảng Henderson</t>
  </si>
  <si>
    <t>Con vật</t>
  </si>
  <si>
    <t>Bố</t>
  </si>
  <si>
    <t>Mẹ</t>
  </si>
  <si>
    <t>Ngày sinh</t>
  </si>
  <si>
    <t>x</t>
  </si>
  <si>
    <t>-</t>
  </si>
  <si>
    <t>L7017D+</t>
  </si>
  <si>
    <t>Đực    \     Nái</t>
  </si>
  <si>
    <t>Công ty</t>
  </si>
  <si>
    <t>Trại</t>
  </si>
  <si>
    <t>Chuồng</t>
  </si>
  <si>
    <t>Nguồn nhập</t>
  </si>
  <si>
    <t>Ngày nhập</t>
  </si>
  <si>
    <t>Ngày xuất</t>
  </si>
  <si>
    <t>Số ngày nuôi</t>
  </si>
  <si>
    <t>CON GIỐNG</t>
  </si>
  <si>
    <t>Cám sử dụng</t>
  </si>
  <si>
    <t>Tiền thuốc thú y +sát trùng+ vác xin</t>
  </si>
  <si>
    <t>CP  thuốc thú y /kg xuất bán</t>
  </si>
  <si>
    <t>Số con bán</t>
  </si>
  <si>
    <t>Tổng trọng lượng</t>
  </si>
  <si>
    <t>TL bình quân</t>
  </si>
  <si>
    <t>Giá bán bình quân</t>
  </si>
  <si>
    <t>Thành tiền bán</t>
  </si>
  <si>
    <t>TỔNG HỢP SỐ CÁM SỬ DỤNG</t>
  </si>
  <si>
    <t>Số lợn vào</t>
  </si>
  <si>
    <t>TL lợn vào</t>
  </si>
  <si>
    <t>TLBQ lợn vào</t>
  </si>
  <si>
    <t>Số con xuất</t>
  </si>
  <si>
    <t>TL xuất</t>
  </si>
  <si>
    <t>TLBQ xuất</t>
  </si>
  <si>
    <t>xuatnho</t>
  </si>
  <si>
    <t>xuatlon</t>
  </si>
  <si>
    <t>Lon vao</t>
  </si>
  <si>
    <t>vao nho - xuat nho</t>
  </si>
  <si>
    <t xml:space="preserve"> fcr vao nho - xuat nho</t>
  </si>
  <si>
    <t>vao+1 - xuat nho</t>
  </si>
  <si>
    <t>fcr vao+1 - xuat nho</t>
  </si>
  <si>
    <t>phan thap TLBQ  vao</t>
  </si>
  <si>
    <t>fcr - vao</t>
  </si>
  <si>
    <t>vao nho - xuat to</t>
  </si>
  <si>
    <t>fcr - vao nho xuat to</t>
  </si>
  <si>
    <t>phan thap TLBQ xuat</t>
  </si>
  <si>
    <t>fcr - xuat</t>
  </si>
  <si>
    <t>FCR tiêu chuẩn tra</t>
  </si>
  <si>
    <t>FCR lợn hai máu</t>
  </si>
  <si>
    <t>FCR tiêu chuẩn áp</t>
  </si>
  <si>
    <t>Chênh lệch</t>
  </si>
  <si>
    <t>Số con chết</t>
  </si>
  <si>
    <t>Tỉ lệ chết</t>
  </si>
  <si>
    <t>Tổng số con nhập (con)</t>
  </si>
  <si>
    <t>P bình quân (kg)</t>
  </si>
  <si>
    <t>Tổng P nhập (kg)</t>
  </si>
  <si>
    <t>Số con chết, loại (con)</t>
  </si>
  <si>
    <t>% chết loại (%)</t>
  </si>
  <si>
    <t>Số con xuất chuồng (con)</t>
  </si>
  <si>
    <t>P trung bình xuất chuồng (kg)</t>
  </si>
  <si>
    <t>Tổng trọng lượng xuất (kg)</t>
  </si>
  <si>
    <t>Tổng trọng lượng tăng trọng (kg)</t>
  </si>
  <si>
    <t>Tổng thức ăn tiêu tốn (kg)</t>
  </si>
  <si>
    <t>Thức ăn tiêu tốn TB/con (kg)</t>
  </si>
  <si>
    <t>FCR thực hiện (kg)</t>
  </si>
  <si>
    <t>FCR têu chuẩn (kg)</t>
  </si>
  <si>
    <t>FCR chênh lệch (kg)</t>
  </si>
  <si>
    <t>Tổng tiền thuốc, vacxin (đồng)</t>
  </si>
  <si>
    <t>Tiền thuốc vacxin/1 con (đồng)</t>
  </si>
  <si>
    <t>Tiền thuốc vacxin/kg tăng trọng (đồng)</t>
  </si>
  <si>
    <t>Tiền thức ăn/kg tăng trọng (đồng)</t>
  </si>
  <si>
    <t>ADG (g/con/ngày)</t>
  </si>
  <si>
    <t>Số con nhập</t>
  </si>
  <si>
    <t>TL vào</t>
  </si>
  <si>
    <t>TL BQ</t>
  </si>
  <si>
    <t>Giá nhập BQ/con</t>
  </si>
  <si>
    <t>Thành tiền</t>
  </si>
  <si>
    <t>FCR tiêu tốn</t>
  </si>
  <si>
    <t>FCI tiêu chuẩn</t>
  </si>
  <si>
    <t>FCR chênh lệch</t>
  </si>
  <si>
    <t>Tổng cám (kg)</t>
  </si>
  <si>
    <t>Giá cám bình quân</t>
  </si>
  <si>
    <t>Thành Tiền</t>
  </si>
  <si>
    <t>4000A</t>
  </si>
  <si>
    <t>CD- 40AS1</t>
  </si>
  <si>
    <t>4000B</t>
  </si>
  <si>
    <t>4000BGC</t>
  </si>
  <si>
    <t>D46</t>
  </si>
  <si>
    <t>D47</t>
  </si>
  <si>
    <t>46GC1</t>
  </si>
  <si>
    <t>Tổng sử dụng</t>
  </si>
  <si>
    <t>xuat</t>
  </si>
  <si>
    <t>xuat+1</t>
  </si>
  <si>
    <t>vao</t>
  </si>
  <si>
    <t>vao+1</t>
  </si>
  <si>
    <t>Lượng</t>
  </si>
  <si>
    <t>Tiền</t>
  </si>
  <si>
    <t>Gia bình</t>
  </si>
  <si>
    <t>Lương Tài</t>
  </si>
  <si>
    <t>C«ng ty TNHH §TPT ch¨n nu«i lîn dabaco</t>
  </si>
  <si>
    <t>Tờ 3</t>
  </si>
  <si>
    <t>TIEU CHUAN GOC</t>
  </si>
  <si>
    <t>MA DO TIM FCR</t>
  </si>
  <si>
    <t>Vao6</t>
  </si>
  <si>
    <t>Vao7</t>
  </si>
  <si>
    <t>Vao8</t>
  </si>
  <si>
    <t>Vao9</t>
  </si>
  <si>
    <t>Vao10</t>
  </si>
  <si>
    <t>Vao11</t>
  </si>
  <si>
    <t>Vao12</t>
  </si>
  <si>
    <t>Vao13</t>
  </si>
  <si>
    <t>Vao14</t>
  </si>
  <si>
    <t>Vao15</t>
  </si>
  <si>
    <t>Vao16</t>
  </si>
  <si>
    <t>Vao17</t>
  </si>
  <si>
    <t>Vao18</t>
  </si>
  <si>
    <t>Vao19</t>
  </si>
  <si>
    <t>Vao20</t>
  </si>
  <si>
    <t>Vao21</t>
  </si>
  <si>
    <t>Vao22</t>
  </si>
  <si>
    <t>Vao23</t>
  </si>
  <si>
    <t>Vao24</t>
  </si>
  <si>
    <t>Vao25</t>
  </si>
  <si>
    <t>Vao26</t>
  </si>
  <si>
    <t>Vao27</t>
  </si>
  <si>
    <t>Vao28</t>
  </si>
  <si>
    <t>Vao29</t>
  </si>
  <si>
    <t>Vao30</t>
  </si>
  <si>
    <t>Vao31</t>
  </si>
  <si>
    <t>Vao32</t>
  </si>
  <si>
    <t>Xuat4</t>
  </si>
  <si>
    <t>Xuat5</t>
  </si>
  <si>
    <t>Xuat6</t>
  </si>
  <si>
    <t>Xuat7</t>
  </si>
  <si>
    <t>Xuat8</t>
  </si>
  <si>
    <t>Xuat9</t>
  </si>
  <si>
    <t>Xuat10</t>
  </si>
  <si>
    <t>Xuat11</t>
  </si>
  <si>
    <t>Xuat12</t>
  </si>
  <si>
    <t>Xuat13</t>
  </si>
  <si>
    <t>Xuat14</t>
  </si>
  <si>
    <t>Xuat15</t>
  </si>
  <si>
    <t>Xuat16</t>
  </si>
  <si>
    <t>Xuat17</t>
  </si>
  <si>
    <t>Xuat18</t>
  </si>
  <si>
    <t>Xuat19</t>
  </si>
  <si>
    <t>Xuat20</t>
  </si>
  <si>
    <t>Xuat21</t>
  </si>
  <si>
    <t>Xuat22</t>
  </si>
  <si>
    <t>Xuat23</t>
  </si>
  <si>
    <t>Xuat24</t>
  </si>
  <si>
    <t>Xuat25</t>
  </si>
  <si>
    <t>Xuat26</t>
  </si>
  <si>
    <t>Xuat27</t>
  </si>
  <si>
    <t>Xuat28</t>
  </si>
  <si>
    <t>Xuat29</t>
  </si>
  <si>
    <t>Xuat30</t>
  </si>
  <si>
    <t>Xuat31</t>
  </si>
  <si>
    <t>Xuat32</t>
  </si>
  <si>
    <t>Xuat33</t>
  </si>
  <si>
    <t>Xuat34</t>
  </si>
  <si>
    <t>Xuat35</t>
  </si>
  <si>
    <t>Xuat36</t>
  </si>
  <si>
    <t>Xuat37</t>
  </si>
  <si>
    <t>Xuat38</t>
  </si>
  <si>
    <t>Xuat39</t>
  </si>
  <si>
    <t>Xuat40</t>
  </si>
  <si>
    <t>Xuat41</t>
  </si>
  <si>
    <t>Xuat42</t>
  </si>
  <si>
    <t>Xuat43</t>
  </si>
  <si>
    <t>Xuat44</t>
  </si>
  <si>
    <t>Xuat45</t>
  </si>
  <si>
    <t>Xuat46</t>
  </si>
  <si>
    <t>Xuat47</t>
  </si>
  <si>
    <t>Xuat48</t>
  </si>
  <si>
    <t>Xuat49</t>
  </si>
  <si>
    <t>Xuat50</t>
  </si>
  <si>
    <t>Xuat51</t>
  </si>
  <si>
    <t>Xuat52</t>
  </si>
  <si>
    <t>Xuat53</t>
  </si>
  <si>
    <t>Xuat54</t>
  </si>
  <si>
    <t>Xuat55</t>
  </si>
  <si>
    <t>Xuat56</t>
  </si>
  <si>
    <t>Xuat57</t>
  </si>
  <si>
    <t>Xuat58</t>
  </si>
  <si>
    <t>Xuat59</t>
  </si>
  <si>
    <t>Xuat60</t>
  </si>
  <si>
    <t>Xuat61</t>
  </si>
  <si>
    <t>Xuat62</t>
  </si>
  <si>
    <t>Xuat63</t>
  </si>
  <si>
    <t>Xuat64</t>
  </si>
  <si>
    <t>Xuat65</t>
  </si>
  <si>
    <t>Xuat66</t>
  </si>
  <si>
    <t>Xuat67</t>
  </si>
  <si>
    <t>Xuat68</t>
  </si>
  <si>
    <t>Xuat69</t>
  </si>
  <si>
    <t>Xuat70</t>
  </si>
  <si>
    <t>Xuat71</t>
  </si>
  <si>
    <t>Xuat72</t>
  </si>
  <si>
    <t>Xuat73</t>
  </si>
  <si>
    <t>Xuat74</t>
  </si>
  <si>
    <t>Tờ 4</t>
  </si>
  <si>
    <t>Xuat75</t>
  </si>
  <si>
    <t>Xuat76</t>
  </si>
  <si>
    <t>Xuat77</t>
  </si>
  <si>
    <t>Xuat78</t>
  </si>
  <si>
    <t>Xuat79</t>
  </si>
  <si>
    <t>Xuat80</t>
  </si>
  <si>
    <t>Xuat81</t>
  </si>
  <si>
    <t>Xuat82</t>
  </si>
  <si>
    <t>Xuat83</t>
  </si>
  <si>
    <t>Xuat84</t>
  </si>
  <si>
    <t>Xuat85</t>
  </si>
  <si>
    <t>Xuat86</t>
  </si>
  <si>
    <t>Xuat87</t>
  </si>
  <si>
    <t>Xuat88</t>
  </si>
  <si>
    <t>Xuat89</t>
  </si>
  <si>
    <t>Xuat90</t>
  </si>
  <si>
    <t>Xuat91</t>
  </si>
  <si>
    <t>Xuat92</t>
  </si>
  <si>
    <t>Xuat93</t>
  </si>
  <si>
    <t>Xuat94</t>
  </si>
  <si>
    <t>Xuat95</t>
  </si>
  <si>
    <t>Xuat96</t>
  </si>
  <si>
    <t>Xuat97</t>
  </si>
  <si>
    <t>Xuat98</t>
  </si>
  <si>
    <t>Xuat99</t>
  </si>
  <si>
    <t>Xuat100</t>
  </si>
  <si>
    <t>Xuat101</t>
  </si>
  <si>
    <t>Xuat102</t>
  </si>
  <si>
    <t>Xuat103</t>
  </si>
  <si>
    <t>Xuat104</t>
  </si>
  <si>
    <t>Xuat105</t>
  </si>
  <si>
    <t>Xuat106</t>
  </si>
  <si>
    <t>Xuat107</t>
  </si>
  <si>
    <t>Xuat108</t>
  </si>
  <si>
    <t>Xuat109</t>
  </si>
  <si>
    <t>Xuat110</t>
  </si>
  <si>
    <t>Xuat111</t>
  </si>
  <si>
    <t>Xuat112</t>
  </si>
  <si>
    <t>Xuat113</t>
  </si>
  <si>
    <t>Xuat114</t>
  </si>
  <si>
    <t>Xuat115</t>
  </si>
  <si>
    <t>Xuat116</t>
  </si>
  <si>
    <t>Xuat117</t>
  </si>
  <si>
    <t>Xuat118</t>
  </si>
  <si>
    <t>Xuat119</t>
  </si>
  <si>
    <t>Xuat120</t>
  </si>
  <si>
    <t>Xuat121</t>
  </si>
  <si>
    <t>Xuat122</t>
  </si>
  <si>
    <t>Xuat123</t>
  </si>
  <si>
    <t>Xuat124</t>
  </si>
  <si>
    <t>Xuat125</t>
  </si>
  <si>
    <t>Xuat126</t>
  </si>
  <si>
    <t>Xuat127</t>
  </si>
  <si>
    <t>Xuat128</t>
  </si>
  <si>
    <t>Xuat129</t>
  </si>
  <si>
    <t>Xuat130</t>
  </si>
  <si>
    <t>Xuat131</t>
  </si>
  <si>
    <t>Xuat132</t>
  </si>
  <si>
    <t>Xuat133</t>
  </si>
  <si>
    <t>Xuat134</t>
  </si>
  <si>
    <t>Xuat135</t>
  </si>
  <si>
    <t>Xuat136</t>
  </si>
  <si>
    <t>Xuat137</t>
  </si>
  <si>
    <t>Xuat138</t>
  </si>
  <si>
    <t>Xuat139</t>
  </si>
  <si>
    <t>Xuat140</t>
  </si>
  <si>
    <t>Xuat141</t>
  </si>
  <si>
    <t>Xuat142</t>
  </si>
  <si>
    <t>Xuat143</t>
  </si>
  <si>
    <t>Xuat144</t>
  </si>
  <si>
    <t>Xuat145</t>
  </si>
  <si>
    <t>Xuat146</t>
  </si>
  <si>
    <t>Xuat147</t>
  </si>
  <si>
    <t>Xuat148</t>
  </si>
  <si>
    <t>Xuat149</t>
  </si>
  <si>
    <t>Xuat150</t>
  </si>
  <si>
    <t>Xuat151</t>
  </si>
  <si>
    <t>Xuat152</t>
  </si>
  <si>
    <t>Xuat153</t>
  </si>
  <si>
    <t>Xuat154</t>
  </si>
  <si>
    <t>Xuat155</t>
  </si>
  <si>
    <t>Xuat156</t>
  </si>
  <si>
    <t>Xuat157</t>
  </si>
  <si>
    <t>Xuat158</t>
  </si>
  <si>
    <t>Xuat159</t>
  </si>
  <si>
    <t>Xuat160</t>
  </si>
  <si>
    <t>Xuat161</t>
  </si>
  <si>
    <t>Xuat162</t>
  </si>
  <si>
    <t>Xuat163</t>
  </si>
  <si>
    <t>Xuat164</t>
  </si>
  <si>
    <t>Xuat165</t>
  </si>
  <si>
    <t>Xuat166</t>
  </si>
  <si>
    <t>Xuat167</t>
  </si>
  <si>
    <t>Xuat168</t>
  </si>
  <si>
    <t>Xuat169</t>
  </si>
  <si>
    <t>Xuat170</t>
  </si>
  <si>
    <t>Ghi chú:</t>
  </si>
  <si>
    <t>CÔNG TY TNHH ĐTPT CHĂN NUÔI LỢN DABACO</t>
  </si>
  <si>
    <t>Hàng ngang: 4 - 32 là trọng lượng của lợn nhập chuồng.</t>
  </si>
  <si>
    <t>Hàng dọc: 6 - 140 là trọng lượng của lợn xuất chuồng.</t>
  </si>
  <si>
    <r>
      <t>Ví dụ</t>
    </r>
    <r>
      <rPr>
        <sz val="8"/>
        <rFont val="Calibri"/>
        <family val="2"/>
      </rPr>
      <t xml:space="preserve">: Lợn nhập chuồng 06kg, lợn xuất chuồng 100kg </t>
    </r>
  </si>
  <si>
    <t>thì số lượng cám tiêu tốn cho 01kg lợn tăng trọng là 2,307kg,</t>
  </si>
  <si>
    <t xml:space="preserve"> Số kg tăng trọng là: 100 - 6 = 94(kg)</t>
  </si>
  <si>
    <t>20_01</t>
  </si>
  <si>
    <t>ma</t>
  </si>
  <si>
    <t>trai</t>
  </si>
  <si>
    <t>cong_ty</t>
  </si>
  <si>
    <t>chuong</t>
  </si>
  <si>
    <t>ma_lo_nhap</t>
  </si>
  <si>
    <t>1</t>
  </si>
  <si>
    <t>2</t>
  </si>
  <si>
    <t>sum_cam</t>
  </si>
  <si>
    <t>sum_chet</t>
  </si>
  <si>
    <t>sum_ban</t>
  </si>
  <si>
    <t>sum_kg_nhap</t>
  </si>
  <si>
    <t>sum_kg_ban</t>
  </si>
  <si>
    <t>Lô</t>
  </si>
  <si>
    <t>103</t>
  </si>
  <si>
    <t>LK1415-1</t>
  </si>
  <si>
    <t>4</t>
  </si>
  <si>
    <t>5</t>
  </si>
  <si>
    <t>3</t>
  </si>
  <si>
    <t>Số ngày nuôi TB</t>
  </si>
  <si>
    <t>2020-09-06</t>
  </si>
  <si>
    <t>6</t>
  </si>
  <si>
    <t>7</t>
  </si>
  <si>
    <t>8</t>
  </si>
  <si>
    <t>9</t>
  </si>
  <si>
    <t>9-10</t>
  </si>
  <si>
    <t>10</t>
  </si>
  <si>
    <t>9-11</t>
  </si>
  <si>
    <t>11</t>
  </si>
  <si>
    <t>9-12</t>
  </si>
  <si>
    <t>Tổng</t>
  </si>
  <si>
    <t>PD02</t>
  </si>
  <si>
    <t>PD02101</t>
  </si>
  <si>
    <t>PD98</t>
  </si>
  <si>
    <t>PD98101</t>
  </si>
  <si>
    <t>PD78</t>
  </si>
  <si>
    <t>PD78101</t>
  </si>
  <si>
    <t>PD77</t>
  </si>
  <si>
    <t>PD77101</t>
  </si>
  <si>
    <t>PD76</t>
  </si>
  <si>
    <t>PD76101</t>
  </si>
  <si>
    <t>PD75</t>
  </si>
  <si>
    <t>PD75101</t>
  </si>
  <si>
    <t>PD65</t>
  </si>
  <si>
    <t>PD65101</t>
  </si>
  <si>
    <t>PD63</t>
  </si>
  <si>
    <t>PD63101</t>
  </si>
  <si>
    <t>PD62</t>
  </si>
  <si>
    <t>PD62101</t>
  </si>
  <si>
    <t>PD61</t>
  </si>
  <si>
    <t>PD61101</t>
  </si>
  <si>
    <t>PD53</t>
  </si>
  <si>
    <t>PD53101</t>
  </si>
  <si>
    <t>PD38</t>
  </si>
  <si>
    <t>PD38101</t>
  </si>
  <si>
    <t>PD319</t>
  </si>
  <si>
    <t>PD319101</t>
  </si>
  <si>
    <t>PD318</t>
  </si>
  <si>
    <t>PD318101</t>
  </si>
  <si>
    <t>PD310</t>
  </si>
  <si>
    <t>PD310101</t>
  </si>
  <si>
    <t>PD04</t>
  </si>
  <si>
    <t>PD04101</t>
  </si>
  <si>
    <t>PD03</t>
  </si>
  <si>
    <t>PD03101</t>
  </si>
  <si>
    <t>LV05</t>
  </si>
  <si>
    <t>LV05101</t>
  </si>
  <si>
    <t>LV04</t>
  </si>
  <si>
    <t>LV04101</t>
  </si>
  <si>
    <t>LV03</t>
  </si>
  <si>
    <t>LV03101</t>
  </si>
  <si>
    <t>LV02</t>
  </si>
  <si>
    <t>LV02101</t>
  </si>
  <si>
    <t>LV01</t>
  </si>
  <si>
    <t>LV01101</t>
  </si>
  <si>
    <t>PD28</t>
  </si>
  <si>
    <t>PD28101</t>
  </si>
  <si>
    <t>LV07</t>
  </si>
  <si>
    <t>LV07101</t>
  </si>
  <si>
    <t>LV06</t>
  </si>
  <si>
    <t>LV06101</t>
  </si>
  <si>
    <t>PD269</t>
  </si>
  <si>
    <t>PD269101</t>
  </si>
  <si>
    <t>PD438</t>
  </si>
  <si>
    <t>PD438101</t>
  </si>
  <si>
    <t>PD406</t>
  </si>
  <si>
    <t>PD406101</t>
  </si>
  <si>
    <t>PD928</t>
  </si>
  <si>
    <t>PD928101</t>
  </si>
  <si>
    <t>PD306</t>
  </si>
  <si>
    <t>PD306101</t>
  </si>
  <si>
    <t>PD313</t>
  </si>
  <si>
    <t>PD313101</t>
  </si>
  <si>
    <t>PD348</t>
  </si>
  <si>
    <t>PD348101</t>
  </si>
  <si>
    <t>pp01</t>
  </si>
  <si>
    <t>pp01101</t>
  </si>
  <si>
    <t>PD58</t>
  </si>
  <si>
    <t>PD58101</t>
  </si>
  <si>
    <t>PD10</t>
  </si>
  <si>
    <t>PD10101</t>
  </si>
  <si>
    <t>PD66</t>
  </si>
  <si>
    <t>PD66101</t>
  </si>
  <si>
    <t xml:space="preserve"> </t>
  </si>
  <si>
    <t>Tháng</t>
  </si>
  <si>
    <t>Thang dong</t>
  </si>
  <si>
    <t>xoa chi tiet</t>
  </si>
  <si>
    <t>Chỉ tiêu</t>
  </si>
  <si>
    <t>xem ngày 01-01-năm là thứ mấy (trả về 1 là CN, 2, thứ 2....7 là thứ 7)</t>
  </si>
  <si>
    <t>Tính ngày chủ nhật gần nhất trước ngày 01-01-năm</t>
  </si>
  <si>
    <t>kết thúc tuần 18 là 18 tuần kể từ ngày ô E2</t>
  </si>
  <si>
    <t>Ngày kết thúc tuần 18</t>
  </si>
  <si>
    <t>Ngày đầu tuần 18</t>
  </si>
  <si>
    <t>xem năm có bao nhiêu tuần</t>
  </si>
  <si>
    <t>Quy ước ngày cuối cùng của năm là ngày thứ 7 thì năm đó có 53 tuần</t>
  </si>
  <si>
    <t>SUM(data_thit.so_luong_nhap)</t>
  </si>
  <si>
    <t>SUM(data_thit.kg_nhap)</t>
  </si>
  <si>
    <t>SUM(data_thit.cam_0)</t>
  </si>
  <si>
    <t>SUM(data_thit.chet_loai)</t>
  </si>
  <si>
    <t>SUM(data_thit.ban)</t>
  </si>
  <si>
    <t>SUM(data_thit.kg_ban)</t>
  </si>
  <si>
    <t>SUM(data_thit.chuyen_den)</t>
  </si>
  <si>
    <t>SUM(data_thit.chuyen_di)</t>
  </si>
  <si>
    <t>Tồn đầu</t>
  </si>
  <si>
    <t>Nhập</t>
  </si>
  <si>
    <t>Chuyển đến</t>
  </si>
  <si>
    <t>Chết</t>
  </si>
  <si>
    <t>Tỷ lệ chết</t>
  </si>
  <si>
    <t>Bán thịt</t>
  </si>
  <si>
    <t>Bán giống</t>
  </si>
  <si>
    <t>Cám</t>
  </si>
  <si>
    <t>Thuốc</t>
  </si>
  <si>
    <t>Chuyển đi</t>
  </si>
  <si>
    <t>Tồn cuối</t>
  </si>
  <si>
    <t>Trọng lượng</t>
  </si>
  <si>
    <t>Trọng  lượng</t>
  </si>
  <si>
    <t>Tuổi</t>
  </si>
  <si>
    <t>ngay_dong</t>
  </si>
  <si>
    <t>tồn đầu</t>
  </si>
  <si>
    <t>SELECT * FROM (SELECT CONCAT(data_thit.cong_ty, data_thit.trai, data_thit.chuong) AS ma, data_thit.cong_ty, data_thit.trai, data_thit.chuong, data_thit.ma_lo_nhap, SUM(data_thit.so_luong_nhap)    , SUM(data_thit.kg_nhap)    , SUM(data_thit.cam_0)  , SUM(data_thit.chet_loai)  , SUM(data_thit.ban)    , SUM(data_thit.kg_ban) , SUM(data_thit.chuyen_den) , SUM(data_thit.chuyen_di) FROM data_thit WHERE cong_ty  = 103 AND data_thit.ngay &gt;= '2020-7-9' AND data_thit.ngay &lt;= '2020-11-17' AND (data_thit.ngay_dong = 0 OR data_thit.ngay_dong &gt;= '2020-7-9') Group By data_thit.cong_ty, data_thit.trai, data_thit.chuong) AS bang_dien_bien_tuan  LEFT JOIN (SELECT CONCAT(data_thit.cong_ty, data_thit.trai, data_thit.chuong) AS ma, data_thit.ngay_dong, SUM(data_thit.so_luong_nhap)-SUM(data_thit.chet_loai)-SUM(data_thit.ban) AS ton_dau FROM data_thit WHERE data_thit.ngay &lt;'2020-7-9' AND data_thit.cong_ty=103 AND (data_thit.ngay_dong =0 OR data_thit.ngay_dong &gt;= '2020-7-9') Group By data_thit.cong_ty, data_thit.trai, data_thit.chuong ) AS bang_ton_dau ON bang_dien_bien_tuan.ma = bang_ton_dau.ma</t>
  </si>
  <si>
    <t>21a-01</t>
  </si>
  <si>
    <t>công ty</t>
  </si>
  <si>
    <t>tháng</t>
  </si>
  <si>
    <t>"</t>
  </si>
  <si>
    <t>Ngày đầu tháng</t>
  </si>
  <si>
    <t>Ngày kết thúc tháng</t>
  </si>
  <si>
    <t>Ngày kết thúc năm</t>
  </si>
  <si>
    <t>Ngày đầu năm</t>
  </si>
  <si>
    <t>00-00</t>
  </si>
  <si>
    <t>SELECT * FROM (SELECT *, CONCAT(bang_ton_dau.cong_ty,"-", bang_ton_dau.trai,"-", bang_ton_dau.chuong) AS ma FROM (SELECT data_thit.cong_ty, data_thit.trai, data_thit.chuong, data_thit.ngay_dong, SUM(data_thit.so_luong_nhap)-SUM(data_thit.chet_loai)-SUM(data_thit.ban) AS ton_dau FROM data_thit WHERE data_thit.ngay&lt;para_ngay_bat_dau AND data_thit.cong_ty=para_cong_ty AND (data_thit.ngay_dong =0 OR data_thit.ngay_dong &gt;para_ngay_ket_thuc OR data_thit.ngay_dong &lt;para_ngay_bat_dau ) Group By data_thit.cong_ty, data_thit.trai, data_thit.chuong) AS bang_ton_dau ) AS bang_ton_dau_vba LEFT JOIN (SELECT *,  CONCAT(bang_dien_bien_tuan.cong_ty,"-", bang_dien_bien_tuan.trai,"-", bang_dien_bien_tuan.chuong) AS ma FROM (SELECT data_thit.cong_ty, data_thit.trai, data_thit.chuong ,data_thit.ma_lo_nhap,  SUM(data_thit.so_luong_nhap)   , SUM(data_thit.kg_nhap)  , SUM(data_thit.cam_0)   , SUM(data_thit.chet_loai), SUM(data_thit.ban)    , SUM(data_thit.kg_ban)  , SUM(data_thit.chuyen_den)  , SUM(data_thit.chuyen_di)  FROM data_thit WHERE cong_ty  = para_cong_ty AND data_thit.ngay &gt;= para_ngay_bat_dau AND data_thit.ngay &lt;= para_ngay_ket_thuc GROUP BY data_thit.cong_ty , data_thit.trai , data_thit.chuong ) AS bang_dien_bien_tuan ) AS bang_dien_bien_tuan_vba ON bang_ton_dau_vba.ma = bang_dien_bien_tuan_vba.ma</t>
  </si>
</sst>
</file>

<file path=xl/styles.xml><?xml version="1.0" encoding="utf-8"?>
<styleSheet xmlns="http://schemas.openxmlformats.org/spreadsheetml/2006/main">
  <numFmts count="75">
    <numFmt numFmtId="43" formatCode="_(* #,##0.00_);_(* \(#,##0.00\);_(* &quot;-&quot;??_);_(@_)"/>
    <numFmt numFmtId="164" formatCode="_-* #,##0.00\ _₫_-;\-* #,##0.00\ _₫_-;_-* &quot;-&quot;??\ _₫_-;_-@_-"/>
    <numFmt numFmtId="165" formatCode="_(* #,##0_);_(* \(#,##0\);_(* &quot;-&quot;??_);_(@_)"/>
    <numFmt numFmtId="166" formatCode="_-* #,##0.0\ _₫_-;\-* #,##0.0\ _₫_-;_-* &quot;-&quot;??\ _₫_-;_-@_-"/>
    <numFmt numFmtId="167" formatCode="_(* #,##0.0_);_(* \(#,##0.0\);_(* &quot;-&quot;??_);_(@_)"/>
    <numFmt numFmtId="168" formatCode="_(* #,##0.000_);_(* \(#,##0.000\);_(* &quot;-&quot;??_);_(@_)"/>
    <numFmt numFmtId="169" formatCode="_-* #,##0.0\ _S_I_T_-;\-* #,##0.0\ _S_I_T_-;_-* &quot;-&quot;??\ _S_I_T_-;_-@_-"/>
    <numFmt numFmtId="170" formatCode="_-* #,##0.000\ _₫_-;\-* #,##0.000\ _₫_-;_-* &quot;-&quot;??\ _₫_-;_-@_-"/>
    <numFmt numFmtId="171" formatCode="0.000"/>
    <numFmt numFmtId="172" formatCode="_-* #,##0\ _m_k_-;\-* #,##0\ _m_k_-;_-* &quot;-&quot;\ _m_k_-;_-@_-"/>
    <numFmt numFmtId="173" formatCode="_-* #,##0\ &quot;mk&quot;_-;\-* #,##0\ &quot;mk&quot;_-;_-* &quot;-&quot;\ &quot;mk&quot;_-;_-@_-"/>
    <numFmt numFmtId="174" formatCode="_-* #,##0\ _S_I_T_-;\-* #,##0\ _S_I_T_-;_-* &quot;-&quot;\ _S_I_T_-;_-@_-"/>
    <numFmt numFmtId="175" formatCode="_-* #,##0.00\ _S_I_T_-;\-* #,##0.00\ _S_I_T_-;_-* &quot;-&quot;??\ _S_I_T_-;_-@_-"/>
    <numFmt numFmtId="176" formatCode="#,##0\ &quot;SIT&quot;;[Red]\-#,##0\ &quot;SIT&quot;"/>
    <numFmt numFmtId="177" formatCode="_-&quot;SIT&quot;* #,##0_-;\-&quot;SIT&quot;* #,##0_-;_-&quot;SIT&quot;* &quot;-&quot;_-;_-@_-"/>
    <numFmt numFmtId="178" formatCode="_-&quot;SIT&quot;* #,##0.00_-;\-&quot;SIT&quot;* #,##0.00_-;_-&quot;SIT&quot;* &quot;-&quot;??_-;_-@_-"/>
    <numFmt numFmtId="179" formatCode="&quot;SIT&quot;\ #,##0;[Red]&quot;SIT&quot;\ \-#,##0"/>
    <numFmt numFmtId="180" formatCode="&quot;\&quot;#,##0.00;[Red]&quot;\&quot;\-#,##0.00"/>
    <numFmt numFmtId="181" formatCode="&quot;\&quot;#,##0;[Red]&quot;\&quot;\-#,##0"/>
    <numFmt numFmtId="182" formatCode="#,##0_)_%;\(#,##0\)_%;"/>
    <numFmt numFmtId="183" formatCode="_._.* #,##0.0_)_%;_._.* \(#,##0.0\)_%"/>
    <numFmt numFmtId="184" formatCode="#,##0.0_)_%;\(#,##0.0\)_%;\ \ .0_)_%"/>
    <numFmt numFmtId="185" formatCode="_._.* #,##0.00_)_%;_._.* \(#,##0.00\)_%"/>
    <numFmt numFmtId="186" formatCode="#,##0.00_)_%;\(#,##0.00\)_%;\ \ .00_)_%"/>
    <numFmt numFmtId="187" formatCode="_._.* #,##0.000_)_%;_._.* \(#,##0.000\)_%"/>
    <numFmt numFmtId="188" formatCode="#,##0.000_)_%;\(#,##0.000\)_%;\ \ .000_)_%"/>
    <numFmt numFmtId="189" formatCode="[$-1010000]d/m/yyyy;@"/>
    <numFmt numFmtId="190" formatCode="_(* #,##0.0_);_(* \(#,##0.0\);_(* &quot;-&quot;?_);_(@_)"/>
    <numFmt numFmtId="191" formatCode="_._.* \(#,##0\)_%;_._.* #,##0_)_%;_._.* 0_)_%;_._.@_)_%"/>
    <numFmt numFmtId="192" formatCode="_._.&quot;SIT&quot;* \(#,##0\)_%;_._.&quot;SIT&quot;* #,##0_)_%;_._.&quot;SIT&quot;* 0_)_%;_._.@_)_%"/>
    <numFmt numFmtId="193" formatCode="* \(#,##0\);* #,##0_);&quot;-&quot;??_);@"/>
    <numFmt numFmtId="194" formatCode="_ &quot;R&quot;\ * #,##0_ ;_ &quot;R&quot;\ * \-#,##0_ ;_ &quot;R&quot;\ * &quot;-&quot;_ ;_ @_ "/>
    <numFmt numFmtId="195" formatCode="_-* #,##0_-;\-* #,##0_-;_-* &quot;-&quot;_-;_-@_-"/>
    <numFmt numFmtId="196" formatCode="&quot;SIT&quot;* #,##0_)_%;&quot;SIT&quot;* \(#,##0\)_%;&quot;SIT&quot;* &quot;-&quot;??_)_%;@_)_%"/>
    <numFmt numFmtId="197" formatCode="_._.&quot;SIT&quot;* #,##0.0_)_%;_._.&quot;SIT&quot;* \(#,##0.0\)_%"/>
    <numFmt numFmtId="198" formatCode="&quot;SIT&quot;* #,##0.0_)_%;&quot;SIT&quot;* \(#,##0.0\)_%;&quot;SIT&quot;* \ .0_)_%"/>
    <numFmt numFmtId="199" formatCode="_._.&quot;€&quot;* #,##0.0_)_%;_._.&quot;€&quot;* \(#,##0.0\)_%"/>
    <numFmt numFmtId="200" formatCode="_._.&quot;SIT&quot;* #,##0.00_)_%;_._.&quot;SIT&quot;* \(#,##0.00\)_%"/>
    <numFmt numFmtId="201" formatCode="&quot;SIT&quot;* #,##0.00_)_%;&quot;SIT&quot;* \(#,##0.00\)_%;&quot;SIT&quot;* \ .00_)_%"/>
    <numFmt numFmtId="202" formatCode="_._.&quot;€&quot;* #,##0.00_)_%;_._.&quot;€&quot;* \(#,##0.00\)_%"/>
    <numFmt numFmtId="203" formatCode="_._.&quot;SIT&quot;* #,##0.000_)_%;_._.&quot;SIT&quot;* \(#,##0.000\)_%"/>
    <numFmt numFmtId="204" formatCode="&quot;SIT&quot;* #,##0.000_)_%;&quot;SIT&quot;* \(#,##0.000\)_%;&quot;SIT&quot;* \ .000_)_%"/>
    <numFmt numFmtId="205" formatCode="_._.&quot;€&quot;* #,##0.000_)_%;_._.&quot;€&quot;* \(#,##0.000\)_%"/>
    <numFmt numFmtId="206" formatCode="\$#,##0\ ;\(\$#,##0\)"/>
    <numFmt numFmtId="207" formatCode="_(* #,##0.0000000_);_(* \(#,##0.0000000\);_(* &quot;-&quot;??_);_(@_)"/>
    <numFmt numFmtId="208" formatCode="* #,##0_);* \(#,##0\);&quot;-&quot;??_);@"/>
    <numFmt numFmtId="209" formatCode="&quot;\&quot;#,##0;[Red]&quot;\&quot;&quot;\&quot;\-#,##0"/>
    <numFmt numFmtId="210" formatCode="&quot;\&quot;#,##0.00;[Red]&quot;\&quot;&quot;\&quot;&quot;\&quot;&quot;\&quot;&quot;\&quot;&quot;\&quot;\-#,##0.00"/>
    <numFmt numFmtId="211" formatCode="0.0"/>
    <numFmt numFmtId="212" formatCode="#,###"/>
    <numFmt numFmtId="213" formatCode="_(* #,##0.00000_);_(* \(#,##0.00000\);_(* &quot;-&quot;??_);_(@_)"/>
    <numFmt numFmtId="214" formatCode="_(* #,##0.000000_);_(* \(#,##0.000000\);_(* &quot;-&quot;??_);_(@_)"/>
    <numFmt numFmtId="215" formatCode="0#,###,#&quot;.&quot;00"/>
    <numFmt numFmtId="216" formatCode="_-* #,##0.00_-;\-* #,##0.00_-;_-* &quot;-&quot;??_-;_-@_-"/>
    <numFmt numFmtId="217" formatCode="0_)%;\(0\)%"/>
    <numFmt numFmtId="218" formatCode="_._._(* 0_)%;_._.* \(0\)%"/>
    <numFmt numFmtId="219" formatCode="_(0_)%;\(0\)%"/>
    <numFmt numFmtId="220" formatCode="0%_);\(0%\)"/>
    <numFmt numFmtId="221" formatCode="_(0.0_)%;\(0.0\)%"/>
    <numFmt numFmtId="222" formatCode="_._._(* 0.0_)%;_._.* \(0.0\)%"/>
    <numFmt numFmtId="223" formatCode="_(0.00_)%;\(0.00\)%"/>
    <numFmt numFmtId="224" formatCode="_._._(* 0.00_)%;_._.* \(0.00\)%"/>
    <numFmt numFmtId="225" formatCode="_(0.000_)%;\(0.000\)%"/>
    <numFmt numFmtId="226" formatCode="_._._(* 0.000_)%;_._.* \(0.000\)%"/>
    <numFmt numFmtId="227" formatCode="#"/>
    <numFmt numFmtId="228" formatCode="&quot;¡Ì&quot;#,##0;[Red]\-&quot;¡Ì&quot;#,##0"/>
    <numFmt numFmtId="229" formatCode="#,##0.00\ &quot;F&quot;;[Red]\-#,##0.00\ &quot;F&quot;"/>
    <numFmt numFmtId="230" formatCode="_-* #,##0\ &quot;F&quot;_-;\-* #,##0\ &quot;F&quot;_-;_-* &quot;-&quot;\ &quot;F&quot;_-;_-@_-"/>
    <numFmt numFmtId="231" formatCode="#,##0\ &quot;F&quot;;[Red]\-#,##0\ &quot;F&quot;"/>
    <numFmt numFmtId="232" formatCode="#,##0.00\ &quot;F&quot;;\-#,##0.00\ &quot;F&quot;"/>
    <numFmt numFmtId="233" formatCode="_ * #,##0_ ;_ * \-#,##0_ ;_ * &quot;-&quot;_ ;_ @_ "/>
    <numFmt numFmtId="234" formatCode="_ * #,##0.00_ ;_ * \-#,##0.00_ ;_ * &quot;-&quot;??_ ;_ @_ "/>
    <numFmt numFmtId="235" formatCode="&quot;￥&quot;#,##0;&quot;￥&quot;\-#,##0"/>
    <numFmt numFmtId="236" formatCode="00.000"/>
    <numFmt numFmtId="237" formatCode="#,##0&quot;SIT&quot;_);[Red]\(#,##0&quot;SIT&quot;\)"/>
  </numFmts>
  <fonts count="81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1"/>
      <color theme="1"/>
      <name val="Arial"/>
      <family val="2"/>
    </font>
    <font>
      <sz val="11"/>
      <color rgb="FF000000"/>
      <name val="Calibri"/>
      <family val="2"/>
    </font>
    <font>
      <sz val="11"/>
      <color rgb="FF000000"/>
      <name val="&quot;Times New Roman&quot;"/>
    </font>
    <font>
      <sz val="11"/>
      <color theme="1"/>
      <name val="Calibri"/>
      <family val="2"/>
    </font>
    <font>
      <sz val="11"/>
      <name val="Arial"/>
      <family val="2"/>
    </font>
    <font>
      <sz val="11"/>
      <name val="Calibri"/>
      <family val="2"/>
    </font>
    <font>
      <sz val="11"/>
      <color theme="1"/>
      <name val="Calibri"/>
      <family val="2"/>
      <scheme val="minor"/>
    </font>
    <font>
      <sz val="10"/>
      <name val=".VnTime"/>
      <family val="2"/>
    </font>
    <font>
      <sz val="8"/>
      <color rgb="FF000000"/>
      <name val="Times New Roman"/>
      <family val="1"/>
    </font>
    <font>
      <sz val="8"/>
      <color rgb="FFFF0000"/>
      <name val="Times New Roman"/>
      <family val="1"/>
    </font>
    <font>
      <sz val="8"/>
      <color theme="1"/>
      <name val="Times New Roman"/>
      <family val="1"/>
    </font>
    <font>
      <sz val="10"/>
      <name val="Arial"/>
      <family val="2"/>
    </font>
    <font>
      <sz val="11"/>
      <color indexed="8"/>
      <name val="Calibri"/>
      <family val="2"/>
    </font>
    <font>
      <b/>
      <sz val="9"/>
      <name val=".VnTime"/>
      <family val="2"/>
    </font>
    <font>
      <b/>
      <sz val="7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sz val="7"/>
      <name val="Calibri"/>
      <family val="2"/>
      <scheme val="minor"/>
    </font>
    <font>
      <sz val="12"/>
      <name val=".VnTime"/>
      <family val="2"/>
    </font>
    <font>
      <sz val="6.5"/>
      <name val=".VnArial Narrow"/>
      <family val="2"/>
    </font>
    <font>
      <b/>
      <sz val="9"/>
      <name val="Calibri"/>
      <family val="2"/>
      <scheme val="minor"/>
    </font>
    <font>
      <sz val="8"/>
      <name val="Calibri"/>
      <family val="2"/>
      <scheme val="minor"/>
    </font>
    <font>
      <b/>
      <sz val="8"/>
      <name val="Calibri"/>
      <family val="2"/>
      <scheme val="minor"/>
    </font>
    <font>
      <b/>
      <u/>
      <sz val="8"/>
      <name val="Calibri"/>
      <family val="2"/>
      <scheme val="minor"/>
    </font>
    <font>
      <sz val="8"/>
      <name val="Calibri"/>
      <family val="2"/>
    </font>
    <font>
      <sz val="12"/>
      <name val="Arial"/>
      <family val="2"/>
    </font>
    <font>
      <sz val="12"/>
      <name val="돋움체"/>
      <family val="3"/>
      <charset val="129"/>
    </font>
    <font>
      <sz val="10"/>
      <name val="?? ??"/>
      <family val="1"/>
      <charset val="136"/>
    </font>
    <font>
      <sz val="14"/>
      <name val="??"/>
      <family val="3"/>
      <charset val="129"/>
    </font>
    <font>
      <sz val="9"/>
      <name val="Arial"/>
      <family val="2"/>
    </font>
    <font>
      <sz val="12"/>
      <name val="Courier"/>
      <family val="3"/>
    </font>
    <font>
      <sz val="12"/>
      <name val="???"/>
      <family val="1"/>
      <charset val="129"/>
    </font>
    <font>
      <sz val="10"/>
      <name val="Times New Roman"/>
      <family val="1"/>
    </font>
    <font>
      <b/>
      <u/>
      <sz val="14"/>
      <color indexed="8"/>
      <name val=".VnBook-AntiquaH"/>
      <family val="2"/>
    </font>
    <font>
      <sz val="12"/>
      <name val="???"/>
      <family val="3"/>
    </font>
    <font>
      <sz val="12"/>
      <name val="바탕체"/>
      <family val="3"/>
    </font>
    <font>
      <i/>
      <sz val="12"/>
      <color indexed="8"/>
      <name val=".VnBook-AntiquaH"/>
      <family val="2"/>
    </font>
    <font>
      <b/>
      <sz val="12"/>
      <color indexed="8"/>
      <name val=".VnBook-Antiqua"/>
      <family val="2"/>
    </font>
    <font>
      <i/>
      <sz val="12"/>
      <color indexed="8"/>
      <name val=".VnBook-Antiqua"/>
      <family val="2"/>
    </font>
    <font>
      <sz val="12"/>
      <name val="¹UAAA¼"/>
      <family val="3"/>
      <charset val="129"/>
    </font>
    <font>
      <sz val="11"/>
      <name val="돋움"/>
      <charset val="129"/>
    </font>
    <font>
      <b/>
      <sz val="11"/>
      <name val="Arial"/>
      <family val="2"/>
    </font>
    <font>
      <b/>
      <sz val="8"/>
      <name val="Arial"/>
      <family val="2"/>
    </font>
    <font>
      <sz val="11"/>
      <name val="Times New Roman"/>
      <family val="1"/>
    </font>
    <font>
      <u val="singleAccounting"/>
      <sz val="11"/>
      <name val="Times New Roman"/>
      <family val="1"/>
    </font>
    <font>
      <sz val="14"/>
      <name val="Arial"/>
      <family val="2"/>
    </font>
    <font>
      <sz val="10"/>
      <name val="Arial"/>
      <family val="2"/>
      <charset val="163"/>
    </font>
    <font>
      <sz val="12"/>
      <name val="Times New Roman"/>
      <family val="1"/>
    </font>
    <font>
      <sz val="12"/>
      <color theme="1"/>
      <name val="Times New Roman"/>
      <family val="2"/>
    </font>
    <font>
      <sz val="14"/>
      <name val="Arial"/>
      <family val="2"/>
      <charset val="163"/>
    </font>
    <font>
      <b/>
      <sz val="16"/>
      <name val="Times New Roman"/>
      <family val="1"/>
    </font>
    <font>
      <sz val="11"/>
      <color indexed="12"/>
      <name val="Times New Roman"/>
      <family val="1"/>
    </font>
    <font>
      <sz val="13"/>
      <name val=".VnTime"/>
      <family val="2"/>
    </font>
    <font>
      <sz val="8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b/>
      <sz val="18"/>
      <name val="Arial"/>
      <family val="2"/>
    </font>
    <font>
      <u/>
      <sz val="10"/>
      <color indexed="12"/>
      <name val="Arial"/>
      <family val="2"/>
      <charset val="163"/>
    </font>
    <font>
      <sz val="12"/>
      <name val="??"/>
      <family val="1"/>
      <charset val="129"/>
    </font>
    <font>
      <sz val="10"/>
      <name val=".VnAvant"/>
      <family val="2"/>
    </font>
    <font>
      <sz val="7"/>
      <name val="Small Fonts"/>
      <family val="2"/>
    </font>
    <font>
      <sz val="12"/>
      <name val="VNtimes new roman"/>
      <family val="2"/>
    </font>
    <font>
      <sz val="11"/>
      <name val="–¾’©"/>
      <family val="1"/>
      <charset val="128"/>
    </font>
    <font>
      <sz val="11"/>
      <name val="3C_Times_T"/>
    </font>
    <font>
      <sz val="10"/>
      <name val="MS Sans Serif"/>
      <family val="2"/>
    </font>
    <font>
      <sz val="11"/>
      <name val=".VnTime"/>
      <family val="2"/>
    </font>
    <font>
      <sz val="10"/>
      <name val="3C_Times_T"/>
    </font>
    <font>
      <b/>
      <sz val="13"/>
      <color indexed="8"/>
      <name val=".VnTimeH"/>
      <family val="2"/>
    </font>
    <font>
      <b/>
      <sz val="10"/>
      <color indexed="10"/>
      <name val="Arial"/>
      <family val="2"/>
    </font>
    <font>
      <sz val="10"/>
      <name val=" "/>
      <family val="1"/>
      <charset val="136"/>
    </font>
    <font>
      <sz val="14"/>
      <name val="뼻뮝"/>
      <family val="3"/>
    </font>
    <font>
      <sz val="12"/>
      <name val="뼻뮝"/>
      <family val="3"/>
    </font>
    <font>
      <sz val="10"/>
      <name val="명조"/>
      <family val="3"/>
      <charset val="129"/>
    </font>
    <font>
      <sz val="12"/>
      <name val="바탕체"/>
      <family val="1"/>
      <charset val="129"/>
    </font>
    <font>
      <sz val="11"/>
      <name val="돋움"/>
      <family val="3"/>
    </font>
    <font>
      <sz val="10"/>
      <name val="굴림체"/>
      <family val="3"/>
    </font>
    <font>
      <sz val="9"/>
      <name val="ＭＳ 明朝"/>
      <family val="1"/>
      <charset val="128"/>
    </font>
    <font>
      <sz val="8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rgb="FF00B0F0"/>
        <bgColor indexed="64"/>
      </patternFill>
    </fill>
  </fills>
  <borders count="2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</borders>
  <cellStyleXfs count="312">
    <xf numFmtId="0" fontId="0" fillId="0" borderId="0"/>
    <xf numFmtId="0" fontId="1" fillId="0" borderId="0"/>
    <xf numFmtId="164" fontId="9" fillId="0" borderId="0" applyFont="0" applyFill="0" applyBorder="0" applyAlignment="0" applyProtection="0"/>
    <xf numFmtId="0" fontId="9" fillId="0" borderId="0"/>
    <xf numFmtId="169" fontId="13" fillId="0" borderId="0" applyFont="0" applyFill="0" applyBorder="0" applyAlignment="0" applyProtection="0"/>
    <xf numFmtId="164" fontId="14" fillId="0" borderId="0" applyFont="0" applyFill="0" applyBorder="0" applyAlignment="0" applyProtection="0"/>
    <xf numFmtId="0" fontId="13" fillId="0" borderId="0"/>
    <xf numFmtId="164" fontId="13" fillId="0" borderId="0" applyFont="0" applyFill="0" applyBorder="0" applyAlignment="0" applyProtection="0"/>
    <xf numFmtId="0" fontId="27" fillId="0" borderId="0"/>
    <xf numFmtId="3" fontId="28" fillId="0" borderId="5"/>
    <xf numFmtId="172" fontId="13" fillId="0" borderId="0" applyFont="0" applyFill="0" applyBorder="0" applyAlignment="0" applyProtection="0"/>
    <xf numFmtId="0" fontId="29" fillId="0" borderId="0" applyFont="0" applyFill="0" applyBorder="0" applyAlignment="0" applyProtection="0"/>
    <xf numFmtId="173" fontId="13" fillId="0" borderId="0" applyFont="0" applyFill="0" applyBorder="0" applyAlignment="0" applyProtection="0"/>
    <xf numFmtId="40" fontId="30" fillId="0" borderId="0" applyFont="0" applyFill="0" applyBorder="0" applyAlignment="0" applyProtection="0"/>
    <xf numFmtId="38" fontId="30" fillId="0" borderId="0" applyFont="0" applyFill="0" applyBorder="0" applyAlignment="0" applyProtection="0"/>
    <xf numFmtId="174" fontId="31" fillId="0" borderId="0" applyFont="0" applyFill="0" applyBorder="0" applyAlignment="0" applyProtection="0"/>
    <xf numFmtId="175" fontId="31" fillId="0" borderId="0" applyFont="0" applyFill="0" applyBorder="0" applyAlignment="0" applyProtection="0"/>
    <xf numFmtId="176" fontId="32" fillId="0" borderId="0" applyFont="0" applyFill="0" applyBorder="0" applyAlignment="0" applyProtection="0"/>
    <xf numFmtId="0" fontId="29" fillId="0" borderId="0" applyFont="0" applyFill="0" applyBorder="0" applyAlignment="0" applyProtection="0"/>
    <xf numFmtId="40" fontId="30" fillId="0" borderId="0" applyFont="0" applyFill="0" applyBorder="0" applyAlignment="0" applyProtection="0"/>
    <xf numFmtId="38" fontId="30" fillId="0" borderId="0" applyFont="0" applyFill="0" applyBorder="0" applyAlignment="0" applyProtection="0"/>
    <xf numFmtId="0" fontId="13" fillId="0" borderId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177" fontId="31" fillId="0" borderId="0" applyFont="0" applyFill="0" applyBorder="0" applyAlignment="0" applyProtection="0"/>
    <xf numFmtId="176" fontId="32" fillId="0" borderId="0" applyFont="0" applyFill="0" applyBorder="0" applyAlignment="0" applyProtection="0"/>
    <xf numFmtId="178" fontId="31" fillId="0" borderId="0" applyFont="0" applyFill="0" applyBorder="0" applyAlignment="0" applyProtection="0"/>
    <xf numFmtId="177" fontId="31" fillId="0" borderId="0" applyFont="0" applyFill="0" applyBorder="0" applyAlignment="0" applyProtection="0"/>
    <xf numFmtId="179" fontId="32" fillId="0" borderId="0" applyFont="0" applyFill="0" applyBorder="0" applyAlignment="0" applyProtection="0"/>
    <xf numFmtId="178" fontId="31" fillId="0" borderId="0" applyFont="0" applyFill="0" applyBorder="0" applyAlignment="0" applyProtection="0"/>
    <xf numFmtId="180" fontId="33" fillId="0" borderId="0" applyFont="0" applyFill="0" applyBorder="0" applyAlignment="0" applyProtection="0"/>
    <xf numFmtId="181" fontId="33" fillId="0" borderId="0" applyFont="0" applyFill="0" applyBorder="0" applyAlignment="0" applyProtection="0"/>
    <xf numFmtId="0" fontId="34" fillId="0" borderId="0"/>
    <xf numFmtId="3" fontId="28" fillId="0" borderId="5"/>
    <xf numFmtId="3" fontId="28" fillId="0" borderId="5"/>
    <xf numFmtId="0" fontId="35" fillId="4" borderId="0"/>
    <xf numFmtId="9" fontId="36" fillId="0" borderId="0" applyFont="0" applyFill="0" applyBorder="0" applyAlignment="0" applyProtection="0"/>
    <xf numFmtId="9" fontId="37" fillId="0" borderId="0" applyFont="0" applyFill="0" applyBorder="0" applyAlignment="0" applyProtection="0"/>
    <xf numFmtId="0" fontId="38" fillId="4" borderId="0"/>
    <xf numFmtId="0" fontId="39" fillId="4" borderId="0"/>
    <xf numFmtId="0" fontId="40" fillId="0" borderId="0">
      <alignment wrapText="1"/>
    </xf>
    <xf numFmtId="0" fontId="30" fillId="0" borderId="0" applyFont="0" applyFill="0" applyBorder="0" applyAlignment="0" applyProtection="0"/>
    <xf numFmtId="0" fontId="30" fillId="0" borderId="0" applyFont="0" applyFill="0" applyBorder="0" applyAlignment="0" applyProtection="0"/>
    <xf numFmtId="0" fontId="41" fillId="0" borderId="0" applyFont="0" applyFill="0" applyBorder="0" applyAlignment="0" applyProtection="0"/>
    <xf numFmtId="0" fontId="41" fillId="0" borderId="0" applyFont="0" applyFill="0" applyBorder="0" applyAlignment="0" applyProtection="0"/>
    <xf numFmtId="0" fontId="41" fillId="0" borderId="0" applyFont="0" applyFill="0" applyBorder="0" applyAlignment="0" applyProtection="0"/>
    <xf numFmtId="0" fontId="41" fillId="0" borderId="0" applyFont="0" applyFill="0" applyBorder="0" applyAlignment="0" applyProtection="0"/>
    <xf numFmtId="0" fontId="41" fillId="0" borderId="0"/>
    <xf numFmtId="0" fontId="41" fillId="0" borderId="0"/>
    <xf numFmtId="0" fontId="42" fillId="0" borderId="0" applyFill="0" applyBorder="0" applyAlignment="0"/>
    <xf numFmtId="0" fontId="43" fillId="0" borderId="0" applyFill="0" applyBorder="0" applyProtection="0">
      <alignment horizontal="center"/>
      <protection locked="0"/>
    </xf>
    <xf numFmtId="0" fontId="44" fillId="0" borderId="13">
      <alignment horizontal="center"/>
    </xf>
    <xf numFmtId="182" fontId="13" fillId="0" borderId="0" applyFont="0" applyFill="0" applyBorder="0" applyAlignment="0" applyProtection="0"/>
    <xf numFmtId="183" fontId="45" fillId="0" borderId="0" applyFont="0" applyFill="0" applyBorder="0" applyAlignment="0" applyProtection="0"/>
    <xf numFmtId="184" fontId="31" fillId="0" borderId="0" applyFont="0" applyFill="0" applyBorder="0" applyAlignment="0" applyProtection="0"/>
    <xf numFmtId="185" fontId="46" fillId="0" borderId="0" applyFont="0" applyFill="0" applyBorder="0" applyAlignment="0" applyProtection="0"/>
    <xf numFmtId="186" fontId="31" fillId="0" borderId="0" applyFont="0" applyFill="0" applyBorder="0" applyAlignment="0" applyProtection="0"/>
    <xf numFmtId="187" fontId="46" fillId="0" borderId="0" applyFont="0" applyFill="0" applyBorder="0" applyAlignment="0" applyProtection="0"/>
    <xf numFmtId="188" fontId="31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9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4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4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9" fillId="0" borderId="0" applyFont="0" applyFill="0" applyBorder="0" applyAlignment="0" applyProtection="0"/>
    <xf numFmtId="164" fontId="47" fillId="0" borderId="0" applyFont="0" applyFill="0" applyBorder="0" applyAlignment="0" applyProtection="0"/>
    <xf numFmtId="165" fontId="13" fillId="0" borderId="0" applyFont="0" applyFill="0" applyBorder="0" applyAlignment="0" applyProtection="0"/>
    <xf numFmtId="189" fontId="13" fillId="0" borderId="0" applyFont="0" applyFill="0" applyBorder="0" applyAlignment="0" applyProtection="0"/>
    <xf numFmtId="165" fontId="13" fillId="0" borderId="0" applyFont="0" applyFill="0" applyBorder="0" applyAlignment="0" applyProtection="0"/>
    <xf numFmtId="189" fontId="13" fillId="0" borderId="0" applyFont="0" applyFill="0" applyBorder="0" applyAlignment="0" applyProtection="0"/>
    <xf numFmtId="189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4" fillId="0" borderId="0" applyFont="0" applyFill="0" applyBorder="0" applyAlignment="0" applyProtection="0"/>
    <xf numFmtId="164" fontId="48" fillId="0" borderId="0" applyFont="0" applyFill="0" applyBorder="0" applyAlignment="0" applyProtection="0"/>
    <xf numFmtId="164" fontId="47" fillId="0" borderId="0" applyFont="0" applyFill="0" applyBorder="0" applyAlignment="0" applyProtection="0"/>
    <xf numFmtId="164" fontId="47" fillId="0" borderId="0" applyFont="0" applyFill="0" applyBorder="0" applyAlignment="0" applyProtection="0"/>
    <xf numFmtId="164" fontId="47" fillId="0" borderId="0" applyFont="0" applyFill="0" applyBorder="0" applyAlignment="0" applyProtection="0"/>
    <xf numFmtId="164" fontId="47" fillId="0" borderId="0" applyFont="0" applyFill="0" applyBorder="0" applyAlignment="0" applyProtection="0"/>
    <xf numFmtId="164" fontId="47" fillId="0" borderId="0" applyFont="0" applyFill="0" applyBorder="0" applyAlignment="0" applyProtection="0"/>
    <xf numFmtId="164" fontId="47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4" fillId="0" borderId="0" applyFont="0" applyFill="0" applyBorder="0" applyAlignment="0" applyProtection="0"/>
    <xf numFmtId="164" fontId="14" fillId="0" borderId="0" applyFont="0" applyFill="0" applyBorder="0" applyAlignment="0" applyProtection="0"/>
    <xf numFmtId="164" fontId="49" fillId="0" borderId="0" applyFont="0" applyFill="0" applyBorder="0" applyAlignment="0" applyProtection="0"/>
    <xf numFmtId="164" fontId="49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164" fontId="14" fillId="0" borderId="0" applyFont="0" applyFill="0" applyBorder="0" applyAlignment="0" applyProtection="0"/>
    <xf numFmtId="164" fontId="14" fillId="0" borderId="0" applyFont="0" applyFill="0" applyBorder="0" applyAlignment="0" applyProtection="0"/>
    <xf numFmtId="164" fontId="14" fillId="0" borderId="0" applyFont="0" applyFill="0" applyBorder="0" applyAlignment="0" applyProtection="0"/>
    <xf numFmtId="164" fontId="14" fillId="0" borderId="0" applyFont="0" applyFill="0" applyBorder="0" applyAlignment="0" applyProtection="0"/>
    <xf numFmtId="43" fontId="50" fillId="0" borderId="0" applyFont="0" applyFill="0" applyBorder="0" applyAlignment="0" applyProtection="0"/>
    <xf numFmtId="43" fontId="50" fillId="0" borderId="0" applyFont="0" applyFill="0" applyBorder="0" applyAlignment="0" applyProtection="0"/>
    <xf numFmtId="43" fontId="50" fillId="0" borderId="0" applyFont="0" applyFill="0" applyBorder="0" applyAlignment="0" applyProtection="0"/>
    <xf numFmtId="43" fontId="50" fillId="0" borderId="0" applyFont="0" applyFill="0" applyBorder="0" applyAlignment="0" applyProtection="0"/>
    <xf numFmtId="43" fontId="50" fillId="0" borderId="0" applyFont="0" applyFill="0" applyBorder="0" applyAlignment="0" applyProtection="0"/>
    <xf numFmtId="43" fontId="50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49" fillId="0" borderId="0" applyFont="0" applyFill="0" applyBorder="0" applyAlignment="0" applyProtection="0"/>
    <xf numFmtId="164" fontId="13" fillId="0" borderId="0" applyFont="0" applyFill="0" applyBorder="0" applyAlignment="0" applyProtection="0"/>
    <xf numFmtId="43" fontId="50" fillId="0" borderId="0" applyFont="0" applyFill="0" applyBorder="0" applyAlignment="0" applyProtection="0"/>
    <xf numFmtId="43" fontId="50" fillId="0" borderId="0" applyFont="0" applyFill="0" applyBorder="0" applyAlignment="0" applyProtection="0"/>
    <xf numFmtId="43" fontId="50" fillId="0" borderId="0" applyFont="0" applyFill="0" applyBorder="0" applyAlignment="0" applyProtection="0"/>
    <xf numFmtId="43" fontId="50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47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9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51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90" fontId="20" fillId="0" borderId="0"/>
    <xf numFmtId="3" fontId="13" fillId="0" borderId="0" applyFont="0" applyFill="0" applyBorder="0" applyAlignment="0" applyProtection="0"/>
    <xf numFmtId="0" fontId="52" fillId="0" borderId="0" applyNumberFormat="0" applyFill="0" applyBorder="0" applyAlignment="0" applyProtection="0"/>
    <xf numFmtId="191" fontId="53" fillId="0" borderId="0" applyFill="0" applyBorder="0" applyProtection="0"/>
    <xf numFmtId="192" fontId="45" fillId="0" borderId="0" applyFont="0" applyFill="0" applyBorder="0" applyAlignment="0" applyProtection="0"/>
    <xf numFmtId="193" fontId="34" fillId="0" borderId="0" applyFill="0" applyBorder="0" applyProtection="0"/>
    <xf numFmtId="193" fontId="34" fillId="0" borderId="14" applyFill="0" applyProtection="0"/>
    <xf numFmtId="193" fontId="34" fillId="0" borderId="15" applyFill="0" applyProtection="0"/>
    <xf numFmtId="194" fontId="54" fillId="0" borderId="0" applyFont="0" applyFill="0" applyBorder="0" applyAlignment="0" applyProtection="0"/>
    <xf numFmtId="195" fontId="31" fillId="0" borderId="0" applyFont="0" applyFill="0" applyBorder="0" applyAlignment="0" applyProtection="0"/>
    <xf numFmtId="175" fontId="31" fillId="0" borderId="0" applyFont="0" applyFill="0" applyBorder="0" applyAlignment="0" applyProtection="0"/>
    <xf numFmtId="196" fontId="13" fillId="0" borderId="0" applyFont="0" applyFill="0" applyBorder="0" applyAlignment="0" applyProtection="0"/>
    <xf numFmtId="197" fontId="46" fillId="0" borderId="0" applyFont="0" applyFill="0" applyBorder="0" applyAlignment="0" applyProtection="0"/>
    <xf numFmtId="198" fontId="31" fillId="0" borderId="0" applyFont="0" applyFill="0" applyBorder="0" applyAlignment="0" applyProtection="0"/>
    <xf numFmtId="199" fontId="46" fillId="0" borderId="0" applyFont="0" applyFill="0" applyBorder="0" applyAlignment="0" applyProtection="0"/>
    <xf numFmtId="200" fontId="46" fillId="0" borderId="0" applyFont="0" applyFill="0" applyBorder="0" applyAlignment="0" applyProtection="0"/>
    <xf numFmtId="201" fontId="31" fillId="0" borderId="0" applyFont="0" applyFill="0" applyBorder="0" applyAlignment="0" applyProtection="0"/>
    <xf numFmtId="202" fontId="46" fillId="0" borderId="0" applyFont="0" applyFill="0" applyBorder="0" applyAlignment="0" applyProtection="0"/>
    <xf numFmtId="203" fontId="46" fillId="0" borderId="0" applyFont="0" applyFill="0" applyBorder="0" applyAlignment="0" applyProtection="0"/>
    <xf numFmtId="204" fontId="31" fillId="0" borderId="0" applyFont="0" applyFill="0" applyBorder="0" applyAlignment="0" applyProtection="0"/>
    <xf numFmtId="205" fontId="46" fillId="0" borderId="0" applyFont="0" applyFill="0" applyBorder="0" applyAlignment="0" applyProtection="0"/>
    <xf numFmtId="206" fontId="13" fillId="0" borderId="0" applyFont="0" applyFill="0" applyBorder="0" applyAlignment="0" applyProtection="0"/>
    <xf numFmtId="207" fontId="20" fillId="0" borderId="0"/>
    <xf numFmtId="0" fontId="13" fillId="0" borderId="0" applyFont="0" applyFill="0" applyBorder="0" applyAlignment="0" applyProtection="0"/>
    <xf numFmtId="208" fontId="34" fillId="0" borderId="0" applyFill="0" applyBorder="0" applyProtection="0"/>
    <xf numFmtId="208" fontId="34" fillId="0" borderId="14" applyFill="0" applyProtection="0"/>
    <xf numFmtId="208" fontId="34" fillId="0" borderId="15" applyFill="0" applyProtection="0"/>
    <xf numFmtId="209" fontId="13" fillId="0" borderId="0" applyFont="0" applyFill="0" applyBorder="0" applyAlignment="0" applyProtection="0"/>
    <xf numFmtId="210" fontId="13" fillId="0" borderId="0" applyFont="0" applyFill="0" applyBorder="0" applyAlignment="0" applyProtection="0"/>
    <xf numFmtId="211" fontId="20" fillId="0" borderId="0"/>
    <xf numFmtId="2" fontId="13" fillId="0" borderId="0" applyFont="0" applyFill="0" applyBorder="0" applyAlignment="0" applyProtection="0"/>
    <xf numFmtId="38" fontId="55" fillId="4" borderId="0" applyNumberFormat="0" applyBorder="0" applyAlignment="0" applyProtection="0"/>
    <xf numFmtId="0" fontId="56" fillId="0" borderId="16" applyNumberFormat="0" applyAlignment="0" applyProtection="0">
      <alignment horizontal="left" vertical="center"/>
    </xf>
    <xf numFmtId="0" fontId="56" fillId="0" borderId="17">
      <alignment horizontal="left" vertical="center"/>
    </xf>
    <xf numFmtId="14" fontId="57" fillId="5" borderId="18">
      <alignment horizontal="center" vertical="center" wrapText="1"/>
    </xf>
    <xf numFmtId="0" fontId="43" fillId="0" borderId="0" applyFill="0" applyAlignment="0" applyProtection="0">
      <protection locked="0"/>
    </xf>
    <xf numFmtId="0" fontId="43" fillId="0" borderId="1" applyFill="0" applyAlignment="0" applyProtection="0">
      <protection locked="0"/>
    </xf>
    <xf numFmtId="0" fontId="58" fillId="0" borderId="0" applyProtection="0"/>
    <xf numFmtId="0" fontId="56" fillId="0" borderId="0" applyProtection="0"/>
    <xf numFmtId="0" fontId="59" fillId="0" borderId="0" applyNumberFormat="0" applyFill="0" applyBorder="0" applyAlignment="0" applyProtection="0">
      <alignment vertical="top"/>
      <protection locked="0"/>
    </xf>
    <xf numFmtId="0" fontId="60" fillId="0" borderId="0"/>
    <xf numFmtId="0" fontId="29" fillId="0" borderId="0" applyFont="0" applyFill="0" applyBorder="0" applyAlignment="0" applyProtection="0"/>
    <xf numFmtId="0" fontId="29" fillId="0" borderId="0" applyFont="0" applyFill="0" applyBorder="0" applyAlignment="0" applyProtection="0"/>
    <xf numFmtId="10" fontId="55" fillId="6" borderId="5" applyNumberFormat="0" applyBorder="0" applyAlignment="0" applyProtection="0"/>
    <xf numFmtId="212" fontId="61" fillId="0" borderId="19"/>
    <xf numFmtId="213" fontId="20" fillId="0" borderId="0" applyFont="0" applyFill="0" applyBorder="0" applyAlignment="0" applyProtection="0"/>
    <xf numFmtId="214" fontId="20" fillId="0" borderId="0" applyFont="0" applyFill="0" applyBorder="0" applyAlignment="0" applyProtection="0"/>
    <xf numFmtId="0" fontId="27" fillId="0" borderId="0" applyNumberFormat="0" applyFont="0" applyFill="0" applyAlignment="0"/>
    <xf numFmtId="0" fontId="54" fillId="0" borderId="5"/>
    <xf numFmtId="0" fontId="34" fillId="0" borderId="0"/>
    <xf numFmtId="37" fontId="62" fillId="0" borderId="0"/>
    <xf numFmtId="215" fontId="6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20" fillId="0" borderId="0"/>
    <xf numFmtId="0" fontId="9" fillId="0" borderId="0"/>
    <xf numFmtId="0" fontId="47" fillId="0" borderId="0"/>
    <xf numFmtId="0" fontId="48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13" fillId="0" borderId="0"/>
    <xf numFmtId="0" fontId="13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49" fillId="0" borderId="0"/>
    <xf numFmtId="0" fontId="20" fillId="0" borderId="0"/>
    <xf numFmtId="0" fontId="8" fillId="0" borderId="0"/>
    <xf numFmtId="0" fontId="13" fillId="0" borderId="0"/>
    <xf numFmtId="0" fontId="8" fillId="0" borderId="0"/>
    <xf numFmtId="0" fontId="8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8" fillId="0" borderId="0"/>
    <xf numFmtId="0" fontId="8" fillId="0" borderId="0"/>
    <xf numFmtId="0" fontId="47" fillId="0" borderId="0"/>
    <xf numFmtId="0" fontId="13" fillId="0" borderId="0"/>
    <xf numFmtId="0" fontId="13" fillId="0" borderId="0"/>
    <xf numFmtId="0" fontId="50" fillId="0" borderId="0"/>
    <xf numFmtId="0" fontId="13" fillId="0" borderId="0"/>
    <xf numFmtId="0" fontId="13" fillId="0" borderId="0"/>
    <xf numFmtId="0" fontId="13" fillId="0" borderId="0"/>
    <xf numFmtId="0" fontId="9" fillId="0" borderId="0"/>
    <xf numFmtId="0" fontId="9" fillId="0" borderId="0"/>
    <xf numFmtId="0" fontId="49" fillId="0" borderId="0"/>
    <xf numFmtId="0" fontId="13" fillId="0" borderId="0"/>
    <xf numFmtId="0" fontId="13" fillId="0" borderId="0"/>
    <xf numFmtId="0" fontId="13" fillId="0" borderId="0"/>
    <xf numFmtId="0" fontId="9" fillId="0" borderId="0"/>
    <xf numFmtId="0" fontId="13" fillId="0" borderId="0"/>
    <xf numFmtId="0" fontId="13" fillId="0" borderId="0"/>
    <xf numFmtId="0" fontId="51" fillId="0" borderId="0"/>
    <xf numFmtId="0" fontId="13" fillId="0" borderId="0"/>
    <xf numFmtId="0" fontId="13" fillId="0" borderId="0"/>
    <xf numFmtId="0" fontId="13" fillId="0" borderId="0"/>
    <xf numFmtId="0" fontId="20" fillId="0" borderId="0"/>
    <xf numFmtId="216" fontId="64" fillId="0" borderId="0" applyFont="0" applyFill="0" applyBorder="0" applyAlignment="0" applyProtection="0"/>
    <xf numFmtId="195" fontId="64" fillId="0" borderId="0" applyFont="0" applyFill="0" applyBorder="0" applyAlignment="0" applyProtection="0"/>
    <xf numFmtId="217" fontId="43" fillId="0" borderId="0" applyFont="0" applyFill="0" applyBorder="0" applyAlignment="0" applyProtection="0"/>
    <xf numFmtId="218" fontId="45" fillId="0" borderId="0" applyFont="0" applyFill="0" applyBorder="0" applyAlignment="0" applyProtection="0"/>
    <xf numFmtId="219" fontId="46" fillId="0" borderId="0" applyFont="0" applyFill="0" applyBorder="0" applyAlignment="0" applyProtection="0"/>
    <xf numFmtId="220" fontId="13" fillId="0" borderId="0" applyFont="0" applyFill="0" applyBorder="0" applyAlignment="0" applyProtection="0"/>
    <xf numFmtId="10" fontId="13" fillId="0" borderId="0" applyFont="0" applyFill="0" applyBorder="0" applyAlignment="0" applyProtection="0"/>
    <xf numFmtId="221" fontId="46" fillId="0" borderId="0" applyFont="0" applyFill="0" applyBorder="0" applyAlignment="0" applyProtection="0"/>
    <xf numFmtId="222" fontId="45" fillId="0" borderId="0" applyFont="0" applyFill="0" applyBorder="0" applyAlignment="0" applyProtection="0"/>
    <xf numFmtId="223" fontId="46" fillId="0" borderId="0" applyFont="0" applyFill="0" applyBorder="0" applyAlignment="0" applyProtection="0"/>
    <xf numFmtId="224" fontId="45" fillId="0" borderId="0" applyFont="0" applyFill="0" applyBorder="0" applyAlignment="0" applyProtection="0"/>
    <xf numFmtId="225" fontId="46" fillId="0" borderId="0" applyFont="0" applyFill="0" applyBorder="0" applyAlignment="0" applyProtection="0"/>
    <xf numFmtId="226" fontId="45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49" fillId="0" borderId="0">
      <alignment vertical="center"/>
    </xf>
    <xf numFmtId="227" fontId="65" fillId="0" borderId="0" applyFont="0" applyFill="0" applyBorder="0" applyAlignment="0" applyProtection="0"/>
    <xf numFmtId="0" fontId="66" fillId="0" borderId="0" applyFont="0" applyFill="0" applyBorder="0" applyAlignment="0" applyProtection="0"/>
    <xf numFmtId="0" fontId="58" fillId="0" borderId="0" applyNumberFormat="0" applyFill="0" applyBorder="0" applyAlignment="0" applyProtection="0"/>
    <xf numFmtId="0" fontId="67" fillId="0" borderId="0"/>
    <xf numFmtId="0" fontId="68" fillId="0" borderId="0"/>
    <xf numFmtId="0" fontId="54" fillId="0" borderId="0"/>
    <xf numFmtId="0" fontId="54" fillId="0" borderId="0"/>
    <xf numFmtId="0" fontId="13" fillId="0" borderId="20" applyNumberFormat="0" applyFont="0" applyFill="0" applyAlignment="0" applyProtection="0"/>
    <xf numFmtId="228" fontId="54" fillId="0" borderId="0" applyFont="0" applyFill="0" applyBorder="0" applyAlignment="0" applyProtection="0"/>
    <xf numFmtId="0" fontId="27" fillId="0" borderId="0" applyNumberFormat="0" applyFont="0" applyFill="0" applyAlignment="0"/>
    <xf numFmtId="3" fontId="13" fillId="0" borderId="0" applyFont="0" applyFill="0" applyBorder="0" applyAlignment="0" applyProtection="0"/>
    <xf numFmtId="206" fontId="13" fillId="0" borderId="0" applyFont="0" applyFill="0" applyBorder="0" applyAlignment="0" applyProtection="0"/>
    <xf numFmtId="0" fontId="13" fillId="0" borderId="0" applyFont="0" applyFill="0" applyBorder="0" applyAlignment="0" applyProtection="0"/>
    <xf numFmtId="2" fontId="13" fillId="0" borderId="0" applyFont="0" applyFill="0" applyBorder="0" applyAlignment="0" applyProtection="0"/>
    <xf numFmtId="0" fontId="56" fillId="0" borderId="17">
      <alignment horizontal="left" vertical="center"/>
    </xf>
    <xf numFmtId="0" fontId="56" fillId="0" borderId="16" applyNumberFormat="0" applyAlignment="0" applyProtection="0">
      <alignment horizontal="left" vertical="center"/>
    </xf>
    <xf numFmtId="0" fontId="56" fillId="0" borderId="0" applyNumberFormat="0" applyFill="0" applyBorder="0" applyAlignment="0" applyProtection="0"/>
    <xf numFmtId="229" fontId="54" fillId="0" borderId="21">
      <alignment horizontal="right" vertical="center"/>
    </xf>
    <xf numFmtId="230" fontId="54" fillId="0" borderId="21">
      <alignment horizontal="center"/>
    </xf>
    <xf numFmtId="3" fontId="69" fillId="0" borderId="22" applyNumberFormat="0" applyBorder="0" applyAlignment="0"/>
    <xf numFmtId="0" fontId="70" fillId="0" borderId="0" applyFill="0" applyBorder="0" applyProtection="0">
      <alignment horizontal="left" vertical="top"/>
    </xf>
    <xf numFmtId="231" fontId="54" fillId="0" borderId="0"/>
    <xf numFmtId="232" fontId="54" fillId="0" borderId="5"/>
    <xf numFmtId="0" fontId="71" fillId="0" borderId="0" applyFont="0" applyFill="0" applyBorder="0" applyAlignment="0" applyProtection="0"/>
    <xf numFmtId="0" fontId="71" fillId="0" borderId="0" applyFont="0" applyFill="0" applyBorder="0" applyAlignment="0" applyProtection="0"/>
    <xf numFmtId="0" fontId="49" fillId="0" borderId="0">
      <alignment vertical="center"/>
    </xf>
    <xf numFmtId="40" fontId="72" fillId="0" borderId="0" applyFont="0" applyFill="0" applyBorder="0" applyAlignment="0" applyProtection="0"/>
    <xf numFmtId="38" fontId="72" fillId="0" borderId="0" applyFont="0" applyFill="0" applyBorder="0" applyAlignment="0" applyProtection="0"/>
    <xf numFmtId="0" fontId="72" fillId="0" borderId="0" applyFont="0" applyFill="0" applyBorder="0" applyAlignment="0" applyProtection="0"/>
    <xf numFmtId="0" fontId="72" fillId="0" borderId="0" applyFont="0" applyFill="0" applyBorder="0" applyAlignment="0" applyProtection="0"/>
    <xf numFmtId="9" fontId="37" fillId="0" borderId="0" applyFont="0" applyFill="0" applyBorder="0" applyAlignment="0" applyProtection="0"/>
    <xf numFmtId="0" fontId="73" fillId="0" borderId="0"/>
    <xf numFmtId="0" fontId="74" fillId="0" borderId="23"/>
    <xf numFmtId="233" fontId="75" fillId="0" borderId="0" applyFont="0" applyFill="0" applyBorder="0" applyAlignment="0" applyProtection="0"/>
    <xf numFmtId="234" fontId="75" fillId="0" borderId="0" applyFont="0" applyFill="0" applyBorder="0" applyAlignment="0" applyProtection="0"/>
    <xf numFmtId="235" fontId="76" fillId="0" borderId="0" applyFont="0" applyFill="0" applyBorder="0" applyAlignment="0" applyProtection="0"/>
    <xf numFmtId="236" fontId="76" fillId="0" borderId="0" applyFont="0" applyFill="0" applyBorder="0" applyAlignment="0" applyProtection="0"/>
    <xf numFmtId="0" fontId="77" fillId="0" borderId="0"/>
    <xf numFmtId="0" fontId="27" fillId="0" borderId="0"/>
    <xf numFmtId="195" fontId="31" fillId="0" borderId="0" applyFont="0" applyFill="0" applyBorder="0" applyAlignment="0" applyProtection="0"/>
    <xf numFmtId="216" fontId="31" fillId="0" borderId="0" applyFont="0" applyFill="0" applyBorder="0" applyAlignment="0" applyProtection="0"/>
    <xf numFmtId="0" fontId="78" fillId="0" borderId="0"/>
    <xf numFmtId="177" fontId="31" fillId="0" borderId="0" applyFont="0" applyFill="0" applyBorder="0" applyAlignment="0" applyProtection="0"/>
    <xf numFmtId="237" fontId="32" fillId="0" borderId="0" applyFont="0" applyFill="0" applyBorder="0" applyAlignment="0" applyProtection="0"/>
    <xf numFmtId="178" fontId="31" fillId="0" borderId="0" applyFont="0" applyFill="0" applyBorder="0" applyAlignment="0" applyProtection="0"/>
    <xf numFmtId="43" fontId="8" fillId="0" borderId="0" applyFont="0" applyFill="0" applyBorder="0" applyAlignment="0" applyProtection="0"/>
  </cellStyleXfs>
  <cellXfs count="155">
    <xf numFmtId="0" fontId="0" fillId="0" borderId="0" xfId="0"/>
    <xf numFmtId="0" fontId="2" fillId="0" borderId="0" xfId="1" applyFont="1" applyAlignment="1"/>
    <xf numFmtId="0" fontId="1" fillId="0" borderId="0" xfId="1" applyFont="1" applyAlignment="1"/>
    <xf numFmtId="0" fontId="1" fillId="0" borderId="0" xfId="1" applyAlignment="1"/>
    <xf numFmtId="0" fontId="3" fillId="0" borderId="0" xfId="1" applyFont="1" applyAlignment="1"/>
    <xf numFmtId="4" fontId="3" fillId="0" borderId="0" xfId="1" applyNumberFormat="1" applyFont="1" applyAlignment="1">
      <alignment horizontal="right"/>
    </xf>
    <xf numFmtId="0" fontId="4" fillId="0" borderId="0" xfId="1" applyFont="1" applyAlignment="1"/>
    <xf numFmtId="0" fontId="5" fillId="0" borderId="0" xfId="1" applyFont="1"/>
    <xf numFmtId="0" fontId="5" fillId="0" borderId="0" xfId="1" applyFont="1" applyAlignment="1"/>
    <xf numFmtId="0" fontId="6" fillId="2" borderId="0" xfId="1" applyFont="1" applyFill="1" applyAlignment="1"/>
    <xf numFmtId="14" fontId="2" fillId="0" borderId="0" xfId="1" applyNumberFormat="1" applyFont="1" applyAlignment="1"/>
    <xf numFmtId="14" fontId="2" fillId="0" borderId="0" xfId="1" applyNumberFormat="1" applyFont="1" applyAlignment="1">
      <alignment horizontal="right"/>
    </xf>
    <xf numFmtId="0" fontId="1" fillId="2" borderId="0" xfId="1" applyFont="1" applyFill="1" applyAlignment="1"/>
    <xf numFmtId="0" fontId="7" fillId="0" borderId="0" xfId="1" applyFont="1"/>
    <xf numFmtId="14" fontId="3" fillId="0" borderId="0" xfId="1" applyNumberFormat="1" applyFont="1" applyAlignment="1">
      <alignment horizontal="right"/>
    </xf>
    <xf numFmtId="14" fontId="1" fillId="0" borderId="0" xfId="1" applyNumberFormat="1" applyFont="1" applyAlignment="1"/>
    <xf numFmtId="0" fontId="2" fillId="0" borderId="0" xfId="1" applyNumberFormat="1" applyFont="1" applyAlignment="1"/>
    <xf numFmtId="0" fontId="1" fillId="0" borderId="0" xfId="1" applyNumberFormat="1" applyFont="1" applyAlignment="1"/>
    <xf numFmtId="14" fontId="5" fillId="0" borderId="0" xfId="1" applyNumberFormat="1" applyFont="1"/>
    <xf numFmtId="165" fontId="11" fillId="0" borderId="0" xfId="2" applyNumberFormat="1" applyFont="1" applyFill="1" applyBorder="1" applyAlignment="1">
      <alignment vertical="center" wrapText="1"/>
    </xf>
    <xf numFmtId="165" fontId="10" fillId="0" borderId="0" xfId="2" applyNumberFormat="1" applyFont="1" applyFill="1" applyBorder="1" applyAlignment="1">
      <alignment vertical="center" wrapText="1"/>
    </xf>
    <xf numFmtId="164" fontId="10" fillId="0" borderId="0" xfId="2" applyNumberFormat="1" applyFont="1" applyFill="1" applyBorder="1" applyAlignment="1">
      <alignment vertical="center" wrapText="1"/>
    </xf>
    <xf numFmtId="0" fontId="10" fillId="0" borderId="0" xfId="2" applyNumberFormat="1" applyFont="1" applyFill="1" applyBorder="1" applyAlignment="1">
      <alignment vertical="center" wrapText="1"/>
    </xf>
    <xf numFmtId="168" fontId="10" fillId="0" borderId="0" xfId="2" applyNumberFormat="1" applyFont="1" applyFill="1" applyBorder="1" applyAlignment="1">
      <alignment vertical="center" wrapText="1"/>
    </xf>
    <xf numFmtId="167" fontId="10" fillId="0" borderId="0" xfId="2" applyNumberFormat="1" applyFont="1" applyFill="1" applyBorder="1" applyAlignment="1">
      <alignment vertical="center" wrapText="1"/>
    </xf>
    <xf numFmtId="164" fontId="10" fillId="0" borderId="0" xfId="2" applyFont="1" applyFill="1" applyBorder="1" applyAlignment="1">
      <alignment vertical="center" wrapText="1"/>
    </xf>
    <xf numFmtId="49" fontId="10" fillId="0" borderId="0" xfId="2" applyNumberFormat="1" applyFont="1" applyFill="1" applyBorder="1" applyAlignment="1">
      <alignment vertical="center"/>
    </xf>
    <xf numFmtId="49" fontId="11" fillId="0" borderId="0" xfId="2" applyNumberFormat="1" applyFont="1" applyFill="1" applyBorder="1" applyAlignment="1">
      <alignment vertical="center"/>
    </xf>
    <xf numFmtId="165" fontId="10" fillId="0" borderId="0" xfId="2" applyNumberFormat="1" applyFont="1" applyFill="1" applyBorder="1" applyAlignment="1">
      <alignment vertical="center"/>
    </xf>
    <xf numFmtId="165" fontId="11" fillId="0" borderId="0" xfId="2" applyNumberFormat="1" applyFont="1" applyFill="1" applyBorder="1" applyAlignment="1">
      <alignment vertical="center"/>
    </xf>
    <xf numFmtId="167" fontId="10" fillId="0" borderId="0" xfId="2" applyNumberFormat="1" applyFont="1" applyFill="1" applyBorder="1" applyAlignment="1">
      <alignment vertical="center"/>
    </xf>
    <xf numFmtId="166" fontId="12" fillId="0" borderId="0" xfId="2" applyNumberFormat="1" applyFont="1" applyFill="1" applyBorder="1" applyAlignment="1">
      <alignment vertical="center"/>
    </xf>
    <xf numFmtId="49" fontId="12" fillId="0" borderId="0" xfId="2" applyNumberFormat="1" applyFont="1" applyFill="1" applyBorder="1" applyAlignment="1">
      <alignment vertical="center"/>
    </xf>
    <xf numFmtId="164" fontId="10" fillId="0" borderId="0" xfId="2" applyNumberFormat="1" applyFont="1" applyFill="1" applyBorder="1" applyAlignment="1">
      <alignment vertical="center"/>
    </xf>
    <xf numFmtId="0" fontId="10" fillId="0" borderId="0" xfId="2" applyNumberFormat="1" applyFont="1" applyFill="1" applyBorder="1" applyAlignment="1">
      <alignment vertical="center"/>
    </xf>
    <xf numFmtId="168" fontId="10" fillId="0" borderId="0" xfId="2" applyNumberFormat="1" applyFont="1" applyFill="1" applyBorder="1" applyAlignment="1">
      <alignment vertical="center"/>
    </xf>
    <xf numFmtId="164" fontId="10" fillId="0" borderId="0" xfId="2" applyFont="1" applyFill="1" applyBorder="1" applyAlignment="1">
      <alignment vertical="center"/>
    </xf>
    <xf numFmtId="49" fontId="10" fillId="3" borderId="0" xfId="2" applyNumberFormat="1" applyFont="1" applyFill="1" applyBorder="1" applyAlignment="1">
      <alignment vertical="center"/>
    </xf>
    <xf numFmtId="49" fontId="11" fillId="3" borderId="0" xfId="2" applyNumberFormat="1" applyFont="1" applyFill="1" applyBorder="1" applyAlignment="1">
      <alignment vertical="center"/>
    </xf>
    <xf numFmtId="165" fontId="10" fillId="3" borderId="0" xfId="2" applyNumberFormat="1" applyFont="1" applyFill="1" applyBorder="1" applyAlignment="1">
      <alignment vertical="center"/>
    </xf>
    <xf numFmtId="165" fontId="11" fillId="3" borderId="0" xfId="2" applyNumberFormat="1" applyFont="1" applyFill="1" applyBorder="1" applyAlignment="1">
      <alignment vertical="center"/>
    </xf>
    <xf numFmtId="167" fontId="10" fillId="3" borderId="0" xfId="2" applyNumberFormat="1" applyFont="1" applyFill="1" applyBorder="1" applyAlignment="1">
      <alignment vertical="center"/>
    </xf>
    <xf numFmtId="166" fontId="12" fillId="3" borderId="0" xfId="2" applyNumberFormat="1" applyFont="1" applyFill="1" applyBorder="1" applyAlignment="1">
      <alignment vertical="center"/>
    </xf>
    <xf numFmtId="49" fontId="12" fillId="3" borderId="0" xfId="2" applyNumberFormat="1" applyFont="1" applyFill="1" applyBorder="1" applyAlignment="1">
      <alignment vertical="center"/>
    </xf>
    <xf numFmtId="164" fontId="10" fillId="3" borderId="0" xfId="2" applyNumberFormat="1" applyFont="1" applyFill="1" applyBorder="1" applyAlignment="1">
      <alignment vertical="center"/>
    </xf>
    <xf numFmtId="0" fontId="10" fillId="3" borderId="0" xfId="2" applyNumberFormat="1" applyFont="1" applyFill="1" applyBorder="1" applyAlignment="1">
      <alignment vertical="center"/>
    </xf>
    <xf numFmtId="168" fontId="10" fillId="3" borderId="0" xfId="2" applyNumberFormat="1" applyFont="1" applyFill="1" applyBorder="1" applyAlignment="1">
      <alignment vertical="center"/>
    </xf>
    <xf numFmtId="164" fontId="10" fillId="3" borderId="0" xfId="2" applyFont="1" applyFill="1" applyBorder="1" applyAlignment="1">
      <alignment vertical="center"/>
    </xf>
    <xf numFmtId="0" fontId="10" fillId="0" borderId="0" xfId="2" applyNumberFormat="1" applyFont="1" applyFill="1" applyBorder="1" applyAlignment="1"/>
    <xf numFmtId="165" fontId="11" fillId="0" borderId="0" xfId="2" applyNumberFormat="1" applyFont="1" applyFill="1" applyBorder="1" applyAlignment="1"/>
    <xf numFmtId="43" fontId="11" fillId="0" borderId="0" xfId="2" applyNumberFormat="1" applyFont="1" applyFill="1" applyBorder="1" applyAlignment="1"/>
    <xf numFmtId="168" fontId="11" fillId="0" borderId="0" xfId="2" applyNumberFormat="1" applyFont="1" applyFill="1" applyBorder="1" applyAlignment="1"/>
    <xf numFmtId="14" fontId="11" fillId="0" borderId="0" xfId="2" applyNumberFormat="1" applyFont="1" applyFill="1" applyBorder="1" applyAlignment="1"/>
    <xf numFmtId="165" fontId="10" fillId="0" borderId="0" xfId="2" applyNumberFormat="1" applyFont="1" applyFill="1" applyBorder="1" applyAlignment="1"/>
    <xf numFmtId="167" fontId="10" fillId="0" borderId="0" xfId="2" applyNumberFormat="1" applyFont="1" applyFill="1" applyBorder="1" applyAlignment="1"/>
    <xf numFmtId="168" fontId="10" fillId="0" borderId="0" xfId="2" applyNumberFormat="1" applyFont="1" applyFill="1" applyBorder="1" applyAlignment="1"/>
    <xf numFmtId="166" fontId="12" fillId="0" borderId="0" xfId="2" applyNumberFormat="1" applyFont="1" applyFill="1" applyBorder="1" applyAlignment="1"/>
    <xf numFmtId="165" fontId="12" fillId="0" borderId="0" xfId="2" applyNumberFormat="1" applyFont="1" applyFill="1" applyBorder="1" applyAlignment="1"/>
    <xf numFmtId="164" fontId="10" fillId="0" borderId="0" xfId="2" applyNumberFormat="1" applyFont="1" applyFill="1" applyBorder="1" applyAlignment="1"/>
    <xf numFmtId="164" fontId="10" fillId="0" borderId="0" xfId="2" applyFont="1" applyFill="1" applyBorder="1" applyAlignment="1"/>
    <xf numFmtId="165" fontId="11" fillId="2" borderId="0" xfId="2" applyNumberFormat="1" applyFont="1" applyFill="1" applyBorder="1" applyAlignment="1"/>
    <xf numFmtId="0" fontId="15" fillId="0" borderId="0" xfId="6" applyNumberFormat="1" applyFont="1" applyFill="1"/>
    <xf numFmtId="0" fontId="16" fillId="0" borderId="0" xfId="6" applyNumberFormat="1" applyFont="1" applyFill="1"/>
    <xf numFmtId="0" fontId="17" fillId="0" borderId="0" xfId="6" applyNumberFormat="1" applyFont="1" applyFill="1"/>
    <xf numFmtId="0" fontId="17" fillId="0" borderId="0" xfId="6" applyNumberFormat="1" applyFont="1" applyFill="1" applyAlignment="1">
      <alignment horizontal="right"/>
    </xf>
    <xf numFmtId="0" fontId="18" fillId="0" borderId="1" xfId="6" applyNumberFormat="1" applyFont="1" applyFill="1" applyBorder="1" applyAlignment="1"/>
    <xf numFmtId="0" fontId="18" fillId="0" borderId="0" xfId="6" applyNumberFormat="1" applyFont="1" applyFill="1" applyBorder="1" applyAlignment="1"/>
    <xf numFmtId="0" fontId="19" fillId="0" borderId="2" xfId="6" applyNumberFormat="1" applyFont="1" applyFill="1" applyBorder="1" applyAlignment="1">
      <alignment wrapText="1"/>
    </xf>
    <xf numFmtId="0" fontId="19" fillId="0" borderId="3" xfId="6" applyNumberFormat="1" applyFont="1" applyFill="1" applyBorder="1"/>
    <xf numFmtId="0" fontId="19" fillId="0" borderId="4" xfId="6" applyNumberFormat="1" applyFont="1" applyFill="1" applyBorder="1"/>
    <xf numFmtId="0" fontId="19" fillId="0" borderId="0" xfId="6" applyNumberFormat="1" applyFont="1" applyFill="1" applyBorder="1"/>
    <xf numFmtId="0" fontId="19" fillId="0" borderId="5" xfId="6" applyNumberFormat="1" applyFont="1" applyFill="1" applyBorder="1" applyAlignment="1">
      <alignment wrapText="1"/>
    </xf>
    <xf numFmtId="0" fontId="19" fillId="0" borderId="5" xfId="6" applyNumberFormat="1" applyFont="1" applyFill="1" applyBorder="1"/>
    <xf numFmtId="0" fontId="19" fillId="0" borderId="6" xfId="6" applyNumberFormat="1" applyFont="1" applyFill="1" applyBorder="1"/>
    <xf numFmtId="0" fontId="19" fillId="0" borderId="7" xfId="7" applyNumberFormat="1" applyFont="1" applyFill="1" applyBorder="1"/>
    <xf numFmtId="0" fontId="19" fillId="0" borderId="8" xfId="7" applyNumberFormat="1" applyFont="1" applyFill="1" applyBorder="1"/>
    <xf numFmtId="0" fontId="19" fillId="0" borderId="0" xfId="7" applyNumberFormat="1" applyFont="1" applyFill="1" applyBorder="1"/>
    <xf numFmtId="0" fontId="19" fillId="0" borderId="2" xfId="7" applyNumberFormat="1" applyFont="1" applyFill="1" applyBorder="1"/>
    <xf numFmtId="0" fontId="20" fillId="0" borderId="9" xfId="3" applyFont="1" applyFill="1" applyBorder="1"/>
    <xf numFmtId="0" fontId="19" fillId="0" borderId="6" xfId="7" applyNumberFormat="1" applyFont="1" applyFill="1" applyBorder="1"/>
    <xf numFmtId="0" fontId="17" fillId="0" borderId="8" xfId="7" applyNumberFormat="1" applyFont="1" applyFill="1" applyBorder="1" applyAlignment="1">
      <alignment horizontal="right"/>
    </xf>
    <xf numFmtId="0" fontId="17" fillId="0" borderId="0" xfId="7" applyNumberFormat="1" applyFont="1" applyFill="1" applyBorder="1" applyAlignment="1">
      <alignment horizontal="right"/>
    </xf>
    <xf numFmtId="0" fontId="19" fillId="0" borderId="6" xfId="6" applyNumberFormat="1" applyFont="1" applyFill="1" applyBorder="1" applyAlignment="1">
      <alignment wrapText="1"/>
    </xf>
    <xf numFmtId="0" fontId="19" fillId="0" borderId="7" xfId="6" applyNumberFormat="1" applyFont="1" applyFill="1" applyBorder="1"/>
    <xf numFmtId="0" fontId="19" fillId="0" borderId="8" xfId="6" applyNumberFormat="1" applyFont="1" applyFill="1" applyBorder="1"/>
    <xf numFmtId="0" fontId="16" fillId="0" borderId="7" xfId="7" applyNumberFormat="1" applyFont="1" applyFill="1" applyBorder="1"/>
    <xf numFmtId="170" fontId="19" fillId="0" borderId="7" xfId="2" applyNumberFormat="1" applyFont="1" applyFill="1" applyBorder="1"/>
    <xf numFmtId="0" fontId="21" fillId="0" borderId="6" xfId="3" applyFont="1" applyFill="1" applyBorder="1"/>
    <xf numFmtId="171" fontId="21" fillId="0" borderId="7" xfId="3" applyNumberFormat="1" applyFont="1" applyFill="1" applyBorder="1"/>
    <xf numFmtId="171" fontId="21" fillId="0" borderId="8" xfId="3" applyNumberFormat="1" applyFont="1" applyFill="1" applyBorder="1"/>
    <xf numFmtId="171" fontId="21" fillId="0" borderId="0" xfId="3" applyNumberFormat="1" applyFont="1" applyFill="1" applyBorder="1"/>
    <xf numFmtId="0" fontId="19" fillId="0" borderId="0" xfId="6" applyNumberFormat="1" applyFont="1" applyFill="1"/>
    <xf numFmtId="171" fontId="19" fillId="0" borderId="2" xfId="7" applyNumberFormat="1" applyFont="1" applyFill="1" applyBorder="1"/>
    <xf numFmtId="0" fontId="21" fillId="0" borderId="10" xfId="3" applyFont="1" applyFill="1" applyBorder="1"/>
    <xf numFmtId="171" fontId="21" fillId="0" borderId="11" xfId="3" applyNumberFormat="1" applyFont="1" applyFill="1" applyBorder="1"/>
    <xf numFmtId="171" fontId="21" fillId="0" borderId="12" xfId="3" applyNumberFormat="1" applyFont="1" applyFill="1" applyBorder="1"/>
    <xf numFmtId="0" fontId="21" fillId="0" borderId="0" xfId="3" applyFont="1" applyFill="1"/>
    <xf numFmtId="0" fontId="16" fillId="0" borderId="0" xfId="6" applyNumberFormat="1" applyFont="1" applyFill="1" applyAlignment="1">
      <alignment horizontal="right"/>
    </xf>
    <xf numFmtId="0" fontId="18" fillId="0" borderId="0" xfId="6" applyNumberFormat="1" applyFont="1" applyFill="1"/>
    <xf numFmtId="0" fontId="22" fillId="0" borderId="0" xfId="6" applyNumberFormat="1" applyFont="1" applyFill="1"/>
    <xf numFmtId="0" fontId="16" fillId="0" borderId="0" xfId="6" applyNumberFormat="1" applyFont="1" applyFill="1" applyAlignment="1"/>
    <xf numFmtId="0" fontId="23" fillId="0" borderId="0" xfId="6" applyNumberFormat="1" applyFont="1" applyFill="1"/>
    <xf numFmtId="0" fontId="24" fillId="0" borderId="0" xfId="6" applyNumberFormat="1" applyFont="1" applyFill="1"/>
    <xf numFmtId="0" fontId="25" fillId="0" borderId="0" xfId="6" applyNumberFormat="1" applyFont="1" applyFill="1"/>
    <xf numFmtId="0" fontId="11" fillId="0" borderId="0" xfId="2" applyNumberFormat="1" applyFont="1" applyFill="1" applyBorder="1" applyAlignment="1"/>
    <xf numFmtId="14" fontId="0" fillId="0" borderId="0" xfId="0" applyNumberFormat="1"/>
    <xf numFmtId="165" fontId="10" fillId="0" borderId="0" xfId="2" applyNumberFormat="1" applyFont="1" applyFill="1" applyBorder="1" applyAlignment="1">
      <alignment vertical="center" wrapText="1"/>
    </xf>
    <xf numFmtId="165" fontId="11" fillId="0" borderId="0" xfId="2" applyNumberFormat="1" applyFont="1" applyFill="1" applyBorder="1" applyAlignment="1">
      <alignment vertical="center" wrapText="1"/>
    </xf>
    <xf numFmtId="165" fontId="10" fillId="7" borderId="0" xfId="2" applyNumberFormat="1" applyFont="1" applyFill="1" applyBorder="1" applyAlignment="1">
      <alignment vertical="center" wrapText="1"/>
    </xf>
    <xf numFmtId="165" fontId="11" fillId="7" borderId="0" xfId="2" applyNumberFormat="1" applyFont="1" applyFill="1" applyBorder="1" applyAlignment="1">
      <alignment vertical="center" wrapText="1"/>
    </xf>
    <xf numFmtId="165" fontId="10" fillId="7" borderId="0" xfId="2" applyNumberFormat="1" applyFont="1" applyFill="1" applyBorder="1" applyAlignment="1">
      <alignment vertical="center"/>
    </xf>
    <xf numFmtId="165" fontId="11" fillId="7" borderId="0" xfId="2" applyNumberFormat="1" applyFont="1" applyFill="1" applyBorder="1" applyAlignment="1">
      <alignment vertical="center"/>
    </xf>
    <xf numFmtId="165" fontId="10" fillId="7" borderId="0" xfId="2" applyNumberFormat="1" applyFont="1" applyFill="1" applyBorder="1" applyAlignment="1"/>
    <xf numFmtId="165" fontId="11" fillId="7" borderId="0" xfId="2" applyNumberFormat="1" applyFont="1" applyFill="1" applyBorder="1" applyAlignment="1"/>
    <xf numFmtId="49" fontId="11" fillId="0" borderId="0" xfId="2" applyNumberFormat="1" applyFont="1" applyFill="1" applyBorder="1" applyAlignment="1"/>
    <xf numFmtId="49" fontId="10" fillId="0" borderId="0" xfId="2" applyNumberFormat="1" applyFont="1" applyFill="1" applyBorder="1" applyAlignment="1"/>
    <xf numFmtId="165" fontId="11" fillId="0" borderId="0" xfId="2" applyNumberFormat="1" applyFont="1" applyFill="1" applyBorder="1" applyAlignment="1">
      <alignment vertical="center" wrapText="1"/>
    </xf>
    <xf numFmtId="165" fontId="10" fillId="0" borderId="0" xfId="2" applyNumberFormat="1" applyFont="1" applyFill="1" applyBorder="1" applyAlignment="1">
      <alignment vertical="center" wrapText="1"/>
    </xf>
    <xf numFmtId="0" fontId="10" fillId="0" borderId="0" xfId="2" applyNumberFormat="1" applyFont="1" applyFill="1" applyBorder="1" applyAlignment="1">
      <alignment vertical="center" wrapText="1"/>
    </xf>
    <xf numFmtId="165" fontId="11" fillId="0" borderId="0" xfId="2" applyNumberFormat="1" applyFont="1" applyFill="1" applyBorder="1" applyAlignment="1">
      <alignment vertical="center" wrapText="1"/>
    </xf>
    <xf numFmtId="167" fontId="10" fillId="0" borderId="0" xfId="2" applyNumberFormat="1" applyFont="1" applyFill="1" applyBorder="1" applyAlignment="1">
      <alignment vertical="center" wrapText="1"/>
    </xf>
    <xf numFmtId="14" fontId="10" fillId="0" borderId="0" xfId="2" applyNumberFormat="1" applyFont="1" applyFill="1" applyBorder="1" applyAlignment="1">
      <alignment vertical="center"/>
    </xf>
    <xf numFmtId="14" fontId="10" fillId="3" borderId="0" xfId="2" applyNumberFormat="1" applyFont="1" applyFill="1" applyBorder="1" applyAlignment="1">
      <alignment vertical="center"/>
    </xf>
    <xf numFmtId="14" fontId="10" fillId="0" borderId="0" xfId="2" applyNumberFormat="1" applyFont="1" applyFill="1" applyBorder="1" applyAlignment="1"/>
    <xf numFmtId="49" fontId="11" fillId="3" borderId="0" xfId="2" applyNumberFormat="1" applyFont="1" applyFill="1" applyBorder="1" applyAlignment="1">
      <alignment vertical="center" wrapText="1"/>
    </xf>
    <xf numFmtId="0" fontId="11" fillId="3" borderId="0" xfId="2" applyNumberFormat="1" applyFont="1" applyFill="1" applyBorder="1" applyAlignment="1">
      <alignment vertical="center"/>
    </xf>
    <xf numFmtId="0" fontId="11" fillId="3" borderId="0" xfId="2" applyNumberFormat="1" applyFont="1" applyFill="1" applyBorder="1" applyAlignment="1">
      <alignment vertical="center" wrapText="1"/>
    </xf>
    <xf numFmtId="43" fontId="0" fillId="0" borderId="0" xfId="311" applyFont="1"/>
    <xf numFmtId="0" fontId="11" fillId="0" borderId="0" xfId="2" applyNumberFormat="1" applyFont="1" applyFill="1" applyBorder="1" applyAlignment="1">
      <alignment vertical="center"/>
    </xf>
    <xf numFmtId="165" fontId="10" fillId="0" borderId="0" xfId="0" applyNumberFormat="1" applyFont="1" applyAlignment="1">
      <alignment vertical="center"/>
    </xf>
    <xf numFmtId="0" fontId="0" fillId="0" borderId="0" xfId="0" applyAlignment="1">
      <alignment wrapText="1"/>
    </xf>
    <xf numFmtId="0" fontId="0" fillId="0" borderId="0" xfId="0" applyNumberFormat="1"/>
    <xf numFmtId="0" fontId="0" fillId="0" borderId="0" xfId="0" applyNumberFormat="1" applyAlignment="1">
      <alignment wrapText="1"/>
    </xf>
    <xf numFmtId="0" fontId="79" fillId="0" borderId="0" xfId="0" applyFont="1" applyAlignment="1">
      <alignment wrapText="1"/>
    </xf>
    <xf numFmtId="0" fontId="79" fillId="0" borderId="0" xfId="0" applyNumberFormat="1" applyFont="1" applyAlignment="1">
      <alignment wrapText="1"/>
    </xf>
    <xf numFmtId="0" fontId="79" fillId="0" borderId="0" xfId="0" applyFont="1"/>
    <xf numFmtId="14" fontId="79" fillId="0" borderId="0" xfId="0" applyNumberFormat="1" applyFont="1"/>
    <xf numFmtId="49" fontId="79" fillId="0" borderId="0" xfId="0" applyNumberFormat="1" applyFont="1"/>
    <xf numFmtId="0" fontId="79" fillId="0" borderId="0" xfId="0" applyNumberFormat="1" applyFont="1"/>
    <xf numFmtId="17" fontId="79" fillId="0" borderId="0" xfId="0" applyNumberFormat="1" applyFont="1" applyAlignment="1">
      <alignment wrapText="1"/>
    </xf>
    <xf numFmtId="165" fontId="10" fillId="0" borderId="0" xfId="2" applyNumberFormat="1" applyFont="1" applyFill="1" applyBorder="1" applyAlignment="1">
      <alignment vertical="center" wrapText="1"/>
    </xf>
    <xf numFmtId="165" fontId="11" fillId="0" borderId="0" xfId="2" applyNumberFormat="1" applyFont="1" applyFill="1" applyBorder="1" applyAlignment="1">
      <alignment vertical="center" wrapText="1"/>
    </xf>
    <xf numFmtId="165" fontId="11" fillId="0" borderId="0" xfId="2" quotePrefix="1" applyNumberFormat="1" applyFont="1" applyFill="1" applyBorder="1" applyAlignment="1">
      <alignment vertical="center" wrapText="1"/>
    </xf>
    <xf numFmtId="165" fontId="12" fillId="0" borderId="0" xfId="2" applyNumberFormat="1" applyFont="1" applyFill="1" applyBorder="1" applyAlignment="1">
      <alignment vertical="center" wrapText="1"/>
    </xf>
    <xf numFmtId="49" fontId="10" fillId="0" borderId="0" xfId="2" applyNumberFormat="1" applyFont="1" applyFill="1" applyBorder="1" applyAlignment="1">
      <alignment horizontal="center" vertical="center" wrapText="1"/>
    </xf>
    <xf numFmtId="14" fontId="11" fillId="0" borderId="0" xfId="2" applyNumberFormat="1" applyFont="1" applyFill="1" applyBorder="1" applyAlignment="1">
      <alignment vertical="center" wrapText="1"/>
    </xf>
    <xf numFmtId="0" fontId="10" fillId="0" borderId="0" xfId="2" applyNumberFormat="1" applyFont="1" applyFill="1" applyBorder="1" applyAlignment="1">
      <alignment vertical="center" wrapText="1"/>
    </xf>
    <xf numFmtId="167" fontId="10" fillId="0" borderId="0" xfId="2" applyNumberFormat="1" applyFont="1" applyFill="1" applyBorder="1" applyAlignment="1">
      <alignment vertical="center" wrapText="1"/>
    </xf>
    <xf numFmtId="166" fontId="12" fillId="0" borderId="0" xfId="2" applyNumberFormat="1" applyFont="1" applyFill="1" applyBorder="1" applyAlignment="1">
      <alignment vertical="center" wrapText="1"/>
    </xf>
    <xf numFmtId="14" fontId="10" fillId="0" borderId="0" xfId="2" applyNumberFormat="1" applyFont="1" applyFill="1" applyBorder="1" applyAlignment="1">
      <alignment horizontal="center" vertical="center" wrapText="1"/>
    </xf>
    <xf numFmtId="49" fontId="11" fillId="0" borderId="0" xfId="2" applyNumberFormat="1" applyFont="1" applyFill="1" applyBorder="1" applyAlignment="1">
      <alignment vertical="center" wrapText="1"/>
    </xf>
    <xf numFmtId="165" fontId="10" fillId="0" borderId="0" xfId="2" applyNumberFormat="1" applyFont="1" applyFill="1" applyBorder="1" applyAlignment="1">
      <alignment horizontal="center" vertical="center" wrapText="1"/>
    </xf>
    <xf numFmtId="49" fontId="11" fillId="0" borderId="0" xfId="2" applyNumberFormat="1" applyFont="1" applyFill="1" applyBorder="1" applyAlignment="1">
      <alignment horizontal="center" vertical="center" wrapText="1"/>
    </xf>
    <xf numFmtId="0" fontId="18" fillId="0" borderId="1" xfId="6" applyNumberFormat="1" applyFont="1" applyFill="1" applyBorder="1" applyAlignment="1">
      <alignment horizontal="center"/>
    </xf>
    <xf numFmtId="0" fontId="17" fillId="0" borderId="0" xfId="6" applyNumberFormat="1" applyFont="1" applyFill="1" applyAlignment="1">
      <alignment horizontal="center"/>
    </xf>
  </cellXfs>
  <cellStyles count="312">
    <cellStyle name="_x0001_" xfId="8"/>
    <cellStyle name="#,##0" xfId="9"/>
    <cellStyle name="??" xfId="10"/>
    <cellStyle name="?? [0.00]_ Att. 1- Cover" xfId="11"/>
    <cellStyle name="?? [0]" xfId="12"/>
    <cellStyle name="???? [0.00]_PRODUCT DETAIL Q1" xfId="13"/>
    <cellStyle name="????_PRODUCT DETAIL Q1" xfId="14"/>
    <cellStyle name="???[0]_00Q3902REV.1" xfId="15"/>
    <cellStyle name="???_00Q3902REV.1" xfId="16"/>
    <cellStyle name="??[0]_BRE" xfId="17"/>
    <cellStyle name="??_ Att. 1- Cover" xfId="18"/>
    <cellStyle name="_x0001_?¶æµ_x001b_ºß­ " xfId="19"/>
    <cellStyle name="_x0001_?¶æµ_x001b_ºß­_" xfId="20"/>
    <cellStyle name="_x0001_\Ô" xfId="21"/>
    <cellStyle name="_Book1" xfId="22"/>
    <cellStyle name="_gia vua be tong DLe 9-2005" xfId="23"/>
    <cellStyle name="_ÿÿÿÿÿ" xfId="24"/>
    <cellStyle name="_x0001_¨c^ " xfId="25"/>
    <cellStyle name="_x0001_¨c^[" xfId="26"/>
    <cellStyle name="_x0001_¨c^_" xfId="27"/>
    <cellStyle name="_x0001_¨Œc^ " xfId="28"/>
    <cellStyle name="_x0001_¨Œc^[" xfId="29"/>
    <cellStyle name="_x0001_¨Œc^_" xfId="30"/>
    <cellStyle name="_x0001_µÑTÖ " xfId="31"/>
    <cellStyle name="_x0001_µÑTÖ_" xfId="32"/>
    <cellStyle name="W_MARINE" xfId="33"/>
    <cellStyle name="0.0" xfId="34"/>
    <cellStyle name="0.00" xfId="35"/>
    <cellStyle name="1" xfId="36"/>
    <cellStyle name="_x0001_1¼„½(" xfId="37"/>
    <cellStyle name="_x0001_1¼½(" xfId="38"/>
    <cellStyle name="2" xfId="39"/>
    <cellStyle name="3" xfId="40"/>
    <cellStyle name="4" xfId="41"/>
    <cellStyle name="_x0001_Å»_x001e_´ " xfId="42"/>
    <cellStyle name="_x0001_Å»_x001e_´_" xfId="43"/>
    <cellStyle name="AeE­ [0]_INQUIRY ¿µ¾÷AßAø " xfId="44"/>
    <cellStyle name="AeE­_INQUIRY ¿µ¾÷AßAø " xfId="45"/>
    <cellStyle name="AÞ¸¶ [0]_INQUIRY ¿?¾÷AßAø " xfId="46"/>
    <cellStyle name="AÞ¸¶_INQUIRY ¿?¾÷AßAø " xfId="47"/>
    <cellStyle name="C?AØ_¿?¾÷CoE² " xfId="48"/>
    <cellStyle name="C￥AØ_¿μ¾÷CoE² " xfId="49"/>
    <cellStyle name="Calc Currency (0)" xfId="50"/>
    <cellStyle name="Centered Heading" xfId="51"/>
    <cellStyle name="Column_Title" xfId="52"/>
    <cellStyle name="Comma" xfId="311" builtinId="3"/>
    <cellStyle name="Comma %" xfId="53"/>
    <cellStyle name="Comma 0.0" xfId="54"/>
    <cellStyle name="Comma 0.0%" xfId="55"/>
    <cellStyle name="Comma 0.00" xfId="56"/>
    <cellStyle name="Comma 0.00%" xfId="57"/>
    <cellStyle name="Comma 0.000" xfId="58"/>
    <cellStyle name="Comma 0.000%" xfId="59"/>
    <cellStyle name="Comma 10" xfId="60"/>
    <cellStyle name="Comma 10 2" xfId="61"/>
    <cellStyle name="Comma 11" xfId="62"/>
    <cellStyle name="Comma 12" xfId="63"/>
    <cellStyle name="Comma 12 2" xfId="64"/>
    <cellStyle name="Comma 13" xfId="65"/>
    <cellStyle name="Comma 13 2" xfId="66"/>
    <cellStyle name="Comma 14" xfId="67"/>
    <cellStyle name="Comma 14 2" xfId="68"/>
    <cellStyle name="Comma 15" xfId="69"/>
    <cellStyle name="Comma 15 2" xfId="5"/>
    <cellStyle name="Comma 16" xfId="70"/>
    <cellStyle name="Comma 16 2" xfId="71"/>
    <cellStyle name="Comma 17" xfId="72"/>
    <cellStyle name="Comma 18" xfId="73"/>
    <cellStyle name="Comma 19" xfId="74"/>
    <cellStyle name="Comma 19 2" xfId="75"/>
    <cellStyle name="Comma 2" xfId="2"/>
    <cellStyle name="Comma 2 2" xfId="7"/>
    <cellStyle name="Comma 2 2 2" xfId="76"/>
    <cellStyle name="Comma 2 2 3" xfId="77"/>
    <cellStyle name="Comma 2 2 4" xfId="78"/>
    <cellStyle name="Comma 2 2 5" xfId="79"/>
    <cellStyle name="Comma 2 2 5 2" xfId="80"/>
    <cellStyle name="Comma 2 2 6" xfId="81"/>
    <cellStyle name="Comma 2 3" xfId="82"/>
    <cellStyle name="Comma 2 4" xfId="4"/>
    <cellStyle name="Comma 20" xfId="83"/>
    <cellStyle name="Comma 20 2" xfId="84"/>
    <cellStyle name="Comma 21" xfId="85"/>
    <cellStyle name="Comma 22" xfId="86"/>
    <cellStyle name="Comma 23" xfId="87"/>
    <cellStyle name="Comma 24" xfId="88"/>
    <cellStyle name="Comma 25" xfId="89"/>
    <cellStyle name="Comma 26" xfId="90"/>
    <cellStyle name="Comma 27" xfId="91"/>
    <cellStyle name="Comma 28" xfId="92"/>
    <cellStyle name="Comma 29" xfId="93"/>
    <cellStyle name="Comma 3" xfId="94"/>
    <cellStyle name="Comma 3 2" xfId="95"/>
    <cellStyle name="Comma 3 3" xfId="96"/>
    <cellStyle name="Comma 3 4" xfId="97"/>
    <cellStyle name="Comma 3 5" xfId="98"/>
    <cellStyle name="Comma 3 6" xfId="99"/>
    <cellStyle name="Comma 30" xfId="100"/>
    <cellStyle name="Comma 31" xfId="101"/>
    <cellStyle name="Comma 32" xfId="102"/>
    <cellStyle name="Comma 33" xfId="103"/>
    <cellStyle name="Comma 34" xfId="104"/>
    <cellStyle name="Comma 35" xfId="105"/>
    <cellStyle name="Comma 36" xfId="106"/>
    <cellStyle name="Comma 37" xfId="107"/>
    <cellStyle name="Comma 38" xfId="108"/>
    <cellStyle name="Comma 39" xfId="109"/>
    <cellStyle name="Comma 4" xfId="110"/>
    <cellStyle name="Comma 4 2" xfId="111"/>
    <cellStyle name="Comma 4 3" xfId="112"/>
    <cellStyle name="Comma 4 4" xfId="113"/>
    <cellStyle name="Comma 4 5" xfId="114"/>
    <cellStyle name="Comma 40" xfId="115"/>
    <cellStyle name="Comma 41" xfId="116"/>
    <cellStyle name="Comma 42" xfId="117"/>
    <cellStyle name="Comma 5" xfId="118"/>
    <cellStyle name="Comma 5 2" xfId="119"/>
    <cellStyle name="Comma 5 3" xfId="120"/>
    <cellStyle name="Comma 5 4" xfId="121"/>
    <cellStyle name="Comma 6" xfId="122"/>
    <cellStyle name="Comma 6 2" xfId="123"/>
    <cellStyle name="Comma 6 3" xfId="124"/>
    <cellStyle name="Comma 6 4" xfId="125"/>
    <cellStyle name="Comma 7" xfId="126"/>
    <cellStyle name="Comma 7 2" xfId="127"/>
    <cellStyle name="Comma 7 3" xfId="128"/>
    <cellStyle name="Comma 8" xfId="129"/>
    <cellStyle name="Comma 8 2" xfId="130"/>
    <cellStyle name="Comma 8 3" xfId="131"/>
    <cellStyle name="Comma 9" xfId="132"/>
    <cellStyle name="Comma 9 2" xfId="133"/>
    <cellStyle name="comma zerodec" xfId="134"/>
    <cellStyle name="Comma0" xfId="135"/>
    <cellStyle name="Company Name" xfId="136"/>
    <cellStyle name="CR Comma" xfId="137"/>
    <cellStyle name="CR Currency" xfId="138"/>
    <cellStyle name="Credit" xfId="139"/>
    <cellStyle name="Credit subtotal" xfId="140"/>
    <cellStyle name="Credit Total" xfId="141"/>
    <cellStyle name="Cࡵrrency_Sheet1_PRODUCTĠ" xfId="142"/>
    <cellStyle name="_x0001_CS_x0006_RMO[" xfId="143"/>
    <cellStyle name="_x0001_CS_x0006_RMO_" xfId="144"/>
    <cellStyle name="Currency %" xfId="145"/>
    <cellStyle name="Currency 0.0" xfId="146"/>
    <cellStyle name="Currency 0.0%" xfId="147"/>
    <cellStyle name="Currency 0.0_Worksheet in 22311 Draf Financial Statements - 30 1 2005 2" xfId="148"/>
    <cellStyle name="Currency 0.00" xfId="149"/>
    <cellStyle name="Currency 0.00%" xfId="150"/>
    <cellStyle name="Currency 0.00_Worksheet in 22311 Draf Financial Statements - 30 1 2005 2" xfId="151"/>
    <cellStyle name="Currency 0.000" xfId="152"/>
    <cellStyle name="Currency 0.000%" xfId="153"/>
    <cellStyle name="Currency 0.000_Worksheet in 22311 Draf Financial Statements - 30 1 2005 2" xfId="154"/>
    <cellStyle name="Currency0" xfId="155"/>
    <cellStyle name="Currency1" xfId="156"/>
    <cellStyle name="Date" xfId="157"/>
    <cellStyle name="Debit" xfId="158"/>
    <cellStyle name="Debit subtotal" xfId="159"/>
    <cellStyle name="Debit Total" xfId="160"/>
    <cellStyle name="_x0001_dÏÈ¹ " xfId="161"/>
    <cellStyle name="_x0001_dÏÈ¹_" xfId="162"/>
    <cellStyle name="Dollar (zero dec)" xfId="163"/>
    <cellStyle name="Fixed" xfId="164"/>
    <cellStyle name="Grey" xfId="165"/>
    <cellStyle name="Header1" xfId="166"/>
    <cellStyle name="Header2" xfId="167"/>
    <cellStyle name="Heading" xfId="168"/>
    <cellStyle name="Heading No Underline" xfId="169"/>
    <cellStyle name="Heading With Underline" xfId="170"/>
    <cellStyle name="HEADING1" xfId="171"/>
    <cellStyle name="HEADING2" xfId="172"/>
    <cellStyle name="Hyperlink 2" xfId="173"/>
    <cellStyle name="_x0001_í½?" xfId="174"/>
    <cellStyle name="_x0001_íå_x001b_ô " xfId="175"/>
    <cellStyle name="_x0001_íå_x001b_ô_" xfId="176"/>
    <cellStyle name="Input [yellow]" xfId="177"/>
    <cellStyle name="moi" xfId="178"/>
    <cellStyle name="Monétaire [0]_TARIFFS DB" xfId="179"/>
    <cellStyle name="Monétaire_TARIFFS DB" xfId="180"/>
    <cellStyle name="n" xfId="181"/>
    <cellStyle name="New" xfId="182"/>
    <cellStyle name="New Times Roman" xfId="183"/>
    <cellStyle name="no dec" xfId="184"/>
    <cellStyle name="Normal" xfId="0" builtinId="0"/>
    <cellStyle name="Normal - Style1" xfId="185"/>
    <cellStyle name="Normal 10" xfId="186"/>
    <cellStyle name="Normal 10 2" xfId="187"/>
    <cellStyle name="Normal 11" xfId="188"/>
    <cellStyle name="Normal 11 2" xfId="189"/>
    <cellStyle name="Normal 12" xfId="190"/>
    <cellStyle name="Normal 12 2" xfId="191"/>
    <cellStyle name="Normal 13" xfId="192"/>
    <cellStyle name="Normal 13 2" xfId="193"/>
    <cellStyle name="Normal 14" xfId="194"/>
    <cellStyle name="Normal 15" xfId="195"/>
    <cellStyle name="Normal 15 2" xfId="196"/>
    <cellStyle name="Normal 16" xfId="197"/>
    <cellStyle name="Normal 16 2" xfId="198"/>
    <cellStyle name="Normal 17" xfId="199"/>
    <cellStyle name="Normal 18" xfId="200"/>
    <cellStyle name="Normal 19" xfId="201"/>
    <cellStyle name="Normal 2" xfId="1"/>
    <cellStyle name="Normal 2 2" xfId="6"/>
    <cellStyle name="Normal 20" xfId="202"/>
    <cellStyle name="Normal 21" xfId="203"/>
    <cellStyle name="Normal 22" xfId="204"/>
    <cellStyle name="Normal 23" xfId="205"/>
    <cellStyle name="Normal 24" xfId="206"/>
    <cellStyle name="Normal 25" xfId="207"/>
    <cellStyle name="Normal 26" xfId="208"/>
    <cellStyle name="Normal 27" xfId="209"/>
    <cellStyle name="Normal 28" xfId="210"/>
    <cellStyle name="Normal 29" xfId="211"/>
    <cellStyle name="Normal 3" xfId="3"/>
    <cellStyle name="Normal 3 2" xfId="212"/>
    <cellStyle name="Normal 3 3" xfId="213"/>
    <cellStyle name="Normal 3 4" xfId="214"/>
    <cellStyle name="Normal 3 5" xfId="215"/>
    <cellStyle name="Normal 3 6" xfId="216"/>
    <cellStyle name="Normal 30" xfId="217"/>
    <cellStyle name="Normal 31" xfId="218"/>
    <cellStyle name="Normal 32" xfId="219"/>
    <cellStyle name="Normal 33" xfId="220"/>
    <cellStyle name="Normal 34" xfId="221"/>
    <cellStyle name="Normal 35" xfId="222"/>
    <cellStyle name="Normal 36" xfId="223"/>
    <cellStyle name="Normal 37" xfId="224"/>
    <cellStyle name="Normal 38" xfId="225"/>
    <cellStyle name="Normal 39" xfId="226"/>
    <cellStyle name="Normal 4" xfId="227"/>
    <cellStyle name="Normal 4 2" xfId="228"/>
    <cellStyle name="Normal 4 3" xfId="229"/>
    <cellStyle name="Normal 4 4" xfId="230"/>
    <cellStyle name="Normal 4 5" xfId="231"/>
    <cellStyle name="Normal 4 6" xfId="232"/>
    <cellStyle name="Normal 5" xfId="233"/>
    <cellStyle name="Normal 5 2" xfId="234"/>
    <cellStyle name="Normal 5 3" xfId="235"/>
    <cellStyle name="Normal 6" xfId="236"/>
    <cellStyle name="Normal 6 2" xfId="237"/>
    <cellStyle name="Normal 6 3" xfId="238"/>
    <cellStyle name="Normal 6 4" xfId="239"/>
    <cellStyle name="Normal 6 5" xfId="240"/>
    <cellStyle name="Normal 7" xfId="241"/>
    <cellStyle name="Normal 7 2" xfId="242"/>
    <cellStyle name="Normal 7 3" xfId="243"/>
    <cellStyle name="Normal 8" xfId="244"/>
    <cellStyle name="Normal 8 2" xfId="245"/>
    <cellStyle name="Normal 8 3" xfId="246"/>
    <cellStyle name="Normal 9" xfId="247"/>
    <cellStyle name="Normal 9 2" xfId="248"/>
    <cellStyle name="Normal1" xfId="249"/>
    <cellStyle name="Œ…‹æØ‚è [0.00]_laroux" xfId="250"/>
    <cellStyle name="Œ…‹æØ‚è_laroux" xfId="251"/>
    <cellStyle name="Percent %" xfId="252"/>
    <cellStyle name="Percent % Long Underline" xfId="253"/>
    <cellStyle name="Percent %_Worksheet in  US Financial Statements Ref. Workbook - Single Co" xfId="254"/>
    <cellStyle name="Percent (0)" xfId="255"/>
    <cellStyle name="Percent [2]" xfId="256"/>
    <cellStyle name="Percent 0.0%" xfId="257"/>
    <cellStyle name="Percent 0.0% Long Underline" xfId="258"/>
    <cellStyle name="Percent 0.00%" xfId="259"/>
    <cellStyle name="Percent 0.00% Long Underline" xfId="260"/>
    <cellStyle name="Percent 0.000%" xfId="261"/>
    <cellStyle name="Percent 0.000% Long Underline" xfId="262"/>
    <cellStyle name="Percent 2" xfId="263"/>
    <cellStyle name="Percent 3" xfId="264"/>
    <cellStyle name="_x0001_sç?" xfId="265"/>
    <cellStyle name="serJet 1200 Series PCL 6" xfId="266"/>
    <cellStyle name="Style 1" xfId="267"/>
    <cellStyle name="Style 10" xfId="268"/>
    <cellStyle name="Style 11" xfId="269"/>
    <cellStyle name="Style 12" xfId="270"/>
    <cellStyle name="Style 13" xfId="271"/>
    <cellStyle name="Style 14" xfId="272"/>
    <cellStyle name="Style 15" xfId="273"/>
    <cellStyle name="Style 16" xfId="274"/>
    <cellStyle name="Style 2" xfId="275"/>
    <cellStyle name="Style 3" xfId="276"/>
    <cellStyle name="Style 4" xfId="277"/>
    <cellStyle name="Style 5" xfId="278"/>
    <cellStyle name="Style 6" xfId="279"/>
    <cellStyle name="Style 7" xfId="280"/>
    <cellStyle name="Style 8" xfId="281"/>
    <cellStyle name="Style 9" xfId="282"/>
    <cellStyle name="T" xfId="283"/>
    <cellStyle name="th" xfId="284"/>
    <cellStyle name="Thuyet minh" xfId="285"/>
    <cellStyle name="Tickmark" xfId="286"/>
    <cellStyle name="viet" xfId="287"/>
    <cellStyle name="viet2" xfId="288"/>
    <cellStyle name=" [0.00]_ Att. 1- Cover" xfId="289"/>
    <cellStyle name="_ Att. 1- Cover" xfId="290"/>
    <cellStyle name="?_ Att. 1- Cover" xfId="291"/>
    <cellStyle name="똿뗦먛귟 [0.00]_PRODUCT DETAIL Q1" xfId="292"/>
    <cellStyle name="똿뗦먛귟_PRODUCT DETAIL Q1" xfId="293"/>
    <cellStyle name="믅됞 [0.00]_PRODUCT DETAIL Q1" xfId="294"/>
    <cellStyle name="믅됞_PRODUCT DETAIL Q1" xfId="295"/>
    <cellStyle name="백분율_95" xfId="296"/>
    <cellStyle name="뷭?_BOOKSHIP" xfId="297"/>
    <cellStyle name="안건회계법인" xfId="298"/>
    <cellStyle name="콤마 [0]_#3,4" xfId="299"/>
    <cellStyle name="콤마_#3,4" xfId="300"/>
    <cellStyle name="통화 [0]_1202" xfId="301"/>
    <cellStyle name="통화_1202" xfId="302"/>
    <cellStyle name="표준_(정보부문)월별인원계획" xfId="303"/>
    <cellStyle name="一般_00Q3902REV.1" xfId="304"/>
    <cellStyle name="千分位[0]_00Q3902REV.1" xfId="305"/>
    <cellStyle name="千分位_00Q3902REV.1" xfId="306"/>
    <cellStyle name="標準_MARINE" xfId="307"/>
    <cellStyle name="貨幣 [0]_00Q3902REV.1" xfId="308"/>
    <cellStyle name="貨幣[0]_BRE" xfId="309"/>
    <cellStyle name="貨幣_00Q3902REV.1" xfId="310"/>
  </cellStyles>
  <dxfs count="1">
    <dxf>
      <fill>
        <patternFill patternType="solid">
          <fgColor rgb="FFB7E1CD"/>
          <bgColor rgb="FFB7E1CD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8">
    <tabColor indexed="33"/>
  </sheetPr>
  <dimension ref="A1:DU21"/>
  <sheetViews>
    <sheetView topLeftCell="A4" zoomScaleNormal="100" zoomScaleSheetLayoutView="100" workbookViewId="0">
      <selection activeCell="K19" sqref="K19"/>
    </sheetView>
  </sheetViews>
  <sheetFormatPr defaultRowHeight="11.25"/>
  <cols>
    <col min="1" max="3" width="9.140625" style="53"/>
    <col min="4" max="4" width="12.28515625" style="115" customWidth="1"/>
    <col min="5" max="5" width="8.42578125" style="49" customWidth="1"/>
    <col min="6" max="14" width="10.42578125" style="49" customWidth="1"/>
    <col min="15" max="28" width="2.28515625" style="49" customWidth="1"/>
    <col min="29" max="29" width="8" style="49" customWidth="1"/>
    <col min="30" max="30" width="10.28515625" style="49" customWidth="1"/>
    <col min="31" max="32" width="10.42578125" style="49" customWidth="1"/>
    <col min="33" max="34" width="8.42578125" style="49" customWidth="1"/>
    <col min="35" max="35" width="11.28515625" style="49" customWidth="1"/>
    <col min="36" max="39" width="8.42578125" style="49" customWidth="1"/>
    <col min="40" max="40" width="11.85546875" style="49" customWidth="1"/>
    <col min="41" max="41" width="11.5703125" style="49" customWidth="1"/>
    <col min="42" max="42" width="10" style="49" customWidth="1"/>
    <col min="43" max="51" width="8.42578125" style="49" customWidth="1"/>
    <col min="52" max="52" width="11.140625" style="49" customWidth="1"/>
    <col min="53" max="56" width="8.42578125" style="49" customWidth="1"/>
    <col min="57" max="57" width="9.5703125" style="49" customWidth="1"/>
    <col min="58" max="58" width="11.140625" style="49" customWidth="1"/>
    <col min="59" max="59" width="10.7109375" style="54" customWidth="1"/>
    <col min="60" max="60" width="15.28515625" style="112" customWidth="1"/>
    <col min="61" max="61" width="16.140625" style="113" customWidth="1"/>
    <col min="62" max="62" width="8.42578125" style="53" customWidth="1"/>
    <col min="63" max="63" width="9.28515625" style="53" customWidth="1"/>
    <col min="64" max="64" width="10.42578125" style="53" customWidth="1"/>
    <col min="65" max="65" width="12.85546875" style="53" customWidth="1"/>
    <col min="66" max="66" width="9.7109375" style="112" customWidth="1"/>
    <col min="67" max="67" width="15.140625" style="112" customWidth="1"/>
    <col min="68" max="68" width="16.28515625" style="49" customWidth="1"/>
    <col min="69" max="69" width="8.5703125" style="53" customWidth="1"/>
    <col min="70" max="70" width="9.85546875" style="53" customWidth="1"/>
    <col min="71" max="71" width="15" style="54" customWidth="1"/>
    <col min="72" max="72" width="10.7109375" style="56" customWidth="1"/>
    <col min="73" max="73" width="9.28515625" style="53" customWidth="1"/>
    <col min="74" max="74" width="15.42578125" style="53" customWidth="1"/>
    <col min="75" max="75" width="11.42578125" style="49" customWidth="1"/>
    <col min="76" max="76" width="13.7109375" style="49" customWidth="1"/>
    <col min="77" max="83" width="11.42578125" style="49" customWidth="1"/>
    <col min="84" max="84" width="14.42578125" style="49" customWidth="1"/>
    <col min="85" max="85" width="11.42578125" style="49" customWidth="1"/>
    <col min="86" max="86" width="12.85546875" style="49" customWidth="1"/>
    <col min="87" max="96" width="11.42578125" style="49" customWidth="1"/>
    <col min="97" max="97" width="11.42578125" style="57" customWidth="1"/>
    <col min="98" max="98" width="12.85546875" style="57" customWidth="1"/>
    <col min="99" max="125" width="19.28515625" style="53" customWidth="1"/>
    <col min="126" max="16384" width="9.140625" style="53"/>
  </cols>
  <sheetData>
    <row r="1" spans="1:125" s="117" customFormat="1" ht="45.75" customHeight="1">
      <c r="D1" s="144" t="s">
        <v>14</v>
      </c>
      <c r="E1" s="119"/>
      <c r="F1" s="119"/>
      <c r="G1" s="119"/>
      <c r="H1" s="119"/>
      <c r="I1" s="119"/>
      <c r="J1" s="119"/>
      <c r="K1" s="119"/>
      <c r="L1" s="119"/>
      <c r="M1" s="119"/>
      <c r="N1" s="119"/>
      <c r="O1" s="119"/>
      <c r="P1" s="119"/>
      <c r="Q1" s="119"/>
      <c r="R1" s="119"/>
      <c r="S1" s="119"/>
      <c r="T1" s="119"/>
      <c r="U1" s="119"/>
      <c r="V1" s="119"/>
      <c r="W1" s="119"/>
      <c r="X1" s="119"/>
      <c r="Y1" s="119"/>
      <c r="Z1" s="119"/>
      <c r="AA1" s="119"/>
      <c r="AB1" s="119"/>
      <c r="AC1" s="119"/>
      <c r="AD1" s="119"/>
      <c r="AE1" s="119"/>
      <c r="AF1" s="119"/>
      <c r="AG1" s="119"/>
      <c r="AH1" s="119"/>
      <c r="AI1" s="119"/>
      <c r="AJ1" s="119"/>
      <c r="AK1" s="119"/>
      <c r="AL1" s="119"/>
      <c r="AM1" s="119"/>
      <c r="AN1" s="119"/>
      <c r="AO1" s="119"/>
      <c r="AP1" s="119"/>
      <c r="AQ1" s="119"/>
      <c r="AR1" s="119"/>
      <c r="AS1" s="119"/>
      <c r="AT1" s="119"/>
      <c r="AU1" s="119"/>
      <c r="AV1" s="119"/>
      <c r="AW1" s="119"/>
      <c r="AX1" s="119"/>
      <c r="AY1" s="119"/>
      <c r="AZ1" s="119"/>
      <c r="BA1" s="119"/>
      <c r="BB1" s="119"/>
      <c r="BC1" s="119"/>
      <c r="BD1" s="119"/>
      <c r="BE1" s="140" t="s">
        <v>21</v>
      </c>
      <c r="BF1" s="140"/>
      <c r="BG1" s="140"/>
      <c r="BH1" s="140"/>
      <c r="BI1" s="140"/>
      <c r="BJ1" s="140" t="s">
        <v>22</v>
      </c>
      <c r="BK1" s="140"/>
      <c r="BL1" s="140"/>
      <c r="BM1" s="140"/>
      <c r="BN1" s="140"/>
      <c r="BO1" s="140"/>
      <c r="BP1" s="141" t="s">
        <v>23</v>
      </c>
      <c r="BQ1" s="140" t="s">
        <v>24</v>
      </c>
      <c r="BR1" s="140" t="s">
        <v>25</v>
      </c>
      <c r="BS1" s="147" t="s">
        <v>26</v>
      </c>
      <c r="BT1" s="148" t="s">
        <v>27</v>
      </c>
      <c r="BU1" s="140" t="s">
        <v>28</v>
      </c>
      <c r="BV1" s="140" t="s">
        <v>29</v>
      </c>
      <c r="BW1" s="140" t="s">
        <v>30</v>
      </c>
      <c r="BX1" s="140"/>
      <c r="BY1" s="140"/>
      <c r="BZ1" s="140"/>
      <c r="CA1" s="140"/>
      <c r="CB1" s="140"/>
      <c r="CC1" s="140"/>
      <c r="CD1" s="140"/>
      <c r="CE1" s="140"/>
      <c r="CF1" s="140"/>
      <c r="CG1" s="140"/>
      <c r="CH1" s="140"/>
      <c r="CI1" s="140"/>
      <c r="CJ1" s="140"/>
      <c r="CK1" s="140"/>
      <c r="CL1" s="140"/>
      <c r="CM1" s="140"/>
      <c r="CN1" s="140"/>
      <c r="CO1" s="140"/>
      <c r="CP1" s="140"/>
      <c r="CQ1" s="140"/>
      <c r="CR1" s="140"/>
      <c r="CS1" s="140"/>
      <c r="CT1" s="140"/>
      <c r="CU1" s="117" t="s">
        <v>31</v>
      </c>
      <c r="CV1" s="117" t="s">
        <v>32</v>
      </c>
      <c r="CW1" s="21" t="s">
        <v>33</v>
      </c>
      <c r="CX1" s="117" t="s">
        <v>34</v>
      </c>
      <c r="CY1" s="117" t="s">
        <v>35</v>
      </c>
      <c r="CZ1" s="21" t="s">
        <v>36</v>
      </c>
      <c r="DA1" s="118" t="s">
        <v>37</v>
      </c>
      <c r="DB1" s="118" t="s">
        <v>38</v>
      </c>
      <c r="DC1" s="146" t="s">
        <v>39</v>
      </c>
      <c r="DD1" s="146"/>
      <c r="DE1" s="146"/>
      <c r="DF1" s="118" t="s">
        <v>40</v>
      </c>
      <c r="DG1" s="118" t="s">
        <v>41</v>
      </c>
      <c r="DH1" s="118" t="s">
        <v>42</v>
      </c>
      <c r="DI1" s="118" t="s">
        <v>43</v>
      </c>
      <c r="DJ1" s="118" t="s">
        <v>44</v>
      </c>
      <c r="DK1" s="23" t="s">
        <v>45</v>
      </c>
      <c r="DL1" s="118" t="s">
        <v>46</v>
      </c>
      <c r="DM1" s="118" t="s">
        <v>47</v>
      </c>
      <c r="DN1" s="120" t="s">
        <v>48</v>
      </c>
      <c r="DO1" s="23" t="s">
        <v>49</v>
      </c>
      <c r="DP1" s="23" t="s">
        <v>50</v>
      </c>
      <c r="DQ1" s="23" t="s">
        <v>51</v>
      </c>
      <c r="DR1" s="23" t="s">
        <v>52</v>
      </c>
      <c r="DS1" s="23" t="s">
        <v>53</v>
      </c>
      <c r="DT1" s="117" t="s">
        <v>54</v>
      </c>
      <c r="DU1" s="25" t="s">
        <v>55</v>
      </c>
    </row>
    <row r="2" spans="1:125" s="117" customFormat="1" ht="54" customHeight="1">
      <c r="D2" s="144"/>
      <c r="E2" s="119" t="s">
        <v>56</v>
      </c>
      <c r="F2" s="117" t="s">
        <v>319</v>
      </c>
      <c r="G2" s="119" t="s">
        <v>316</v>
      </c>
      <c r="H2" s="119" t="s">
        <v>317</v>
      </c>
      <c r="I2" s="119" t="s">
        <v>318</v>
      </c>
      <c r="J2" s="119" t="s">
        <v>320</v>
      </c>
      <c r="K2" s="145" t="s">
        <v>18</v>
      </c>
      <c r="L2" s="145" t="s">
        <v>19</v>
      </c>
      <c r="M2" s="141" t="s">
        <v>17</v>
      </c>
      <c r="N2" s="140" t="s">
        <v>20</v>
      </c>
      <c r="AD2" s="119"/>
      <c r="AE2" s="119"/>
      <c r="AF2" s="119"/>
      <c r="AG2" s="119"/>
      <c r="AH2" s="119"/>
      <c r="AI2" s="119"/>
      <c r="AJ2" s="119"/>
      <c r="AK2" s="119"/>
      <c r="AL2" s="119"/>
      <c r="AM2" s="119"/>
      <c r="AN2" s="119"/>
      <c r="AO2" s="119"/>
      <c r="AP2" s="119"/>
      <c r="AQ2" s="119"/>
      <c r="AR2" s="119"/>
      <c r="AS2" s="119"/>
      <c r="AT2" s="119"/>
      <c r="AU2" s="119"/>
      <c r="AV2" s="119"/>
      <c r="AW2" s="119"/>
      <c r="AX2" s="119"/>
      <c r="AY2" s="119"/>
      <c r="AZ2" s="119"/>
      <c r="BA2" s="119"/>
      <c r="BB2" s="119"/>
      <c r="BC2" s="119"/>
      <c r="BD2" s="119"/>
      <c r="BE2" s="119" t="s">
        <v>75</v>
      </c>
      <c r="BF2" s="119" t="s">
        <v>76</v>
      </c>
      <c r="BG2" s="120" t="s">
        <v>77</v>
      </c>
      <c r="BH2" s="108" t="s">
        <v>78</v>
      </c>
      <c r="BI2" s="109" t="s">
        <v>79</v>
      </c>
      <c r="BJ2" s="117" t="s">
        <v>80</v>
      </c>
      <c r="BK2" s="117" t="s">
        <v>81</v>
      </c>
      <c r="BL2" s="117" t="s">
        <v>82</v>
      </c>
      <c r="BM2" s="117" t="s">
        <v>83</v>
      </c>
      <c r="BN2" s="108" t="s">
        <v>84</v>
      </c>
      <c r="BO2" s="108" t="s">
        <v>85</v>
      </c>
      <c r="BP2" s="141"/>
      <c r="BQ2" s="140"/>
      <c r="BR2" s="140"/>
      <c r="BS2" s="147"/>
      <c r="BT2" s="148"/>
      <c r="BU2" s="140"/>
      <c r="BV2" s="140"/>
      <c r="BW2" s="141" t="s">
        <v>86</v>
      </c>
      <c r="BX2" s="141"/>
      <c r="BY2" s="141" t="s">
        <v>87</v>
      </c>
      <c r="BZ2" s="141"/>
      <c r="CA2" s="141" t="s">
        <v>88</v>
      </c>
      <c r="CB2" s="141"/>
      <c r="CC2" s="141" t="s">
        <v>89</v>
      </c>
      <c r="CD2" s="141"/>
      <c r="CE2" s="141" t="s">
        <v>90</v>
      </c>
      <c r="CF2" s="141"/>
      <c r="CG2" s="142" t="s">
        <v>91</v>
      </c>
      <c r="CH2" s="141"/>
      <c r="CI2" s="142" t="s">
        <v>92</v>
      </c>
      <c r="CJ2" s="141"/>
      <c r="CK2" s="142">
        <v>962</v>
      </c>
      <c r="CL2" s="141"/>
      <c r="CM2" s="141">
        <v>972</v>
      </c>
      <c r="CN2" s="141"/>
      <c r="CO2" s="141">
        <v>972</v>
      </c>
      <c r="CP2" s="141"/>
      <c r="CQ2" s="141">
        <v>982</v>
      </c>
      <c r="CR2" s="141"/>
      <c r="CS2" s="143" t="s">
        <v>93</v>
      </c>
      <c r="CT2" s="143"/>
      <c r="CW2" s="21"/>
      <c r="CZ2" s="21"/>
      <c r="DA2" s="118" t="s">
        <v>94</v>
      </c>
      <c r="DB2" s="118" t="s">
        <v>95</v>
      </c>
      <c r="DC2" s="118"/>
      <c r="DD2" s="118" t="s">
        <v>96</v>
      </c>
      <c r="DE2" s="118" t="s">
        <v>97</v>
      </c>
      <c r="DF2" s="118"/>
      <c r="DG2" s="118"/>
      <c r="DH2" s="118"/>
      <c r="DI2" s="118"/>
      <c r="DJ2" s="118"/>
      <c r="DK2" s="23"/>
      <c r="DL2" s="118"/>
      <c r="DM2" s="118"/>
      <c r="DN2" s="120"/>
      <c r="DO2" s="23"/>
      <c r="DP2" s="23"/>
      <c r="DQ2" s="23"/>
      <c r="DR2" s="23"/>
      <c r="DS2" s="23"/>
      <c r="DU2" s="25"/>
    </row>
    <row r="3" spans="1:125" s="26" customFormat="1" ht="24" customHeight="1">
      <c r="E3" s="27"/>
      <c r="F3" s="27"/>
      <c r="G3" s="27"/>
      <c r="H3" s="27"/>
      <c r="I3" s="27"/>
      <c r="J3" s="27"/>
      <c r="K3" s="145"/>
      <c r="L3" s="145"/>
      <c r="M3" s="141"/>
      <c r="N3" s="140"/>
      <c r="O3" s="117"/>
      <c r="P3" s="117"/>
      <c r="Q3" s="117"/>
      <c r="R3" s="117"/>
      <c r="S3" s="117"/>
      <c r="T3" s="117"/>
      <c r="U3" s="117"/>
      <c r="V3" s="117"/>
      <c r="W3" s="117"/>
      <c r="X3" s="117"/>
      <c r="Y3" s="117"/>
      <c r="Z3" s="117"/>
      <c r="AA3" s="117"/>
      <c r="AB3" s="117"/>
      <c r="AC3" s="117"/>
      <c r="AD3" s="27"/>
      <c r="AE3" s="27"/>
      <c r="AF3" s="27"/>
      <c r="AG3" s="27"/>
      <c r="AH3" s="27"/>
      <c r="AI3" s="27"/>
      <c r="AJ3" s="27"/>
      <c r="AK3" s="27"/>
      <c r="AL3" s="27"/>
      <c r="AM3" s="27"/>
      <c r="AN3" s="27"/>
      <c r="AO3" s="27"/>
      <c r="AP3" s="27"/>
      <c r="AQ3" s="27"/>
      <c r="AR3" s="27"/>
      <c r="AS3" s="27"/>
      <c r="AT3" s="27"/>
      <c r="AU3" s="27"/>
      <c r="AV3" s="27"/>
      <c r="AW3" s="27"/>
      <c r="AX3" s="27"/>
      <c r="AY3" s="27"/>
      <c r="AZ3" s="27"/>
      <c r="BA3" s="27"/>
      <c r="BB3" s="27"/>
      <c r="BC3" s="27"/>
      <c r="BD3" s="27"/>
      <c r="BE3" s="29"/>
      <c r="BF3" s="29"/>
      <c r="BG3" s="30"/>
      <c r="BH3" s="110"/>
      <c r="BI3" s="111"/>
      <c r="BM3" s="28"/>
      <c r="BN3" s="110"/>
      <c r="BO3" s="110"/>
      <c r="BP3" s="29"/>
      <c r="BQ3" s="28"/>
      <c r="BR3" s="28"/>
      <c r="BS3" s="30"/>
      <c r="BT3" s="31"/>
      <c r="BU3" s="28"/>
      <c r="BV3" s="28"/>
      <c r="BW3" s="27" t="s">
        <v>98</v>
      </c>
      <c r="BX3" s="27" t="s">
        <v>99</v>
      </c>
      <c r="BY3" s="27" t="s">
        <v>98</v>
      </c>
      <c r="BZ3" s="27" t="s">
        <v>99</v>
      </c>
      <c r="CA3" s="27" t="s">
        <v>98</v>
      </c>
      <c r="CB3" s="27" t="s">
        <v>99</v>
      </c>
      <c r="CC3" s="27" t="s">
        <v>98</v>
      </c>
      <c r="CD3" s="27" t="s">
        <v>99</v>
      </c>
      <c r="CE3" s="27" t="s">
        <v>98</v>
      </c>
      <c r="CF3" s="27" t="s">
        <v>99</v>
      </c>
      <c r="CG3" s="27" t="s">
        <v>98</v>
      </c>
      <c r="CH3" s="27" t="s">
        <v>99</v>
      </c>
      <c r="CI3" s="27" t="s">
        <v>98</v>
      </c>
      <c r="CJ3" s="27" t="s">
        <v>99</v>
      </c>
      <c r="CK3" s="27" t="s">
        <v>98</v>
      </c>
      <c r="CL3" s="27" t="s">
        <v>99</v>
      </c>
      <c r="CM3" s="27" t="s">
        <v>98</v>
      </c>
      <c r="CN3" s="27" t="s">
        <v>99</v>
      </c>
      <c r="CO3" s="27" t="s">
        <v>98</v>
      </c>
      <c r="CP3" s="27" t="s">
        <v>99</v>
      </c>
      <c r="CQ3" s="27" t="s">
        <v>98</v>
      </c>
      <c r="CR3" s="27" t="s">
        <v>99</v>
      </c>
      <c r="CS3" s="32" t="s">
        <v>98</v>
      </c>
      <c r="CT3" s="32" t="s">
        <v>99</v>
      </c>
      <c r="CW3" s="33"/>
      <c r="CZ3" s="33"/>
      <c r="DA3" s="34"/>
      <c r="DB3" s="34"/>
      <c r="DC3" s="34"/>
      <c r="DD3" s="34"/>
      <c r="DE3" s="34"/>
      <c r="DF3" s="34"/>
      <c r="DG3" s="34"/>
      <c r="DH3" s="34"/>
      <c r="DI3" s="34"/>
      <c r="DJ3" s="34"/>
      <c r="DK3" s="35"/>
      <c r="DL3" s="34"/>
      <c r="DM3" s="34"/>
      <c r="DN3" s="30"/>
      <c r="DO3" s="35"/>
      <c r="DP3" s="35"/>
      <c r="DQ3" s="35"/>
      <c r="DR3" s="35"/>
      <c r="DS3" s="35"/>
      <c r="DU3" s="36"/>
    </row>
    <row r="4" spans="1:125" s="37" customFormat="1" ht="34.5" customHeight="1">
      <c r="E4" s="38"/>
      <c r="F4" s="38"/>
      <c r="G4" s="38"/>
      <c r="H4" s="38"/>
      <c r="I4" s="38"/>
      <c r="J4" s="38"/>
      <c r="K4" s="38"/>
      <c r="L4" s="38"/>
      <c r="M4" s="38"/>
      <c r="N4" s="38"/>
      <c r="O4" s="38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 t="s">
        <v>415</v>
      </c>
      <c r="AD4" s="38" t="s">
        <v>412</v>
      </c>
      <c r="AE4" s="38" t="s">
        <v>15</v>
      </c>
      <c r="AF4" s="125" t="s">
        <v>16</v>
      </c>
      <c r="AG4" s="126" t="s">
        <v>56</v>
      </c>
      <c r="AH4" s="126" t="s">
        <v>57</v>
      </c>
      <c r="AI4" s="126" t="s">
        <v>58</v>
      </c>
      <c r="AJ4" s="126" t="s">
        <v>59</v>
      </c>
      <c r="AK4" s="126" t="s">
        <v>60</v>
      </c>
      <c r="AL4" s="126" t="s">
        <v>61</v>
      </c>
      <c r="AM4" s="126" t="s">
        <v>62</v>
      </c>
      <c r="AN4" s="126" t="s">
        <v>63</v>
      </c>
      <c r="AO4" s="126" t="s">
        <v>64</v>
      </c>
      <c r="AP4" s="126" t="s">
        <v>65</v>
      </c>
      <c r="AQ4" s="126" t="s">
        <v>66</v>
      </c>
      <c r="AR4" s="126" t="s">
        <v>67</v>
      </c>
      <c r="AS4" s="126" t="s">
        <v>68</v>
      </c>
      <c r="AT4" s="126" t="s">
        <v>69</v>
      </c>
      <c r="AU4" s="124" t="s">
        <v>70</v>
      </c>
      <c r="AV4" s="124" t="s">
        <v>71</v>
      </c>
      <c r="AW4" s="124" t="s">
        <v>72</v>
      </c>
      <c r="AX4" s="124" t="s">
        <v>73</v>
      </c>
      <c r="AY4" s="124" t="s">
        <v>74</v>
      </c>
      <c r="AZ4" s="124" t="s">
        <v>327</v>
      </c>
      <c r="BA4" s="38"/>
      <c r="BB4" s="38"/>
      <c r="BC4" s="38"/>
      <c r="BD4" s="38"/>
      <c r="BE4" s="40"/>
      <c r="BF4" s="40"/>
      <c r="BG4" s="41"/>
      <c r="BH4" s="110"/>
      <c r="BI4" s="111"/>
      <c r="BM4" s="39"/>
      <c r="BN4" s="110"/>
      <c r="BO4" s="110"/>
      <c r="BP4" s="40"/>
      <c r="BQ4" s="39"/>
      <c r="BR4" s="39"/>
      <c r="BS4" s="41"/>
      <c r="BT4" s="42"/>
      <c r="BU4" s="39"/>
      <c r="BV4" s="39"/>
      <c r="BW4" s="38"/>
      <c r="BX4" s="38"/>
      <c r="BY4" s="38"/>
      <c r="BZ4" s="38"/>
      <c r="CA4" s="38"/>
      <c r="CB4" s="38"/>
      <c r="CC4" s="38"/>
      <c r="CD4" s="38"/>
      <c r="CE4" s="38"/>
      <c r="CF4" s="38"/>
      <c r="CG4" s="38"/>
      <c r="CH4" s="38"/>
      <c r="CI4" s="38"/>
      <c r="CJ4" s="38"/>
      <c r="CK4" s="38"/>
      <c r="CL4" s="38"/>
      <c r="CM4" s="38"/>
      <c r="CN4" s="38"/>
      <c r="CO4" s="38"/>
      <c r="CP4" s="38"/>
      <c r="CQ4" s="38"/>
      <c r="CR4" s="38"/>
      <c r="CS4" s="43"/>
      <c r="CT4" s="43"/>
      <c r="CW4" s="44"/>
      <c r="CZ4" s="44"/>
      <c r="DA4" s="45"/>
      <c r="DB4" s="45"/>
      <c r="DC4" s="45"/>
      <c r="DD4" s="45"/>
      <c r="DE4" s="45"/>
      <c r="DF4" s="45"/>
      <c r="DG4" s="45"/>
      <c r="DH4" s="45"/>
      <c r="DI4" s="45"/>
      <c r="DJ4" s="45"/>
      <c r="DK4" s="46"/>
      <c r="DL4" s="45"/>
      <c r="DM4" s="45"/>
      <c r="DN4" s="41"/>
      <c r="DO4" s="46"/>
      <c r="DP4" s="46"/>
      <c r="DQ4" s="46"/>
      <c r="DR4" s="46"/>
      <c r="DS4" s="46"/>
      <c r="DU4" s="47"/>
    </row>
    <row r="5" spans="1:125" s="28" customFormat="1" ht="16.5" customHeight="1">
      <c r="A5" s="28">
        <v>1</v>
      </c>
      <c r="B5" s="28" t="s">
        <v>314</v>
      </c>
      <c r="D5" s="115"/>
      <c r="E5" s="49"/>
      <c r="F5" s="49"/>
      <c r="G5" s="49"/>
      <c r="H5" s="49"/>
      <c r="I5" s="49"/>
      <c r="J5" s="52"/>
      <c r="K5" s="52"/>
      <c r="L5" s="52"/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  <c r="Z5" s="49"/>
      <c r="AA5" s="49"/>
      <c r="AB5" s="49"/>
      <c r="AC5" s="129" t="str">
        <f>+IF(E5&gt;0,"Xem chi tiết","")</f>
        <v/>
      </c>
      <c r="AD5" s="104" t="str">
        <f>+RIGHT(B5,2)</f>
        <v>1</v>
      </c>
      <c r="AE5" s="49" t="s">
        <v>411</v>
      </c>
      <c r="AF5" s="28" t="s">
        <v>411</v>
      </c>
      <c r="AG5" s="104">
        <f>+BE5</f>
        <v>0</v>
      </c>
      <c r="AH5" s="104">
        <f>+ROUND(IFERROR(BG5,0),1)</f>
        <v>0</v>
      </c>
      <c r="AI5" s="104">
        <f>+BF5</f>
        <v>0</v>
      </c>
      <c r="AJ5" s="104">
        <f>+DT5</f>
        <v>0</v>
      </c>
      <c r="AK5" s="104">
        <f>+ROUND(IFERROR(DU5,0),1)</f>
        <v>0</v>
      </c>
      <c r="AL5" s="104">
        <f>+BR5</f>
        <v>0</v>
      </c>
      <c r="AM5" s="104">
        <f>+ROUND(IFERROR(CZ5,0),1)</f>
        <v>0</v>
      </c>
      <c r="AN5" s="104">
        <f>+BS5</f>
        <v>0</v>
      </c>
      <c r="AO5" s="104">
        <f>+AN5-AI5</f>
        <v>0</v>
      </c>
      <c r="AP5" s="49">
        <f>+ROUND(BM5,0)</f>
        <v>0</v>
      </c>
      <c r="AQ5" s="104">
        <f>+ROUND(IFERROR(AP5/AL5,0),1)</f>
        <v>0</v>
      </c>
      <c r="AR5" s="104">
        <f>+ROUND(IFERROR(BJ5,0),3)</f>
        <v>0</v>
      </c>
      <c r="AS5" s="104">
        <f>+ROUND(IFERROR(BK5,0),3)</f>
        <v>0</v>
      </c>
      <c r="AT5" s="104">
        <f>+ROUND(IFERROR(BL5,0),3)</f>
        <v>0</v>
      </c>
      <c r="AU5" s="49"/>
      <c r="AV5" s="49"/>
      <c r="AW5" s="49"/>
      <c r="AX5" s="49"/>
      <c r="AY5" s="49"/>
      <c r="AZ5" s="49"/>
      <c r="BA5" s="49"/>
      <c r="BB5" s="49"/>
      <c r="BC5" s="49"/>
      <c r="BD5" s="49"/>
      <c r="BE5" s="49">
        <f t="shared" ref="BE5:BE16" si="0">+E5</f>
        <v>0</v>
      </c>
      <c r="BF5" s="49">
        <f t="shared" ref="BF5:BF16" si="1">+F5</f>
        <v>0</v>
      </c>
      <c r="BG5" s="54" t="e">
        <f t="shared" ref="BG5:BG16" si="2">BF5/BE5</f>
        <v>#DIV/0!</v>
      </c>
      <c r="BH5" s="112" t="e">
        <f>BI5/BE5</f>
        <v>#DIV/0!</v>
      </c>
      <c r="BI5" s="113"/>
      <c r="BJ5" s="55" t="e">
        <f>BM5/(BS5-BF5)</f>
        <v>#DIV/0!</v>
      </c>
      <c r="BK5" s="55" t="e">
        <f t="shared" ref="BK5:BK17" si="3">DR5</f>
        <v>#DIV/0!</v>
      </c>
      <c r="BL5" s="55" t="e">
        <f>BJ5-BK5</f>
        <v>#DIV/0!</v>
      </c>
      <c r="BM5" s="53">
        <f t="shared" ref="BM5:BM16" si="4">+G5</f>
        <v>0</v>
      </c>
      <c r="BN5" s="112" t="e">
        <f t="shared" ref="BN5:BN17" si="5">BO5/BM5</f>
        <v>#DIV/0!</v>
      </c>
      <c r="BO5" s="112"/>
      <c r="BP5" s="49"/>
      <c r="BQ5" s="53" t="e">
        <f>BP5/BS5</f>
        <v>#DIV/0!</v>
      </c>
      <c r="BR5" s="53">
        <f t="shared" ref="BR5:BR16" si="6">+I5</f>
        <v>0</v>
      </c>
      <c r="BS5" s="53">
        <f t="shared" ref="BS5:BS16" si="7">+J5</f>
        <v>0</v>
      </c>
      <c r="BT5" s="56" t="e">
        <f>BS5/BR5</f>
        <v>#DIV/0!</v>
      </c>
      <c r="BU5" s="53"/>
      <c r="BV5" s="53"/>
      <c r="BW5" s="60"/>
      <c r="BX5" s="60"/>
      <c r="BY5" s="60"/>
      <c r="BZ5" s="60"/>
      <c r="CA5" s="60"/>
      <c r="CB5" s="60"/>
      <c r="CC5" s="60"/>
      <c r="CD5" s="60"/>
      <c r="CE5" s="60"/>
      <c r="CF5" s="60"/>
      <c r="CG5" s="60"/>
      <c r="CH5" s="60"/>
      <c r="CI5" s="60"/>
      <c r="CJ5" s="60"/>
      <c r="CK5" s="60"/>
      <c r="CL5" s="60"/>
      <c r="CM5" s="60"/>
      <c r="CN5" s="60"/>
      <c r="CO5" s="60"/>
      <c r="CP5" s="60"/>
      <c r="CQ5" s="60"/>
      <c r="CR5" s="60"/>
      <c r="CS5" s="57">
        <f t="shared" ref="CS5:CT17" si="8">CK5+CI5+CG5+CE5+CC5+CA5+BY5+BW5+CM5+CO5+CQ5</f>
        <v>0</v>
      </c>
      <c r="CT5" s="57">
        <f t="shared" si="8"/>
        <v>0</v>
      </c>
      <c r="CU5" s="53">
        <f t="shared" ref="CU5:CV17" si="9">BE5</f>
        <v>0</v>
      </c>
      <c r="CV5" s="53">
        <f t="shared" si="9"/>
        <v>0</v>
      </c>
      <c r="CW5" s="58" t="e">
        <f t="shared" ref="CW5:CW17" si="10">ROUND(BG5,2)</f>
        <v>#DIV/0!</v>
      </c>
      <c r="CX5" s="53">
        <f>BR5</f>
        <v>0</v>
      </c>
      <c r="CY5" s="53">
        <f>BS5</f>
        <v>0</v>
      </c>
      <c r="CZ5" s="58" t="e">
        <f>ROUND(BT5,2)</f>
        <v>#DIV/0!</v>
      </c>
      <c r="DA5" s="48" t="e">
        <f t="shared" ref="DA5:DA17" si="11">IF(CZ5&lt;100,(LEFT(CZ5,2)),IF(CZ5&gt;100,(LEFT(CZ5,3))))</f>
        <v>#DIV/0!</v>
      </c>
      <c r="DB5" s="48" t="e">
        <f t="shared" ref="DB5:DB17" si="12">+DA5+1</f>
        <v>#DIV/0!</v>
      </c>
      <c r="DC5" s="48" t="e">
        <f t="shared" ref="DC5:DC17" si="13">LEFT(CW5,2)</f>
        <v>#DIV/0!</v>
      </c>
      <c r="DD5" s="48" t="e">
        <f t="shared" ref="DD5:DD17" si="14">ROUND(DC5,0)</f>
        <v>#DIV/0!</v>
      </c>
      <c r="DE5" s="48" t="e">
        <f t="shared" ref="DE5:DE17" si="15">+DC5+1</f>
        <v>#DIV/0!</v>
      </c>
      <c r="DF5" s="48" t="e">
        <f t="shared" ref="DF5:DF17" si="16">DD5&amp;DA5</f>
        <v>#DIV/0!</v>
      </c>
      <c r="DG5" s="48">
        <f>SUMIF(FCR!$BZ$4:$DB$500,DF5,FCR!$DE$4:$EG$500)</f>
        <v>0</v>
      </c>
      <c r="DH5" s="48" t="e">
        <f t="shared" ref="DH5:DH17" si="17">DE5&amp;DA5</f>
        <v>#DIV/0!</v>
      </c>
      <c r="DI5" s="48">
        <f>SUMIF(FCR!$BZ$4:$DB$142,DH5,FCR!$DE$4:$EG$142)</f>
        <v>0</v>
      </c>
      <c r="DJ5" s="48" t="e">
        <f t="shared" ref="DJ5:DJ17" si="18">(CW5-DD5)*100</f>
        <v>#DIV/0!</v>
      </c>
      <c r="DK5" s="55" t="e">
        <f t="shared" ref="DK5:DK17" si="19">ROUND(DG5+(DI5-DG5)/100*DJ5,3)</f>
        <v>#DIV/0!</v>
      </c>
      <c r="DL5" s="48" t="e">
        <f t="shared" ref="DL5:DL17" si="20">DD5&amp;DB5</f>
        <v>#DIV/0!</v>
      </c>
      <c r="DM5" s="48">
        <f>SUMIF(FCR!$BZ$4:$DB$142,DL5,FCR!$DE$4:$EG$142)</f>
        <v>0</v>
      </c>
      <c r="DN5" s="53" t="e">
        <f t="shared" ref="DN5:DN17" si="21">(CZ5-DA5)*100</f>
        <v>#DIV/0!</v>
      </c>
      <c r="DO5" s="55" t="e">
        <f t="shared" ref="DO5:DO17" si="22">ROUND(DG5+(DM5-DG5)/100*DN5,3)</f>
        <v>#DIV/0!</v>
      </c>
      <c r="DP5" s="55" t="e">
        <f t="shared" ref="DP5:DP17" si="23">ROUND((DO5+DK5)/2,3)</f>
        <v>#DIV/0!</v>
      </c>
      <c r="DQ5" s="55"/>
      <c r="DR5" s="55" t="e">
        <f t="shared" ref="DR5:DR17" si="24">DQ5+DP5</f>
        <v>#DIV/0!</v>
      </c>
      <c r="DS5" s="55" t="e">
        <f>+DP5-BK5</f>
        <v>#DIV/0!</v>
      </c>
      <c r="DT5" s="53">
        <f>CU5-CX5</f>
        <v>0</v>
      </c>
      <c r="DU5" s="59" t="e">
        <f t="shared" ref="DU5:DU17" si="25">ROUND(DT5/CU5*100,2)</f>
        <v>#DIV/0!</v>
      </c>
    </row>
    <row r="6" spans="1:125">
      <c r="A6" s="53">
        <v>2</v>
      </c>
      <c r="B6" s="53" t="s">
        <v>315</v>
      </c>
      <c r="J6" s="52"/>
      <c r="K6" s="52"/>
      <c r="L6" s="52"/>
      <c r="AC6" s="129" t="str">
        <f t="shared" ref="AC6:AC16" si="26">+IF(E6&gt;0,"Xem chi tiết","")</f>
        <v/>
      </c>
      <c r="AD6" s="104" t="str">
        <f t="shared" ref="AD6:AD16" si="27">+RIGHT(B6,2)</f>
        <v>2</v>
      </c>
      <c r="AE6" s="49" t="s">
        <v>411</v>
      </c>
      <c r="AF6" s="28" t="s">
        <v>411</v>
      </c>
      <c r="AG6" s="104">
        <f t="shared" ref="AG6:AG16" si="28">+BE6</f>
        <v>0</v>
      </c>
      <c r="AH6" s="104">
        <f t="shared" ref="AH6:AH16" si="29">+ROUND(IFERROR(BG6,0),1)</f>
        <v>0</v>
      </c>
      <c r="AI6" s="104">
        <f t="shared" ref="AI6:AI16" si="30">+BF6</f>
        <v>0</v>
      </c>
      <c r="AJ6" s="104">
        <f t="shared" ref="AJ6:AJ16" si="31">+DT6</f>
        <v>0</v>
      </c>
      <c r="AK6" s="104">
        <f t="shared" ref="AK6:AK16" si="32">+ROUND(IFERROR(DU6,0),1)</f>
        <v>0</v>
      </c>
      <c r="AL6" s="104">
        <f t="shared" ref="AL6:AL16" si="33">+BR6</f>
        <v>0</v>
      </c>
      <c r="AM6" s="104">
        <f t="shared" ref="AM6:AM16" si="34">+ROUND(IFERROR(CZ6,0),1)</f>
        <v>0</v>
      </c>
      <c r="AN6" s="104">
        <f t="shared" ref="AN6:AN16" si="35">+BS6</f>
        <v>0</v>
      </c>
      <c r="AO6" s="104">
        <f t="shared" ref="AO6:AO16" si="36">+AN6-AI6</f>
        <v>0</v>
      </c>
      <c r="AP6" s="49">
        <f t="shared" ref="AP6:AP16" si="37">+ROUND(BM6,0)</f>
        <v>0</v>
      </c>
      <c r="AQ6" s="104">
        <f t="shared" ref="AQ6:AQ16" si="38">+ROUND(IFERROR(AP6/AL6,0),1)</f>
        <v>0</v>
      </c>
      <c r="AR6" s="104">
        <f t="shared" ref="AR6:AR16" si="39">+ROUND(IFERROR(BJ6,0),3)</f>
        <v>0</v>
      </c>
      <c r="AS6" s="104">
        <f t="shared" ref="AS6:AS16" si="40">+ROUND(IFERROR(BK6,0),3)</f>
        <v>0</v>
      </c>
      <c r="AT6" s="104">
        <f t="shared" ref="AT6:AT16" si="41">+ROUND(IFERROR(BL6,0),3)</f>
        <v>0</v>
      </c>
      <c r="BE6" s="49">
        <f t="shared" si="0"/>
        <v>0</v>
      </c>
      <c r="BF6" s="49">
        <f t="shared" si="1"/>
        <v>0</v>
      </c>
      <c r="BG6" s="54" t="e">
        <f t="shared" si="2"/>
        <v>#DIV/0!</v>
      </c>
      <c r="BH6" s="112" t="e">
        <f t="shared" ref="BH6:BH17" si="42">BI6/BE6</f>
        <v>#DIV/0!</v>
      </c>
      <c r="BJ6" s="55" t="e">
        <f t="shared" ref="BJ6:BJ16" si="43">BM6/(BS6-BF6)</f>
        <v>#DIV/0!</v>
      </c>
      <c r="BK6" s="55" t="e">
        <f t="shared" si="3"/>
        <v>#DIV/0!</v>
      </c>
      <c r="BL6" s="55" t="e">
        <f t="shared" ref="BL6:BL17" si="44">BJ6-BK6</f>
        <v>#DIV/0!</v>
      </c>
      <c r="BM6" s="53">
        <f t="shared" si="4"/>
        <v>0</v>
      </c>
      <c r="BN6" s="112" t="e">
        <f t="shared" si="5"/>
        <v>#DIV/0!</v>
      </c>
      <c r="BQ6" s="53" t="e">
        <f t="shared" ref="BQ6:BQ17" si="45">BP6/BS6</f>
        <v>#DIV/0!</v>
      </c>
      <c r="BR6" s="53">
        <f t="shared" si="6"/>
        <v>0</v>
      </c>
      <c r="BS6" s="53">
        <f t="shared" si="7"/>
        <v>0</v>
      </c>
      <c r="BT6" s="56" t="e">
        <f t="shared" ref="BT6:BT16" si="46">BS6/BR6</f>
        <v>#DIV/0!</v>
      </c>
      <c r="BW6" s="60"/>
      <c r="BX6" s="60"/>
      <c r="BY6" s="60"/>
      <c r="BZ6" s="60"/>
      <c r="CA6" s="60"/>
      <c r="CB6" s="60"/>
      <c r="CC6" s="60"/>
      <c r="CD6" s="60"/>
      <c r="CE6" s="60"/>
      <c r="CF6" s="60"/>
      <c r="CG6" s="60"/>
      <c r="CH6" s="60"/>
      <c r="CI6" s="60"/>
      <c r="CJ6" s="60"/>
      <c r="CK6" s="60"/>
      <c r="CL6" s="60"/>
      <c r="CM6" s="60"/>
      <c r="CN6" s="60"/>
      <c r="CO6" s="60"/>
      <c r="CP6" s="60"/>
      <c r="CQ6" s="60"/>
      <c r="CR6" s="60"/>
      <c r="CS6" s="57">
        <f t="shared" si="8"/>
        <v>0</v>
      </c>
      <c r="CT6" s="57">
        <f t="shared" si="8"/>
        <v>0</v>
      </c>
      <c r="CU6" s="53">
        <f t="shared" si="9"/>
        <v>0</v>
      </c>
      <c r="CV6" s="53">
        <f t="shared" si="9"/>
        <v>0</v>
      </c>
      <c r="CW6" s="58" t="e">
        <f t="shared" si="10"/>
        <v>#DIV/0!</v>
      </c>
      <c r="CX6" s="53">
        <f t="shared" ref="CX6:CY17" si="47">BR6</f>
        <v>0</v>
      </c>
      <c r="CY6" s="53">
        <f t="shared" si="47"/>
        <v>0</v>
      </c>
      <c r="CZ6" s="58" t="e">
        <f t="shared" ref="CZ6:CZ17" si="48">ROUND(BT6,2)</f>
        <v>#DIV/0!</v>
      </c>
      <c r="DA6" s="48" t="e">
        <f t="shared" si="11"/>
        <v>#DIV/0!</v>
      </c>
      <c r="DB6" s="48" t="e">
        <f t="shared" si="12"/>
        <v>#DIV/0!</v>
      </c>
      <c r="DC6" s="48" t="e">
        <f t="shared" si="13"/>
        <v>#DIV/0!</v>
      </c>
      <c r="DD6" s="48" t="e">
        <f t="shared" si="14"/>
        <v>#DIV/0!</v>
      </c>
      <c r="DE6" s="48" t="e">
        <f t="shared" si="15"/>
        <v>#DIV/0!</v>
      </c>
      <c r="DF6" s="48" t="e">
        <f t="shared" si="16"/>
        <v>#DIV/0!</v>
      </c>
      <c r="DG6" s="48">
        <f>SUMIF(FCR!$BZ$4:$DB$500,DF6,FCR!$DE$4:$EG$500)</f>
        <v>0</v>
      </c>
      <c r="DH6" s="48" t="e">
        <f t="shared" si="17"/>
        <v>#DIV/0!</v>
      </c>
      <c r="DI6" s="48">
        <f>SUMIF(FCR!$BZ$4:$DB$142,DH6,FCR!$DE$4:$EG$142)</f>
        <v>0</v>
      </c>
      <c r="DJ6" s="48" t="e">
        <f t="shared" si="18"/>
        <v>#DIV/0!</v>
      </c>
      <c r="DK6" s="55" t="e">
        <f t="shared" si="19"/>
        <v>#DIV/0!</v>
      </c>
      <c r="DL6" s="48" t="e">
        <f t="shared" si="20"/>
        <v>#DIV/0!</v>
      </c>
      <c r="DM6" s="48">
        <f>SUMIF(FCR!$BZ$4:$DB$142,DL6,FCR!$DE$4:$EG$142)</f>
        <v>0</v>
      </c>
      <c r="DN6" s="53" t="e">
        <f t="shared" si="21"/>
        <v>#DIV/0!</v>
      </c>
      <c r="DO6" s="55" t="e">
        <f t="shared" si="22"/>
        <v>#DIV/0!</v>
      </c>
      <c r="DP6" s="55" t="e">
        <f t="shared" si="23"/>
        <v>#DIV/0!</v>
      </c>
      <c r="DQ6" s="55"/>
      <c r="DR6" s="55" t="e">
        <f t="shared" si="24"/>
        <v>#DIV/0!</v>
      </c>
      <c r="DS6" s="55" t="e">
        <f t="shared" ref="DS6:DS17" si="49">+DP6-BK6</f>
        <v>#DIV/0!</v>
      </c>
      <c r="DT6" s="53">
        <f t="shared" ref="DT6:DT17" si="50">CU6-CX6</f>
        <v>0</v>
      </c>
      <c r="DU6" s="59" t="e">
        <f t="shared" si="25"/>
        <v>#DIV/0!</v>
      </c>
    </row>
    <row r="7" spans="1:125">
      <c r="A7" s="53">
        <v>3</v>
      </c>
      <c r="B7" s="53" t="s">
        <v>326</v>
      </c>
      <c r="K7" s="52"/>
      <c r="L7" s="52"/>
      <c r="AC7" s="129" t="str">
        <f t="shared" si="26"/>
        <v/>
      </c>
      <c r="AD7" s="104" t="str">
        <f t="shared" si="27"/>
        <v>3</v>
      </c>
      <c r="AE7" s="49" t="s">
        <v>411</v>
      </c>
      <c r="AF7" s="28" t="s">
        <v>411</v>
      </c>
      <c r="AG7" s="104">
        <f t="shared" si="28"/>
        <v>0</v>
      </c>
      <c r="AH7" s="104">
        <f t="shared" si="29"/>
        <v>0</v>
      </c>
      <c r="AI7" s="104">
        <f t="shared" si="30"/>
        <v>0</v>
      </c>
      <c r="AJ7" s="104">
        <f t="shared" si="31"/>
        <v>0</v>
      </c>
      <c r="AK7" s="104">
        <f t="shared" si="32"/>
        <v>0</v>
      </c>
      <c r="AL7" s="104">
        <f t="shared" si="33"/>
        <v>0</v>
      </c>
      <c r="AM7" s="104">
        <f t="shared" si="34"/>
        <v>0</v>
      </c>
      <c r="AN7" s="104">
        <f t="shared" si="35"/>
        <v>0</v>
      </c>
      <c r="AO7" s="104">
        <f t="shared" si="36"/>
        <v>0</v>
      </c>
      <c r="AP7" s="49">
        <f t="shared" si="37"/>
        <v>0</v>
      </c>
      <c r="AQ7" s="104">
        <f t="shared" si="38"/>
        <v>0</v>
      </c>
      <c r="AR7" s="104">
        <f t="shared" si="39"/>
        <v>0</v>
      </c>
      <c r="AS7" s="104">
        <f t="shared" si="40"/>
        <v>0</v>
      </c>
      <c r="AT7" s="104">
        <f t="shared" si="41"/>
        <v>0</v>
      </c>
      <c r="BE7" s="49">
        <f t="shared" si="0"/>
        <v>0</v>
      </c>
      <c r="BF7" s="49">
        <f t="shared" si="1"/>
        <v>0</v>
      </c>
      <c r="BG7" s="54" t="e">
        <f t="shared" si="2"/>
        <v>#DIV/0!</v>
      </c>
      <c r="BH7" s="112" t="e">
        <f t="shared" si="42"/>
        <v>#DIV/0!</v>
      </c>
      <c r="BJ7" s="55" t="e">
        <f t="shared" si="43"/>
        <v>#DIV/0!</v>
      </c>
      <c r="BK7" s="55" t="e">
        <f t="shared" si="3"/>
        <v>#DIV/0!</v>
      </c>
      <c r="BL7" s="55" t="e">
        <f t="shared" si="44"/>
        <v>#DIV/0!</v>
      </c>
      <c r="BM7" s="53">
        <f t="shared" si="4"/>
        <v>0</v>
      </c>
      <c r="BN7" s="112" t="e">
        <f t="shared" si="5"/>
        <v>#DIV/0!</v>
      </c>
      <c r="BQ7" s="53" t="e">
        <f t="shared" si="45"/>
        <v>#DIV/0!</v>
      </c>
      <c r="BR7" s="53">
        <f t="shared" si="6"/>
        <v>0</v>
      </c>
      <c r="BS7" s="53">
        <f t="shared" si="7"/>
        <v>0</v>
      </c>
      <c r="BT7" s="56" t="e">
        <f t="shared" si="46"/>
        <v>#DIV/0!</v>
      </c>
      <c r="BW7" s="60"/>
      <c r="BX7" s="60"/>
      <c r="BY7" s="60"/>
      <c r="BZ7" s="60"/>
      <c r="CA7" s="60"/>
      <c r="CB7" s="60"/>
      <c r="CC7" s="60"/>
      <c r="CD7" s="60"/>
      <c r="CE7" s="60"/>
      <c r="CF7" s="60"/>
      <c r="CG7" s="60"/>
      <c r="CH7" s="60"/>
      <c r="CI7" s="60"/>
      <c r="CJ7" s="60"/>
      <c r="CK7" s="60"/>
      <c r="CL7" s="60"/>
      <c r="CM7" s="60"/>
      <c r="CN7" s="60"/>
      <c r="CO7" s="60"/>
      <c r="CP7" s="60"/>
      <c r="CQ7" s="60"/>
      <c r="CR7" s="60"/>
      <c r="CS7" s="57">
        <f t="shared" si="8"/>
        <v>0</v>
      </c>
      <c r="CT7" s="57">
        <f t="shared" si="8"/>
        <v>0</v>
      </c>
      <c r="CU7" s="53">
        <f t="shared" si="9"/>
        <v>0</v>
      </c>
      <c r="CV7" s="53">
        <f t="shared" si="9"/>
        <v>0</v>
      </c>
      <c r="CW7" s="58" t="e">
        <f t="shared" si="10"/>
        <v>#DIV/0!</v>
      </c>
      <c r="CX7" s="53">
        <f t="shared" si="47"/>
        <v>0</v>
      </c>
      <c r="CY7" s="53">
        <f t="shared" si="47"/>
        <v>0</v>
      </c>
      <c r="CZ7" s="58" t="e">
        <f t="shared" si="48"/>
        <v>#DIV/0!</v>
      </c>
      <c r="DA7" s="48" t="e">
        <f t="shared" si="11"/>
        <v>#DIV/0!</v>
      </c>
      <c r="DB7" s="48" t="e">
        <f t="shared" si="12"/>
        <v>#DIV/0!</v>
      </c>
      <c r="DC7" s="48" t="e">
        <f t="shared" si="13"/>
        <v>#DIV/0!</v>
      </c>
      <c r="DD7" s="48" t="e">
        <f t="shared" si="14"/>
        <v>#DIV/0!</v>
      </c>
      <c r="DE7" s="48" t="e">
        <f t="shared" si="15"/>
        <v>#DIV/0!</v>
      </c>
      <c r="DF7" s="48" t="e">
        <f t="shared" si="16"/>
        <v>#DIV/0!</v>
      </c>
      <c r="DG7" s="48">
        <f>SUMIF(FCR!$BZ$4:$DB$500,DF7,FCR!$DE$4:$EG$500)</f>
        <v>0</v>
      </c>
      <c r="DH7" s="48" t="e">
        <f t="shared" si="17"/>
        <v>#DIV/0!</v>
      </c>
      <c r="DI7" s="48">
        <f>SUMIF(FCR!$BZ$4:$DB$142,DH7,FCR!$DE$4:$EG$142)</f>
        <v>0</v>
      </c>
      <c r="DJ7" s="48" t="e">
        <f t="shared" si="18"/>
        <v>#DIV/0!</v>
      </c>
      <c r="DK7" s="55" t="e">
        <f t="shared" si="19"/>
        <v>#DIV/0!</v>
      </c>
      <c r="DL7" s="48" t="e">
        <f t="shared" si="20"/>
        <v>#DIV/0!</v>
      </c>
      <c r="DM7" s="48">
        <f>SUMIF(FCR!$BZ$4:$DB$142,DL7,FCR!$DE$4:$EG$142)</f>
        <v>0</v>
      </c>
      <c r="DN7" s="53" t="e">
        <f t="shared" si="21"/>
        <v>#DIV/0!</v>
      </c>
      <c r="DO7" s="55" t="e">
        <f t="shared" si="22"/>
        <v>#DIV/0!</v>
      </c>
      <c r="DP7" s="55" t="e">
        <f t="shared" si="23"/>
        <v>#DIV/0!</v>
      </c>
      <c r="DQ7" s="55"/>
      <c r="DR7" s="55" t="e">
        <f t="shared" si="24"/>
        <v>#DIV/0!</v>
      </c>
      <c r="DS7" s="55" t="e">
        <f t="shared" si="49"/>
        <v>#DIV/0!</v>
      </c>
      <c r="DT7" s="53">
        <f t="shared" si="50"/>
        <v>0</v>
      </c>
      <c r="DU7" s="59" t="e">
        <f t="shared" si="25"/>
        <v>#DIV/0!</v>
      </c>
    </row>
    <row r="8" spans="1:125">
      <c r="A8" s="53">
        <v>4</v>
      </c>
      <c r="B8" s="53" t="s">
        <v>324</v>
      </c>
      <c r="K8" s="52"/>
      <c r="L8" s="52"/>
      <c r="AC8" s="129" t="str">
        <f t="shared" si="26"/>
        <v/>
      </c>
      <c r="AD8" s="104" t="str">
        <f t="shared" si="27"/>
        <v>4</v>
      </c>
      <c r="AE8" s="49" t="s">
        <v>411</v>
      </c>
      <c r="AF8" s="28" t="s">
        <v>411</v>
      </c>
      <c r="AG8" s="104">
        <f t="shared" si="28"/>
        <v>0</v>
      </c>
      <c r="AH8" s="104">
        <f t="shared" si="29"/>
        <v>0</v>
      </c>
      <c r="AI8" s="104">
        <f t="shared" si="30"/>
        <v>0</v>
      </c>
      <c r="AJ8" s="104">
        <f t="shared" si="31"/>
        <v>0</v>
      </c>
      <c r="AK8" s="104">
        <f t="shared" si="32"/>
        <v>0</v>
      </c>
      <c r="AL8" s="104">
        <f t="shared" si="33"/>
        <v>0</v>
      </c>
      <c r="AM8" s="104">
        <f t="shared" si="34"/>
        <v>0</v>
      </c>
      <c r="AN8" s="104">
        <f t="shared" si="35"/>
        <v>0</v>
      </c>
      <c r="AO8" s="104">
        <f t="shared" si="36"/>
        <v>0</v>
      </c>
      <c r="AP8" s="49">
        <f t="shared" si="37"/>
        <v>0</v>
      </c>
      <c r="AQ8" s="104">
        <f t="shared" si="38"/>
        <v>0</v>
      </c>
      <c r="AR8" s="104">
        <f t="shared" si="39"/>
        <v>0</v>
      </c>
      <c r="AS8" s="104">
        <f t="shared" si="40"/>
        <v>0</v>
      </c>
      <c r="AT8" s="104">
        <f t="shared" si="41"/>
        <v>0</v>
      </c>
      <c r="BE8" s="49">
        <f t="shared" si="0"/>
        <v>0</v>
      </c>
      <c r="BF8" s="49">
        <f t="shared" si="1"/>
        <v>0</v>
      </c>
      <c r="BG8" s="54" t="e">
        <f t="shared" si="2"/>
        <v>#DIV/0!</v>
      </c>
      <c r="BH8" s="112" t="e">
        <f t="shared" si="42"/>
        <v>#DIV/0!</v>
      </c>
      <c r="BJ8" s="55" t="e">
        <f t="shared" si="43"/>
        <v>#DIV/0!</v>
      </c>
      <c r="BK8" s="55" t="e">
        <f t="shared" si="3"/>
        <v>#DIV/0!</v>
      </c>
      <c r="BL8" s="55" t="e">
        <f t="shared" si="44"/>
        <v>#DIV/0!</v>
      </c>
      <c r="BM8" s="53">
        <f t="shared" si="4"/>
        <v>0</v>
      </c>
      <c r="BN8" s="112" t="e">
        <f t="shared" si="5"/>
        <v>#DIV/0!</v>
      </c>
      <c r="BQ8" s="53" t="e">
        <f t="shared" si="45"/>
        <v>#DIV/0!</v>
      </c>
      <c r="BR8" s="53">
        <f t="shared" si="6"/>
        <v>0</v>
      </c>
      <c r="BS8" s="53">
        <f t="shared" si="7"/>
        <v>0</v>
      </c>
      <c r="BT8" s="56" t="e">
        <f t="shared" si="46"/>
        <v>#DIV/0!</v>
      </c>
      <c r="BW8" s="60"/>
      <c r="BX8" s="60"/>
      <c r="BY8" s="60"/>
      <c r="BZ8" s="60"/>
      <c r="CA8" s="60"/>
      <c r="CB8" s="60"/>
      <c r="CC8" s="60"/>
      <c r="CD8" s="60"/>
      <c r="CE8" s="60"/>
      <c r="CF8" s="60"/>
      <c r="CG8" s="60"/>
      <c r="CH8" s="60"/>
      <c r="CI8" s="60"/>
      <c r="CJ8" s="60"/>
      <c r="CK8" s="60"/>
      <c r="CL8" s="60"/>
      <c r="CM8" s="60"/>
      <c r="CN8" s="60"/>
      <c r="CO8" s="60"/>
      <c r="CP8" s="60"/>
      <c r="CQ8" s="60"/>
      <c r="CR8" s="60"/>
      <c r="CS8" s="57">
        <f t="shared" si="8"/>
        <v>0</v>
      </c>
      <c r="CT8" s="57">
        <f t="shared" si="8"/>
        <v>0</v>
      </c>
      <c r="CU8" s="53">
        <f t="shared" si="9"/>
        <v>0</v>
      </c>
      <c r="CV8" s="53">
        <f t="shared" si="9"/>
        <v>0</v>
      </c>
      <c r="CW8" s="58" t="e">
        <f t="shared" si="10"/>
        <v>#DIV/0!</v>
      </c>
      <c r="CX8" s="53">
        <f t="shared" si="47"/>
        <v>0</v>
      </c>
      <c r="CY8" s="53">
        <f t="shared" si="47"/>
        <v>0</v>
      </c>
      <c r="CZ8" s="58" t="e">
        <f t="shared" si="48"/>
        <v>#DIV/0!</v>
      </c>
      <c r="DA8" s="48" t="e">
        <f t="shared" si="11"/>
        <v>#DIV/0!</v>
      </c>
      <c r="DB8" s="48" t="e">
        <f t="shared" si="12"/>
        <v>#DIV/0!</v>
      </c>
      <c r="DC8" s="48" t="e">
        <f t="shared" si="13"/>
        <v>#DIV/0!</v>
      </c>
      <c r="DD8" s="48" t="e">
        <f t="shared" si="14"/>
        <v>#DIV/0!</v>
      </c>
      <c r="DE8" s="48" t="e">
        <f t="shared" si="15"/>
        <v>#DIV/0!</v>
      </c>
      <c r="DF8" s="48" t="e">
        <f t="shared" si="16"/>
        <v>#DIV/0!</v>
      </c>
      <c r="DG8" s="48">
        <f>SUMIF(FCR!$BZ$4:$DB$500,DF8,FCR!$DE$4:$EG$500)</f>
        <v>0</v>
      </c>
      <c r="DH8" s="48" t="e">
        <f t="shared" si="17"/>
        <v>#DIV/0!</v>
      </c>
      <c r="DI8" s="48">
        <f>SUMIF(FCR!$BZ$4:$DB$142,DH8,FCR!$DE$4:$EG$142)</f>
        <v>0</v>
      </c>
      <c r="DJ8" s="48" t="e">
        <f t="shared" si="18"/>
        <v>#DIV/0!</v>
      </c>
      <c r="DK8" s="55" t="e">
        <f t="shared" si="19"/>
        <v>#DIV/0!</v>
      </c>
      <c r="DL8" s="48" t="e">
        <f t="shared" si="20"/>
        <v>#DIV/0!</v>
      </c>
      <c r="DM8" s="48">
        <f>SUMIF(FCR!$BZ$4:$DB$142,DL8,FCR!$DE$4:$EG$142)</f>
        <v>0</v>
      </c>
      <c r="DN8" s="53" t="e">
        <f t="shared" si="21"/>
        <v>#DIV/0!</v>
      </c>
      <c r="DO8" s="55" t="e">
        <f t="shared" si="22"/>
        <v>#DIV/0!</v>
      </c>
      <c r="DP8" s="55" t="e">
        <f t="shared" si="23"/>
        <v>#DIV/0!</v>
      </c>
      <c r="DQ8" s="55"/>
      <c r="DR8" s="55" t="e">
        <f t="shared" si="24"/>
        <v>#DIV/0!</v>
      </c>
      <c r="DS8" s="55" t="e">
        <f t="shared" si="49"/>
        <v>#DIV/0!</v>
      </c>
      <c r="DT8" s="53">
        <f t="shared" si="50"/>
        <v>0</v>
      </c>
      <c r="DU8" s="59" t="e">
        <f t="shared" si="25"/>
        <v>#DIV/0!</v>
      </c>
    </row>
    <row r="9" spans="1:125">
      <c r="A9" s="53">
        <v>5</v>
      </c>
      <c r="B9" s="53" t="s">
        <v>325</v>
      </c>
      <c r="K9" s="52"/>
      <c r="L9" s="52"/>
      <c r="AC9" s="129" t="str">
        <f t="shared" si="26"/>
        <v/>
      </c>
      <c r="AD9" s="104" t="str">
        <f t="shared" si="27"/>
        <v>5</v>
      </c>
      <c r="AE9" s="49" t="s">
        <v>411</v>
      </c>
      <c r="AF9" s="28" t="s">
        <v>411</v>
      </c>
      <c r="AG9" s="104">
        <f t="shared" si="28"/>
        <v>0</v>
      </c>
      <c r="AH9" s="104">
        <f t="shared" si="29"/>
        <v>0</v>
      </c>
      <c r="AI9" s="104">
        <f t="shared" si="30"/>
        <v>0</v>
      </c>
      <c r="AJ9" s="104">
        <f t="shared" si="31"/>
        <v>0</v>
      </c>
      <c r="AK9" s="104">
        <f t="shared" si="32"/>
        <v>0</v>
      </c>
      <c r="AL9" s="104">
        <f t="shared" si="33"/>
        <v>0</v>
      </c>
      <c r="AM9" s="104">
        <f t="shared" si="34"/>
        <v>0</v>
      </c>
      <c r="AN9" s="104">
        <f t="shared" si="35"/>
        <v>0</v>
      </c>
      <c r="AO9" s="104">
        <f t="shared" si="36"/>
        <v>0</v>
      </c>
      <c r="AP9" s="49">
        <f t="shared" si="37"/>
        <v>0</v>
      </c>
      <c r="AQ9" s="104">
        <f t="shared" si="38"/>
        <v>0</v>
      </c>
      <c r="AR9" s="104">
        <f t="shared" si="39"/>
        <v>0</v>
      </c>
      <c r="AS9" s="104">
        <f t="shared" si="40"/>
        <v>0</v>
      </c>
      <c r="AT9" s="104">
        <f t="shared" si="41"/>
        <v>0</v>
      </c>
      <c r="BE9" s="49">
        <f t="shared" si="0"/>
        <v>0</v>
      </c>
      <c r="BF9" s="49">
        <f t="shared" si="1"/>
        <v>0</v>
      </c>
      <c r="BG9" s="54" t="e">
        <f t="shared" si="2"/>
        <v>#DIV/0!</v>
      </c>
      <c r="BH9" s="112" t="e">
        <f t="shared" si="42"/>
        <v>#DIV/0!</v>
      </c>
      <c r="BJ9" s="55" t="e">
        <f t="shared" si="43"/>
        <v>#DIV/0!</v>
      </c>
      <c r="BK9" s="55" t="e">
        <f t="shared" si="3"/>
        <v>#DIV/0!</v>
      </c>
      <c r="BL9" s="55" t="e">
        <f t="shared" si="44"/>
        <v>#DIV/0!</v>
      </c>
      <c r="BM9" s="53">
        <f t="shared" si="4"/>
        <v>0</v>
      </c>
      <c r="BN9" s="112" t="e">
        <f t="shared" si="5"/>
        <v>#DIV/0!</v>
      </c>
      <c r="BQ9" s="53" t="e">
        <f t="shared" si="45"/>
        <v>#DIV/0!</v>
      </c>
      <c r="BR9" s="53">
        <f t="shared" si="6"/>
        <v>0</v>
      </c>
      <c r="BS9" s="53">
        <f t="shared" si="7"/>
        <v>0</v>
      </c>
      <c r="BT9" s="56" t="e">
        <f t="shared" si="46"/>
        <v>#DIV/0!</v>
      </c>
      <c r="BW9" s="60"/>
      <c r="BX9" s="60"/>
      <c r="BY9" s="60"/>
      <c r="BZ9" s="60"/>
      <c r="CA9" s="60"/>
      <c r="CB9" s="60"/>
      <c r="CC9" s="60"/>
      <c r="CD9" s="60"/>
      <c r="CE9" s="60"/>
      <c r="CF9" s="60"/>
      <c r="CG9" s="60"/>
      <c r="CH9" s="60"/>
      <c r="CI9" s="60"/>
      <c r="CJ9" s="60"/>
      <c r="CK9" s="60"/>
      <c r="CL9" s="60"/>
      <c r="CM9" s="60"/>
      <c r="CN9" s="60"/>
      <c r="CO9" s="60"/>
      <c r="CP9" s="60"/>
      <c r="CQ9" s="60"/>
      <c r="CR9" s="60"/>
      <c r="CS9" s="57">
        <f t="shared" si="8"/>
        <v>0</v>
      </c>
      <c r="CT9" s="57">
        <f t="shared" si="8"/>
        <v>0</v>
      </c>
      <c r="CU9" s="53">
        <f t="shared" si="9"/>
        <v>0</v>
      </c>
      <c r="CV9" s="53">
        <f t="shared" si="9"/>
        <v>0</v>
      </c>
      <c r="CW9" s="58" t="e">
        <f t="shared" si="10"/>
        <v>#DIV/0!</v>
      </c>
      <c r="CX9" s="53">
        <f t="shared" si="47"/>
        <v>0</v>
      </c>
      <c r="CY9" s="53">
        <f t="shared" si="47"/>
        <v>0</v>
      </c>
      <c r="CZ9" s="58" t="e">
        <f t="shared" si="48"/>
        <v>#DIV/0!</v>
      </c>
      <c r="DA9" s="48" t="e">
        <f t="shared" si="11"/>
        <v>#DIV/0!</v>
      </c>
      <c r="DB9" s="48" t="e">
        <f t="shared" si="12"/>
        <v>#DIV/0!</v>
      </c>
      <c r="DC9" s="48" t="e">
        <f t="shared" si="13"/>
        <v>#DIV/0!</v>
      </c>
      <c r="DD9" s="48" t="e">
        <f t="shared" si="14"/>
        <v>#DIV/0!</v>
      </c>
      <c r="DE9" s="48" t="e">
        <f t="shared" si="15"/>
        <v>#DIV/0!</v>
      </c>
      <c r="DF9" s="48" t="e">
        <f t="shared" si="16"/>
        <v>#DIV/0!</v>
      </c>
      <c r="DG9" s="48">
        <f>SUMIF(FCR!$BZ$4:$DB$500,DF9,FCR!$DE$4:$EG$500)</f>
        <v>0</v>
      </c>
      <c r="DH9" s="48" t="e">
        <f t="shared" si="17"/>
        <v>#DIV/0!</v>
      </c>
      <c r="DI9" s="48">
        <f>SUMIF(FCR!$BZ$4:$DB$142,DH9,FCR!$DE$4:$EG$142)</f>
        <v>0</v>
      </c>
      <c r="DJ9" s="48" t="e">
        <f t="shared" si="18"/>
        <v>#DIV/0!</v>
      </c>
      <c r="DK9" s="55" t="e">
        <f t="shared" si="19"/>
        <v>#DIV/0!</v>
      </c>
      <c r="DL9" s="48" t="e">
        <f t="shared" si="20"/>
        <v>#DIV/0!</v>
      </c>
      <c r="DM9" s="48">
        <f>SUMIF(FCR!$BZ$4:$DB$142,DL9,FCR!$DE$4:$EG$142)</f>
        <v>0</v>
      </c>
      <c r="DN9" s="53" t="e">
        <f t="shared" si="21"/>
        <v>#DIV/0!</v>
      </c>
      <c r="DO9" s="55" t="e">
        <f t="shared" si="22"/>
        <v>#DIV/0!</v>
      </c>
      <c r="DP9" s="55" t="e">
        <f t="shared" si="23"/>
        <v>#DIV/0!</v>
      </c>
      <c r="DQ9" s="55"/>
      <c r="DR9" s="55" t="e">
        <f t="shared" si="24"/>
        <v>#DIV/0!</v>
      </c>
      <c r="DS9" s="55" t="e">
        <f t="shared" si="49"/>
        <v>#DIV/0!</v>
      </c>
      <c r="DT9" s="53">
        <f t="shared" si="50"/>
        <v>0</v>
      </c>
      <c r="DU9" s="59" t="e">
        <f t="shared" si="25"/>
        <v>#DIV/0!</v>
      </c>
    </row>
    <row r="10" spans="1:125">
      <c r="A10" s="53">
        <v>6</v>
      </c>
      <c r="B10" s="53" t="s">
        <v>329</v>
      </c>
      <c r="K10" s="52"/>
      <c r="L10" s="52"/>
      <c r="AC10" s="129" t="str">
        <f t="shared" si="26"/>
        <v/>
      </c>
      <c r="AD10" s="104" t="str">
        <f t="shared" si="27"/>
        <v>6</v>
      </c>
      <c r="AE10" s="49" t="s">
        <v>411</v>
      </c>
      <c r="AF10" s="28" t="s">
        <v>411</v>
      </c>
      <c r="AG10" s="104">
        <f t="shared" si="28"/>
        <v>0</v>
      </c>
      <c r="AH10" s="104">
        <f t="shared" si="29"/>
        <v>0</v>
      </c>
      <c r="AI10" s="104">
        <f t="shared" si="30"/>
        <v>0</v>
      </c>
      <c r="AJ10" s="104">
        <f t="shared" si="31"/>
        <v>0</v>
      </c>
      <c r="AK10" s="104">
        <f t="shared" si="32"/>
        <v>0</v>
      </c>
      <c r="AL10" s="104">
        <f t="shared" si="33"/>
        <v>0</v>
      </c>
      <c r="AM10" s="104">
        <f t="shared" si="34"/>
        <v>0</v>
      </c>
      <c r="AN10" s="104">
        <f t="shared" si="35"/>
        <v>0</v>
      </c>
      <c r="AO10" s="104">
        <f t="shared" si="36"/>
        <v>0</v>
      </c>
      <c r="AP10" s="49">
        <f t="shared" si="37"/>
        <v>0</v>
      </c>
      <c r="AQ10" s="104">
        <f t="shared" si="38"/>
        <v>0</v>
      </c>
      <c r="AR10" s="104">
        <f t="shared" si="39"/>
        <v>0</v>
      </c>
      <c r="AS10" s="104">
        <f t="shared" si="40"/>
        <v>0</v>
      </c>
      <c r="AT10" s="104">
        <f t="shared" si="41"/>
        <v>0</v>
      </c>
      <c r="BE10" s="49">
        <f t="shared" si="0"/>
        <v>0</v>
      </c>
      <c r="BF10" s="49">
        <f t="shared" si="1"/>
        <v>0</v>
      </c>
      <c r="BG10" s="54" t="e">
        <f t="shared" si="2"/>
        <v>#DIV/0!</v>
      </c>
      <c r="BH10" s="112" t="e">
        <f t="shared" si="42"/>
        <v>#DIV/0!</v>
      </c>
      <c r="BJ10" s="55" t="e">
        <f t="shared" si="43"/>
        <v>#DIV/0!</v>
      </c>
      <c r="BK10" s="55" t="e">
        <f t="shared" si="3"/>
        <v>#DIV/0!</v>
      </c>
      <c r="BL10" s="55" t="e">
        <f t="shared" si="44"/>
        <v>#DIV/0!</v>
      </c>
      <c r="BM10" s="53">
        <f t="shared" si="4"/>
        <v>0</v>
      </c>
      <c r="BN10" s="112" t="e">
        <f t="shared" si="5"/>
        <v>#DIV/0!</v>
      </c>
      <c r="BQ10" s="53" t="e">
        <f t="shared" si="45"/>
        <v>#DIV/0!</v>
      </c>
      <c r="BR10" s="53">
        <f t="shared" si="6"/>
        <v>0</v>
      </c>
      <c r="BS10" s="53">
        <f t="shared" si="7"/>
        <v>0</v>
      </c>
      <c r="BT10" s="56" t="e">
        <f t="shared" si="46"/>
        <v>#DIV/0!</v>
      </c>
      <c r="BW10" s="60"/>
      <c r="BX10" s="60"/>
      <c r="BY10" s="60"/>
      <c r="BZ10" s="60"/>
      <c r="CA10" s="60"/>
      <c r="CB10" s="60"/>
      <c r="CC10" s="60"/>
      <c r="CD10" s="60"/>
      <c r="CE10" s="60"/>
      <c r="CF10" s="60"/>
      <c r="CG10" s="60"/>
      <c r="CH10" s="60"/>
      <c r="CI10" s="60"/>
      <c r="CJ10" s="60"/>
      <c r="CK10" s="60"/>
      <c r="CL10" s="60"/>
      <c r="CM10" s="60"/>
      <c r="CN10" s="60"/>
      <c r="CO10" s="60"/>
      <c r="CP10" s="60"/>
      <c r="CQ10" s="60"/>
      <c r="CR10" s="60"/>
      <c r="CS10" s="57">
        <f t="shared" si="8"/>
        <v>0</v>
      </c>
      <c r="CT10" s="57">
        <f t="shared" si="8"/>
        <v>0</v>
      </c>
      <c r="CU10" s="53">
        <f t="shared" si="9"/>
        <v>0</v>
      </c>
      <c r="CV10" s="53">
        <f t="shared" si="9"/>
        <v>0</v>
      </c>
      <c r="CW10" s="58" t="e">
        <f t="shared" si="10"/>
        <v>#DIV/0!</v>
      </c>
      <c r="CX10" s="53">
        <f t="shared" si="47"/>
        <v>0</v>
      </c>
      <c r="CY10" s="53">
        <f t="shared" si="47"/>
        <v>0</v>
      </c>
      <c r="CZ10" s="58" t="e">
        <f t="shared" si="48"/>
        <v>#DIV/0!</v>
      </c>
      <c r="DA10" s="48" t="e">
        <f t="shared" si="11"/>
        <v>#DIV/0!</v>
      </c>
      <c r="DB10" s="48" t="e">
        <f t="shared" si="12"/>
        <v>#DIV/0!</v>
      </c>
      <c r="DC10" s="48" t="e">
        <f t="shared" si="13"/>
        <v>#DIV/0!</v>
      </c>
      <c r="DD10" s="48" t="e">
        <f t="shared" si="14"/>
        <v>#DIV/0!</v>
      </c>
      <c r="DE10" s="48" t="e">
        <f t="shared" si="15"/>
        <v>#DIV/0!</v>
      </c>
      <c r="DF10" s="48" t="e">
        <f t="shared" si="16"/>
        <v>#DIV/0!</v>
      </c>
      <c r="DG10" s="48">
        <f>SUMIF(FCR!$BZ$4:$DB$500,DF10,FCR!$DE$4:$EG$500)</f>
        <v>0</v>
      </c>
      <c r="DH10" s="48" t="e">
        <f t="shared" si="17"/>
        <v>#DIV/0!</v>
      </c>
      <c r="DI10" s="48">
        <f>SUMIF(FCR!$BZ$4:$DB$142,DH10,FCR!$DE$4:$EG$142)</f>
        <v>0</v>
      </c>
      <c r="DJ10" s="48" t="e">
        <f t="shared" si="18"/>
        <v>#DIV/0!</v>
      </c>
      <c r="DK10" s="55" t="e">
        <f t="shared" si="19"/>
        <v>#DIV/0!</v>
      </c>
      <c r="DL10" s="48" t="e">
        <f t="shared" si="20"/>
        <v>#DIV/0!</v>
      </c>
      <c r="DM10" s="48">
        <f>SUMIF(FCR!$BZ$4:$DB$142,DL10,FCR!$DE$4:$EG$142)</f>
        <v>0</v>
      </c>
      <c r="DN10" s="53" t="e">
        <f t="shared" si="21"/>
        <v>#DIV/0!</v>
      </c>
      <c r="DO10" s="55" t="e">
        <f t="shared" si="22"/>
        <v>#DIV/0!</v>
      </c>
      <c r="DP10" s="55" t="e">
        <f t="shared" si="23"/>
        <v>#DIV/0!</v>
      </c>
      <c r="DQ10" s="55"/>
      <c r="DR10" s="55" t="e">
        <f t="shared" si="24"/>
        <v>#DIV/0!</v>
      </c>
      <c r="DS10" s="55" t="e">
        <f t="shared" si="49"/>
        <v>#DIV/0!</v>
      </c>
      <c r="DT10" s="53">
        <f t="shared" si="50"/>
        <v>0</v>
      </c>
      <c r="DU10" s="59" t="e">
        <f t="shared" si="25"/>
        <v>#DIV/0!</v>
      </c>
    </row>
    <row r="11" spans="1:125">
      <c r="A11" s="53">
        <v>7</v>
      </c>
      <c r="B11" s="53" t="s">
        <v>330</v>
      </c>
      <c r="K11" s="52"/>
      <c r="L11" s="52"/>
      <c r="AC11" s="129" t="str">
        <f t="shared" si="26"/>
        <v/>
      </c>
      <c r="AD11" s="104" t="str">
        <f t="shared" si="27"/>
        <v>7</v>
      </c>
      <c r="AE11" s="49" t="s">
        <v>411</v>
      </c>
      <c r="AF11" s="28" t="s">
        <v>411</v>
      </c>
      <c r="AG11" s="104">
        <f t="shared" si="28"/>
        <v>0</v>
      </c>
      <c r="AH11" s="104">
        <f t="shared" si="29"/>
        <v>0</v>
      </c>
      <c r="AI11" s="104">
        <f t="shared" si="30"/>
        <v>0</v>
      </c>
      <c r="AJ11" s="104">
        <f t="shared" si="31"/>
        <v>0</v>
      </c>
      <c r="AK11" s="104">
        <f t="shared" si="32"/>
        <v>0</v>
      </c>
      <c r="AL11" s="104">
        <f t="shared" si="33"/>
        <v>0</v>
      </c>
      <c r="AM11" s="104">
        <f t="shared" si="34"/>
        <v>0</v>
      </c>
      <c r="AN11" s="104">
        <f t="shared" si="35"/>
        <v>0</v>
      </c>
      <c r="AO11" s="104">
        <f t="shared" si="36"/>
        <v>0</v>
      </c>
      <c r="AP11" s="49">
        <f t="shared" si="37"/>
        <v>0</v>
      </c>
      <c r="AQ11" s="104">
        <f t="shared" si="38"/>
        <v>0</v>
      </c>
      <c r="AR11" s="104">
        <f t="shared" si="39"/>
        <v>0</v>
      </c>
      <c r="AS11" s="104">
        <f t="shared" si="40"/>
        <v>0</v>
      </c>
      <c r="AT11" s="104">
        <f t="shared" si="41"/>
        <v>0</v>
      </c>
      <c r="BE11" s="49">
        <f t="shared" si="0"/>
        <v>0</v>
      </c>
      <c r="BF11" s="49">
        <f t="shared" si="1"/>
        <v>0</v>
      </c>
      <c r="BG11" s="54" t="e">
        <f t="shared" si="2"/>
        <v>#DIV/0!</v>
      </c>
      <c r="BH11" s="112" t="e">
        <f t="shared" si="42"/>
        <v>#DIV/0!</v>
      </c>
      <c r="BJ11" s="55" t="e">
        <f t="shared" si="43"/>
        <v>#DIV/0!</v>
      </c>
      <c r="BK11" s="55" t="e">
        <f t="shared" si="3"/>
        <v>#DIV/0!</v>
      </c>
      <c r="BL11" s="55" t="e">
        <f t="shared" si="44"/>
        <v>#DIV/0!</v>
      </c>
      <c r="BM11" s="53">
        <f t="shared" si="4"/>
        <v>0</v>
      </c>
      <c r="BN11" s="112" t="e">
        <f t="shared" si="5"/>
        <v>#DIV/0!</v>
      </c>
      <c r="BQ11" s="53" t="e">
        <f t="shared" si="45"/>
        <v>#DIV/0!</v>
      </c>
      <c r="BR11" s="53">
        <f t="shared" si="6"/>
        <v>0</v>
      </c>
      <c r="BS11" s="53">
        <f t="shared" si="7"/>
        <v>0</v>
      </c>
      <c r="BT11" s="56" t="e">
        <f t="shared" si="46"/>
        <v>#DIV/0!</v>
      </c>
      <c r="BW11" s="60"/>
      <c r="BX11" s="60"/>
      <c r="BY11" s="60"/>
      <c r="BZ11" s="60"/>
      <c r="CA11" s="60"/>
      <c r="CB11" s="60"/>
      <c r="CC11" s="60"/>
      <c r="CD11" s="60"/>
      <c r="CE11" s="60"/>
      <c r="CF11" s="60"/>
      <c r="CG11" s="60"/>
      <c r="CH11" s="60"/>
      <c r="CI11" s="60"/>
      <c r="CJ11" s="60"/>
      <c r="CK11" s="60"/>
      <c r="CL11" s="60"/>
      <c r="CM11" s="60"/>
      <c r="CN11" s="60"/>
      <c r="CO11" s="60"/>
      <c r="CP11" s="60"/>
      <c r="CQ11" s="60"/>
      <c r="CR11" s="60"/>
      <c r="CS11" s="57">
        <f t="shared" si="8"/>
        <v>0</v>
      </c>
      <c r="CT11" s="57">
        <f t="shared" si="8"/>
        <v>0</v>
      </c>
      <c r="CU11" s="53">
        <f t="shared" si="9"/>
        <v>0</v>
      </c>
      <c r="CV11" s="53">
        <f t="shared" si="9"/>
        <v>0</v>
      </c>
      <c r="CW11" s="58" t="e">
        <f t="shared" si="10"/>
        <v>#DIV/0!</v>
      </c>
      <c r="CX11" s="53">
        <f t="shared" si="47"/>
        <v>0</v>
      </c>
      <c r="CY11" s="53">
        <f t="shared" si="47"/>
        <v>0</v>
      </c>
      <c r="CZ11" s="58" t="e">
        <f t="shared" si="48"/>
        <v>#DIV/0!</v>
      </c>
      <c r="DA11" s="48" t="e">
        <f t="shared" si="11"/>
        <v>#DIV/0!</v>
      </c>
      <c r="DB11" s="48" t="e">
        <f t="shared" si="12"/>
        <v>#DIV/0!</v>
      </c>
      <c r="DC11" s="48" t="e">
        <f t="shared" si="13"/>
        <v>#DIV/0!</v>
      </c>
      <c r="DD11" s="48" t="e">
        <f t="shared" si="14"/>
        <v>#DIV/0!</v>
      </c>
      <c r="DE11" s="48" t="e">
        <f t="shared" si="15"/>
        <v>#DIV/0!</v>
      </c>
      <c r="DF11" s="48" t="e">
        <f t="shared" si="16"/>
        <v>#DIV/0!</v>
      </c>
      <c r="DG11" s="48">
        <f>SUMIF(FCR!$BZ$4:$DB$500,DF11,FCR!$DE$4:$EG$500)</f>
        <v>0</v>
      </c>
      <c r="DH11" s="48" t="e">
        <f t="shared" si="17"/>
        <v>#DIV/0!</v>
      </c>
      <c r="DI11" s="48">
        <f>SUMIF(FCR!$BZ$4:$DB$142,DH11,FCR!$DE$4:$EG$142)</f>
        <v>0</v>
      </c>
      <c r="DJ11" s="48" t="e">
        <f t="shared" si="18"/>
        <v>#DIV/0!</v>
      </c>
      <c r="DK11" s="55" t="e">
        <f t="shared" si="19"/>
        <v>#DIV/0!</v>
      </c>
      <c r="DL11" s="48" t="e">
        <f t="shared" si="20"/>
        <v>#DIV/0!</v>
      </c>
      <c r="DM11" s="48">
        <f>SUMIF(FCR!$BZ$4:$DB$142,DL11,FCR!$DE$4:$EG$142)</f>
        <v>0</v>
      </c>
      <c r="DN11" s="53" t="e">
        <f t="shared" si="21"/>
        <v>#DIV/0!</v>
      </c>
      <c r="DO11" s="55" t="e">
        <f t="shared" si="22"/>
        <v>#DIV/0!</v>
      </c>
      <c r="DP11" s="55" t="e">
        <f t="shared" si="23"/>
        <v>#DIV/0!</v>
      </c>
      <c r="DQ11" s="55"/>
      <c r="DR11" s="55" t="e">
        <f t="shared" si="24"/>
        <v>#DIV/0!</v>
      </c>
      <c r="DS11" s="55" t="e">
        <f t="shared" si="49"/>
        <v>#DIV/0!</v>
      </c>
      <c r="DT11" s="53">
        <f t="shared" si="50"/>
        <v>0</v>
      </c>
      <c r="DU11" s="59" t="e">
        <f t="shared" si="25"/>
        <v>#DIV/0!</v>
      </c>
    </row>
    <row r="12" spans="1:125">
      <c r="A12" s="53">
        <v>8</v>
      </c>
      <c r="B12" s="53" t="s">
        <v>331</v>
      </c>
      <c r="C12" s="53" t="s">
        <v>331</v>
      </c>
      <c r="D12" s="115" t="s">
        <v>322</v>
      </c>
      <c r="E12" s="49">
        <v>3000</v>
      </c>
      <c r="F12" s="49">
        <v>19500</v>
      </c>
      <c r="G12" s="49">
        <v>759716.62999999931</v>
      </c>
      <c r="H12" s="49">
        <v>48</v>
      </c>
      <c r="I12" s="49">
        <v>2952</v>
      </c>
      <c r="J12" s="49">
        <v>339480</v>
      </c>
      <c r="K12" s="52">
        <v>43901</v>
      </c>
      <c r="L12" s="52">
        <v>43901</v>
      </c>
      <c r="AC12" s="129" t="str">
        <f t="shared" si="26"/>
        <v>Xem chi tiết</v>
      </c>
      <c r="AD12" s="104" t="str">
        <f t="shared" si="27"/>
        <v>8</v>
      </c>
      <c r="AE12" s="49" t="s">
        <v>411</v>
      </c>
      <c r="AF12" s="28" t="s">
        <v>411</v>
      </c>
      <c r="AG12" s="104">
        <f t="shared" si="28"/>
        <v>3000</v>
      </c>
      <c r="AH12" s="104">
        <f t="shared" si="29"/>
        <v>6.5</v>
      </c>
      <c r="AI12" s="104">
        <f t="shared" si="30"/>
        <v>19500</v>
      </c>
      <c r="AJ12" s="104">
        <f t="shared" si="31"/>
        <v>48</v>
      </c>
      <c r="AK12" s="104">
        <f t="shared" si="32"/>
        <v>1.6</v>
      </c>
      <c r="AL12" s="104">
        <f t="shared" si="33"/>
        <v>2952</v>
      </c>
      <c r="AM12" s="104">
        <f t="shared" si="34"/>
        <v>115</v>
      </c>
      <c r="AN12" s="104">
        <f t="shared" si="35"/>
        <v>339480</v>
      </c>
      <c r="AO12" s="104">
        <f t="shared" si="36"/>
        <v>319980</v>
      </c>
      <c r="AP12" s="49">
        <f t="shared" si="37"/>
        <v>759717</v>
      </c>
      <c r="AQ12" s="104">
        <f t="shared" si="38"/>
        <v>257.39999999999998</v>
      </c>
      <c r="AR12" s="104">
        <f t="shared" si="39"/>
        <v>2.3740000000000001</v>
      </c>
      <c r="AS12" s="104">
        <f t="shared" si="40"/>
        <v>2.4409999999999998</v>
      </c>
      <c r="AT12" s="104">
        <f t="shared" si="41"/>
        <v>-6.7000000000000004E-2</v>
      </c>
      <c r="BE12" s="49">
        <f t="shared" si="0"/>
        <v>3000</v>
      </c>
      <c r="BF12" s="49">
        <f t="shared" si="1"/>
        <v>19500</v>
      </c>
      <c r="BG12" s="54">
        <f t="shared" si="2"/>
        <v>6.5</v>
      </c>
      <c r="BH12" s="112">
        <f t="shared" si="42"/>
        <v>0</v>
      </c>
      <c r="BJ12" s="55">
        <f t="shared" si="43"/>
        <v>2.3742628601787592</v>
      </c>
      <c r="BK12" s="55">
        <f t="shared" si="3"/>
        <v>2.4409999999999998</v>
      </c>
      <c r="BL12" s="55">
        <f t="shared" si="44"/>
        <v>-6.6737139821240632E-2</v>
      </c>
      <c r="BM12" s="53">
        <f t="shared" si="4"/>
        <v>759716.62999999931</v>
      </c>
      <c r="BN12" s="112">
        <f t="shared" si="5"/>
        <v>0</v>
      </c>
      <c r="BQ12" s="53">
        <f t="shared" si="45"/>
        <v>0</v>
      </c>
      <c r="BR12" s="53">
        <f t="shared" si="6"/>
        <v>2952</v>
      </c>
      <c r="BS12" s="53">
        <f t="shared" si="7"/>
        <v>339480</v>
      </c>
      <c r="BT12" s="56">
        <f t="shared" si="46"/>
        <v>115</v>
      </c>
      <c r="BW12" s="60"/>
      <c r="BX12" s="60"/>
      <c r="BY12" s="60"/>
      <c r="BZ12" s="60"/>
      <c r="CA12" s="60"/>
      <c r="CB12" s="60"/>
      <c r="CC12" s="60"/>
      <c r="CD12" s="60"/>
      <c r="CE12" s="60"/>
      <c r="CF12" s="60"/>
      <c r="CG12" s="60"/>
      <c r="CH12" s="60"/>
      <c r="CI12" s="60"/>
      <c r="CJ12" s="60"/>
      <c r="CK12" s="60"/>
      <c r="CL12" s="60"/>
      <c r="CM12" s="60"/>
      <c r="CN12" s="60"/>
      <c r="CO12" s="60"/>
      <c r="CP12" s="60"/>
      <c r="CQ12" s="60"/>
      <c r="CR12" s="60"/>
      <c r="CS12" s="57">
        <f t="shared" si="8"/>
        <v>0</v>
      </c>
      <c r="CT12" s="57">
        <f t="shared" si="8"/>
        <v>0</v>
      </c>
      <c r="CU12" s="53">
        <f t="shared" si="9"/>
        <v>3000</v>
      </c>
      <c r="CV12" s="53">
        <f t="shared" si="9"/>
        <v>19500</v>
      </c>
      <c r="CW12" s="58">
        <f t="shared" si="10"/>
        <v>6.5</v>
      </c>
      <c r="CX12" s="53">
        <f t="shared" si="47"/>
        <v>2952</v>
      </c>
      <c r="CY12" s="53">
        <f t="shared" si="47"/>
        <v>339480</v>
      </c>
      <c r="CZ12" s="58">
        <f t="shared" si="48"/>
        <v>115</v>
      </c>
      <c r="DA12" s="48" t="str">
        <f t="shared" si="11"/>
        <v>115</v>
      </c>
      <c r="DB12" s="48">
        <f t="shared" si="12"/>
        <v>116</v>
      </c>
      <c r="DC12" s="48" t="str">
        <f t="shared" si="13"/>
        <v>6.</v>
      </c>
      <c r="DD12" s="48">
        <f t="shared" si="14"/>
        <v>6</v>
      </c>
      <c r="DE12" s="48">
        <f t="shared" si="15"/>
        <v>7</v>
      </c>
      <c r="DF12" s="48" t="str">
        <f t="shared" si="16"/>
        <v>6115</v>
      </c>
      <c r="DG12" s="48">
        <f>SUMIF(FCR!$BZ$4:$DB$500,DF12,FCR!$DE$4:$EG$500)</f>
        <v>2.4359999999999999</v>
      </c>
      <c r="DH12" s="48" t="str">
        <f t="shared" si="17"/>
        <v>7115</v>
      </c>
      <c r="DI12" s="48">
        <f>SUMIF(FCR!$BZ$4:$DB$142,DH12,FCR!$DE$4:$EG$142)</f>
        <v>2.4540000000000002</v>
      </c>
      <c r="DJ12" s="48">
        <f t="shared" si="18"/>
        <v>50</v>
      </c>
      <c r="DK12" s="55">
        <f t="shared" si="19"/>
        <v>2.4449999999999998</v>
      </c>
      <c r="DL12" s="48" t="str">
        <f t="shared" si="20"/>
        <v>6116</v>
      </c>
      <c r="DM12" s="48">
        <f>SUMIF(FCR!$BZ$4:$DB$142,DL12,FCR!$DE$4:$EG$142)</f>
        <v>2.4430000000000001</v>
      </c>
      <c r="DN12" s="53">
        <f t="shared" si="21"/>
        <v>0</v>
      </c>
      <c r="DO12" s="55">
        <f t="shared" si="22"/>
        <v>2.4359999999999999</v>
      </c>
      <c r="DP12" s="55">
        <f t="shared" si="23"/>
        <v>2.4409999999999998</v>
      </c>
      <c r="DQ12" s="55"/>
      <c r="DR12" s="55">
        <f t="shared" si="24"/>
        <v>2.4409999999999998</v>
      </c>
      <c r="DS12" s="55">
        <f t="shared" si="49"/>
        <v>0</v>
      </c>
      <c r="DT12" s="53">
        <f t="shared" si="50"/>
        <v>48</v>
      </c>
      <c r="DU12" s="59">
        <f t="shared" si="25"/>
        <v>1.6</v>
      </c>
    </row>
    <row r="13" spans="1:125">
      <c r="A13" s="53">
        <v>9</v>
      </c>
      <c r="B13" s="53" t="s">
        <v>332</v>
      </c>
      <c r="C13" s="53" t="s">
        <v>332</v>
      </c>
      <c r="D13" s="115" t="s">
        <v>322</v>
      </c>
      <c r="E13" s="49">
        <v>3000</v>
      </c>
      <c r="F13" s="49">
        <v>19500</v>
      </c>
      <c r="G13" s="49">
        <v>759716.62999999931</v>
      </c>
      <c r="H13" s="49">
        <v>48</v>
      </c>
      <c r="I13" s="49">
        <v>2952</v>
      </c>
      <c r="J13" s="49">
        <v>339480</v>
      </c>
      <c r="K13" s="52">
        <v>43931</v>
      </c>
      <c r="L13" s="52">
        <v>43931</v>
      </c>
      <c r="AC13" s="129" t="str">
        <f t="shared" si="26"/>
        <v>Xem chi tiết</v>
      </c>
      <c r="AD13" s="104" t="str">
        <f t="shared" si="27"/>
        <v>9</v>
      </c>
      <c r="AE13" s="49" t="s">
        <v>411</v>
      </c>
      <c r="AF13" s="28" t="s">
        <v>411</v>
      </c>
      <c r="AG13" s="104">
        <f t="shared" si="28"/>
        <v>3000</v>
      </c>
      <c r="AH13" s="104">
        <f t="shared" si="29"/>
        <v>6.5</v>
      </c>
      <c r="AI13" s="104">
        <f t="shared" si="30"/>
        <v>19500</v>
      </c>
      <c r="AJ13" s="104">
        <f t="shared" si="31"/>
        <v>48</v>
      </c>
      <c r="AK13" s="104">
        <f t="shared" si="32"/>
        <v>1.6</v>
      </c>
      <c r="AL13" s="104">
        <f t="shared" si="33"/>
        <v>2952</v>
      </c>
      <c r="AM13" s="104">
        <f t="shared" si="34"/>
        <v>115</v>
      </c>
      <c r="AN13" s="104">
        <f t="shared" si="35"/>
        <v>339480</v>
      </c>
      <c r="AO13" s="104">
        <f t="shared" si="36"/>
        <v>319980</v>
      </c>
      <c r="AP13" s="49">
        <f t="shared" si="37"/>
        <v>759717</v>
      </c>
      <c r="AQ13" s="104">
        <f t="shared" si="38"/>
        <v>257.39999999999998</v>
      </c>
      <c r="AR13" s="104">
        <f t="shared" si="39"/>
        <v>2.3740000000000001</v>
      </c>
      <c r="AS13" s="104">
        <f t="shared" si="40"/>
        <v>2.4409999999999998</v>
      </c>
      <c r="AT13" s="104">
        <f t="shared" si="41"/>
        <v>-6.7000000000000004E-2</v>
      </c>
      <c r="BE13" s="49">
        <f t="shared" si="0"/>
        <v>3000</v>
      </c>
      <c r="BF13" s="49">
        <f t="shared" si="1"/>
        <v>19500</v>
      </c>
      <c r="BG13" s="54">
        <f t="shared" si="2"/>
        <v>6.5</v>
      </c>
      <c r="BH13" s="112">
        <f t="shared" si="42"/>
        <v>0</v>
      </c>
      <c r="BJ13" s="55">
        <f t="shared" si="43"/>
        <v>2.3742628601787592</v>
      </c>
      <c r="BK13" s="55">
        <f t="shared" si="3"/>
        <v>2.4409999999999998</v>
      </c>
      <c r="BL13" s="55">
        <f t="shared" si="44"/>
        <v>-6.6737139821240632E-2</v>
      </c>
      <c r="BM13" s="53">
        <f t="shared" si="4"/>
        <v>759716.62999999931</v>
      </c>
      <c r="BN13" s="112">
        <f t="shared" si="5"/>
        <v>0</v>
      </c>
      <c r="BQ13" s="53">
        <f t="shared" si="45"/>
        <v>0</v>
      </c>
      <c r="BR13" s="53">
        <f t="shared" si="6"/>
        <v>2952</v>
      </c>
      <c r="BS13" s="53">
        <f t="shared" si="7"/>
        <v>339480</v>
      </c>
      <c r="BT13" s="56">
        <f t="shared" si="46"/>
        <v>115</v>
      </c>
      <c r="BW13" s="60"/>
      <c r="BX13" s="60"/>
      <c r="BY13" s="60"/>
      <c r="BZ13" s="60"/>
      <c r="CA13" s="60"/>
      <c r="CB13" s="60"/>
      <c r="CC13" s="60"/>
      <c r="CD13" s="60"/>
      <c r="CE13" s="60"/>
      <c r="CF13" s="60"/>
      <c r="CG13" s="60"/>
      <c r="CH13" s="60"/>
      <c r="CI13" s="60"/>
      <c r="CJ13" s="60"/>
      <c r="CK13" s="60"/>
      <c r="CL13" s="60"/>
      <c r="CM13" s="60"/>
      <c r="CN13" s="60"/>
      <c r="CO13" s="60"/>
      <c r="CP13" s="60"/>
      <c r="CQ13" s="60"/>
      <c r="CR13" s="60"/>
      <c r="CS13" s="57">
        <f t="shared" si="8"/>
        <v>0</v>
      </c>
      <c r="CT13" s="57">
        <f t="shared" si="8"/>
        <v>0</v>
      </c>
      <c r="CU13" s="53">
        <f t="shared" si="9"/>
        <v>3000</v>
      </c>
      <c r="CV13" s="53">
        <f t="shared" si="9"/>
        <v>19500</v>
      </c>
      <c r="CW13" s="58">
        <f t="shared" si="10"/>
        <v>6.5</v>
      </c>
      <c r="CX13" s="53">
        <f t="shared" si="47"/>
        <v>2952</v>
      </c>
      <c r="CY13" s="53">
        <f t="shared" si="47"/>
        <v>339480</v>
      </c>
      <c r="CZ13" s="58">
        <f t="shared" si="48"/>
        <v>115</v>
      </c>
      <c r="DA13" s="48" t="str">
        <f t="shared" si="11"/>
        <v>115</v>
      </c>
      <c r="DB13" s="48">
        <f t="shared" si="12"/>
        <v>116</v>
      </c>
      <c r="DC13" s="48" t="str">
        <f t="shared" si="13"/>
        <v>6.</v>
      </c>
      <c r="DD13" s="48">
        <f t="shared" si="14"/>
        <v>6</v>
      </c>
      <c r="DE13" s="48">
        <f t="shared" si="15"/>
        <v>7</v>
      </c>
      <c r="DF13" s="48" t="str">
        <f t="shared" si="16"/>
        <v>6115</v>
      </c>
      <c r="DG13" s="48">
        <f>SUMIF(FCR!$BZ$4:$DB$500,DF13,FCR!$DE$4:$EG$500)</f>
        <v>2.4359999999999999</v>
      </c>
      <c r="DH13" s="48" t="str">
        <f t="shared" si="17"/>
        <v>7115</v>
      </c>
      <c r="DI13" s="48">
        <f>SUMIF(FCR!$BZ$4:$DB$142,DH13,FCR!$DE$4:$EG$142)</f>
        <v>2.4540000000000002</v>
      </c>
      <c r="DJ13" s="48">
        <f t="shared" si="18"/>
        <v>50</v>
      </c>
      <c r="DK13" s="55">
        <f t="shared" si="19"/>
        <v>2.4449999999999998</v>
      </c>
      <c r="DL13" s="48" t="str">
        <f t="shared" si="20"/>
        <v>6116</v>
      </c>
      <c r="DM13" s="48">
        <f>SUMIF(FCR!$BZ$4:$DB$142,DL13,FCR!$DE$4:$EG$142)</f>
        <v>2.4430000000000001</v>
      </c>
      <c r="DN13" s="53">
        <f t="shared" si="21"/>
        <v>0</v>
      </c>
      <c r="DO13" s="55">
        <f t="shared" si="22"/>
        <v>2.4359999999999999</v>
      </c>
      <c r="DP13" s="55">
        <f t="shared" si="23"/>
        <v>2.4409999999999998</v>
      </c>
      <c r="DQ13" s="55"/>
      <c r="DR13" s="55">
        <f t="shared" si="24"/>
        <v>2.4409999999999998</v>
      </c>
      <c r="DS13" s="55">
        <f t="shared" si="49"/>
        <v>0</v>
      </c>
      <c r="DT13" s="53">
        <f t="shared" si="50"/>
        <v>48</v>
      </c>
      <c r="DU13" s="59">
        <f t="shared" si="25"/>
        <v>1.6</v>
      </c>
    </row>
    <row r="14" spans="1:125">
      <c r="A14" s="53">
        <v>10</v>
      </c>
      <c r="B14" s="53" t="s">
        <v>333</v>
      </c>
      <c r="C14" s="53" t="s">
        <v>334</v>
      </c>
      <c r="D14" s="115" t="s">
        <v>322</v>
      </c>
      <c r="E14" s="49">
        <v>3000</v>
      </c>
      <c r="F14" s="49">
        <v>19500</v>
      </c>
      <c r="G14" s="49">
        <v>759716.62999999931</v>
      </c>
      <c r="H14" s="49">
        <v>48</v>
      </c>
      <c r="I14" s="49">
        <v>2952</v>
      </c>
      <c r="J14" s="49">
        <v>339480</v>
      </c>
      <c r="K14" s="52">
        <v>43961</v>
      </c>
      <c r="L14" s="52">
        <v>43961</v>
      </c>
      <c r="AC14" s="129" t="str">
        <f t="shared" si="26"/>
        <v>Xem chi tiết</v>
      </c>
      <c r="AD14" s="104" t="str">
        <f t="shared" si="27"/>
        <v>10</v>
      </c>
      <c r="AE14" s="49" t="s">
        <v>411</v>
      </c>
      <c r="AF14" s="28" t="s">
        <v>411</v>
      </c>
      <c r="AG14" s="104">
        <f t="shared" si="28"/>
        <v>3000</v>
      </c>
      <c r="AH14" s="104">
        <f t="shared" si="29"/>
        <v>6.5</v>
      </c>
      <c r="AI14" s="104">
        <f t="shared" si="30"/>
        <v>19500</v>
      </c>
      <c r="AJ14" s="104">
        <f t="shared" si="31"/>
        <v>48</v>
      </c>
      <c r="AK14" s="104">
        <f t="shared" si="32"/>
        <v>1.6</v>
      </c>
      <c r="AL14" s="104">
        <f t="shared" si="33"/>
        <v>2952</v>
      </c>
      <c r="AM14" s="104">
        <f t="shared" si="34"/>
        <v>115</v>
      </c>
      <c r="AN14" s="104">
        <f t="shared" si="35"/>
        <v>339480</v>
      </c>
      <c r="AO14" s="104">
        <f t="shared" si="36"/>
        <v>319980</v>
      </c>
      <c r="AP14" s="49">
        <f t="shared" si="37"/>
        <v>759717</v>
      </c>
      <c r="AQ14" s="104">
        <f t="shared" si="38"/>
        <v>257.39999999999998</v>
      </c>
      <c r="AR14" s="104">
        <f t="shared" si="39"/>
        <v>2.3740000000000001</v>
      </c>
      <c r="AS14" s="104">
        <f t="shared" si="40"/>
        <v>2.4409999999999998</v>
      </c>
      <c r="AT14" s="104">
        <f t="shared" si="41"/>
        <v>-6.7000000000000004E-2</v>
      </c>
      <c r="BE14" s="49">
        <f t="shared" si="0"/>
        <v>3000</v>
      </c>
      <c r="BF14" s="49">
        <f t="shared" si="1"/>
        <v>19500</v>
      </c>
      <c r="BG14" s="54">
        <f t="shared" si="2"/>
        <v>6.5</v>
      </c>
      <c r="BH14" s="112">
        <f t="shared" si="42"/>
        <v>0</v>
      </c>
      <c r="BJ14" s="55">
        <f t="shared" si="43"/>
        <v>2.3742628601787592</v>
      </c>
      <c r="BK14" s="55">
        <f t="shared" si="3"/>
        <v>2.4409999999999998</v>
      </c>
      <c r="BL14" s="55">
        <f t="shared" si="44"/>
        <v>-6.6737139821240632E-2</v>
      </c>
      <c r="BM14" s="53">
        <f t="shared" si="4"/>
        <v>759716.62999999931</v>
      </c>
      <c r="BN14" s="112">
        <f t="shared" si="5"/>
        <v>0</v>
      </c>
      <c r="BQ14" s="53">
        <f t="shared" si="45"/>
        <v>0</v>
      </c>
      <c r="BR14" s="53">
        <f t="shared" si="6"/>
        <v>2952</v>
      </c>
      <c r="BS14" s="53">
        <f t="shared" si="7"/>
        <v>339480</v>
      </c>
      <c r="BT14" s="56">
        <f t="shared" si="46"/>
        <v>115</v>
      </c>
      <c r="BW14" s="60"/>
      <c r="BX14" s="60"/>
      <c r="BY14" s="60"/>
      <c r="BZ14" s="60"/>
      <c r="CA14" s="60"/>
      <c r="CB14" s="60"/>
      <c r="CC14" s="60"/>
      <c r="CD14" s="60"/>
      <c r="CE14" s="60"/>
      <c r="CF14" s="60"/>
      <c r="CG14" s="60"/>
      <c r="CH14" s="60"/>
      <c r="CI14" s="60"/>
      <c r="CJ14" s="60"/>
      <c r="CK14" s="60"/>
      <c r="CL14" s="60"/>
      <c r="CM14" s="60"/>
      <c r="CN14" s="60"/>
      <c r="CO14" s="60"/>
      <c r="CP14" s="60"/>
      <c r="CQ14" s="60"/>
      <c r="CR14" s="60"/>
      <c r="CS14" s="57">
        <f t="shared" si="8"/>
        <v>0</v>
      </c>
      <c r="CT14" s="57">
        <f t="shared" si="8"/>
        <v>0</v>
      </c>
      <c r="CU14" s="53">
        <f t="shared" si="9"/>
        <v>3000</v>
      </c>
      <c r="CV14" s="53">
        <f t="shared" si="9"/>
        <v>19500</v>
      </c>
      <c r="CW14" s="58">
        <f t="shared" si="10"/>
        <v>6.5</v>
      </c>
      <c r="CX14" s="53">
        <f t="shared" si="47"/>
        <v>2952</v>
      </c>
      <c r="CY14" s="53">
        <f t="shared" si="47"/>
        <v>339480</v>
      </c>
      <c r="CZ14" s="58">
        <f t="shared" si="48"/>
        <v>115</v>
      </c>
      <c r="DA14" s="48" t="str">
        <f t="shared" si="11"/>
        <v>115</v>
      </c>
      <c r="DB14" s="48">
        <f t="shared" si="12"/>
        <v>116</v>
      </c>
      <c r="DC14" s="48" t="str">
        <f t="shared" si="13"/>
        <v>6.</v>
      </c>
      <c r="DD14" s="48">
        <f t="shared" si="14"/>
        <v>6</v>
      </c>
      <c r="DE14" s="48">
        <f t="shared" si="15"/>
        <v>7</v>
      </c>
      <c r="DF14" s="48" t="str">
        <f t="shared" si="16"/>
        <v>6115</v>
      </c>
      <c r="DG14" s="48">
        <f>SUMIF(FCR!$BZ$4:$DB$500,DF14,FCR!$DE$4:$EG$500)</f>
        <v>2.4359999999999999</v>
      </c>
      <c r="DH14" s="48" t="str">
        <f t="shared" si="17"/>
        <v>7115</v>
      </c>
      <c r="DI14" s="48">
        <f>SUMIF(FCR!$BZ$4:$DB$142,DH14,FCR!$DE$4:$EG$142)</f>
        <v>2.4540000000000002</v>
      </c>
      <c r="DJ14" s="48">
        <f t="shared" si="18"/>
        <v>50</v>
      </c>
      <c r="DK14" s="55">
        <f t="shared" si="19"/>
        <v>2.4449999999999998</v>
      </c>
      <c r="DL14" s="48" t="str">
        <f t="shared" si="20"/>
        <v>6116</v>
      </c>
      <c r="DM14" s="48">
        <f>SUMIF(FCR!$BZ$4:$DB$142,DL14,FCR!$DE$4:$EG$142)</f>
        <v>2.4430000000000001</v>
      </c>
      <c r="DN14" s="53">
        <f t="shared" si="21"/>
        <v>0</v>
      </c>
      <c r="DO14" s="55">
        <f t="shared" si="22"/>
        <v>2.4359999999999999</v>
      </c>
      <c r="DP14" s="55">
        <f t="shared" si="23"/>
        <v>2.4409999999999998</v>
      </c>
      <c r="DQ14" s="55"/>
      <c r="DR14" s="55">
        <f t="shared" si="24"/>
        <v>2.4409999999999998</v>
      </c>
      <c r="DS14" s="55">
        <f t="shared" si="49"/>
        <v>0</v>
      </c>
      <c r="DT14" s="53">
        <f t="shared" si="50"/>
        <v>48</v>
      </c>
      <c r="DU14" s="59">
        <f t="shared" si="25"/>
        <v>1.6</v>
      </c>
    </row>
    <row r="15" spans="1:125">
      <c r="A15" s="53">
        <v>11</v>
      </c>
      <c r="B15" s="53" t="s">
        <v>335</v>
      </c>
      <c r="C15" s="53" t="s">
        <v>336</v>
      </c>
      <c r="D15" s="115" t="s">
        <v>322</v>
      </c>
      <c r="E15" s="49">
        <v>2991</v>
      </c>
      <c r="F15" s="49">
        <v>19937</v>
      </c>
      <c r="G15" s="49">
        <v>737187.90999999829</v>
      </c>
      <c r="H15" s="49">
        <v>39</v>
      </c>
      <c r="I15" s="49">
        <v>2952</v>
      </c>
      <c r="J15" s="49">
        <v>339480</v>
      </c>
      <c r="K15" s="52">
        <v>43991</v>
      </c>
      <c r="L15" s="49">
        <v>43991</v>
      </c>
      <c r="AC15" s="129" t="str">
        <f t="shared" si="26"/>
        <v>Xem chi tiết</v>
      </c>
      <c r="AD15" s="104" t="str">
        <f t="shared" si="27"/>
        <v>11</v>
      </c>
      <c r="AE15" s="49" t="s">
        <v>411</v>
      </c>
      <c r="AF15" s="28" t="s">
        <v>411</v>
      </c>
      <c r="AG15" s="104">
        <f t="shared" si="28"/>
        <v>2991</v>
      </c>
      <c r="AH15" s="104">
        <f t="shared" si="29"/>
        <v>6.7</v>
      </c>
      <c r="AI15" s="104">
        <f t="shared" si="30"/>
        <v>19937</v>
      </c>
      <c r="AJ15" s="104">
        <f t="shared" si="31"/>
        <v>39</v>
      </c>
      <c r="AK15" s="104">
        <f t="shared" si="32"/>
        <v>1.3</v>
      </c>
      <c r="AL15" s="104">
        <f t="shared" si="33"/>
        <v>2952</v>
      </c>
      <c r="AM15" s="104">
        <f t="shared" si="34"/>
        <v>115</v>
      </c>
      <c r="AN15" s="104">
        <f t="shared" si="35"/>
        <v>339480</v>
      </c>
      <c r="AO15" s="104">
        <f t="shared" si="36"/>
        <v>319543</v>
      </c>
      <c r="AP15" s="49">
        <f t="shared" si="37"/>
        <v>737188</v>
      </c>
      <c r="AQ15" s="104">
        <f t="shared" si="38"/>
        <v>249.7</v>
      </c>
      <c r="AR15" s="104">
        <f t="shared" si="39"/>
        <v>2.3069999999999999</v>
      </c>
      <c r="AS15" s="104">
        <f t="shared" si="40"/>
        <v>2.4420000000000002</v>
      </c>
      <c r="AT15" s="104">
        <f t="shared" si="41"/>
        <v>-0.13500000000000001</v>
      </c>
      <c r="BE15" s="49">
        <f t="shared" si="0"/>
        <v>2991</v>
      </c>
      <c r="BF15" s="49">
        <f t="shared" si="1"/>
        <v>19937</v>
      </c>
      <c r="BG15" s="54">
        <f t="shared" si="2"/>
        <v>6.6656636576395858</v>
      </c>
      <c r="BH15" s="112">
        <f t="shared" si="42"/>
        <v>0</v>
      </c>
      <c r="BJ15" s="55">
        <f t="shared" si="43"/>
        <v>2.3070069129976192</v>
      </c>
      <c r="BK15" s="55">
        <f t="shared" si="3"/>
        <v>2.4420000000000002</v>
      </c>
      <c r="BL15" s="55">
        <f t="shared" si="44"/>
        <v>-0.134993087002381</v>
      </c>
      <c r="BM15" s="53">
        <f t="shared" si="4"/>
        <v>737187.90999999829</v>
      </c>
      <c r="BN15" s="112">
        <f t="shared" si="5"/>
        <v>0</v>
      </c>
      <c r="BQ15" s="53">
        <f t="shared" si="45"/>
        <v>0</v>
      </c>
      <c r="BR15" s="53">
        <f t="shared" si="6"/>
        <v>2952</v>
      </c>
      <c r="BS15" s="53">
        <f t="shared" si="7"/>
        <v>339480</v>
      </c>
      <c r="BT15" s="56">
        <f t="shared" si="46"/>
        <v>115</v>
      </c>
      <c r="BW15" s="60"/>
      <c r="BX15" s="60"/>
      <c r="BY15" s="60"/>
      <c r="BZ15" s="60"/>
      <c r="CA15" s="60"/>
      <c r="CB15" s="60"/>
      <c r="CC15" s="60"/>
      <c r="CD15" s="60"/>
      <c r="CE15" s="60"/>
      <c r="CF15" s="60"/>
      <c r="CG15" s="60"/>
      <c r="CH15" s="60"/>
      <c r="CI15" s="60"/>
      <c r="CJ15" s="60"/>
      <c r="CK15" s="60"/>
      <c r="CL15" s="60"/>
      <c r="CM15" s="60"/>
      <c r="CN15" s="60"/>
      <c r="CO15" s="60"/>
      <c r="CP15" s="60"/>
      <c r="CQ15" s="60"/>
      <c r="CR15" s="60"/>
      <c r="CS15" s="57">
        <f t="shared" si="8"/>
        <v>0</v>
      </c>
      <c r="CT15" s="57">
        <f t="shared" si="8"/>
        <v>0</v>
      </c>
      <c r="CU15" s="53">
        <f t="shared" si="9"/>
        <v>2991</v>
      </c>
      <c r="CV15" s="53">
        <f t="shared" si="9"/>
        <v>19937</v>
      </c>
      <c r="CW15" s="58">
        <f t="shared" si="10"/>
        <v>6.67</v>
      </c>
      <c r="CX15" s="53">
        <f t="shared" si="47"/>
        <v>2952</v>
      </c>
      <c r="CY15" s="53">
        <f t="shared" si="47"/>
        <v>339480</v>
      </c>
      <c r="CZ15" s="58">
        <f t="shared" si="48"/>
        <v>115</v>
      </c>
      <c r="DA15" s="48" t="str">
        <f t="shared" si="11"/>
        <v>115</v>
      </c>
      <c r="DB15" s="48">
        <f t="shared" si="12"/>
        <v>116</v>
      </c>
      <c r="DC15" s="48" t="str">
        <f t="shared" si="13"/>
        <v>6.</v>
      </c>
      <c r="DD15" s="48">
        <f t="shared" si="14"/>
        <v>6</v>
      </c>
      <c r="DE15" s="48">
        <f t="shared" si="15"/>
        <v>7</v>
      </c>
      <c r="DF15" s="48" t="str">
        <f t="shared" si="16"/>
        <v>6115</v>
      </c>
      <c r="DG15" s="48">
        <f>SUMIF(FCR!$BZ$4:$DB$500,DF15,FCR!$DE$4:$EG$500)</f>
        <v>2.4359999999999999</v>
      </c>
      <c r="DH15" s="48" t="str">
        <f t="shared" si="17"/>
        <v>7115</v>
      </c>
      <c r="DI15" s="48">
        <f>SUMIF(FCR!$BZ$4:$DB$142,DH15,FCR!$DE$4:$EG$142)</f>
        <v>2.4540000000000002</v>
      </c>
      <c r="DJ15" s="48">
        <f t="shared" si="18"/>
        <v>67</v>
      </c>
      <c r="DK15" s="55">
        <f t="shared" si="19"/>
        <v>2.448</v>
      </c>
      <c r="DL15" s="48" t="str">
        <f t="shared" si="20"/>
        <v>6116</v>
      </c>
      <c r="DM15" s="48">
        <f>SUMIF(FCR!$BZ$4:$DB$142,DL15,FCR!$DE$4:$EG$142)</f>
        <v>2.4430000000000001</v>
      </c>
      <c r="DN15" s="53">
        <f t="shared" si="21"/>
        <v>0</v>
      </c>
      <c r="DO15" s="55">
        <f t="shared" si="22"/>
        <v>2.4359999999999999</v>
      </c>
      <c r="DP15" s="55">
        <f t="shared" si="23"/>
        <v>2.4420000000000002</v>
      </c>
      <c r="DQ15" s="55"/>
      <c r="DR15" s="55">
        <f t="shared" si="24"/>
        <v>2.4420000000000002</v>
      </c>
      <c r="DS15" s="55">
        <f t="shared" si="49"/>
        <v>0</v>
      </c>
      <c r="DT15" s="53">
        <f t="shared" si="50"/>
        <v>39</v>
      </c>
      <c r="DU15" s="59">
        <f t="shared" si="25"/>
        <v>1.3</v>
      </c>
    </row>
    <row r="16" spans="1:125">
      <c r="A16" s="53">
        <v>12</v>
      </c>
      <c r="B16" s="53" t="s">
        <v>337</v>
      </c>
      <c r="K16" s="52"/>
      <c r="AC16" s="129" t="str">
        <f t="shared" si="26"/>
        <v/>
      </c>
      <c r="AD16" s="104" t="str">
        <f t="shared" si="27"/>
        <v>12</v>
      </c>
      <c r="AE16" s="49" t="s">
        <v>411</v>
      </c>
      <c r="AF16" s="28" t="s">
        <v>411</v>
      </c>
      <c r="AG16" s="104">
        <f t="shared" si="28"/>
        <v>0</v>
      </c>
      <c r="AH16" s="104">
        <f t="shared" si="29"/>
        <v>0</v>
      </c>
      <c r="AI16" s="104">
        <f t="shared" si="30"/>
        <v>0</v>
      </c>
      <c r="AJ16" s="104">
        <f t="shared" si="31"/>
        <v>0</v>
      </c>
      <c r="AK16" s="104">
        <f t="shared" si="32"/>
        <v>0</v>
      </c>
      <c r="AL16" s="104">
        <f t="shared" si="33"/>
        <v>0</v>
      </c>
      <c r="AM16" s="104">
        <f t="shared" si="34"/>
        <v>0</v>
      </c>
      <c r="AN16" s="104">
        <f t="shared" si="35"/>
        <v>0</v>
      </c>
      <c r="AO16" s="104">
        <f t="shared" si="36"/>
        <v>0</v>
      </c>
      <c r="AP16" s="49">
        <f t="shared" si="37"/>
        <v>0</v>
      </c>
      <c r="AQ16" s="104">
        <f t="shared" si="38"/>
        <v>0</v>
      </c>
      <c r="AR16" s="104">
        <f t="shared" si="39"/>
        <v>0</v>
      </c>
      <c r="AS16" s="104">
        <f t="shared" si="40"/>
        <v>0</v>
      </c>
      <c r="AT16" s="104">
        <f t="shared" si="41"/>
        <v>0</v>
      </c>
      <c r="BE16" s="49">
        <f t="shared" si="0"/>
        <v>0</v>
      </c>
      <c r="BF16" s="49">
        <f t="shared" si="1"/>
        <v>0</v>
      </c>
      <c r="BG16" s="54" t="e">
        <f t="shared" si="2"/>
        <v>#DIV/0!</v>
      </c>
      <c r="BH16" s="112" t="e">
        <f t="shared" si="42"/>
        <v>#DIV/0!</v>
      </c>
      <c r="BJ16" s="55" t="e">
        <f t="shared" si="43"/>
        <v>#DIV/0!</v>
      </c>
      <c r="BK16" s="55" t="e">
        <f t="shared" si="3"/>
        <v>#DIV/0!</v>
      </c>
      <c r="BL16" s="55" t="e">
        <f t="shared" si="44"/>
        <v>#DIV/0!</v>
      </c>
      <c r="BM16" s="53">
        <f t="shared" si="4"/>
        <v>0</v>
      </c>
      <c r="BN16" s="112" t="e">
        <f t="shared" si="5"/>
        <v>#DIV/0!</v>
      </c>
      <c r="BQ16" s="53" t="e">
        <f t="shared" si="45"/>
        <v>#DIV/0!</v>
      </c>
      <c r="BR16" s="53">
        <f t="shared" si="6"/>
        <v>0</v>
      </c>
      <c r="BS16" s="53">
        <f t="shared" si="7"/>
        <v>0</v>
      </c>
      <c r="BT16" s="56" t="e">
        <f t="shared" si="46"/>
        <v>#DIV/0!</v>
      </c>
      <c r="BW16" s="60"/>
      <c r="BX16" s="60"/>
      <c r="BY16" s="60"/>
      <c r="BZ16" s="60"/>
      <c r="CA16" s="60"/>
      <c r="CB16" s="60"/>
      <c r="CC16" s="60"/>
      <c r="CD16" s="60"/>
      <c r="CE16" s="60"/>
      <c r="CF16" s="60"/>
      <c r="CG16" s="60"/>
      <c r="CH16" s="60"/>
      <c r="CI16" s="60"/>
      <c r="CJ16" s="60"/>
      <c r="CK16" s="60"/>
      <c r="CL16" s="60"/>
      <c r="CM16" s="60"/>
      <c r="CN16" s="60"/>
      <c r="CO16" s="60"/>
      <c r="CP16" s="60"/>
      <c r="CQ16" s="60"/>
      <c r="CR16" s="60"/>
      <c r="CS16" s="57">
        <f t="shared" si="8"/>
        <v>0</v>
      </c>
      <c r="CT16" s="57">
        <f t="shared" si="8"/>
        <v>0</v>
      </c>
      <c r="CU16" s="53">
        <f t="shared" si="9"/>
        <v>0</v>
      </c>
      <c r="CV16" s="53">
        <f t="shared" si="9"/>
        <v>0</v>
      </c>
      <c r="CW16" s="58" t="e">
        <f t="shared" si="10"/>
        <v>#DIV/0!</v>
      </c>
      <c r="CX16" s="53">
        <f t="shared" si="47"/>
        <v>0</v>
      </c>
      <c r="CY16" s="53">
        <f t="shared" si="47"/>
        <v>0</v>
      </c>
      <c r="CZ16" s="58" t="e">
        <f t="shared" si="48"/>
        <v>#DIV/0!</v>
      </c>
      <c r="DA16" s="48" t="e">
        <f t="shared" si="11"/>
        <v>#DIV/0!</v>
      </c>
      <c r="DB16" s="48" t="e">
        <f t="shared" si="12"/>
        <v>#DIV/0!</v>
      </c>
      <c r="DC16" s="48" t="e">
        <f t="shared" si="13"/>
        <v>#DIV/0!</v>
      </c>
      <c r="DD16" s="48" t="e">
        <f t="shared" si="14"/>
        <v>#DIV/0!</v>
      </c>
      <c r="DE16" s="48" t="e">
        <f t="shared" si="15"/>
        <v>#DIV/0!</v>
      </c>
      <c r="DF16" s="48" t="e">
        <f t="shared" si="16"/>
        <v>#DIV/0!</v>
      </c>
      <c r="DG16" s="48">
        <f>SUMIF(FCR!$BZ$4:$DB$500,DF16,FCR!$DE$4:$EG$500)</f>
        <v>0</v>
      </c>
      <c r="DH16" s="48" t="e">
        <f t="shared" si="17"/>
        <v>#DIV/0!</v>
      </c>
      <c r="DI16" s="48">
        <f>SUMIF(FCR!$BZ$4:$DB$142,DH16,FCR!$DE$4:$EG$142)</f>
        <v>0</v>
      </c>
      <c r="DJ16" s="48" t="e">
        <f t="shared" si="18"/>
        <v>#DIV/0!</v>
      </c>
      <c r="DK16" s="55" t="e">
        <f t="shared" si="19"/>
        <v>#DIV/0!</v>
      </c>
      <c r="DL16" s="48" t="e">
        <f t="shared" si="20"/>
        <v>#DIV/0!</v>
      </c>
      <c r="DM16" s="48">
        <f>SUMIF(FCR!$BZ$4:$DB$142,DL16,FCR!$DE$4:$EG$142)</f>
        <v>0</v>
      </c>
      <c r="DN16" s="53" t="e">
        <f t="shared" si="21"/>
        <v>#DIV/0!</v>
      </c>
      <c r="DO16" s="55" t="e">
        <f t="shared" si="22"/>
        <v>#DIV/0!</v>
      </c>
      <c r="DP16" s="55" t="e">
        <f t="shared" si="23"/>
        <v>#DIV/0!</v>
      </c>
      <c r="DQ16" s="55"/>
      <c r="DR16" s="55" t="e">
        <f t="shared" si="24"/>
        <v>#DIV/0!</v>
      </c>
      <c r="DS16" s="55" t="e">
        <f t="shared" si="49"/>
        <v>#DIV/0!</v>
      </c>
      <c r="DT16" s="53">
        <f t="shared" si="50"/>
        <v>0</v>
      </c>
      <c r="DU16" s="59" t="e">
        <f t="shared" si="25"/>
        <v>#DIV/0!</v>
      </c>
    </row>
    <row r="17" spans="29:125">
      <c r="AC17" s="104" t="s">
        <v>411</v>
      </c>
      <c r="AD17" s="104" t="s">
        <v>338</v>
      </c>
      <c r="AE17" s="49" t="s">
        <v>411</v>
      </c>
      <c r="AF17" s="28" t="s">
        <v>411</v>
      </c>
      <c r="AG17" s="104">
        <f>+SUM(AG5:AG16)</f>
        <v>11991</v>
      </c>
      <c r="AH17" s="104">
        <f>ROUND(AI17/AG17,1)</f>
        <v>6.5</v>
      </c>
      <c r="AI17" s="104">
        <f>+SUM(AI5:AI16)</f>
        <v>78437</v>
      </c>
      <c r="AJ17" s="104">
        <f>+SUM(AJ5:AJ16)</f>
        <v>183</v>
      </c>
      <c r="AK17" s="104">
        <f>+ROUND(AJ17/AG17*100,1)</f>
        <v>1.5</v>
      </c>
      <c r="AL17" s="104">
        <f>+SUM(AL5:AL16)</f>
        <v>11808</v>
      </c>
      <c r="AM17" s="104">
        <f>+ROUND(AN17/AL17,1)</f>
        <v>115</v>
      </c>
      <c r="AN17" s="104">
        <f>+SUM(AN5:AN16)</f>
        <v>1357920</v>
      </c>
      <c r="AO17" s="104">
        <f>+SUM(AO5:AO16)</f>
        <v>1279483</v>
      </c>
      <c r="AP17" s="104">
        <f>+ROUND(SUM(AP5:AP16),0)</f>
        <v>3016339</v>
      </c>
      <c r="AQ17" s="104">
        <f>+ROUND(AP17/AL17,1)</f>
        <v>255.4</v>
      </c>
      <c r="AR17" s="104">
        <f>+ROUND(IFERROR(BJ17,0),3)</f>
        <v>2.3570000000000002</v>
      </c>
      <c r="AS17" s="104">
        <f>+ROUND(IFERROR(BK17,0),3)</f>
        <v>2.4409999999999998</v>
      </c>
      <c r="AT17" s="104">
        <f>+ROUND(IFERROR(BL17,0),3)</f>
        <v>-8.4000000000000005E-2</v>
      </c>
      <c r="BE17" s="49">
        <f>+SUM(BE5:BE16)</f>
        <v>11991</v>
      </c>
      <c r="BF17" s="49">
        <f>+SUM(BF5:BF16)</f>
        <v>78437</v>
      </c>
      <c r="BG17" s="54">
        <f>+BF17/BE17</f>
        <v>6.5413226586606621</v>
      </c>
      <c r="BH17" s="112">
        <f t="shared" si="42"/>
        <v>0</v>
      </c>
      <c r="BJ17" s="55">
        <f>BM17/(BS17-BF17)</f>
        <v>2.3574661015425731</v>
      </c>
      <c r="BK17" s="55">
        <f t="shared" si="3"/>
        <v>2.4409999999999998</v>
      </c>
      <c r="BL17" s="55">
        <f t="shared" si="44"/>
        <v>-8.3533898457426758E-2</v>
      </c>
      <c r="BM17" s="53">
        <f>+SUM(BM5:BM16)</f>
        <v>3016337.7999999961</v>
      </c>
      <c r="BN17" s="112">
        <f t="shared" si="5"/>
        <v>0</v>
      </c>
      <c r="BQ17" s="53">
        <f t="shared" si="45"/>
        <v>0</v>
      </c>
      <c r="BR17" s="53">
        <f>+SUM(BR5:BR16)</f>
        <v>11808</v>
      </c>
      <c r="BS17" s="53">
        <f>+SUM(BS5:BS16)</f>
        <v>1357920</v>
      </c>
      <c r="BT17" s="56">
        <f>+BS17/BR17</f>
        <v>115</v>
      </c>
      <c r="BW17" s="60"/>
      <c r="BX17" s="60"/>
      <c r="BY17" s="60"/>
      <c r="BZ17" s="60"/>
      <c r="CA17" s="60"/>
      <c r="CB17" s="60"/>
      <c r="CC17" s="60"/>
      <c r="CD17" s="60"/>
      <c r="CE17" s="60"/>
      <c r="CF17" s="60"/>
      <c r="CG17" s="60"/>
      <c r="CH17" s="60"/>
      <c r="CI17" s="60"/>
      <c r="CJ17" s="60"/>
      <c r="CK17" s="60"/>
      <c r="CL17" s="60"/>
      <c r="CM17" s="60"/>
      <c r="CN17" s="60"/>
      <c r="CO17" s="60"/>
      <c r="CP17" s="60"/>
      <c r="CQ17" s="60"/>
      <c r="CR17" s="60"/>
      <c r="CS17" s="57">
        <f t="shared" si="8"/>
        <v>0</v>
      </c>
      <c r="CT17" s="57">
        <f t="shared" si="8"/>
        <v>0</v>
      </c>
      <c r="CU17" s="53">
        <f t="shared" si="9"/>
        <v>11991</v>
      </c>
      <c r="CV17" s="53">
        <f>BF17</f>
        <v>78437</v>
      </c>
      <c r="CW17" s="58">
        <f t="shared" si="10"/>
        <v>6.54</v>
      </c>
      <c r="CX17" s="53">
        <f t="shared" si="47"/>
        <v>11808</v>
      </c>
      <c r="CY17" s="53">
        <f t="shared" si="47"/>
        <v>1357920</v>
      </c>
      <c r="CZ17" s="58">
        <f t="shared" si="48"/>
        <v>115</v>
      </c>
      <c r="DA17" s="48" t="str">
        <f t="shared" si="11"/>
        <v>115</v>
      </c>
      <c r="DB17" s="48">
        <f t="shared" si="12"/>
        <v>116</v>
      </c>
      <c r="DC17" s="48" t="str">
        <f t="shared" si="13"/>
        <v>6.</v>
      </c>
      <c r="DD17" s="48">
        <f t="shared" si="14"/>
        <v>6</v>
      </c>
      <c r="DE17" s="48">
        <f t="shared" si="15"/>
        <v>7</v>
      </c>
      <c r="DF17" s="48" t="str">
        <f t="shared" si="16"/>
        <v>6115</v>
      </c>
      <c r="DG17" s="48">
        <f>SUMIF(FCR!$BZ$4:$DB$500,DF17,FCR!$DE$4:$EG$500)</f>
        <v>2.4359999999999999</v>
      </c>
      <c r="DH17" s="48" t="str">
        <f t="shared" si="17"/>
        <v>7115</v>
      </c>
      <c r="DI17" s="48">
        <f>SUMIF(FCR!$BZ$4:$DB$142,DH17,FCR!$DE$4:$EG$142)</f>
        <v>2.4540000000000002</v>
      </c>
      <c r="DJ17" s="48">
        <f t="shared" si="18"/>
        <v>54</v>
      </c>
      <c r="DK17" s="55">
        <f t="shared" si="19"/>
        <v>2.4460000000000002</v>
      </c>
      <c r="DL17" s="48" t="str">
        <f t="shared" si="20"/>
        <v>6116</v>
      </c>
      <c r="DM17" s="48">
        <f>SUMIF(FCR!$BZ$4:$DB$142,DL17,FCR!$DE$4:$EG$142)</f>
        <v>2.4430000000000001</v>
      </c>
      <c r="DN17" s="53">
        <f t="shared" si="21"/>
        <v>0</v>
      </c>
      <c r="DO17" s="55">
        <f t="shared" si="22"/>
        <v>2.4359999999999999</v>
      </c>
      <c r="DP17" s="55">
        <f t="shared" si="23"/>
        <v>2.4409999999999998</v>
      </c>
      <c r="DQ17" s="55"/>
      <c r="DR17" s="55">
        <f t="shared" si="24"/>
        <v>2.4409999999999998</v>
      </c>
      <c r="DS17" s="55">
        <f t="shared" si="49"/>
        <v>0</v>
      </c>
      <c r="DT17" s="53">
        <f t="shared" si="50"/>
        <v>183</v>
      </c>
      <c r="DU17" s="59">
        <f t="shared" si="25"/>
        <v>1.53</v>
      </c>
    </row>
    <row r="18" spans="29:125">
      <c r="AF18" s="104"/>
      <c r="AG18" s="104"/>
      <c r="AH18" s="104"/>
      <c r="AI18" s="104"/>
      <c r="AJ18" s="104"/>
      <c r="AK18" s="104"/>
      <c r="AL18" s="104"/>
      <c r="AM18" s="104"/>
      <c r="AN18" s="104"/>
      <c r="AO18" s="104"/>
      <c r="AP18" s="104"/>
      <c r="AQ18" s="104"/>
      <c r="AR18" s="104"/>
      <c r="AS18" s="104"/>
      <c r="AT18" s="104"/>
      <c r="BJ18" s="55"/>
      <c r="BK18" s="55"/>
      <c r="BL18" s="55"/>
      <c r="BS18" s="53"/>
      <c r="BW18" s="60"/>
      <c r="BX18" s="60"/>
      <c r="BY18" s="60"/>
      <c r="BZ18" s="60"/>
      <c r="CA18" s="60"/>
      <c r="CB18" s="60"/>
      <c r="CC18" s="60"/>
      <c r="CD18" s="60"/>
      <c r="CE18" s="60"/>
      <c r="CF18" s="60"/>
      <c r="CG18" s="60"/>
      <c r="CH18" s="60"/>
      <c r="CI18" s="60"/>
      <c r="CJ18" s="60"/>
      <c r="CK18" s="60"/>
      <c r="CL18" s="60"/>
      <c r="CM18" s="60"/>
      <c r="CN18" s="60"/>
      <c r="CO18" s="60"/>
      <c r="CP18" s="60"/>
      <c r="CQ18" s="60"/>
      <c r="CR18" s="60"/>
      <c r="CW18" s="58"/>
      <c r="CZ18" s="58"/>
      <c r="DA18" s="48"/>
      <c r="DB18" s="48"/>
      <c r="DC18" s="48"/>
      <c r="DD18" s="48"/>
      <c r="DE18" s="48"/>
      <c r="DF18" s="48"/>
      <c r="DG18" s="48"/>
      <c r="DH18" s="48"/>
      <c r="DI18" s="48"/>
      <c r="DJ18" s="48"/>
      <c r="DK18" s="55"/>
      <c r="DL18" s="48"/>
      <c r="DM18" s="48"/>
      <c r="DO18" s="55"/>
      <c r="DP18" s="55"/>
      <c r="DQ18" s="55"/>
      <c r="DR18" s="55"/>
      <c r="DS18" s="55"/>
      <c r="DU18" s="59"/>
    </row>
    <row r="19" spans="29:125">
      <c r="AK19" s="50"/>
      <c r="AQ19" s="51"/>
      <c r="AR19" s="51"/>
      <c r="AS19" s="51"/>
      <c r="AT19" s="51"/>
      <c r="BJ19" s="55"/>
      <c r="BK19" s="55"/>
      <c r="BL19" s="55"/>
      <c r="BS19" s="53"/>
      <c r="BW19" s="60"/>
      <c r="BX19" s="60"/>
      <c r="BY19" s="60"/>
      <c r="BZ19" s="60"/>
      <c r="CA19" s="60"/>
      <c r="CB19" s="60"/>
      <c r="CC19" s="60"/>
      <c r="CD19" s="60"/>
      <c r="CE19" s="60"/>
      <c r="CF19" s="60"/>
      <c r="CG19" s="60"/>
      <c r="CH19" s="60"/>
      <c r="CI19" s="60"/>
      <c r="CJ19" s="60"/>
      <c r="CK19" s="60"/>
      <c r="CL19" s="60"/>
      <c r="CM19" s="60"/>
      <c r="CN19" s="60"/>
      <c r="CO19" s="60"/>
      <c r="CP19" s="60"/>
      <c r="CQ19" s="60"/>
      <c r="CR19" s="60"/>
      <c r="CW19" s="58"/>
      <c r="CZ19" s="58"/>
      <c r="DA19" s="48"/>
      <c r="DB19" s="48"/>
      <c r="DC19" s="48"/>
      <c r="DD19" s="48"/>
      <c r="DE19" s="48"/>
      <c r="DF19" s="48"/>
      <c r="DG19" s="48"/>
      <c r="DH19" s="48"/>
      <c r="DI19" s="48"/>
      <c r="DJ19" s="48"/>
      <c r="DK19" s="55"/>
      <c r="DL19" s="48"/>
      <c r="DM19" s="48"/>
      <c r="DO19" s="55"/>
      <c r="DP19" s="55"/>
      <c r="DQ19" s="55"/>
      <c r="DR19" s="55"/>
      <c r="DS19" s="55"/>
      <c r="DU19" s="59"/>
    </row>
    <row r="20" spans="29:125">
      <c r="AK20" s="50"/>
      <c r="AQ20" s="51"/>
      <c r="AR20" s="51"/>
      <c r="AS20" s="51"/>
      <c r="AT20" s="51"/>
      <c r="BJ20" s="55"/>
      <c r="BK20" s="55"/>
      <c r="BL20" s="55"/>
      <c r="BS20" s="53"/>
      <c r="BW20" s="60"/>
      <c r="BX20" s="60"/>
      <c r="BY20" s="60"/>
      <c r="BZ20" s="60"/>
      <c r="CA20" s="60"/>
      <c r="CB20" s="60"/>
      <c r="CC20" s="60"/>
      <c r="CD20" s="60"/>
      <c r="CE20" s="60"/>
      <c r="CF20" s="60"/>
      <c r="CG20" s="60"/>
      <c r="CH20" s="60"/>
      <c r="CI20" s="60"/>
      <c r="CJ20" s="60"/>
      <c r="CK20" s="60"/>
      <c r="CL20" s="60"/>
      <c r="CM20" s="60"/>
      <c r="CN20" s="60"/>
      <c r="CO20" s="60"/>
      <c r="CP20" s="60"/>
      <c r="CQ20" s="60"/>
      <c r="CR20" s="60"/>
      <c r="CW20" s="58"/>
      <c r="CZ20" s="58"/>
      <c r="DA20" s="48"/>
      <c r="DB20" s="48"/>
      <c r="DC20" s="48"/>
      <c r="DD20" s="48"/>
      <c r="DE20" s="48"/>
      <c r="DF20" s="48"/>
      <c r="DG20" s="48"/>
      <c r="DH20" s="48"/>
      <c r="DI20" s="48"/>
      <c r="DJ20" s="48"/>
      <c r="DK20" s="55"/>
      <c r="DL20" s="48"/>
      <c r="DM20" s="48"/>
      <c r="DO20" s="55"/>
      <c r="DP20" s="55"/>
      <c r="DQ20" s="55"/>
      <c r="DR20" s="55"/>
      <c r="DS20" s="55"/>
      <c r="DU20" s="59"/>
    </row>
    <row r="21" spans="29:125">
      <c r="AK21" s="50"/>
      <c r="AQ21" s="51"/>
      <c r="AR21" s="51"/>
      <c r="AS21" s="51"/>
      <c r="AT21" s="51"/>
      <c r="BJ21" s="55"/>
      <c r="BK21" s="55"/>
      <c r="BL21" s="55"/>
      <c r="BS21" s="53"/>
      <c r="BW21" s="60"/>
      <c r="BX21" s="60"/>
      <c r="BY21" s="60"/>
      <c r="BZ21" s="60"/>
      <c r="CA21" s="60"/>
      <c r="CB21" s="60"/>
      <c r="CC21" s="60"/>
      <c r="CD21" s="60"/>
      <c r="CE21" s="60"/>
      <c r="CF21" s="60"/>
      <c r="CG21" s="60"/>
      <c r="CH21" s="60"/>
      <c r="CI21" s="60"/>
      <c r="CJ21" s="60"/>
      <c r="CK21" s="60"/>
      <c r="CL21" s="60"/>
      <c r="CM21" s="60"/>
      <c r="CN21" s="60"/>
      <c r="CO21" s="60"/>
      <c r="CP21" s="60"/>
      <c r="CQ21" s="60"/>
      <c r="CR21" s="60"/>
      <c r="CW21" s="58"/>
      <c r="CZ21" s="58"/>
      <c r="DA21" s="48"/>
      <c r="DB21" s="48"/>
      <c r="DC21" s="48"/>
      <c r="DD21" s="48"/>
      <c r="DE21" s="48"/>
      <c r="DF21" s="48"/>
      <c r="DG21" s="48"/>
      <c r="DH21" s="48"/>
      <c r="DI21" s="48"/>
      <c r="DJ21" s="48"/>
      <c r="DK21" s="55"/>
      <c r="DL21" s="48"/>
      <c r="DM21" s="48"/>
      <c r="DO21" s="55"/>
      <c r="DP21" s="55"/>
      <c r="DQ21" s="55"/>
      <c r="DR21" s="55"/>
      <c r="DS21" s="55"/>
      <c r="DU21" s="59"/>
    </row>
  </sheetData>
  <mergeCells count="28">
    <mergeCell ref="D1:D2"/>
    <mergeCell ref="BE1:BI1"/>
    <mergeCell ref="BJ1:BO1"/>
    <mergeCell ref="K2:K3"/>
    <mergeCell ref="DC1:DE1"/>
    <mergeCell ref="BW2:BX2"/>
    <mergeCell ref="BY2:BZ2"/>
    <mergeCell ref="CA2:CB2"/>
    <mergeCell ref="BP1:BP2"/>
    <mergeCell ref="BQ1:BQ2"/>
    <mergeCell ref="BR1:BR2"/>
    <mergeCell ref="BS1:BS2"/>
    <mergeCell ref="BT1:BT2"/>
    <mergeCell ref="BU1:BU2"/>
    <mergeCell ref="L2:L3"/>
    <mergeCell ref="CC2:CD2"/>
    <mergeCell ref="N2:N3"/>
    <mergeCell ref="M2:M3"/>
    <mergeCell ref="CK2:CL2"/>
    <mergeCell ref="CM2:CN2"/>
    <mergeCell ref="CE2:CF2"/>
    <mergeCell ref="CG2:CH2"/>
    <mergeCell ref="CI2:CJ2"/>
    <mergeCell ref="BV1:BV2"/>
    <mergeCell ref="BW1:CT1"/>
    <mergeCell ref="CO2:CP2"/>
    <mergeCell ref="CQ2:CR2"/>
    <mergeCell ref="CS2:CT2"/>
  </mergeCells>
  <pageMargins left="0" right="0.05" top="0" bottom="0" header="0.31496062992126" footer="0.31496062992126"/>
  <pageSetup paperSize="9" scale="80" orientation="landscape" r:id="rId1"/>
  <headerFooter alignWithMargins="0">
    <oddFooter>Page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0">
    <tabColor indexed="33"/>
  </sheetPr>
  <dimension ref="A1:DV200"/>
  <sheetViews>
    <sheetView zoomScaleNormal="100" zoomScaleSheetLayoutView="100" workbookViewId="0">
      <selection activeCell="AF3" sqref="AF3"/>
    </sheetView>
  </sheetViews>
  <sheetFormatPr defaultRowHeight="11.25"/>
  <cols>
    <col min="1" max="1" width="9.140625" style="53"/>
    <col min="2" max="3" width="12.28515625" style="115" customWidth="1"/>
    <col min="4" max="4" width="19.140625" style="114" customWidth="1"/>
    <col min="5" max="5" width="12.7109375" style="114" customWidth="1"/>
    <col min="6" max="6" width="8.42578125" style="49" customWidth="1"/>
    <col min="7" max="15" width="10.42578125" style="49" customWidth="1"/>
    <col min="16" max="29" width="2.28515625" style="49" customWidth="1"/>
    <col min="30" max="30" width="8.42578125" style="49" customWidth="1"/>
    <col min="31" max="31" width="8.28515625" style="49" customWidth="1"/>
    <col min="32" max="33" width="10.42578125" style="49" customWidth="1"/>
    <col min="34" max="35" width="8.42578125" style="49" customWidth="1"/>
    <col min="36" max="36" width="11.28515625" style="49" customWidth="1"/>
    <col min="37" max="40" width="8.42578125" style="49" customWidth="1"/>
    <col min="41" max="41" width="11.85546875" style="49" customWidth="1"/>
    <col min="42" max="42" width="11.5703125" style="49" customWidth="1"/>
    <col min="43" max="43" width="10" style="49" customWidth="1"/>
    <col min="44" max="52" width="8.42578125" style="49" customWidth="1"/>
    <col min="53" max="53" width="11.140625" style="49" customWidth="1"/>
    <col min="54" max="57" width="8.42578125" style="49" customWidth="1"/>
    <col min="58" max="58" width="9.5703125" style="49" customWidth="1"/>
    <col min="59" max="59" width="11.140625" style="49" customWidth="1"/>
    <col min="60" max="60" width="10.7109375" style="54" customWidth="1"/>
    <col min="61" max="61" width="15.28515625" style="112" customWidth="1"/>
    <col min="62" max="62" width="16.140625" style="113" customWidth="1"/>
    <col min="63" max="63" width="8.42578125" style="53" customWidth="1"/>
    <col min="64" max="64" width="9.28515625" style="53" customWidth="1"/>
    <col min="65" max="65" width="10.42578125" style="53" customWidth="1"/>
    <col min="66" max="66" width="12.85546875" style="53" customWidth="1"/>
    <col min="67" max="67" width="9.7109375" style="112" customWidth="1"/>
    <col min="68" max="68" width="15.140625" style="112" customWidth="1"/>
    <col min="69" max="69" width="16.28515625" style="49" customWidth="1"/>
    <col min="70" max="70" width="8.5703125" style="53" customWidth="1"/>
    <col min="71" max="71" width="9.85546875" style="53" customWidth="1"/>
    <col min="72" max="72" width="15" style="54" customWidth="1"/>
    <col min="73" max="73" width="10.7109375" style="56" customWidth="1"/>
    <col min="74" max="74" width="9.28515625" style="53" customWidth="1"/>
    <col min="75" max="75" width="15.42578125" style="53" customWidth="1"/>
    <col min="76" max="76" width="11.42578125" style="49" customWidth="1"/>
    <col min="77" max="77" width="13.7109375" style="49" customWidth="1"/>
    <col min="78" max="84" width="11.42578125" style="49" customWidth="1"/>
    <col min="85" max="85" width="14.42578125" style="49" customWidth="1"/>
    <col min="86" max="86" width="11.42578125" style="49" customWidth="1"/>
    <col min="87" max="87" width="12.85546875" style="49" customWidth="1"/>
    <col min="88" max="97" width="11.42578125" style="49" customWidth="1"/>
    <col min="98" max="98" width="11.42578125" style="57" customWidth="1"/>
    <col min="99" max="99" width="12.85546875" style="57" customWidth="1"/>
    <col min="100" max="126" width="19.28515625" style="53" customWidth="1"/>
    <col min="127" max="16384" width="9.140625" style="53"/>
  </cols>
  <sheetData>
    <row r="1" spans="1:126" s="117" customFormat="1" ht="45.75" customHeight="1">
      <c r="A1" s="151" t="s">
        <v>413</v>
      </c>
      <c r="B1" s="144" t="s">
        <v>14</v>
      </c>
      <c r="C1" s="149" t="s">
        <v>15</v>
      </c>
      <c r="D1" s="150" t="s">
        <v>16</v>
      </c>
      <c r="E1" s="152" t="s">
        <v>321</v>
      </c>
      <c r="F1" s="119"/>
      <c r="G1" s="119"/>
      <c r="H1" s="119"/>
      <c r="I1" s="119"/>
      <c r="J1" s="119"/>
      <c r="K1" s="119"/>
      <c r="L1" s="119"/>
      <c r="M1" s="119"/>
      <c r="N1" s="119"/>
      <c r="O1" s="119"/>
      <c r="P1" s="119"/>
      <c r="Q1" s="119"/>
      <c r="R1" s="119"/>
      <c r="S1" s="119"/>
      <c r="T1" s="119"/>
      <c r="U1" s="119"/>
      <c r="V1" s="119"/>
      <c r="W1" s="119"/>
      <c r="X1" s="119"/>
      <c r="Y1" s="119"/>
      <c r="Z1" s="119"/>
      <c r="AA1" s="119"/>
      <c r="AB1" s="119"/>
      <c r="AC1" s="119"/>
      <c r="AD1" s="119"/>
      <c r="AE1" s="119"/>
      <c r="AF1" s="119"/>
      <c r="AG1" s="119"/>
      <c r="AH1" s="119"/>
      <c r="AI1" s="119"/>
      <c r="AJ1" s="119"/>
      <c r="AK1" s="119"/>
      <c r="AL1" s="119"/>
      <c r="AM1" s="119"/>
      <c r="AN1" s="119"/>
      <c r="AO1" s="119"/>
      <c r="AP1" s="119"/>
      <c r="AQ1" s="119"/>
      <c r="AR1" s="119"/>
      <c r="AS1" s="119"/>
      <c r="AT1" s="119"/>
      <c r="AU1" s="119"/>
      <c r="AV1" s="119"/>
      <c r="AW1" s="119"/>
      <c r="AX1" s="119"/>
      <c r="AY1" s="119"/>
      <c r="AZ1" s="119"/>
      <c r="BA1" s="119"/>
      <c r="BB1" s="119"/>
      <c r="BC1" s="119"/>
      <c r="BD1" s="119"/>
      <c r="BE1" s="119"/>
      <c r="BF1" s="140" t="s">
        <v>21</v>
      </c>
      <c r="BG1" s="140"/>
      <c r="BH1" s="140"/>
      <c r="BI1" s="140"/>
      <c r="BJ1" s="140"/>
      <c r="BK1" s="140" t="s">
        <v>22</v>
      </c>
      <c r="BL1" s="140"/>
      <c r="BM1" s="140"/>
      <c r="BN1" s="140"/>
      <c r="BO1" s="140"/>
      <c r="BP1" s="140"/>
      <c r="BQ1" s="141" t="s">
        <v>23</v>
      </c>
      <c r="BR1" s="140" t="s">
        <v>24</v>
      </c>
      <c r="BS1" s="140" t="s">
        <v>25</v>
      </c>
      <c r="BT1" s="147" t="s">
        <v>26</v>
      </c>
      <c r="BU1" s="148" t="s">
        <v>27</v>
      </c>
      <c r="BV1" s="140" t="s">
        <v>28</v>
      </c>
      <c r="BW1" s="140" t="s">
        <v>29</v>
      </c>
      <c r="BX1" s="140" t="s">
        <v>30</v>
      </c>
      <c r="BY1" s="140"/>
      <c r="BZ1" s="140"/>
      <c r="CA1" s="140"/>
      <c r="CB1" s="140"/>
      <c r="CC1" s="140"/>
      <c r="CD1" s="140"/>
      <c r="CE1" s="140"/>
      <c r="CF1" s="140"/>
      <c r="CG1" s="140"/>
      <c r="CH1" s="140"/>
      <c r="CI1" s="140"/>
      <c r="CJ1" s="140"/>
      <c r="CK1" s="140"/>
      <c r="CL1" s="140"/>
      <c r="CM1" s="140"/>
      <c r="CN1" s="140"/>
      <c r="CO1" s="140"/>
      <c r="CP1" s="140"/>
      <c r="CQ1" s="140"/>
      <c r="CR1" s="140"/>
      <c r="CS1" s="140"/>
      <c r="CT1" s="140"/>
      <c r="CU1" s="140"/>
      <c r="CV1" s="117" t="s">
        <v>31</v>
      </c>
      <c r="CW1" s="117" t="s">
        <v>32</v>
      </c>
      <c r="CX1" s="21" t="s">
        <v>33</v>
      </c>
      <c r="CY1" s="117" t="s">
        <v>34</v>
      </c>
      <c r="CZ1" s="117" t="s">
        <v>35</v>
      </c>
      <c r="DA1" s="21" t="s">
        <v>36</v>
      </c>
      <c r="DB1" s="118" t="s">
        <v>37</v>
      </c>
      <c r="DC1" s="118" t="s">
        <v>38</v>
      </c>
      <c r="DD1" s="146" t="s">
        <v>39</v>
      </c>
      <c r="DE1" s="146"/>
      <c r="DF1" s="146"/>
      <c r="DG1" s="118" t="s">
        <v>40</v>
      </c>
      <c r="DH1" s="118" t="s">
        <v>41</v>
      </c>
      <c r="DI1" s="118" t="s">
        <v>42</v>
      </c>
      <c r="DJ1" s="118" t="s">
        <v>43</v>
      </c>
      <c r="DK1" s="118" t="s">
        <v>44</v>
      </c>
      <c r="DL1" s="23" t="s">
        <v>45</v>
      </c>
      <c r="DM1" s="118" t="s">
        <v>46</v>
      </c>
      <c r="DN1" s="118" t="s">
        <v>47</v>
      </c>
      <c r="DO1" s="120" t="s">
        <v>48</v>
      </c>
      <c r="DP1" s="23" t="s">
        <v>49</v>
      </c>
      <c r="DQ1" s="23" t="s">
        <v>50</v>
      </c>
      <c r="DR1" s="23" t="s">
        <v>51</v>
      </c>
      <c r="DS1" s="23" t="s">
        <v>52</v>
      </c>
      <c r="DT1" s="23" t="s">
        <v>53</v>
      </c>
      <c r="DU1" s="117" t="s">
        <v>54</v>
      </c>
      <c r="DV1" s="25" t="s">
        <v>55</v>
      </c>
    </row>
    <row r="2" spans="1:126" s="117" customFormat="1" ht="54" customHeight="1">
      <c r="A2" s="151"/>
      <c r="B2" s="144"/>
      <c r="C2" s="149"/>
      <c r="D2" s="150"/>
      <c r="E2" s="152"/>
      <c r="F2" s="119" t="s">
        <v>56</v>
      </c>
      <c r="G2" s="117" t="s">
        <v>319</v>
      </c>
      <c r="H2" s="119" t="s">
        <v>316</v>
      </c>
      <c r="I2" s="119" t="s">
        <v>317</v>
      </c>
      <c r="J2" s="119" t="s">
        <v>318</v>
      </c>
      <c r="K2" s="119" t="s">
        <v>320</v>
      </c>
      <c r="L2" s="145" t="s">
        <v>18</v>
      </c>
      <c r="M2" s="145" t="s">
        <v>19</v>
      </c>
      <c r="N2" s="141" t="s">
        <v>17</v>
      </c>
      <c r="O2" s="140" t="s">
        <v>20</v>
      </c>
      <c r="AE2" s="119"/>
      <c r="AF2" s="119"/>
      <c r="AG2" s="119"/>
      <c r="AH2" s="119"/>
      <c r="AI2" s="119"/>
      <c r="AJ2" s="119"/>
      <c r="AK2" s="119"/>
      <c r="AL2" s="119"/>
      <c r="AM2" s="119"/>
      <c r="AN2" s="119"/>
      <c r="AO2" s="119"/>
      <c r="AP2" s="119"/>
      <c r="AQ2" s="119"/>
      <c r="AR2" s="119"/>
      <c r="AS2" s="119"/>
      <c r="AT2" s="119"/>
      <c r="AU2" s="119"/>
      <c r="AV2" s="119"/>
      <c r="AW2" s="119"/>
      <c r="AX2" s="119"/>
      <c r="AY2" s="119"/>
      <c r="AZ2" s="119"/>
      <c r="BA2" s="119"/>
      <c r="BB2" s="119"/>
      <c r="BC2" s="119"/>
      <c r="BD2" s="119"/>
      <c r="BE2" s="119"/>
      <c r="BF2" s="119" t="s">
        <v>75</v>
      </c>
      <c r="BG2" s="119" t="s">
        <v>76</v>
      </c>
      <c r="BH2" s="120" t="s">
        <v>77</v>
      </c>
      <c r="BI2" s="108" t="s">
        <v>78</v>
      </c>
      <c r="BJ2" s="109" t="s">
        <v>79</v>
      </c>
      <c r="BK2" s="117" t="s">
        <v>80</v>
      </c>
      <c r="BL2" s="117" t="s">
        <v>81</v>
      </c>
      <c r="BM2" s="117" t="s">
        <v>82</v>
      </c>
      <c r="BN2" s="117" t="s">
        <v>83</v>
      </c>
      <c r="BO2" s="108" t="s">
        <v>84</v>
      </c>
      <c r="BP2" s="108" t="s">
        <v>85</v>
      </c>
      <c r="BQ2" s="141"/>
      <c r="BR2" s="140"/>
      <c r="BS2" s="140"/>
      <c r="BT2" s="147"/>
      <c r="BU2" s="148"/>
      <c r="BV2" s="140"/>
      <c r="BW2" s="140"/>
      <c r="BX2" s="141" t="s">
        <v>86</v>
      </c>
      <c r="BY2" s="141"/>
      <c r="BZ2" s="141" t="s">
        <v>87</v>
      </c>
      <c r="CA2" s="141"/>
      <c r="CB2" s="141" t="s">
        <v>88</v>
      </c>
      <c r="CC2" s="141"/>
      <c r="CD2" s="141" t="s">
        <v>89</v>
      </c>
      <c r="CE2" s="141"/>
      <c r="CF2" s="141" t="s">
        <v>90</v>
      </c>
      <c r="CG2" s="141"/>
      <c r="CH2" s="142" t="s">
        <v>91</v>
      </c>
      <c r="CI2" s="141"/>
      <c r="CJ2" s="142" t="s">
        <v>92</v>
      </c>
      <c r="CK2" s="141"/>
      <c r="CL2" s="142">
        <v>962</v>
      </c>
      <c r="CM2" s="141"/>
      <c r="CN2" s="141">
        <v>972</v>
      </c>
      <c r="CO2" s="141"/>
      <c r="CP2" s="141">
        <v>972</v>
      </c>
      <c r="CQ2" s="141"/>
      <c r="CR2" s="141">
        <v>982</v>
      </c>
      <c r="CS2" s="141"/>
      <c r="CT2" s="143" t="s">
        <v>93</v>
      </c>
      <c r="CU2" s="143"/>
      <c r="CX2" s="21"/>
      <c r="DA2" s="21"/>
      <c r="DB2" s="118" t="s">
        <v>94</v>
      </c>
      <c r="DC2" s="118" t="s">
        <v>95</v>
      </c>
      <c r="DD2" s="118"/>
      <c r="DE2" s="118" t="s">
        <v>96</v>
      </c>
      <c r="DF2" s="118" t="s">
        <v>97</v>
      </c>
      <c r="DG2" s="118"/>
      <c r="DH2" s="118"/>
      <c r="DI2" s="118"/>
      <c r="DJ2" s="118"/>
      <c r="DK2" s="118"/>
      <c r="DL2" s="23"/>
      <c r="DM2" s="118"/>
      <c r="DN2" s="118"/>
      <c r="DO2" s="120"/>
      <c r="DP2" s="23"/>
      <c r="DQ2" s="23"/>
      <c r="DR2" s="23"/>
      <c r="DS2" s="23"/>
      <c r="DT2" s="23"/>
      <c r="DV2" s="25"/>
    </row>
    <row r="3" spans="1:126" s="26" customFormat="1" ht="24" customHeight="1">
      <c r="C3" s="121"/>
      <c r="D3" s="27"/>
      <c r="E3" s="27"/>
      <c r="F3" s="27"/>
      <c r="G3" s="27"/>
      <c r="H3" s="27"/>
      <c r="I3" s="27"/>
      <c r="J3" s="27"/>
      <c r="K3" s="27"/>
      <c r="L3" s="145"/>
      <c r="M3" s="145"/>
      <c r="N3" s="141"/>
      <c r="O3" s="140"/>
      <c r="P3" s="117"/>
      <c r="Q3" s="117"/>
      <c r="R3" s="117"/>
      <c r="S3" s="117"/>
      <c r="T3" s="117"/>
      <c r="U3" s="117"/>
      <c r="V3" s="117"/>
      <c r="W3" s="117"/>
      <c r="X3" s="117"/>
      <c r="Y3" s="117"/>
      <c r="Z3" s="117"/>
      <c r="AA3" s="117"/>
      <c r="AB3" s="117"/>
      <c r="AC3" s="117"/>
      <c r="AD3" s="117"/>
      <c r="AE3" s="27"/>
      <c r="AF3" s="128" t="str">
        <f>+ADDRESS(5,30,4)&amp;":"&amp;ADDRESS(COUNTA(B5:B200)+4,47,4)</f>
        <v>AD5:AU6</v>
      </c>
      <c r="AG3" s="27"/>
      <c r="AH3" s="27"/>
      <c r="AI3" s="27"/>
      <c r="AJ3" s="27"/>
      <c r="AK3" s="27"/>
      <c r="AL3" s="27"/>
      <c r="AM3" s="27"/>
      <c r="AN3" s="27"/>
      <c r="AO3" s="27"/>
      <c r="AP3" s="27"/>
      <c r="AQ3" s="27"/>
      <c r="AR3" s="27"/>
      <c r="AS3" s="27"/>
      <c r="AT3" s="27"/>
      <c r="AU3" s="27"/>
      <c r="AV3" s="27"/>
      <c r="AW3" s="27"/>
      <c r="AX3" s="27"/>
      <c r="AY3" s="27"/>
      <c r="AZ3" s="27"/>
      <c r="BA3" s="27"/>
      <c r="BB3" s="27"/>
      <c r="BC3" s="27"/>
      <c r="BD3" s="27"/>
      <c r="BE3" s="27"/>
      <c r="BF3" s="29"/>
      <c r="BG3" s="29"/>
      <c r="BH3" s="30"/>
      <c r="BI3" s="110"/>
      <c r="BJ3" s="111"/>
      <c r="BN3" s="28"/>
      <c r="BO3" s="110"/>
      <c r="BP3" s="110"/>
      <c r="BQ3" s="29"/>
      <c r="BR3" s="28"/>
      <c r="BS3" s="28"/>
      <c r="BT3" s="30"/>
      <c r="BU3" s="31"/>
      <c r="BV3" s="28"/>
      <c r="BW3" s="28"/>
      <c r="BX3" s="27" t="s">
        <v>98</v>
      </c>
      <c r="BY3" s="27" t="s">
        <v>99</v>
      </c>
      <c r="BZ3" s="27" t="s">
        <v>98</v>
      </c>
      <c r="CA3" s="27" t="s">
        <v>99</v>
      </c>
      <c r="CB3" s="27" t="s">
        <v>98</v>
      </c>
      <c r="CC3" s="27" t="s">
        <v>99</v>
      </c>
      <c r="CD3" s="27" t="s">
        <v>98</v>
      </c>
      <c r="CE3" s="27" t="s">
        <v>99</v>
      </c>
      <c r="CF3" s="27" t="s">
        <v>98</v>
      </c>
      <c r="CG3" s="27" t="s">
        <v>99</v>
      </c>
      <c r="CH3" s="27" t="s">
        <v>98</v>
      </c>
      <c r="CI3" s="27" t="s">
        <v>99</v>
      </c>
      <c r="CJ3" s="27" t="s">
        <v>98</v>
      </c>
      <c r="CK3" s="27" t="s">
        <v>99</v>
      </c>
      <c r="CL3" s="27" t="s">
        <v>98</v>
      </c>
      <c r="CM3" s="27" t="s">
        <v>99</v>
      </c>
      <c r="CN3" s="27" t="s">
        <v>98</v>
      </c>
      <c r="CO3" s="27" t="s">
        <v>99</v>
      </c>
      <c r="CP3" s="27" t="s">
        <v>98</v>
      </c>
      <c r="CQ3" s="27" t="s">
        <v>99</v>
      </c>
      <c r="CR3" s="27" t="s">
        <v>98</v>
      </c>
      <c r="CS3" s="27" t="s">
        <v>99</v>
      </c>
      <c r="CT3" s="32" t="s">
        <v>98</v>
      </c>
      <c r="CU3" s="32" t="s">
        <v>99</v>
      </c>
      <c r="CX3" s="33"/>
      <c r="DA3" s="33"/>
      <c r="DB3" s="34"/>
      <c r="DC3" s="34"/>
      <c r="DD3" s="34"/>
      <c r="DE3" s="34"/>
      <c r="DF3" s="34"/>
      <c r="DG3" s="34"/>
      <c r="DH3" s="34"/>
      <c r="DI3" s="34"/>
      <c r="DJ3" s="34"/>
      <c r="DK3" s="34"/>
      <c r="DL3" s="35"/>
      <c r="DM3" s="34"/>
      <c r="DN3" s="34"/>
      <c r="DO3" s="30"/>
      <c r="DP3" s="35"/>
      <c r="DQ3" s="35"/>
      <c r="DR3" s="35"/>
      <c r="DS3" s="35"/>
      <c r="DT3" s="35"/>
      <c r="DV3" s="36"/>
    </row>
    <row r="4" spans="1:126" s="37" customFormat="1" ht="34.5" customHeight="1">
      <c r="C4" s="122"/>
      <c r="D4" s="38"/>
      <c r="E4" s="38"/>
      <c r="F4" s="38"/>
      <c r="G4" s="38"/>
      <c r="H4" s="38"/>
      <c r="I4" s="38"/>
      <c r="J4" s="38"/>
      <c r="K4" s="38"/>
      <c r="L4" s="38"/>
      <c r="M4" s="38"/>
      <c r="N4" s="38"/>
      <c r="O4" s="38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 t="s">
        <v>414</v>
      </c>
      <c r="AE4" s="38" t="s">
        <v>413</v>
      </c>
      <c r="AF4" s="38" t="s">
        <v>15</v>
      </c>
      <c r="AG4" s="125" t="s">
        <v>16</v>
      </c>
      <c r="AH4" s="126" t="s">
        <v>56</v>
      </c>
      <c r="AI4" s="126" t="s">
        <v>57</v>
      </c>
      <c r="AJ4" s="126" t="s">
        <v>58</v>
      </c>
      <c r="AK4" s="126" t="s">
        <v>59</v>
      </c>
      <c r="AL4" s="126" t="s">
        <v>60</v>
      </c>
      <c r="AM4" s="126" t="s">
        <v>61</v>
      </c>
      <c r="AN4" s="126" t="s">
        <v>62</v>
      </c>
      <c r="AO4" s="126" t="s">
        <v>63</v>
      </c>
      <c r="AP4" s="126" t="s">
        <v>64</v>
      </c>
      <c r="AQ4" s="126" t="s">
        <v>65</v>
      </c>
      <c r="AR4" s="126" t="s">
        <v>66</v>
      </c>
      <c r="AS4" s="126" t="s">
        <v>67</v>
      </c>
      <c r="AT4" s="126" t="s">
        <v>68</v>
      </c>
      <c r="AU4" s="126" t="s">
        <v>69</v>
      </c>
      <c r="AV4" s="124" t="s">
        <v>70</v>
      </c>
      <c r="AW4" s="124" t="s">
        <v>71</v>
      </c>
      <c r="AX4" s="124" t="s">
        <v>72</v>
      </c>
      <c r="AY4" s="124" t="s">
        <v>73</v>
      </c>
      <c r="AZ4" s="124" t="s">
        <v>74</v>
      </c>
      <c r="BA4" s="124" t="s">
        <v>327</v>
      </c>
      <c r="BB4" s="38"/>
      <c r="BC4" s="38"/>
      <c r="BD4" s="38"/>
      <c r="BE4" s="38"/>
      <c r="BF4" s="40"/>
      <c r="BG4" s="40"/>
      <c r="BH4" s="41"/>
      <c r="BI4" s="110"/>
      <c r="BJ4" s="111"/>
      <c r="BN4" s="39"/>
      <c r="BO4" s="110"/>
      <c r="BP4" s="110"/>
      <c r="BQ4" s="40"/>
      <c r="BR4" s="39"/>
      <c r="BS4" s="39"/>
      <c r="BT4" s="41"/>
      <c r="BU4" s="42"/>
      <c r="BV4" s="39"/>
      <c r="BW4" s="39"/>
      <c r="BX4" s="38"/>
      <c r="BY4" s="38"/>
      <c r="BZ4" s="38"/>
      <c r="CA4" s="38"/>
      <c r="CB4" s="38"/>
      <c r="CC4" s="38"/>
      <c r="CD4" s="38"/>
      <c r="CE4" s="38"/>
      <c r="CF4" s="38"/>
      <c r="CG4" s="38"/>
      <c r="CH4" s="38"/>
      <c r="CI4" s="38"/>
      <c r="CJ4" s="38"/>
      <c r="CK4" s="38"/>
      <c r="CL4" s="38"/>
      <c r="CM4" s="38"/>
      <c r="CN4" s="38"/>
      <c r="CO4" s="38"/>
      <c r="CP4" s="38"/>
      <c r="CQ4" s="38"/>
      <c r="CR4" s="38"/>
      <c r="CS4" s="38"/>
      <c r="CT4" s="43"/>
      <c r="CU4" s="43"/>
      <c r="CX4" s="44"/>
      <c r="DA4" s="44"/>
      <c r="DB4" s="45"/>
      <c r="DC4" s="45"/>
      <c r="DD4" s="45"/>
      <c r="DE4" s="45"/>
      <c r="DF4" s="45"/>
      <c r="DG4" s="45"/>
      <c r="DH4" s="45"/>
      <c r="DI4" s="45"/>
      <c r="DJ4" s="45"/>
      <c r="DK4" s="45"/>
      <c r="DL4" s="46"/>
      <c r="DM4" s="45"/>
      <c r="DN4" s="45"/>
      <c r="DO4" s="41"/>
      <c r="DP4" s="46"/>
      <c r="DQ4" s="46"/>
      <c r="DR4" s="46"/>
      <c r="DS4" s="46"/>
      <c r="DT4" s="46"/>
      <c r="DV4" s="47"/>
    </row>
    <row r="5" spans="1:126" s="28" customFormat="1" ht="16.5" customHeight="1">
      <c r="A5" s="28" t="s">
        <v>336</v>
      </c>
      <c r="B5" s="115" t="s">
        <v>322</v>
      </c>
      <c r="C5" s="123" t="s">
        <v>100</v>
      </c>
      <c r="D5" s="114" t="s">
        <v>326</v>
      </c>
      <c r="E5" s="114" t="s">
        <v>448</v>
      </c>
      <c r="F5" s="49">
        <v>991</v>
      </c>
      <c r="G5" s="49">
        <v>6937</v>
      </c>
      <c r="H5" s="49">
        <v>225407</v>
      </c>
      <c r="I5" s="49">
        <v>9</v>
      </c>
      <c r="J5" s="49">
        <v>982</v>
      </c>
      <c r="K5" s="52">
        <v>112930</v>
      </c>
      <c r="L5" s="52">
        <v>44006</v>
      </c>
      <c r="M5" s="52">
        <v>44006</v>
      </c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  <c r="Z5" s="49"/>
      <c r="AA5" s="49"/>
      <c r="AB5" s="49"/>
      <c r="AC5" s="49"/>
      <c r="AD5" s="49" t="s">
        <v>411</v>
      </c>
      <c r="AE5" s="49" t="str">
        <f>+A5</f>
        <v>11</v>
      </c>
      <c r="AF5" s="49" t="str">
        <f>+C5</f>
        <v>Gia bình</v>
      </c>
      <c r="AG5" s="114" t="str">
        <f>+D5</f>
        <v>3</v>
      </c>
      <c r="AH5" s="104">
        <f>+BF5</f>
        <v>991</v>
      </c>
      <c r="AI5" s="104">
        <f>+ROUND(IFERROR(BH5,0),1)</f>
        <v>7</v>
      </c>
      <c r="AJ5" s="104">
        <f>+BG5</f>
        <v>6937</v>
      </c>
      <c r="AK5" s="104">
        <f>+DU5</f>
        <v>9</v>
      </c>
      <c r="AL5" s="104">
        <f>+ROUND(IFERROR(DV5,0),1)</f>
        <v>0.9</v>
      </c>
      <c r="AM5" s="104">
        <f>+BS5</f>
        <v>982</v>
      </c>
      <c r="AN5" s="104">
        <f>+ROUND(IFERROR(DA5,0),1)</f>
        <v>115</v>
      </c>
      <c r="AO5" s="104">
        <f>+BT5</f>
        <v>112930</v>
      </c>
      <c r="AP5" s="104">
        <f>+AO5-AJ5</f>
        <v>105993</v>
      </c>
      <c r="AQ5" s="49">
        <f>+ROUND(BN5,0)</f>
        <v>225407</v>
      </c>
      <c r="AR5" s="104">
        <f>+ROUND(IFERROR(AQ5/AM5,0),1)</f>
        <v>229.5</v>
      </c>
      <c r="AS5" s="104">
        <f>+ROUND(IFERROR(BK5,0),3)</f>
        <v>2.1269999999999998</v>
      </c>
      <c r="AT5" s="104">
        <f>+ROUND(IFERROR(BL5,0),3)</f>
        <v>2.4540000000000002</v>
      </c>
      <c r="AU5" s="104">
        <f>+ROUND(IFERROR(BM5,0),3)</f>
        <v>-0.32700000000000001</v>
      </c>
      <c r="AV5" s="49"/>
      <c r="AW5" s="49"/>
      <c r="AX5" s="49"/>
      <c r="AY5" s="49"/>
      <c r="AZ5" s="49"/>
      <c r="BA5" s="49"/>
      <c r="BB5" s="49"/>
      <c r="BC5" s="49"/>
      <c r="BD5" s="49"/>
      <c r="BE5" s="49"/>
      <c r="BF5" s="49">
        <f t="shared" ref="BF5:BG12" si="0">+F5</f>
        <v>991</v>
      </c>
      <c r="BG5" s="49">
        <f t="shared" si="0"/>
        <v>6937</v>
      </c>
      <c r="BH5" s="54">
        <f t="shared" ref="BH5:BH12" si="1">BG5/BF5</f>
        <v>7</v>
      </c>
      <c r="BI5" s="112">
        <f>BJ5/BF5</f>
        <v>0</v>
      </c>
      <c r="BJ5" s="113"/>
      <c r="BK5" s="55">
        <f>BN5/(BT5-BG5)</f>
        <v>2.1266215693489192</v>
      </c>
      <c r="BL5" s="55">
        <f t="shared" ref="BL5:BL12" si="2">DS5</f>
        <v>2.4540000000000002</v>
      </c>
      <c r="BM5" s="55">
        <f>BK5-BL5</f>
        <v>-0.32737843065108096</v>
      </c>
      <c r="BN5" s="53">
        <f t="shared" ref="BN5:BN12" si="3">+H5</f>
        <v>225407</v>
      </c>
      <c r="BO5" s="112">
        <f t="shared" ref="BO5:BO12" si="4">BP5/BN5</f>
        <v>0</v>
      </c>
      <c r="BP5" s="112"/>
      <c r="BQ5" s="49"/>
      <c r="BR5" s="53">
        <f>BQ5/BT5</f>
        <v>0</v>
      </c>
      <c r="BS5" s="53">
        <f t="shared" ref="BS5:BT12" si="5">+J5</f>
        <v>982</v>
      </c>
      <c r="BT5" s="53">
        <f t="shared" si="5"/>
        <v>112930</v>
      </c>
      <c r="BU5" s="56">
        <f>BT5/BS5</f>
        <v>115</v>
      </c>
      <c r="BV5" s="53"/>
      <c r="BW5" s="53"/>
      <c r="BX5" s="60"/>
      <c r="BY5" s="60"/>
      <c r="BZ5" s="60"/>
      <c r="CA5" s="60"/>
      <c r="CB5" s="60"/>
      <c r="CC5" s="60"/>
      <c r="CD5" s="60"/>
      <c r="CE5" s="60"/>
      <c r="CF5" s="60"/>
      <c r="CG5" s="60"/>
      <c r="CH5" s="60"/>
      <c r="CI5" s="60"/>
      <c r="CJ5" s="60"/>
      <c r="CK5" s="60"/>
      <c r="CL5" s="60"/>
      <c r="CM5" s="60"/>
      <c r="CN5" s="60"/>
      <c r="CO5" s="60"/>
      <c r="CP5" s="60"/>
      <c r="CQ5" s="60"/>
      <c r="CR5" s="60"/>
      <c r="CS5" s="60"/>
      <c r="CT5" s="57">
        <f t="shared" ref="CT5:CU12" si="6">CL5+CJ5+CH5+CF5+CD5+CB5+BZ5+BX5+CN5+CP5+CR5</f>
        <v>0</v>
      </c>
      <c r="CU5" s="57">
        <f t="shared" si="6"/>
        <v>0</v>
      </c>
      <c r="CV5" s="53">
        <f t="shared" ref="CV5:CW12" si="7">BF5</f>
        <v>991</v>
      </c>
      <c r="CW5" s="53">
        <f t="shared" si="7"/>
        <v>6937</v>
      </c>
      <c r="CX5" s="58">
        <f t="shared" ref="CX5:CX12" si="8">ROUND(BH5,2)</f>
        <v>7</v>
      </c>
      <c r="CY5" s="53">
        <f>BS5</f>
        <v>982</v>
      </c>
      <c r="CZ5" s="53">
        <f>BT5</f>
        <v>112930</v>
      </c>
      <c r="DA5" s="58">
        <f>ROUND(BU5,2)</f>
        <v>115</v>
      </c>
      <c r="DB5" s="48" t="str">
        <f t="shared" ref="DB5:DB12" si="9">IF(DA5&lt;100,(LEFT(DA5,2)),IF(DA5&gt;100,(LEFT(DA5,3))))</f>
        <v>115</v>
      </c>
      <c r="DC5" s="48">
        <f t="shared" ref="DC5:DC12" si="10">+DB5+1</f>
        <v>116</v>
      </c>
      <c r="DD5" s="48" t="str">
        <f t="shared" ref="DD5:DD12" si="11">LEFT(CX5,2)</f>
        <v>7</v>
      </c>
      <c r="DE5" s="48">
        <f t="shared" ref="DE5:DE12" si="12">ROUND(DD5,0)</f>
        <v>7</v>
      </c>
      <c r="DF5" s="48">
        <f t="shared" ref="DF5:DF12" si="13">+DD5+1</f>
        <v>8</v>
      </c>
      <c r="DG5" s="48" t="str">
        <f t="shared" ref="DG5:DG12" si="14">DE5&amp;DB5</f>
        <v>7115</v>
      </c>
      <c r="DH5" s="48">
        <f>SUMIF(FCR!$BZ$4:$DB$500,DG5,FCR!$DE$4:$EG$500)</f>
        <v>2.4540000000000002</v>
      </c>
      <c r="DI5" s="48" t="str">
        <f t="shared" ref="DI5:DI12" si="15">DF5&amp;DB5</f>
        <v>8115</v>
      </c>
      <c r="DJ5" s="48">
        <f>SUMIF(FCR!$BZ$4:$DB$142,DI5,FCR!$DE$4:$EG$142)</f>
        <v>2.4700000000000002</v>
      </c>
      <c r="DK5" s="48">
        <f t="shared" ref="DK5:DK12" si="16">(CX5-DE5)*100</f>
        <v>0</v>
      </c>
      <c r="DL5" s="55">
        <f t="shared" ref="DL5:DL12" si="17">ROUND(DH5+(DJ5-DH5)/100*DK5,3)</f>
        <v>2.4540000000000002</v>
      </c>
      <c r="DM5" s="48" t="str">
        <f t="shared" ref="DM5:DM12" si="18">DE5&amp;DC5</f>
        <v>7116</v>
      </c>
      <c r="DN5" s="48">
        <f>SUMIF(FCR!$BZ$4:$DB$142,DM5,FCR!$DE$4:$EG$142)</f>
        <v>2.4609999999999999</v>
      </c>
      <c r="DO5" s="53">
        <f t="shared" ref="DO5:DO12" si="19">(DA5-DB5)*100</f>
        <v>0</v>
      </c>
      <c r="DP5" s="55">
        <f t="shared" ref="DP5:DP12" si="20">ROUND(DH5+(DN5-DH5)/100*DO5,3)</f>
        <v>2.4540000000000002</v>
      </c>
      <c r="DQ5" s="55">
        <f t="shared" ref="DQ5:DQ12" si="21">ROUND((DP5+DL5)/2,3)</f>
        <v>2.4540000000000002</v>
      </c>
      <c r="DR5" s="55"/>
      <c r="DS5" s="55">
        <f t="shared" ref="DS5:DS12" si="22">DR5+DQ5</f>
        <v>2.4540000000000002</v>
      </c>
      <c r="DT5" s="55">
        <f>+DQ5-BL5</f>
        <v>0</v>
      </c>
      <c r="DU5" s="53">
        <f>CV5-CY5</f>
        <v>9</v>
      </c>
      <c r="DV5" s="59">
        <f t="shared" ref="DV5:DV12" si="23">ROUND(DU5/CV5*100,2)</f>
        <v>0.91</v>
      </c>
    </row>
    <row r="6" spans="1:126">
      <c r="A6" s="53" t="s">
        <v>336</v>
      </c>
      <c r="B6" s="115" t="s">
        <v>322</v>
      </c>
      <c r="C6" s="123" t="s">
        <v>101</v>
      </c>
      <c r="D6" s="114" t="s">
        <v>326</v>
      </c>
      <c r="E6" s="114" t="s">
        <v>448</v>
      </c>
      <c r="F6" s="49">
        <v>2000</v>
      </c>
      <c r="G6" s="49">
        <v>13000</v>
      </c>
      <c r="H6" s="49">
        <v>511780.90999999904</v>
      </c>
      <c r="I6" s="49">
        <v>30</v>
      </c>
      <c r="J6" s="49">
        <v>1970</v>
      </c>
      <c r="K6" s="52">
        <v>226550</v>
      </c>
      <c r="L6" s="52">
        <v>43991</v>
      </c>
      <c r="M6" s="52">
        <v>43991</v>
      </c>
      <c r="AD6" s="49" t="s">
        <v>411</v>
      </c>
      <c r="AE6" s="49" t="str">
        <f t="shared" ref="AE6:AE69" si="24">+A6</f>
        <v>11</v>
      </c>
      <c r="AF6" s="49" t="str">
        <f t="shared" ref="AF6:AF12" si="25">+C6</f>
        <v>Lương Tài</v>
      </c>
      <c r="AG6" s="114" t="str">
        <f t="shared" ref="AG6:AG12" si="26">+D6</f>
        <v>3</v>
      </c>
      <c r="AH6" s="104">
        <f t="shared" ref="AH6:AH12" si="27">+BF6</f>
        <v>2000</v>
      </c>
      <c r="AI6" s="104">
        <f t="shared" ref="AI6:AI12" si="28">+ROUND(IFERROR(BH6,0),1)</f>
        <v>6.5</v>
      </c>
      <c r="AJ6" s="104">
        <f t="shared" ref="AJ6:AJ12" si="29">+BG6</f>
        <v>13000</v>
      </c>
      <c r="AK6" s="104">
        <f t="shared" ref="AK6:AK12" si="30">+DU6</f>
        <v>30</v>
      </c>
      <c r="AL6" s="104">
        <f t="shared" ref="AL6:AL12" si="31">+ROUND(IFERROR(DV6,0),1)</f>
        <v>1.5</v>
      </c>
      <c r="AM6" s="104">
        <f t="shared" ref="AM6:AM12" si="32">+BS6</f>
        <v>1970</v>
      </c>
      <c r="AN6" s="104">
        <f t="shared" ref="AN6:AN12" si="33">+ROUND(IFERROR(DA6,0),1)</f>
        <v>115</v>
      </c>
      <c r="AO6" s="104">
        <f t="shared" ref="AO6:AO12" si="34">+BT6</f>
        <v>226550</v>
      </c>
      <c r="AP6" s="104">
        <f t="shared" ref="AP6:AP12" si="35">+AO6-AJ6</f>
        <v>213550</v>
      </c>
      <c r="AQ6" s="49">
        <f t="shared" ref="AQ6:AQ12" si="36">+ROUND(BN6,0)</f>
        <v>511781</v>
      </c>
      <c r="AR6" s="104">
        <f t="shared" ref="AR6:AR12" si="37">+ROUND(IFERROR(AQ6/AM6,0),1)</f>
        <v>259.8</v>
      </c>
      <c r="AS6" s="104">
        <f t="shared" ref="AS6:AU12" si="38">+ROUND(IFERROR(BK6,0),3)</f>
        <v>2.3969999999999998</v>
      </c>
      <c r="AT6" s="104">
        <f t="shared" si="38"/>
        <v>2.4409999999999998</v>
      </c>
      <c r="AU6" s="104">
        <f t="shared" si="38"/>
        <v>-4.3999999999999997E-2</v>
      </c>
      <c r="BF6" s="49">
        <f t="shared" si="0"/>
        <v>2000</v>
      </c>
      <c r="BG6" s="49">
        <f t="shared" si="0"/>
        <v>13000</v>
      </c>
      <c r="BH6" s="54">
        <f t="shared" si="1"/>
        <v>6.5</v>
      </c>
      <c r="BI6" s="112">
        <f t="shared" ref="BI6:BI12" si="39">BJ6/BF6</f>
        <v>0</v>
      </c>
      <c r="BK6" s="55">
        <f t="shared" ref="BK6:BK12" si="40">BN6/(BT6-BG6)</f>
        <v>2.3965390306719692</v>
      </c>
      <c r="BL6" s="55">
        <f t="shared" si="2"/>
        <v>2.4409999999999998</v>
      </c>
      <c r="BM6" s="55">
        <f t="shared" ref="BM6:BM12" si="41">BK6-BL6</f>
        <v>-4.4460969328030675E-2</v>
      </c>
      <c r="BN6" s="53">
        <f t="shared" si="3"/>
        <v>511780.90999999904</v>
      </c>
      <c r="BO6" s="112">
        <f t="shared" si="4"/>
        <v>0</v>
      </c>
      <c r="BR6" s="53">
        <f t="shared" ref="BR6:BR12" si="42">BQ6/BT6</f>
        <v>0</v>
      </c>
      <c r="BS6" s="53">
        <f t="shared" si="5"/>
        <v>1970</v>
      </c>
      <c r="BT6" s="53">
        <f t="shared" si="5"/>
        <v>226550</v>
      </c>
      <c r="BU6" s="56">
        <f t="shared" ref="BU6:BU12" si="43">BT6/BS6</f>
        <v>115</v>
      </c>
      <c r="BX6" s="60"/>
      <c r="BY6" s="60"/>
      <c r="BZ6" s="60"/>
      <c r="CA6" s="60"/>
      <c r="CB6" s="60"/>
      <c r="CC6" s="60"/>
      <c r="CD6" s="60"/>
      <c r="CE6" s="60"/>
      <c r="CF6" s="60"/>
      <c r="CG6" s="60"/>
      <c r="CH6" s="60"/>
      <c r="CI6" s="60"/>
      <c r="CJ6" s="60"/>
      <c r="CK6" s="60"/>
      <c r="CL6" s="60"/>
      <c r="CM6" s="60"/>
      <c r="CN6" s="60"/>
      <c r="CO6" s="60"/>
      <c r="CP6" s="60"/>
      <c r="CQ6" s="60"/>
      <c r="CR6" s="60"/>
      <c r="CS6" s="60"/>
      <c r="CT6" s="57">
        <f t="shared" si="6"/>
        <v>0</v>
      </c>
      <c r="CU6" s="57">
        <f t="shared" si="6"/>
        <v>0</v>
      </c>
      <c r="CV6" s="53">
        <f t="shared" si="7"/>
        <v>2000</v>
      </c>
      <c r="CW6" s="53">
        <f t="shared" si="7"/>
        <v>13000</v>
      </c>
      <c r="CX6" s="58">
        <f t="shared" si="8"/>
        <v>6.5</v>
      </c>
      <c r="CY6" s="53">
        <f t="shared" ref="CY6:CZ12" si="44">BS6</f>
        <v>1970</v>
      </c>
      <c r="CZ6" s="53">
        <f t="shared" si="44"/>
        <v>226550</v>
      </c>
      <c r="DA6" s="58">
        <f t="shared" ref="DA6:DA12" si="45">ROUND(BU6,2)</f>
        <v>115</v>
      </c>
      <c r="DB6" s="48" t="str">
        <f t="shared" si="9"/>
        <v>115</v>
      </c>
      <c r="DC6" s="48">
        <f t="shared" si="10"/>
        <v>116</v>
      </c>
      <c r="DD6" s="48" t="str">
        <f t="shared" si="11"/>
        <v>6.</v>
      </c>
      <c r="DE6" s="48">
        <f t="shared" si="12"/>
        <v>6</v>
      </c>
      <c r="DF6" s="48">
        <f t="shared" si="13"/>
        <v>7</v>
      </c>
      <c r="DG6" s="48" t="str">
        <f t="shared" si="14"/>
        <v>6115</v>
      </c>
      <c r="DH6" s="48">
        <f>SUMIF(FCR!$BZ$4:$DB$500,DG6,FCR!$DE$4:$EG$500)</f>
        <v>2.4359999999999999</v>
      </c>
      <c r="DI6" s="48" t="str">
        <f t="shared" si="15"/>
        <v>7115</v>
      </c>
      <c r="DJ6" s="48">
        <f>SUMIF(FCR!$BZ$4:$DB$142,DI6,FCR!$DE$4:$EG$142)</f>
        <v>2.4540000000000002</v>
      </c>
      <c r="DK6" s="48">
        <f t="shared" si="16"/>
        <v>50</v>
      </c>
      <c r="DL6" s="55">
        <f t="shared" si="17"/>
        <v>2.4449999999999998</v>
      </c>
      <c r="DM6" s="48" t="str">
        <f t="shared" si="18"/>
        <v>6116</v>
      </c>
      <c r="DN6" s="48">
        <f>SUMIF(FCR!$BZ$4:$DB$142,DM6,FCR!$DE$4:$EG$142)</f>
        <v>2.4430000000000001</v>
      </c>
      <c r="DO6" s="53">
        <f t="shared" si="19"/>
        <v>0</v>
      </c>
      <c r="DP6" s="55">
        <f t="shared" si="20"/>
        <v>2.4359999999999999</v>
      </c>
      <c r="DQ6" s="55">
        <f t="shared" si="21"/>
        <v>2.4409999999999998</v>
      </c>
      <c r="DR6" s="55"/>
      <c r="DS6" s="55">
        <f t="shared" si="22"/>
        <v>2.4409999999999998</v>
      </c>
      <c r="DT6" s="55">
        <f t="shared" ref="DT6:DT12" si="46">+DQ6-BL6</f>
        <v>0</v>
      </c>
      <c r="DU6" s="53">
        <f t="shared" ref="DU6:DU12" si="47">CV6-CY6</f>
        <v>30</v>
      </c>
      <c r="DV6" s="59">
        <f t="shared" si="23"/>
        <v>1.5</v>
      </c>
    </row>
    <row r="7" spans="1:126">
      <c r="C7" s="123"/>
      <c r="K7" s="52"/>
      <c r="L7" s="52"/>
      <c r="M7" s="52"/>
      <c r="AD7" s="49" t="s">
        <v>411</v>
      </c>
      <c r="AE7" s="49">
        <f t="shared" si="24"/>
        <v>0</v>
      </c>
      <c r="AF7" s="49">
        <f t="shared" si="25"/>
        <v>0</v>
      </c>
      <c r="AG7" s="114">
        <f t="shared" si="26"/>
        <v>0</v>
      </c>
      <c r="AH7" s="104">
        <f t="shared" si="27"/>
        <v>0</v>
      </c>
      <c r="AI7" s="104">
        <f t="shared" si="28"/>
        <v>0</v>
      </c>
      <c r="AJ7" s="104">
        <f t="shared" si="29"/>
        <v>0</v>
      </c>
      <c r="AK7" s="104">
        <f t="shared" si="30"/>
        <v>0</v>
      </c>
      <c r="AL7" s="104">
        <f t="shared" si="31"/>
        <v>0</v>
      </c>
      <c r="AM7" s="104">
        <f t="shared" si="32"/>
        <v>0</v>
      </c>
      <c r="AN7" s="104">
        <f t="shared" si="33"/>
        <v>0</v>
      </c>
      <c r="AO7" s="104">
        <f t="shared" si="34"/>
        <v>0</v>
      </c>
      <c r="AP7" s="104">
        <f t="shared" si="35"/>
        <v>0</v>
      </c>
      <c r="AQ7" s="49">
        <f t="shared" si="36"/>
        <v>0</v>
      </c>
      <c r="AR7" s="104">
        <f t="shared" si="37"/>
        <v>0</v>
      </c>
      <c r="AS7" s="104">
        <f t="shared" si="38"/>
        <v>0</v>
      </c>
      <c r="AT7" s="104">
        <f t="shared" si="38"/>
        <v>0</v>
      </c>
      <c r="AU7" s="104">
        <f t="shared" si="38"/>
        <v>0</v>
      </c>
      <c r="BF7" s="49">
        <f t="shared" si="0"/>
        <v>0</v>
      </c>
      <c r="BG7" s="49">
        <f t="shared" si="0"/>
        <v>0</v>
      </c>
      <c r="BH7" s="54" t="e">
        <f t="shared" si="1"/>
        <v>#DIV/0!</v>
      </c>
      <c r="BI7" s="112" t="e">
        <f t="shared" si="39"/>
        <v>#DIV/0!</v>
      </c>
      <c r="BK7" s="55" t="e">
        <f t="shared" si="40"/>
        <v>#DIV/0!</v>
      </c>
      <c r="BL7" s="55" t="e">
        <f t="shared" si="2"/>
        <v>#DIV/0!</v>
      </c>
      <c r="BM7" s="55" t="e">
        <f t="shared" si="41"/>
        <v>#DIV/0!</v>
      </c>
      <c r="BN7" s="53">
        <f t="shared" si="3"/>
        <v>0</v>
      </c>
      <c r="BO7" s="112" t="e">
        <f t="shared" si="4"/>
        <v>#DIV/0!</v>
      </c>
      <c r="BR7" s="53" t="e">
        <f t="shared" si="42"/>
        <v>#DIV/0!</v>
      </c>
      <c r="BS7" s="53">
        <f t="shared" si="5"/>
        <v>0</v>
      </c>
      <c r="BT7" s="53">
        <f t="shared" si="5"/>
        <v>0</v>
      </c>
      <c r="BU7" s="56" t="e">
        <f t="shared" si="43"/>
        <v>#DIV/0!</v>
      </c>
      <c r="BX7" s="60"/>
      <c r="BY7" s="60"/>
      <c r="BZ7" s="60"/>
      <c r="CA7" s="60"/>
      <c r="CB7" s="60"/>
      <c r="CC7" s="60"/>
      <c r="CD7" s="60"/>
      <c r="CE7" s="60"/>
      <c r="CF7" s="60"/>
      <c r="CG7" s="60"/>
      <c r="CH7" s="60"/>
      <c r="CI7" s="60"/>
      <c r="CJ7" s="60"/>
      <c r="CK7" s="60"/>
      <c r="CL7" s="60"/>
      <c r="CM7" s="60"/>
      <c r="CN7" s="60"/>
      <c r="CO7" s="60"/>
      <c r="CP7" s="60"/>
      <c r="CQ7" s="60"/>
      <c r="CR7" s="60"/>
      <c r="CS7" s="60"/>
      <c r="CT7" s="57">
        <f t="shared" si="6"/>
        <v>0</v>
      </c>
      <c r="CU7" s="57">
        <f t="shared" si="6"/>
        <v>0</v>
      </c>
      <c r="CV7" s="53">
        <f t="shared" si="7"/>
        <v>0</v>
      </c>
      <c r="CW7" s="53">
        <f t="shared" si="7"/>
        <v>0</v>
      </c>
      <c r="CX7" s="58" t="e">
        <f t="shared" si="8"/>
        <v>#DIV/0!</v>
      </c>
      <c r="CY7" s="53">
        <f t="shared" si="44"/>
        <v>0</v>
      </c>
      <c r="CZ7" s="53">
        <f t="shared" si="44"/>
        <v>0</v>
      </c>
      <c r="DA7" s="58" t="e">
        <f t="shared" si="45"/>
        <v>#DIV/0!</v>
      </c>
      <c r="DB7" s="48" t="e">
        <f t="shared" si="9"/>
        <v>#DIV/0!</v>
      </c>
      <c r="DC7" s="48" t="e">
        <f t="shared" si="10"/>
        <v>#DIV/0!</v>
      </c>
      <c r="DD7" s="48" t="e">
        <f t="shared" si="11"/>
        <v>#DIV/0!</v>
      </c>
      <c r="DE7" s="48" t="e">
        <f t="shared" si="12"/>
        <v>#DIV/0!</v>
      </c>
      <c r="DF7" s="48" t="e">
        <f t="shared" si="13"/>
        <v>#DIV/0!</v>
      </c>
      <c r="DG7" s="48" t="e">
        <f t="shared" si="14"/>
        <v>#DIV/0!</v>
      </c>
      <c r="DH7" s="48">
        <f>SUMIF(FCR!$BZ$4:$DB$500,DG7,FCR!$DE$4:$EG$500)</f>
        <v>0</v>
      </c>
      <c r="DI7" s="48" t="e">
        <f t="shared" si="15"/>
        <v>#DIV/0!</v>
      </c>
      <c r="DJ7" s="48">
        <f>SUMIF(FCR!$BZ$4:$DB$142,DI7,FCR!$DE$4:$EG$142)</f>
        <v>0</v>
      </c>
      <c r="DK7" s="48" t="e">
        <f t="shared" si="16"/>
        <v>#DIV/0!</v>
      </c>
      <c r="DL7" s="55" t="e">
        <f t="shared" si="17"/>
        <v>#DIV/0!</v>
      </c>
      <c r="DM7" s="48" t="e">
        <f t="shared" si="18"/>
        <v>#DIV/0!</v>
      </c>
      <c r="DN7" s="48">
        <f>SUMIF(FCR!$BZ$4:$DB$142,DM7,FCR!$DE$4:$EG$142)</f>
        <v>0</v>
      </c>
      <c r="DO7" s="53" t="e">
        <f t="shared" si="19"/>
        <v>#DIV/0!</v>
      </c>
      <c r="DP7" s="55" t="e">
        <f t="shared" si="20"/>
        <v>#DIV/0!</v>
      </c>
      <c r="DQ7" s="55" t="e">
        <f t="shared" si="21"/>
        <v>#DIV/0!</v>
      </c>
      <c r="DR7" s="55"/>
      <c r="DS7" s="55" t="e">
        <f t="shared" si="22"/>
        <v>#DIV/0!</v>
      </c>
      <c r="DT7" s="55" t="e">
        <f t="shared" si="46"/>
        <v>#DIV/0!</v>
      </c>
      <c r="DU7" s="53">
        <f t="shared" si="47"/>
        <v>0</v>
      </c>
      <c r="DV7" s="59" t="e">
        <f t="shared" si="23"/>
        <v>#DIV/0!</v>
      </c>
    </row>
    <row r="8" spans="1:126">
      <c r="C8" s="123"/>
      <c r="K8" s="52"/>
      <c r="L8" s="52"/>
      <c r="M8" s="52"/>
      <c r="AD8" s="49" t="s">
        <v>411</v>
      </c>
      <c r="AE8" s="49">
        <f t="shared" si="24"/>
        <v>0</v>
      </c>
      <c r="AF8" s="49">
        <f t="shared" si="25"/>
        <v>0</v>
      </c>
      <c r="AG8" s="114">
        <f t="shared" si="26"/>
        <v>0</v>
      </c>
      <c r="AH8" s="104">
        <f t="shared" si="27"/>
        <v>0</v>
      </c>
      <c r="AI8" s="104">
        <f t="shared" si="28"/>
        <v>0</v>
      </c>
      <c r="AJ8" s="104">
        <f t="shared" si="29"/>
        <v>0</v>
      </c>
      <c r="AK8" s="104">
        <f t="shared" si="30"/>
        <v>0</v>
      </c>
      <c r="AL8" s="104">
        <f t="shared" si="31"/>
        <v>0</v>
      </c>
      <c r="AM8" s="104">
        <f t="shared" si="32"/>
        <v>0</v>
      </c>
      <c r="AN8" s="104">
        <f t="shared" si="33"/>
        <v>0</v>
      </c>
      <c r="AO8" s="104">
        <f t="shared" si="34"/>
        <v>0</v>
      </c>
      <c r="AP8" s="104">
        <f t="shared" si="35"/>
        <v>0</v>
      </c>
      <c r="AQ8" s="49">
        <f t="shared" si="36"/>
        <v>0</v>
      </c>
      <c r="AR8" s="104">
        <f t="shared" si="37"/>
        <v>0</v>
      </c>
      <c r="AS8" s="104">
        <f t="shared" si="38"/>
        <v>0</v>
      </c>
      <c r="AT8" s="104">
        <f t="shared" si="38"/>
        <v>0</v>
      </c>
      <c r="AU8" s="104">
        <f t="shared" si="38"/>
        <v>0</v>
      </c>
      <c r="BF8" s="49">
        <f t="shared" si="0"/>
        <v>0</v>
      </c>
      <c r="BG8" s="49">
        <f t="shared" si="0"/>
        <v>0</v>
      </c>
      <c r="BH8" s="54" t="e">
        <f t="shared" si="1"/>
        <v>#DIV/0!</v>
      </c>
      <c r="BI8" s="112" t="e">
        <f t="shared" si="39"/>
        <v>#DIV/0!</v>
      </c>
      <c r="BK8" s="55" t="e">
        <f t="shared" si="40"/>
        <v>#DIV/0!</v>
      </c>
      <c r="BL8" s="55" t="e">
        <f t="shared" si="2"/>
        <v>#DIV/0!</v>
      </c>
      <c r="BM8" s="55" t="e">
        <f t="shared" si="41"/>
        <v>#DIV/0!</v>
      </c>
      <c r="BN8" s="53">
        <f t="shared" si="3"/>
        <v>0</v>
      </c>
      <c r="BO8" s="112" t="e">
        <f t="shared" si="4"/>
        <v>#DIV/0!</v>
      </c>
      <c r="BR8" s="53" t="e">
        <f t="shared" si="42"/>
        <v>#DIV/0!</v>
      </c>
      <c r="BS8" s="53">
        <f t="shared" si="5"/>
        <v>0</v>
      </c>
      <c r="BT8" s="53">
        <f t="shared" si="5"/>
        <v>0</v>
      </c>
      <c r="BU8" s="56" t="e">
        <f t="shared" si="43"/>
        <v>#DIV/0!</v>
      </c>
      <c r="BX8" s="60"/>
      <c r="BY8" s="60"/>
      <c r="BZ8" s="60"/>
      <c r="CA8" s="60"/>
      <c r="CB8" s="60"/>
      <c r="CC8" s="60"/>
      <c r="CD8" s="60"/>
      <c r="CE8" s="60"/>
      <c r="CF8" s="60"/>
      <c r="CG8" s="60"/>
      <c r="CH8" s="60"/>
      <c r="CI8" s="60"/>
      <c r="CJ8" s="60"/>
      <c r="CK8" s="60"/>
      <c r="CL8" s="60"/>
      <c r="CM8" s="60"/>
      <c r="CN8" s="60"/>
      <c r="CO8" s="60"/>
      <c r="CP8" s="60"/>
      <c r="CQ8" s="60"/>
      <c r="CR8" s="60"/>
      <c r="CS8" s="60"/>
      <c r="CT8" s="57">
        <f t="shared" si="6"/>
        <v>0</v>
      </c>
      <c r="CU8" s="57">
        <f t="shared" si="6"/>
        <v>0</v>
      </c>
      <c r="CV8" s="53">
        <f t="shared" si="7"/>
        <v>0</v>
      </c>
      <c r="CW8" s="53">
        <f t="shared" si="7"/>
        <v>0</v>
      </c>
      <c r="CX8" s="58" t="e">
        <f t="shared" si="8"/>
        <v>#DIV/0!</v>
      </c>
      <c r="CY8" s="53">
        <f t="shared" si="44"/>
        <v>0</v>
      </c>
      <c r="CZ8" s="53">
        <f t="shared" si="44"/>
        <v>0</v>
      </c>
      <c r="DA8" s="58" t="e">
        <f t="shared" si="45"/>
        <v>#DIV/0!</v>
      </c>
      <c r="DB8" s="48" t="e">
        <f t="shared" si="9"/>
        <v>#DIV/0!</v>
      </c>
      <c r="DC8" s="48" t="e">
        <f t="shared" si="10"/>
        <v>#DIV/0!</v>
      </c>
      <c r="DD8" s="48" t="e">
        <f t="shared" si="11"/>
        <v>#DIV/0!</v>
      </c>
      <c r="DE8" s="48" t="e">
        <f t="shared" si="12"/>
        <v>#DIV/0!</v>
      </c>
      <c r="DF8" s="48" t="e">
        <f t="shared" si="13"/>
        <v>#DIV/0!</v>
      </c>
      <c r="DG8" s="48" t="e">
        <f t="shared" si="14"/>
        <v>#DIV/0!</v>
      </c>
      <c r="DH8" s="48">
        <f>SUMIF(FCR!$BZ$4:$DB$500,DG8,FCR!$DE$4:$EG$500)</f>
        <v>0</v>
      </c>
      <c r="DI8" s="48" t="e">
        <f t="shared" si="15"/>
        <v>#DIV/0!</v>
      </c>
      <c r="DJ8" s="48">
        <f>SUMIF(FCR!$BZ$4:$DB$142,DI8,FCR!$DE$4:$EG$142)</f>
        <v>0</v>
      </c>
      <c r="DK8" s="48" t="e">
        <f t="shared" si="16"/>
        <v>#DIV/0!</v>
      </c>
      <c r="DL8" s="55" t="e">
        <f t="shared" si="17"/>
        <v>#DIV/0!</v>
      </c>
      <c r="DM8" s="48" t="e">
        <f t="shared" si="18"/>
        <v>#DIV/0!</v>
      </c>
      <c r="DN8" s="48">
        <f>SUMIF(FCR!$BZ$4:$DB$142,DM8,FCR!$DE$4:$EG$142)</f>
        <v>0</v>
      </c>
      <c r="DO8" s="53" t="e">
        <f t="shared" si="19"/>
        <v>#DIV/0!</v>
      </c>
      <c r="DP8" s="55" t="e">
        <f t="shared" si="20"/>
        <v>#DIV/0!</v>
      </c>
      <c r="DQ8" s="55" t="e">
        <f t="shared" si="21"/>
        <v>#DIV/0!</v>
      </c>
      <c r="DR8" s="55"/>
      <c r="DS8" s="55" t="e">
        <f t="shared" si="22"/>
        <v>#DIV/0!</v>
      </c>
      <c r="DT8" s="55" t="e">
        <f t="shared" si="46"/>
        <v>#DIV/0!</v>
      </c>
      <c r="DU8" s="53">
        <f t="shared" si="47"/>
        <v>0</v>
      </c>
      <c r="DV8" s="59" t="e">
        <f t="shared" si="23"/>
        <v>#DIV/0!</v>
      </c>
    </row>
    <row r="9" spans="1:126">
      <c r="C9" s="123"/>
      <c r="K9" s="52"/>
      <c r="L9" s="52"/>
      <c r="M9" s="52"/>
      <c r="AD9" s="49" t="s">
        <v>411</v>
      </c>
      <c r="AE9" s="49">
        <f t="shared" si="24"/>
        <v>0</v>
      </c>
      <c r="AF9" s="49">
        <f t="shared" si="25"/>
        <v>0</v>
      </c>
      <c r="AG9" s="114">
        <f t="shared" si="26"/>
        <v>0</v>
      </c>
      <c r="AH9" s="104">
        <f t="shared" si="27"/>
        <v>0</v>
      </c>
      <c r="AI9" s="104">
        <f t="shared" si="28"/>
        <v>0</v>
      </c>
      <c r="AJ9" s="104">
        <f t="shared" si="29"/>
        <v>0</v>
      </c>
      <c r="AK9" s="104">
        <f t="shared" si="30"/>
        <v>0</v>
      </c>
      <c r="AL9" s="104">
        <f t="shared" si="31"/>
        <v>0</v>
      </c>
      <c r="AM9" s="104">
        <f t="shared" si="32"/>
        <v>0</v>
      </c>
      <c r="AN9" s="104">
        <f t="shared" si="33"/>
        <v>0</v>
      </c>
      <c r="AO9" s="104">
        <f t="shared" si="34"/>
        <v>0</v>
      </c>
      <c r="AP9" s="104">
        <f t="shared" si="35"/>
        <v>0</v>
      </c>
      <c r="AQ9" s="49">
        <f t="shared" si="36"/>
        <v>0</v>
      </c>
      <c r="AR9" s="104">
        <f t="shared" si="37"/>
        <v>0</v>
      </c>
      <c r="AS9" s="104">
        <f t="shared" si="38"/>
        <v>0</v>
      </c>
      <c r="AT9" s="104">
        <f t="shared" si="38"/>
        <v>0</v>
      </c>
      <c r="AU9" s="104">
        <f t="shared" si="38"/>
        <v>0</v>
      </c>
      <c r="BF9" s="49">
        <f t="shared" si="0"/>
        <v>0</v>
      </c>
      <c r="BG9" s="49">
        <f t="shared" si="0"/>
        <v>0</v>
      </c>
      <c r="BH9" s="54" t="e">
        <f t="shared" si="1"/>
        <v>#DIV/0!</v>
      </c>
      <c r="BI9" s="112" t="e">
        <f t="shared" si="39"/>
        <v>#DIV/0!</v>
      </c>
      <c r="BK9" s="55" t="e">
        <f t="shared" si="40"/>
        <v>#DIV/0!</v>
      </c>
      <c r="BL9" s="55" t="e">
        <f t="shared" si="2"/>
        <v>#DIV/0!</v>
      </c>
      <c r="BM9" s="55" t="e">
        <f t="shared" si="41"/>
        <v>#DIV/0!</v>
      </c>
      <c r="BN9" s="53">
        <f t="shared" si="3"/>
        <v>0</v>
      </c>
      <c r="BO9" s="112" t="e">
        <f t="shared" si="4"/>
        <v>#DIV/0!</v>
      </c>
      <c r="BR9" s="53" t="e">
        <f t="shared" si="42"/>
        <v>#DIV/0!</v>
      </c>
      <c r="BS9" s="53">
        <f t="shared" si="5"/>
        <v>0</v>
      </c>
      <c r="BT9" s="53">
        <f t="shared" si="5"/>
        <v>0</v>
      </c>
      <c r="BU9" s="56" t="e">
        <f t="shared" si="43"/>
        <v>#DIV/0!</v>
      </c>
      <c r="BX9" s="60"/>
      <c r="BY9" s="60"/>
      <c r="BZ9" s="60"/>
      <c r="CA9" s="60"/>
      <c r="CB9" s="60"/>
      <c r="CC9" s="60"/>
      <c r="CD9" s="60"/>
      <c r="CE9" s="60"/>
      <c r="CF9" s="60"/>
      <c r="CG9" s="60"/>
      <c r="CH9" s="60"/>
      <c r="CI9" s="60"/>
      <c r="CJ9" s="60"/>
      <c r="CK9" s="60"/>
      <c r="CL9" s="60"/>
      <c r="CM9" s="60"/>
      <c r="CN9" s="60"/>
      <c r="CO9" s="60"/>
      <c r="CP9" s="60"/>
      <c r="CQ9" s="60"/>
      <c r="CR9" s="60"/>
      <c r="CS9" s="60"/>
      <c r="CT9" s="57">
        <f t="shared" si="6"/>
        <v>0</v>
      </c>
      <c r="CU9" s="57">
        <f t="shared" si="6"/>
        <v>0</v>
      </c>
      <c r="CV9" s="53">
        <f t="shared" si="7"/>
        <v>0</v>
      </c>
      <c r="CW9" s="53">
        <f t="shared" si="7"/>
        <v>0</v>
      </c>
      <c r="CX9" s="58" t="e">
        <f t="shared" si="8"/>
        <v>#DIV/0!</v>
      </c>
      <c r="CY9" s="53">
        <f t="shared" si="44"/>
        <v>0</v>
      </c>
      <c r="CZ9" s="53">
        <f t="shared" si="44"/>
        <v>0</v>
      </c>
      <c r="DA9" s="58" t="e">
        <f t="shared" si="45"/>
        <v>#DIV/0!</v>
      </c>
      <c r="DB9" s="48" t="e">
        <f t="shared" si="9"/>
        <v>#DIV/0!</v>
      </c>
      <c r="DC9" s="48" t="e">
        <f t="shared" si="10"/>
        <v>#DIV/0!</v>
      </c>
      <c r="DD9" s="48" t="e">
        <f t="shared" si="11"/>
        <v>#DIV/0!</v>
      </c>
      <c r="DE9" s="48" t="e">
        <f t="shared" si="12"/>
        <v>#DIV/0!</v>
      </c>
      <c r="DF9" s="48" t="e">
        <f t="shared" si="13"/>
        <v>#DIV/0!</v>
      </c>
      <c r="DG9" s="48" t="e">
        <f t="shared" si="14"/>
        <v>#DIV/0!</v>
      </c>
      <c r="DH9" s="48">
        <f>SUMIF(FCR!$BZ$4:$DB$500,DG9,FCR!$DE$4:$EG$500)</f>
        <v>0</v>
      </c>
      <c r="DI9" s="48" t="e">
        <f t="shared" si="15"/>
        <v>#DIV/0!</v>
      </c>
      <c r="DJ9" s="48">
        <f>SUMIF(FCR!$BZ$4:$DB$142,DI9,FCR!$DE$4:$EG$142)</f>
        <v>0</v>
      </c>
      <c r="DK9" s="48" t="e">
        <f t="shared" si="16"/>
        <v>#DIV/0!</v>
      </c>
      <c r="DL9" s="55" t="e">
        <f t="shared" si="17"/>
        <v>#DIV/0!</v>
      </c>
      <c r="DM9" s="48" t="e">
        <f t="shared" si="18"/>
        <v>#DIV/0!</v>
      </c>
      <c r="DN9" s="48">
        <f>SUMIF(FCR!$BZ$4:$DB$142,DM9,FCR!$DE$4:$EG$142)</f>
        <v>0</v>
      </c>
      <c r="DO9" s="53" t="e">
        <f t="shared" si="19"/>
        <v>#DIV/0!</v>
      </c>
      <c r="DP9" s="55" t="e">
        <f t="shared" si="20"/>
        <v>#DIV/0!</v>
      </c>
      <c r="DQ9" s="55" t="e">
        <f t="shared" si="21"/>
        <v>#DIV/0!</v>
      </c>
      <c r="DR9" s="55"/>
      <c r="DS9" s="55" t="e">
        <f t="shared" si="22"/>
        <v>#DIV/0!</v>
      </c>
      <c r="DT9" s="55" t="e">
        <f t="shared" si="46"/>
        <v>#DIV/0!</v>
      </c>
      <c r="DU9" s="53">
        <f t="shared" si="47"/>
        <v>0</v>
      </c>
      <c r="DV9" s="59" t="e">
        <f t="shared" si="23"/>
        <v>#DIV/0!</v>
      </c>
    </row>
    <row r="10" spans="1:126">
      <c r="C10" s="123"/>
      <c r="K10" s="52"/>
      <c r="L10" s="52"/>
      <c r="M10" s="52"/>
      <c r="AD10" s="49" t="s">
        <v>411</v>
      </c>
      <c r="AE10" s="49">
        <f t="shared" si="24"/>
        <v>0</v>
      </c>
      <c r="AF10" s="49">
        <f t="shared" si="25"/>
        <v>0</v>
      </c>
      <c r="AG10" s="114">
        <f t="shared" si="26"/>
        <v>0</v>
      </c>
      <c r="AH10" s="104">
        <f t="shared" si="27"/>
        <v>0</v>
      </c>
      <c r="AI10" s="104">
        <f t="shared" si="28"/>
        <v>0</v>
      </c>
      <c r="AJ10" s="104">
        <f t="shared" si="29"/>
        <v>0</v>
      </c>
      <c r="AK10" s="104">
        <f t="shared" si="30"/>
        <v>0</v>
      </c>
      <c r="AL10" s="104">
        <f t="shared" si="31"/>
        <v>0</v>
      </c>
      <c r="AM10" s="104">
        <f t="shared" si="32"/>
        <v>0</v>
      </c>
      <c r="AN10" s="104">
        <f t="shared" si="33"/>
        <v>0</v>
      </c>
      <c r="AO10" s="104">
        <f t="shared" si="34"/>
        <v>0</v>
      </c>
      <c r="AP10" s="104">
        <f t="shared" si="35"/>
        <v>0</v>
      </c>
      <c r="AQ10" s="49">
        <f t="shared" si="36"/>
        <v>0</v>
      </c>
      <c r="AR10" s="104">
        <f t="shared" si="37"/>
        <v>0</v>
      </c>
      <c r="AS10" s="104">
        <f t="shared" si="38"/>
        <v>0</v>
      </c>
      <c r="AT10" s="104">
        <f t="shared" si="38"/>
        <v>0</v>
      </c>
      <c r="AU10" s="104">
        <f t="shared" si="38"/>
        <v>0</v>
      </c>
      <c r="BF10" s="49">
        <f t="shared" si="0"/>
        <v>0</v>
      </c>
      <c r="BG10" s="49">
        <f t="shared" si="0"/>
        <v>0</v>
      </c>
      <c r="BH10" s="54" t="e">
        <f t="shared" si="1"/>
        <v>#DIV/0!</v>
      </c>
      <c r="BI10" s="112" t="e">
        <f t="shared" si="39"/>
        <v>#DIV/0!</v>
      </c>
      <c r="BK10" s="55" t="e">
        <f t="shared" si="40"/>
        <v>#DIV/0!</v>
      </c>
      <c r="BL10" s="55" t="e">
        <f t="shared" si="2"/>
        <v>#DIV/0!</v>
      </c>
      <c r="BM10" s="55" t="e">
        <f t="shared" si="41"/>
        <v>#DIV/0!</v>
      </c>
      <c r="BN10" s="53">
        <f t="shared" si="3"/>
        <v>0</v>
      </c>
      <c r="BO10" s="112" t="e">
        <f t="shared" si="4"/>
        <v>#DIV/0!</v>
      </c>
      <c r="BR10" s="53" t="e">
        <f t="shared" si="42"/>
        <v>#DIV/0!</v>
      </c>
      <c r="BS10" s="53">
        <f t="shared" si="5"/>
        <v>0</v>
      </c>
      <c r="BT10" s="53">
        <f t="shared" si="5"/>
        <v>0</v>
      </c>
      <c r="BU10" s="56" t="e">
        <f t="shared" si="43"/>
        <v>#DIV/0!</v>
      </c>
      <c r="BX10" s="60"/>
      <c r="BY10" s="60"/>
      <c r="BZ10" s="60"/>
      <c r="CA10" s="60"/>
      <c r="CB10" s="60"/>
      <c r="CC10" s="60"/>
      <c r="CD10" s="60"/>
      <c r="CE10" s="60"/>
      <c r="CF10" s="60"/>
      <c r="CG10" s="60"/>
      <c r="CH10" s="60"/>
      <c r="CI10" s="60"/>
      <c r="CJ10" s="60"/>
      <c r="CK10" s="60"/>
      <c r="CL10" s="60"/>
      <c r="CM10" s="60"/>
      <c r="CN10" s="60"/>
      <c r="CO10" s="60"/>
      <c r="CP10" s="60"/>
      <c r="CQ10" s="60"/>
      <c r="CR10" s="60"/>
      <c r="CS10" s="60"/>
      <c r="CT10" s="57">
        <f t="shared" si="6"/>
        <v>0</v>
      </c>
      <c r="CU10" s="57">
        <f t="shared" si="6"/>
        <v>0</v>
      </c>
      <c r="CV10" s="53">
        <f t="shared" si="7"/>
        <v>0</v>
      </c>
      <c r="CW10" s="53">
        <f t="shared" si="7"/>
        <v>0</v>
      </c>
      <c r="CX10" s="58" t="e">
        <f t="shared" si="8"/>
        <v>#DIV/0!</v>
      </c>
      <c r="CY10" s="53">
        <f t="shared" si="44"/>
        <v>0</v>
      </c>
      <c r="CZ10" s="53">
        <f t="shared" si="44"/>
        <v>0</v>
      </c>
      <c r="DA10" s="58" t="e">
        <f t="shared" si="45"/>
        <v>#DIV/0!</v>
      </c>
      <c r="DB10" s="48" t="e">
        <f t="shared" si="9"/>
        <v>#DIV/0!</v>
      </c>
      <c r="DC10" s="48" t="e">
        <f t="shared" si="10"/>
        <v>#DIV/0!</v>
      </c>
      <c r="DD10" s="48" t="e">
        <f t="shared" si="11"/>
        <v>#DIV/0!</v>
      </c>
      <c r="DE10" s="48" t="e">
        <f t="shared" si="12"/>
        <v>#DIV/0!</v>
      </c>
      <c r="DF10" s="48" t="e">
        <f t="shared" si="13"/>
        <v>#DIV/0!</v>
      </c>
      <c r="DG10" s="48" t="e">
        <f t="shared" si="14"/>
        <v>#DIV/0!</v>
      </c>
      <c r="DH10" s="48">
        <f>SUMIF(FCR!$BZ$4:$DB$500,DG10,FCR!$DE$4:$EG$500)</f>
        <v>0</v>
      </c>
      <c r="DI10" s="48" t="e">
        <f t="shared" si="15"/>
        <v>#DIV/0!</v>
      </c>
      <c r="DJ10" s="48">
        <f>SUMIF(FCR!$BZ$4:$DB$142,DI10,FCR!$DE$4:$EG$142)</f>
        <v>0</v>
      </c>
      <c r="DK10" s="48" t="e">
        <f t="shared" si="16"/>
        <v>#DIV/0!</v>
      </c>
      <c r="DL10" s="55" t="e">
        <f t="shared" si="17"/>
        <v>#DIV/0!</v>
      </c>
      <c r="DM10" s="48" t="e">
        <f t="shared" si="18"/>
        <v>#DIV/0!</v>
      </c>
      <c r="DN10" s="48">
        <f>SUMIF(FCR!$BZ$4:$DB$142,DM10,FCR!$DE$4:$EG$142)</f>
        <v>0</v>
      </c>
      <c r="DO10" s="53" t="e">
        <f t="shared" si="19"/>
        <v>#DIV/0!</v>
      </c>
      <c r="DP10" s="55" t="e">
        <f t="shared" si="20"/>
        <v>#DIV/0!</v>
      </c>
      <c r="DQ10" s="55" t="e">
        <f t="shared" si="21"/>
        <v>#DIV/0!</v>
      </c>
      <c r="DR10" s="55"/>
      <c r="DS10" s="55" t="e">
        <f t="shared" si="22"/>
        <v>#DIV/0!</v>
      </c>
      <c r="DT10" s="55" t="e">
        <f t="shared" si="46"/>
        <v>#DIV/0!</v>
      </c>
      <c r="DU10" s="53">
        <f t="shared" si="47"/>
        <v>0</v>
      </c>
      <c r="DV10" s="59" t="e">
        <f t="shared" si="23"/>
        <v>#DIV/0!</v>
      </c>
    </row>
    <row r="11" spans="1:126">
      <c r="C11" s="123"/>
      <c r="D11" s="115"/>
      <c r="E11" s="123"/>
      <c r="F11" s="115"/>
      <c r="G11" s="123"/>
      <c r="H11" s="115"/>
      <c r="I11" s="123"/>
      <c r="J11" s="115"/>
      <c r="K11" s="123"/>
      <c r="L11" s="123"/>
      <c r="M11" s="123"/>
      <c r="N11" s="115"/>
      <c r="O11" s="123"/>
      <c r="P11" s="115"/>
      <c r="Q11" s="123"/>
      <c r="R11" s="115"/>
      <c r="S11" s="123"/>
      <c r="T11" s="115"/>
      <c r="U11" s="123"/>
      <c r="V11" s="115"/>
      <c r="W11" s="123"/>
      <c r="X11" s="115"/>
      <c r="Y11" s="123"/>
      <c r="Z11" s="115"/>
      <c r="AA11" s="123"/>
      <c r="AB11" s="115"/>
      <c r="AC11" s="123"/>
      <c r="AD11" s="49" t="s">
        <v>411</v>
      </c>
      <c r="AE11" s="49">
        <f t="shared" si="24"/>
        <v>0</v>
      </c>
      <c r="AF11" s="49">
        <f t="shared" si="25"/>
        <v>0</v>
      </c>
      <c r="AG11" s="114">
        <f t="shared" si="26"/>
        <v>0</v>
      </c>
      <c r="AH11" s="104">
        <f t="shared" si="27"/>
        <v>0</v>
      </c>
      <c r="AI11" s="104">
        <f t="shared" si="28"/>
        <v>0</v>
      </c>
      <c r="AJ11" s="104">
        <f t="shared" si="29"/>
        <v>0</v>
      </c>
      <c r="AK11" s="104">
        <f t="shared" si="30"/>
        <v>0</v>
      </c>
      <c r="AL11" s="104">
        <f t="shared" si="31"/>
        <v>0</v>
      </c>
      <c r="AM11" s="104">
        <f t="shared" si="32"/>
        <v>0</v>
      </c>
      <c r="AN11" s="104">
        <f t="shared" si="33"/>
        <v>0</v>
      </c>
      <c r="AO11" s="104">
        <f t="shared" si="34"/>
        <v>0</v>
      </c>
      <c r="AP11" s="104">
        <f t="shared" si="35"/>
        <v>0</v>
      </c>
      <c r="AQ11" s="49">
        <f t="shared" si="36"/>
        <v>0</v>
      </c>
      <c r="AR11" s="104">
        <f t="shared" si="37"/>
        <v>0</v>
      </c>
      <c r="AS11" s="104">
        <f t="shared" si="38"/>
        <v>0</v>
      </c>
      <c r="AT11" s="104">
        <f t="shared" si="38"/>
        <v>0</v>
      </c>
      <c r="AU11" s="104">
        <f t="shared" si="38"/>
        <v>0</v>
      </c>
      <c r="BF11" s="49">
        <f t="shared" si="0"/>
        <v>0</v>
      </c>
      <c r="BG11" s="49">
        <f t="shared" si="0"/>
        <v>0</v>
      </c>
      <c r="BH11" s="54" t="e">
        <f t="shared" si="1"/>
        <v>#DIV/0!</v>
      </c>
      <c r="BI11" s="112" t="e">
        <f t="shared" si="39"/>
        <v>#DIV/0!</v>
      </c>
      <c r="BK11" s="55" t="e">
        <f t="shared" si="40"/>
        <v>#DIV/0!</v>
      </c>
      <c r="BL11" s="55" t="e">
        <f t="shared" si="2"/>
        <v>#DIV/0!</v>
      </c>
      <c r="BM11" s="55" t="e">
        <f t="shared" si="41"/>
        <v>#DIV/0!</v>
      </c>
      <c r="BN11" s="53">
        <f t="shared" si="3"/>
        <v>0</v>
      </c>
      <c r="BO11" s="112" t="e">
        <f t="shared" si="4"/>
        <v>#DIV/0!</v>
      </c>
      <c r="BR11" s="53" t="e">
        <f t="shared" si="42"/>
        <v>#DIV/0!</v>
      </c>
      <c r="BS11" s="53">
        <f t="shared" si="5"/>
        <v>0</v>
      </c>
      <c r="BT11" s="53">
        <f t="shared" si="5"/>
        <v>0</v>
      </c>
      <c r="BU11" s="56" t="e">
        <f t="shared" si="43"/>
        <v>#DIV/0!</v>
      </c>
      <c r="BX11" s="60"/>
      <c r="BY11" s="60"/>
      <c r="BZ11" s="60"/>
      <c r="CA11" s="60"/>
      <c r="CB11" s="60"/>
      <c r="CC11" s="60"/>
      <c r="CD11" s="60"/>
      <c r="CE11" s="60"/>
      <c r="CF11" s="60"/>
      <c r="CG11" s="60"/>
      <c r="CH11" s="60"/>
      <c r="CI11" s="60"/>
      <c r="CJ11" s="60"/>
      <c r="CK11" s="60"/>
      <c r="CL11" s="60"/>
      <c r="CM11" s="60"/>
      <c r="CN11" s="60"/>
      <c r="CO11" s="60"/>
      <c r="CP11" s="60"/>
      <c r="CQ11" s="60"/>
      <c r="CR11" s="60"/>
      <c r="CS11" s="60"/>
      <c r="CT11" s="57">
        <f t="shared" si="6"/>
        <v>0</v>
      </c>
      <c r="CU11" s="57">
        <f t="shared" si="6"/>
        <v>0</v>
      </c>
      <c r="CV11" s="53">
        <f t="shared" si="7"/>
        <v>0</v>
      </c>
      <c r="CW11" s="53">
        <f t="shared" si="7"/>
        <v>0</v>
      </c>
      <c r="CX11" s="58" t="e">
        <f t="shared" si="8"/>
        <v>#DIV/0!</v>
      </c>
      <c r="CY11" s="53">
        <f t="shared" si="44"/>
        <v>0</v>
      </c>
      <c r="CZ11" s="53">
        <f t="shared" si="44"/>
        <v>0</v>
      </c>
      <c r="DA11" s="58" t="e">
        <f t="shared" si="45"/>
        <v>#DIV/0!</v>
      </c>
      <c r="DB11" s="48" t="e">
        <f t="shared" si="9"/>
        <v>#DIV/0!</v>
      </c>
      <c r="DC11" s="48" t="e">
        <f t="shared" si="10"/>
        <v>#DIV/0!</v>
      </c>
      <c r="DD11" s="48" t="e">
        <f t="shared" si="11"/>
        <v>#DIV/0!</v>
      </c>
      <c r="DE11" s="48" t="e">
        <f t="shared" si="12"/>
        <v>#DIV/0!</v>
      </c>
      <c r="DF11" s="48" t="e">
        <f t="shared" si="13"/>
        <v>#DIV/0!</v>
      </c>
      <c r="DG11" s="48" t="e">
        <f t="shared" si="14"/>
        <v>#DIV/0!</v>
      </c>
      <c r="DH11" s="48">
        <f>SUMIF(FCR!$BZ$4:$DB$500,DG11,FCR!$DE$4:$EG$500)</f>
        <v>0</v>
      </c>
      <c r="DI11" s="48" t="e">
        <f t="shared" si="15"/>
        <v>#DIV/0!</v>
      </c>
      <c r="DJ11" s="48">
        <f>SUMIF(FCR!$BZ$4:$DB$142,DI11,FCR!$DE$4:$EG$142)</f>
        <v>0</v>
      </c>
      <c r="DK11" s="48" t="e">
        <f t="shared" si="16"/>
        <v>#DIV/0!</v>
      </c>
      <c r="DL11" s="55" t="e">
        <f t="shared" si="17"/>
        <v>#DIV/0!</v>
      </c>
      <c r="DM11" s="48" t="e">
        <f t="shared" si="18"/>
        <v>#DIV/0!</v>
      </c>
      <c r="DN11" s="48">
        <f>SUMIF(FCR!$BZ$4:$DB$142,DM11,FCR!$DE$4:$EG$142)</f>
        <v>0</v>
      </c>
      <c r="DO11" s="53" t="e">
        <f t="shared" si="19"/>
        <v>#DIV/0!</v>
      </c>
      <c r="DP11" s="55" t="e">
        <f t="shared" si="20"/>
        <v>#DIV/0!</v>
      </c>
      <c r="DQ11" s="55" t="e">
        <f t="shared" si="21"/>
        <v>#DIV/0!</v>
      </c>
      <c r="DR11" s="55"/>
      <c r="DS11" s="55" t="e">
        <f t="shared" si="22"/>
        <v>#DIV/0!</v>
      </c>
      <c r="DT11" s="55" t="e">
        <f t="shared" si="46"/>
        <v>#DIV/0!</v>
      </c>
      <c r="DU11" s="53">
        <f t="shared" si="47"/>
        <v>0</v>
      </c>
      <c r="DV11" s="59" t="e">
        <f t="shared" si="23"/>
        <v>#DIV/0!</v>
      </c>
    </row>
    <row r="12" spans="1:126">
      <c r="C12" s="123"/>
      <c r="K12" s="52"/>
      <c r="L12" s="52"/>
      <c r="M12" s="52"/>
      <c r="AD12" s="49" t="s">
        <v>411</v>
      </c>
      <c r="AE12" s="49">
        <f t="shared" si="24"/>
        <v>0</v>
      </c>
      <c r="AF12" s="49">
        <f t="shared" si="25"/>
        <v>0</v>
      </c>
      <c r="AG12" s="114">
        <f t="shared" si="26"/>
        <v>0</v>
      </c>
      <c r="AH12" s="104">
        <f t="shared" si="27"/>
        <v>0</v>
      </c>
      <c r="AI12" s="104">
        <f t="shared" si="28"/>
        <v>0</v>
      </c>
      <c r="AJ12" s="104">
        <f t="shared" si="29"/>
        <v>0</v>
      </c>
      <c r="AK12" s="104">
        <f t="shared" si="30"/>
        <v>0</v>
      </c>
      <c r="AL12" s="104">
        <f t="shared" si="31"/>
        <v>0</v>
      </c>
      <c r="AM12" s="104">
        <f t="shared" si="32"/>
        <v>0</v>
      </c>
      <c r="AN12" s="104">
        <f t="shared" si="33"/>
        <v>0</v>
      </c>
      <c r="AO12" s="104">
        <f t="shared" si="34"/>
        <v>0</v>
      </c>
      <c r="AP12" s="104">
        <f t="shared" si="35"/>
        <v>0</v>
      </c>
      <c r="AQ12" s="49">
        <f t="shared" si="36"/>
        <v>0</v>
      </c>
      <c r="AR12" s="104">
        <f t="shared" si="37"/>
        <v>0</v>
      </c>
      <c r="AS12" s="104">
        <f t="shared" si="38"/>
        <v>0</v>
      </c>
      <c r="AT12" s="104">
        <f t="shared" si="38"/>
        <v>0</v>
      </c>
      <c r="AU12" s="104">
        <f t="shared" si="38"/>
        <v>0</v>
      </c>
      <c r="BF12" s="49">
        <f t="shared" si="0"/>
        <v>0</v>
      </c>
      <c r="BG12" s="49">
        <f t="shared" si="0"/>
        <v>0</v>
      </c>
      <c r="BH12" s="54" t="e">
        <f t="shared" si="1"/>
        <v>#DIV/0!</v>
      </c>
      <c r="BI12" s="112" t="e">
        <f t="shared" si="39"/>
        <v>#DIV/0!</v>
      </c>
      <c r="BK12" s="55" t="e">
        <f t="shared" si="40"/>
        <v>#DIV/0!</v>
      </c>
      <c r="BL12" s="55" t="e">
        <f t="shared" si="2"/>
        <v>#DIV/0!</v>
      </c>
      <c r="BM12" s="55" t="e">
        <f t="shared" si="41"/>
        <v>#DIV/0!</v>
      </c>
      <c r="BN12" s="53">
        <f t="shared" si="3"/>
        <v>0</v>
      </c>
      <c r="BO12" s="112" t="e">
        <f t="shared" si="4"/>
        <v>#DIV/0!</v>
      </c>
      <c r="BR12" s="53" t="e">
        <f t="shared" si="42"/>
        <v>#DIV/0!</v>
      </c>
      <c r="BS12" s="53">
        <f t="shared" si="5"/>
        <v>0</v>
      </c>
      <c r="BT12" s="53">
        <f t="shared" si="5"/>
        <v>0</v>
      </c>
      <c r="BU12" s="56" t="e">
        <f t="shared" si="43"/>
        <v>#DIV/0!</v>
      </c>
      <c r="BX12" s="60"/>
      <c r="BY12" s="60"/>
      <c r="BZ12" s="60"/>
      <c r="CA12" s="60"/>
      <c r="CB12" s="60"/>
      <c r="CC12" s="60"/>
      <c r="CD12" s="60"/>
      <c r="CE12" s="60"/>
      <c r="CF12" s="60"/>
      <c r="CG12" s="60"/>
      <c r="CH12" s="60"/>
      <c r="CI12" s="60"/>
      <c r="CJ12" s="60"/>
      <c r="CK12" s="60"/>
      <c r="CL12" s="60"/>
      <c r="CM12" s="60"/>
      <c r="CN12" s="60"/>
      <c r="CO12" s="60"/>
      <c r="CP12" s="60"/>
      <c r="CQ12" s="60"/>
      <c r="CR12" s="60"/>
      <c r="CS12" s="60"/>
      <c r="CT12" s="57">
        <f t="shared" si="6"/>
        <v>0</v>
      </c>
      <c r="CU12" s="57">
        <f t="shared" si="6"/>
        <v>0</v>
      </c>
      <c r="CV12" s="53">
        <f t="shared" si="7"/>
        <v>0</v>
      </c>
      <c r="CW12" s="53">
        <f t="shared" si="7"/>
        <v>0</v>
      </c>
      <c r="CX12" s="58" t="e">
        <f t="shared" si="8"/>
        <v>#DIV/0!</v>
      </c>
      <c r="CY12" s="53">
        <f t="shared" si="44"/>
        <v>0</v>
      </c>
      <c r="CZ12" s="53">
        <f t="shared" si="44"/>
        <v>0</v>
      </c>
      <c r="DA12" s="58" t="e">
        <f t="shared" si="45"/>
        <v>#DIV/0!</v>
      </c>
      <c r="DB12" s="48" t="e">
        <f t="shared" si="9"/>
        <v>#DIV/0!</v>
      </c>
      <c r="DC12" s="48" t="e">
        <f t="shared" si="10"/>
        <v>#DIV/0!</v>
      </c>
      <c r="DD12" s="48" t="e">
        <f t="shared" si="11"/>
        <v>#DIV/0!</v>
      </c>
      <c r="DE12" s="48" t="e">
        <f t="shared" si="12"/>
        <v>#DIV/0!</v>
      </c>
      <c r="DF12" s="48" t="e">
        <f t="shared" si="13"/>
        <v>#DIV/0!</v>
      </c>
      <c r="DG12" s="48" t="e">
        <f t="shared" si="14"/>
        <v>#DIV/0!</v>
      </c>
      <c r="DH12" s="48">
        <f>SUMIF(FCR!$BZ$4:$DB$500,DG12,FCR!$DE$4:$EG$500)</f>
        <v>0</v>
      </c>
      <c r="DI12" s="48" t="e">
        <f t="shared" si="15"/>
        <v>#DIV/0!</v>
      </c>
      <c r="DJ12" s="48">
        <f>SUMIF(FCR!$BZ$4:$DB$142,DI12,FCR!$DE$4:$EG$142)</f>
        <v>0</v>
      </c>
      <c r="DK12" s="48" t="e">
        <f t="shared" si="16"/>
        <v>#DIV/0!</v>
      </c>
      <c r="DL12" s="55" t="e">
        <f t="shared" si="17"/>
        <v>#DIV/0!</v>
      </c>
      <c r="DM12" s="48" t="e">
        <f t="shared" si="18"/>
        <v>#DIV/0!</v>
      </c>
      <c r="DN12" s="48">
        <f>SUMIF(FCR!$BZ$4:$DB$142,DM12,FCR!$DE$4:$EG$142)</f>
        <v>0</v>
      </c>
      <c r="DO12" s="53" t="e">
        <f t="shared" si="19"/>
        <v>#DIV/0!</v>
      </c>
      <c r="DP12" s="55" t="e">
        <f t="shared" si="20"/>
        <v>#DIV/0!</v>
      </c>
      <c r="DQ12" s="55" t="e">
        <f t="shared" si="21"/>
        <v>#DIV/0!</v>
      </c>
      <c r="DR12" s="55"/>
      <c r="DS12" s="55" t="e">
        <f t="shared" si="22"/>
        <v>#DIV/0!</v>
      </c>
      <c r="DT12" s="55" t="e">
        <f t="shared" si="46"/>
        <v>#DIV/0!</v>
      </c>
      <c r="DU12" s="53">
        <f t="shared" si="47"/>
        <v>0</v>
      </c>
      <c r="DV12" s="59" t="e">
        <f t="shared" si="23"/>
        <v>#DIV/0!</v>
      </c>
    </row>
    <row r="13" spans="1:126">
      <c r="C13" s="123"/>
      <c r="K13" s="52"/>
      <c r="L13" s="52"/>
      <c r="M13" s="52"/>
      <c r="AD13" s="49" t="s">
        <v>411</v>
      </c>
      <c r="AE13" s="49">
        <f t="shared" si="24"/>
        <v>0</v>
      </c>
      <c r="AF13" s="49">
        <f t="shared" ref="AF13:AF76" si="48">+C13</f>
        <v>0</v>
      </c>
      <c r="AG13" s="114">
        <f t="shared" ref="AG13:AG76" si="49">+D13</f>
        <v>0</v>
      </c>
      <c r="AH13" s="104">
        <f t="shared" ref="AH13:AH76" si="50">+BF13</f>
        <v>0</v>
      </c>
      <c r="AI13" s="104">
        <f t="shared" ref="AI13:AI76" si="51">+ROUND(IFERROR(BH13,0),1)</f>
        <v>0</v>
      </c>
      <c r="AJ13" s="104">
        <f t="shared" ref="AJ13:AJ76" si="52">+BG13</f>
        <v>0</v>
      </c>
      <c r="AK13" s="104">
        <f t="shared" ref="AK13:AK76" si="53">+DU13</f>
        <v>0</v>
      </c>
      <c r="AL13" s="104">
        <f t="shared" ref="AL13:AL76" si="54">+ROUND(IFERROR(DV13,0),1)</f>
        <v>0</v>
      </c>
      <c r="AM13" s="104">
        <f t="shared" ref="AM13:AM76" si="55">+BS13</f>
        <v>0</v>
      </c>
      <c r="AN13" s="104">
        <f t="shared" ref="AN13:AN76" si="56">+ROUND(IFERROR(DA13,0),1)</f>
        <v>0</v>
      </c>
      <c r="AO13" s="104">
        <f t="shared" ref="AO13:AO76" si="57">+BT13</f>
        <v>0</v>
      </c>
      <c r="AP13" s="104">
        <f t="shared" ref="AP13:AP76" si="58">+AO13-AJ13</f>
        <v>0</v>
      </c>
      <c r="AQ13" s="49">
        <f t="shared" ref="AQ13:AQ76" si="59">+ROUND(BN13,0)</f>
        <v>0</v>
      </c>
      <c r="AR13" s="104">
        <f t="shared" ref="AR13:AR76" si="60">+ROUND(IFERROR(AQ13/AM13,0),1)</f>
        <v>0</v>
      </c>
      <c r="AS13" s="104">
        <f t="shared" ref="AS13:AS76" si="61">+ROUND(IFERROR(BK13,0),3)</f>
        <v>0</v>
      </c>
      <c r="AT13" s="104">
        <f t="shared" ref="AT13:AT76" si="62">+ROUND(IFERROR(BL13,0),3)</f>
        <v>0</v>
      </c>
      <c r="AU13" s="104">
        <f t="shared" ref="AU13:AU76" si="63">+ROUND(IFERROR(BM13,0),3)</f>
        <v>0</v>
      </c>
      <c r="BF13" s="49">
        <f t="shared" ref="BF13:BF76" si="64">+F13</f>
        <v>0</v>
      </c>
      <c r="BG13" s="49">
        <f t="shared" ref="BG13:BG76" si="65">+G13</f>
        <v>0</v>
      </c>
      <c r="BH13" s="54" t="e">
        <f t="shared" ref="BH13:BH76" si="66">BG13/BF13</f>
        <v>#DIV/0!</v>
      </c>
      <c r="BI13" s="112" t="e">
        <f t="shared" ref="BI13:BI76" si="67">BJ13/BF13</f>
        <v>#DIV/0!</v>
      </c>
      <c r="BK13" s="55" t="e">
        <f t="shared" ref="BK13:BK76" si="68">BN13/(BT13-BG13)</f>
        <v>#DIV/0!</v>
      </c>
      <c r="BL13" s="55" t="e">
        <f t="shared" ref="BL13:BL76" si="69">DS13</f>
        <v>#DIV/0!</v>
      </c>
      <c r="BM13" s="55" t="e">
        <f t="shared" ref="BM13:BM76" si="70">BK13-BL13</f>
        <v>#DIV/0!</v>
      </c>
      <c r="BN13" s="53">
        <f t="shared" ref="BN13:BN76" si="71">+H13</f>
        <v>0</v>
      </c>
      <c r="BO13" s="112" t="e">
        <f t="shared" ref="BO13:BO76" si="72">BP13/BN13</f>
        <v>#DIV/0!</v>
      </c>
      <c r="BR13" s="53" t="e">
        <f t="shared" ref="BR13:BR76" si="73">BQ13/BT13</f>
        <v>#DIV/0!</v>
      </c>
      <c r="BS13" s="53">
        <f t="shared" ref="BS13:BS76" si="74">+J13</f>
        <v>0</v>
      </c>
      <c r="BT13" s="53">
        <f t="shared" ref="BT13:BT76" si="75">+K13</f>
        <v>0</v>
      </c>
      <c r="BU13" s="56" t="e">
        <f t="shared" ref="BU13:BU76" si="76">BT13/BS13</f>
        <v>#DIV/0!</v>
      </c>
      <c r="BX13" s="60"/>
      <c r="BY13" s="60"/>
      <c r="BZ13" s="60"/>
      <c r="CA13" s="60"/>
      <c r="CB13" s="60"/>
      <c r="CC13" s="60"/>
      <c r="CD13" s="60"/>
      <c r="CE13" s="60"/>
      <c r="CF13" s="60"/>
      <c r="CG13" s="60"/>
      <c r="CH13" s="60"/>
      <c r="CI13" s="60"/>
      <c r="CJ13" s="60"/>
      <c r="CK13" s="60"/>
      <c r="CL13" s="60"/>
      <c r="CM13" s="60"/>
      <c r="CN13" s="60"/>
      <c r="CO13" s="60"/>
      <c r="CP13" s="60"/>
      <c r="CQ13" s="60"/>
      <c r="CR13" s="60"/>
      <c r="CS13" s="60"/>
      <c r="CT13" s="57">
        <f t="shared" ref="CT13:CT76" si="77">CL13+CJ13+CH13+CF13+CD13+CB13+BZ13+BX13+CN13+CP13+CR13</f>
        <v>0</v>
      </c>
      <c r="CU13" s="57">
        <f t="shared" ref="CU13:CU76" si="78">CM13+CK13+CI13+CG13+CE13+CC13+CA13+BY13+CO13+CQ13+CS13</f>
        <v>0</v>
      </c>
      <c r="CV13" s="53">
        <f t="shared" ref="CV13:CV76" si="79">BF13</f>
        <v>0</v>
      </c>
      <c r="CW13" s="53">
        <f t="shared" ref="CW13:CW76" si="80">BG13</f>
        <v>0</v>
      </c>
      <c r="CX13" s="58" t="e">
        <f t="shared" ref="CX13:CX76" si="81">ROUND(BH13,2)</f>
        <v>#DIV/0!</v>
      </c>
      <c r="CY13" s="53">
        <f t="shared" ref="CY13:CY76" si="82">BS13</f>
        <v>0</v>
      </c>
      <c r="CZ13" s="53">
        <f t="shared" ref="CZ13:CZ76" si="83">BT13</f>
        <v>0</v>
      </c>
      <c r="DA13" s="58" t="e">
        <f t="shared" ref="DA13:DA76" si="84">ROUND(BU13,2)</f>
        <v>#DIV/0!</v>
      </c>
      <c r="DB13" s="48" t="e">
        <f t="shared" ref="DB13:DB76" si="85">IF(DA13&lt;100,(LEFT(DA13,2)),IF(DA13&gt;100,(LEFT(DA13,3))))</f>
        <v>#DIV/0!</v>
      </c>
      <c r="DC13" s="48" t="e">
        <f t="shared" ref="DC13:DC76" si="86">+DB13+1</f>
        <v>#DIV/0!</v>
      </c>
      <c r="DD13" s="48" t="e">
        <f t="shared" ref="DD13:DD76" si="87">LEFT(CX13,2)</f>
        <v>#DIV/0!</v>
      </c>
      <c r="DE13" s="48" t="e">
        <f t="shared" ref="DE13:DE76" si="88">ROUND(DD13,0)</f>
        <v>#DIV/0!</v>
      </c>
      <c r="DF13" s="48" t="e">
        <f t="shared" ref="DF13:DF76" si="89">+DD13+1</f>
        <v>#DIV/0!</v>
      </c>
      <c r="DG13" s="48" t="e">
        <f t="shared" ref="DG13:DG76" si="90">DE13&amp;DB13</f>
        <v>#DIV/0!</v>
      </c>
      <c r="DH13" s="48">
        <f>SUMIF(FCR!$BZ$4:$DB$500,DG13,FCR!$DE$4:$EG$500)</f>
        <v>0</v>
      </c>
      <c r="DI13" s="48" t="e">
        <f t="shared" ref="DI13:DI76" si="91">DF13&amp;DB13</f>
        <v>#DIV/0!</v>
      </c>
      <c r="DJ13" s="48">
        <f>SUMIF(FCR!$BZ$4:$DB$142,DI13,FCR!$DE$4:$EG$142)</f>
        <v>0</v>
      </c>
      <c r="DK13" s="48" t="e">
        <f t="shared" ref="DK13:DK76" si="92">(CX13-DE13)*100</f>
        <v>#DIV/0!</v>
      </c>
      <c r="DL13" s="55" t="e">
        <f t="shared" ref="DL13:DL76" si="93">ROUND(DH13+(DJ13-DH13)/100*DK13,3)</f>
        <v>#DIV/0!</v>
      </c>
      <c r="DM13" s="48" t="e">
        <f t="shared" ref="DM13:DM76" si="94">DE13&amp;DC13</f>
        <v>#DIV/0!</v>
      </c>
      <c r="DN13" s="48">
        <f>SUMIF(FCR!$BZ$4:$DB$142,DM13,FCR!$DE$4:$EG$142)</f>
        <v>0</v>
      </c>
      <c r="DO13" s="53" t="e">
        <f t="shared" ref="DO13:DO76" si="95">(DA13-DB13)*100</f>
        <v>#DIV/0!</v>
      </c>
      <c r="DP13" s="55" t="e">
        <f t="shared" ref="DP13:DP76" si="96">ROUND(DH13+(DN13-DH13)/100*DO13,3)</f>
        <v>#DIV/0!</v>
      </c>
      <c r="DQ13" s="55" t="e">
        <f t="shared" ref="DQ13:DQ76" si="97">ROUND((DP13+DL13)/2,3)</f>
        <v>#DIV/0!</v>
      </c>
      <c r="DR13" s="55"/>
      <c r="DS13" s="55" t="e">
        <f t="shared" ref="DS13:DS76" si="98">DR13+DQ13</f>
        <v>#DIV/0!</v>
      </c>
      <c r="DT13" s="55" t="e">
        <f t="shared" ref="DT13:DT76" si="99">+DQ13-BL13</f>
        <v>#DIV/0!</v>
      </c>
      <c r="DU13" s="53">
        <f t="shared" ref="DU13:DU76" si="100">CV13-CY13</f>
        <v>0</v>
      </c>
      <c r="DV13" s="59" t="e">
        <f t="shared" ref="DV13:DV76" si="101">ROUND(DU13/CV13*100,2)</f>
        <v>#DIV/0!</v>
      </c>
    </row>
    <row r="14" spans="1:126">
      <c r="C14" s="123"/>
      <c r="K14" s="52"/>
      <c r="L14" s="52"/>
      <c r="M14" s="52"/>
      <c r="AD14" s="49" t="s">
        <v>411</v>
      </c>
      <c r="AE14" s="49">
        <f t="shared" si="24"/>
        <v>0</v>
      </c>
      <c r="AF14" s="49">
        <f t="shared" si="48"/>
        <v>0</v>
      </c>
      <c r="AG14" s="114">
        <f t="shared" si="49"/>
        <v>0</v>
      </c>
      <c r="AH14" s="104">
        <f t="shared" si="50"/>
        <v>0</v>
      </c>
      <c r="AI14" s="104">
        <f t="shared" si="51"/>
        <v>0</v>
      </c>
      <c r="AJ14" s="104">
        <f t="shared" si="52"/>
        <v>0</v>
      </c>
      <c r="AK14" s="104">
        <f t="shared" si="53"/>
        <v>0</v>
      </c>
      <c r="AL14" s="104">
        <f t="shared" si="54"/>
        <v>0</v>
      </c>
      <c r="AM14" s="104">
        <f t="shared" si="55"/>
        <v>0</v>
      </c>
      <c r="AN14" s="104">
        <f t="shared" si="56"/>
        <v>0</v>
      </c>
      <c r="AO14" s="104">
        <f t="shared" si="57"/>
        <v>0</v>
      </c>
      <c r="AP14" s="104">
        <f t="shared" si="58"/>
        <v>0</v>
      </c>
      <c r="AQ14" s="49">
        <f t="shared" si="59"/>
        <v>0</v>
      </c>
      <c r="AR14" s="104">
        <f t="shared" si="60"/>
        <v>0</v>
      </c>
      <c r="AS14" s="104">
        <f t="shared" si="61"/>
        <v>0</v>
      </c>
      <c r="AT14" s="104">
        <f t="shared" si="62"/>
        <v>0</v>
      </c>
      <c r="AU14" s="104">
        <f t="shared" si="63"/>
        <v>0</v>
      </c>
      <c r="BF14" s="49">
        <f t="shared" si="64"/>
        <v>0</v>
      </c>
      <c r="BG14" s="49">
        <f t="shared" si="65"/>
        <v>0</v>
      </c>
      <c r="BH14" s="54" t="e">
        <f t="shared" si="66"/>
        <v>#DIV/0!</v>
      </c>
      <c r="BI14" s="112" t="e">
        <f t="shared" si="67"/>
        <v>#DIV/0!</v>
      </c>
      <c r="BK14" s="55" t="e">
        <f t="shared" si="68"/>
        <v>#DIV/0!</v>
      </c>
      <c r="BL14" s="55" t="e">
        <f t="shared" si="69"/>
        <v>#DIV/0!</v>
      </c>
      <c r="BM14" s="55" t="e">
        <f t="shared" si="70"/>
        <v>#DIV/0!</v>
      </c>
      <c r="BN14" s="53">
        <f t="shared" si="71"/>
        <v>0</v>
      </c>
      <c r="BO14" s="112" t="e">
        <f t="shared" si="72"/>
        <v>#DIV/0!</v>
      </c>
      <c r="BR14" s="53" t="e">
        <f t="shared" si="73"/>
        <v>#DIV/0!</v>
      </c>
      <c r="BS14" s="53">
        <f t="shared" si="74"/>
        <v>0</v>
      </c>
      <c r="BT14" s="53">
        <f t="shared" si="75"/>
        <v>0</v>
      </c>
      <c r="BU14" s="56" t="e">
        <f t="shared" si="76"/>
        <v>#DIV/0!</v>
      </c>
      <c r="BX14" s="60"/>
      <c r="BY14" s="60"/>
      <c r="BZ14" s="60"/>
      <c r="CA14" s="60"/>
      <c r="CB14" s="60"/>
      <c r="CC14" s="60"/>
      <c r="CD14" s="60"/>
      <c r="CE14" s="60"/>
      <c r="CF14" s="60"/>
      <c r="CG14" s="60"/>
      <c r="CH14" s="60"/>
      <c r="CI14" s="60"/>
      <c r="CJ14" s="60"/>
      <c r="CK14" s="60"/>
      <c r="CL14" s="60"/>
      <c r="CM14" s="60"/>
      <c r="CN14" s="60"/>
      <c r="CO14" s="60"/>
      <c r="CP14" s="60"/>
      <c r="CQ14" s="60"/>
      <c r="CR14" s="60"/>
      <c r="CS14" s="60"/>
      <c r="CT14" s="57">
        <f t="shared" si="77"/>
        <v>0</v>
      </c>
      <c r="CU14" s="57">
        <f t="shared" si="78"/>
        <v>0</v>
      </c>
      <c r="CV14" s="53">
        <f t="shared" si="79"/>
        <v>0</v>
      </c>
      <c r="CW14" s="53">
        <f t="shared" si="80"/>
        <v>0</v>
      </c>
      <c r="CX14" s="58" t="e">
        <f t="shared" si="81"/>
        <v>#DIV/0!</v>
      </c>
      <c r="CY14" s="53">
        <f t="shared" si="82"/>
        <v>0</v>
      </c>
      <c r="CZ14" s="53">
        <f t="shared" si="83"/>
        <v>0</v>
      </c>
      <c r="DA14" s="58" t="e">
        <f t="shared" si="84"/>
        <v>#DIV/0!</v>
      </c>
      <c r="DB14" s="48" t="e">
        <f t="shared" si="85"/>
        <v>#DIV/0!</v>
      </c>
      <c r="DC14" s="48" t="e">
        <f t="shared" si="86"/>
        <v>#DIV/0!</v>
      </c>
      <c r="DD14" s="48" t="e">
        <f t="shared" si="87"/>
        <v>#DIV/0!</v>
      </c>
      <c r="DE14" s="48" t="e">
        <f t="shared" si="88"/>
        <v>#DIV/0!</v>
      </c>
      <c r="DF14" s="48" t="e">
        <f t="shared" si="89"/>
        <v>#DIV/0!</v>
      </c>
      <c r="DG14" s="48" t="e">
        <f t="shared" si="90"/>
        <v>#DIV/0!</v>
      </c>
      <c r="DH14" s="48">
        <f>SUMIF(FCR!$BZ$4:$DB$500,DG14,FCR!$DE$4:$EG$500)</f>
        <v>0</v>
      </c>
      <c r="DI14" s="48" t="e">
        <f t="shared" si="91"/>
        <v>#DIV/0!</v>
      </c>
      <c r="DJ14" s="48">
        <f>SUMIF(FCR!$BZ$4:$DB$142,DI14,FCR!$DE$4:$EG$142)</f>
        <v>0</v>
      </c>
      <c r="DK14" s="48" t="e">
        <f t="shared" si="92"/>
        <v>#DIV/0!</v>
      </c>
      <c r="DL14" s="55" t="e">
        <f t="shared" si="93"/>
        <v>#DIV/0!</v>
      </c>
      <c r="DM14" s="48" t="e">
        <f t="shared" si="94"/>
        <v>#DIV/0!</v>
      </c>
      <c r="DN14" s="48">
        <f>SUMIF(FCR!$BZ$4:$DB$142,DM14,FCR!$DE$4:$EG$142)</f>
        <v>0</v>
      </c>
      <c r="DO14" s="53" t="e">
        <f t="shared" si="95"/>
        <v>#DIV/0!</v>
      </c>
      <c r="DP14" s="55" t="e">
        <f t="shared" si="96"/>
        <v>#DIV/0!</v>
      </c>
      <c r="DQ14" s="55" t="e">
        <f t="shared" si="97"/>
        <v>#DIV/0!</v>
      </c>
      <c r="DR14" s="55"/>
      <c r="DS14" s="55" t="e">
        <f t="shared" si="98"/>
        <v>#DIV/0!</v>
      </c>
      <c r="DT14" s="55" t="e">
        <f t="shared" si="99"/>
        <v>#DIV/0!</v>
      </c>
      <c r="DU14" s="53">
        <f t="shared" si="100"/>
        <v>0</v>
      </c>
      <c r="DV14" s="59" t="e">
        <f t="shared" si="101"/>
        <v>#DIV/0!</v>
      </c>
    </row>
    <row r="15" spans="1:126">
      <c r="C15" s="123"/>
      <c r="K15" s="52"/>
      <c r="L15" s="52"/>
      <c r="AD15" s="49" t="s">
        <v>411</v>
      </c>
      <c r="AE15" s="49">
        <f t="shared" si="24"/>
        <v>0</v>
      </c>
      <c r="AF15" s="49">
        <f t="shared" si="48"/>
        <v>0</v>
      </c>
      <c r="AG15" s="114">
        <f t="shared" si="49"/>
        <v>0</v>
      </c>
      <c r="AH15" s="104">
        <f t="shared" si="50"/>
        <v>0</v>
      </c>
      <c r="AI15" s="104">
        <f t="shared" si="51"/>
        <v>0</v>
      </c>
      <c r="AJ15" s="104">
        <f t="shared" si="52"/>
        <v>0</v>
      </c>
      <c r="AK15" s="104">
        <f t="shared" si="53"/>
        <v>0</v>
      </c>
      <c r="AL15" s="104">
        <f t="shared" si="54"/>
        <v>0</v>
      </c>
      <c r="AM15" s="104">
        <f t="shared" si="55"/>
        <v>0</v>
      </c>
      <c r="AN15" s="104">
        <f t="shared" si="56"/>
        <v>0</v>
      </c>
      <c r="AO15" s="104">
        <f t="shared" si="57"/>
        <v>0</v>
      </c>
      <c r="AP15" s="104">
        <f t="shared" si="58"/>
        <v>0</v>
      </c>
      <c r="AQ15" s="49">
        <f t="shared" si="59"/>
        <v>0</v>
      </c>
      <c r="AR15" s="104">
        <f t="shared" si="60"/>
        <v>0</v>
      </c>
      <c r="AS15" s="104">
        <f t="shared" si="61"/>
        <v>0</v>
      </c>
      <c r="AT15" s="104">
        <f t="shared" si="62"/>
        <v>0</v>
      </c>
      <c r="AU15" s="104">
        <f t="shared" si="63"/>
        <v>0</v>
      </c>
      <c r="BF15" s="49">
        <f t="shared" si="64"/>
        <v>0</v>
      </c>
      <c r="BG15" s="49">
        <f t="shared" si="65"/>
        <v>0</v>
      </c>
      <c r="BH15" s="54" t="e">
        <f t="shared" si="66"/>
        <v>#DIV/0!</v>
      </c>
      <c r="BI15" s="112" t="e">
        <f t="shared" si="67"/>
        <v>#DIV/0!</v>
      </c>
      <c r="BK15" s="55" t="e">
        <f t="shared" si="68"/>
        <v>#DIV/0!</v>
      </c>
      <c r="BL15" s="55" t="e">
        <f t="shared" si="69"/>
        <v>#DIV/0!</v>
      </c>
      <c r="BM15" s="55" t="e">
        <f t="shared" si="70"/>
        <v>#DIV/0!</v>
      </c>
      <c r="BN15" s="53">
        <f t="shared" si="71"/>
        <v>0</v>
      </c>
      <c r="BO15" s="112" t="e">
        <f t="shared" si="72"/>
        <v>#DIV/0!</v>
      </c>
      <c r="BR15" s="53" t="e">
        <f t="shared" si="73"/>
        <v>#DIV/0!</v>
      </c>
      <c r="BS15" s="53">
        <f t="shared" si="74"/>
        <v>0</v>
      </c>
      <c r="BT15" s="53">
        <f t="shared" si="75"/>
        <v>0</v>
      </c>
      <c r="BU15" s="56" t="e">
        <f t="shared" si="76"/>
        <v>#DIV/0!</v>
      </c>
      <c r="BX15" s="60"/>
      <c r="BY15" s="60"/>
      <c r="BZ15" s="60"/>
      <c r="CA15" s="60"/>
      <c r="CB15" s="60"/>
      <c r="CC15" s="60"/>
      <c r="CD15" s="60"/>
      <c r="CE15" s="60"/>
      <c r="CF15" s="60"/>
      <c r="CG15" s="60"/>
      <c r="CH15" s="60"/>
      <c r="CI15" s="60"/>
      <c r="CJ15" s="60"/>
      <c r="CK15" s="60"/>
      <c r="CL15" s="60"/>
      <c r="CM15" s="60"/>
      <c r="CN15" s="60"/>
      <c r="CO15" s="60"/>
      <c r="CP15" s="60"/>
      <c r="CQ15" s="60"/>
      <c r="CR15" s="60"/>
      <c r="CS15" s="60"/>
      <c r="CT15" s="57">
        <f t="shared" si="77"/>
        <v>0</v>
      </c>
      <c r="CU15" s="57">
        <f t="shared" si="78"/>
        <v>0</v>
      </c>
      <c r="CV15" s="53">
        <f t="shared" si="79"/>
        <v>0</v>
      </c>
      <c r="CW15" s="53">
        <f t="shared" si="80"/>
        <v>0</v>
      </c>
      <c r="CX15" s="58" t="e">
        <f t="shared" si="81"/>
        <v>#DIV/0!</v>
      </c>
      <c r="CY15" s="53">
        <f t="shared" si="82"/>
        <v>0</v>
      </c>
      <c r="CZ15" s="53">
        <f t="shared" si="83"/>
        <v>0</v>
      </c>
      <c r="DA15" s="58" t="e">
        <f t="shared" si="84"/>
        <v>#DIV/0!</v>
      </c>
      <c r="DB15" s="48" t="e">
        <f t="shared" si="85"/>
        <v>#DIV/0!</v>
      </c>
      <c r="DC15" s="48" t="e">
        <f t="shared" si="86"/>
        <v>#DIV/0!</v>
      </c>
      <c r="DD15" s="48" t="e">
        <f t="shared" si="87"/>
        <v>#DIV/0!</v>
      </c>
      <c r="DE15" s="48" t="e">
        <f t="shared" si="88"/>
        <v>#DIV/0!</v>
      </c>
      <c r="DF15" s="48" t="e">
        <f t="shared" si="89"/>
        <v>#DIV/0!</v>
      </c>
      <c r="DG15" s="48" t="e">
        <f t="shared" si="90"/>
        <v>#DIV/0!</v>
      </c>
      <c r="DH15" s="48">
        <f>SUMIF(FCR!$BZ$4:$DB$500,DG15,FCR!$DE$4:$EG$500)</f>
        <v>0</v>
      </c>
      <c r="DI15" s="48" t="e">
        <f t="shared" si="91"/>
        <v>#DIV/0!</v>
      </c>
      <c r="DJ15" s="48">
        <f>SUMIF(FCR!$BZ$4:$DB$142,DI15,FCR!$DE$4:$EG$142)</f>
        <v>0</v>
      </c>
      <c r="DK15" s="48" t="e">
        <f t="shared" si="92"/>
        <v>#DIV/0!</v>
      </c>
      <c r="DL15" s="55" t="e">
        <f t="shared" si="93"/>
        <v>#DIV/0!</v>
      </c>
      <c r="DM15" s="48" t="e">
        <f t="shared" si="94"/>
        <v>#DIV/0!</v>
      </c>
      <c r="DN15" s="48">
        <f>SUMIF(FCR!$BZ$4:$DB$142,DM15,FCR!$DE$4:$EG$142)</f>
        <v>0</v>
      </c>
      <c r="DO15" s="53" t="e">
        <f t="shared" si="95"/>
        <v>#DIV/0!</v>
      </c>
      <c r="DP15" s="55" t="e">
        <f t="shared" si="96"/>
        <v>#DIV/0!</v>
      </c>
      <c r="DQ15" s="55" t="e">
        <f t="shared" si="97"/>
        <v>#DIV/0!</v>
      </c>
      <c r="DR15" s="55"/>
      <c r="DS15" s="55" t="e">
        <f t="shared" si="98"/>
        <v>#DIV/0!</v>
      </c>
      <c r="DT15" s="55" t="e">
        <f t="shared" si="99"/>
        <v>#DIV/0!</v>
      </c>
      <c r="DU15" s="53">
        <f t="shared" si="100"/>
        <v>0</v>
      </c>
      <c r="DV15" s="59" t="e">
        <f t="shared" si="101"/>
        <v>#DIV/0!</v>
      </c>
    </row>
    <row r="16" spans="1:126">
      <c r="C16" s="123"/>
      <c r="K16" s="52"/>
      <c r="L16" s="52"/>
      <c r="AD16" s="49" t="s">
        <v>411</v>
      </c>
      <c r="AE16" s="49">
        <f t="shared" si="24"/>
        <v>0</v>
      </c>
      <c r="AF16" s="49">
        <f t="shared" si="48"/>
        <v>0</v>
      </c>
      <c r="AG16" s="114">
        <f t="shared" si="49"/>
        <v>0</v>
      </c>
      <c r="AH16" s="104">
        <f t="shared" si="50"/>
        <v>0</v>
      </c>
      <c r="AI16" s="104">
        <f t="shared" si="51"/>
        <v>0</v>
      </c>
      <c r="AJ16" s="104">
        <f t="shared" si="52"/>
        <v>0</v>
      </c>
      <c r="AK16" s="104">
        <f t="shared" si="53"/>
        <v>0</v>
      </c>
      <c r="AL16" s="104">
        <f t="shared" si="54"/>
        <v>0</v>
      </c>
      <c r="AM16" s="104">
        <f t="shared" si="55"/>
        <v>0</v>
      </c>
      <c r="AN16" s="104">
        <f t="shared" si="56"/>
        <v>0</v>
      </c>
      <c r="AO16" s="104">
        <f t="shared" si="57"/>
        <v>0</v>
      </c>
      <c r="AP16" s="104">
        <f t="shared" si="58"/>
        <v>0</v>
      </c>
      <c r="AQ16" s="49">
        <f t="shared" si="59"/>
        <v>0</v>
      </c>
      <c r="AR16" s="104">
        <f t="shared" si="60"/>
        <v>0</v>
      </c>
      <c r="AS16" s="104">
        <f t="shared" si="61"/>
        <v>0</v>
      </c>
      <c r="AT16" s="104">
        <f t="shared" si="62"/>
        <v>0</v>
      </c>
      <c r="AU16" s="104">
        <f t="shared" si="63"/>
        <v>0</v>
      </c>
      <c r="BF16" s="49">
        <f t="shared" si="64"/>
        <v>0</v>
      </c>
      <c r="BG16" s="49">
        <f t="shared" si="65"/>
        <v>0</v>
      </c>
      <c r="BH16" s="54" t="e">
        <f t="shared" si="66"/>
        <v>#DIV/0!</v>
      </c>
      <c r="BI16" s="112" t="e">
        <f t="shared" si="67"/>
        <v>#DIV/0!</v>
      </c>
      <c r="BK16" s="55" t="e">
        <f t="shared" si="68"/>
        <v>#DIV/0!</v>
      </c>
      <c r="BL16" s="55" t="e">
        <f t="shared" si="69"/>
        <v>#DIV/0!</v>
      </c>
      <c r="BM16" s="55" t="e">
        <f t="shared" si="70"/>
        <v>#DIV/0!</v>
      </c>
      <c r="BN16" s="53">
        <f t="shared" si="71"/>
        <v>0</v>
      </c>
      <c r="BO16" s="112" t="e">
        <f t="shared" si="72"/>
        <v>#DIV/0!</v>
      </c>
      <c r="BR16" s="53" t="e">
        <f t="shared" si="73"/>
        <v>#DIV/0!</v>
      </c>
      <c r="BS16" s="53">
        <f t="shared" si="74"/>
        <v>0</v>
      </c>
      <c r="BT16" s="53">
        <f t="shared" si="75"/>
        <v>0</v>
      </c>
      <c r="BU16" s="56" t="e">
        <f t="shared" si="76"/>
        <v>#DIV/0!</v>
      </c>
      <c r="BX16" s="60"/>
      <c r="BY16" s="60"/>
      <c r="BZ16" s="60"/>
      <c r="CA16" s="60"/>
      <c r="CB16" s="60"/>
      <c r="CC16" s="60"/>
      <c r="CD16" s="60"/>
      <c r="CE16" s="60"/>
      <c r="CF16" s="60"/>
      <c r="CG16" s="60"/>
      <c r="CH16" s="60"/>
      <c r="CI16" s="60"/>
      <c r="CJ16" s="60"/>
      <c r="CK16" s="60"/>
      <c r="CL16" s="60"/>
      <c r="CM16" s="60"/>
      <c r="CN16" s="60"/>
      <c r="CO16" s="60"/>
      <c r="CP16" s="60"/>
      <c r="CQ16" s="60"/>
      <c r="CR16" s="60"/>
      <c r="CS16" s="60"/>
      <c r="CT16" s="57">
        <f t="shared" si="77"/>
        <v>0</v>
      </c>
      <c r="CU16" s="57">
        <f t="shared" si="78"/>
        <v>0</v>
      </c>
      <c r="CV16" s="53">
        <f t="shared" si="79"/>
        <v>0</v>
      </c>
      <c r="CW16" s="53">
        <f t="shared" si="80"/>
        <v>0</v>
      </c>
      <c r="CX16" s="58" t="e">
        <f t="shared" si="81"/>
        <v>#DIV/0!</v>
      </c>
      <c r="CY16" s="53">
        <f t="shared" si="82"/>
        <v>0</v>
      </c>
      <c r="CZ16" s="53">
        <f t="shared" si="83"/>
        <v>0</v>
      </c>
      <c r="DA16" s="58" t="e">
        <f t="shared" si="84"/>
        <v>#DIV/0!</v>
      </c>
      <c r="DB16" s="48" t="e">
        <f t="shared" si="85"/>
        <v>#DIV/0!</v>
      </c>
      <c r="DC16" s="48" t="e">
        <f t="shared" si="86"/>
        <v>#DIV/0!</v>
      </c>
      <c r="DD16" s="48" t="e">
        <f t="shared" si="87"/>
        <v>#DIV/0!</v>
      </c>
      <c r="DE16" s="48" t="e">
        <f t="shared" si="88"/>
        <v>#DIV/0!</v>
      </c>
      <c r="DF16" s="48" t="e">
        <f t="shared" si="89"/>
        <v>#DIV/0!</v>
      </c>
      <c r="DG16" s="48" t="e">
        <f t="shared" si="90"/>
        <v>#DIV/0!</v>
      </c>
      <c r="DH16" s="48">
        <f>SUMIF(FCR!$BZ$4:$DB$500,DG16,FCR!$DE$4:$EG$500)</f>
        <v>0</v>
      </c>
      <c r="DI16" s="48" t="e">
        <f t="shared" si="91"/>
        <v>#DIV/0!</v>
      </c>
      <c r="DJ16" s="48">
        <f>SUMIF(FCR!$BZ$4:$DB$142,DI16,FCR!$DE$4:$EG$142)</f>
        <v>0</v>
      </c>
      <c r="DK16" s="48" t="e">
        <f t="shared" si="92"/>
        <v>#DIV/0!</v>
      </c>
      <c r="DL16" s="55" t="e">
        <f t="shared" si="93"/>
        <v>#DIV/0!</v>
      </c>
      <c r="DM16" s="48" t="e">
        <f t="shared" si="94"/>
        <v>#DIV/0!</v>
      </c>
      <c r="DN16" s="48">
        <f>SUMIF(FCR!$BZ$4:$DB$142,DM16,FCR!$DE$4:$EG$142)</f>
        <v>0</v>
      </c>
      <c r="DO16" s="53" t="e">
        <f t="shared" si="95"/>
        <v>#DIV/0!</v>
      </c>
      <c r="DP16" s="55" t="e">
        <f t="shared" si="96"/>
        <v>#DIV/0!</v>
      </c>
      <c r="DQ16" s="55" t="e">
        <f t="shared" si="97"/>
        <v>#DIV/0!</v>
      </c>
      <c r="DR16" s="55"/>
      <c r="DS16" s="55" t="e">
        <f t="shared" si="98"/>
        <v>#DIV/0!</v>
      </c>
      <c r="DT16" s="55" t="e">
        <f t="shared" si="99"/>
        <v>#DIV/0!</v>
      </c>
      <c r="DU16" s="53">
        <f t="shared" si="100"/>
        <v>0</v>
      </c>
      <c r="DV16" s="59" t="e">
        <f t="shared" si="101"/>
        <v>#DIV/0!</v>
      </c>
    </row>
    <row r="17" spans="30:126">
      <c r="AD17" s="49" t="s">
        <v>411</v>
      </c>
      <c r="AE17" s="49">
        <f t="shared" si="24"/>
        <v>0</v>
      </c>
      <c r="AF17" s="49">
        <f t="shared" si="48"/>
        <v>0</v>
      </c>
      <c r="AG17" s="114">
        <f t="shared" si="49"/>
        <v>0</v>
      </c>
      <c r="AH17" s="104">
        <f t="shared" si="50"/>
        <v>0</v>
      </c>
      <c r="AI17" s="104">
        <f t="shared" si="51"/>
        <v>0</v>
      </c>
      <c r="AJ17" s="104">
        <f t="shared" si="52"/>
        <v>0</v>
      </c>
      <c r="AK17" s="104">
        <f t="shared" si="53"/>
        <v>0</v>
      </c>
      <c r="AL17" s="104">
        <f t="shared" si="54"/>
        <v>0</v>
      </c>
      <c r="AM17" s="104">
        <f t="shared" si="55"/>
        <v>0</v>
      </c>
      <c r="AN17" s="104">
        <f t="shared" si="56"/>
        <v>0</v>
      </c>
      <c r="AO17" s="104">
        <f t="shared" si="57"/>
        <v>0</v>
      </c>
      <c r="AP17" s="104">
        <f t="shared" si="58"/>
        <v>0</v>
      </c>
      <c r="AQ17" s="49">
        <f t="shared" si="59"/>
        <v>0</v>
      </c>
      <c r="AR17" s="104">
        <f t="shared" si="60"/>
        <v>0</v>
      </c>
      <c r="AS17" s="104">
        <f t="shared" si="61"/>
        <v>0</v>
      </c>
      <c r="AT17" s="104">
        <f t="shared" si="62"/>
        <v>0</v>
      </c>
      <c r="AU17" s="104">
        <f t="shared" si="63"/>
        <v>0</v>
      </c>
      <c r="BF17" s="49">
        <f t="shared" si="64"/>
        <v>0</v>
      </c>
      <c r="BG17" s="49">
        <f t="shared" si="65"/>
        <v>0</v>
      </c>
      <c r="BH17" s="54" t="e">
        <f t="shared" si="66"/>
        <v>#DIV/0!</v>
      </c>
      <c r="BI17" s="112" t="e">
        <f t="shared" si="67"/>
        <v>#DIV/0!</v>
      </c>
      <c r="BK17" s="55" t="e">
        <f t="shared" si="68"/>
        <v>#DIV/0!</v>
      </c>
      <c r="BL17" s="55" t="e">
        <f t="shared" si="69"/>
        <v>#DIV/0!</v>
      </c>
      <c r="BM17" s="55" t="e">
        <f t="shared" si="70"/>
        <v>#DIV/0!</v>
      </c>
      <c r="BN17" s="53">
        <f t="shared" si="71"/>
        <v>0</v>
      </c>
      <c r="BO17" s="112" t="e">
        <f t="shared" si="72"/>
        <v>#DIV/0!</v>
      </c>
      <c r="BR17" s="53" t="e">
        <f t="shared" si="73"/>
        <v>#DIV/0!</v>
      </c>
      <c r="BS17" s="53">
        <f t="shared" si="74"/>
        <v>0</v>
      </c>
      <c r="BT17" s="53">
        <f t="shared" si="75"/>
        <v>0</v>
      </c>
      <c r="BU17" s="56" t="e">
        <f t="shared" si="76"/>
        <v>#DIV/0!</v>
      </c>
      <c r="BX17" s="60"/>
      <c r="BY17" s="60"/>
      <c r="BZ17" s="60"/>
      <c r="CA17" s="60"/>
      <c r="CB17" s="60"/>
      <c r="CC17" s="60"/>
      <c r="CD17" s="60"/>
      <c r="CE17" s="60"/>
      <c r="CF17" s="60"/>
      <c r="CG17" s="60"/>
      <c r="CH17" s="60"/>
      <c r="CI17" s="60"/>
      <c r="CJ17" s="60"/>
      <c r="CK17" s="60"/>
      <c r="CL17" s="60"/>
      <c r="CM17" s="60"/>
      <c r="CN17" s="60"/>
      <c r="CO17" s="60"/>
      <c r="CP17" s="60"/>
      <c r="CQ17" s="60"/>
      <c r="CR17" s="60"/>
      <c r="CS17" s="60"/>
      <c r="CT17" s="57">
        <f t="shared" si="77"/>
        <v>0</v>
      </c>
      <c r="CU17" s="57">
        <f t="shared" si="78"/>
        <v>0</v>
      </c>
      <c r="CV17" s="53">
        <f t="shared" si="79"/>
        <v>0</v>
      </c>
      <c r="CW17" s="53">
        <f t="shared" si="80"/>
        <v>0</v>
      </c>
      <c r="CX17" s="58" t="e">
        <f t="shared" si="81"/>
        <v>#DIV/0!</v>
      </c>
      <c r="CY17" s="53">
        <f t="shared" si="82"/>
        <v>0</v>
      </c>
      <c r="CZ17" s="53">
        <f t="shared" si="83"/>
        <v>0</v>
      </c>
      <c r="DA17" s="58" t="e">
        <f t="shared" si="84"/>
        <v>#DIV/0!</v>
      </c>
      <c r="DB17" s="48" t="e">
        <f t="shared" si="85"/>
        <v>#DIV/0!</v>
      </c>
      <c r="DC17" s="48" t="e">
        <f t="shared" si="86"/>
        <v>#DIV/0!</v>
      </c>
      <c r="DD17" s="48" t="e">
        <f t="shared" si="87"/>
        <v>#DIV/0!</v>
      </c>
      <c r="DE17" s="48" t="e">
        <f t="shared" si="88"/>
        <v>#DIV/0!</v>
      </c>
      <c r="DF17" s="48" t="e">
        <f t="shared" si="89"/>
        <v>#DIV/0!</v>
      </c>
      <c r="DG17" s="48" t="e">
        <f t="shared" si="90"/>
        <v>#DIV/0!</v>
      </c>
      <c r="DH17" s="48">
        <f>SUMIF(FCR!$BZ$4:$DB$500,DG17,FCR!$DE$4:$EG$500)</f>
        <v>0</v>
      </c>
      <c r="DI17" s="48" t="e">
        <f t="shared" si="91"/>
        <v>#DIV/0!</v>
      </c>
      <c r="DJ17" s="48">
        <f>SUMIF(FCR!$BZ$4:$DB$142,DI17,FCR!$DE$4:$EG$142)</f>
        <v>0</v>
      </c>
      <c r="DK17" s="48" t="e">
        <f t="shared" si="92"/>
        <v>#DIV/0!</v>
      </c>
      <c r="DL17" s="55" t="e">
        <f t="shared" si="93"/>
        <v>#DIV/0!</v>
      </c>
      <c r="DM17" s="48" t="e">
        <f t="shared" si="94"/>
        <v>#DIV/0!</v>
      </c>
      <c r="DN17" s="48">
        <f>SUMIF(FCR!$BZ$4:$DB$142,DM17,FCR!$DE$4:$EG$142)</f>
        <v>0</v>
      </c>
      <c r="DO17" s="53" t="e">
        <f t="shared" si="95"/>
        <v>#DIV/0!</v>
      </c>
      <c r="DP17" s="55" t="e">
        <f t="shared" si="96"/>
        <v>#DIV/0!</v>
      </c>
      <c r="DQ17" s="55" t="e">
        <f t="shared" si="97"/>
        <v>#DIV/0!</v>
      </c>
      <c r="DR17" s="55"/>
      <c r="DS17" s="55" t="e">
        <f t="shared" si="98"/>
        <v>#DIV/0!</v>
      </c>
      <c r="DT17" s="55" t="e">
        <f t="shared" si="99"/>
        <v>#DIV/0!</v>
      </c>
      <c r="DU17" s="53">
        <f t="shared" si="100"/>
        <v>0</v>
      </c>
      <c r="DV17" s="59" t="e">
        <f t="shared" si="101"/>
        <v>#DIV/0!</v>
      </c>
    </row>
    <row r="18" spans="30:126">
      <c r="AD18" s="49" t="s">
        <v>411</v>
      </c>
      <c r="AE18" s="49">
        <f t="shared" si="24"/>
        <v>0</v>
      </c>
      <c r="AF18" s="49">
        <f t="shared" si="48"/>
        <v>0</v>
      </c>
      <c r="AG18" s="114">
        <f t="shared" si="49"/>
        <v>0</v>
      </c>
      <c r="AH18" s="104">
        <f t="shared" si="50"/>
        <v>0</v>
      </c>
      <c r="AI18" s="104">
        <f t="shared" si="51"/>
        <v>0</v>
      </c>
      <c r="AJ18" s="104">
        <f t="shared" si="52"/>
        <v>0</v>
      </c>
      <c r="AK18" s="104">
        <f t="shared" si="53"/>
        <v>0</v>
      </c>
      <c r="AL18" s="104">
        <f t="shared" si="54"/>
        <v>0</v>
      </c>
      <c r="AM18" s="104">
        <f t="shared" si="55"/>
        <v>0</v>
      </c>
      <c r="AN18" s="104">
        <f t="shared" si="56"/>
        <v>0</v>
      </c>
      <c r="AO18" s="104">
        <f t="shared" si="57"/>
        <v>0</v>
      </c>
      <c r="AP18" s="104">
        <f t="shared" si="58"/>
        <v>0</v>
      </c>
      <c r="AQ18" s="49">
        <f t="shared" si="59"/>
        <v>0</v>
      </c>
      <c r="AR18" s="104">
        <f t="shared" si="60"/>
        <v>0</v>
      </c>
      <c r="AS18" s="104">
        <f t="shared" si="61"/>
        <v>0</v>
      </c>
      <c r="AT18" s="104">
        <f t="shared" si="62"/>
        <v>0</v>
      </c>
      <c r="AU18" s="104">
        <f t="shared" si="63"/>
        <v>0</v>
      </c>
      <c r="BF18" s="49">
        <f t="shared" si="64"/>
        <v>0</v>
      </c>
      <c r="BG18" s="49">
        <f t="shared" si="65"/>
        <v>0</v>
      </c>
      <c r="BH18" s="54" t="e">
        <f t="shared" si="66"/>
        <v>#DIV/0!</v>
      </c>
      <c r="BI18" s="112" t="e">
        <f t="shared" si="67"/>
        <v>#DIV/0!</v>
      </c>
      <c r="BK18" s="55" t="e">
        <f t="shared" si="68"/>
        <v>#DIV/0!</v>
      </c>
      <c r="BL18" s="55" t="e">
        <f t="shared" si="69"/>
        <v>#DIV/0!</v>
      </c>
      <c r="BM18" s="55" t="e">
        <f t="shared" si="70"/>
        <v>#DIV/0!</v>
      </c>
      <c r="BN18" s="53">
        <f t="shared" si="71"/>
        <v>0</v>
      </c>
      <c r="BO18" s="112" t="e">
        <f t="shared" si="72"/>
        <v>#DIV/0!</v>
      </c>
      <c r="BR18" s="53" t="e">
        <f t="shared" si="73"/>
        <v>#DIV/0!</v>
      </c>
      <c r="BS18" s="53">
        <f t="shared" si="74"/>
        <v>0</v>
      </c>
      <c r="BT18" s="53">
        <f t="shared" si="75"/>
        <v>0</v>
      </c>
      <c r="BU18" s="56" t="e">
        <f t="shared" si="76"/>
        <v>#DIV/0!</v>
      </c>
      <c r="BX18" s="60"/>
      <c r="BY18" s="60"/>
      <c r="BZ18" s="60"/>
      <c r="CA18" s="60"/>
      <c r="CB18" s="60"/>
      <c r="CC18" s="60"/>
      <c r="CD18" s="60"/>
      <c r="CE18" s="60"/>
      <c r="CF18" s="60"/>
      <c r="CG18" s="60"/>
      <c r="CH18" s="60"/>
      <c r="CI18" s="60"/>
      <c r="CJ18" s="60"/>
      <c r="CK18" s="60"/>
      <c r="CL18" s="60"/>
      <c r="CM18" s="60"/>
      <c r="CN18" s="60"/>
      <c r="CO18" s="60"/>
      <c r="CP18" s="60"/>
      <c r="CQ18" s="60"/>
      <c r="CR18" s="60"/>
      <c r="CS18" s="60"/>
      <c r="CT18" s="57">
        <f t="shared" si="77"/>
        <v>0</v>
      </c>
      <c r="CU18" s="57">
        <f t="shared" si="78"/>
        <v>0</v>
      </c>
      <c r="CV18" s="53">
        <f t="shared" si="79"/>
        <v>0</v>
      </c>
      <c r="CW18" s="53">
        <f t="shared" si="80"/>
        <v>0</v>
      </c>
      <c r="CX18" s="58" t="e">
        <f t="shared" si="81"/>
        <v>#DIV/0!</v>
      </c>
      <c r="CY18" s="53">
        <f t="shared" si="82"/>
        <v>0</v>
      </c>
      <c r="CZ18" s="53">
        <f t="shared" si="83"/>
        <v>0</v>
      </c>
      <c r="DA18" s="58" t="e">
        <f t="shared" si="84"/>
        <v>#DIV/0!</v>
      </c>
      <c r="DB18" s="48" t="e">
        <f t="shared" si="85"/>
        <v>#DIV/0!</v>
      </c>
      <c r="DC18" s="48" t="e">
        <f t="shared" si="86"/>
        <v>#DIV/0!</v>
      </c>
      <c r="DD18" s="48" t="e">
        <f t="shared" si="87"/>
        <v>#DIV/0!</v>
      </c>
      <c r="DE18" s="48" t="e">
        <f t="shared" si="88"/>
        <v>#DIV/0!</v>
      </c>
      <c r="DF18" s="48" t="e">
        <f t="shared" si="89"/>
        <v>#DIV/0!</v>
      </c>
      <c r="DG18" s="48" t="e">
        <f t="shared" si="90"/>
        <v>#DIV/0!</v>
      </c>
      <c r="DH18" s="48">
        <f>SUMIF(FCR!$BZ$4:$DB$500,DG18,FCR!$DE$4:$EG$500)</f>
        <v>0</v>
      </c>
      <c r="DI18" s="48" t="e">
        <f t="shared" si="91"/>
        <v>#DIV/0!</v>
      </c>
      <c r="DJ18" s="48">
        <f>SUMIF(FCR!$BZ$4:$DB$142,DI18,FCR!$DE$4:$EG$142)</f>
        <v>0</v>
      </c>
      <c r="DK18" s="48" t="e">
        <f t="shared" si="92"/>
        <v>#DIV/0!</v>
      </c>
      <c r="DL18" s="55" t="e">
        <f t="shared" si="93"/>
        <v>#DIV/0!</v>
      </c>
      <c r="DM18" s="48" t="e">
        <f t="shared" si="94"/>
        <v>#DIV/0!</v>
      </c>
      <c r="DN18" s="48">
        <f>SUMIF(FCR!$BZ$4:$DB$142,DM18,FCR!$DE$4:$EG$142)</f>
        <v>0</v>
      </c>
      <c r="DO18" s="53" t="e">
        <f t="shared" si="95"/>
        <v>#DIV/0!</v>
      </c>
      <c r="DP18" s="55" t="e">
        <f t="shared" si="96"/>
        <v>#DIV/0!</v>
      </c>
      <c r="DQ18" s="55" t="e">
        <f t="shared" si="97"/>
        <v>#DIV/0!</v>
      </c>
      <c r="DR18" s="55"/>
      <c r="DS18" s="55" t="e">
        <f t="shared" si="98"/>
        <v>#DIV/0!</v>
      </c>
      <c r="DT18" s="55" t="e">
        <f t="shared" si="99"/>
        <v>#DIV/0!</v>
      </c>
      <c r="DU18" s="53">
        <f t="shared" si="100"/>
        <v>0</v>
      </c>
      <c r="DV18" s="59" t="e">
        <f t="shared" si="101"/>
        <v>#DIV/0!</v>
      </c>
    </row>
    <row r="19" spans="30:126">
      <c r="AD19" s="49" t="s">
        <v>411</v>
      </c>
      <c r="AE19" s="49">
        <f t="shared" si="24"/>
        <v>0</v>
      </c>
      <c r="AF19" s="49">
        <f t="shared" si="48"/>
        <v>0</v>
      </c>
      <c r="AG19" s="114">
        <f t="shared" si="49"/>
        <v>0</v>
      </c>
      <c r="AH19" s="104">
        <f t="shared" si="50"/>
        <v>0</v>
      </c>
      <c r="AI19" s="104">
        <f t="shared" si="51"/>
        <v>0</v>
      </c>
      <c r="AJ19" s="104">
        <f t="shared" si="52"/>
        <v>0</v>
      </c>
      <c r="AK19" s="104">
        <f t="shared" si="53"/>
        <v>0</v>
      </c>
      <c r="AL19" s="104">
        <f t="shared" si="54"/>
        <v>0</v>
      </c>
      <c r="AM19" s="104">
        <f t="shared" si="55"/>
        <v>0</v>
      </c>
      <c r="AN19" s="104">
        <f t="shared" si="56"/>
        <v>0</v>
      </c>
      <c r="AO19" s="104">
        <f t="shared" si="57"/>
        <v>0</v>
      </c>
      <c r="AP19" s="104">
        <f t="shared" si="58"/>
        <v>0</v>
      </c>
      <c r="AQ19" s="49">
        <f t="shared" si="59"/>
        <v>0</v>
      </c>
      <c r="AR19" s="104">
        <f t="shared" si="60"/>
        <v>0</v>
      </c>
      <c r="AS19" s="104">
        <f t="shared" si="61"/>
        <v>0</v>
      </c>
      <c r="AT19" s="104">
        <f t="shared" si="62"/>
        <v>0</v>
      </c>
      <c r="AU19" s="104">
        <f t="shared" si="63"/>
        <v>0</v>
      </c>
      <c r="BF19" s="49">
        <f t="shared" si="64"/>
        <v>0</v>
      </c>
      <c r="BG19" s="49">
        <f t="shared" si="65"/>
        <v>0</v>
      </c>
      <c r="BH19" s="54" t="e">
        <f t="shared" si="66"/>
        <v>#DIV/0!</v>
      </c>
      <c r="BI19" s="112" t="e">
        <f t="shared" si="67"/>
        <v>#DIV/0!</v>
      </c>
      <c r="BK19" s="55" t="e">
        <f t="shared" si="68"/>
        <v>#DIV/0!</v>
      </c>
      <c r="BL19" s="55" t="e">
        <f t="shared" si="69"/>
        <v>#DIV/0!</v>
      </c>
      <c r="BM19" s="55" t="e">
        <f t="shared" si="70"/>
        <v>#DIV/0!</v>
      </c>
      <c r="BN19" s="53">
        <f t="shared" si="71"/>
        <v>0</v>
      </c>
      <c r="BO19" s="112" t="e">
        <f t="shared" si="72"/>
        <v>#DIV/0!</v>
      </c>
      <c r="BR19" s="53" t="e">
        <f t="shared" si="73"/>
        <v>#DIV/0!</v>
      </c>
      <c r="BS19" s="53">
        <f t="shared" si="74"/>
        <v>0</v>
      </c>
      <c r="BT19" s="53">
        <f t="shared" si="75"/>
        <v>0</v>
      </c>
      <c r="BU19" s="56" t="e">
        <f t="shared" si="76"/>
        <v>#DIV/0!</v>
      </c>
      <c r="BX19" s="60"/>
      <c r="BY19" s="60"/>
      <c r="BZ19" s="60"/>
      <c r="CA19" s="60"/>
      <c r="CB19" s="60"/>
      <c r="CC19" s="60"/>
      <c r="CD19" s="60"/>
      <c r="CE19" s="60"/>
      <c r="CF19" s="60"/>
      <c r="CG19" s="60"/>
      <c r="CH19" s="60"/>
      <c r="CI19" s="60"/>
      <c r="CJ19" s="60"/>
      <c r="CK19" s="60"/>
      <c r="CL19" s="60"/>
      <c r="CM19" s="60"/>
      <c r="CN19" s="60"/>
      <c r="CO19" s="60"/>
      <c r="CP19" s="60"/>
      <c r="CQ19" s="60"/>
      <c r="CR19" s="60"/>
      <c r="CS19" s="60"/>
      <c r="CT19" s="57">
        <f t="shared" si="77"/>
        <v>0</v>
      </c>
      <c r="CU19" s="57">
        <f t="shared" si="78"/>
        <v>0</v>
      </c>
      <c r="CV19" s="53">
        <f t="shared" si="79"/>
        <v>0</v>
      </c>
      <c r="CW19" s="53">
        <f t="shared" si="80"/>
        <v>0</v>
      </c>
      <c r="CX19" s="58" t="e">
        <f t="shared" si="81"/>
        <v>#DIV/0!</v>
      </c>
      <c r="CY19" s="53">
        <f t="shared" si="82"/>
        <v>0</v>
      </c>
      <c r="CZ19" s="53">
        <f t="shared" si="83"/>
        <v>0</v>
      </c>
      <c r="DA19" s="58" t="e">
        <f t="shared" si="84"/>
        <v>#DIV/0!</v>
      </c>
      <c r="DB19" s="48" t="e">
        <f t="shared" si="85"/>
        <v>#DIV/0!</v>
      </c>
      <c r="DC19" s="48" t="e">
        <f t="shared" si="86"/>
        <v>#DIV/0!</v>
      </c>
      <c r="DD19" s="48" t="e">
        <f t="shared" si="87"/>
        <v>#DIV/0!</v>
      </c>
      <c r="DE19" s="48" t="e">
        <f t="shared" si="88"/>
        <v>#DIV/0!</v>
      </c>
      <c r="DF19" s="48" t="e">
        <f t="shared" si="89"/>
        <v>#DIV/0!</v>
      </c>
      <c r="DG19" s="48" t="e">
        <f t="shared" si="90"/>
        <v>#DIV/0!</v>
      </c>
      <c r="DH19" s="48">
        <f>SUMIF(FCR!$BZ$4:$DB$500,DG19,FCR!$DE$4:$EG$500)</f>
        <v>0</v>
      </c>
      <c r="DI19" s="48" t="e">
        <f t="shared" si="91"/>
        <v>#DIV/0!</v>
      </c>
      <c r="DJ19" s="48">
        <f>SUMIF(FCR!$BZ$4:$DB$142,DI19,FCR!$DE$4:$EG$142)</f>
        <v>0</v>
      </c>
      <c r="DK19" s="48" t="e">
        <f t="shared" si="92"/>
        <v>#DIV/0!</v>
      </c>
      <c r="DL19" s="55" t="e">
        <f t="shared" si="93"/>
        <v>#DIV/0!</v>
      </c>
      <c r="DM19" s="48" t="e">
        <f t="shared" si="94"/>
        <v>#DIV/0!</v>
      </c>
      <c r="DN19" s="48">
        <f>SUMIF(FCR!$BZ$4:$DB$142,DM19,FCR!$DE$4:$EG$142)</f>
        <v>0</v>
      </c>
      <c r="DO19" s="53" t="e">
        <f t="shared" si="95"/>
        <v>#DIV/0!</v>
      </c>
      <c r="DP19" s="55" t="e">
        <f t="shared" si="96"/>
        <v>#DIV/0!</v>
      </c>
      <c r="DQ19" s="55" t="e">
        <f t="shared" si="97"/>
        <v>#DIV/0!</v>
      </c>
      <c r="DR19" s="55"/>
      <c r="DS19" s="55" t="e">
        <f t="shared" si="98"/>
        <v>#DIV/0!</v>
      </c>
      <c r="DT19" s="55" t="e">
        <f t="shared" si="99"/>
        <v>#DIV/0!</v>
      </c>
      <c r="DU19" s="53">
        <f t="shared" si="100"/>
        <v>0</v>
      </c>
      <c r="DV19" s="59" t="e">
        <f t="shared" si="101"/>
        <v>#DIV/0!</v>
      </c>
    </row>
    <row r="20" spans="30:126">
      <c r="AD20" s="49" t="s">
        <v>411</v>
      </c>
      <c r="AE20" s="49">
        <f t="shared" si="24"/>
        <v>0</v>
      </c>
      <c r="AF20" s="49">
        <f t="shared" si="48"/>
        <v>0</v>
      </c>
      <c r="AG20" s="114">
        <f t="shared" si="49"/>
        <v>0</v>
      </c>
      <c r="AH20" s="104">
        <f t="shared" si="50"/>
        <v>0</v>
      </c>
      <c r="AI20" s="104">
        <f t="shared" si="51"/>
        <v>0</v>
      </c>
      <c r="AJ20" s="104">
        <f t="shared" si="52"/>
        <v>0</v>
      </c>
      <c r="AK20" s="104">
        <f t="shared" si="53"/>
        <v>0</v>
      </c>
      <c r="AL20" s="104">
        <f t="shared" si="54"/>
        <v>0</v>
      </c>
      <c r="AM20" s="104">
        <f t="shared" si="55"/>
        <v>0</v>
      </c>
      <c r="AN20" s="104">
        <f t="shared" si="56"/>
        <v>0</v>
      </c>
      <c r="AO20" s="104">
        <f t="shared" si="57"/>
        <v>0</v>
      </c>
      <c r="AP20" s="104">
        <f t="shared" si="58"/>
        <v>0</v>
      </c>
      <c r="AQ20" s="49">
        <f t="shared" si="59"/>
        <v>0</v>
      </c>
      <c r="AR20" s="104">
        <f t="shared" si="60"/>
        <v>0</v>
      </c>
      <c r="AS20" s="104">
        <f t="shared" si="61"/>
        <v>0</v>
      </c>
      <c r="AT20" s="104">
        <f t="shared" si="62"/>
        <v>0</v>
      </c>
      <c r="AU20" s="104">
        <f t="shared" si="63"/>
        <v>0</v>
      </c>
      <c r="BF20" s="49">
        <f t="shared" si="64"/>
        <v>0</v>
      </c>
      <c r="BG20" s="49">
        <f t="shared" si="65"/>
        <v>0</v>
      </c>
      <c r="BH20" s="54" t="e">
        <f t="shared" si="66"/>
        <v>#DIV/0!</v>
      </c>
      <c r="BI20" s="112" t="e">
        <f t="shared" si="67"/>
        <v>#DIV/0!</v>
      </c>
      <c r="BK20" s="55" t="e">
        <f t="shared" si="68"/>
        <v>#DIV/0!</v>
      </c>
      <c r="BL20" s="55" t="e">
        <f t="shared" si="69"/>
        <v>#DIV/0!</v>
      </c>
      <c r="BM20" s="55" t="e">
        <f t="shared" si="70"/>
        <v>#DIV/0!</v>
      </c>
      <c r="BN20" s="53">
        <f t="shared" si="71"/>
        <v>0</v>
      </c>
      <c r="BO20" s="112" t="e">
        <f t="shared" si="72"/>
        <v>#DIV/0!</v>
      </c>
      <c r="BR20" s="53" t="e">
        <f t="shared" si="73"/>
        <v>#DIV/0!</v>
      </c>
      <c r="BS20" s="53">
        <f t="shared" si="74"/>
        <v>0</v>
      </c>
      <c r="BT20" s="53">
        <f t="shared" si="75"/>
        <v>0</v>
      </c>
      <c r="BU20" s="56" t="e">
        <f t="shared" si="76"/>
        <v>#DIV/0!</v>
      </c>
      <c r="BX20" s="60"/>
      <c r="BY20" s="60"/>
      <c r="BZ20" s="60"/>
      <c r="CA20" s="60"/>
      <c r="CB20" s="60"/>
      <c r="CC20" s="60"/>
      <c r="CD20" s="60"/>
      <c r="CE20" s="60"/>
      <c r="CF20" s="60"/>
      <c r="CG20" s="60"/>
      <c r="CH20" s="60"/>
      <c r="CI20" s="60"/>
      <c r="CJ20" s="60"/>
      <c r="CK20" s="60"/>
      <c r="CL20" s="60"/>
      <c r="CM20" s="60"/>
      <c r="CN20" s="60"/>
      <c r="CO20" s="60"/>
      <c r="CP20" s="60"/>
      <c r="CQ20" s="60"/>
      <c r="CR20" s="60"/>
      <c r="CS20" s="60"/>
      <c r="CT20" s="57">
        <f t="shared" si="77"/>
        <v>0</v>
      </c>
      <c r="CU20" s="57">
        <f t="shared" si="78"/>
        <v>0</v>
      </c>
      <c r="CV20" s="53">
        <f t="shared" si="79"/>
        <v>0</v>
      </c>
      <c r="CW20" s="53">
        <f t="shared" si="80"/>
        <v>0</v>
      </c>
      <c r="CX20" s="58" t="e">
        <f t="shared" si="81"/>
        <v>#DIV/0!</v>
      </c>
      <c r="CY20" s="53">
        <f t="shared" si="82"/>
        <v>0</v>
      </c>
      <c r="CZ20" s="53">
        <f t="shared" si="83"/>
        <v>0</v>
      </c>
      <c r="DA20" s="58" t="e">
        <f t="shared" si="84"/>
        <v>#DIV/0!</v>
      </c>
      <c r="DB20" s="48" t="e">
        <f t="shared" si="85"/>
        <v>#DIV/0!</v>
      </c>
      <c r="DC20" s="48" t="e">
        <f t="shared" si="86"/>
        <v>#DIV/0!</v>
      </c>
      <c r="DD20" s="48" t="e">
        <f t="shared" si="87"/>
        <v>#DIV/0!</v>
      </c>
      <c r="DE20" s="48" t="e">
        <f t="shared" si="88"/>
        <v>#DIV/0!</v>
      </c>
      <c r="DF20" s="48" t="e">
        <f t="shared" si="89"/>
        <v>#DIV/0!</v>
      </c>
      <c r="DG20" s="48" t="e">
        <f t="shared" si="90"/>
        <v>#DIV/0!</v>
      </c>
      <c r="DH20" s="48">
        <f>SUMIF(FCR!$BZ$4:$DB$500,DG20,FCR!$DE$4:$EG$500)</f>
        <v>0</v>
      </c>
      <c r="DI20" s="48" t="e">
        <f t="shared" si="91"/>
        <v>#DIV/0!</v>
      </c>
      <c r="DJ20" s="48">
        <f>SUMIF(FCR!$BZ$4:$DB$142,DI20,FCR!$DE$4:$EG$142)</f>
        <v>0</v>
      </c>
      <c r="DK20" s="48" t="e">
        <f t="shared" si="92"/>
        <v>#DIV/0!</v>
      </c>
      <c r="DL20" s="55" t="e">
        <f t="shared" si="93"/>
        <v>#DIV/0!</v>
      </c>
      <c r="DM20" s="48" t="e">
        <f t="shared" si="94"/>
        <v>#DIV/0!</v>
      </c>
      <c r="DN20" s="48">
        <f>SUMIF(FCR!$BZ$4:$DB$142,DM20,FCR!$DE$4:$EG$142)</f>
        <v>0</v>
      </c>
      <c r="DO20" s="53" t="e">
        <f t="shared" si="95"/>
        <v>#DIV/0!</v>
      </c>
      <c r="DP20" s="55" t="e">
        <f t="shared" si="96"/>
        <v>#DIV/0!</v>
      </c>
      <c r="DQ20" s="55" t="e">
        <f t="shared" si="97"/>
        <v>#DIV/0!</v>
      </c>
      <c r="DR20" s="55"/>
      <c r="DS20" s="55" t="e">
        <f t="shared" si="98"/>
        <v>#DIV/0!</v>
      </c>
      <c r="DT20" s="55" t="e">
        <f t="shared" si="99"/>
        <v>#DIV/0!</v>
      </c>
      <c r="DU20" s="53">
        <f t="shared" si="100"/>
        <v>0</v>
      </c>
      <c r="DV20" s="59" t="e">
        <f t="shared" si="101"/>
        <v>#DIV/0!</v>
      </c>
    </row>
    <row r="21" spans="30:126">
      <c r="AD21" s="49" t="s">
        <v>411</v>
      </c>
      <c r="AE21" s="49">
        <f t="shared" si="24"/>
        <v>0</v>
      </c>
      <c r="AF21" s="49">
        <f t="shared" si="48"/>
        <v>0</v>
      </c>
      <c r="AG21" s="114">
        <f t="shared" si="49"/>
        <v>0</v>
      </c>
      <c r="AH21" s="104">
        <f t="shared" si="50"/>
        <v>0</v>
      </c>
      <c r="AI21" s="104">
        <f t="shared" si="51"/>
        <v>0</v>
      </c>
      <c r="AJ21" s="104">
        <f t="shared" si="52"/>
        <v>0</v>
      </c>
      <c r="AK21" s="104">
        <f t="shared" si="53"/>
        <v>0</v>
      </c>
      <c r="AL21" s="104">
        <f t="shared" si="54"/>
        <v>0</v>
      </c>
      <c r="AM21" s="104">
        <f t="shared" si="55"/>
        <v>0</v>
      </c>
      <c r="AN21" s="104">
        <f t="shared" si="56"/>
        <v>0</v>
      </c>
      <c r="AO21" s="104">
        <f t="shared" si="57"/>
        <v>0</v>
      </c>
      <c r="AP21" s="104">
        <f t="shared" si="58"/>
        <v>0</v>
      </c>
      <c r="AQ21" s="49">
        <f t="shared" si="59"/>
        <v>0</v>
      </c>
      <c r="AR21" s="104">
        <f t="shared" si="60"/>
        <v>0</v>
      </c>
      <c r="AS21" s="104">
        <f t="shared" si="61"/>
        <v>0</v>
      </c>
      <c r="AT21" s="104">
        <f t="shared" si="62"/>
        <v>0</v>
      </c>
      <c r="AU21" s="104">
        <f t="shared" si="63"/>
        <v>0</v>
      </c>
      <c r="BF21" s="49">
        <f t="shared" si="64"/>
        <v>0</v>
      </c>
      <c r="BG21" s="49">
        <f t="shared" si="65"/>
        <v>0</v>
      </c>
      <c r="BH21" s="54" t="e">
        <f t="shared" si="66"/>
        <v>#DIV/0!</v>
      </c>
      <c r="BI21" s="112" t="e">
        <f t="shared" si="67"/>
        <v>#DIV/0!</v>
      </c>
      <c r="BK21" s="55" t="e">
        <f t="shared" si="68"/>
        <v>#DIV/0!</v>
      </c>
      <c r="BL21" s="55" t="e">
        <f t="shared" si="69"/>
        <v>#DIV/0!</v>
      </c>
      <c r="BM21" s="55" t="e">
        <f t="shared" si="70"/>
        <v>#DIV/0!</v>
      </c>
      <c r="BN21" s="53">
        <f t="shared" si="71"/>
        <v>0</v>
      </c>
      <c r="BO21" s="112" t="e">
        <f t="shared" si="72"/>
        <v>#DIV/0!</v>
      </c>
      <c r="BR21" s="53" t="e">
        <f t="shared" si="73"/>
        <v>#DIV/0!</v>
      </c>
      <c r="BS21" s="53">
        <f t="shared" si="74"/>
        <v>0</v>
      </c>
      <c r="BT21" s="53">
        <f t="shared" si="75"/>
        <v>0</v>
      </c>
      <c r="BU21" s="56" t="e">
        <f t="shared" si="76"/>
        <v>#DIV/0!</v>
      </c>
      <c r="BX21" s="60"/>
      <c r="BY21" s="60"/>
      <c r="BZ21" s="60"/>
      <c r="CA21" s="60"/>
      <c r="CB21" s="60"/>
      <c r="CC21" s="60"/>
      <c r="CD21" s="60"/>
      <c r="CE21" s="60"/>
      <c r="CF21" s="60"/>
      <c r="CG21" s="60"/>
      <c r="CH21" s="60"/>
      <c r="CI21" s="60"/>
      <c r="CJ21" s="60"/>
      <c r="CK21" s="60"/>
      <c r="CL21" s="60"/>
      <c r="CM21" s="60"/>
      <c r="CN21" s="60"/>
      <c r="CO21" s="60"/>
      <c r="CP21" s="60"/>
      <c r="CQ21" s="60"/>
      <c r="CR21" s="60"/>
      <c r="CS21" s="60"/>
      <c r="CT21" s="57">
        <f t="shared" si="77"/>
        <v>0</v>
      </c>
      <c r="CU21" s="57">
        <f t="shared" si="78"/>
        <v>0</v>
      </c>
      <c r="CV21" s="53">
        <f t="shared" si="79"/>
        <v>0</v>
      </c>
      <c r="CW21" s="53">
        <f t="shared" si="80"/>
        <v>0</v>
      </c>
      <c r="CX21" s="58" t="e">
        <f t="shared" si="81"/>
        <v>#DIV/0!</v>
      </c>
      <c r="CY21" s="53">
        <f t="shared" si="82"/>
        <v>0</v>
      </c>
      <c r="CZ21" s="53">
        <f t="shared" si="83"/>
        <v>0</v>
      </c>
      <c r="DA21" s="58" t="e">
        <f t="shared" si="84"/>
        <v>#DIV/0!</v>
      </c>
      <c r="DB21" s="48" t="e">
        <f t="shared" si="85"/>
        <v>#DIV/0!</v>
      </c>
      <c r="DC21" s="48" t="e">
        <f t="shared" si="86"/>
        <v>#DIV/0!</v>
      </c>
      <c r="DD21" s="48" t="e">
        <f t="shared" si="87"/>
        <v>#DIV/0!</v>
      </c>
      <c r="DE21" s="48" t="e">
        <f t="shared" si="88"/>
        <v>#DIV/0!</v>
      </c>
      <c r="DF21" s="48" t="e">
        <f t="shared" si="89"/>
        <v>#DIV/0!</v>
      </c>
      <c r="DG21" s="48" t="e">
        <f t="shared" si="90"/>
        <v>#DIV/0!</v>
      </c>
      <c r="DH21" s="48">
        <f>SUMIF(FCR!$BZ$4:$DB$500,DG21,FCR!$DE$4:$EG$500)</f>
        <v>0</v>
      </c>
      <c r="DI21" s="48" t="e">
        <f t="shared" si="91"/>
        <v>#DIV/0!</v>
      </c>
      <c r="DJ21" s="48">
        <f>SUMIF(FCR!$BZ$4:$DB$142,DI21,FCR!$DE$4:$EG$142)</f>
        <v>0</v>
      </c>
      <c r="DK21" s="48" t="e">
        <f t="shared" si="92"/>
        <v>#DIV/0!</v>
      </c>
      <c r="DL21" s="55" t="e">
        <f t="shared" si="93"/>
        <v>#DIV/0!</v>
      </c>
      <c r="DM21" s="48" t="e">
        <f t="shared" si="94"/>
        <v>#DIV/0!</v>
      </c>
      <c r="DN21" s="48">
        <f>SUMIF(FCR!$BZ$4:$DB$142,DM21,FCR!$DE$4:$EG$142)</f>
        <v>0</v>
      </c>
      <c r="DO21" s="53" t="e">
        <f t="shared" si="95"/>
        <v>#DIV/0!</v>
      </c>
      <c r="DP21" s="55" t="e">
        <f t="shared" si="96"/>
        <v>#DIV/0!</v>
      </c>
      <c r="DQ21" s="55" t="e">
        <f t="shared" si="97"/>
        <v>#DIV/0!</v>
      </c>
      <c r="DR21" s="55"/>
      <c r="DS21" s="55" t="e">
        <f t="shared" si="98"/>
        <v>#DIV/0!</v>
      </c>
      <c r="DT21" s="55" t="e">
        <f t="shared" si="99"/>
        <v>#DIV/0!</v>
      </c>
      <c r="DU21" s="53">
        <f t="shared" si="100"/>
        <v>0</v>
      </c>
      <c r="DV21" s="59" t="e">
        <f t="shared" si="101"/>
        <v>#DIV/0!</v>
      </c>
    </row>
    <row r="22" spans="30:126">
      <c r="AD22" s="49" t="s">
        <v>411</v>
      </c>
      <c r="AE22" s="49">
        <f t="shared" si="24"/>
        <v>0</v>
      </c>
      <c r="AF22" s="49">
        <f t="shared" si="48"/>
        <v>0</v>
      </c>
      <c r="AG22" s="114">
        <f t="shared" si="49"/>
        <v>0</v>
      </c>
      <c r="AH22" s="104">
        <f t="shared" si="50"/>
        <v>0</v>
      </c>
      <c r="AI22" s="104">
        <f t="shared" si="51"/>
        <v>0</v>
      </c>
      <c r="AJ22" s="104">
        <f t="shared" si="52"/>
        <v>0</v>
      </c>
      <c r="AK22" s="104">
        <f t="shared" si="53"/>
        <v>0</v>
      </c>
      <c r="AL22" s="104">
        <f t="shared" si="54"/>
        <v>0</v>
      </c>
      <c r="AM22" s="104">
        <f t="shared" si="55"/>
        <v>0</v>
      </c>
      <c r="AN22" s="104">
        <f t="shared" si="56"/>
        <v>0</v>
      </c>
      <c r="AO22" s="104">
        <f t="shared" si="57"/>
        <v>0</v>
      </c>
      <c r="AP22" s="104">
        <f t="shared" si="58"/>
        <v>0</v>
      </c>
      <c r="AQ22" s="49">
        <f t="shared" si="59"/>
        <v>0</v>
      </c>
      <c r="AR22" s="104">
        <f t="shared" si="60"/>
        <v>0</v>
      </c>
      <c r="AS22" s="104">
        <f t="shared" si="61"/>
        <v>0</v>
      </c>
      <c r="AT22" s="104">
        <f t="shared" si="62"/>
        <v>0</v>
      </c>
      <c r="AU22" s="104">
        <f t="shared" si="63"/>
        <v>0</v>
      </c>
      <c r="BF22" s="49">
        <f t="shared" si="64"/>
        <v>0</v>
      </c>
      <c r="BG22" s="49">
        <f t="shared" si="65"/>
        <v>0</v>
      </c>
      <c r="BH22" s="54" t="e">
        <f t="shared" si="66"/>
        <v>#DIV/0!</v>
      </c>
      <c r="BI22" s="112" t="e">
        <f t="shared" si="67"/>
        <v>#DIV/0!</v>
      </c>
      <c r="BK22" s="55" t="e">
        <f t="shared" si="68"/>
        <v>#DIV/0!</v>
      </c>
      <c r="BL22" s="55" t="e">
        <f t="shared" si="69"/>
        <v>#DIV/0!</v>
      </c>
      <c r="BM22" s="55" t="e">
        <f t="shared" si="70"/>
        <v>#DIV/0!</v>
      </c>
      <c r="BN22" s="53">
        <f t="shared" si="71"/>
        <v>0</v>
      </c>
      <c r="BO22" s="112" t="e">
        <f t="shared" si="72"/>
        <v>#DIV/0!</v>
      </c>
      <c r="BR22" s="53" t="e">
        <f t="shared" si="73"/>
        <v>#DIV/0!</v>
      </c>
      <c r="BS22" s="53">
        <f t="shared" si="74"/>
        <v>0</v>
      </c>
      <c r="BT22" s="53">
        <f t="shared" si="75"/>
        <v>0</v>
      </c>
      <c r="BU22" s="56" t="e">
        <f t="shared" si="76"/>
        <v>#DIV/0!</v>
      </c>
      <c r="BX22" s="60"/>
      <c r="BY22" s="60"/>
      <c r="BZ22" s="60"/>
      <c r="CA22" s="60"/>
      <c r="CB22" s="60"/>
      <c r="CC22" s="60"/>
      <c r="CD22" s="60"/>
      <c r="CE22" s="60"/>
      <c r="CF22" s="60"/>
      <c r="CG22" s="60"/>
      <c r="CH22" s="60"/>
      <c r="CI22" s="60"/>
      <c r="CJ22" s="60"/>
      <c r="CK22" s="60"/>
      <c r="CL22" s="60"/>
      <c r="CM22" s="60"/>
      <c r="CN22" s="60"/>
      <c r="CO22" s="60"/>
      <c r="CP22" s="60"/>
      <c r="CQ22" s="60"/>
      <c r="CR22" s="60"/>
      <c r="CS22" s="60"/>
      <c r="CT22" s="57">
        <f t="shared" si="77"/>
        <v>0</v>
      </c>
      <c r="CU22" s="57">
        <f t="shared" si="78"/>
        <v>0</v>
      </c>
      <c r="CV22" s="53">
        <f t="shared" si="79"/>
        <v>0</v>
      </c>
      <c r="CW22" s="53">
        <f t="shared" si="80"/>
        <v>0</v>
      </c>
      <c r="CX22" s="58" t="e">
        <f t="shared" si="81"/>
        <v>#DIV/0!</v>
      </c>
      <c r="CY22" s="53">
        <f t="shared" si="82"/>
        <v>0</v>
      </c>
      <c r="CZ22" s="53">
        <f t="shared" si="83"/>
        <v>0</v>
      </c>
      <c r="DA22" s="58" t="e">
        <f t="shared" si="84"/>
        <v>#DIV/0!</v>
      </c>
      <c r="DB22" s="48" t="e">
        <f t="shared" si="85"/>
        <v>#DIV/0!</v>
      </c>
      <c r="DC22" s="48" t="e">
        <f t="shared" si="86"/>
        <v>#DIV/0!</v>
      </c>
      <c r="DD22" s="48" t="e">
        <f t="shared" si="87"/>
        <v>#DIV/0!</v>
      </c>
      <c r="DE22" s="48" t="e">
        <f t="shared" si="88"/>
        <v>#DIV/0!</v>
      </c>
      <c r="DF22" s="48" t="e">
        <f t="shared" si="89"/>
        <v>#DIV/0!</v>
      </c>
      <c r="DG22" s="48" t="e">
        <f t="shared" si="90"/>
        <v>#DIV/0!</v>
      </c>
      <c r="DH22" s="48">
        <f>SUMIF(FCR!$BZ$4:$DB$500,DG22,FCR!$DE$4:$EG$500)</f>
        <v>0</v>
      </c>
      <c r="DI22" s="48" t="e">
        <f t="shared" si="91"/>
        <v>#DIV/0!</v>
      </c>
      <c r="DJ22" s="48">
        <f>SUMIF(FCR!$BZ$4:$DB$142,DI22,FCR!$DE$4:$EG$142)</f>
        <v>0</v>
      </c>
      <c r="DK22" s="48" t="e">
        <f t="shared" si="92"/>
        <v>#DIV/0!</v>
      </c>
      <c r="DL22" s="55" t="e">
        <f t="shared" si="93"/>
        <v>#DIV/0!</v>
      </c>
      <c r="DM22" s="48" t="e">
        <f t="shared" si="94"/>
        <v>#DIV/0!</v>
      </c>
      <c r="DN22" s="48">
        <f>SUMIF(FCR!$BZ$4:$DB$142,DM22,FCR!$DE$4:$EG$142)</f>
        <v>0</v>
      </c>
      <c r="DO22" s="53" t="e">
        <f t="shared" si="95"/>
        <v>#DIV/0!</v>
      </c>
      <c r="DP22" s="55" t="e">
        <f t="shared" si="96"/>
        <v>#DIV/0!</v>
      </c>
      <c r="DQ22" s="55" t="e">
        <f t="shared" si="97"/>
        <v>#DIV/0!</v>
      </c>
      <c r="DR22" s="55"/>
      <c r="DS22" s="55" t="e">
        <f t="shared" si="98"/>
        <v>#DIV/0!</v>
      </c>
      <c r="DT22" s="55" t="e">
        <f t="shared" si="99"/>
        <v>#DIV/0!</v>
      </c>
      <c r="DU22" s="53">
        <f t="shared" si="100"/>
        <v>0</v>
      </c>
      <c r="DV22" s="59" t="e">
        <f t="shared" si="101"/>
        <v>#DIV/0!</v>
      </c>
    </row>
    <row r="23" spans="30:126">
      <c r="AD23" s="49" t="s">
        <v>411</v>
      </c>
      <c r="AE23" s="49">
        <f t="shared" si="24"/>
        <v>0</v>
      </c>
      <c r="AF23" s="49">
        <f t="shared" si="48"/>
        <v>0</v>
      </c>
      <c r="AG23" s="114">
        <f t="shared" si="49"/>
        <v>0</v>
      </c>
      <c r="AH23" s="104">
        <f t="shared" si="50"/>
        <v>0</v>
      </c>
      <c r="AI23" s="104">
        <f t="shared" si="51"/>
        <v>0</v>
      </c>
      <c r="AJ23" s="104">
        <f t="shared" si="52"/>
        <v>0</v>
      </c>
      <c r="AK23" s="104">
        <f t="shared" si="53"/>
        <v>0</v>
      </c>
      <c r="AL23" s="104">
        <f t="shared" si="54"/>
        <v>0</v>
      </c>
      <c r="AM23" s="104">
        <f t="shared" si="55"/>
        <v>0</v>
      </c>
      <c r="AN23" s="104">
        <f t="shared" si="56"/>
        <v>0</v>
      </c>
      <c r="AO23" s="104">
        <f t="shared" si="57"/>
        <v>0</v>
      </c>
      <c r="AP23" s="104">
        <f t="shared" si="58"/>
        <v>0</v>
      </c>
      <c r="AQ23" s="49">
        <f t="shared" si="59"/>
        <v>0</v>
      </c>
      <c r="AR23" s="104">
        <f t="shared" si="60"/>
        <v>0</v>
      </c>
      <c r="AS23" s="104">
        <f t="shared" si="61"/>
        <v>0</v>
      </c>
      <c r="AT23" s="104">
        <f t="shared" si="62"/>
        <v>0</v>
      </c>
      <c r="AU23" s="104">
        <f t="shared" si="63"/>
        <v>0</v>
      </c>
      <c r="BF23" s="49">
        <f t="shared" si="64"/>
        <v>0</v>
      </c>
      <c r="BG23" s="49">
        <f t="shared" si="65"/>
        <v>0</v>
      </c>
      <c r="BH23" s="54" t="e">
        <f t="shared" si="66"/>
        <v>#DIV/0!</v>
      </c>
      <c r="BI23" s="112" t="e">
        <f t="shared" si="67"/>
        <v>#DIV/0!</v>
      </c>
      <c r="BK23" s="55" t="e">
        <f t="shared" si="68"/>
        <v>#DIV/0!</v>
      </c>
      <c r="BL23" s="55" t="e">
        <f t="shared" si="69"/>
        <v>#DIV/0!</v>
      </c>
      <c r="BM23" s="55" t="e">
        <f t="shared" si="70"/>
        <v>#DIV/0!</v>
      </c>
      <c r="BN23" s="53">
        <f t="shared" si="71"/>
        <v>0</v>
      </c>
      <c r="BO23" s="112" t="e">
        <f t="shared" si="72"/>
        <v>#DIV/0!</v>
      </c>
      <c r="BR23" s="53" t="e">
        <f t="shared" si="73"/>
        <v>#DIV/0!</v>
      </c>
      <c r="BS23" s="53">
        <f t="shared" si="74"/>
        <v>0</v>
      </c>
      <c r="BT23" s="53">
        <f t="shared" si="75"/>
        <v>0</v>
      </c>
      <c r="BU23" s="56" t="e">
        <f t="shared" si="76"/>
        <v>#DIV/0!</v>
      </c>
      <c r="BX23" s="60"/>
      <c r="BY23" s="60"/>
      <c r="BZ23" s="60"/>
      <c r="CA23" s="60"/>
      <c r="CB23" s="60"/>
      <c r="CC23" s="60"/>
      <c r="CD23" s="60"/>
      <c r="CE23" s="60"/>
      <c r="CF23" s="60"/>
      <c r="CG23" s="60"/>
      <c r="CH23" s="60"/>
      <c r="CI23" s="60"/>
      <c r="CJ23" s="60"/>
      <c r="CK23" s="60"/>
      <c r="CL23" s="60"/>
      <c r="CM23" s="60"/>
      <c r="CN23" s="60"/>
      <c r="CO23" s="60"/>
      <c r="CP23" s="60"/>
      <c r="CQ23" s="60"/>
      <c r="CR23" s="60"/>
      <c r="CS23" s="60"/>
      <c r="CT23" s="57">
        <f t="shared" si="77"/>
        <v>0</v>
      </c>
      <c r="CU23" s="57">
        <f t="shared" si="78"/>
        <v>0</v>
      </c>
      <c r="CV23" s="53">
        <f t="shared" si="79"/>
        <v>0</v>
      </c>
      <c r="CW23" s="53">
        <f t="shared" si="80"/>
        <v>0</v>
      </c>
      <c r="CX23" s="58" t="e">
        <f t="shared" si="81"/>
        <v>#DIV/0!</v>
      </c>
      <c r="CY23" s="53">
        <f t="shared" si="82"/>
        <v>0</v>
      </c>
      <c r="CZ23" s="53">
        <f t="shared" si="83"/>
        <v>0</v>
      </c>
      <c r="DA23" s="58" t="e">
        <f t="shared" si="84"/>
        <v>#DIV/0!</v>
      </c>
      <c r="DB23" s="48" t="e">
        <f t="shared" si="85"/>
        <v>#DIV/0!</v>
      </c>
      <c r="DC23" s="48" t="e">
        <f t="shared" si="86"/>
        <v>#DIV/0!</v>
      </c>
      <c r="DD23" s="48" t="e">
        <f t="shared" si="87"/>
        <v>#DIV/0!</v>
      </c>
      <c r="DE23" s="48" t="e">
        <f t="shared" si="88"/>
        <v>#DIV/0!</v>
      </c>
      <c r="DF23" s="48" t="e">
        <f t="shared" si="89"/>
        <v>#DIV/0!</v>
      </c>
      <c r="DG23" s="48" t="e">
        <f t="shared" si="90"/>
        <v>#DIV/0!</v>
      </c>
      <c r="DH23" s="48">
        <f>SUMIF(FCR!$BZ$4:$DB$500,DG23,FCR!$DE$4:$EG$500)</f>
        <v>0</v>
      </c>
      <c r="DI23" s="48" t="e">
        <f t="shared" si="91"/>
        <v>#DIV/0!</v>
      </c>
      <c r="DJ23" s="48">
        <f>SUMIF(FCR!$BZ$4:$DB$142,DI23,FCR!$DE$4:$EG$142)</f>
        <v>0</v>
      </c>
      <c r="DK23" s="48" t="e">
        <f t="shared" si="92"/>
        <v>#DIV/0!</v>
      </c>
      <c r="DL23" s="55" t="e">
        <f t="shared" si="93"/>
        <v>#DIV/0!</v>
      </c>
      <c r="DM23" s="48" t="e">
        <f t="shared" si="94"/>
        <v>#DIV/0!</v>
      </c>
      <c r="DN23" s="48">
        <f>SUMIF(FCR!$BZ$4:$DB$142,DM23,FCR!$DE$4:$EG$142)</f>
        <v>0</v>
      </c>
      <c r="DO23" s="53" t="e">
        <f t="shared" si="95"/>
        <v>#DIV/0!</v>
      </c>
      <c r="DP23" s="55" t="e">
        <f t="shared" si="96"/>
        <v>#DIV/0!</v>
      </c>
      <c r="DQ23" s="55" t="e">
        <f t="shared" si="97"/>
        <v>#DIV/0!</v>
      </c>
      <c r="DR23" s="55"/>
      <c r="DS23" s="55" t="e">
        <f t="shared" si="98"/>
        <v>#DIV/0!</v>
      </c>
      <c r="DT23" s="55" t="e">
        <f t="shared" si="99"/>
        <v>#DIV/0!</v>
      </c>
      <c r="DU23" s="53">
        <f t="shared" si="100"/>
        <v>0</v>
      </c>
      <c r="DV23" s="59" t="e">
        <f t="shared" si="101"/>
        <v>#DIV/0!</v>
      </c>
    </row>
    <row r="24" spans="30:126">
      <c r="AD24" s="49" t="s">
        <v>411</v>
      </c>
      <c r="AE24" s="49">
        <f t="shared" si="24"/>
        <v>0</v>
      </c>
      <c r="AF24" s="49">
        <f t="shared" si="48"/>
        <v>0</v>
      </c>
      <c r="AG24" s="114">
        <f t="shared" si="49"/>
        <v>0</v>
      </c>
      <c r="AH24" s="104">
        <f t="shared" si="50"/>
        <v>0</v>
      </c>
      <c r="AI24" s="104">
        <f t="shared" si="51"/>
        <v>0</v>
      </c>
      <c r="AJ24" s="104">
        <f t="shared" si="52"/>
        <v>0</v>
      </c>
      <c r="AK24" s="104">
        <f t="shared" si="53"/>
        <v>0</v>
      </c>
      <c r="AL24" s="104">
        <f t="shared" si="54"/>
        <v>0</v>
      </c>
      <c r="AM24" s="104">
        <f t="shared" si="55"/>
        <v>0</v>
      </c>
      <c r="AN24" s="104">
        <f t="shared" si="56"/>
        <v>0</v>
      </c>
      <c r="AO24" s="104">
        <f t="shared" si="57"/>
        <v>0</v>
      </c>
      <c r="AP24" s="104">
        <f t="shared" si="58"/>
        <v>0</v>
      </c>
      <c r="AQ24" s="49">
        <f t="shared" si="59"/>
        <v>0</v>
      </c>
      <c r="AR24" s="104">
        <f t="shared" si="60"/>
        <v>0</v>
      </c>
      <c r="AS24" s="104">
        <f t="shared" si="61"/>
        <v>0</v>
      </c>
      <c r="AT24" s="104">
        <f t="shared" si="62"/>
        <v>0</v>
      </c>
      <c r="AU24" s="104">
        <f t="shared" si="63"/>
        <v>0</v>
      </c>
      <c r="BF24" s="49">
        <f t="shared" si="64"/>
        <v>0</v>
      </c>
      <c r="BG24" s="49">
        <f t="shared" si="65"/>
        <v>0</v>
      </c>
      <c r="BH24" s="54" t="e">
        <f t="shared" si="66"/>
        <v>#DIV/0!</v>
      </c>
      <c r="BI24" s="112" t="e">
        <f t="shared" si="67"/>
        <v>#DIV/0!</v>
      </c>
      <c r="BK24" s="55" t="e">
        <f t="shared" si="68"/>
        <v>#DIV/0!</v>
      </c>
      <c r="BL24" s="55" t="e">
        <f t="shared" si="69"/>
        <v>#DIV/0!</v>
      </c>
      <c r="BM24" s="55" t="e">
        <f t="shared" si="70"/>
        <v>#DIV/0!</v>
      </c>
      <c r="BN24" s="53">
        <f t="shared" si="71"/>
        <v>0</v>
      </c>
      <c r="BO24" s="112" t="e">
        <f t="shared" si="72"/>
        <v>#DIV/0!</v>
      </c>
      <c r="BR24" s="53" t="e">
        <f t="shared" si="73"/>
        <v>#DIV/0!</v>
      </c>
      <c r="BS24" s="53">
        <f t="shared" si="74"/>
        <v>0</v>
      </c>
      <c r="BT24" s="53">
        <f t="shared" si="75"/>
        <v>0</v>
      </c>
      <c r="BU24" s="56" t="e">
        <f t="shared" si="76"/>
        <v>#DIV/0!</v>
      </c>
      <c r="BX24" s="60"/>
      <c r="BY24" s="60"/>
      <c r="BZ24" s="60"/>
      <c r="CA24" s="60"/>
      <c r="CB24" s="60"/>
      <c r="CC24" s="60"/>
      <c r="CD24" s="60"/>
      <c r="CE24" s="60"/>
      <c r="CF24" s="60"/>
      <c r="CG24" s="60"/>
      <c r="CH24" s="60"/>
      <c r="CI24" s="60"/>
      <c r="CJ24" s="60"/>
      <c r="CK24" s="60"/>
      <c r="CL24" s="60"/>
      <c r="CM24" s="60"/>
      <c r="CN24" s="60"/>
      <c r="CO24" s="60"/>
      <c r="CP24" s="60"/>
      <c r="CQ24" s="60"/>
      <c r="CR24" s="60"/>
      <c r="CS24" s="60"/>
      <c r="CT24" s="57">
        <f t="shared" si="77"/>
        <v>0</v>
      </c>
      <c r="CU24" s="57">
        <f t="shared" si="78"/>
        <v>0</v>
      </c>
      <c r="CV24" s="53">
        <f t="shared" si="79"/>
        <v>0</v>
      </c>
      <c r="CW24" s="53">
        <f t="shared" si="80"/>
        <v>0</v>
      </c>
      <c r="CX24" s="58" t="e">
        <f t="shared" si="81"/>
        <v>#DIV/0!</v>
      </c>
      <c r="CY24" s="53">
        <f t="shared" si="82"/>
        <v>0</v>
      </c>
      <c r="CZ24" s="53">
        <f t="shared" si="83"/>
        <v>0</v>
      </c>
      <c r="DA24" s="58" t="e">
        <f t="shared" si="84"/>
        <v>#DIV/0!</v>
      </c>
      <c r="DB24" s="48" t="e">
        <f t="shared" si="85"/>
        <v>#DIV/0!</v>
      </c>
      <c r="DC24" s="48" t="e">
        <f t="shared" si="86"/>
        <v>#DIV/0!</v>
      </c>
      <c r="DD24" s="48" t="e">
        <f t="shared" si="87"/>
        <v>#DIV/0!</v>
      </c>
      <c r="DE24" s="48" t="e">
        <f t="shared" si="88"/>
        <v>#DIV/0!</v>
      </c>
      <c r="DF24" s="48" t="e">
        <f t="shared" si="89"/>
        <v>#DIV/0!</v>
      </c>
      <c r="DG24" s="48" t="e">
        <f t="shared" si="90"/>
        <v>#DIV/0!</v>
      </c>
      <c r="DH24" s="48">
        <f>SUMIF(FCR!$BZ$4:$DB$500,DG24,FCR!$DE$4:$EG$500)</f>
        <v>0</v>
      </c>
      <c r="DI24" s="48" t="e">
        <f t="shared" si="91"/>
        <v>#DIV/0!</v>
      </c>
      <c r="DJ24" s="48">
        <f>SUMIF(FCR!$BZ$4:$DB$142,DI24,FCR!$DE$4:$EG$142)</f>
        <v>0</v>
      </c>
      <c r="DK24" s="48" t="e">
        <f t="shared" si="92"/>
        <v>#DIV/0!</v>
      </c>
      <c r="DL24" s="55" t="e">
        <f t="shared" si="93"/>
        <v>#DIV/0!</v>
      </c>
      <c r="DM24" s="48" t="e">
        <f t="shared" si="94"/>
        <v>#DIV/0!</v>
      </c>
      <c r="DN24" s="48">
        <f>SUMIF(FCR!$BZ$4:$DB$142,DM24,FCR!$DE$4:$EG$142)</f>
        <v>0</v>
      </c>
      <c r="DO24" s="53" t="e">
        <f t="shared" si="95"/>
        <v>#DIV/0!</v>
      </c>
      <c r="DP24" s="55" t="e">
        <f t="shared" si="96"/>
        <v>#DIV/0!</v>
      </c>
      <c r="DQ24" s="55" t="e">
        <f t="shared" si="97"/>
        <v>#DIV/0!</v>
      </c>
      <c r="DR24" s="55"/>
      <c r="DS24" s="55" t="e">
        <f t="shared" si="98"/>
        <v>#DIV/0!</v>
      </c>
      <c r="DT24" s="55" t="e">
        <f t="shared" si="99"/>
        <v>#DIV/0!</v>
      </c>
      <c r="DU24" s="53">
        <f t="shared" si="100"/>
        <v>0</v>
      </c>
      <c r="DV24" s="59" t="e">
        <f t="shared" si="101"/>
        <v>#DIV/0!</v>
      </c>
    </row>
    <row r="25" spans="30:126">
      <c r="AD25" s="49" t="s">
        <v>411</v>
      </c>
      <c r="AE25" s="49">
        <f t="shared" si="24"/>
        <v>0</v>
      </c>
      <c r="AF25" s="49">
        <f t="shared" si="48"/>
        <v>0</v>
      </c>
      <c r="AG25" s="114">
        <f t="shared" si="49"/>
        <v>0</v>
      </c>
      <c r="AH25" s="104">
        <f t="shared" si="50"/>
        <v>0</v>
      </c>
      <c r="AI25" s="104">
        <f t="shared" si="51"/>
        <v>0</v>
      </c>
      <c r="AJ25" s="104">
        <f t="shared" si="52"/>
        <v>0</v>
      </c>
      <c r="AK25" s="104">
        <f t="shared" si="53"/>
        <v>0</v>
      </c>
      <c r="AL25" s="104">
        <f t="shared" si="54"/>
        <v>0</v>
      </c>
      <c r="AM25" s="104">
        <f t="shared" si="55"/>
        <v>0</v>
      </c>
      <c r="AN25" s="104">
        <f t="shared" si="56"/>
        <v>0</v>
      </c>
      <c r="AO25" s="104">
        <f t="shared" si="57"/>
        <v>0</v>
      </c>
      <c r="AP25" s="104">
        <f t="shared" si="58"/>
        <v>0</v>
      </c>
      <c r="AQ25" s="49">
        <f t="shared" si="59"/>
        <v>0</v>
      </c>
      <c r="AR25" s="104">
        <f t="shared" si="60"/>
        <v>0</v>
      </c>
      <c r="AS25" s="104">
        <f t="shared" si="61"/>
        <v>0</v>
      </c>
      <c r="AT25" s="104">
        <f t="shared" si="62"/>
        <v>0</v>
      </c>
      <c r="AU25" s="104">
        <f t="shared" si="63"/>
        <v>0</v>
      </c>
      <c r="BF25" s="49">
        <f t="shared" si="64"/>
        <v>0</v>
      </c>
      <c r="BG25" s="49">
        <f t="shared" si="65"/>
        <v>0</v>
      </c>
      <c r="BH25" s="54" t="e">
        <f t="shared" si="66"/>
        <v>#DIV/0!</v>
      </c>
      <c r="BI25" s="112" t="e">
        <f t="shared" si="67"/>
        <v>#DIV/0!</v>
      </c>
      <c r="BK25" s="55" t="e">
        <f t="shared" si="68"/>
        <v>#DIV/0!</v>
      </c>
      <c r="BL25" s="55" t="e">
        <f t="shared" si="69"/>
        <v>#DIV/0!</v>
      </c>
      <c r="BM25" s="55" t="e">
        <f t="shared" si="70"/>
        <v>#DIV/0!</v>
      </c>
      <c r="BN25" s="53">
        <f t="shared" si="71"/>
        <v>0</v>
      </c>
      <c r="BO25" s="112" t="e">
        <f t="shared" si="72"/>
        <v>#DIV/0!</v>
      </c>
      <c r="BR25" s="53" t="e">
        <f t="shared" si="73"/>
        <v>#DIV/0!</v>
      </c>
      <c r="BS25" s="53">
        <f t="shared" si="74"/>
        <v>0</v>
      </c>
      <c r="BT25" s="53">
        <f t="shared" si="75"/>
        <v>0</v>
      </c>
      <c r="BU25" s="56" t="e">
        <f t="shared" si="76"/>
        <v>#DIV/0!</v>
      </c>
      <c r="BX25" s="60"/>
      <c r="BY25" s="60"/>
      <c r="BZ25" s="60"/>
      <c r="CA25" s="60"/>
      <c r="CB25" s="60"/>
      <c r="CC25" s="60"/>
      <c r="CD25" s="60"/>
      <c r="CE25" s="60"/>
      <c r="CF25" s="60"/>
      <c r="CG25" s="60"/>
      <c r="CH25" s="60"/>
      <c r="CI25" s="60"/>
      <c r="CJ25" s="60"/>
      <c r="CK25" s="60"/>
      <c r="CL25" s="60"/>
      <c r="CM25" s="60"/>
      <c r="CN25" s="60"/>
      <c r="CO25" s="60"/>
      <c r="CP25" s="60"/>
      <c r="CQ25" s="60"/>
      <c r="CR25" s="60"/>
      <c r="CS25" s="60"/>
      <c r="CT25" s="57">
        <f t="shared" si="77"/>
        <v>0</v>
      </c>
      <c r="CU25" s="57">
        <f t="shared" si="78"/>
        <v>0</v>
      </c>
      <c r="CV25" s="53">
        <f t="shared" si="79"/>
        <v>0</v>
      </c>
      <c r="CW25" s="53">
        <f t="shared" si="80"/>
        <v>0</v>
      </c>
      <c r="CX25" s="58" t="e">
        <f t="shared" si="81"/>
        <v>#DIV/0!</v>
      </c>
      <c r="CY25" s="53">
        <f t="shared" si="82"/>
        <v>0</v>
      </c>
      <c r="CZ25" s="53">
        <f t="shared" si="83"/>
        <v>0</v>
      </c>
      <c r="DA25" s="58" t="e">
        <f t="shared" si="84"/>
        <v>#DIV/0!</v>
      </c>
      <c r="DB25" s="48" t="e">
        <f t="shared" si="85"/>
        <v>#DIV/0!</v>
      </c>
      <c r="DC25" s="48" t="e">
        <f t="shared" si="86"/>
        <v>#DIV/0!</v>
      </c>
      <c r="DD25" s="48" t="e">
        <f t="shared" si="87"/>
        <v>#DIV/0!</v>
      </c>
      <c r="DE25" s="48" t="e">
        <f t="shared" si="88"/>
        <v>#DIV/0!</v>
      </c>
      <c r="DF25" s="48" t="e">
        <f t="shared" si="89"/>
        <v>#DIV/0!</v>
      </c>
      <c r="DG25" s="48" t="e">
        <f t="shared" si="90"/>
        <v>#DIV/0!</v>
      </c>
      <c r="DH25" s="48">
        <f>SUMIF(FCR!$BZ$4:$DB$500,DG25,FCR!$DE$4:$EG$500)</f>
        <v>0</v>
      </c>
      <c r="DI25" s="48" t="e">
        <f t="shared" si="91"/>
        <v>#DIV/0!</v>
      </c>
      <c r="DJ25" s="48">
        <f>SUMIF(FCR!$BZ$4:$DB$142,DI25,FCR!$DE$4:$EG$142)</f>
        <v>0</v>
      </c>
      <c r="DK25" s="48" t="e">
        <f t="shared" si="92"/>
        <v>#DIV/0!</v>
      </c>
      <c r="DL25" s="55" t="e">
        <f t="shared" si="93"/>
        <v>#DIV/0!</v>
      </c>
      <c r="DM25" s="48" t="e">
        <f t="shared" si="94"/>
        <v>#DIV/0!</v>
      </c>
      <c r="DN25" s="48">
        <f>SUMIF(FCR!$BZ$4:$DB$142,DM25,FCR!$DE$4:$EG$142)</f>
        <v>0</v>
      </c>
      <c r="DO25" s="53" t="e">
        <f t="shared" si="95"/>
        <v>#DIV/0!</v>
      </c>
      <c r="DP25" s="55" t="e">
        <f t="shared" si="96"/>
        <v>#DIV/0!</v>
      </c>
      <c r="DQ25" s="55" t="e">
        <f t="shared" si="97"/>
        <v>#DIV/0!</v>
      </c>
      <c r="DR25" s="55"/>
      <c r="DS25" s="55" t="e">
        <f t="shared" si="98"/>
        <v>#DIV/0!</v>
      </c>
      <c r="DT25" s="55" t="e">
        <f t="shared" si="99"/>
        <v>#DIV/0!</v>
      </c>
      <c r="DU25" s="53">
        <f t="shared" si="100"/>
        <v>0</v>
      </c>
      <c r="DV25" s="59" t="e">
        <f t="shared" si="101"/>
        <v>#DIV/0!</v>
      </c>
    </row>
    <row r="26" spans="30:126">
      <c r="AD26" s="49" t="s">
        <v>411</v>
      </c>
      <c r="AE26" s="49">
        <f t="shared" si="24"/>
        <v>0</v>
      </c>
      <c r="AF26" s="49">
        <f t="shared" si="48"/>
        <v>0</v>
      </c>
      <c r="AG26" s="114">
        <f t="shared" si="49"/>
        <v>0</v>
      </c>
      <c r="AH26" s="104">
        <f t="shared" si="50"/>
        <v>0</v>
      </c>
      <c r="AI26" s="104">
        <f t="shared" si="51"/>
        <v>0</v>
      </c>
      <c r="AJ26" s="104">
        <f t="shared" si="52"/>
        <v>0</v>
      </c>
      <c r="AK26" s="104">
        <f t="shared" si="53"/>
        <v>0</v>
      </c>
      <c r="AL26" s="104">
        <f t="shared" si="54"/>
        <v>0</v>
      </c>
      <c r="AM26" s="104">
        <f t="shared" si="55"/>
        <v>0</v>
      </c>
      <c r="AN26" s="104">
        <f t="shared" si="56"/>
        <v>0</v>
      </c>
      <c r="AO26" s="104">
        <f t="shared" si="57"/>
        <v>0</v>
      </c>
      <c r="AP26" s="104">
        <f t="shared" si="58"/>
        <v>0</v>
      </c>
      <c r="AQ26" s="49">
        <f t="shared" si="59"/>
        <v>0</v>
      </c>
      <c r="AR26" s="104">
        <f t="shared" si="60"/>
        <v>0</v>
      </c>
      <c r="AS26" s="104">
        <f t="shared" si="61"/>
        <v>0</v>
      </c>
      <c r="AT26" s="104">
        <f t="shared" si="62"/>
        <v>0</v>
      </c>
      <c r="AU26" s="104">
        <f t="shared" si="63"/>
        <v>0</v>
      </c>
      <c r="BF26" s="49">
        <f t="shared" si="64"/>
        <v>0</v>
      </c>
      <c r="BG26" s="49">
        <f t="shared" si="65"/>
        <v>0</v>
      </c>
      <c r="BH26" s="54" t="e">
        <f t="shared" si="66"/>
        <v>#DIV/0!</v>
      </c>
      <c r="BI26" s="112" t="e">
        <f t="shared" si="67"/>
        <v>#DIV/0!</v>
      </c>
      <c r="BK26" s="55" t="e">
        <f t="shared" si="68"/>
        <v>#DIV/0!</v>
      </c>
      <c r="BL26" s="55" t="e">
        <f t="shared" si="69"/>
        <v>#DIV/0!</v>
      </c>
      <c r="BM26" s="55" t="e">
        <f t="shared" si="70"/>
        <v>#DIV/0!</v>
      </c>
      <c r="BN26" s="53">
        <f t="shared" si="71"/>
        <v>0</v>
      </c>
      <c r="BO26" s="112" t="e">
        <f t="shared" si="72"/>
        <v>#DIV/0!</v>
      </c>
      <c r="BR26" s="53" t="e">
        <f t="shared" si="73"/>
        <v>#DIV/0!</v>
      </c>
      <c r="BS26" s="53">
        <f t="shared" si="74"/>
        <v>0</v>
      </c>
      <c r="BT26" s="53">
        <f t="shared" si="75"/>
        <v>0</v>
      </c>
      <c r="BU26" s="56" t="e">
        <f t="shared" si="76"/>
        <v>#DIV/0!</v>
      </c>
      <c r="BX26" s="60"/>
      <c r="BY26" s="60"/>
      <c r="BZ26" s="60"/>
      <c r="CA26" s="60"/>
      <c r="CB26" s="60"/>
      <c r="CC26" s="60"/>
      <c r="CD26" s="60"/>
      <c r="CE26" s="60"/>
      <c r="CF26" s="60"/>
      <c r="CG26" s="60"/>
      <c r="CH26" s="60"/>
      <c r="CI26" s="60"/>
      <c r="CJ26" s="60"/>
      <c r="CK26" s="60"/>
      <c r="CL26" s="60"/>
      <c r="CM26" s="60"/>
      <c r="CN26" s="60"/>
      <c r="CO26" s="60"/>
      <c r="CP26" s="60"/>
      <c r="CQ26" s="60"/>
      <c r="CR26" s="60"/>
      <c r="CS26" s="60"/>
      <c r="CT26" s="57">
        <f t="shared" si="77"/>
        <v>0</v>
      </c>
      <c r="CU26" s="57">
        <f t="shared" si="78"/>
        <v>0</v>
      </c>
      <c r="CV26" s="53">
        <f t="shared" si="79"/>
        <v>0</v>
      </c>
      <c r="CW26" s="53">
        <f t="shared" si="80"/>
        <v>0</v>
      </c>
      <c r="CX26" s="58" t="e">
        <f t="shared" si="81"/>
        <v>#DIV/0!</v>
      </c>
      <c r="CY26" s="53">
        <f t="shared" si="82"/>
        <v>0</v>
      </c>
      <c r="CZ26" s="53">
        <f t="shared" si="83"/>
        <v>0</v>
      </c>
      <c r="DA26" s="58" t="e">
        <f t="shared" si="84"/>
        <v>#DIV/0!</v>
      </c>
      <c r="DB26" s="48" t="e">
        <f t="shared" si="85"/>
        <v>#DIV/0!</v>
      </c>
      <c r="DC26" s="48" t="e">
        <f t="shared" si="86"/>
        <v>#DIV/0!</v>
      </c>
      <c r="DD26" s="48" t="e">
        <f t="shared" si="87"/>
        <v>#DIV/0!</v>
      </c>
      <c r="DE26" s="48" t="e">
        <f t="shared" si="88"/>
        <v>#DIV/0!</v>
      </c>
      <c r="DF26" s="48" t="e">
        <f t="shared" si="89"/>
        <v>#DIV/0!</v>
      </c>
      <c r="DG26" s="48" t="e">
        <f t="shared" si="90"/>
        <v>#DIV/0!</v>
      </c>
      <c r="DH26" s="48">
        <f>SUMIF(FCR!$BZ$4:$DB$500,DG26,FCR!$DE$4:$EG$500)</f>
        <v>0</v>
      </c>
      <c r="DI26" s="48" t="e">
        <f t="shared" si="91"/>
        <v>#DIV/0!</v>
      </c>
      <c r="DJ26" s="48">
        <f>SUMIF(FCR!$BZ$4:$DB$142,DI26,FCR!$DE$4:$EG$142)</f>
        <v>0</v>
      </c>
      <c r="DK26" s="48" t="e">
        <f t="shared" si="92"/>
        <v>#DIV/0!</v>
      </c>
      <c r="DL26" s="55" t="e">
        <f t="shared" si="93"/>
        <v>#DIV/0!</v>
      </c>
      <c r="DM26" s="48" t="e">
        <f t="shared" si="94"/>
        <v>#DIV/0!</v>
      </c>
      <c r="DN26" s="48">
        <f>SUMIF(FCR!$BZ$4:$DB$142,DM26,FCR!$DE$4:$EG$142)</f>
        <v>0</v>
      </c>
      <c r="DO26" s="53" t="e">
        <f t="shared" si="95"/>
        <v>#DIV/0!</v>
      </c>
      <c r="DP26" s="55" t="e">
        <f t="shared" si="96"/>
        <v>#DIV/0!</v>
      </c>
      <c r="DQ26" s="55" t="e">
        <f t="shared" si="97"/>
        <v>#DIV/0!</v>
      </c>
      <c r="DR26" s="55"/>
      <c r="DS26" s="55" t="e">
        <f t="shared" si="98"/>
        <v>#DIV/0!</v>
      </c>
      <c r="DT26" s="55" t="e">
        <f t="shared" si="99"/>
        <v>#DIV/0!</v>
      </c>
      <c r="DU26" s="53">
        <f t="shared" si="100"/>
        <v>0</v>
      </c>
      <c r="DV26" s="59" t="e">
        <f t="shared" si="101"/>
        <v>#DIV/0!</v>
      </c>
    </row>
    <row r="27" spans="30:126">
      <c r="AD27" s="49" t="s">
        <v>411</v>
      </c>
      <c r="AE27" s="49">
        <f t="shared" si="24"/>
        <v>0</v>
      </c>
      <c r="AF27" s="49">
        <f t="shared" si="48"/>
        <v>0</v>
      </c>
      <c r="AG27" s="114">
        <f t="shared" si="49"/>
        <v>0</v>
      </c>
      <c r="AH27" s="104">
        <f t="shared" si="50"/>
        <v>0</v>
      </c>
      <c r="AI27" s="104">
        <f t="shared" si="51"/>
        <v>0</v>
      </c>
      <c r="AJ27" s="104">
        <f t="shared" si="52"/>
        <v>0</v>
      </c>
      <c r="AK27" s="104">
        <f t="shared" si="53"/>
        <v>0</v>
      </c>
      <c r="AL27" s="104">
        <f t="shared" si="54"/>
        <v>0</v>
      </c>
      <c r="AM27" s="104">
        <f t="shared" si="55"/>
        <v>0</v>
      </c>
      <c r="AN27" s="104">
        <f t="shared" si="56"/>
        <v>0</v>
      </c>
      <c r="AO27" s="104">
        <f t="shared" si="57"/>
        <v>0</v>
      </c>
      <c r="AP27" s="104">
        <f t="shared" si="58"/>
        <v>0</v>
      </c>
      <c r="AQ27" s="49">
        <f t="shared" si="59"/>
        <v>0</v>
      </c>
      <c r="AR27" s="104">
        <f t="shared" si="60"/>
        <v>0</v>
      </c>
      <c r="AS27" s="104">
        <f t="shared" si="61"/>
        <v>0</v>
      </c>
      <c r="AT27" s="104">
        <f t="shared" si="62"/>
        <v>0</v>
      </c>
      <c r="AU27" s="104">
        <f t="shared" si="63"/>
        <v>0</v>
      </c>
      <c r="BF27" s="49">
        <f t="shared" si="64"/>
        <v>0</v>
      </c>
      <c r="BG27" s="49">
        <f t="shared" si="65"/>
        <v>0</v>
      </c>
      <c r="BH27" s="54" t="e">
        <f t="shared" si="66"/>
        <v>#DIV/0!</v>
      </c>
      <c r="BI27" s="112" t="e">
        <f t="shared" si="67"/>
        <v>#DIV/0!</v>
      </c>
      <c r="BK27" s="55" t="e">
        <f t="shared" si="68"/>
        <v>#DIV/0!</v>
      </c>
      <c r="BL27" s="55" t="e">
        <f t="shared" si="69"/>
        <v>#DIV/0!</v>
      </c>
      <c r="BM27" s="55" t="e">
        <f t="shared" si="70"/>
        <v>#DIV/0!</v>
      </c>
      <c r="BN27" s="53">
        <f t="shared" si="71"/>
        <v>0</v>
      </c>
      <c r="BO27" s="112" t="e">
        <f t="shared" si="72"/>
        <v>#DIV/0!</v>
      </c>
      <c r="BR27" s="53" t="e">
        <f t="shared" si="73"/>
        <v>#DIV/0!</v>
      </c>
      <c r="BS27" s="53">
        <f t="shared" si="74"/>
        <v>0</v>
      </c>
      <c r="BT27" s="53">
        <f t="shared" si="75"/>
        <v>0</v>
      </c>
      <c r="BU27" s="56" t="e">
        <f t="shared" si="76"/>
        <v>#DIV/0!</v>
      </c>
      <c r="BX27" s="60"/>
      <c r="BY27" s="60"/>
      <c r="BZ27" s="60"/>
      <c r="CA27" s="60"/>
      <c r="CB27" s="60"/>
      <c r="CC27" s="60"/>
      <c r="CD27" s="60"/>
      <c r="CE27" s="60"/>
      <c r="CF27" s="60"/>
      <c r="CG27" s="60"/>
      <c r="CH27" s="60"/>
      <c r="CI27" s="60"/>
      <c r="CJ27" s="60"/>
      <c r="CK27" s="60"/>
      <c r="CL27" s="60"/>
      <c r="CM27" s="60"/>
      <c r="CN27" s="60"/>
      <c r="CO27" s="60"/>
      <c r="CP27" s="60"/>
      <c r="CQ27" s="60"/>
      <c r="CR27" s="60"/>
      <c r="CS27" s="60"/>
      <c r="CT27" s="57">
        <f t="shared" si="77"/>
        <v>0</v>
      </c>
      <c r="CU27" s="57">
        <f t="shared" si="78"/>
        <v>0</v>
      </c>
      <c r="CV27" s="53">
        <f t="shared" si="79"/>
        <v>0</v>
      </c>
      <c r="CW27" s="53">
        <f t="shared" si="80"/>
        <v>0</v>
      </c>
      <c r="CX27" s="58" t="e">
        <f t="shared" si="81"/>
        <v>#DIV/0!</v>
      </c>
      <c r="CY27" s="53">
        <f t="shared" si="82"/>
        <v>0</v>
      </c>
      <c r="CZ27" s="53">
        <f t="shared" si="83"/>
        <v>0</v>
      </c>
      <c r="DA27" s="58" t="e">
        <f t="shared" si="84"/>
        <v>#DIV/0!</v>
      </c>
      <c r="DB27" s="48" t="e">
        <f t="shared" si="85"/>
        <v>#DIV/0!</v>
      </c>
      <c r="DC27" s="48" t="e">
        <f t="shared" si="86"/>
        <v>#DIV/0!</v>
      </c>
      <c r="DD27" s="48" t="e">
        <f t="shared" si="87"/>
        <v>#DIV/0!</v>
      </c>
      <c r="DE27" s="48" t="e">
        <f t="shared" si="88"/>
        <v>#DIV/0!</v>
      </c>
      <c r="DF27" s="48" t="e">
        <f t="shared" si="89"/>
        <v>#DIV/0!</v>
      </c>
      <c r="DG27" s="48" t="e">
        <f t="shared" si="90"/>
        <v>#DIV/0!</v>
      </c>
      <c r="DH27" s="48">
        <f>SUMIF(FCR!$BZ$4:$DB$500,DG27,FCR!$DE$4:$EG$500)</f>
        <v>0</v>
      </c>
      <c r="DI27" s="48" t="e">
        <f t="shared" si="91"/>
        <v>#DIV/0!</v>
      </c>
      <c r="DJ27" s="48">
        <f>SUMIF(FCR!$BZ$4:$DB$142,DI27,FCR!$DE$4:$EG$142)</f>
        <v>0</v>
      </c>
      <c r="DK27" s="48" t="e">
        <f t="shared" si="92"/>
        <v>#DIV/0!</v>
      </c>
      <c r="DL27" s="55" t="e">
        <f t="shared" si="93"/>
        <v>#DIV/0!</v>
      </c>
      <c r="DM27" s="48" t="e">
        <f t="shared" si="94"/>
        <v>#DIV/0!</v>
      </c>
      <c r="DN27" s="48">
        <f>SUMIF(FCR!$BZ$4:$DB$142,DM27,FCR!$DE$4:$EG$142)</f>
        <v>0</v>
      </c>
      <c r="DO27" s="53" t="e">
        <f t="shared" si="95"/>
        <v>#DIV/0!</v>
      </c>
      <c r="DP27" s="55" t="e">
        <f t="shared" si="96"/>
        <v>#DIV/0!</v>
      </c>
      <c r="DQ27" s="55" t="e">
        <f t="shared" si="97"/>
        <v>#DIV/0!</v>
      </c>
      <c r="DR27" s="55"/>
      <c r="DS27" s="55" t="e">
        <f t="shared" si="98"/>
        <v>#DIV/0!</v>
      </c>
      <c r="DT27" s="55" t="e">
        <f t="shared" si="99"/>
        <v>#DIV/0!</v>
      </c>
      <c r="DU27" s="53">
        <f t="shared" si="100"/>
        <v>0</v>
      </c>
      <c r="DV27" s="59" t="e">
        <f t="shared" si="101"/>
        <v>#DIV/0!</v>
      </c>
    </row>
    <row r="28" spans="30:126">
      <c r="AD28" s="49" t="s">
        <v>411</v>
      </c>
      <c r="AE28" s="49">
        <f t="shared" si="24"/>
        <v>0</v>
      </c>
      <c r="AF28" s="49">
        <f t="shared" si="48"/>
        <v>0</v>
      </c>
      <c r="AG28" s="114">
        <f t="shared" si="49"/>
        <v>0</v>
      </c>
      <c r="AH28" s="104">
        <f t="shared" si="50"/>
        <v>0</v>
      </c>
      <c r="AI28" s="104">
        <f t="shared" si="51"/>
        <v>0</v>
      </c>
      <c r="AJ28" s="104">
        <f t="shared" si="52"/>
        <v>0</v>
      </c>
      <c r="AK28" s="104">
        <f t="shared" si="53"/>
        <v>0</v>
      </c>
      <c r="AL28" s="104">
        <f t="shared" si="54"/>
        <v>0</v>
      </c>
      <c r="AM28" s="104">
        <f t="shared" si="55"/>
        <v>0</v>
      </c>
      <c r="AN28" s="104">
        <f t="shared" si="56"/>
        <v>0</v>
      </c>
      <c r="AO28" s="104">
        <f t="shared" si="57"/>
        <v>0</v>
      </c>
      <c r="AP28" s="104">
        <f t="shared" si="58"/>
        <v>0</v>
      </c>
      <c r="AQ28" s="49">
        <f t="shared" si="59"/>
        <v>0</v>
      </c>
      <c r="AR28" s="104">
        <f t="shared" si="60"/>
        <v>0</v>
      </c>
      <c r="AS28" s="104">
        <f t="shared" si="61"/>
        <v>0</v>
      </c>
      <c r="AT28" s="104">
        <f t="shared" si="62"/>
        <v>0</v>
      </c>
      <c r="AU28" s="104">
        <f t="shared" si="63"/>
        <v>0</v>
      </c>
      <c r="BF28" s="49">
        <f t="shared" si="64"/>
        <v>0</v>
      </c>
      <c r="BG28" s="49">
        <f t="shared" si="65"/>
        <v>0</v>
      </c>
      <c r="BH28" s="54" t="e">
        <f t="shared" si="66"/>
        <v>#DIV/0!</v>
      </c>
      <c r="BI28" s="112" t="e">
        <f t="shared" si="67"/>
        <v>#DIV/0!</v>
      </c>
      <c r="BK28" s="55" t="e">
        <f t="shared" si="68"/>
        <v>#DIV/0!</v>
      </c>
      <c r="BL28" s="55" t="e">
        <f t="shared" si="69"/>
        <v>#DIV/0!</v>
      </c>
      <c r="BM28" s="55" t="e">
        <f t="shared" si="70"/>
        <v>#DIV/0!</v>
      </c>
      <c r="BN28" s="53">
        <f t="shared" si="71"/>
        <v>0</v>
      </c>
      <c r="BO28" s="112" t="e">
        <f t="shared" si="72"/>
        <v>#DIV/0!</v>
      </c>
      <c r="BR28" s="53" t="e">
        <f t="shared" si="73"/>
        <v>#DIV/0!</v>
      </c>
      <c r="BS28" s="53">
        <f t="shared" si="74"/>
        <v>0</v>
      </c>
      <c r="BT28" s="53">
        <f t="shared" si="75"/>
        <v>0</v>
      </c>
      <c r="BU28" s="56" t="e">
        <f t="shared" si="76"/>
        <v>#DIV/0!</v>
      </c>
      <c r="BX28" s="60"/>
      <c r="BY28" s="60"/>
      <c r="BZ28" s="60"/>
      <c r="CA28" s="60"/>
      <c r="CB28" s="60"/>
      <c r="CC28" s="60"/>
      <c r="CD28" s="60"/>
      <c r="CE28" s="60"/>
      <c r="CF28" s="60"/>
      <c r="CG28" s="60"/>
      <c r="CH28" s="60"/>
      <c r="CI28" s="60"/>
      <c r="CJ28" s="60"/>
      <c r="CK28" s="60"/>
      <c r="CL28" s="60"/>
      <c r="CM28" s="60"/>
      <c r="CN28" s="60"/>
      <c r="CO28" s="60"/>
      <c r="CP28" s="60"/>
      <c r="CQ28" s="60"/>
      <c r="CR28" s="60"/>
      <c r="CS28" s="60"/>
      <c r="CT28" s="57">
        <f t="shared" si="77"/>
        <v>0</v>
      </c>
      <c r="CU28" s="57">
        <f t="shared" si="78"/>
        <v>0</v>
      </c>
      <c r="CV28" s="53">
        <f t="shared" si="79"/>
        <v>0</v>
      </c>
      <c r="CW28" s="53">
        <f t="shared" si="80"/>
        <v>0</v>
      </c>
      <c r="CX28" s="58" t="e">
        <f t="shared" si="81"/>
        <v>#DIV/0!</v>
      </c>
      <c r="CY28" s="53">
        <f t="shared" si="82"/>
        <v>0</v>
      </c>
      <c r="CZ28" s="53">
        <f t="shared" si="83"/>
        <v>0</v>
      </c>
      <c r="DA28" s="58" t="e">
        <f t="shared" si="84"/>
        <v>#DIV/0!</v>
      </c>
      <c r="DB28" s="48" t="e">
        <f t="shared" si="85"/>
        <v>#DIV/0!</v>
      </c>
      <c r="DC28" s="48" t="e">
        <f t="shared" si="86"/>
        <v>#DIV/0!</v>
      </c>
      <c r="DD28" s="48" t="e">
        <f t="shared" si="87"/>
        <v>#DIV/0!</v>
      </c>
      <c r="DE28" s="48" t="e">
        <f t="shared" si="88"/>
        <v>#DIV/0!</v>
      </c>
      <c r="DF28" s="48" t="e">
        <f t="shared" si="89"/>
        <v>#DIV/0!</v>
      </c>
      <c r="DG28" s="48" t="e">
        <f t="shared" si="90"/>
        <v>#DIV/0!</v>
      </c>
      <c r="DH28" s="48">
        <f>SUMIF(FCR!$BZ$4:$DB$500,DG28,FCR!$DE$4:$EG$500)</f>
        <v>0</v>
      </c>
      <c r="DI28" s="48" t="e">
        <f t="shared" si="91"/>
        <v>#DIV/0!</v>
      </c>
      <c r="DJ28" s="48">
        <f>SUMIF(FCR!$BZ$4:$DB$142,DI28,FCR!$DE$4:$EG$142)</f>
        <v>0</v>
      </c>
      <c r="DK28" s="48" t="e">
        <f t="shared" si="92"/>
        <v>#DIV/0!</v>
      </c>
      <c r="DL28" s="55" t="e">
        <f t="shared" si="93"/>
        <v>#DIV/0!</v>
      </c>
      <c r="DM28" s="48" t="e">
        <f t="shared" si="94"/>
        <v>#DIV/0!</v>
      </c>
      <c r="DN28" s="48">
        <f>SUMIF(FCR!$BZ$4:$DB$142,DM28,FCR!$DE$4:$EG$142)</f>
        <v>0</v>
      </c>
      <c r="DO28" s="53" t="e">
        <f t="shared" si="95"/>
        <v>#DIV/0!</v>
      </c>
      <c r="DP28" s="55" t="e">
        <f t="shared" si="96"/>
        <v>#DIV/0!</v>
      </c>
      <c r="DQ28" s="55" t="e">
        <f t="shared" si="97"/>
        <v>#DIV/0!</v>
      </c>
      <c r="DR28" s="55"/>
      <c r="DS28" s="55" t="e">
        <f t="shared" si="98"/>
        <v>#DIV/0!</v>
      </c>
      <c r="DT28" s="55" t="e">
        <f t="shared" si="99"/>
        <v>#DIV/0!</v>
      </c>
      <c r="DU28" s="53">
        <f t="shared" si="100"/>
        <v>0</v>
      </c>
      <c r="DV28" s="59" t="e">
        <f t="shared" si="101"/>
        <v>#DIV/0!</v>
      </c>
    </row>
    <row r="29" spans="30:126">
      <c r="AD29" s="49" t="s">
        <v>411</v>
      </c>
      <c r="AE29" s="49">
        <f t="shared" si="24"/>
        <v>0</v>
      </c>
      <c r="AF29" s="49">
        <f t="shared" si="48"/>
        <v>0</v>
      </c>
      <c r="AG29" s="114">
        <f t="shared" si="49"/>
        <v>0</v>
      </c>
      <c r="AH29" s="104">
        <f t="shared" si="50"/>
        <v>0</v>
      </c>
      <c r="AI29" s="104">
        <f t="shared" si="51"/>
        <v>0</v>
      </c>
      <c r="AJ29" s="104">
        <f t="shared" si="52"/>
        <v>0</v>
      </c>
      <c r="AK29" s="104">
        <f t="shared" si="53"/>
        <v>0</v>
      </c>
      <c r="AL29" s="104">
        <f t="shared" si="54"/>
        <v>0</v>
      </c>
      <c r="AM29" s="104">
        <f t="shared" si="55"/>
        <v>0</v>
      </c>
      <c r="AN29" s="104">
        <f t="shared" si="56"/>
        <v>0</v>
      </c>
      <c r="AO29" s="104">
        <f t="shared" si="57"/>
        <v>0</v>
      </c>
      <c r="AP29" s="104">
        <f t="shared" si="58"/>
        <v>0</v>
      </c>
      <c r="AQ29" s="49">
        <f t="shared" si="59"/>
        <v>0</v>
      </c>
      <c r="AR29" s="104">
        <f t="shared" si="60"/>
        <v>0</v>
      </c>
      <c r="AS29" s="104">
        <f t="shared" si="61"/>
        <v>0</v>
      </c>
      <c r="AT29" s="104">
        <f t="shared" si="62"/>
        <v>0</v>
      </c>
      <c r="AU29" s="104">
        <f t="shared" si="63"/>
        <v>0</v>
      </c>
      <c r="BF29" s="49">
        <f t="shared" si="64"/>
        <v>0</v>
      </c>
      <c r="BG29" s="49">
        <f t="shared" si="65"/>
        <v>0</v>
      </c>
      <c r="BH29" s="54" t="e">
        <f t="shared" si="66"/>
        <v>#DIV/0!</v>
      </c>
      <c r="BI29" s="112" t="e">
        <f t="shared" si="67"/>
        <v>#DIV/0!</v>
      </c>
      <c r="BK29" s="55" t="e">
        <f t="shared" si="68"/>
        <v>#DIV/0!</v>
      </c>
      <c r="BL29" s="55" t="e">
        <f t="shared" si="69"/>
        <v>#DIV/0!</v>
      </c>
      <c r="BM29" s="55" t="e">
        <f t="shared" si="70"/>
        <v>#DIV/0!</v>
      </c>
      <c r="BN29" s="53">
        <f t="shared" si="71"/>
        <v>0</v>
      </c>
      <c r="BO29" s="112" t="e">
        <f t="shared" si="72"/>
        <v>#DIV/0!</v>
      </c>
      <c r="BR29" s="53" t="e">
        <f t="shared" si="73"/>
        <v>#DIV/0!</v>
      </c>
      <c r="BS29" s="53">
        <f t="shared" si="74"/>
        <v>0</v>
      </c>
      <c r="BT29" s="53">
        <f t="shared" si="75"/>
        <v>0</v>
      </c>
      <c r="BU29" s="56" t="e">
        <f t="shared" si="76"/>
        <v>#DIV/0!</v>
      </c>
      <c r="BX29" s="60"/>
      <c r="BY29" s="60"/>
      <c r="BZ29" s="60"/>
      <c r="CA29" s="60"/>
      <c r="CB29" s="60"/>
      <c r="CC29" s="60"/>
      <c r="CD29" s="60"/>
      <c r="CE29" s="60"/>
      <c r="CF29" s="60"/>
      <c r="CG29" s="60"/>
      <c r="CH29" s="60"/>
      <c r="CI29" s="60"/>
      <c r="CJ29" s="60"/>
      <c r="CK29" s="60"/>
      <c r="CL29" s="60"/>
      <c r="CM29" s="60"/>
      <c r="CN29" s="60"/>
      <c r="CO29" s="60"/>
      <c r="CP29" s="60"/>
      <c r="CQ29" s="60"/>
      <c r="CR29" s="60"/>
      <c r="CS29" s="60"/>
      <c r="CT29" s="57">
        <f t="shared" si="77"/>
        <v>0</v>
      </c>
      <c r="CU29" s="57">
        <f t="shared" si="78"/>
        <v>0</v>
      </c>
      <c r="CV29" s="53">
        <f t="shared" si="79"/>
        <v>0</v>
      </c>
      <c r="CW29" s="53">
        <f t="shared" si="80"/>
        <v>0</v>
      </c>
      <c r="CX29" s="58" t="e">
        <f t="shared" si="81"/>
        <v>#DIV/0!</v>
      </c>
      <c r="CY29" s="53">
        <f t="shared" si="82"/>
        <v>0</v>
      </c>
      <c r="CZ29" s="53">
        <f t="shared" si="83"/>
        <v>0</v>
      </c>
      <c r="DA29" s="58" t="e">
        <f t="shared" si="84"/>
        <v>#DIV/0!</v>
      </c>
      <c r="DB29" s="48" t="e">
        <f t="shared" si="85"/>
        <v>#DIV/0!</v>
      </c>
      <c r="DC29" s="48" t="e">
        <f t="shared" si="86"/>
        <v>#DIV/0!</v>
      </c>
      <c r="DD29" s="48" t="e">
        <f t="shared" si="87"/>
        <v>#DIV/0!</v>
      </c>
      <c r="DE29" s="48" t="e">
        <f t="shared" si="88"/>
        <v>#DIV/0!</v>
      </c>
      <c r="DF29" s="48" t="e">
        <f t="shared" si="89"/>
        <v>#DIV/0!</v>
      </c>
      <c r="DG29" s="48" t="e">
        <f t="shared" si="90"/>
        <v>#DIV/0!</v>
      </c>
      <c r="DH29" s="48">
        <f>SUMIF(FCR!$BZ$4:$DB$500,DG29,FCR!$DE$4:$EG$500)</f>
        <v>0</v>
      </c>
      <c r="DI29" s="48" t="e">
        <f t="shared" si="91"/>
        <v>#DIV/0!</v>
      </c>
      <c r="DJ29" s="48">
        <f>SUMIF(FCR!$BZ$4:$DB$142,DI29,FCR!$DE$4:$EG$142)</f>
        <v>0</v>
      </c>
      <c r="DK29" s="48" t="e">
        <f t="shared" si="92"/>
        <v>#DIV/0!</v>
      </c>
      <c r="DL29" s="55" t="e">
        <f t="shared" si="93"/>
        <v>#DIV/0!</v>
      </c>
      <c r="DM29" s="48" t="e">
        <f t="shared" si="94"/>
        <v>#DIV/0!</v>
      </c>
      <c r="DN29" s="48">
        <f>SUMIF(FCR!$BZ$4:$DB$142,DM29,FCR!$DE$4:$EG$142)</f>
        <v>0</v>
      </c>
      <c r="DO29" s="53" t="e">
        <f t="shared" si="95"/>
        <v>#DIV/0!</v>
      </c>
      <c r="DP29" s="55" t="e">
        <f t="shared" si="96"/>
        <v>#DIV/0!</v>
      </c>
      <c r="DQ29" s="55" t="e">
        <f t="shared" si="97"/>
        <v>#DIV/0!</v>
      </c>
      <c r="DR29" s="55"/>
      <c r="DS29" s="55" t="e">
        <f t="shared" si="98"/>
        <v>#DIV/0!</v>
      </c>
      <c r="DT29" s="55" t="e">
        <f t="shared" si="99"/>
        <v>#DIV/0!</v>
      </c>
      <c r="DU29" s="53">
        <f t="shared" si="100"/>
        <v>0</v>
      </c>
      <c r="DV29" s="59" t="e">
        <f t="shared" si="101"/>
        <v>#DIV/0!</v>
      </c>
    </row>
    <row r="30" spans="30:126">
      <c r="AD30" s="49" t="s">
        <v>411</v>
      </c>
      <c r="AE30" s="49">
        <f t="shared" si="24"/>
        <v>0</v>
      </c>
      <c r="AF30" s="49">
        <f t="shared" si="48"/>
        <v>0</v>
      </c>
      <c r="AG30" s="114">
        <f t="shared" si="49"/>
        <v>0</v>
      </c>
      <c r="AH30" s="104">
        <f t="shared" si="50"/>
        <v>0</v>
      </c>
      <c r="AI30" s="104">
        <f t="shared" si="51"/>
        <v>0</v>
      </c>
      <c r="AJ30" s="104">
        <f t="shared" si="52"/>
        <v>0</v>
      </c>
      <c r="AK30" s="104">
        <f t="shared" si="53"/>
        <v>0</v>
      </c>
      <c r="AL30" s="104">
        <f t="shared" si="54"/>
        <v>0</v>
      </c>
      <c r="AM30" s="104">
        <f t="shared" si="55"/>
        <v>0</v>
      </c>
      <c r="AN30" s="104">
        <f t="shared" si="56"/>
        <v>0</v>
      </c>
      <c r="AO30" s="104">
        <f t="shared" si="57"/>
        <v>0</v>
      </c>
      <c r="AP30" s="104">
        <f t="shared" si="58"/>
        <v>0</v>
      </c>
      <c r="AQ30" s="49">
        <f t="shared" si="59"/>
        <v>0</v>
      </c>
      <c r="AR30" s="104">
        <f t="shared" si="60"/>
        <v>0</v>
      </c>
      <c r="AS30" s="104">
        <f t="shared" si="61"/>
        <v>0</v>
      </c>
      <c r="AT30" s="104">
        <f t="shared" si="62"/>
        <v>0</v>
      </c>
      <c r="AU30" s="104">
        <f t="shared" si="63"/>
        <v>0</v>
      </c>
      <c r="BF30" s="49">
        <f t="shared" si="64"/>
        <v>0</v>
      </c>
      <c r="BG30" s="49">
        <f t="shared" si="65"/>
        <v>0</v>
      </c>
      <c r="BH30" s="54" t="e">
        <f t="shared" si="66"/>
        <v>#DIV/0!</v>
      </c>
      <c r="BI30" s="112" t="e">
        <f t="shared" si="67"/>
        <v>#DIV/0!</v>
      </c>
      <c r="BK30" s="55" t="e">
        <f t="shared" si="68"/>
        <v>#DIV/0!</v>
      </c>
      <c r="BL30" s="55" t="e">
        <f t="shared" si="69"/>
        <v>#DIV/0!</v>
      </c>
      <c r="BM30" s="55" t="e">
        <f t="shared" si="70"/>
        <v>#DIV/0!</v>
      </c>
      <c r="BN30" s="53">
        <f t="shared" si="71"/>
        <v>0</v>
      </c>
      <c r="BO30" s="112" t="e">
        <f t="shared" si="72"/>
        <v>#DIV/0!</v>
      </c>
      <c r="BR30" s="53" t="e">
        <f t="shared" si="73"/>
        <v>#DIV/0!</v>
      </c>
      <c r="BS30" s="53">
        <f t="shared" si="74"/>
        <v>0</v>
      </c>
      <c r="BT30" s="53">
        <f t="shared" si="75"/>
        <v>0</v>
      </c>
      <c r="BU30" s="56" t="e">
        <f t="shared" si="76"/>
        <v>#DIV/0!</v>
      </c>
      <c r="BX30" s="60"/>
      <c r="BY30" s="60"/>
      <c r="BZ30" s="60"/>
      <c r="CA30" s="60"/>
      <c r="CB30" s="60"/>
      <c r="CC30" s="60"/>
      <c r="CD30" s="60"/>
      <c r="CE30" s="60"/>
      <c r="CF30" s="60"/>
      <c r="CG30" s="60"/>
      <c r="CH30" s="60"/>
      <c r="CI30" s="60"/>
      <c r="CJ30" s="60"/>
      <c r="CK30" s="60"/>
      <c r="CL30" s="60"/>
      <c r="CM30" s="60"/>
      <c r="CN30" s="60"/>
      <c r="CO30" s="60"/>
      <c r="CP30" s="60"/>
      <c r="CQ30" s="60"/>
      <c r="CR30" s="60"/>
      <c r="CS30" s="60"/>
      <c r="CT30" s="57">
        <f t="shared" si="77"/>
        <v>0</v>
      </c>
      <c r="CU30" s="57">
        <f t="shared" si="78"/>
        <v>0</v>
      </c>
      <c r="CV30" s="53">
        <f t="shared" si="79"/>
        <v>0</v>
      </c>
      <c r="CW30" s="53">
        <f t="shared" si="80"/>
        <v>0</v>
      </c>
      <c r="CX30" s="58" t="e">
        <f t="shared" si="81"/>
        <v>#DIV/0!</v>
      </c>
      <c r="CY30" s="53">
        <f t="shared" si="82"/>
        <v>0</v>
      </c>
      <c r="CZ30" s="53">
        <f t="shared" si="83"/>
        <v>0</v>
      </c>
      <c r="DA30" s="58" t="e">
        <f t="shared" si="84"/>
        <v>#DIV/0!</v>
      </c>
      <c r="DB30" s="48" t="e">
        <f t="shared" si="85"/>
        <v>#DIV/0!</v>
      </c>
      <c r="DC30" s="48" t="e">
        <f t="shared" si="86"/>
        <v>#DIV/0!</v>
      </c>
      <c r="DD30" s="48" t="e">
        <f t="shared" si="87"/>
        <v>#DIV/0!</v>
      </c>
      <c r="DE30" s="48" t="e">
        <f t="shared" si="88"/>
        <v>#DIV/0!</v>
      </c>
      <c r="DF30" s="48" t="e">
        <f t="shared" si="89"/>
        <v>#DIV/0!</v>
      </c>
      <c r="DG30" s="48" t="e">
        <f t="shared" si="90"/>
        <v>#DIV/0!</v>
      </c>
      <c r="DH30" s="48">
        <f>SUMIF(FCR!$BZ$4:$DB$500,DG30,FCR!$DE$4:$EG$500)</f>
        <v>0</v>
      </c>
      <c r="DI30" s="48" t="e">
        <f t="shared" si="91"/>
        <v>#DIV/0!</v>
      </c>
      <c r="DJ30" s="48">
        <f>SUMIF(FCR!$BZ$4:$DB$142,DI30,FCR!$DE$4:$EG$142)</f>
        <v>0</v>
      </c>
      <c r="DK30" s="48" t="e">
        <f t="shared" si="92"/>
        <v>#DIV/0!</v>
      </c>
      <c r="DL30" s="55" t="e">
        <f t="shared" si="93"/>
        <v>#DIV/0!</v>
      </c>
      <c r="DM30" s="48" t="e">
        <f t="shared" si="94"/>
        <v>#DIV/0!</v>
      </c>
      <c r="DN30" s="48">
        <f>SUMIF(FCR!$BZ$4:$DB$142,DM30,FCR!$DE$4:$EG$142)</f>
        <v>0</v>
      </c>
      <c r="DO30" s="53" t="e">
        <f t="shared" si="95"/>
        <v>#DIV/0!</v>
      </c>
      <c r="DP30" s="55" t="e">
        <f t="shared" si="96"/>
        <v>#DIV/0!</v>
      </c>
      <c r="DQ30" s="55" t="e">
        <f t="shared" si="97"/>
        <v>#DIV/0!</v>
      </c>
      <c r="DR30" s="55"/>
      <c r="DS30" s="55" t="e">
        <f t="shared" si="98"/>
        <v>#DIV/0!</v>
      </c>
      <c r="DT30" s="55" t="e">
        <f t="shared" si="99"/>
        <v>#DIV/0!</v>
      </c>
      <c r="DU30" s="53">
        <f t="shared" si="100"/>
        <v>0</v>
      </c>
      <c r="DV30" s="59" t="e">
        <f t="shared" si="101"/>
        <v>#DIV/0!</v>
      </c>
    </row>
    <row r="31" spans="30:126">
      <c r="AD31" s="49" t="s">
        <v>411</v>
      </c>
      <c r="AE31" s="49">
        <f t="shared" si="24"/>
        <v>0</v>
      </c>
      <c r="AF31" s="49">
        <f t="shared" si="48"/>
        <v>0</v>
      </c>
      <c r="AG31" s="114">
        <f t="shared" si="49"/>
        <v>0</v>
      </c>
      <c r="AH31" s="104">
        <f t="shared" si="50"/>
        <v>0</v>
      </c>
      <c r="AI31" s="104">
        <f t="shared" si="51"/>
        <v>0</v>
      </c>
      <c r="AJ31" s="104">
        <f t="shared" si="52"/>
        <v>0</v>
      </c>
      <c r="AK31" s="104">
        <f t="shared" si="53"/>
        <v>0</v>
      </c>
      <c r="AL31" s="104">
        <f t="shared" si="54"/>
        <v>0</v>
      </c>
      <c r="AM31" s="104">
        <f t="shared" si="55"/>
        <v>0</v>
      </c>
      <c r="AN31" s="104">
        <f t="shared" si="56"/>
        <v>0</v>
      </c>
      <c r="AO31" s="104">
        <f t="shared" si="57"/>
        <v>0</v>
      </c>
      <c r="AP31" s="104">
        <f t="shared" si="58"/>
        <v>0</v>
      </c>
      <c r="AQ31" s="49">
        <f t="shared" si="59"/>
        <v>0</v>
      </c>
      <c r="AR31" s="104">
        <f t="shared" si="60"/>
        <v>0</v>
      </c>
      <c r="AS31" s="104">
        <f t="shared" si="61"/>
        <v>0</v>
      </c>
      <c r="AT31" s="104">
        <f t="shared" si="62"/>
        <v>0</v>
      </c>
      <c r="AU31" s="104">
        <f t="shared" si="63"/>
        <v>0</v>
      </c>
      <c r="BF31" s="49">
        <f t="shared" si="64"/>
        <v>0</v>
      </c>
      <c r="BG31" s="49">
        <f t="shared" si="65"/>
        <v>0</v>
      </c>
      <c r="BH31" s="54" t="e">
        <f t="shared" si="66"/>
        <v>#DIV/0!</v>
      </c>
      <c r="BI31" s="112" t="e">
        <f t="shared" si="67"/>
        <v>#DIV/0!</v>
      </c>
      <c r="BK31" s="55" t="e">
        <f t="shared" si="68"/>
        <v>#DIV/0!</v>
      </c>
      <c r="BL31" s="55" t="e">
        <f t="shared" si="69"/>
        <v>#DIV/0!</v>
      </c>
      <c r="BM31" s="55" t="e">
        <f t="shared" si="70"/>
        <v>#DIV/0!</v>
      </c>
      <c r="BN31" s="53">
        <f t="shared" si="71"/>
        <v>0</v>
      </c>
      <c r="BO31" s="112" t="e">
        <f t="shared" si="72"/>
        <v>#DIV/0!</v>
      </c>
      <c r="BR31" s="53" t="e">
        <f t="shared" si="73"/>
        <v>#DIV/0!</v>
      </c>
      <c r="BS31" s="53">
        <f t="shared" si="74"/>
        <v>0</v>
      </c>
      <c r="BT31" s="53">
        <f t="shared" si="75"/>
        <v>0</v>
      </c>
      <c r="BU31" s="56" t="e">
        <f t="shared" si="76"/>
        <v>#DIV/0!</v>
      </c>
      <c r="BX31" s="60"/>
      <c r="BY31" s="60"/>
      <c r="BZ31" s="60"/>
      <c r="CA31" s="60"/>
      <c r="CB31" s="60"/>
      <c r="CC31" s="60"/>
      <c r="CD31" s="60"/>
      <c r="CE31" s="60"/>
      <c r="CF31" s="60"/>
      <c r="CG31" s="60"/>
      <c r="CH31" s="60"/>
      <c r="CI31" s="60"/>
      <c r="CJ31" s="60"/>
      <c r="CK31" s="60"/>
      <c r="CL31" s="60"/>
      <c r="CM31" s="60"/>
      <c r="CN31" s="60"/>
      <c r="CO31" s="60"/>
      <c r="CP31" s="60"/>
      <c r="CQ31" s="60"/>
      <c r="CR31" s="60"/>
      <c r="CS31" s="60"/>
      <c r="CT31" s="57">
        <f t="shared" si="77"/>
        <v>0</v>
      </c>
      <c r="CU31" s="57">
        <f t="shared" si="78"/>
        <v>0</v>
      </c>
      <c r="CV31" s="53">
        <f t="shared" si="79"/>
        <v>0</v>
      </c>
      <c r="CW31" s="53">
        <f t="shared" si="80"/>
        <v>0</v>
      </c>
      <c r="CX31" s="58" t="e">
        <f t="shared" si="81"/>
        <v>#DIV/0!</v>
      </c>
      <c r="CY31" s="53">
        <f t="shared" si="82"/>
        <v>0</v>
      </c>
      <c r="CZ31" s="53">
        <f t="shared" si="83"/>
        <v>0</v>
      </c>
      <c r="DA31" s="58" t="e">
        <f t="shared" si="84"/>
        <v>#DIV/0!</v>
      </c>
      <c r="DB31" s="48" t="e">
        <f t="shared" si="85"/>
        <v>#DIV/0!</v>
      </c>
      <c r="DC31" s="48" t="e">
        <f t="shared" si="86"/>
        <v>#DIV/0!</v>
      </c>
      <c r="DD31" s="48" t="e">
        <f t="shared" si="87"/>
        <v>#DIV/0!</v>
      </c>
      <c r="DE31" s="48" t="e">
        <f t="shared" si="88"/>
        <v>#DIV/0!</v>
      </c>
      <c r="DF31" s="48" t="e">
        <f t="shared" si="89"/>
        <v>#DIV/0!</v>
      </c>
      <c r="DG31" s="48" t="e">
        <f t="shared" si="90"/>
        <v>#DIV/0!</v>
      </c>
      <c r="DH31" s="48">
        <f>SUMIF(FCR!$BZ$4:$DB$500,DG31,FCR!$DE$4:$EG$500)</f>
        <v>0</v>
      </c>
      <c r="DI31" s="48" t="e">
        <f t="shared" si="91"/>
        <v>#DIV/0!</v>
      </c>
      <c r="DJ31" s="48">
        <f>SUMIF(FCR!$BZ$4:$DB$142,DI31,FCR!$DE$4:$EG$142)</f>
        <v>0</v>
      </c>
      <c r="DK31" s="48" t="e">
        <f t="shared" si="92"/>
        <v>#DIV/0!</v>
      </c>
      <c r="DL31" s="55" t="e">
        <f t="shared" si="93"/>
        <v>#DIV/0!</v>
      </c>
      <c r="DM31" s="48" t="e">
        <f t="shared" si="94"/>
        <v>#DIV/0!</v>
      </c>
      <c r="DN31" s="48">
        <f>SUMIF(FCR!$BZ$4:$DB$142,DM31,FCR!$DE$4:$EG$142)</f>
        <v>0</v>
      </c>
      <c r="DO31" s="53" t="e">
        <f t="shared" si="95"/>
        <v>#DIV/0!</v>
      </c>
      <c r="DP31" s="55" t="e">
        <f t="shared" si="96"/>
        <v>#DIV/0!</v>
      </c>
      <c r="DQ31" s="55" t="e">
        <f t="shared" si="97"/>
        <v>#DIV/0!</v>
      </c>
      <c r="DR31" s="55"/>
      <c r="DS31" s="55" t="e">
        <f t="shared" si="98"/>
        <v>#DIV/0!</v>
      </c>
      <c r="DT31" s="55" t="e">
        <f t="shared" si="99"/>
        <v>#DIV/0!</v>
      </c>
      <c r="DU31" s="53">
        <f t="shared" si="100"/>
        <v>0</v>
      </c>
      <c r="DV31" s="59" t="e">
        <f t="shared" si="101"/>
        <v>#DIV/0!</v>
      </c>
    </row>
    <row r="32" spans="30:126">
      <c r="AD32" s="49" t="s">
        <v>411</v>
      </c>
      <c r="AE32" s="49">
        <f t="shared" si="24"/>
        <v>0</v>
      </c>
      <c r="AF32" s="49">
        <f t="shared" si="48"/>
        <v>0</v>
      </c>
      <c r="AG32" s="114">
        <f t="shared" si="49"/>
        <v>0</v>
      </c>
      <c r="AH32" s="104">
        <f t="shared" si="50"/>
        <v>0</v>
      </c>
      <c r="AI32" s="104">
        <f t="shared" si="51"/>
        <v>0</v>
      </c>
      <c r="AJ32" s="104">
        <f t="shared" si="52"/>
        <v>0</v>
      </c>
      <c r="AK32" s="104">
        <f t="shared" si="53"/>
        <v>0</v>
      </c>
      <c r="AL32" s="104">
        <f t="shared" si="54"/>
        <v>0</v>
      </c>
      <c r="AM32" s="104">
        <f t="shared" si="55"/>
        <v>0</v>
      </c>
      <c r="AN32" s="104">
        <f t="shared" si="56"/>
        <v>0</v>
      </c>
      <c r="AO32" s="104">
        <f t="shared" si="57"/>
        <v>0</v>
      </c>
      <c r="AP32" s="104">
        <f t="shared" si="58"/>
        <v>0</v>
      </c>
      <c r="AQ32" s="49">
        <f t="shared" si="59"/>
        <v>0</v>
      </c>
      <c r="AR32" s="104">
        <f t="shared" si="60"/>
        <v>0</v>
      </c>
      <c r="AS32" s="104">
        <f t="shared" si="61"/>
        <v>0</v>
      </c>
      <c r="AT32" s="104">
        <f t="shared" si="62"/>
        <v>0</v>
      </c>
      <c r="AU32" s="104">
        <f t="shared" si="63"/>
        <v>0</v>
      </c>
      <c r="BF32" s="49">
        <f t="shared" si="64"/>
        <v>0</v>
      </c>
      <c r="BG32" s="49">
        <f t="shared" si="65"/>
        <v>0</v>
      </c>
      <c r="BH32" s="54" t="e">
        <f t="shared" si="66"/>
        <v>#DIV/0!</v>
      </c>
      <c r="BI32" s="112" t="e">
        <f t="shared" si="67"/>
        <v>#DIV/0!</v>
      </c>
      <c r="BK32" s="55" t="e">
        <f t="shared" si="68"/>
        <v>#DIV/0!</v>
      </c>
      <c r="BL32" s="55" t="e">
        <f t="shared" si="69"/>
        <v>#DIV/0!</v>
      </c>
      <c r="BM32" s="55" t="e">
        <f t="shared" si="70"/>
        <v>#DIV/0!</v>
      </c>
      <c r="BN32" s="53">
        <f t="shared" si="71"/>
        <v>0</v>
      </c>
      <c r="BO32" s="112" t="e">
        <f t="shared" si="72"/>
        <v>#DIV/0!</v>
      </c>
      <c r="BR32" s="53" t="e">
        <f t="shared" si="73"/>
        <v>#DIV/0!</v>
      </c>
      <c r="BS32" s="53">
        <f t="shared" si="74"/>
        <v>0</v>
      </c>
      <c r="BT32" s="53">
        <f t="shared" si="75"/>
        <v>0</v>
      </c>
      <c r="BU32" s="56" t="e">
        <f t="shared" si="76"/>
        <v>#DIV/0!</v>
      </c>
      <c r="BX32" s="60"/>
      <c r="BY32" s="60"/>
      <c r="BZ32" s="60"/>
      <c r="CA32" s="60"/>
      <c r="CB32" s="60"/>
      <c r="CC32" s="60"/>
      <c r="CD32" s="60"/>
      <c r="CE32" s="60"/>
      <c r="CF32" s="60"/>
      <c r="CG32" s="60"/>
      <c r="CH32" s="60"/>
      <c r="CI32" s="60"/>
      <c r="CJ32" s="60"/>
      <c r="CK32" s="60"/>
      <c r="CL32" s="60"/>
      <c r="CM32" s="60"/>
      <c r="CN32" s="60"/>
      <c r="CO32" s="60"/>
      <c r="CP32" s="60"/>
      <c r="CQ32" s="60"/>
      <c r="CR32" s="60"/>
      <c r="CS32" s="60"/>
      <c r="CT32" s="57">
        <f t="shared" si="77"/>
        <v>0</v>
      </c>
      <c r="CU32" s="57">
        <f t="shared" si="78"/>
        <v>0</v>
      </c>
      <c r="CV32" s="53">
        <f t="shared" si="79"/>
        <v>0</v>
      </c>
      <c r="CW32" s="53">
        <f t="shared" si="80"/>
        <v>0</v>
      </c>
      <c r="CX32" s="58" t="e">
        <f t="shared" si="81"/>
        <v>#DIV/0!</v>
      </c>
      <c r="CY32" s="53">
        <f t="shared" si="82"/>
        <v>0</v>
      </c>
      <c r="CZ32" s="53">
        <f t="shared" si="83"/>
        <v>0</v>
      </c>
      <c r="DA32" s="58" t="e">
        <f t="shared" si="84"/>
        <v>#DIV/0!</v>
      </c>
      <c r="DB32" s="48" t="e">
        <f t="shared" si="85"/>
        <v>#DIV/0!</v>
      </c>
      <c r="DC32" s="48" t="e">
        <f t="shared" si="86"/>
        <v>#DIV/0!</v>
      </c>
      <c r="DD32" s="48" t="e">
        <f t="shared" si="87"/>
        <v>#DIV/0!</v>
      </c>
      <c r="DE32" s="48" t="e">
        <f t="shared" si="88"/>
        <v>#DIV/0!</v>
      </c>
      <c r="DF32" s="48" t="e">
        <f t="shared" si="89"/>
        <v>#DIV/0!</v>
      </c>
      <c r="DG32" s="48" t="e">
        <f t="shared" si="90"/>
        <v>#DIV/0!</v>
      </c>
      <c r="DH32" s="48">
        <f>SUMIF(FCR!$BZ$4:$DB$500,DG32,FCR!$DE$4:$EG$500)</f>
        <v>0</v>
      </c>
      <c r="DI32" s="48" t="e">
        <f t="shared" si="91"/>
        <v>#DIV/0!</v>
      </c>
      <c r="DJ32" s="48">
        <f>SUMIF(FCR!$BZ$4:$DB$142,DI32,FCR!$DE$4:$EG$142)</f>
        <v>0</v>
      </c>
      <c r="DK32" s="48" t="e">
        <f t="shared" si="92"/>
        <v>#DIV/0!</v>
      </c>
      <c r="DL32" s="55" t="e">
        <f t="shared" si="93"/>
        <v>#DIV/0!</v>
      </c>
      <c r="DM32" s="48" t="e">
        <f t="shared" si="94"/>
        <v>#DIV/0!</v>
      </c>
      <c r="DN32" s="48">
        <f>SUMIF(FCR!$BZ$4:$DB$142,DM32,FCR!$DE$4:$EG$142)</f>
        <v>0</v>
      </c>
      <c r="DO32" s="53" t="e">
        <f t="shared" si="95"/>
        <v>#DIV/0!</v>
      </c>
      <c r="DP32" s="55" t="e">
        <f t="shared" si="96"/>
        <v>#DIV/0!</v>
      </c>
      <c r="DQ32" s="55" t="e">
        <f t="shared" si="97"/>
        <v>#DIV/0!</v>
      </c>
      <c r="DR32" s="55"/>
      <c r="DS32" s="55" t="e">
        <f t="shared" si="98"/>
        <v>#DIV/0!</v>
      </c>
      <c r="DT32" s="55" t="e">
        <f t="shared" si="99"/>
        <v>#DIV/0!</v>
      </c>
      <c r="DU32" s="53">
        <f t="shared" si="100"/>
        <v>0</v>
      </c>
      <c r="DV32" s="59" t="e">
        <f t="shared" si="101"/>
        <v>#DIV/0!</v>
      </c>
    </row>
    <row r="33" spans="30:126">
      <c r="AD33" s="49" t="s">
        <v>411</v>
      </c>
      <c r="AE33" s="49">
        <f t="shared" si="24"/>
        <v>0</v>
      </c>
      <c r="AF33" s="49">
        <f t="shared" si="48"/>
        <v>0</v>
      </c>
      <c r="AG33" s="114">
        <f t="shared" si="49"/>
        <v>0</v>
      </c>
      <c r="AH33" s="104">
        <f t="shared" si="50"/>
        <v>0</v>
      </c>
      <c r="AI33" s="104">
        <f t="shared" si="51"/>
        <v>0</v>
      </c>
      <c r="AJ33" s="104">
        <f t="shared" si="52"/>
        <v>0</v>
      </c>
      <c r="AK33" s="104">
        <f t="shared" si="53"/>
        <v>0</v>
      </c>
      <c r="AL33" s="104">
        <f t="shared" si="54"/>
        <v>0</v>
      </c>
      <c r="AM33" s="104">
        <f t="shared" si="55"/>
        <v>0</v>
      </c>
      <c r="AN33" s="104">
        <f t="shared" si="56"/>
        <v>0</v>
      </c>
      <c r="AO33" s="104">
        <f t="shared" si="57"/>
        <v>0</v>
      </c>
      <c r="AP33" s="104">
        <f t="shared" si="58"/>
        <v>0</v>
      </c>
      <c r="AQ33" s="49">
        <f t="shared" si="59"/>
        <v>0</v>
      </c>
      <c r="AR33" s="104">
        <f t="shared" si="60"/>
        <v>0</v>
      </c>
      <c r="AS33" s="104">
        <f t="shared" si="61"/>
        <v>0</v>
      </c>
      <c r="AT33" s="104">
        <f t="shared" si="62"/>
        <v>0</v>
      </c>
      <c r="AU33" s="104">
        <f t="shared" si="63"/>
        <v>0</v>
      </c>
      <c r="BF33" s="49">
        <f t="shared" si="64"/>
        <v>0</v>
      </c>
      <c r="BG33" s="49">
        <f t="shared" si="65"/>
        <v>0</v>
      </c>
      <c r="BH33" s="54" t="e">
        <f t="shared" si="66"/>
        <v>#DIV/0!</v>
      </c>
      <c r="BI33" s="112" t="e">
        <f t="shared" si="67"/>
        <v>#DIV/0!</v>
      </c>
      <c r="BK33" s="55" t="e">
        <f t="shared" si="68"/>
        <v>#DIV/0!</v>
      </c>
      <c r="BL33" s="55" t="e">
        <f t="shared" si="69"/>
        <v>#DIV/0!</v>
      </c>
      <c r="BM33" s="55" t="e">
        <f t="shared" si="70"/>
        <v>#DIV/0!</v>
      </c>
      <c r="BN33" s="53">
        <f t="shared" si="71"/>
        <v>0</v>
      </c>
      <c r="BO33" s="112" t="e">
        <f t="shared" si="72"/>
        <v>#DIV/0!</v>
      </c>
      <c r="BR33" s="53" t="e">
        <f t="shared" si="73"/>
        <v>#DIV/0!</v>
      </c>
      <c r="BS33" s="53">
        <f t="shared" si="74"/>
        <v>0</v>
      </c>
      <c r="BT33" s="53">
        <f t="shared" si="75"/>
        <v>0</v>
      </c>
      <c r="BU33" s="56" t="e">
        <f t="shared" si="76"/>
        <v>#DIV/0!</v>
      </c>
      <c r="BX33" s="60"/>
      <c r="BY33" s="60"/>
      <c r="BZ33" s="60"/>
      <c r="CA33" s="60"/>
      <c r="CB33" s="60"/>
      <c r="CC33" s="60"/>
      <c r="CD33" s="60"/>
      <c r="CE33" s="60"/>
      <c r="CF33" s="60"/>
      <c r="CG33" s="60"/>
      <c r="CH33" s="60"/>
      <c r="CI33" s="60"/>
      <c r="CJ33" s="60"/>
      <c r="CK33" s="60"/>
      <c r="CL33" s="60"/>
      <c r="CM33" s="60"/>
      <c r="CN33" s="60"/>
      <c r="CO33" s="60"/>
      <c r="CP33" s="60"/>
      <c r="CQ33" s="60"/>
      <c r="CR33" s="60"/>
      <c r="CS33" s="60"/>
      <c r="CT33" s="57">
        <f t="shared" si="77"/>
        <v>0</v>
      </c>
      <c r="CU33" s="57">
        <f t="shared" si="78"/>
        <v>0</v>
      </c>
      <c r="CV33" s="53">
        <f t="shared" si="79"/>
        <v>0</v>
      </c>
      <c r="CW33" s="53">
        <f t="shared" si="80"/>
        <v>0</v>
      </c>
      <c r="CX33" s="58" t="e">
        <f t="shared" si="81"/>
        <v>#DIV/0!</v>
      </c>
      <c r="CY33" s="53">
        <f t="shared" si="82"/>
        <v>0</v>
      </c>
      <c r="CZ33" s="53">
        <f t="shared" si="83"/>
        <v>0</v>
      </c>
      <c r="DA33" s="58" t="e">
        <f t="shared" si="84"/>
        <v>#DIV/0!</v>
      </c>
      <c r="DB33" s="48" t="e">
        <f t="shared" si="85"/>
        <v>#DIV/0!</v>
      </c>
      <c r="DC33" s="48" t="e">
        <f t="shared" si="86"/>
        <v>#DIV/0!</v>
      </c>
      <c r="DD33" s="48" t="e">
        <f t="shared" si="87"/>
        <v>#DIV/0!</v>
      </c>
      <c r="DE33" s="48" t="e">
        <f t="shared" si="88"/>
        <v>#DIV/0!</v>
      </c>
      <c r="DF33" s="48" t="e">
        <f t="shared" si="89"/>
        <v>#DIV/0!</v>
      </c>
      <c r="DG33" s="48" t="e">
        <f t="shared" si="90"/>
        <v>#DIV/0!</v>
      </c>
      <c r="DH33" s="48">
        <f>SUMIF(FCR!$BZ$4:$DB$500,DG33,FCR!$DE$4:$EG$500)</f>
        <v>0</v>
      </c>
      <c r="DI33" s="48" t="e">
        <f t="shared" si="91"/>
        <v>#DIV/0!</v>
      </c>
      <c r="DJ33" s="48">
        <f>SUMIF(FCR!$BZ$4:$DB$142,DI33,FCR!$DE$4:$EG$142)</f>
        <v>0</v>
      </c>
      <c r="DK33" s="48" t="e">
        <f t="shared" si="92"/>
        <v>#DIV/0!</v>
      </c>
      <c r="DL33" s="55" t="e">
        <f t="shared" si="93"/>
        <v>#DIV/0!</v>
      </c>
      <c r="DM33" s="48" t="e">
        <f t="shared" si="94"/>
        <v>#DIV/0!</v>
      </c>
      <c r="DN33" s="48">
        <f>SUMIF(FCR!$BZ$4:$DB$142,DM33,FCR!$DE$4:$EG$142)</f>
        <v>0</v>
      </c>
      <c r="DO33" s="53" t="e">
        <f t="shared" si="95"/>
        <v>#DIV/0!</v>
      </c>
      <c r="DP33" s="55" t="e">
        <f t="shared" si="96"/>
        <v>#DIV/0!</v>
      </c>
      <c r="DQ33" s="55" t="e">
        <f t="shared" si="97"/>
        <v>#DIV/0!</v>
      </c>
      <c r="DR33" s="55"/>
      <c r="DS33" s="55" t="e">
        <f t="shared" si="98"/>
        <v>#DIV/0!</v>
      </c>
      <c r="DT33" s="55" t="e">
        <f t="shared" si="99"/>
        <v>#DIV/0!</v>
      </c>
      <c r="DU33" s="53">
        <f t="shared" si="100"/>
        <v>0</v>
      </c>
      <c r="DV33" s="59" t="e">
        <f t="shared" si="101"/>
        <v>#DIV/0!</v>
      </c>
    </row>
    <row r="34" spans="30:126">
      <c r="AD34" s="49" t="s">
        <v>411</v>
      </c>
      <c r="AE34" s="49">
        <f t="shared" si="24"/>
        <v>0</v>
      </c>
      <c r="AF34" s="49">
        <f t="shared" si="48"/>
        <v>0</v>
      </c>
      <c r="AG34" s="114">
        <f t="shared" si="49"/>
        <v>0</v>
      </c>
      <c r="AH34" s="104">
        <f t="shared" si="50"/>
        <v>0</v>
      </c>
      <c r="AI34" s="104">
        <f t="shared" si="51"/>
        <v>0</v>
      </c>
      <c r="AJ34" s="104">
        <f t="shared" si="52"/>
        <v>0</v>
      </c>
      <c r="AK34" s="104">
        <f t="shared" si="53"/>
        <v>0</v>
      </c>
      <c r="AL34" s="104">
        <f t="shared" si="54"/>
        <v>0</v>
      </c>
      <c r="AM34" s="104">
        <f t="shared" si="55"/>
        <v>0</v>
      </c>
      <c r="AN34" s="104">
        <f t="shared" si="56"/>
        <v>0</v>
      </c>
      <c r="AO34" s="104">
        <f t="shared" si="57"/>
        <v>0</v>
      </c>
      <c r="AP34" s="104">
        <f t="shared" si="58"/>
        <v>0</v>
      </c>
      <c r="AQ34" s="49">
        <f t="shared" si="59"/>
        <v>0</v>
      </c>
      <c r="AR34" s="104">
        <f t="shared" si="60"/>
        <v>0</v>
      </c>
      <c r="AS34" s="104">
        <f t="shared" si="61"/>
        <v>0</v>
      </c>
      <c r="AT34" s="104">
        <f t="shared" si="62"/>
        <v>0</v>
      </c>
      <c r="AU34" s="104">
        <f t="shared" si="63"/>
        <v>0</v>
      </c>
      <c r="BF34" s="49">
        <f t="shared" si="64"/>
        <v>0</v>
      </c>
      <c r="BG34" s="49">
        <f t="shared" si="65"/>
        <v>0</v>
      </c>
      <c r="BH34" s="54" t="e">
        <f t="shared" si="66"/>
        <v>#DIV/0!</v>
      </c>
      <c r="BI34" s="112" t="e">
        <f t="shared" si="67"/>
        <v>#DIV/0!</v>
      </c>
      <c r="BK34" s="55" t="e">
        <f t="shared" si="68"/>
        <v>#DIV/0!</v>
      </c>
      <c r="BL34" s="55" t="e">
        <f t="shared" si="69"/>
        <v>#DIV/0!</v>
      </c>
      <c r="BM34" s="55" t="e">
        <f t="shared" si="70"/>
        <v>#DIV/0!</v>
      </c>
      <c r="BN34" s="53">
        <f t="shared" si="71"/>
        <v>0</v>
      </c>
      <c r="BO34" s="112" t="e">
        <f t="shared" si="72"/>
        <v>#DIV/0!</v>
      </c>
      <c r="BR34" s="53" t="e">
        <f t="shared" si="73"/>
        <v>#DIV/0!</v>
      </c>
      <c r="BS34" s="53">
        <f t="shared" si="74"/>
        <v>0</v>
      </c>
      <c r="BT34" s="53">
        <f t="shared" si="75"/>
        <v>0</v>
      </c>
      <c r="BU34" s="56" t="e">
        <f t="shared" si="76"/>
        <v>#DIV/0!</v>
      </c>
      <c r="BX34" s="60"/>
      <c r="BY34" s="60"/>
      <c r="BZ34" s="60"/>
      <c r="CA34" s="60"/>
      <c r="CB34" s="60"/>
      <c r="CC34" s="60"/>
      <c r="CD34" s="60"/>
      <c r="CE34" s="60"/>
      <c r="CF34" s="60"/>
      <c r="CG34" s="60"/>
      <c r="CH34" s="60"/>
      <c r="CI34" s="60"/>
      <c r="CJ34" s="60"/>
      <c r="CK34" s="60"/>
      <c r="CL34" s="60"/>
      <c r="CM34" s="60"/>
      <c r="CN34" s="60"/>
      <c r="CO34" s="60"/>
      <c r="CP34" s="60"/>
      <c r="CQ34" s="60"/>
      <c r="CR34" s="60"/>
      <c r="CS34" s="60"/>
      <c r="CT34" s="57">
        <f t="shared" si="77"/>
        <v>0</v>
      </c>
      <c r="CU34" s="57">
        <f t="shared" si="78"/>
        <v>0</v>
      </c>
      <c r="CV34" s="53">
        <f t="shared" si="79"/>
        <v>0</v>
      </c>
      <c r="CW34" s="53">
        <f t="shared" si="80"/>
        <v>0</v>
      </c>
      <c r="CX34" s="58" t="e">
        <f t="shared" si="81"/>
        <v>#DIV/0!</v>
      </c>
      <c r="CY34" s="53">
        <f t="shared" si="82"/>
        <v>0</v>
      </c>
      <c r="CZ34" s="53">
        <f t="shared" si="83"/>
        <v>0</v>
      </c>
      <c r="DA34" s="58" t="e">
        <f t="shared" si="84"/>
        <v>#DIV/0!</v>
      </c>
      <c r="DB34" s="48" t="e">
        <f t="shared" si="85"/>
        <v>#DIV/0!</v>
      </c>
      <c r="DC34" s="48" t="e">
        <f t="shared" si="86"/>
        <v>#DIV/0!</v>
      </c>
      <c r="DD34" s="48" t="e">
        <f t="shared" si="87"/>
        <v>#DIV/0!</v>
      </c>
      <c r="DE34" s="48" t="e">
        <f t="shared" si="88"/>
        <v>#DIV/0!</v>
      </c>
      <c r="DF34" s="48" t="e">
        <f t="shared" si="89"/>
        <v>#DIV/0!</v>
      </c>
      <c r="DG34" s="48" t="e">
        <f t="shared" si="90"/>
        <v>#DIV/0!</v>
      </c>
      <c r="DH34" s="48">
        <f>SUMIF(FCR!$BZ$4:$DB$500,DG34,FCR!$DE$4:$EG$500)</f>
        <v>0</v>
      </c>
      <c r="DI34" s="48" t="e">
        <f t="shared" si="91"/>
        <v>#DIV/0!</v>
      </c>
      <c r="DJ34" s="48">
        <f>SUMIF(FCR!$BZ$4:$DB$142,DI34,FCR!$DE$4:$EG$142)</f>
        <v>0</v>
      </c>
      <c r="DK34" s="48" t="e">
        <f t="shared" si="92"/>
        <v>#DIV/0!</v>
      </c>
      <c r="DL34" s="55" t="e">
        <f t="shared" si="93"/>
        <v>#DIV/0!</v>
      </c>
      <c r="DM34" s="48" t="e">
        <f t="shared" si="94"/>
        <v>#DIV/0!</v>
      </c>
      <c r="DN34" s="48">
        <f>SUMIF(FCR!$BZ$4:$DB$142,DM34,FCR!$DE$4:$EG$142)</f>
        <v>0</v>
      </c>
      <c r="DO34" s="53" t="e">
        <f t="shared" si="95"/>
        <v>#DIV/0!</v>
      </c>
      <c r="DP34" s="55" t="e">
        <f t="shared" si="96"/>
        <v>#DIV/0!</v>
      </c>
      <c r="DQ34" s="55" t="e">
        <f t="shared" si="97"/>
        <v>#DIV/0!</v>
      </c>
      <c r="DR34" s="55"/>
      <c r="DS34" s="55" t="e">
        <f t="shared" si="98"/>
        <v>#DIV/0!</v>
      </c>
      <c r="DT34" s="55" t="e">
        <f t="shared" si="99"/>
        <v>#DIV/0!</v>
      </c>
      <c r="DU34" s="53">
        <f t="shared" si="100"/>
        <v>0</v>
      </c>
      <c r="DV34" s="59" t="e">
        <f t="shared" si="101"/>
        <v>#DIV/0!</v>
      </c>
    </row>
    <row r="35" spans="30:126">
      <c r="AD35" s="49" t="s">
        <v>411</v>
      </c>
      <c r="AE35" s="49">
        <f t="shared" si="24"/>
        <v>0</v>
      </c>
      <c r="AF35" s="49">
        <f t="shared" si="48"/>
        <v>0</v>
      </c>
      <c r="AG35" s="114">
        <f t="shared" si="49"/>
        <v>0</v>
      </c>
      <c r="AH35" s="104">
        <f t="shared" si="50"/>
        <v>0</v>
      </c>
      <c r="AI35" s="104">
        <f t="shared" si="51"/>
        <v>0</v>
      </c>
      <c r="AJ35" s="104">
        <f t="shared" si="52"/>
        <v>0</v>
      </c>
      <c r="AK35" s="104">
        <f t="shared" si="53"/>
        <v>0</v>
      </c>
      <c r="AL35" s="104">
        <f t="shared" si="54"/>
        <v>0</v>
      </c>
      <c r="AM35" s="104">
        <f t="shared" si="55"/>
        <v>0</v>
      </c>
      <c r="AN35" s="104">
        <f t="shared" si="56"/>
        <v>0</v>
      </c>
      <c r="AO35" s="104">
        <f t="shared" si="57"/>
        <v>0</v>
      </c>
      <c r="AP35" s="104">
        <f t="shared" si="58"/>
        <v>0</v>
      </c>
      <c r="AQ35" s="49">
        <f t="shared" si="59"/>
        <v>0</v>
      </c>
      <c r="AR35" s="104">
        <f t="shared" si="60"/>
        <v>0</v>
      </c>
      <c r="AS35" s="104">
        <f t="shared" si="61"/>
        <v>0</v>
      </c>
      <c r="AT35" s="104">
        <f t="shared" si="62"/>
        <v>0</v>
      </c>
      <c r="AU35" s="104">
        <f t="shared" si="63"/>
        <v>0</v>
      </c>
      <c r="BF35" s="49">
        <f t="shared" si="64"/>
        <v>0</v>
      </c>
      <c r="BG35" s="49">
        <f t="shared" si="65"/>
        <v>0</v>
      </c>
      <c r="BH35" s="54" t="e">
        <f t="shared" si="66"/>
        <v>#DIV/0!</v>
      </c>
      <c r="BI35" s="112" t="e">
        <f t="shared" si="67"/>
        <v>#DIV/0!</v>
      </c>
      <c r="BK35" s="55" t="e">
        <f t="shared" si="68"/>
        <v>#DIV/0!</v>
      </c>
      <c r="BL35" s="55" t="e">
        <f t="shared" si="69"/>
        <v>#DIV/0!</v>
      </c>
      <c r="BM35" s="55" t="e">
        <f t="shared" si="70"/>
        <v>#DIV/0!</v>
      </c>
      <c r="BN35" s="53">
        <f t="shared" si="71"/>
        <v>0</v>
      </c>
      <c r="BO35" s="112" t="e">
        <f t="shared" si="72"/>
        <v>#DIV/0!</v>
      </c>
      <c r="BR35" s="53" t="e">
        <f t="shared" si="73"/>
        <v>#DIV/0!</v>
      </c>
      <c r="BS35" s="53">
        <f t="shared" si="74"/>
        <v>0</v>
      </c>
      <c r="BT35" s="53">
        <f t="shared" si="75"/>
        <v>0</v>
      </c>
      <c r="BU35" s="56" t="e">
        <f t="shared" si="76"/>
        <v>#DIV/0!</v>
      </c>
      <c r="BX35" s="60"/>
      <c r="BY35" s="60"/>
      <c r="BZ35" s="60"/>
      <c r="CA35" s="60"/>
      <c r="CB35" s="60"/>
      <c r="CC35" s="60"/>
      <c r="CD35" s="60"/>
      <c r="CE35" s="60"/>
      <c r="CF35" s="60"/>
      <c r="CG35" s="60"/>
      <c r="CH35" s="60"/>
      <c r="CI35" s="60"/>
      <c r="CJ35" s="60"/>
      <c r="CK35" s="60"/>
      <c r="CL35" s="60"/>
      <c r="CM35" s="60"/>
      <c r="CN35" s="60"/>
      <c r="CO35" s="60"/>
      <c r="CP35" s="60"/>
      <c r="CQ35" s="60"/>
      <c r="CR35" s="60"/>
      <c r="CS35" s="60"/>
      <c r="CT35" s="57">
        <f t="shared" si="77"/>
        <v>0</v>
      </c>
      <c r="CU35" s="57">
        <f t="shared" si="78"/>
        <v>0</v>
      </c>
      <c r="CV35" s="53">
        <f t="shared" si="79"/>
        <v>0</v>
      </c>
      <c r="CW35" s="53">
        <f t="shared" si="80"/>
        <v>0</v>
      </c>
      <c r="CX35" s="58" t="e">
        <f t="shared" si="81"/>
        <v>#DIV/0!</v>
      </c>
      <c r="CY35" s="53">
        <f t="shared" si="82"/>
        <v>0</v>
      </c>
      <c r="CZ35" s="53">
        <f t="shared" si="83"/>
        <v>0</v>
      </c>
      <c r="DA35" s="58" t="e">
        <f t="shared" si="84"/>
        <v>#DIV/0!</v>
      </c>
      <c r="DB35" s="48" t="e">
        <f t="shared" si="85"/>
        <v>#DIV/0!</v>
      </c>
      <c r="DC35" s="48" t="e">
        <f t="shared" si="86"/>
        <v>#DIV/0!</v>
      </c>
      <c r="DD35" s="48" t="e">
        <f t="shared" si="87"/>
        <v>#DIV/0!</v>
      </c>
      <c r="DE35" s="48" t="e">
        <f t="shared" si="88"/>
        <v>#DIV/0!</v>
      </c>
      <c r="DF35" s="48" t="e">
        <f t="shared" si="89"/>
        <v>#DIV/0!</v>
      </c>
      <c r="DG35" s="48" t="e">
        <f t="shared" si="90"/>
        <v>#DIV/0!</v>
      </c>
      <c r="DH35" s="48">
        <f>SUMIF(FCR!$BZ$4:$DB$500,DG35,FCR!$DE$4:$EG$500)</f>
        <v>0</v>
      </c>
      <c r="DI35" s="48" t="e">
        <f t="shared" si="91"/>
        <v>#DIV/0!</v>
      </c>
      <c r="DJ35" s="48">
        <f>SUMIF(FCR!$BZ$4:$DB$142,DI35,FCR!$DE$4:$EG$142)</f>
        <v>0</v>
      </c>
      <c r="DK35" s="48" t="e">
        <f t="shared" si="92"/>
        <v>#DIV/0!</v>
      </c>
      <c r="DL35" s="55" t="e">
        <f t="shared" si="93"/>
        <v>#DIV/0!</v>
      </c>
      <c r="DM35" s="48" t="e">
        <f t="shared" si="94"/>
        <v>#DIV/0!</v>
      </c>
      <c r="DN35" s="48">
        <f>SUMIF(FCR!$BZ$4:$DB$142,DM35,FCR!$DE$4:$EG$142)</f>
        <v>0</v>
      </c>
      <c r="DO35" s="53" t="e">
        <f t="shared" si="95"/>
        <v>#DIV/0!</v>
      </c>
      <c r="DP35" s="55" t="e">
        <f t="shared" si="96"/>
        <v>#DIV/0!</v>
      </c>
      <c r="DQ35" s="55" t="e">
        <f t="shared" si="97"/>
        <v>#DIV/0!</v>
      </c>
      <c r="DR35" s="55"/>
      <c r="DS35" s="55" t="e">
        <f t="shared" si="98"/>
        <v>#DIV/0!</v>
      </c>
      <c r="DT35" s="55" t="e">
        <f t="shared" si="99"/>
        <v>#DIV/0!</v>
      </c>
      <c r="DU35" s="53">
        <f t="shared" si="100"/>
        <v>0</v>
      </c>
      <c r="DV35" s="59" t="e">
        <f t="shared" si="101"/>
        <v>#DIV/0!</v>
      </c>
    </row>
    <row r="36" spans="30:126">
      <c r="AD36" s="49" t="s">
        <v>411</v>
      </c>
      <c r="AE36" s="49">
        <f t="shared" si="24"/>
        <v>0</v>
      </c>
      <c r="AF36" s="49">
        <f t="shared" si="48"/>
        <v>0</v>
      </c>
      <c r="AG36" s="114">
        <f t="shared" si="49"/>
        <v>0</v>
      </c>
      <c r="AH36" s="104">
        <f t="shared" si="50"/>
        <v>0</v>
      </c>
      <c r="AI36" s="104">
        <f t="shared" si="51"/>
        <v>0</v>
      </c>
      <c r="AJ36" s="104">
        <f t="shared" si="52"/>
        <v>0</v>
      </c>
      <c r="AK36" s="104">
        <f t="shared" si="53"/>
        <v>0</v>
      </c>
      <c r="AL36" s="104">
        <f t="shared" si="54"/>
        <v>0</v>
      </c>
      <c r="AM36" s="104">
        <f t="shared" si="55"/>
        <v>0</v>
      </c>
      <c r="AN36" s="104">
        <f t="shared" si="56"/>
        <v>0</v>
      </c>
      <c r="AO36" s="104">
        <f t="shared" si="57"/>
        <v>0</v>
      </c>
      <c r="AP36" s="104">
        <f t="shared" si="58"/>
        <v>0</v>
      </c>
      <c r="AQ36" s="49">
        <f t="shared" si="59"/>
        <v>0</v>
      </c>
      <c r="AR36" s="104">
        <f t="shared" si="60"/>
        <v>0</v>
      </c>
      <c r="AS36" s="104">
        <f t="shared" si="61"/>
        <v>0</v>
      </c>
      <c r="AT36" s="104">
        <f t="shared" si="62"/>
        <v>0</v>
      </c>
      <c r="AU36" s="104">
        <f t="shared" si="63"/>
        <v>0</v>
      </c>
      <c r="BF36" s="49">
        <f t="shared" si="64"/>
        <v>0</v>
      </c>
      <c r="BG36" s="49">
        <f t="shared" si="65"/>
        <v>0</v>
      </c>
      <c r="BH36" s="54" t="e">
        <f t="shared" si="66"/>
        <v>#DIV/0!</v>
      </c>
      <c r="BI36" s="112" t="e">
        <f t="shared" si="67"/>
        <v>#DIV/0!</v>
      </c>
      <c r="BK36" s="55" t="e">
        <f t="shared" si="68"/>
        <v>#DIV/0!</v>
      </c>
      <c r="BL36" s="55" t="e">
        <f t="shared" si="69"/>
        <v>#DIV/0!</v>
      </c>
      <c r="BM36" s="55" t="e">
        <f t="shared" si="70"/>
        <v>#DIV/0!</v>
      </c>
      <c r="BN36" s="53">
        <f t="shared" si="71"/>
        <v>0</v>
      </c>
      <c r="BO36" s="112" t="e">
        <f t="shared" si="72"/>
        <v>#DIV/0!</v>
      </c>
      <c r="BR36" s="53" t="e">
        <f t="shared" si="73"/>
        <v>#DIV/0!</v>
      </c>
      <c r="BS36" s="53">
        <f t="shared" si="74"/>
        <v>0</v>
      </c>
      <c r="BT36" s="53">
        <f t="shared" si="75"/>
        <v>0</v>
      </c>
      <c r="BU36" s="56" t="e">
        <f t="shared" si="76"/>
        <v>#DIV/0!</v>
      </c>
      <c r="BX36" s="60"/>
      <c r="BY36" s="60"/>
      <c r="BZ36" s="60"/>
      <c r="CA36" s="60"/>
      <c r="CB36" s="60"/>
      <c r="CC36" s="60"/>
      <c r="CD36" s="60"/>
      <c r="CE36" s="60"/>
      <c r="CF36" s="60"/>
      <c r="CG36" s="60"/>
      <c r="CH36" s="60"/>
      <c r="CI36" s="60"/>
      <c r="CJ36" s="60"/>
      <c r="CK36" s="60"/>
      <c r="CL36" s="60"/>
      <c r="CM36" s="60"/>
      <c r="CN36" s="60"/>
      <c r="CO36" s="60"/>
      <c r="CP36" s="60"/>
      <c r="CQ36" s="60"/>
      <c r="CR36" s="60"/>
      <c r="CS36" s="60"/>
      <c r="CT36" s="57">
        <f t="shared" si="77"/>
        <v>0</v>
      </c>
      <c r="CU36" s="57">
        <f t="shared" si="78"/>
        <v>0</v>
      </c>
      <c r="CV36" s="53">
        <f t="shared" si="79"/>
        <v>0</v>
      </c>
      <c r="CW36" s="53">
        <f t="shared" si="80"/>
        <v>0</v>
      </c>
      <c r="CX36" s="58" t="e">
        <f t="shared" si="81"/>
        <v>#DIV/0!</v>
      </c>
      <c r="CY36" s="53">
        <f t="shared" si="82"/>
        <v>0</v>
      </c>
      <c r="CZ36" s="53">
        <f t="shared" si="83"/>
        <v>0</v>
      </c>
      <c r="DA36" s="58" t="e">
        <f t="shared" si="84"/>
        <v>#DIV/0!</v>
      </c>
      <c r="DB36" s="48" t="e">
        <f t="shared" si="85"/>
        <v>#DIV/0!</v>
      </c>
      <c r="DC36" s="48" t="e">
        <f t="shared" si="86"/>
        <v>#DIV/0!</v>
      </c>
      <c r="DD36" s="48" t="e">
        <f t="shared" si="87"/>
        <v>#DIV/0!</v>
      </c>
      <c r="DE36" s="48" t="e">
        <f t="shared" si="88"/>
        <v>#DIV/0!</v>
      </c>
      <c r="DF36" s="48" t="e">
        <f t="shared" si="89"/>
        <v>#DIV/0!</v>
      </c>
      <c r="DG36" s="48" t="e">
        <f t="shared" si="90"/>
        <v>#DIV/0!</v>
      </c>
      <c r="DH36" s="48">
        <f>SUMIF(FCR!$BZ$4:$DB$500,DG36,FCR!$DE$4:$EG$500)</f>
        <v>0</v>
      </c>
      <c r="DI36" s="48" t="e">
        <f t="shared" si="91"/>
        <v>#DIV/0!</v>
      </c>
      <c r="DJ36" s="48">
        <f>SUMIF(FCR!$BZ$4:$DB$142,DI36,FCR!$DE$4:$EG$142)</f>
        <v>0</v>
      </c>
      <c r="DK36" s="48" t="e">
        <f t="shared" si="92"/>
        <v>#DIV/0!</v>
      </c>
      <c r="DL36" s="55" t="e">
        <f t="shared" si="93"/>
        <v>#DIV/0!</v>
      </c>
      <c r="DM36" s="48" t="e">
        <f t="shared" si="94"/>
        <v>#DIV/0!</v>
      </c>
      <c r="DN36" s="48">
        <f>SUMIF(FCR!$BZ$4:$DB$142,DM36,FCR!$DE$4:$EG$142)</f>
        <v>0</v>
      </c>
      <c r="DO36" s="53" t="e">
        <f t="shared" si="95"/>
        <v>#DIV/0!</v>
      </c>
      <c r="DP36" s="55" t="e">
        <f t="shared" si="96"/>
        <v>#DIV/0!</v>
      </c>
      <c r="DQ36" s="55" t="e">
        <f t="shared" si="97"/>
        <v>#DIV/0!</v>
      </c>
      <c r="DR36" s="55"/>
      <c r="DS36" s="55" t="e">
        <f t="shared" si="98"/>
        <v>#DIV/0!</v>
      </c>
      <c r="DT36" s="55" t="e">
        <f t="shared" si="99"/>
        <v>#DIV/0!</v>
      </c>
      <c r="DU36" s="53">
        <f t="shared" si="100"/>
        <v>0</v>
      </c>
      <c r="DV36" s="59" t="e">
        <f t="shared" si="101"/>
        <v>#DIV/0!</v>
      </c>
    </row>
    <row r="37" spans="30:126">
      <c r="AD37" s="49" t="s">
        <v>411</v>
      </c>
      <c r="AE37" s="49">
        <f t="shared" si="24"/>
        <v>0</v>
      </c>
      <c r="AF37" s="49">
        <f t="shared" si="48"/>
        <v>0</v>
      </c>
      <c r="AG37" s="114">
        <f t="shared" si="49"/>
        <v>0</v>
      </c>
      <c r="AH37" s="104">
        <f t="shared" si="50"/>
        <v>0</v>
      </c>
      <c r="AI37" s="104">
        <f t="shared" si="51"/>
        <v>0</v>
      </c>
      <c r="AJ37" s="104">
        <f t="shared" si="52"/>
        <v>0</v>
      </c>
      <c r="AK37" s="104">
        <f t="shared" si="53"/>
        <v>0</v>
      </c>
      <c r="AL37" s="104">
        <f t="shared" si="54"/>
        <v>0</v>
      </c>
      <c r="AM37" s="104">
        <f t="shared" si="55"/>
        <v>0</v>
      </c>
      <c r="AN37" s="104">
        <f t="shared" si="56"/>
        <v>0</v>
      </c>
      <c r="AO37" s="104">
        <f t="shared" si="57"/>
        <v>0</v>
      </c>
      <c r="AP37" s="104">
        <f t="shared" si="58"/>
        <v>0</v>
      </c>
      <c r="AQ37" s="49">
        <f t="shared" si="59"/>
        <v>0</v>
      </c>
      <c r="AR37" s="104">
        <f t="shared" si="60"/>
        <v>0</v>
      </c>
      <c r="AS37" s="104">
        <f t="shared" si="61"/>
        <v>0</v>
      </c>
      <c r="AT37" s="104">
        <f t="shared" si="62"/>
        <v>0</v>
      </c>
      <c r="AU37" s="104">
        <f t="shared" si="63"/>
        <v>0</v>
      </c>
      <c r="BF37" s="49">
        <f t="shared" si="64"/>
        <v>0</v>
      </c>
      <c r="BG37" s="49">
        <f t="shared" si="65"/>
        <v>0</v>
      </c>
      <c r="BH37" s="54" t="e">
        <f t="shared" si="66"/>
        <v>#DIV/0!</v>
      </c>
      <c r="BI37" s="112" t="e">
        <f t="shared" si="67"/>
        <v>#DIV/0!</v>
      </c>
      <c r="BK37" s="55" t="e">
        <f t="shared" si="68"/>
        <v>#DIV/0!</v>
      </c>
      <c r="BL37" s="55" t="e">
        <f t="shared" si="69"/>
        <v>#DIV/0!</v>
      </c>
      <c r="BM37" s="55" t="e">
        <f t="shared" si="70"/>
        <v>#DIV/0!</v>
      </c>
      <c r="BN37" s="53">
        <f t="shared" si="71"/>
        <v>0</v>
      </c>
      <c r="BO37" s="112" t="e">
        <f t="shared" si="72"/>
        <v>#DIV/0!</v>
      </c>
      <c r="BR37" s="53" t="e">
        <f t="shared" si="73"/>
        <v>#DIV/0!</v>
      </c>
      <c r="BS37" s="53">
        <f t="shared" si="74"/>
        <v>0</v>
      </c>
      <c r="BT37" s="53">
        <f t="shared" si="75"/>
        <v>0</v>
      </c>
      <c r="BU37" s="56" t="e">
        <f t="shared" si="76"/>
        <v>#DIV/0!</v>
      </c>
      <c r="BX37" s="60"/>
      <c r="BY37" s="60"/>
      <c r="BZ37" s="60"/>
      <c r="CA37" s="60"/>
      <c r="CB37" s="60"/>
      <c r="CC37" s="60"/>
      <c r="CD37" s="60"/>
      <c r="CE37" s="60"/>
      <c r="CF37" s="60"/>
      <c r="CG37" s="60"/>
      <c r="CH37" s="60"/>
      <c r="CI37" s="60"/>
      <c r="CJ37" s="60"/>
      <c r="CK37" s="60"/>
      <c r="CL37" s="60"/>
      <c r="CM37" s="60"/>
      <c r="CN37" s="60"/>
      <c r="CO37" s="60"/>
      <c r="CP37" s="60"/>
      <c r="CQ37" s="60"/>
      <c r="CR37" s="60"/>
      <c r="CS37" s="60"/>
      <c r="CT37" s="57">
        <f t="shared" si="77"/>
        <v>0</v>
      </c>
      <c r="CU37" s="57">
        <f t="shared" si="78"/>
        <v>0</v>
      </c>
      <c r="CV37" s="53">
        <f t="shared" si="79"/>
        <v>0</v>
      </c>
      <c r="CW37" s="53">
        <f t="shared" si="80"/>
        <v>0</v>
      </c>
      <c r="CX37" s="58" t="e">
        <f t="shared" si="81"/>
        <v>#DIV/0!</v>
      </c>
      <c r="CY37" s="53">
        <f t="shared" si="82"/>
        <v>0</v>
      </c>
      <c r="CZ37" s="53">
        <f t="shared" si="83"/>
        <v>0</v>
      </c>
      <c r="DA37" s="58" t="e">
        <f t="shared" si="84"/>
        <v>#DIV/0!</v>
      </c>
      <c r="DB37" s="48" t="e">
        <f t="shared" si="85"/>
        <v>#DIV/0!</v>
      </c>
      <c r="DC37" s="48" t="e">
        <f t="shared" si="86"/>
        <v>#DIV/0!</v>
      </c>
      <c r="DD37" s="48" t="e">
        <f t="shared" si="87"/>
        <v>#DIV/0!</v>
      </c>
      <c r="DE37" s="48" t="e">
        <f t="shared" si="88"/>
        <v>#DIV/0!</v>
      </c>
      <c r="DF37" s="48" t="e">
        <f t="shared" si="89"/>
        <v>#DIV/0!</v>
      </c>
      <c r="DG37" s="48" t="e">
        <f t="shared" si="90"/>
        <v>#DIV/0!</v>
      </c>
      <c r="DH37" s="48">
        <f>SUMIF(FCR!$BZ$4:$DB$500,DG37,FCR!$DE$4:$EG$500)</f>
        <v>0</v>
      </c>
      <c r="DI37" s="48" t="e">
        <f t="shared" si="91"/>
        <v>#DIV/0!</v>
      </c>
      <c r="DJ37" s="48">
        <f>SUMIF(FCR!$BZ$4:$DB$142,DI37,FCR!$DE$4:$EG$142)</f>
        <v>0</v>
      </c>
      <c r="DK37" s="48" t="e">
        <f t="shared" si="92"/>
        <v>#DIV/0!</v>
      </c>
      <c r="DL37" s="55" t="e">
        <f t="shared" si="93"/>
        <v>#DIV/0!</v>
      </c>
      <c r="DM37" s="48" t="e">
        <f t="shared" si="94"/>
        <v>#DIV/0!</v>
      </c>
      <c r="DN37" s="48">
        <f>SUMIF(FCR!$BZ$4:$DB$142,DM37,FCR!$DE$4:$EG$142)</f>
        <v>0</v>
      </c>
      <c r="DO37" s="53" t="e">
        <f t="shared" si="95"/>
        <v>#DIV/0!</v>
      </c>
      <c r="DP37" s="55" t="e">
        <f t="shared" si="96"/>
        <v>#DIV/0!</v>
      </c>
      <c r="DQ37" s="55" t="e">
        <f t="shared" si="97"/>
        <v>#DIV/0!</v>
      </c>
      <c r="DR37" s="55"/>
      <c r="DS37" s="55" t="e">
        <f t="shared" si="98"/>
        <v>#DIV/0!</v>
      </c>
      <c r="DT37" s="55" t="e">
        <f t="shared" si="99"/>
        <v>#DIV/0!</v>
      </c>
      <c r="DU37" s="53">
        <f t="shared" si="100"/>
        <v>0</v>
      </c>
      <c r="DV37" s="59" t="e">
        <f t="shared" si="101"/>
        <v>#DIV/0!</v>
      </c>
    </row>
    <row r="38" spans="30:126">
      <c r="AD38" s="49" t="s">
        <v>411</v>
      </c>
      <c r="AE38" s="49">
        <f t="shared" si="24"/>
        <v>0</v>
      </c>
      <c r="AF38" s="49">
        <f t="shared" si="48"/>
        <v>0</v>
      </c>
      <c r="AG38" s="114">
        <f t="shared" si="49"/>
        <v>0</v>
      </c>
      <c r="AH38" s="104">
        <f t="shared" si="50"/>
        <v>0</v>
      </c>
      <c r="AI38" s="104">
        <f t="shared" si="51"/>
        <v>0</v>
      </c>
      <c r="AJ38" s="104">
        <f t="shared" si="52"/>
        <v>0</v>
      </c>
      <c r="AK38" s="104">
        <f t="shared" si="53"/>
        <v>0</v>
      </c>
      <c r="AL38" s="104">
        <f t="shared" si="54"/>
        <v>0</v>
      </c>
      <c r="AM38" s="104">
        <f t="shared" si="55"/>
        <v>0</v>
      </c>
      <c r="AN38" s="104">
        <f t="shared" si="56"/>
        <v>0</v>
      </c>
      <c r="AO38" s="104">
        <f t="shared" si="57"/>
        <v>0</v>
      </c>
      <c r="AP38" s="104">
        <f t="shared" si="58"/>
        <v>0</v>
      </c>
      <c r="AQ38" s="49">
        <f t="shared" si="59"/>
        <v>0</v>
      </c>
      <c r="AR38" s="104">
        <f t="shared" si="60"/>
        <v>0</v>
      </c>
      <c r="AS38" s="104">
        <f t="shared" si="61"/>
        <v>0</v>
      </c>
      <c r="AT38" s="104">
        <f t="shared" si="62"/>
        <v>0</v>
      </c>
      <c r="AU38" s="104">
        <f t="shared" si="63"/>
        <v>0</v>
      </c>
      <c r="BF38" s="49">
        <f t="shared" si="64"/>
        <v>0</v>
      </c>
      <c r="BG38" s="49">
        <f t="shared" si="65"/>
        <v>0</v>
      </c>
      <c r="BH38" s="54" t="e">
        <f t="shared" si="66"/>
        <v>#DIV/0!</v>
      </c>
      <c r="BI38" s="112" t="e">
        <f t="shared" si="67"/>
        <v>#DIV/0!</v>
      </c>
      <c r="BK38" s="55" t="e">
        <f t="shared" si="68"/>
        <v>#DIV/0!</v>
      </c>
      <c r="BL38" s="55" t="e">
        <f t="shared" si="69"/>
        <v>#DIV/0!</v>
      </c>
      <c r="BM38" s="55" t="e">
        <f t="shared" si="70"/>
        <v>#DIV/0!</v>
      </c>
      <c r="BN38" s="53">
        <f t="shared" si="71"/>
        <v>0</v>
      </c>
      <c r="BO38" s="112" t="e">
        <f t="shared" si="72"/>
        <v>#DIV/0!</v>
      </c>
      <c r="BR38" s="53" t="e">
        <f t="shared" si="73"/>
        <v>#DIV/0!</v>
      </c>
      <c r="BS38" s="53">
        <f t="shared" si="74"/>
        <v>0</v>
      </c>
      <c r="BT38" s="53">
        <f t="shared" si="75"/>
        <v>0</v>
      </c>
      <c r="BU38" s="56" t="e">
        <f t="shared" si="76"/>
        <v>#DIV/0!</v>
      </c>
      <c r="BX38" s="60"/>
      <c r="BY38" s="60"/>
      <c r="BZ38" s="60"/>
      <c r="CA38" s="60"/>
      <c r="CB38" s="60"/>
      <c r="CC38" s="60"/>
      <c r="CD38" s="60"/>
      <c r="CE38" s="60"/>
      <c r="CF38" s="60"/>
      <c r="CG38" s="60"/>
      <c r="CH38" s="60"/>
      <c r="CI38" s="60"/>
      <c r="CJ38" s="60"/>
      <c r="CK38" s="60"/>
      <c r="CL38" s="60"/>
      <c r="CM38" s="60"/>
      <c r="CN38" s="60"/>
      <c r="CO38" s="60"/>
      <c r="CP38" s="60"/>
      <c r="CQ38" s="60"/>
      <c r="CR38" s="60"/>
      <c r="CS38" s="60"/>
      <c r="CT38" s="57">
        <f t="shared" si="77"/>
        <v>0</v>
      </c>
      <c r="CU38" s="57">
        <f t="shared" si="78"/>
        <v>0</v>
      </c>
      <c r="CV38" s="53">
        <f t="shared" si="79"/>
        <v>0</v>
      </c>
      <c r="CW38" s="53">
        <f t="shared" si="80"/>
        <v>0</v>
      </c>
      <c r="CX38" s="58" t="e">
        <f t="shared" si="81"/>
        <v>#DIV/0!</v>
      </c>
      <c r="CY38" s="53">
        <f t="shared" si="82"/>
        <v>0</v>
      </c>
      <c r="CZ38" s="53">
        <f t="shared" si="83"/>
        <v>0</v>
      </c>
      <c r="DA38" s="58" t="e">
        <f t="shared" si="84"/>
        <v>#DIV/0!</v>
      </c>
      <c r="DB38" s="48" t="e">
        <f t="shared" si="85"/>
        <v>#DIV/0!</v>
      </c>
      <c r="DC38" s="48" t="e">
        <f t="shared" si="86"/>
        <v>#DIV/0!</v>
      </c>
      <c r="DD38" s="48" t="e">
        <f t="shared" si="87"/>
        <v>#DIV/0!</v>
      </c>
      <c r="DE38" s="48" t="e">
        <f t="shared" si="88"/>
        <v>#DIV/0!</v>
      </c>
      <c r="DF38" s="48" t="e">
        <f t="shared" si="89"/>
        <v>#DIV/0!</v>
      </c>
      <c r="DG38" s="48" t="e">
        <f t="shared" si="90"/>
        <v>#DIV/0!</v>
      </c>
      <c r="DH38" s="48">
        <f>SUMIF(FCR!$BZ$4:$DB$500,DG38,FCR!$DE$4:$EG$500)</f>
        <v>0</v>
      </c>
      <c r="DI38" s="48" t="e">
        <f t="shared" si="91"/>
        <v>#DIV/0!</v>
      </c>
      <c r="DJ38" s="48">
        <f>SUMIF(FCR!$BZ$4:$DB$142,DI38,FCR!$DE$4:$EG$142)</f>
        <v>0</v>
      </c>
      <c r="DK38" s="48" t="e">
        <f t="shared" si="92"/>
        <v>#DIV/0!</v>
      </c>
      <c r="DL38" s="55" t="e">
        <f t="shared" si="93"/>
        <v>#DIV/0!</v>
      </c>
      <c r="DM38" s="48" t="e">
        <f t="shared" si="94"/>
        <v>#DIV/0!</v>
      </c>
      <c r="DN38" s="48">
        <f>SUMIF(FCR!$BZ$4:$DB$142,DM38,FCR!$DE$4:$EG$142)</f>
        <v>0</v>
      </c>
      <c r="DO38" s="53" t="e">
        <f t="shared" si="95"/>
        <v>#DIV/0!</v>
      </c>
      <c r="DP38" s="55" t="e">
        <f t="shared" si="96"/>
        <v>#DIV/0!</v>
      </c>
      <c r="DQ38" s="55" t="e">
        <f t="shared" si="97"/>
        <v>#DIV/0!</v>
      </c>
      <c r="DR38" s="55"/>
      <c r="DS38" s="55" t="e">
        <f t="shared" si="98"/>
        <v>#DIV/0!</v>
      </c>
      <c r="DT38" s="55" t="e">
        <f t="shared" si="99"/>
        <v>#DIV/0!</v>
      </c>
      <c r="DU38" s="53">
        <f t="shared" si="100"/>
        <v>0</v>
      </c>
      <c r="DV38" s="59" t="e">
        <f t="shared" si="101"/>
        <v>#DIV/0!</v>
      </c>
    </row>
    <row r="39" spans="30:126">
      <c r="AD39" s="49" t="s">
        <v>411</v>
      </c>
      <c r="AE39" s="49">
        <f t="shared" si="24"/>
        <v>0</v>
      </c>
      <c r="AF39" s="49">
        <f t="shared" si="48"/>
        <v>0</v>
      </c>
      <c r="AG39" s="114">
        <f t="shared" si="49"/>
        <v>0</v>
      </c>
      <c r="AH39" s="104">
        <f t="shared" si="50"/>
        <v>0</v>
      </c>
      <c r="AI39" s="104">
        <f t="shared" si="51"/>
        <v>0</v>
      </c>
      <c r="AJ39" s="104">
        <f t="shared" si="52"/>
        <v>0</v>
      </c>
      <c r="AK39" s="104">
        <f t="shared" si="53"/>
        <v>0</v>
      </c>
      <c r="AL39" s="104">
        <f t="shared" si="54"/>
        <v>0</v>
      </c>
      <c r="AM39" s="104">
        <f t="shared" si="55"/>
        <v>0</v>
      </c>
      <c r="AN39" s="104">
        <f t="shared" si="56"/>
        <v>0</v>
      </c>
      <c r="AO39" s="104">
        <f t="shared" si="57"/>
        <v>0</v>
      </c>
      <c r="AP39" s="104">
        <f t="shared" si="58"/>
        <v>0</v>
      </c>
      <c r="AQ39" s="49">
        <f t="shared" si="59"/>
        <v>0</v>
      </c>
      <c r="AR39" s="104">
        <f t="shared" si="60"/>
        <v>0</v>
      </c>
      <c r="AS39" s="104">
        <f t="shared" si="61"/>
        <v>0</v>
      </c>
      <c r="AT39" s="104">
        <f t="shared" si="62"/>
        <v>0</v>
      </c>
      <c r="AU39" s="104">
        <f t="shared" si="63"/>
        <v>0</v>
      </c>
      <c r="BF39" s="49">
        <f t="shared" si="64"/>
        <v>0</v>
      </c>
      <c r="BG39" s="49">
        <f t="shared" si="65"/>
        <v>0</v>
      </c>
      <c r="BH39" s="54" t="e">
        <f t="shared" si="66"/>
        <v>#DIV/0!</v>
      </c>
      <c r="BI39" s="112" t="e">
        <f t="shared" si="67"/>
        <v>#DIV/0!</v>
      </c>
      <c r="BK39" s="55" t="e">
        <f t="shared" si="68"/>
        <v>#DIV/0!</v>
      </c>
      <c r="BL39" s="55" t="e">
        <f t="shared" si="69"/>
        <v>#DIV/0!</v>
      </c>
      <c r="BM39" s="55" t="e">
        <f t="shared" si="70"/>
        <v>#DIV/0!</v>
      </c>
      <c r="BN39" s="53">
        <f t="shared" si="71"/>
        <v>0</v>
      </c>
      <c r="BO39" s="112" t="e">
        <f t="shared" si="72"/>
        <v>#DIV/0!</v>
      </c>
      <c r="BR39" s="53" t="e">
        <f t="shared" si="73"/>
        <v>#DIV/0!</v>
      </c>
      <c r="BS39" s="53">
        <f t="shared" si="74"/>
        <v>0</v>
      </c>
      <c r="BT39" s="53">
        <f t="shared" si="75"/>
        <v>0</v>
      </c>
      <c r="BU39" s="56" t="e">
        <f t="shared" si="76"/>
        <v>#DIV/0!</v>
      </c>
      <c r="BX39" s="60"/>
      <c r="BY39" s="60"/>
      <c r="BZ39" s="60"/>
      <c r="CA39" s="60"/>
      <c r="CB39" s="60"/>
      <c r="CC39" s="60"/>
      <c r="CD39" s="60"/>
      <c r="CE39" s="60"/>
      <c r="CF39" s="60"/>
      <c r="CG39" s="60"/>
      <c r="CH39" s="60"/>
      <c r="CI39" s="60"/>
      <c r="CJ39" s="60"/>
      <c r="CK39" s="60"/>
      <c r="CL39" s="60"/>
      <c r="CM39" s="60"/>
      <c r="CN39" s="60"/>
      <c r="CO39" s="60"/>
      <c r="CP39" s="60"/>
      <c r="CQ39" s="60"/>
      <c r="CR39" s="60"/>
      <c r="CS39" s="60"/>
      <c r="CT39" s="57">
        <f t="shared" si="77"/>
        <v>0</v>
      </c>
      <c r="CU39" s="57">
        <f t="shared" si="78"/>
        <v>0</v>
      </c>
      <c r="CV39" s="53">
        <f t="shared" si="79"/>
        <v>0</v>
      </c>
      <c r="CW39" s="53">
        <f t="shared" si="80"/>
        <v>0</v>
      </c>
      <c r="CX39" s="58" t="e">
        <f t="shared" si="81"/>
        <v>#DIV/0!</v>
      </c>
      <c r="CY39" s="53">
        <f t="shared" si="82"/>
        <v>0</v>
      </c>
      <c r="CZ39" s="53">
        <f t="shared" si="83"/>
        <v>0</v>
      </c>
      <c r="DA39" s="58" t="e">
        <f t="shared" si="84"/>
        <v>#DIV/0!</v>
      </c>
      <c r="DB39" s="48" t="e">
        <f t="shared" si="85"/>
        <v>#DIV/0!</v>
      </c>
      <c r="DC39" s="48" t="e">
        <f t="shared" si="86"/>
        <v>#DIV/0!</v>
      </c>
      <c r="DD39" s="48" t="e">
        <f t="shared" si="87"/>
        <v>#DIV/0!</v>
      </c>
      <c r="DE39" s="48" t="e">
        <f t="shared" si="88"/>
        <v>#DIV/0!</v>
      </c>
      <c r="DF39" s="48" t="e">
        <f t="shared" si="89"/>
        <v>#DIV/0!</v>
      </c>
      <c r="DG39" s="48" t="e">
        <f t="shared" si="90"/>
        <v>#DIV/0!</v>
      </c>
      <c r="DH39" s="48">
        <f>SUMIF(FCR!$BZ$4:$DB$500,DG39,FCR!$DE$4:$EG$500)</f>
        <v>0</v>
      </c>
      <c r="DI39" s="48" t="e">
        <f t="shared" si="91"/>
        <v>#DIV/0!</v>
      </c>
      <c r="DJ39" s="48">
        <f>SUMIF(FCR!$BZ$4:$DB$142,DI39,FCR!$DE$4:$EG$142)</f>
        <v>0</v>
      </c>
      <c r="DK39" s="48" t="e">
        <f t="shared" si="92"/>
        <v>#DIV/0!</v>
      </c>
      <c r="DL39" s="55" t="e">
        <f t="shared" si="93"/>
        <v>#DIV/0!</v>
      </c>
      <c r="DM39" s="48" t="e">
        <f t="shared" si="94"/>
        <v>#DIV/0!</v>
      </c>
      <c r="DN39" s="48">
        <f>SUMIF(FCR!$BZ$4:$DB$142,DM39,FCR!$DE$4:$EG$142)</f>
        <v>0</v>
      </c>
      <c r="DO39" s="53" t="e">
        <f t="shared" si="95"/>
        <v>#DIV/0!</v>
      </c>
      <c r="DP39" s="55" t="e">
        <f t="shared" si="96"/>
        <v>#DIV/0!</v>
      </c>
      <c r="DQ39" s="55" t="e">
        <f t="shared" si="97"/>
        <v>#DIV/0!</v>
      </c>
      <c r="DR39" s="55"/>
      <c r="DS39" s="55" t="e">
        <f t="shared" si="98"/>
        <v>#DIV/0!</v>
      </c>
      <c r="DT39" s="55" t="e">
        <f t="shared" si="99"/>
        <v>#DIV/0!</v>
      </c>
      <c r="DU39" s="53">
        <f t="shared" si="100"/>
        <v>0</v>
      </c>
      <c r="DV39" s="59" t="e">
        <f t="shared" si="101"/>
        <v>#DIV/0!</v>
      </c>
    </row>
    <row r="40" spans="30:126">
      <c r="AD40" s="49" t="s">
        <v>411</v>
      </c>
      <c r="AE40" s="49">
        <f t="shared" si="24"/>
        <v>0</v>
      </c>
      <c r="AF40" s="49">
        <f t="shared" si="48"/>
        <v>0</v>
      </c>
      <c r="AG40" s="114">
        <f t="shared" si="49"/>
        <v>0</v>
      </c>
      <c r="AH40" s="104">
        <f t="shared" si="50"/>
        <v>0</v>
      </c>
      <c r="AI40" s="104">
        <f t="shared" si="51"/>
        <v>0</v>
      </c>
      <c r="AJ40" s="104">
        <f t="shared" si="52"/>
        <v>0</v>
      </c>
      <c r="AK40" s="104">
        <f t="shared" si="53"/>
        <v>0</v>
      </c>
      <c r="AL40" s="104">
        <f t="shared" si="54"/>
        <v>0</v>
      </c>
      <c r="AM40" s="104">
        <f t="shared" si="55"/>
        <v>0</v>
      </c>
      <c r="AN40" s="104">
        <f t="shared" si="56"/>
        <v>0</v>
      </c>
      <c r="AO40" s="104">
        <f t="shared" si="57"/>
        <v>0</v>
      </c>
      <c r="AP40" s="104">
        <f t="shared" si="58"/>
        <v>0</v>
      </c>
      <c r="AQ40" s="49">
        <f t="shared" si="59"/>
        <v>0</v>
      </c>
      <c r="AR40" s="104">
        <f t="shared" si="60"/>
        <v>0</v>
      </c>
      <c r="AS40" s="104">
        <f t="shared" si="61"/>
        <v>0</v>
      </c>
      <c r="AT40" s="104">
        <f t="shared" si="62"/>
        <v>0</v>
      </c>
      <c r="AU40" s="104">
        <f t="shared" si="63"/>
        <v>0</v>
      </c>
      <c r="BF40" s="49">
        <f t="shared" si="64"/>
        <v>0</v>
      </c>
      <c r="BG40" s="49">
        <f t="shared" si="65"/>
        <v>0</v>
      </c>
      <c r="BH40" s="54" t="e">
        <f t="shared" si="66"/>
        <v>#DIV/0!</v>
      </c>
      <c r="BI40" s="112" t="e">
        <f t="shared" si="67"/>
        <v>#DIV/0!</v>
      </c>
      <c r="BK40" s="55" t="e">
        <f t="shared" si="68"/>
        <v>#DIV/0!</v>
      </c>
      <c r="BL40" s="55" t="e">
        <f t="shared" si="69"/>
        <v>#DIV/0!</v>
      </c>
      <c r="BM40" s="55" t="e">
        <f t="shared" si="70"/>
        <v>#DIV/0!</v>
      </c>
      <c r="BN40" s="53">
        <f t="shared" si="71"/>
        <v>0</v>
      </c>
      <c r="BO40" s="112" t="e">
        <f t="shared" si="72"/>
        <v>#DIV/0!</v>
      </c>
      <c r="BR40" s="53" t="e">
        <f t="shared" si="73"/>
        <v>#DIV/0!</v>
      </c>
      <c r="BS40" s="53">
        <f t="shared" si="74"/>
        <v>0</v>
      </c>
      <c r="BT40" s="53">
        <f t="shared" si="75"/>
        <v>0</v>
      </c>
      <c r="BU40" s="56" t="e">
        <f t="shared" si="76"/>
        <v>#DIV/0!</v>
      </c>
      <c r="BX40" s="60"/>
      <c r="BY40" s="60"/>
      <c r="BZ40" s="60"/>
      <c r="CA40" s="60"/>
      <c r="CB40" s="60"/>
      <c r="CC40" s="60"/>
      <c r="CD40" s="60"/>
      <c r="CE40" s="60"/>
      <c r="CF40" s="60"/>
      <c r="CG40" s="60"/>
      <c r="CH40" s="60"/>
      <c r="CI40" s="60"/>
      <c r="CJ40" s="60"/>
      <c r="CK40" s="60"/>
      <c r="CL40" s="60"/>
      <c r="CM40" s="60"/>
      <c r="CN40" s="60"/>
      <c r="CO40" s="60"/>
      <c r="CP40" s="60"/>
      <c r="CQ40" s="60"/>
      <c r="CR40" s="60"/>
      <c r="CS40" s="60"/>
      <c r="CT40" s="57">
        <f t="shared" si="77"/>
        <v>0</v>
      </c>
      <c r="CU40" s="57">
        <f t="shared" si="78"/>
        <v>0</v>
      </c>
      <c r="CV40" s="53">
        <f t="shared" si="79"/>
        <v>0</v>
      </c>
      <c r="CW40" s="53">
        <f t="shared" si="80"/>
        <v>0</v>
      </c>
      <c r="CX40" s="58" t="e">
        <f t="shared" si="81"/>
        <v>#DIV/0!</v>
      </c>
      <c r="CY40" s="53">
        <f t="shared" si="82"/>
        <v>0</v>
      </c>
      <c r="CZ40" s="53">
        <f t="shared" si="83"/>
        <v>0</v>
      </c>
      <c r="DA40" s="58" t="e">
        <f t="shared" si="84"/>
        <v>#DIV/0!</v>
      </c>
      <c r="DB40" s="48" t="e">
        <f t="shared" si="85"/>
        <v>#DIV/0!</v>
      </c>
      <c r="DC40" s="48" t="e">
        <f t="shared" si="86"/>
        <v>#DIV/0!</v>
      </c>
      <c r="DD40" s="48" t="e">
        <f t="shared" si="87"/>
        <v>#DIV/0!</v>
      </c>
      <c r="DE40" s="48" t="e">
        <f t="shared" si="88"/>
        <v>#DIV/0!</v>
      </c>
      <c r="DF40" s="48" t="e">
        <f t="shared" si="89"/>
        <v>#DIV/0!</v>
      </c>
      <c r="DG40" s="48" t="e">
        <f t="shared" si="90"/>
        <v>#DIV/0!</v>
      </c>
      <c r="DH40" s="48">
        <f>SUMIF(FCR!$BZ$4:$DB$500,DG40,FCR!$DE$4:$EG$500)</f>
        <v>0</v>
      </c>
      <c r="DI40" s="48" t="e">
        <f t="shared" si="91"/>
        <v>#DIV/0!</v>
      </c>
      <c r="DJ40" s="48">
        <f>SUMIF(FCR!$BZ$4:$DB$142,DI40,FCR!$DE$4:$EG$142)</f>
        <v>0</v>
      </c>
      <c r="DK40" s="48" t="e">
        <f t="shared" si="92"/>
        <v>#DIV/0!</v>
      </c>
      <c r="DL40" s="55" t="e">
        <f t="shared" si="93"/>
        <v>#DIV/0!</v>
      </c>
      <c r="DM40" s="48" t="e">
        <f t="shared" si="94"/>
        <v>#DIV/0!</v>
      </c>
      <c r="DN40" s="48">
        <f>SUMIF(FCR!$BZ$4:$DB$142,DM40,FCR!$DE$4:$EG$142)</f>
        <v>0</v>
      </c>
      <c r="DO40" s="53" t="e">
        <f t="shared" si="95"/>
        <v>#DIV/0!</v>
      </c>
      <c r="DP40" s="55" t="e">
        <f t="shared" si="96"/>
        <v>#DIV/0!</v>
      </c>
      <c r="DQ40" s="55" t="e">
        <f t="shared" si="97"/>
        <v>#DIV/0!</v>
      </c>
      <c r="DR40" s="55"/>
      <c r="DS40" s="55" t="e">
        <f t="shared" si="98"/>
        <v>#DIV/0!</v>
      </c>
      <c r="DT40" s="55" t="e">
        <f t="shared" si="99"/>
        <v>#DIV/0!</v>
      </c>
      <c r="DU40" s="53">
        <f t="shared" si="100"/>
        <v>0</v>
      </c>
      <c r="DV40" s="59" t="e">
        <f t="shared" si="101"/>
        <v>#DIV/0!</v>
      </c>
    </row>
    <row r="41" spans="30:126">
      <c r="AD41" s="49" t="s">
        <v>411</v>
      </c>
      <c r="AE41" s="49">
        <f t="shared" si="24"/>
        <v>0</v>
      </c>
      <c r="AF41" s="49">
        <f t="shared" si="48"/>
        <v>0</v>
      </c>
      <c r="AG41" s="114">
        <f t="shared" si="49"/>
        <v>0</v>
      </c>
      <c r="AH41" s="104">
        <f t="shared" si="50"/>
        <v>0</v>
      </c>
      <c r="AI41" s="104">
        <f t="shared" si="51"/>
        <v>0</v>
      </c>
      <c r="AJ41" s="104">
        <f t="shared" si="52"/>
        <v>0</v>
      </c>
      <c r="AK41" s="104">
        <f t="shared" si="53"/>
        <v>0</v>
      </c>
      <c r="AL41" s="104">
        <f t="shared" si="54"/>
        <v>0</v>
      </c>
      <c r="AM41" s="104">
        <f t="shared" si="55"/>
        <v>0</v>
      </c>
      <c r="AN41" s="104">
        <f t="shared" si="56"/>
        <v>0</v>
      </c>
      <c r="AO41" s="104">
        <f t="shared" si="57"/>
        <v>0</v>
      </c>
      <c r="AP41" s="104">
        <f t="shared" si="58"/>
        <v>0</v>
      </c>
      <c r="AQ41" s="49">
        <f t="shared" si="59"/>
        <v>0</v>
      </c>
      <c r="AR41" s="104">
        <f t="shared" si="60"/>
        <v>0</v>
      </c>
      <c r="AS41" s="104">
        <f t="shared" si="61"/>
        <v>0</v>
      </c>
      <c r="AT41" s="104">
        <f t="shared" si="62"/>
        <v>0</v>
      </c>
      <c r="AU41" s="104">
        <f t="shared" si="63"/>
        <v>0</v>
      </c>
      <c r="BF41" s="49">
        <f t="shared" si="64"/>
        <v>0</v>
      </c>
      <c r="BG41" s="49">
        <f t="shared" si="65"/>
        <v>0</v>
      </c>
      <c r="BH41" s="54" t="e">
        <f t="shared" si="66"/>
        <v>#DIV/0!</v>
      </c>
      <c r="BI41" s="112" t="e">
        <f t="shared" si="67"/>
        <v>#DIV/0!</v>
      </c>
      <c r="BK41" s="55" t="e">
        <f t="shared" si="68"/>
        <v>#DIV/0!</v>
      </c>
      <c r="BL41" s="55" t="e">
        <f t="shared" si="69"/>
        <v>#DIV/0!</v>
      </c>
      <c r="BM41" s="55" t="e">
        <f t="shared" si="70"/>
        <v>#DIV/0!</v>
      </c>
      <c r="BN41" s="53">
        <f t="shared" si="71"/>
        <v>0</v>
      </c>
      <c r="BO41" s="112" t="e">
        <f t="shared" si="72"/>
        <v>#DIV/0!</v>
      </c>
      <c r="BR41" s="53" t="e">
        <f t="shared" si="73"/>
        <v>#DIV/0!</v>
      </c>
      <c r="BS41" s="53">
        <f t="shared" si="74"/>
        <v>0</v>
      </c>
      <c r="BT41" s="53">
        <f t="shared" si="75"/>
        <v>0</v>
      </c>
      <c r="BU41" s="56" t="e">
        <f t="shared" si="76"/>
        <v>#DIV/0!</v>
      </c>
      <c r="BX41" s="60"/>
      <c r="BY41" s="60"/>
      <c r="BZ41" s="60"/>
      <c r="CA41" s="60"/>
      <c r="CB41" s="60"/>
      <c r="CC41" s="60"/>
      <c r="CD41" s="60"/>
      <c r="CE41" s="60"/>
      <c r="CF41" s="60"/>
      <c r="CG41" s="60"/>
      <c r="CH41" s="60"/>
      <c r="CI41" s="60"/>
      <c r="CJ41" s="60"/>
      <c r="CK41" s="60"/>
      <c r="CL41" s="60"/>
      <c r="CM41" s="60"/>
      <c r="CN41" s="60"/>
      <c r="CO41" s="60"/>
      <c r="CP41" s="60"/>
      <c r="CQ41" s="60"/>
      <c r="CR41" s="60"/>
      <c r="CS41" s="60"/>
      <c r="CT41" s="57">
        <f t="shared" si="77"/>
        <v>0</v>
      </c>
      <c r="CU41" s="57">
        <f t="shared" si="78"/>
        <v>0</v>
      </c>
      <c r="CV41" s="53">
        <f t="shared" si="79"/>
        <v>0</v>
      </c>
      <c r="CW41" s="53">
        <f t="shared" si="80"/>
        <v>0</v>
      </c>
      <c r="CX41" s="58" t="e">
        <f t="shared" si="81"/>
        <v>#DIV/0!</v>
      </c>
      <c r="CY41" s="53">
        <f t="shared" si="82"/>
        <v>0</v>
      </c>
      <c r="CZ41" s="53">
        <f t="shared" si="83"/>
        <v>0</v>
      </c>
      <c r="DA41" s="58" t="e">
        <f t="shared" si="84"/>
        <v>#DIV/0!</v>
      </c>
      <c r="DB41" s="48" t="e">
        <f t="shared" si="85"/>
        <v>#DIV/0!</v>
      </c>
      <c r="DC41" s="48" t="e">
        <f t="shared" si="86"/>
        <v>#DIV/0!</v>
      </c>
      <c r="DD41" s="48" t="e">
        <f t="shared" si="87"/>
        <v>#DIV/0!</v>
      </c>
      <c r="DE41" s="48" t="e">
        <f t="shared" si="88"/>
        <v>#DIV/0!</v>
      </c>
      <c r="DF41" s="48" t="e">
        <f t="shared" si="89"/>
        <v>#DIV/0!</v>
      </c>
      <c r="DG41" s="48" t="e">
        <f t="shared" si="90"/>
        <v>#DIV/0!</v>
      </c>
      <c r="DH41" s="48">
        <f>SUMIF(FCR!$BZ$4:$DB$500,DG41,FCR!$DE$4:$EG$500)</f>
        <v>0</v>
      </c>
      <c r="DI41" s="48" t="e">
        <f t="shared" si="91"/>
        <v>#DIV/0!</v>
      </c>
      <c r="DJ41" s="48">
        <f>SUMIF(FCR!$BZ$4:$DB$142,DI41,FCR!$DE$4:$EG$142)</f>
        <v>0</v>
      </c>
      <c r="DK41" s="48" t="e">
        <f t="shared" si="92"/>
        <v>#DIV/0!</v>
      </c>
      <c r="DL41" s="55" t="e">
        <f t="shared" si="93"/>
        <v>#DIV/0!</v>
      </c>
      <c r="DM41" s="48" t="e">
        <f t="shared" si="94"/>
        <v>#DIV/0!</v>
      </c>
      <c r="DN41" s="48">
        <f>SUMIF(FCR!$BZ$4:$DB$142,DM41,FCR!$DE$4:$EG$142)</f>
        <v>0</v>
      </c>
      <c r="DO41" s="53" t="e">
        <f t="shared" si="95"/>
        <v>#DIV/0!</v>
      </c>
      <c r="DP41" s="55" t="e">
        <f t="shared" si="96"/>
        <v>#DIV/0!</v>
      </c>
      <c r="DQ41" s="55" t="e">
        <f t="shared" si="97"/>
        <v>#DIV/0!</v>
      </c>
      <c r="DR41" s="55"/>
      <c r="DS41" s="55" t="e">
        <f t="shared" si="98"/>
        <v>#DIV/0!</v>
      </c>
      <c r="DT41" s="55" t="e">
        <f t="shared" si="99"/>
        <v>#DIV/0!</v>
      </c>
      <c r="DU41" s="53">
        <f t="shared" si="100"/>
        <v>0</v>
      </c>
      <c r="DV41" s="59" t="e">
        <f t="shared" si="101"/>
        <v>#DIV/0!</v>
      </c>
    </row>
    <row r="42" spans="30:126">
      <c r="AD42" s="49" t="s">
        <v>411</v>
      </c>
      <c r="AE42" s="49">
        <f t="shared" si="24"/>
        <v>0</v>
      </c>
      <c r="AF42" s="49">
        <f t="shared" si="48"/>
        <v>0</v>
      </c>
      <c r="AG42" s="114">
        <f t="shared" si="49"/>
        <v>0</v>
      </c>
      <c r="AH42" s="104">
        <f t="shared" si="50"/>
        <v>0</v>
      </c>
      <c r="AI42" s="104">
        <f t="shared" si="51"/>
        <v>0</v>
      </c>
      <c r="AJ42" s="104">
        <f t="shared" si="52"/>
        <v>0</v>
      </c>
      <c r="AK42" s="104">
        <f t="shared" si="53"/>
        <v>0</v>
      </c>
      <c r="AL42" s="104">
        <f t="shared" si="54"/>
        <v>0</v>
      </c>
      <c r="AM42" s="104">
        <f t="shared" si="55"/>
        <v>0</v>
      </c>
      <c r="AN42" s="104">
        <f t="shared" si="56"/>
        <v>0</v>
      </c>
      <c r="AO42" s="104">
        <f t="shared" si="57"/>
        <v>0</v>
      </c>
      <c r="AP42" s="104">
        <f t="shared" si="58"/>
        <v>0</v>
      </c>
      <c r="AQ42" s="49">
        <f t="shared" si="59"/>
        <v>0</v>
      </c>
      <c r="AR42" s="104">
        <f t="shared" si="60"/>
        <v>0</v>
      </c>
      <c r="AS42" s="104">
        <f t="shared" si="61"/>
        <v>0</v>
      </c>
      <c r="AT42" s="104">
        <f t="shared" si="62"/>
        <v>0</v>
      </c>
      <c r="AU42" s="104">
        <f t="shared" si="63"/>
        <v>0</v>
      </c>
      <c r="BF42" s="49">
        <f t="shared" si="64"/>
        <v>0</v>
      </c>
      <c r="BG42" s="49">
        <f t="shared" si="65"/>
        <v>0</v>
      </c>
      <c r="BH42" s="54" t="e">
        <f t="shared" si="66"/>
        <v>#DIV/0!</v>
      </c>
      <c r="BI42" s="112" t="e">
        <f t="shared" si="67"/>
        <v>#DIV/0!</v>
      </c>
      <c r="BK42" s="55" t="e">
        <f t="shared" si="68"/>
        <v>#DIV/0!</v>
      </c>
      <c r="BL42" s="55" t="e">
        <f t="shared" si="69"/>
        <v>#DIV/0!</v>
      </c>
      <c r="BM42" s="55" t="e">
        <f t="shared" si="70"/>
        <v>#DIV/0!</v>
      </c>
      <c r="BN42" s="53">
        <f t="shared" si="71"/>
        <v>0</v>
      </c>
      <c r="BO42" s="112" t="e">
        <f t="shared" si="72"/>
        <v>#DIV/0!</v>
      </c>
      <c r="BR42" s="53" t="e">
        <f t="shared" si="73"/>
        <v>#DIV/0!</v>
      </c>
      <c r="BS42" s="53">
        <f t="shared" si="74"/>
        <v>0</v>
      </c>
      <c r="BT42" s="53">
        <f t="shared" si="75"/>
        <v>0</v>
      </c>
      <c r="BU42" s="56" t="e">
        <f t="shared" si="76"/>
        <v>#DIV/0!</v>
      </c>
      <c r="BX42" s="60"/>
      <c r="BY42" s="60"/>
      <c r="BZ42" s="60"/>
      <c r="CA42" s="60"/>
      <c r="CB42" s="60"/>
      <c r="CC42" s="60"/>
      <c r="CD42" s="60"/>
      <c r="CE42" s="60"/>
      <c r="CF42" s="60"/>
      <c r="CG42" s="60"/>
      <c r="CH42" s="60"/>
      <c r="CI42" s="60"/>
      <c r="CJ42" s="60"/>
      <c r="CK42" s="60"/>
      <c r="CL42" s="60"/>
      <c r="CM42" s="60"/>
      <c r="CN42" s="60"/>
      <c r="CO42" s="60"/>
      <c r="CP42" s="60"/>
      <c r="CQ42" s="60"/>
      <c r="CR42" s="60"/>
      <c r="CS42" s="60"/>
      <c r="CT42" s="57">
        <f t="shared" si="77"/>
        <v>0</v>
      </c>
      <c r="CU42" s="57">
        <f t="shared" si="78"/>
        <v>0</v>
      </c>
      <c r="CV42" s="53">
        <f t="shared" si="79"/>
        <v>0</v>
      </c>
      <c r="CW42" s="53">
        <f t="shared" si="80"/>
        <v>0</v>
      </c>
      <c r="CX42" s="58" t="e">
        <f t="shared" si="81"/>
        <v>#DIV/0!</v>
      </c>
      <c r="CY42" s="53">
        <f t="shared" si="82"/>
        <v>0</v>
      </c>
      <c r="CZ42" s="53">
        <f t="shared" si="83"/>
        <v>0</v>
      </c>
      <c r="DA42" s="58" t="e">
        <f t="shared" si="84"/>
        <v>#DIV/0!</v>
      </c>
      <c r="DB42" s="48" t="e">
        <f t="shared" si="85"/>
        <v>#DIV/0!</v>
      </c>
      <c r="DC42" s="48" t="e">
        <f t="shared" si="86"/>
        <v>#DIV/0!</v>
      </c>
      <c r="DD42" s="48" t="e">
        <f t="shared" si="87"/>
        <v>#DIV/0!</v>
      </c>
      <c r="DE42" s="48" t="e">
        <f t="shared" si="88"/>
        <v>#DIV/0!</v>
      </c>
      <c r="DF42" s="48" t="e">
        <f t="shared" si="89"/>
        <v>#DIV/0!</v>
      </c>
      <c r="DG42" s="48" t="e">
        <f t="shared" si="90"/>
        <v>#DIV/0!</v>
      </c>
      <c r="DH42" s="48">
        <f>SUMIF(FCR!$BZ$4:$DB$500,DG42,FCR!$DE$4:$EG$500)</f>
        <v>0</v>
      </c>
      <c r="DI42" s="48" t="e">
        <f t="shared" si="91"/>
        <v>#DIV/0!</v>
      </c>
      <c r="DJ42" s="48">
        <f>SUMIF(FCR!$BZ$4:$DB$142,DI42,FCR!$DE$4:$EG$142)</f>
        <v>0</v>
      </c>
      <c r="DK42" s="48" t="e">
        <f t="shared" si="92"/>
        <v>#DIV/0!</v>
      </c>
      <c r="DL42" s="55" t="e">
        <f t="shared" si="93"/>
        <v>#DIV/0!</v>
      </c>
      <c r="DM42" s="48" t="e">
        <f t="shared" si="94"/>
        <v>#DIV/0!</v>
      </c>
      <c r="DN42" s="48">
        <f>SUMIF(FCR!$BZ$4:$DB$142,DM42,FCR!$DE$4:$EG$142)</f>
        <v>0</v>
      </c>
      <c r="DO42" s="53" t="e">
        <f t="shared" si="95"/>
        <v>#DIV/0!</v>
      </c>
      <c r="DP42" s="55" t="e">
        <f t="shared" si="96"/>
        <v>#DIV/0!</v>
      </c>
      <c r="DQ42" s="55" t="e">
        <f t="shared" si="97"/>
        <v>#DIV/0!</v>
      </c>
      <c r="DR42" s="55"/>
      <c r="DS42" s="55" t="e">
        <f t="shared" si="98"/>
        <v>#DIV/0!</v>
      </c>
      <c r="DT42" s="55" t="e">
        <f t="shared" si="99"/>
        <v>#DIV/0!</v>
      </c>
      <c r="DU42" s="53">
        <f t="shared" si="100"/>
        <v>0</v>
      </c>
      <c r="DV42" s="59" t="e">
        <f t="shared" si="101"/>
        <v>#DIV/0!</v>
      </c>
    </row>
    <row r="43" spans="30:126">
      <c r="AD43" s="49" t="s">
        <v>411</v>
      </c>
      <c r="AE43" s="49">
        <f t="shared" si="24"/>
        <v>0</v>
      </c>
      <c r="AF43" s="49">
        <f t="shared" si="48"/>
        <v>0</v>
      </c>
      <c r="AG43" s="114">
        <f t="shared" si="49"/>
        <v>0</v>
      </c>
      <c r="AH43" s="104">
        <f t="shared" si="50"/>
        <v>0</v>
      </c>
      <c r="AI43" s="104">
        <f t="shared" si="51"/>
        <v>0</v>
      </c>
      <c r="AJ43" s="104">
        <f t="shared" si="52"/>
        <v>0</v>
      </c>
      <c r="AK43" s="104">
        <f t="shared" si="53"/>
        <v>0</v>
      </c>
      <c r="AL43" s="104">
        <f t="shared" si="54"/>
        <v>0</v>
      </c>
      <c r="AM43" s="104">
        <f t="shared" si="55"/>
        <v>0</v>
      </c>
      <c r="AN43" s="104">
        <f t="shared" si="56"/>
        <v>0</v>
      </c>
      <c r="AO43" s="104">
        <f t="shared" si="57"/>
        <v>0</v>
      </c>
      <c r="AP43" s="104">
        <f t="shared" si="58"/>
        <v>0</v>
      </c>
      <c r="AQ43" s="49">
        <f t="shared" si="59"/>
        <v>0</v>
      </c>
      <c r="AR43" s="104">
        <f t="shared" si="60"/>
        <v>0</v>
      </c>
      <c r="AS43" s="104">
        <f t="shared" si="61"/>
        <v>0</v>
      </c>
      <c r="AT43" s="104">
        <f t="shared" si="62"/>
        <v>0</v>
      </c>
      <c r="AU43" s="104">
        <f t="shared" si="63"/>
        <v>0</v>
      </c>
      <c r="BF43" s="49">
        <f t="shared" si="64"/>
        <v>0</v>
      </c>
      <c r="BG43" s="49">
        <f t="shared" si="65"/>
        <v>0</v>
      </c>
      <c r="BH43" s="54" t="e">
        <f t="shared" si="66"/>
        <v>#DIV/0!</v>
      </c>
      <c r="BI43" s="112" t="e">
        <f t="shared" si="67"/>
        <v>#DIV/0!</v>
      </c>
      <c r="BK43" s="55" t="e">
        <f t="shared" si="68"/>
        <v>#DIV/0!</v>
      </c>
      <c r="BL43" s="55" t="e">
        <f t="shared" si="69"/>
        <v>#DIV/0!</v>
      </c>
      <c r="BM43" s="55" t="e">
        <f t="shared" si="70"/>
        <v>#DIV/0!</v>
      </c>
      <c r="BN43" s="53">
        <f t="shared" si="71"/>
        <v>0</v>
      </c>
      <c r="BO43" s="112" t="e">
        <f t="shared" si="72"/>
        <v>#DIV/0!</v>
      </c>
      <c r="BR43" s="53" t="e">
        <f t="shared" si="73"/>
        <v>#DIV/0!</v>
      </c>
      <c r="BS43" s="53">
        <f t="shared" si="74"/>
        <v>0</v>
      </c>
      <c r="BT43" s="53">
        <f t="shared" si="75"/>
        <v>0</v>
      </c>
      <c r="BU43" s="56" t="e">
        <f t="shared" si="76"/>
        <v>#DIV/0!</v>
      </c>
      <c r="BX43" s="60"/>
      <c r="BY43" s="60"/>
      <c r="BZ43" s="60"/>
      <c r="CA43" s="60"/>
      <c r="CB43" s="60"/>
      <c r="CC43" s="60"/>
      <c r="CD43" s="60"/>
      <c r="CE43" s="60"/>
      <c r="CF43" s="60"/>
      <c r="CG43" s="60"/>
      <c r="CH43" s="60"/>
      <c r="CI43" s="60"/>
      <c r="CJ43" s="60"/>
      <c r="CK43" s="60"/>
      <c r="CL43" s="60"/>
      <c r="CM43" s="60"/>
      <c r="CN43" s="60"/>
      <c r="CO43" s="60"/>
      <c r="CP43" s="60"/>
      <c r="CQ43" s="60"/>
      <c r="CR43" s="60"/>
      <c r="CS43" s="60"/>
      <c r="CT43" s="57">
        <f t="shared" si="77"/>
        <v>0</v>
      </c>
      <c r="CU43" s="57">
        <f t="shared" si="78"/>
        <v>0</v>
      </c>
      <c r="CV43" s="53">
        <f t="shared" si="79"/>
        <v>0</v>
      </c>
      <c r="CW43" s="53">
        <f t="shared" si="80"/>
        <v>0</v>
      </c>
      <c r="CX43" s="58" t="e">
        <f t="shared" si="81"/>
        <v>#DIV/0!</v>
      </c>
      <c r="CY43" s="53">
        <f t="shared" si="82"/>
        <v>0</v>
      </c>
      <c r="CZ43" s="53">
        <f t="shared" si="83"/>
        <v>0</v>
      </c>
      <c r="DA43" s="58" t="e">
        <f t="shared" si="84"/>
        <v>#DIV/0!</v>
      </c>
      <c r="DB43" s="48" t="e">
        <f t="shared" si="85"/>
        <v>#DIV/0!</v>
      </c>
      <c r="DC43" s="48" t="e">
        <f t="shared" si="86"/>
        <v>#DIV/0!</v>
      </c>
      <c r="DD43" s="48" t="e">
        <f t="shared" si="87"/>
        <v>#DIV/0!</v>
      </c>
      <c r="DE43" s="48" t="e">
        <f t="shared" si="88"/>
        <v>#DIV/0!</v>
      </c>
      <c r="DF43" s="48" t="e">
        <f t="shared" si="89"/>
        <v>#DIV/0!</v>
      </c>
      <c r="DG43" s="48" t="e">
        <f t="shared" si="90"/>
        <v>#DIV/0!</v>
      </c>
      <c r="DH43" s="48">
        <f>SUMIF(FCR!$BZ$4:$DB$500,DG43,FCR!$DE$4:$EG$500)</f>
        <v>0</v>
      </c>
      <c r="DI43" s="48" t="e">
        <f t="shared" si="91"/>
        <v>#DIV/0!</v>
      </c>
      <c r="DJ43" s="48">
        <f>SUMIF(FCR!$BZ$4:$DB$142,DI43,FCR!$DE$4:$EG$142)</f>
        <v>0</v>
      </c>
      <c r="DK43" s="48" t="e">
        <f t="shared" si="92"/>
        <v>#DIV/0!</v>
      </c>
      <c r="DL43" s="55" t="e">
        <f t="shared" si="93"/>
        <v>#DIV/0!</v>
      </c>
      <c r="DM43" s="48" t="e">
        <f t="shared" si="94"/>
        <v>#DIV/0!</v>
      </c>
      <c r="DN43" s="48">
        <f>SUMIF(FCR!$BZ$4:$DB$142,DM43,FCR!$DE$4:$EG$142)</f>
        <v>0</v>
      </c>
      <c r="DO43" s="53" t="e">
        <f t="shared" si="95"/>
        <v>#DIV/0!</v>
      </c>
      <c r="DP43" s="55" t="e">
        <f t="shared" si="96"/>
        <v>#DIV/0!</v>
      </c>
      <c r="DQ43" s="55" t="e">
        <f t="shared" si="97"/>
        <v>#DIV/0!</v>
      </c>
      <c r="DR43" s="55"/>
      <c r="DS43" s="55" t="e">
        <f t="shared" si="98"/>
        <v>#DIV/0!</v>
      </c>
      <c r="DT43" s="55" t="e">
        <f t="shared" si="99"/>
        <v>#DIV/0!</v>
      </c>
      <c r="DU43" s="53">
        <f t="shared" si="100"/>
        <v>0</v>
      </c>
      <c r="DV43" s="59" t="e">
        <f t="shared" si="101"/>
        <v>#DIV/0!</v>
      </c>
    </row>
    <row r="44" spans="30:126">
      <c r="AD44" s="49" t="s">
        <v>411</v>
      </c>
      <c r="AE44" s="49">
        <f t="shared" si="24"/>
        <v>0</v>
      </c>
      <c r="AF44" s="49">
        <f t="shared" si="48"/>
        <v>0</v>
      </c>
      <c r="AG44" s="114">
        <f t="shared" si="49"/>
        <v>0</v>
      </c>
      <c r="AH44" s="104">
        <f t="shared" si="50"/>
        <v>0</v>
      </c>
      <c r="AI44" s="104">
        <f t="shared" si="51"/>
        <v>0</v>
      </c>
      <c r="AJ44" s="104">
        <f t="shared" si="52"/>
        <v>0</v>
      </c>
      <c r="AK44" s="104">
        <f t="shared" si="53"/>
        <v>0</v>
      </c>
      <c r="AL44" s="104">
        <f t="shared" si="54"/>
        <v>0</v>
      </c>
      <c r="AM44" s="104">
        <f t="shared" si="55"/>
        <v>0</v>
      </c>
      <c r="AN44" s="104">
        <f t="shared" si="56"/>
        <v>0</v>
      </c>
      <c r="AO44" s="104">
        <f t="shared" si="57"/>
        <v>0</v>
      </c>
      <c r="AP44" s="104">
        <f t="shared" si="58"/>
        <v>0</v>
      </c>
      <c r="AQ44" s="49">
        <f t="shared" si="59"/>
        <v>0</v>
      </c>
      <c r="AR44" s="104">
        <f t="shared" si="60"/>
        <v>0</v>
      </c>
      <c r="AS44" s="104">
        <f t="shared" si="61"/>
        <v>0</v>
      </c>
      <c r="AT44" s="104">
        <f t="shared" si="62"/>
        <v>0</v>
      </c>
      <c r="AU44" s="104">
        <f t="shared" si="63"/>
        <v>0</v>
      </c>
      <c r="BF44" s="49">
        <f t="shared" si="64"/>
        <v>0</v>
      </c>
      <c r="BG44" s="49">
        <f t="shared" si="65"/>
        <v>0</v>
      </c>
      <c r="BH44" s="54" t="e">
        <f t="shared" si="66"/>
        <v>#DIV/0!</v>
      </c>
      <c r="BI44" s="112" t="e">
        <f t="shared" si="67"/>
        <v>#DIV/0!</v>
      </c>
      <c r="BK44" s="55" t="e">
        <f t="shared" si="68"/>
        <v>#DIV/0!</v>
      </c>
      <c r="BL44" s="55" t="e">
        <f t="shared" si="69"/>
        <v>#DIV/0!</v>
      </c>
      <c r="BM44" s="55" t="e">
        <f t="shared" si="70"/>
        <v>#DIV/0!</v>
      </c>
      <c r="BN44" s="53">
        <f t="shared" si="71"/>
        <v>0</v>
      </c>
      <c r="BO44" s="112" t="e">
        <f t="shared" si="72"/>
        <v>#DIV/0!</v>
      </c>
      <c r="BR44" s="53" t="e">
        <f t="shared" si="73"/>
        <v>#DIV/0!</v>
      </c>
      <c r="BS44" s="53">
        <f t="shared" si="74"/>
        <v>0</v>
      </c>
      <c r="BT44" s="53">
        <f t="shared" si="75"/>
        <v>0</v>
      </c>
      <c r="BU44" s="56" t="e">
        <f t="shared" si="76"/>
        <v>#DIV/0!</v>
      </c>
      <c r="BX44" s="60"/>
      <c r="BY44" s="60"/>
      <c r="BZ44" s="60"/>
      <c r="CA44" s="60"/>
      <c r="CB44" s="60"/>
      <c r="CC44" s="60"/>
      <c r="CD44" s="60"/>
      <c r="CE44" s="60"/>
      <c r="CF44" s="60"/>
      <c r="CG44" s="60"/>
      <c r="CH44" s="60"/>
      <c r="CI44" s="60"/>
      <c r="CJ44" s="60"/>
      <c r="CK44" s="60"/>
      <c r="CL44" s="60"/>
      <c r="CM44" s="60"/>
      <c r="CN44" s="60"/>
      <c r="CO44" s="60"/>
      <c r="CP44" s="60"/>
      <c r="CQ44" s="60"/>
      <c r="CR44" s="60"/>
      <c r="CS44" s="60"/>
      <c r="CT44" s="57">
        <f t="shared" si="77"/>
        <v>0</v>
      </c>
      <c r="CU44" s="57">
        <f t="shared" si="78"/>
        <v>0</v>
      </c>
      <c r="CV44" s="53">
        <f t="shared" si="79"/>
        <v>0</v>
      </c>
      <c r="CW44" s="53">
        <f t="shared" si="80"/>
        <v>0</v>
      </c>
      <c r="CX44" s="58" t="e">
        <f t="shared" si="81"/>
        <v>#DIV/0!</v>
      </c>
      <c r="CY44" s="53">
        <f t="shared" si="82"/>
        <v>0</v>
      </c>
      <c r="CZ44" s="53">
        <f t="shared" si="83"/>
        <v>0</v>
      </c>
      <c r="DA44" s="58" t="e">
        <f t="shared" si="84"/>
        <v>#DIV/0!</v>
      </c>
      <c r="DB44" s="48" t="e">
        <f t="shared" si="85"/>
        <v>#DIV/0!</v>
      </c>
      <c r="DC44" s="48" t="e">
        <f t="shared" si="86"/>
        <v>#DIV/0!</v>
      </c>
      <c r="DD44" s="48" t="e">
        <f t="shared" si="87"/>
        <v>#DIV/0!</v>
      </c>
      <c r="DE44" s="48" t="e">
        <f t="shared" si="88"/>
        <v>#DIV/0!</v>
      </c>
      <c r="DF44" s="48" t="e">
        <f t="shared" si="89"/>
        <v>#DIV/0!</v>
      </c>
      <c r="DG44" s="48" t="e">
        <f t="shared" si="90"/>
        <v>#DIV/0!</v>
      </c>
      <c r="DH44" s="48">
        <f>SUMIF(FCR!$BZ$4:$DB$500,DG44,FCR!$DE$4:$EG$500)</f>
        <v>0</v>
      </c>
      <c r="DI44" s="48" t="e">
        <f t="shared" si="91"/>
        <v>#DIV/0!</v>
      </c>
      <c r="DJ44" s="48">
        <f>SUMIF(FCR!$BZ$4:$DB$142,DI44,FCR!$DE$4:$EG$142)</f>
        <v>0</v>
      </c>
      <c r="DK44" s="48" t="e">
        <f t="shared" si="92"/>
        <v>#DIV/0!</v>
      </c>
      <c r="DL44" s="55" t="e">
        <f t="shared" si="93"/>
        <v>#DIV/0!</v>
      </c>
      <c r="DM44" s="48" t="e">
        <f t="shared" si="94"/>
        <v>#DIV/0!</v>
      </c>
      <c r="DN44" s="48">
        <f>SUMIF(FCR!$BZ$4:$DB$142,DM44,FCR!$DE$4:$EG$142)</f>
        <v>0</v>
      </c>
      <c r="DO44" s="53" t="e">
        <f t="shared" si="95"/>
        <v>#DIV/0!</v>
      </c>
      <c r="DP44" s="55" t="e">
        <f t="shared" si="96"/>
        <v>#DIV/0!</v>
      </c>
      <c r="DQ44" s="55" t="e">
        <f t="shared" si="97"/>
        <v>#DIV/0!</v>
      </c>
      <c r="DR44" s="55"/>
      <c r="DS44" s="55" t="e">
        <f t="shared" si="98"/>
        <v>#DIV/0!</v>
      </c>
      <c r="DT44" s="55" t="e">
        <f t="shared" si="99"/>
        <v>#DIV/0!</v>
      </c>
      <c r="DU44" s="53">
        <f t="shared" si="100"/>
        <v>0</v>
      </c>
      <c r="DV44" s="59" t="e">
        <f t="shared" si="101"/>
        <v>#DIV/0!</v>
      </c>
    </row>
    <row r="45" spans="30:126">
      <c r="AD45" s="49" t="s">
        <v>411</v>
      </c>
      <c r="AE45" s="49">
        <f t="shared" si="24"/>
        <v>0</v>
      </c>
      <c r="AF45" s="49">
        <f t="shared" si="48"/>
        <v>0</v>
      </c>
      <c r="AG45" s="114">
        <f t="shared" si="49"/>
        <v>0</v>
      </c>
      <c r="AH45" s="104">
        <f t="shared" si="50"/>
        <v>0</v>
      </c>
      <c r="AI45" s="104">
        <f t="shared" si="51"/>
        <v>0</v>
      </c>
      <c r="AJ45" s="104">
        <f t="shared" si="52"/>
        <v>0</v>
      </c>
      <c r="AK45" s="104">
        <f t="shared" si="53"/>
        <v>0</v>
      </c>
      <c r="AL45" s="104">
        <f t="shared" si="54"/>
        <v>0</v>
      </c>
      <c r="AM45" s="104">
        <f t="shared" si="55"/>
        <v>0</v>
      </c>
      <c r="AN45" s="104">
        <f t="shared" si="56"/>
        <v>0</v>
      </c>
      <c r="AO45" s="104">
        <f t="shared" si="57"/>
        <v>0</v>
      </c>
      <c r="AP45" s="104">
        <f t="shared" si="58"/>
        <v>0</v>
      </c>
      <c r="AQ45" s="49">
        <f t="shared" si="59"/>
        <v>0</v>
      </c>
      <c r="AR45" s="104">
        <f t="shared" si="60"/>
        <v>0</v>
      </c>
      <c r="AS45" s="104">
        <f t="shared" si="61"/>
        <v>0</v>
      </c>
      <c r="AT45" s="104">
        <f t="shared" si="62"/>
        <v>0</v>
      </c>
      <c r="AU45" s="104">
        <f t="shared" si="63"/>
        <v>0</v>
      </c>
      <c r="BF45" s="49">
        <f t="shared" si="64"/>
        <v>0</v>
      </c>
      <c r="BG45" s="49">
        <f t="shared" si="65"/>
        <v>0</v>
      </c>
      <c r="BH45" s="54" t="e">
        <f t="shared" si="66"/>
        <v>#DIV/0!</v>
      </c>
      <c r="BI45" s="112" t="e">
        <f t="shared" si="67"/>
        <v>#DIV/0!</v>
      </c>
      <c r="BK45" s="55" t="e">
        <f t="shared" si="68"/>
        <v>#DIV/0!</v>
      </c>
      <c r="BL45" s="55" t="e">
        <f t="shared" si="69"/>
        <v>#DIV/0!</v>
      </c>
      <c r="BM45" s="55" t="e">
        <f t="shared" si="70"/>
        <v>#DIV/0!</v>
      </c>
      <c r="BN45" s="53">
        <f t="shared" si="71"/>
        <v>0</v>
      </c>
      <c r="BO45" s="112" t="e">
        <f t="shared" si="72"/>
        <v>#DIV/0!</v>
      </c>
      <c r="BR45" s="53" t="e">
        <f t="shared" si="73"/>
        <v>#DIV/0!</v>
      </c>
      <c r="BS45" s="53">
        <f t="shared" si="74"/>
        <v>0</v>
      </c>
      <c r="BT45" s="53">
        <f t="shared" si="75"/>
        <v>0</v>
      </c>
      <c r="BU45" s="56" t="e">
        <f t="shared" si="76"/>
        <v>#DIV/0!</v>
      </c>
      <c r="BX45" s="60"/>
      <c r="BY45" s="60"/>
      <c r="BZ45" s="60"/>
      <c r="CA45" s="60"/>
      <c r="CB45" s="60"/>
      <c r="CC45" s="60"/>
      <c r="CD45" s="60"/>
      <c r="CE45" s="60"/>
      <c r="CF45" s="60"/>
      <c r="CG45" s="60"/>
      <c r="CH45" s="60"/>
      <c r="CI45" s="60"/>
      <c r="CJ45" s="60"/>
      <c r="CK45" s="60"/>
      <c r="CL45" s="60"/>
      <c r="CM45" s="60"/>
      <c r="CN45" s="60"/>
      <c r="CO45" s="60"/>
      <c r="CP45" s="60"/>
      <c r="CQ45" s="60"/>
      <c r="CR45" s="60"/>
      <c r="CS45" s="60"/>
      <c r="CT45" s="57">
        <f t="shared" si="77"/>
        <v>0</v>
      </c>
      <c r="CU45" s="57">
        <f t="shared" si="78"/>
        <v>0</v>
      </c>
      <c r="CV45" s="53">
        <f t="shared" si="79"/>
        <v>0</v>
      </c>
      <c r="CW45" s="53">
        <f t="shared" si="80"/>
        <v>0</v>
      </c>
      <c r="CX45" s="58" t="e">
        <f t="shared" si="81"/>
        <v>#DIV/0!</v>
      </c>
      <c r="CY45" s="53">
        <f t="shared" si="82"/>
        <v>0</v>
      </c>
      <c r="CZ45" s="53">
        <f t="shared" si="83"/>
        <v>0</v>
      </c>
      <c r="DA45" s="58" t="e">
        <f t="shared" si="84"/>
        <v>#DIV/0!</v>
      </c>
      <c r="DB45" s="48" t="e">
        <f t="shared" si="85"/>
        <v>#DIV/0!</v>
      </c>
      <c r="DC45" s="48" t="e">
        <f t="shared" si="86"/>
        <v>#DIV/0!</v>
      </c>
      <c r="DD45" s="48" t="e">
        <f t="shared" si="87"/>
        <v>#DIV/0!</v>
      </c>
      <c r="DE45" s="48" t="e">
        <f t="shared" si="88"/>
        <v>#DIV/0!</v>
      </c>
      <c r="DF45" s="48" t="e">
        <f t="shared" si="89"/>
        <v>#DIV/0!</v>
      </c>
      <c r="DG45" s="48" t="e">
        <f t="shared" si="90"/>
        <v>#DIV/0!</v>
      </c>
      <c r="DH45" s="48">
        <f>SUMIF(FCR!$BZ$4:$DB$500,DG45,FCR!$DE$4:$EG$500)</f>
        <v>0</v>
      </c>
      <c r="DI45" s="48" t="e">
        <f t="shared" si="91"/>
        <v>#DIV/0!</v>
      </c>
      <c r="DJ45" s="48">
        <f>SUMIF(FCR!$BZ$4:$DB$142,DI45,FCR!$DE$4:$EG$142)</f>
        <v>0</v>
      </c>
      <c r="DK45" s="48" t="e">
        <f t="shared" si="92"/>
        <v>#DIV/0!</v>
      </c>
      <c r="DL45" s="55" t="e">
        <f t="shared" si="93"/>
        <v>#DIV/0!</v>
      </c>
      <c r="DM45" s="48" t="e">
        <f t="shared" si="94"/>
        <v>#DIV/0!</v>
      </c>
      <c r="DN45" s="48">
        <f>SUMIF(FCR!$BZ$4:$DB$142,DM45,FCR!$DE$4:$EG$142)</f>
        <v>0</v>
      </c>
      <c r="DO45" s="53" t="e">
        <f t="shared" si="95"/>
        <v>#DIV/0!</v>
      </c>
      <c r="DP45" s="55" t="e">
        <f t="shared" si="96"/>
        <v>#DIV/0!</v>
      </c>
      <c r="DQ45" s="55" t="e">
        <f t="shared" si="97"/>
        <v>#DIV/0!</v>
      </c>
      <c r="DR45" s="55"/>
      <c r="DS45" s="55" t="e">
        <f t="shared" si="98"/>
        <v>#DIV/0!</v>
      </c>
      <c r="DT45" s="55" t="e">
        <f t="shared" si="99"/>
        <v>#DIV/0!</v>
      </c>
      <c r="DU45" s="53">
        <f t="shared" si="100"/>
        <v>0</v>
      </c>
      <c r="DV45" s="59" t="e">
        <f t="shared" si="101"/>
        <v>#DIV/0!</v>
      </c>
    </row>
    <row r="46" spans="30:126">
      <c r="AD46" s="49" t="s">
        <v>411</v>
      </c>
      <c r="AE46" s="49">
        <f t="shared" si="24"/>
        <v>0</v>
      </c>
      <c r="AF46" s="49">
        <f t="shared" si="48"/>
        <v>0</v>
      </c>
      <c r="AG46" s="114">
        <f t="shared" si="49"/>
        <v>0</v>
      </c>
      <c r="AH46" s="104">
        <f t="shared" si="50"/>
        <v>0</v>
      </c>
      <c r="AI46" s="104">
        <f t="shared" si="51"/>
        <v>0</v>
      </c>
      <c r="AJ46" s="104">
        <f t="shared" si="52"/>
        <v>0</v>
      </c>
      <c r="AK46" s="104">
        <f t="shared" si="53"/>
        <v>0</v>
      </c>
      <c r="AL46" s="104">
        <f t="shared" si="54"/>
        <v>0</v>
      </c>
      <c r="AM46" s="104">
        <f t="shared" si="55"/>
        <v>0</v>
      </c>
      <c r="AN46" s="104">
        <f t="shared" si="56"/>
        <v>0</v>
      </c>
      <c r="AO46" s="104">
        <f t="shared" si="57"/>
        <v>0</v>
      </c>
      <c r="AP46" s="104">
        <f t="shared" si="58"/>
        <v>0</v>
      </c>
      <c r="AQ46" s="49">
        <f t="shared" si="59"/>
        <v>0</v>
      </c>
      <c r="AR46" s="104">
        <f t="shared" si="60"/>
        <v>0</v>
      </c>
      <c r="AS46" s="104">
        <f t="shared" si="61"/>
        <v>0</v>
      </c>
      <c r="AT46" s="104">
        <f t="shared" si="62"/>
        <v>0</v>
      </c>
      <c r="AU46" s="104">
        <f t="shared" si="63"/>
        <v>0</v>
      </c>
      <c r="BF46" s="49">
        <f t="shared" si="64"/>
        <v>0</v>
      </c>
      <c r="BG46" s="49">
        <f t="shared" si="65"/>
        <v>0</v>
      </c>
      <c r="BH46" s="54" t="e">
        <f t="shared" si="66"/>
        <v>#DIV/0!</v>
      </c>
      <c r="BI46" s="112" t="e">
        <f t="shared" si="67"/>
        <v>#DIV/0!</v>
      </c>
      <c r="BK46" s="55" t="e">
        <f t="shared" si="68"/>
        <v>#DIV/0!</v>
      </c>
      <c r="BL46" s="55" t="e">
        <f t="shared" si="69"/>
        <v>#DIV/0!</v>
      </c>
      <c r="BM46" s="55" t="e">
        <f t="shared" si="70"/>
        <v>#DIV/0!</v>
      </c>
      <c r="BN46" s="53">
        <f t="shared" si="71"/>
        <v>0</v>
      </c>
      <c r="BO46" s="112" t="e">
        <f t="shared" si="72"/>
        <v>#DIV/0!</v>
      </c>
      <c r="BR46" s="53" t="e">
        <f t="shared" si="73"/>
        <v>#DIV/0!</v>
      </c>
      <c r="BS46" s="53">
        <f t="shared" si="74"/>
        <v>0</v>
      </c>
      <c r="BT46" s="53">
        <f t="shared" si="75"/>
        <v>0</v>
      </c>
      <c r="BU46" s="56" t="e">
        <f t="shared" si="76"/>
        <v>#DIV/0!</v>
      </c>
      <c r="BX46" s="60"/>
      <c r="BY46" s="60"/>
      <c r="BZ46" s="60"/>
      <c r="CA46" s="60"/>
      <c r="CB46" s="60"/>
      <c r="CC46" s="60"/>
      <c r="CD46" s="60"/>
      <c r="CE46" s="60"/>
      <c r="CF46" s="60"/>
      <c r="CG46" s="60"/>
      <c r="CH46" s="60"/>
      <c r="CI46" s="60"/>
      <c r="CJ46" s="60"/>
      <c r="CK46" s="60"/>
      <c r="CL46" s="60"/>
      <c r="CM46" s="60"/>
      <c r="CN46" s="60"/>
      <c r="CO46" s="60"/>
      <c r="CP46" s="60"/>
      <c r="CQ46" s="60"/>
      <c r="CR46" s="60"/>
      <c r="CS46" s="60"/>
      <c r="CT46" s="57">
        <f t="shared" si="77"/>
        <v>0</v>
      </c>
      <c r="CU46" s="57">
        <f t="shared" si="78"/>
        <v>0</v>
      </c>
      <c r="CV46" s="53">
        <f t="shared" si="79"/>
        <v>0</v>
      </c>
      <c r="CW46" s="53">
        <f t="shared" si="80"/>
        <v>0</v>
      </c>
      <c r="CX46" s="58" t="e">
        <f t="shared" si="81"/>
        <v>#DIV/0!</v>
      </c>
      <c r="CY46" s="53">
        <f t="shared" si="82"/>
        <v>0</v>
      </c>
      <c r="CZ46" s="53">
        <f t="shared" si="83"/>
        <v>0</v>
      </c>
      <c r="DA46" s="58" t="e">
        <f t="shared" si="84"/>
        <v>#DIV/0!</v>
      </c>
      <c r="DB46" s="48" t="e">
        <f t="shared" si="85"/>
        <v>#DIV/0!</v>
      </c>
      <c r="DC46" s="48" t="e">
        <f t="shared" si="86"/>
        <v>#DIV/0!</v>
      </c>
      <c r="DD46" s="48" t="e">
        <f t="shared" si="87"/>
        <v>#DIV/0!</v>
      </c>
      <c r="DE46" s="48" t="e">
        <f t="shared" si="88"/>
        <v>#DIV/0!</v>
      </c>
      <c r="DF46" s="48" t="e">
        <f t="shared" si="89"/>
        <v>#DIV/0!</v>
      </c>
      <c r="DG46" s="48" t="e">
        <f t="shared" si="90"/>
        <v>#DIV/0!</v>
      </c>
      <c r="DH46" s="48">
        <f>SUMIF(FCR!$BZ$4:$DB$500,DG46,FCR!$DE$4:$EG$500)</f>
        <v>0</v>
      </c>
      <c r="DI46" s="48" t="e">
        <f t="shared" si="91"/>
        <v>#DIV/0!</v>
      </c>
      <c r="DJ46" s="48">
        <f>SUMIF(FCR!$BZ$4:$DB$142,DI46,FCR!$DE$4:$EG$142)</f>
        <v>0</v>
      </c>
      <c r="DK46" s="48" t="e">
        <f t="shared" si="92"/>
        <v>#DIV/0!</v>
      </c>
      <c r="DL46" s="55" t="e">
        <f t="shared" si="93"/>
        <v>#DIV/0!</v>
      </c>
      <c r="DM46" s="48" t="e">
        <f t="shared" si="94"/>
        <v>#DIV/0!</v>
      </c>
      <c r="DN46" s="48">
        <f>SUMIF(FCR!$BZ$4:$DB$142,DM46,FCR!$DE$4:$EG$142)</f>
        <v>0</v>
      </c>
      <c r="DO46" s="53" t="e">
        <f t="shared" si="95"/>
        <v>#DIV/0!</v>
      </c>
      <c r="DP46" s="55" t="e">
        <f t="shared" si="96"/>
        <v>#DIV/0!</v>
      </c>
      <c r="DQ46" s="55" t="e">
        <f t="shared" si="97"/>
        <v>#DIV/0!</v>
      </c>
      <c r="DR46" s="55"/>
      <c r="DS46" s="55" t="e">
        <f t="shared" si="98"/>
        <v>#DIV/0!</v>
      </c>
      <c r="DT46" s="55" t="e">
        <f t="shared" si="99"/>
        <v>#DIV/0!</v>
      </c>
      <c r="DU46" s="53">
        <f t="shared" si="100"/>
        <v>0</v>
      </c>
      <c r="DV46" s="59" t="e">
        <f t="shared" si="101"/>
        <v>#DIV/0!</v>
      </c>
    </row>
    <row r="47" spans="30:126">
      <c r="AD47" s="49" t="s">
        <v>411</v>
      </c>
      <c r="AE47" s="49">
        <f t="shared" si="24"/>
        <v>0</v>
      </c>
      <c r="AF47" s="49">
        <f t="shared" si="48"/>
        <v>0</v>
      </c>
      <c r="AG47" s="114">
        <f t="shared" si="49"/>
        <v>0</v>
      </c>
      <c r="AH47" s="104">
        <f t="shared" si="50"/>
        <v>0</v>
      </c>
      <c r="AI47" s="104">
        <f t="shared" si="51"/>
        <v>0</v>
      </c>
      <c r="AJ47" s="104">
        <f t="shared" si="52"/>
        <v>0</v>
      </c>
      <c r="AK47" s="104">
        <f t="shared" si="53"/>
        <v>0</v>
      </c>
      <c r="AL47" s="104">
        <f t="shared" si="54"/>
        <v>0</v>
      </c>
      <c r="AM47" s="104">
        <f t="shared" si="55"/>
        <v>0</v>
      </c>
      <c r="AN47" s="104">
        <f t="shared" si="56"/>
        <v>0</v>
      </c>
      <c r="AO47" s="104">
        <f t="shared" si="57"/>
        <v>0</v>
      </c>
      <c r="AP47" s="104">
        <f t="shared" si="58"/>
        <v>0</v>
      </c>
      <c r="AQ47" s="49">
        <f t="shared" si="59"/>
        <v>0</v>
      </c>
      <c r="AR47" s="104">
        <f t="shared" si="60"/>
        <v>0</v>
      </c>
      <c r="AS47" s="104">
        <f t="shared" si="61"/>
        <v>0</v>
      </c>
      <c r="AT47" s="104">
        <f t="shared" si="62"/>
        <v>0</v>
      </c>
      <c r="AU47" s="104">
        <f t="shared" si="63"/>
        <v>0</v>
      </c>
      <c r="BF47" s="49">
        <f t="shared" si="64"/>
        <v>0</v>
      </c>
      <c r="BG47" s="49">
        <f t="shared" si="65"/>
        <v>0</v>
      </c>
      <c r="BH47" s="54" t="e">
        <f t="shared" si="66"/>
        <v>#DIV/0!</v>
      </c>
      <c r="BI47" s="112" t="e">
        <f t="shared" si="67"/>
        <v>#DIV/0!</v>
      </c>
      <c r="BK47" s="55" t="e">
        <f t="shared" si="68"/>
        <v>#DIV/0!</v>
      </c>
      <c r="BL47" s="55" t="e">
        <f t="shared" si="69"/>
        <v>#DIV/0!</v>
      </c>
      <c r="BM47" s="55" t="e">
        <f t="shared" si="70"/>
        <v>#DIV/0!</v>
      </c>
      <c r="BN47" s="53">
        <f t="shared" si="71"/>
        <v>0</v>
      </c>
      <c r="BO47" s="112" t="e">
        <f t="shared" si="72"/>
        <v>#DIV/0!</v>
      </c>
      <c r="BR47" s="53" t="e">
        <f t="shared" si="73"/>
        <v>#DIV/0!</v>
      </c>
      <c r="BS47" s="53">
        <f t="shared" si="74"/>
        <v>0</v>
      </c>
      <c r="BT47" s="53">
        <f t="shared" si="75"/>
        <v>0</v>
      </c>
      <c r="BU47" s="56" t="e">
        <f t="shared" si="76"/>
        <v>#DIV/0!</v>
      </c>
      <c r="BX47" s="60"/>
      <c r="BY47" s="60"/>
      <c r="BZ47" s="60"/>
      <c r="CA47" s="60"/>
      <c r="CB47" s="60"/>
      <c r="CC47" s="60"/>
      <c r="CD47" s="60"/>
      <c r="CE47" s="60"/>
      <c r="CF47" s="60"/>
      <c r="CG47" s="60"/>
      <c r="CH47" s="60"/>
      <c r="CI47" s="60"/>
      <c r="CJ47" s="60"/>
      <c r="CK47" s="60"/>
      <c r="CL47" s="60"/>
      <c r="CM47" s="60"/>
      <c r="CN47" s="60"/>
      <c r="CO47" s="60"/>
      <c r="CP47" s="60"/>
      <c r="CQ47" s="60"/>
      <c r="CR47" s="60"/>
      <c r="CS47" s="60"/>
      <c r="CT47" s="57">
        <f t="shared" si="77"/>
        <v>0</v>
      </c>
      <c r="CU47" s="57">
        <f t="shared" si="78"/>
        <v>0</v>
      </c>
      <c r="CV47" s="53">
        <f t="shared" si="79"/>
        <v>0</v>
      </c>
      <c r="CW47" s="53">
        <f t="shared" si="80"/>
        <v>0</v>
      </c>
      <c r="CX47" s="58" t="e">
        <f t="shared" si="81"/>
        <v>#DIV/0!</v>
      </c>
      <c r="CY47" s="53">
        <f t="shared" si="82"/>
        <v>0</v>
      </c>
      <c r="CZ47" s="53">
        <f t="shared" si="83"/>
        <v>0</v>
      </c>
      <c r="DA47" s="58" t="e">
        <f t="shared" si="84"/>
        <v>#DIV/0!</v>
      </c>
      <c r="DB47" s="48" t="e">
        <f t="shared" si="85"/>
        <v>#DIV/0!</v>
      </c>
      <c r="DC47" s="48" t="e">
        <f t="shared" si="86"/>
        <v>#DIV/0!</v>
      </c>
      <c r="DD47" s="48" t="e">
        <f t="shared" si="87"/>
        <v>#DIV/0!</v>
      </c>
      <c r="DE47" s="48" t="e">
        <f t="shared" si="88"/>
        <v>#DIV/0!</v>
      </c>
      <c r="DF47" s="48" t="e">
        <f t="shared" si="89"/>
        <v>#DIV/0!</v>
      </c>
      <c r="DG47" s="48" t="e">
        <f t="shared" si="90"/>
        <v>#DIV/0!</v>
      </c>
      <c r="DH47" s="48">
        <f>SUMIF(FCR!$BZ$4:$DB$500,DG47,FCR!$DE$4:$EG$500)</f>
        <v>0</v>
      </c>
      <c r="DI47" s="48" t="e">
        <f t="shared" si="91"/>
        <v>#DIV/0!</v>
      </c>
      <c r="DJ47" s="48">
        <f>SUMIF(FCR!$BZ$4:$DB$142,DI47,FCR!$DE$4:$EG$142)</f>
        <v>0</v>
      </c>
      <c r="DK47" s="48" t="e">
        <f t="shared" si="92"/>
        <v>#DIV/0!</v>
      </c>
      <c r="DL47" s="55" t="e">
        <f t="shared" si="93"/>
        <v>#DIV/0!</v>
      </c>
      <c r="DM47" s="48" t="e">
        <f t="shared" si="94"/>
        <v>#DIV/0!</v>
      </c>
      <c r="DN47" s="48">
        <f>SUMIF(FCR!$BZ$4:$DB$142,DM47,FCR!$DE$4:$EG$142)</f>
        <v>0</v>
      </c>
      <c r="DO47" s="53" t="e">
        <f t="shared" si="95"/>
        <v>#DIV/0!</v>
      </c>
      <c r="DP47" s="55" t="e">
        <f t="shared" si="96"/>
        <v>#DIV/0!</v>
      </c>
      <c r="DQ47" s="55" t="e">
        <f t="shared" si="97"/>
        <v>#DIV/0!</v>
      </c>
      <c r="DR47" s="55"/>
      <c r="DS47" s="55" t="e">
        <f t="shared" si="98"/>
        <v>#DIV/0!</v>
      </c>
      <c r="DT47" s="55" t="e">
        <f t="shared" si="99"/>
        <v>#DIV/0!</v>
      </c>
      <c r="DU47" s="53">
        <f t="shared" si="100"/>
        <v>0</v>
      </c>
      <c r="DV47" s="59" t="e">
        <f t="shared" si="101"/>
        <v>#DIV/0!</v>
      </c>
    </row>
    <row r="48" spans="30:126">
      <c r="AD48" s="49" t="s">
        <v>411</v>
      </c>
      <c r="AE48" s="49">
        <f t="shared" si="24"/>
        <v>0</v>
      </c>
      <c r="AF48" s="49">
        <f t="shared" si="48"/>
        <v>0</v>
      </c>
      <c r="AG48" s="114">
        <f t="shared" si="49"/>
        <v>0</v>
      </c>
      <c r="AH48" s="104">
        <f t="shared" si="50"/>
        <v>0</v>
      </c>
      <c r="AI48" s="104">
        <f t="shared" si="51"/>
        <v>0</v>
      </c>
      <c r="AJ48" s="104">
        <f t="shared" si="52"/>
        <v>0</v>
      </c>
      <c r="AK48" s="104">
        <f t="shared" si="53"/>
        <v>0</v>
      </c>
      <c r="AL48" s="104">
        <f t="shared" si="54"/>
        <v>0</v>
      </c>
      <c r="AM48" s="104">
        <f t="shared" si="55"/>
        <v>0</v>
      </c>
      <c r="AN48" s="104">
        <f t="shared" si="56"/>
        <v>0</v>
      </c>
      <c r="AO48" s="104">
        <f t="shared" si="57"/>
        <v>0</v>
      </c>
      <c r="AP48" s="104">
        <f t="shared" si="58"/>
        <v>0</v>
      </c>
      <c r="AQ48" s="49">
        <f t="shared" si="59"/>
        <v>0</v>
      </c>
      <c r="AR48" s="104">
        <f t="shared" si="60"/>
        <v>0</v>
      </c>
      <c r="AS48" s="104">
        <f t="shared" si="61"/>
        <v>0</v>
      </c>
      <c r="AT48" s="104">
        <f t="shared" si="62"/>
        <v>0</v>
      </c>
      <c r="AU48" s="104">
        <f t="shared" si="63"/>
        <v>0</v>
      </c>
      <c r="BF48" s="49">
        <f t="shared" si="64"/>
        <v>0</v>
      </c>
      <c r="BG48" s="49">
        <f t="shared" si="65"/>
        <v>0</v>
      </c>
      <c r="BH48" s="54" t="e">
        <f t="shared" si="66"/>
        <v>#DIV/0!</v>
      </c>
      <c r="BI48" s="112" t="e">
        <f t="shared" si="67"/>
        <v>#DIV/0!</v>
      </c>
      <c r="BK48" s="55" t="e">
        <f t="shared" si="68"/>
        <v>#DIV/0!</v>
      </c>
      <c r="BL48" s="55" t="e">
        <f t="shared" si="69"/>
        <v>#DIV/0!</v>
      </c>
      <c r="BM48" s="55" t="e">
        <f t="shared" si="70"/>
        <v>#DIV/0!</v>
      </c>
      <c r="BN48" s="53">
        <f t="shared" si="71"/>
        <v>0</v>
      </c>
      <c r="BO48" s="112" t="e">
        <f t="shared" si="72"/>
        <v>#DIV/0!</v>
      </c>
      <c r="BR48" s="53" t="e">
        <f t="shared" si="73"/>
        <v>#DIV/0!</v>
      </c>
      <c r="BS48" s="53">
        <f t="shared" si="74"/>
        <v>0</v>
      </c>
      <c r="BT48" s="53">
        <f t="shared" si="75"/>
        <v>0</v>
      </c>
      <c r="BU48" s="56" t="e">
        <f t="shared" si="76"/>
        <v>#DIV/0!</v>
      </c>
      <c r="BX48" s="60"/>
      <c r="BY48" s="60"/>
      <c r="BZ48" s="60"/>
      <c r="CA48" s="60"/>
      <c r="CB48" s="60"/>
      <c r="CC48" s="60"/>
      <c r="CD48" s="60"/>
      <c r="CE48" s="60"/>
      <c r="CF48" s="60"/>
      <c r="CG48" s="60"/>
      <c r="CH48" s="60"/>
      <c r="CI48" s="60"/>
      <c r="CJ48" s="60"/>
      <c r="CK48" s="60"/>
      <c r="CL48" s="60"/>
      <c r="CM48" s="60"/>
      <c r="CN48" s="60"/>
      <c r="CO48" s="60"/>
      <c r="CP48" s="60"/>
      <c r="CQ48" s="60"/>
      <c r="CR48" s="60"/>
      <c r="CS48" s="60"/>
      <c r="CT48" s="57">
        <f t="shared" si="77"/>
        <v>0</v>
      </c>
      <c r="CU48" s="57">
        <f t="shared" si="78"/>
        <v>0</v>
      </c>
      <c r="CV48" s="53">
        <f t="shared" si="79"/>
        <v>0</v>
      </c>
      <c r="CW48" s="53">
        <f t="shared" si="80"/>
        <v>0</v>
      </c>
      <c r="CX48" s="58" t="e">
        <f t="shared" si="81"/>
        <v>#DIV/0!</v>
      </c>
      <c r="CY48" s="53">
        <f t="shared" si="82"/>
        <v>0</v>
      </c>
      <c r="CZ48" s="53">
        <f t="shared" si="83"/>
        <v>0</v>
      </c>
      <c r="DA48" s="58" t="e">
        <f t="shared" si="84"/>
        <v>#DIV/0!</v>
      </c>
      <c r="DB48" s="48" t="e">
        <f t="shared" si="85"/>
        <v>#DIV/0!</v>
      </c>
      <c r="DC48" s="48" t="e">
        <f t="shared" si="86"/>
        <v>#DIV/0!</v>
      </c>
      <c r="DD48" s="48" t="e">
        <f t="shared" si="87"/>
        <v>#DIV/0!</v>
      </c>
      <c r="DE48" s="48" t="e">
        <f t="shared" si="88"/>
        <v>#DIV/0!</v>
      </c>
      <c r="DF48" s="48" t="e">
        <f t="shared" si="89"/>
        <v>#DIV/0!</v>
      </c>
      <c r="DG48" s="48" t="e">
        <f t="shared" si="90"/>
        <v>#DIV/0!</v>
      </c>
      <c r="DH48" s="48">
        <f>SUMIF(FCR!$BZ$4:$DB$500,DG48,FCR!$DE$4:$EG$500)</f>
        <v>0</v>
      </c>
      <c r="DI48" s="48" t="e">
        <f t="shared" si="91"/>
        <v>#DIV/0!</v>
      </c>
      <c r="DJ48" s="48">
        <f>SUMIF(FCR!$BZ$4:$DB$142,DI48,FCR!$DE$4:$EG$142)</f>
        <v>0</v>
      </c>
      <c r="DK48" s="48" t="e">
        <f t="shared" si="92"/>
        <v>#DIV/0!</v>
      </c>
      <c r="DL48" s="55" t="e">
        <f t="shared" si="93"/>
        <v>#DIV/0!</v>
      </c>
      <c r="DM48" s="48" t="e">
        <f t="shared" si="94"/>
        <v>#DIV/0!</v>
      </c>
      <c r="DN48" s="48">
        <f>SUMIF(FCR!$BZ$4:$DB$142,DM48,FCR!$DE$4:$EG$142)</f>
        <v>0</v>
      </c>
      <c r="DO48" s="53" t="e">
        <f t="shared" si="95"/>
        <v>#DIV/0!</v>
      </c>
      <c r="DP48" s="55" t="e">
        <f t="shared" si="96"/>
        <v>#DIV/0!</v>
      </c>
      <c r="DQ48" s="55" t="e">
        <f t="shared" si="97"/>
        <v>#DIV/0!</v>
      </c>
      <c r="DR48" s="55"/>
      <c r="DS48" s="55" t="e">
        <f t="shared" si="98"/>
        <v>#DIV/0!</v>
      </c>
      <c r="DT48" s="55" t="e">
        <f t="shared" si="99"/>
        <v>#DIV/0!</v>
      </c>
      <c r="DU48" s="53">
        <f t="shared" si="100"/>
        <v>0</v>
      </c>
      <c r="DV48" s="59" t="e">
        <f t="shared" si="101"/>
        <v>#DIV/0!</v>
      </c>
    </row>
    <row r="49" spans="30:126">
      <c r="AD49" s="49" t="s">
        <v>411</v>
      </c>
      <c r="AE49" s="49">
        <f t="shared" si="24"/>
        <v>0</v>
      </c>
      <c r="AF49" s="49">
        <f t="shared" si="48"/>
        <v>0</v>
      </c>
      <c r="AG49" s="114">
        <f t="shared" si="49"/>
        <v>0</v>
      </c>
      <c r="AH49" s="104">
        <f t="shared" si="50"/>
        <v>0</v>
      </c>
      <c r="AI49" s="104">
        <f t="shared" si="51"/>
        <v>0</v>
      </c>
      <c r="AJ49" s="104">
        <f t="shared" si="52"/>
        <v>0</v>
      </c>
      <c r="AK49" s="104">
        <f t="shared" si="53"/>
        <v>0</v>
      </c>
      <c r="AL49" s="104">
        <f t="shared" si="54"/>
        <v>0</v>
      </c>
      <c r="AM49" s="104">
        <f t="shared" si="55"/>
        <v>0</v>
      </c>
      <c r="AN49" s="104">
        <f t="shared" si="56"/>
        <v>0</v>
      </c>
      <c r="AO49" s="104">
        <f t="shared" si="57"/>
        <v>0</v>
      </c>
      <c r="AP49" s="104">
        <f t="shared" si="58"/>
        <v>0</v>
      </c>
      <c r="AQ49" s="49">
        <f t="shared" si="59"/>
        <v>0</v>
      </c>
      <c r="AR49" s="104">
        <f t="shared" si="60"/>
        <v>0</v>
      </c>
      <c r="AS49" s="104">
        <f t="shared" si="61"/>
        <v>0</v>
      </c>
      <c r="AT49" s="104">
        <f t="shared" si="62"/>
        <v>0</v>
      </c>
      <c r="AU49" s="104">
        <f t="shared" si="63"/>
        <v>0</v>
      </c>
      <c r="BF49" s="49">
        <f t="shared" si="64"/>
        <v>0</v>
      </c>
      <c r="BG49" s="49">
        <f t="shared" si="65"/>
        <v>0</v>
      </c>
      <c r="BH49" s="54" t="e">
        <f t="shared" si="66"/>
        <v>#DIV/0!</v>
      </c>
      <c r="BI49" s="112" t="e">
        <f t="shared" si="67"/>
        <v>#DIV/0!</v>
      </c>
      <c r="BK49" s="55" t="e">
        <f t="shared" si="68"/>
        <v>#DIV/0!</v>
      </c>
      <c r="BL49" s="55" t="e">
        <f t="shared" si="69"/>
        <v>#DIV/0!</v>
      </c>
      <c r="BM49" s="55" t="e">
        <f t="shared" si="70"/>
        <v>#DIV/0!</v>
      </c>
      <c r="BN49" s="53">
        <f t="shared" si="71"/>
        <v>0</v>
      </c>
      <c r="BO49" s="112" t="e">
        <f t="shared" si="72"/>
        <v>#DIV/0!</v>
      </c>
      <c r="BR49" s="53" t="e">
        <f t="shared" si="73"/>
        <v>#DIV/0!</v>
      </c>
      <c r="BS49" s="53">
        <f t="shared" si="74"/>
        <v>0</v>
      </c>
      <c r="BT49" s="53">
        <f t="shared" si="75"/>
        <v>0</v>
      </c>
      <c r="BU49" s="56" t="e">
        <f t="shared" si="76"/>
        <v>#DIV/0!</v>
      </c>
      <c r="BX49" s="60"/>
      <c r="BY49" s="60"/>
      <c r="BZ49" s="60"/>
      <c r="CA49" s="60"/>
      <c r="CB49" s="60"/>
      <c r="CC49" s="60"/>
      <c r="CD49" s="60"/>
      <c r="CE49" s="60"/>
      <c r="CF49" s="60"/>
      <c r="CG49" s="60"/>
      <c r="CH49" s="60"/>
      <c r="CI49" s="60"/>
      <c r="CJ49" s="60"/>
      <c r="CK49" s="60"/>
      <c r="CL49" s="60"/>
      <c r="CM49" s="60"/>
      <c r="CN49" s="60"/>
      <c r="CO49" s="60"/>
      <c r="CP49" s="60"/>
      <c r="CQ49" s="60"/>
      <c r="CR49" s="60"/>
      <c r="CS49" s="60"/>
      <c r="CT49" s="57">
        <f t="shared" si="77"/>
        <v>0</v>
      </c>
      <c r="CU49" s="57">
        <f t="shared" si="78"/>
        <v>0</v>
      </c>
      <c r="CV49" s="53">
        <f t="shared" si="79"/>
        <v>0</v>
      </c>
      <c r="CW49" s="53">
        <f t="shared" si="80"/>
        <v>0</v>
      </c>
      <c r="CX49" s="58" t="e">
        <f t="shared" si="81"/>
        <v>#DIV/0!</v>
      </c>
      <c r="CY49" s="53">
        <f t="shared" si="82"/>
        <v>0</v>
      </c>
      <c r="CZ49" s="53">
        <f t="shared" si="83"/>
        <v>0</v>
      </c>
      <c r="DA49" s="58" t="e">
        <f t="shared" si="84"/>
        <v>#DIV/0!</v>
      </c>
      <c r="DB49" s="48" t="e">
        <f t="shared" si="85"/>
        <v>#DIV/0!</v>
      </c>
      <c r="DC49" s="48" t="e">
        <f t="shared" si="86"/>
        <v>#DIV/0!</v>
      </c>
      <c r="DD49" s="48" t="e">
        <f t="shared" si="87"/>
        <v>#DIV/0!</v>
      </c>
      <c r="DE49" s="48" t="e">
        <f t="shared" si="88"/>
        <v>#DIV/0!</v>
      </c>
      <c r="DF49" s="48" t="e">
        <f t="shared" si="89"/>
        <v>#DIV/0!</v>
      </c>
      <c r="DG49" s="48" t="e">
        <f t="shared" si="90"/>
        <v>#DIV/0!</v>
      </c>
      <c r="DH49" s="48">
        <f>SUMIF(FCR!$BZ$4:$DB$500,DG49,FCR!$DE$4:$EG$500)</f>
        <v>0</v>
      </c>
      <c r="DI49" s="48" t="e">
        <f t="shared" si="91"/>
        <v>#DIV/0!</v>
      </c>
      <c r="DJ49" s="48">
        <f>SUMIF(FCR!$BZ$4:$DB$142,DI49,FCR!$DE$4:$EG$142)</f>
        <v>0</v>
      </c>
      <c r="DK49" s="48" t="e">
        <f t="shared" si="92"/>
        <v>#DIV/0!</v>
      </c>
      <c r="DL49" s="55" t="e">
        <f t="shared" si="93"/>
        <v>#DIV/0!</v>
      </c>
      <c r="DM49" s="48" t="e">
        <f t="shared" si="94"/>
        <v>#DIV/0!</v>
      </c>
      <c r="DN49" s="48">
        <f>SUMIF(FCR!$BZ$4:$DB$142,DM49,FCR!$DE$4:$EG$142)</f>
        <v>0</v>
      </c>
      <c r="DO49" s="53" t="e">
        <f t="shared" si="95"/>
        <v>#DIV/0!</v>
      </c>
      <c r="DP49" s="55" t="e">
        <f t="shared" si="96"/>
        <v>#DIV/0!</v>
      </c>
      <c r="DQ49" s="55" t="e">
        <f t="shared" si="97"/>
        <v>#DIV/0!</v>
      </c>
      <c r="DR49" s="55"/>
      <c r="DS49" s="55" t="e">
        <f t="shared" si="98"/>
        <v>#DIV/0!</v>
      </c>
      <c r="DT49" s="55" t="e">
        <f t="shared" si="99"/>
        <v>#DIV/0!</v>
      </c>
      <c r="DU49" s="53">
        <f t="shared" si="100"/>
        <v>0</v>
      </c>
      <c r="DV49" s="59" t="e">
        <f t="shared" si="101"/>
        <v>#DIV/0!</v>
      </c>
    </row>
    <row r="50" spans="30:126">
      <c r="AD50" s="49" t="s">
        <v>411</v>
      </c>
      <c r="AE50" s="49">
        <f t="shared" si="24"/>
        <v>0</v>
      </c>
      <c r="AF50" s="49">
        <f t="shared" si="48"/>
        <v>0</v>
      </c>
      <c r="AG50" s="114">
        <f t="shared" si="49"/>
        <v>0</v>
      </c>
      <c r="AH50" s="104">
        <f t="shared" si="50"/>
        <v>0</v>
      </c>
      <c r="AI50" s="104">
        <f t="shared" si="51"/>
        <v>0</v>
      </c>
      <c r="AJ50" s="104">
        <f t="shared" si="52"/>
        <v>0</v>
      </c>
      <c r="AK50" s="104">
        <f t="shared" si="53"/>
        <v>0</v>
      </c>
      <c r="AL50" s="104">
        <f t="shared" si="54"/>
        <v>0</v>
      </c>
      <c r="AM50" s="104">
        <f t="shared" si="55"/>
        <v>0</v>
      </c>
      <c r="AN50" s="104">
        <f t="shared" si="56"/>
        <v>0</v>
      </c>
      <c r="AO50" s="104">
        <f t="shared" si="57"/>
        <v>0</v>
      </c>
      <c r="AP50" s="104">
        <f t="shared" si="58"/>
        <v>0</v>
      </c>
      <c r="AQ50" s="49">
        <f t="shared" si="59"/>
        <v>0</v>
      </c>
      <c r="AR50" s="104">
        <f t="shared" si="60"/>
        <v>0</v>
      </c>
      <c r="AS50" s="104">
        <f t="shared" si="61"/>
        <v>0</v>
      </c>
      <c r="AT50" s="104">
        <f t="shared" si="62"/>
        <v>0</v>
      </c>
      <c r="AU50" s="104">
        <f t="shared" si="63"/>
        <v>0</v>
      </c>
      <c r="BF50" s="49">
        <f t="shared" si="64"/>
        <v>0</v>
      </c>
      <c r="BG50" s="49">
        <f t="shared" si="65"/>
        <v>0</v>
      </c>
      <c r="BH50" s="54" t="e">
        <f t="shared" si="66"/>
        <v>#DIV/0!</v>
      </c>
      <c r="BI50" s="112" t="e">
        <f t="shared" si="67"/>
        <v>#DIV/0!</v>
      </c>
      <c r="BK50" s="55" t="e">
        <f t="shared" si="68"/>
        <v>#DIV/0!</v>
      </c>
      <c r="BL50" s="55" t="e">
        <f t="shared" si="69"/>
        <v>#DIV/0!</v>
      </c>
      <c r="BM50" s="55" t="e">
        <f t="shared" si="70"/>
        <v>#DIV/0!</v>
      </c>
      <c r="BN50" s="53">
        <f t="shared" si="71"/>
        <v>0</v>
      </c>
      <c r="BO50" s="112" t="e">
        <f t="shared" si="72"/>
        <v>#DIV/0!</v>
      </c>
      <c r="BR50" s="53" t="e">
        <f t="shared" si="73"/>
        <v>#DIV/0!</v>
      </c>
      <c r="BS50" s="53">
        <f t="shared" si="74"/>
        <v>0</v>
      </c>
      <c r="BT50" s="53">
        <f t="shared" si="75"/>
        <v>0</v>
      </c>
      <c r="BU50" s="56" t="e">
        <f t="shared" si="76"/>
        <v>#DIV/0!</v>
      </c>
      <c r="BX50" s="60"/>
      <c r="BY50" s="60"/>
      <c r="BZ50" s="60"/>
      <c r="CA50" s="60"/>
      <c r="CB50" s="60"/>
      <c r="CC50" s="60"/>
      <c r="CD50" s="60"/>
      <c r="CE50" s="60"/>
      <c r="CF50" s="60"/>
      <c r="CG50" s="60"/>
      <c r="CH50" s="60"/>
      <c r="CI50" s="60"/>
      <c r="CJ50" s="60"/>
      <c r="CK50" s="60"/>
      <c r="CL50" s="60"/>
      <c r="CM50" s="60"/>
      <c r="CN50" s="60"/>
      <c r="CO50" s="60"/>
      <c r="CP50" s="60"/>
      <c r="CQ50" s="60"/>
      <c r="CR50" s="60"/>
      <c r="CS50" s="60"/>
      <c r="CT50" s="57">
        <f t="shared" si="77"/>
        <v>0</v>
      </c>
      <c r="CU50" s="57">
        <f t="shared" si="78"/>
        <v>0</v>
      </c>
      <c r="CV50" s="53">
        <f t="shared" si="79"/>
        <v>0</v>
      </c>
      <c r="CW50" s="53">
        <f t="shared" si="80"/>
        <v>0</v>
      </c>
      <c r="CX50" s="58" t="e">
        <f t="shared" si="81"/>
        <v>#DIV/0!</v>
      </c>
      <c r="CY50" s="53">
        <f t="shared" si="82"/>
        <v>0</v>
      </c>
      <c r="CZ50" s="53">
        <f t="shared" si="83"/>
        <v>0</v>
      </c>
      <c r="DA50" s="58" t="e">
        <f t="shared" si="84"/>
        <v>#DIV/0!</v>
      </c>
      <c r="DB50" s="48" t="e">
        <f t="shared" si="85"/>
        <v>#DIV/0!</v>
      </c>
      <c r="DC50" s="48" t="e">
        <f t="shared" si="86"/>
        <v>#DIV/0!</v>
      </c>
      <c r="DD50" s="48" t="e">
        <f t="shared" si="87"/>
        <v>#DIV/0!</v>
      </c>
      <c r="DE50" s="48" t="e">
        <f t="shared" si="88"/>
        <v>#DIV/0!</v>
      </c>
      <c r="DF50" s="48" t="e">
        <f t="shared" si="89"/>
        <v>#DIV/0!</v>
      </c>
      <c r="DG50" s="48" t="e">
        <f t="shared" si="90"/>
        <v>#DIV/0!</v>
      </c>
      <c r="DH50" s="48">
        <f>SUMIF(FCR!$BZ$4:$DB$500,DG50,FCR!$DE$4:$EG$500)</f>
        <v>0</v>
      </c>
      <c r="DI50" s="48" t="e">
        <f t="shared" si="91"/>
        <v>#DIV/0!</v>
      </c>
      <c r="DJ50" s="48">
        <f>SUMIF(FCR!$BZ$4:$DB$142,DI50,FCR!$DE$4:$EG$142)</f>
        <v>0</v>
      </c>
      <c r="DK50" s="48" t="e">
        <f t="shared" si="92"/>
        <v>#DIV/0!</v>
      </c>
      <c r="DL50" s="55" t="e">
        <f t="shared" si="93"/>
        <v>#DIV/0!</v>
      </c>
      <c r="DM50" s="48" t="e">
        <f t="shared" si="94"/>
        <v>#DIV/0!</v>
      </c>
      <c r="DN50" s="48">
        <f>SUMIF(FCR!$BZ$4:$DB$142,DM50,FCR!$DE$4:$EG$142)</f>
        <v>0</v>
      </c>
      <c r="DO50" s="53" t="e">
        <f t="shared" si="95"/>
        <v>#DIV/0!</v>
      </c>
      <c r="DP50" s="55" t="e">
        <f t="shared" si="96"/>
        <v>#DIV/0!</v>
      </c>
      <c r="DQ50" s="55" t="e">
        <f t="shared" si="97"/>
        <v>#DIV/0!</v>
      </c>
      <c r="DR50" s="55"/>
      <c r="DS50" s="55" t="e">
        <f t="shared" si="98"/>
        <v>#DIV/0!</v>
      </c>
      <c r="DT50" s="55" t="e">
        <f t="shared" si="99"/>
        <v>#DIV/0!</v>
      </c>
      <c r="DU50" s="53">
        <f t="shared" si="100"/>
        <v>0</v>
      </c>
      <c r="DV50" s="59" t="e">
        <f t="shared" si="101"/>
        <v>#DIV/0!</v>
      </c>
    </row>
    <row r="51" spans="30:126">
      <c r="AD51" s="49" t="s">
        <v>411</v>
      </c>
      <c r="AE51" s="49">
        <f t="shared" si="24"/>
        <v>0</v>
      </c>
      <c r="AF51" s="49">
        <f t="shared" si="48"/>
        <v>0</v>
      </c>
      <c r="AG51" s="114">
        <f t="shared" si="49"/>
        <v>0</v>
      </c>
      <c r="AH51" s="104">
        <f t="shared" si="50"/>
        <v>0</v>
      </c>
      <c r="AI51" s="104">
        <f t="shared" si="51"/>
        <v>0</v>
      </c>
      <c r="AJ51" s="104">
        <f t="shared" si="52"/>
        <v>0</v>
      </c>
      <c r="AK51" s="104">
        <f t="shared" si="53"/>
        <v>0</v>
      </c>
      <c r="AL51" s="104">
        <f t="shared" si="54"/>
        <v>0</v>
      </c>
      <c r="AM51" s="104">
        <f t="shared" si="55"/>
        <v>0</v>
      </c>
      <c r="AN51" s="104">
        <f t="shared" si="56"/>
        <v>0</v>
      </c>
      <c r="AO51" s="104">
        <f t="shared" si="57"/>
        <v>0</v>
      </c>
      <c r="AP51" s="104">
        <f t="shared" si="58"/>
        <v>0</v>
      </c>
      <c r="AQ51" s="49">
        <f t="shared" si="59"/>
        <v>0</v>
      </c>
      <c r="AR51" s="104">
        <f t="shared" si="60"/>
        <v>0</v>
      </c>
      <c r="AS51" s="104">
        <f t="shared" si="61"/>
        <v>0</v>
      </c>
      <c r="AT51" s="104">
        <f t="shared" si="62"/>
        <v>0</v>
      </c>
      <c r="AU51" s="104">
        <f t="shared" si="63"/>
        <v>0</v>
      </c>
      <c r="BF51" s="49">
        <f t="shared" si="64"/>
        <v>0</v>
      </c>
      <c r="BG51" s="49">
        <f t="shared" si="65"/>
        <v>0</v>
      </c>
      <c r="BH51" s="54" t="e">
        <f t="shared" si="66"/>
        <v>#DIV/0!</v>
      </c>
      <c r="BI51" s="112" t="e">
        <f t="shared" si="67"/>
        <v>#DIV/0!</v>
      </c>
      <c r="BK51" s="55" t="e">
        <f t="shared" si="68"/>
        <v>#DIV/0!</v>
      </c>
      <c r="BL51" s="55" t="e">
        <f t="shared" si="69"/>
        <v>#DIV/0!</v>
      </c>
      <c r="BM51" s="55" t="e">
        <f t="shared" si="70"/>
        <v>#DIV/0!</v>
      </c>
      <c r="BN51" s="53">
        <f t="shared" si="71"/>
        <v>0</v>
      </c>
      <c r="BO51" s="112" t="e">
        <f t="shared" si="72"/>
        <v>#DIV/0!</v>
      </c>
      <c r="BR51" s="53" t="e">
        <f t="shared" si="73"/>
        <v>#DIV/0!</v>
      </c>
      <c r="BS51" s="53">
        <f t="shared" si="74"/>
        <v>0</v>
      </c>
      <c r="BT51" s="53">
        <f t="shared" si="75"/>
        <v>0</v>
      </c>
      <c r="BU51" s="56" t="e">
        <f t="shared" si="76"/>
        <v>#DIV/0!</v>
      </c>
      <c r="BX51" s="60"/>
      <c r="BY51" s="60"/>
      <c r="BZ51" s="60"/>
      <c r="CA51" s="60"/>
      <c r="CB51" s="60"/>
      <c r="CC51" s="60"/>
      <c r="CD51" s="60"/>
      <c r="CE51" s="60"/>
      <c r="CF51" s="60"/>
      <c r="CG51" s="60"/>
      <c r="CH51" s="60"/>
      <c r="CI51" s="60"/>
      <c r="CJ51" s="60"/>
      <c r="CK51" s="60"/>
      <c r="CL51" s="60"/>
      <c r="CM51" s="60"/>
      <c r="CN51" s="60"/>
      <c r="CO51" s="60"/>
      <c r="CP51" s="60"/>
      <c r="CQ51" s="60"/>
      <c r="CR51" s="60"/>
      <c r="CS51" s="60"/>
      <c r="CT51" s="57">
        <f t="shared" si="77"/>
        <v>0</v>
      </c>
      <c r="CU51" s="57">
        <f t="shared" si="78"/>
        <v>0</v>
      </c>
      <c r="CV51" s="53">
        <f t="shared" si="79"/>
        <v>0</v>
      </c>
      <c r="CW51" s="53">
        <f t="shared" si="80"/>
        <v>0</v>
      </c>
      <c r="CX51" s="58" t="e">
        <f t="shared" si="81"/>
        <v>#DIV/0!</v>
      </c>
      <c r="CY51" s="53">
        <f t="shared" si="82"/>
        <v>0</v>
      </c>
      <c r="CZ51" s="53">
        <f t="shared" si="83"/>
        <v>0</v>
      </c>
      <c r="DA51" s="58" t="e">
        <f t="shared" si="84"/>
        <v>#DIV/0!</v>
      </c>
      <c r="DB51" s="48" t="e">
        <f t="shared" si="85"/>
        <v>#DIV/0!</v>
      </c>
      <c r="DC51" s="48" t="e">
        <f t="shared" si="86"/>
        <v>#DIV/0!</v>
      </c>
      <c r="DD51" s="48" t="e">
        <f t="shared" si="87"/>
        <v>#DIV/0!</v>
      </c>
      <c r="DE51" s="48" t="e">
        <f t="shared" si="88"/>
        <v>#DIV/0!</v>
      </c>
      <c r="DF51" s="48" t="e">
        <f t="shared" si="89"/>
        <v>#DIV/0!</v>
      </c>
      <c r="DG51" s="48" t="e">
        <f t="shared" si="90"/>
        <v>#DIV/0!</v>
      </c>
      <c r="DH51" s="48">
        <f>SUMIF(FCR!$BZ$4:$DB$500,DG51,FCR!$DE$4:$EG$500)</f>
        <v>0</v>
      </c>
      <c r="DI51" s="48" t="e">
        <f t="shared" si="91"/>
        <v>#DIV/0!</v>
      </c>
      <c r="DJ51" s="48">
        <f>SUMIF(FCR!$BZ$4:$DB$142,DI51,FCR!$DE$4:$EG$142)</f>
        <v>0</v>
      </c>
      <c r="DK51" s="48" t="e">
        <f t="shared" si="92"/>
        <v>#DIV/0!</v>
      </c>
      <c r="DL51" s="55" t="e">
        <f t="shared" si="93"/>
        <v>#DIV/0!</v>
      </c>
      <c r="DM51" s="48" t="e">
        <f t="shared" si="94"/>
        <v>#DIV/0!</v>
      </c>
      <c r="DN51" s="48">
        <f>SUMIF(FCR!$BZ$4:$DB$142,DM51,FCR!$DE$4:$EG$142)</f>
        <v>0</v>
      </c>
      <c r="DO51" s="53" t="e">
        <f t="shared" si="95"/>
        <v>#DIV/0!</v>
      </c>
      <c r="DP51" s="55" t="e">
        <f t="shared" si="96"/>
        <v>#DIV/0!</v>
      </c>
      <c r="DQ51" s="55" t="e">
        <f t="shared" si="97"/>
        <v>#DIV/0!</v>
      </c>
      <c r="DR51" s="55"/>
      <c r="DS51" s="55" t="e">
        <f t="shared" si="98"/>
        <v>#DIV/0!</v>
      </c>
      <c r="DT51" s="55" t="e">
        <f t="shared" si="99"/>
        <v>#DIV/0!</v>
      </c>
      <c r="DU51" s="53">
        <f t="shared" si="100"/>
        <v>0</v>
      </c>
      <c r="DV51" s="59" t="e">
        <f t="shared" si="101"/>
        <v>#DIV/0!</v>
      </c>
    </row>
    <row r="52" spans="30:126">
      <c r="AD52" s="49" t="s">
        <v>411</v>
      </c>
      <c r="AE52" s="49">
        <f t="shared" si="24"/>
        <v>0</v>
      </c>
      <c r="AF52" s="49">
        <f t="shared" si="48"/>
        <v>0</v>
      </c>
      <c r="AG52" s="114">
        <f t="shared" si="49"/>
        <v>0</v>
      </c>
      <c r="AH52" s="104">
        <f t="shared" si="50"/>
        <v>0</v>
      </c>
      <c r="AI52" s="104">
        <f t="shared" si="51"/>
        <v>0</v>
      </c>
      <c r="AJ52" s="104">
        <f t="shared" si="52"/>
        <v>0</v>
      </c>
      <c r="AK52" s="104">
        <f t="shared" si="53"/>
        <v>0</v>
      </c>
      <c r="AL52" s="104">
        <f t="shared" si="54"/>
        <v>0</v>
      </c>
      <c r="AM52" s="104">
        <f t="shared" si="55"/>
        <v>0</v>
      </c>
      <c r="AN52" s="104">
        <f t="shared" si="56"/>
        <v>0</v>
      </c>
      <c r="AO52" s="104">
        <f t="shared" si="57"/>
        <v>0</v>
      </c>
      <c r="AP52" s="104">
        <f t="shared" si="58"/>
        <v>0</v>
      </c>
      <c r="AQ52" s="49">
        <f t="shared" si="59"/>
        <v>0</v>
      </c>
      <c r="AR52" s="104">
        <f t="shared" si="60"/>
        <v>0</v>
      </c>
      <c r="AS52" s="104">
        <f t="shared" si="61"/>
        <v>0</v>
      </c>
      <c r="AT52" s="104">
        <f t="shared" si="62"/>
        <v>0</v>
      </c>
      <c r="AU52" s="104">
        <f t="shared" si="63"/>
        <v>0</v>
      </c>
      <c r="BF52" s="49">
        <f t="shared" si="64"/>
        <v>0</v>
      </c>
      <c r="BG52" s="49">
        <f t="shared" si="65"/>
        <v>0</v>
      </c>
      <c r="BH52" s="54" t="e">
        <f t="shared" si="66"/>
        <v>#DIV/0!</v>
      </c>
      <c r="BI52" s="112" t="e">
        <f t="shared" si="67"/>
        <v>#DIV/0!</v>
      </c>
      <c r="BK52" s="55" t="e">
        <f t="shared" si="68"/>
        <v>#DIV/0!</v>
      </c>
      <c r="BL52" s="55" t="e">
        <f t="shared" si="69"/>
        <v>#DIV/0!</v>
      </c>
      <c r="BM52" s="55" t="e">
        <f t="shared" si="70"/>
        <v>#DIV/0!</v>
      </c>
      <c r="BN52" s="53">
        <f t="shared" si="71"/>
        <v>0</v>
      </c>
      <c r="BO52" s="112" t="e">
        <f t="shared" si="72"/>
        <v>#DIV/0!</v>
      </c>
      <c r="BR52" s="53" t="e">
        <f t="shared" si="73"/>
        <v>#DIV/0!</v>
      </c>
      <c r="BS52" s="53">
        <f t="shared" si="74"/>
        <v>0</v>
      </c>
      <c r="BT52" s="53">
        <f t="shared" si="75"/>
        <v>0</v>
      </c>
      <c r="BU52" s="56" t="e">
        <f t="shared" si="76"/>
        <v>#DIV/0!</v>
      </c>
      <c r="BX52" s="60"/>
      <c r="BY52" s="60"/>
      <c r="BZ52" s="60"/>
      <c r="CA52" s="60"/>
      <c r="CB52" s="60"/>
      <c r="CC52" s="60"/>
      <c r="CD52" s="60"/>
      <c r="CE52" s="60"/>
      <c r="CF52" s="60"/>
      <c r="CG52" s="60"/>
      <c r="CH52" s="60"/>
      <c r="CI52" s="60"/>
      <c r="CJ52" s="60"/>
      <c r="CK52" s="60"/>
      <c r="CL52" s="60"/>
      <c r="CM52" s="60"/>
      <c r="CN52" s="60"/>
      <c r="CO52" s="60"/>
      <c r="CP52" s="60"/>
      <c r="CQ52" s="60"/>
      <c r="CR52" s="60"/>
      <c r="CS52" s="60"/>
      <c r="CT52" s="57">
        <f t="shared" si="77"/>
        <v>0</v>
      </c>
      <c r="CU52" s="57">
        <f t="shared" si="78"/>
        <v>0</v>
      </c>
      <c r="CV52" s="53">
        <f t="shared" si="79"/>
        <v>0</v>
      </c>
      <c r="CW52" s="53">
        <f t="shared" si="80"/>
        <v>0</v>
      </c>
      <c r="CX52" s="58" t="e">
        <f t="shared" si="81"/>
        <v>#DIV/0!</v>
      </c>
      <c r="CY52" s="53">
        <f t="shared" si="82"/>
        <v>0</v>
      </c>
      <c r="CZ52" s="53">
        <f t="shared" si="83"/>
        <v>0</v>
      </c>
      <c r="DA52" s="58" t="e">
        <f t="shared" si="84"/>
        <v>#DIV/0!</v>
      </c>
      <c r="DB52" s="48" t="e">
        <f t="shared" si="85"/>
        <v>#DIV/0!</v>
      </c>
      <c r="DC52" s="48" t="e">
        <f t="shared" si="86"/>
        <v>#DIV/0!</v>
      </c>
      <c r="DD52" s="48" t="e">
        <f t="shared" si="87"/>
        <v>#DIV/0!</v>
      </c>
      <c r="DE52" s="48" t="e">
        <f t="shared" si="88"/>
        <v>#DIV/0!</v>
      </c>
      <c r="DF52" s="48" t="e">
        <f t="shared" si="89"/>
        <v>#DIV/0!</v>
      </c>
      <c r="DG52" s="48" t="e">
        <f t="shared" si="90"/>
        <v>#DIV/0!</v>
      </c>
      <c r="DH52" s="48">
        <f>SUMIF(FCR!$BZ$4:$DB$500,DG52,FCR!$DE$4:$EG$500)</f>
        <v>0</v>
      </c>
      <c r="DI52" s="48" t="e">
        <f t="shared" si="91"/>
        <v>#DIV/0!</v>
      </c>
      <c r="DJ52" s="48">
        <f>SUMIF(FCR!$BZ$4:$DB$142,DI52,FCR!$DE$4:$EG$142)</f>
        <v>0</v>
      </c>
      <c r="DK52" s="48" t="e">
        <f t="shared" si="92"/>
        <v>#DIV/0!</v>
      </c>
      <c r="DL52" s="55" t="e">
        <f t="shared" si="93"/>
        <v>#DIV/0!</v>
      </c>
      <c r="DM52" s="48" t="e">
        <f t="shared" si="94"/>
        <v>#DIV/0!</v>
      </c>
      <c r="DN52" s="48">
        <f>SUMIF(FCR!$BZ$4:$DB$142,DM52,FCR!$DE$4:$EG$142)</f>
        <v>0</v>
      </c>
      <c r="DO52" s="53" t="e">
        <f t="shared" si="95"/>
        <v>#DIV/0!</v>
      </c>
      <c r="DP52" s="55" t="e">
        <f t="shared" si="96"/>
        <v>#DIV/0!</v>
      </c>
      <c r="DQ52" s="55" t="e">
        <f t="shared" si="97"/>
        <v>#DIV/0!</v>
      </c>
      <c r="DR52" s="55"/>
      <c r="DS52" s="55" t="e">
        <f t="shared" si="98"/>
        <v>#DIV/0!</v>
      </c>
      <c r="DT52" s="55" t="e">
        <f t="shared" si="99"/>
        <v>#DIV/0!</v>
      </c>
      <c r="DU52" s="53">
        <f t="shared" si="100"/>
        <v>0</v>
      </c>
      <c r="DV52" s="59" t="e">
        <f t="shared" si="101"/>
        <v>#DIV/0!</v>
      </c>
    </row>
    <row r="53" spans="30:126">
      <c r="AD53" s="49" t="s">
        <v>411</v>
      </c>
      <c r="AE53" s="49">
        <f t="shared" si="24"/>
        <v>0</v>
      </c>
      <c r="AF53" s="49">
        <f t="shared" si="48"/>
        <v>0</v>
      </c>
      <c r="AG53" s="114">
        <f t="shared" si="49"/>
        <v>0</v>
      </c>
      <c r="AH53" s="104">
        <f t="shared" si="50"/>
        <v>0</v>
      </c>
      <c r="AI53" s="104">
        <f t="shared" si="51"/>
        <v>0</v>
      </c>
      <c r="AJ53" s="104">
        <f t="shared" si="52"/>
        <v>0</v>
      </c>
      <c r="AK53" s="104">
        <f t="shared" si="53"/>
        <v>0</v>
      </c>
      <c r="AL53" s="104">
        <f t="shared" si="54"/>
        <v>0</v>
      </c>
      <c r="AM53" s="104">
        <f t="shared" si="55"/>
        <v>0</v>
      </c>
      <c r="AN53" s="104">
        <f t="shared" si="56"/>
        <v>0</v>
      </c>
      <c r="AO53" s="104">
        <f t="shared" si="57"/>
        <v>0</v>
      </c>
      <c r="AP53" s="104">
        <f t="shared" si="58"/>
        <v>0</v>
      </c>
      <c r="AQ53" s="49">
        <f t="shared" si="59"/>
        <v>0</v>
      </c>
      <c r="AR53" s="104">
        <f t="shared" si="60"/>
        <v>0</v>
      </c>
      <c r="AS53" s="104">
        <f t="shared" si="61"/>
        <v>0</v>
      </c>
      <c r="AT53" s="104">
        <f t="shared" si="62"/>
        <v>0</v>
      </c>
      <c r="AU53" s="104">
        <f t="shared" si="63"/>
        <v>0</v>
      </c>
      <c r="BF53" s="49">
        <f t="shared" si="64"/>
        <v>0</v>
      </c>
      <c r="BG53" s="49">
        <f t="shared" si="65"/>
        <v>0</v>
      </c>
      <c r="BH53" s="54" t="e">
        <f t="shared" si="66"/>
        <v>#DIV/0!</v>
      </c>
      <c r="BI53" s="112" t="e">
        <f t="shared" si="67"/>
        <v>#DIV/0!</v>
      </c>
      <c r="BK53" s="55" t="e">
        <f t="shared" si="68"/>
        <v>#DIV/0!</v>
      </c>
      <c r="BL53" s="55" t="e">
        <f t="shared" si="69"/>
        <v>#DIV/0!</v>
      </c>
      <c r="BM53" s="55" t="e">
        <f t="shared" si="70"/>
        <v>#DIV/0!</v>
      </c>
      <c r="BN53" s="53">
        <f t="shared" si="71"/>
        <v>0</v>
      </c>
      <c r="BO53" s="112" t="e">
        <f t="shared" si="72"/>
        <v>#DIV/0!</v>
      </c>
      <c r="BR53" s="53" t="e">
        <f t="shared" si="73"/>
        <v>#DIV/0!</v>
      </c>
      <c r="BS53" s="53">
        <f t="shared" si="74"/>
        <v>0</v>
      </c>
      <c r="BT53" s="53">
        <f t="shared" si="75"/>
        <v>0</v>
      </c>
      <c r="BU53" s="56" t="e">
        <f t="shared" si="76"/>
        <v>#DIV/0!</v>
      </c>
      <c r="BX53" s="60"/>
      <c r="BY53" s="60"/>
      <c r="BZ53" s="60"/>
      <c r="CA53" s="60"/>
      <c r="CB53" s="60"/>
      <c r="CC53" s="60"/>
      <c r="CD53" s="60"/>
      <c r="CE53" s="60"/>
      <c r="CF53" s="60"/>
      <c r="CG53" s="60"/>
      <c r="CH53" s="60"/>
      <c r="CI53" s="60"/>
      <c r="CJ53" s="60"/>
      <c r="CK53" s="60"/>
      <c r="CL53" s="60"/>
      <c r="CM53" s="60"/>
      <c r="CN53" s="60"/>
      <c r="CO53" s="60"/>
      <c r="CP53" s="60"/>
      <c r="CQ53" s="60"/>
      <c r="CR53" s="60"/>
      <c r="CS53" s="60"/>
      <c r="CT53" s="57">
        <f t="shared" si="77"/>
        <v>0</v>
      </c>
      <c r="CU53" s="57">
        <f t="shared" si="78"/>
        <v>0</v>
      </c>
      <c r="CV53" s="53">
        <f t="shared" si="79"/>
        <v>0</v>
      </c>
      <c r="CW53" s="53">
        <f t="shared" si="80"/>
        <v>0</v>
      </c>
      <c r="CX53" s="58" t="e">
        <f t="shared" si="81"/>
        <v>#DIV/0!</v>
      </c>
      <c r="CY53" s="53">
        <f t="shared" si="82"/>
        <v>0</v>
      </c>
      <c r="CZ53" s="53">
        <f t="shared" si="83"/>
        <v>0</v>
      </c>
      <c r="DA53" s="58" t="e">
        <f t="shared" si="84"/>
        <v>#DIV/0!</v>
      </c>
      <c r="DB53" s="48" t="e">
        <f t="shared" si="85"/>
        <v>#DIV/0!</v>
      </c>
      <c r="DC53" s="48" t="e">
        <f t="shared" si="86"/>
        <v>#DIV/0!</v>
      </c>
      <c r="DD53" s="48" t="e">
        <f t="shared" si="87"/>
        <v>#DIV/0!</v>
      </c>
      <c r="DE53" s="48" t="e">
        <f t="shared" si="88"/>
        <v>#DIV/0!</v>
      </c>
      <c r="DF53" s="48" t="e">
        <f t="shared" si="89"/>
        <v>#DIV/0!</v>
      </c>
      <c r="DG53" s="48" t="e">
        <f t="shared" si="90"/>
        <v>#DIV/0!</v>
      </c>
      <c r="DH53" s="48">
        <f>SUMIF(FCR!$BZ$4:$DB$500,DG53,FCR!$DE$4:$EG$500)</f>
        <v>0</v>
      </c>
      <c r="DI53" s="48" t="e">
        <f t="shared" si="91"/>
        <v>#DIV/0!</v>
      </c>
      <c r="DJ53" s="48">
        <f>SUMIF(FCR!$BZ$4:$DB$142,DI53,FCR!$DE$4:$EG$142)</f>
        <v>0</v>
      </c>
      <c r="DK53" s="48" t="e">
        <f t="shared" si="92"/>
        <v>#DIV/0!</v>
      </c>
      <c r="DL53" s="55" t="e">
        <f t="shared" si="93"/>
        <v>#DIV/0!</v>
      </c>
      <c r="DM53" s="48" t="e">
        <f t="shared" si="94"/>
        <v>#DIV/0!</v>
      </c>
      <c r="DN53" s="48">
        <f>SUMIF(FCR!$BZ$4:$DB$142,DM53,FCR!$DE$4:$EG$142)</f>
        <v>0</v>
      </c>
      <c r="DO53" s="53" t="e">
        <f t="shared" si="95"/>
        <v>#DIV/0!</v>
      </c>
      <c r="DP53" s="55" t="e">
        <f t="shared" si="96"/>
        <v>#DIV/0!</v>
      </c>
      <c r="DQ53" s="55" t="e">
        <f t="shared" si="97"/>
        <v>#DIV/0!</v>
      </c>
      <c r="DR53" s="55"/>
      <c r="DS53" s="55" t="e">
        <f t="shared" si="98"/>
        <v>#DIV/0!</v>
      </c>
      <c r="DT53" s="55" t="e">
        <f t="shared" si="99"/>
        <v>#DIV/0!</v>
      </c>
      <c r="DU53" s="53">
        <f t="shared" si="100"/>
        <v>0</v>
      </c>
      <c r="DV53" s="59" t="e">
        <f t="shared" si="101"/>
        <v>#DIV/0!</v>
      </c>
    </row>
    <row r="54" spans="30:126">
      <c r="AD54" s="49" t="s">
        <v>411</v>
      </c>
      <c r="AE54" s="49">
        <f t="shared" si="24"/>
        <v>0</v>
      </c>
      <c r="AF54" s="49">
        <f t="shared" si="48"/>
        <v>0</v>
      </c>
      <c r="AG54" s="114">
        <f t="shared" si="49"/>
        <v>0</v>
      </c>
      <c r="AH54" s="104">
        <f t="shared" si="50"/>
        <v>0</v>
      </c>
      <c r="AI54" s="104">
        <f t="shared" si="51"/>
        <v>0</v>
      </c>
      <c r="AJ54" s="104">
        <f t="shared" si="52"/>
        <v>0</v>
      </c>
      <c r="AK54" s="104">
        <f t="shared" si="53"/>
        <v>0</v>
      </c>
      <c r="AL54" s="104">
        <f t="shared" si="54"/>
        <v>0</v>
      </c>
      <c r="AM54" s="104">
        <f t="shared" si="55"/>
        <v>0</v>
      </c>
      <c r="AN54" s="104">
        <f t="shared" si="56"/>
        <v>0</v>
      </c>
      <c r="AO54" s="104">
        <f t="shared" si="57"/>
        <v>0</v>
      </c>
      <c r="AP54" s="104">
        <f t="shared" si="58"/>
        <v>0</v>
      </c>
      <c r="AQ54" s="49">
        <f t="shared" si="59"/>
        <v>0</v>
      </c>
      <c r="AR54" s="104">
        <f t="shared" si="60"/>
        <v>0</v>
      </c>
      <c r="AS54" s="104">
        <f t="shared" si="61"/>
        <v>0</v>
      </c>
      <c r="AT54" s="104">
        <f t="shared" si="62"/>
        <v>0</v>
      </c>
      <c r="AU54" s="104">
        <f t="shared" si="63"/>
        <v>0</v>
      </c>
      <c r="BF54" s="49">
        <f t="shared" si="64"/>
        <v>0</v>
      </c>
      <c r="BG54" s="49">
        <f t="shared" si="65"/>
        <v>0</v>
      </c>
      <c r="BH54" s="54" t="e">
        <f t="shared" si="66"/>
        <v>#DIV/0!</v>
      </c>
      <c r="BI54" s="112" t="e">
        <f t="shared" si="67"/>
        <v>#DIV/0!</v>
      </c>
      <c r="BK54" s="55" t="e">
        <f t="shared" si="68"/>
        <v>#DIV/0!</v>
      </c>
      <c r="BL54" s="55" t="e">
        <f t="shared" si="69"/>
        <v>#DIV/0!</v>
      </c>
      <c r="BM54" s="55" t="e">
        <f t="shared" si="70"/>
        <v>#DIV/0!</v>
      </c>
      <c r="BN54" s="53">
        <f t="shared" si="71"/>
        <v>0</v>
      </c>
      <c r="BO54" s="112" t="e">
        <f t="shared" si="72"/>
        <v>#DIV/0!</v>
      </c>
      <c r="BR54" s="53" t="e">
        <f t="shared" si="73"/>
        <v>#DIV/0!</v>
      </c>
      <c r="BS54" s="53">
        <f t="shared" si="74"/>
        <v>0</v>
      </c>
      <c r="BT54" s="53">
        <f t="shared" si="75"/>
        <v>0</v>
      </c>
      <c r="BU54" s="56" t="e">
        <f t="shared" si="76"/>
        <v>#DIV/0!</v>
      </c>
      <c r="BX54" s="60"/>
      <c r="BY54" s="60"/>
      <c r="BZ54" s="60"/>
      <c r="CA54" s="60"/>
      <c r="CB54" s="60"/>
      <c r="CC54" s="60"/>
      <c r="CD54" s="60"/>
      <c r="CE54" s="60"/>
      <c r="CF54" s="60"/>
      <c r="CG54" s="60"/>
      <c r="CH54" s="60"/>
      <c r="CI54" s="60"/>
      <c r="CJ54" s="60"/>
      <c r="CK54" s="60"/>
      <c r="CL54" s="60"/>
      <c r="CM54" s="60"/>
      <c r="CN54" s="60"/>
      <c r="CO54" s="60"/>
      <c r="CP54" s="60"/>
      <c r="CQ54" s="60"/>
      <c r="CR54" s="60"/>
      <c r="CS54" s="60"/>
      <c r="CT54" s="57">
        <f t="shared" si="77"/>
        <v>0</v>
      </c>
      <c r="CU54" s="57">
        <f t="shared" si="78"/>
        <v>0</v>
      </c>
      <c r="CV54" s="53">
        <f t="shared" si="79"/>
        <v>0</v>
      </c>
      <c r="CW54" s="53">
        <f t="shared" si="80"/>
        <v>0</v>
      </c>
      <c r="CX54" s="58" t="e">
        <f t="shared" si="81"/>
        <v>#DIV/0!</v>
      </c>
      <c r="CY54" s="53">
        <f t="shared" si="82"/>
        <v>0</v>
      </c>
      <c r="CZ54" s="53">
        <f t="shared" si="83"/>
        <v>0</v>
      </c>
      <c r="DA54" s="58" t="e">
        <f t="shared" si="84"/>
        <v>#DIV/0!</v>
      </c>
      <c r="DB54" s="48" t="e">
        <f t="shared" si="85"/>
        <v>#DIV/0!</v>
      </c>
      <c r="DC54" s="48" t="e">
        <f t="shared" si="86"/>
        <v>#DIV/0!</v>
      </c>
      <c r="DD54" s="48" t="e">
        <f t="shared" si="87"/>
        <v>#DIV/0!</v>
      </c>
      <c r="DE54" s="48" t="e">
        <f t="shared" si="88"/>
        <v>#DIV/0!</v>
      </c>
      <c r="DF54" s="48" t="e">
        <f t="shared" si="89"/>
        <v>#DIV/0!</v>
      </c>
      <c r="DG54" s="48" t="e">
        <f t="shared" si="90"/>
        <v>#DIV/0!</v>
      </c>
      <c r="DH54" s="48">
        <f>SUMIF(FCR!$BZ$4:$DB$500,DG54,FCR!$DE$4:$EG$500)</f>
        <v>0</v>
      </c>
      <c r="DI54" s="48" t="e">
        <f t="shared" si="91"/>
        <v>#DIV/0!</v>
      </c>
      <c r="DJ54" s="48">
        <f>SUMIF(FCR!$BZ$4:$DB$142,DI54,FCR!$DE$4:$EG$142)</f>
        <v>0</v>
      </c>
      <c r="DK54" s="48" t="e">
        <f t="shared" si="92"/>
        <v>#DIV/0!</v>
      </c>
      <c r="DL54" s="55" t="e">
        <f t="shared" si="93"/>
        <v>#DIV/0!</v>
      </c>
      <c r="DM54" s="48" t="e">
        <f t="shared" si="94"/>
        <v>#DIV/0!</v>
      </c>
      <c r="DN54" s="48">
        <f>SUMIF(FCR!$BZ$4:$DB$142,DM54,FCR!$DE$4:$EG$142)</f>
        <v>0</v>
      </c>
      <c r="DO54" s="53" t="e">
        <f t="shared" si="95"/>
        <v>#DIV/0!</v>
      </c>
      <c r="DP54" s="55" t="e">
        <f t="shared" si="96"/>
        <v>#DIV/0!</v>
      </c>
      <c r="DQ54" s="55" t="e">
        <f t="shared" si="97"/>
        <v>#DIV/0!</v>
      </c>
      <c r="DR54" s="55"/>
      <c r="DS54" s="55" t="e">
        <f t="shared" si="98"/>
        <v>#DIV/0!</v>
      </c>
      <c r="DT54" s="55" t="e">
        <f t="shared" si="99"/>
        <v>#DIV/0!</v>
      </c>
      <c r="DU54" s="53">
        <f t="shared" si="100"/>
        <v>0</v>
      </c>
      <c r="DV54" s="59" t="e">
        <f t="shared" si="101"/>
        <v>#DIV/0!</v>
      </c>
    </row>
    <row r="55" spans="30:126">
      <c r="AD55" s="49" t="s">
        <v>411</v>
      </c>
      <c r="AE55" s="49">
        <f t="shared" si="24"/>
        <v>0</v>
      </c>
      <c r="AF55" s="49">
        <f t="shared" si="48"/>
        <v>0</v>
      </c>
      <c r="AG55" s="114">
        <f t="shared" si="49"/>
        <v>0</v>
      </c>
      <c r="AH55" s="104">
        <f t="shared" si="50"/>
        <v>0</v>
      </c>
      <c r="AI55" s="104">
        <f t="shared" si="51"/>
        <v>0</v>
      </c>
      <c r="AJ55" s="104">
        <f t="shared" si="52"/>
        <v>0</v>
      </c>
      <c r="AK55" s="104">
        <f t="shared" si="53"/>
        <v>0</v>
      </c>
      <c r="AL55" s="104">
        <f t="shared" si="54"/>
        <v>0</v>
      </c>
      <c r="AM55" s="104">
        <f t="shared" si="55"/>
        <v>0</v>
      </c>
      <c r="AN55" s="104">
        <f t="shared" si="56"/>
        <v>0</v>
      </c>
      <c r="AO55" s="104">
        <f t="shared" si="57"/>
        <v>0</v>
      </c>
      <c r="AP55" s="104">
        <f t="shared" si="58"/>
        <v>0</v>
      </c>
      <c r="AQ55" s="49">
        <f t="shared" si="59"/>
        <v>0</v>
      </c>
      <c r="AR55" s="104">
        <f t="shared" si="60"/>
        <v>0</v>
      </c>
      <c r="AS55" s="104">
        <f t="shared" si="61"/>
        <v>0</v>
      </c>
      <c r="AT55" s="104">
        <f t="shared" si="62"/>
        <v>0</v>
      </c>
      <c r="AU55" s="104">
        <f t="shared" si="63"/>
        <v>0</v>
      </c>
      <c r="BF55" s="49">
        <f t="shared" si="64"/>
        <v>0</v>
      </c>
      <c r="BG55" s="49">
        <f t="shared" si="65"/>
        <v>0</v>
      </c>
      <c r="BH55" s="54" t="e">
        <f t="shared" si="66"/>
        <v>#DIV/0!</v>
      </c>
      <c r="BI55" s="112" t="e">
        <f t="shared" si="67"/>
        <v>#DIV/0!</v>
      </c>
      <c r="BK55" s="55" t="e">
        <f t="shared" si="68"/>
        <v>#DIV/0!</v>
      </c>
      <c r="BL55" s="55" t="e">
        <f t="shared" si="69"/>
        <v>#DIV/0!</v>
      </c>
      <c r="BM55" s="55" t="e">
        <f t="shared" si="70"/>
        <v>#DIV/0!</v>
      </c>
      <c r="BN55" s="53">
        <f t="shared" si="71"/>
        <v>0</v>
      </c>
      <c r="BO55" s="112" t="e">
        <f t="shared" si="72"/>
        <v>#DIV/0!</v>
      </c>
      <c r="BR55" s="53" t="e">
        <f t="shared" si="73"/>
        <v>#DIV/0!</v>
      </c>
      <c r="BS55" s="53">
        <f t="shared" si="74"/>
        <v>0</v>
      </c>
      <c r="BT55" s="53">
        <f t="shared" si="75"/>
        <v>0</v>
      </c>
      <c r="BU55" s="56" t="e">
        <f t="shared" si="76"/>
        <v>#DIV/0!</v>
      </c>
      <c r="BX55" s="60"/>
      <c r="BY55" s="60"/>
      <c r="BZ55" s="60"/>
      <c r="CA55" s="60"/>
      <c r="CB55" s="60"/>
      <c r="CC55" s="60"/>
      <c r="CD55" s="60"/>
      <c r="CE55" s="60"/>
      <c r="CF55" s="60"/>
      <c r="CG55" s="60"/>
      <c r="CH55" s="60"/>
      <c r="CI55" s="60"/>
      <c r="CJ55" s="60"/>
      <c r="CK55" s="60"/>
      <c r="CL55" s="60"/>
      <c r="CM55" s="60"/>
      <c r="CN55" s="60"/>
      <c r="CO55" s="60"/>
      <c r="CP55" s="60"/>
      <c r="CQ55" s="60"/>
      <c r="CR55" s="60"/>
      <c r="CS55" s="60"/>
      <c r="CT55" s="57">
        <f t="shared" si="77"/>
        <v>0</v>
      </c>
      <c r="CU55" s="57">
        <f t="shared" si="78"/>
        <v>0</v>
      </c>
      <c r="CV55" s="53">
        <f t="shared" si="79"/>
        <v>0</v>
      </c>
      <c r="CW55" s="53">
        <f t="shared" si="80"/>
        <v>0</v>
      </c>
      <c r="CX55" s="58" t="e">
        <f t="shared" si="81"/>
        <v>#DIV/0!</v>
      </c>
      <c r="CY55" s="53">
        <f t="shared" si="82"/>
        <v>0</v>
      </c>
      <c r="CZ55" s="53">
        <f t="shared" si="83"/>
        <v>0</v>
      </c>
      <c r="DA55" s="58" t="e">
        <f t="shared" si="84"/>
        <v>#DIV/0!</v>
      </c>
      <c r="DB55" s="48" t="e">
        <f t="shared" si="85"/>
        <v>#DIV/0!</v>
      </c>
      <c r="DC55" s="48" t="e">
        <f t="shared" si="86"/>
        <v>#DIV/0!</v>
      </c>
      <c r="DD55" s="48" t="e">
        <f t="shared" si="87"/>
        <v>#DIV/0!</v>
      </c>
      <c r="DE55" s="48" t="e">
        <f t="shared" si="88"/>
        <v>#DIV/0!</v>
      </c>
      <c r="DF55" s="48" t="e">
        <f t="shared" si="89"/>
        <v>#DIV/0!</v>
      </c>
      <c r="DG55" s="48" t="e">
        <f t="shared" si="90"/>
        <v>#DIV/0!</v>
      </c>
      <c r="DH55" s="48">
        <f>SUMIF(FCR!$BZ$4:$DB$500,DG55,FCR!$DE$4:$EG$500)</f>
        <v>0</v>
      </c>
      <c r="DI55" s="48" t="e">
        <f t="shared" si="91"/>
        <v>#DIV/0!</v>
      </c>
      <c r="DJ55" s="48">
        <f>SUMIF(FCR!$BZ$4:$DB$142,DI55,FCR!$DE$4:$EG$142)</f>
        <v>0</v>
      </c>
      <c r="DK55" s="48" t="e">
        <f t="shared" si="92"/>
        <v>#DIV/0!</v>
      </c>
      <c r="DL55" s="55" t="e">
        <f t="shared" si="93"/>
        <v>#DIV/0!</v>
      </c>
      <c r="DM55" s="48" t="e">
        <f t="shared" si="94"/>
        <v>#DIV/0!</v>
      </c>
      <c r="DN55" s="48">
        <f>SUMIF(FCR!$BZ$4:$DB$142,DM55,FCR!$DE$4:$EG$142)</f>
        <v>0</v>
      </c>
      <c r="DO55" s="53" t="e">
        <f t="shared" si="95"/>
        <v>#DIV/0!</v>
      </c>
      <c r="DP55" s="55" t="e">
        <f t="shared" si="96"/>
        <v>#DIV/0!</v>
      </c>
      <c r="DQ55" s="55" t="e">
        <f t="shared" si="97"/>
        <v>#DIV/0!</v>
      </c>
      <c r="DR55" s="55"/>
      <c r="DS55" s="55" t="e">
        <f t="shared" si="98"/>
        <v>#DIV/0!</v>
      </c>
      <c r="DT55" s="55" t="e">
        <f t="shared" si="99"/>
        <v>#DIV/0!</v>
      </c>
      <c r="DU55" s="53">
        <f t="shared" si="100"/>
        <v>0</v>
      </c>
      <c r="DV55" s="59" t="e">
        <f t="shared" si="101"/>
        <v>#DIV/0!</v>
      </c>
    </row>
    <row r="56" spans="30:126">
      <c r="AD56" s="49" t="s">
        <v>411</v>
      </c>
      <c r="AE56" s="49">
        <f t="shared" si="24"/>
        <v>0</v>
      </c>
      <c r="AF56" s="49">
        <f t="shared" si="48"/>
        <v>0</v>
      </c>
      <c r="AG56" s="114">
        <f t="shared" si="49"/>
        <v>0</v>
      </c>
      <c r="AH56" s="104">
        <f t="shared" si="50"/>
        <v>0</v>
      </c>
      <c r="AI56" s="104">
        <f t="shared" si="51"/>
        <v>0</v>
      </c>
      <c r="AJ56" s="104">
        <f t="shared" si="52"/>
        <v>0</v>
      </c>
      <c r="AK56" s="104">
        <f t="shared" si="53"/>
        <v>0</v>
      </c>
      <c r="AL56" s="104">
        <f t="shared" si="54"/>
        <v>0</v>
      </c>
      <c r="AM56" s="104">
        <f t="shared" si="55"/>
        <v>0</v>
      </c>
      <c r="AN56" s="104">
        <f t="shared" si="56"/>
        <v>0</v>
      </c>
      <c r="AO56" s="104">
        <f t="shared" si="57"/>
        <v>0</v>
      </c>
      <c r="AP56" s="104">
        <f t="shared" si="58"/>
        <v>0</v>
      </c>
      <c r="AQ56" s="49">
        <f t="shared" si="59"/>
        <v>0</v>
      </c>
      <c r="AR56" s="104">
        <f t="shared" si="60"/>
        <v>0</v>
      </c>
      <c r="AS56" s="104">
        <f t="shared" si="61"/>
        <v>0</v>
      </c>
      <c r="AT56" s="104">
        <f t="shared" si="62"/>
        <v>0</v>
      </c>
      <c r="AU56" s="104">
        <f t="shared" si="63"/>
        <v>0</v>
      </c>
      <c r="BF56" s="49">
        <f t="shared" si="64"/>
        <v>0</v>
      </c>
      <c r="BG56" s="49">
        <f t="shared" si="65"/>
        <v>0</v>
      </c>
      <c r="BH56" s="54" t="e">
        <f t="shared" si="66"/>
        <v>#DIV/0!</v>
      </c>
      <c r="BI56" s="112" t="e">
        <f t="shared" si="67"/>
        <v>#DIV/0!</v>
      </c>
      <c r="BK56" s="55" t="e">
        <f t="shared" si="68"/>
        <v>#DIV/0!</v>
      </c>
      <c r="BL56" s="55" t="e">
        <f t="shared" si="69"/>
        <v>#DIV/0!</v>
      </c>
      <c r="BM56" s="55" t="e">
        <f t="shared" si="70"/>
        <v>#DIV/0!</v>
      </c>
      <c r="BN56" s="53">
        <f t="shared" si="71"/>
        <v>0</v>
      </c>
      <c r="BO56" s="112" t="e">
        <f t="shared" si="72"/>
        <v>#DIV/0!</v>
      </c>
      <c r="BR56" s="53" t="e">
        <f t="shared" si="73"/>
        <v>#DIV/0!</v>
      </c>
      <c r="BS56" s="53">
        <f t="shared" si="74"/>
        <v>0</v>
      </c>
      <c r="BT56" s="53">
        <f t="shared" si="75"/>
        <v>0</v>
      </c>
      <c r="BU56" s="56" t="e">
        <f t="shared" si="76"/>
        <v>#DIV/0!</v>
      </c>
      <c r="BX56" s="60"/>
      <c r="BY56" s="60"/>
      <c r="BZ56" s="60"/>
      <c r="CA56" s="60"/>
      <c r="CB56" s="60"/>
      <c r="CC56" s="60"/>
      <c r="CD56" s="60"/>
      <c r="CE56" s="60"/>
      <c r="CF56" s="60"/>
      <c r="CG56" s="60"/>
      <c r="CH56" s="60"/>
      <c r="CI56" s="60"/>
      <c r="CJ56" s="60"/>
      <c r="CK56" s="60"/>
      <c r="CL56" s="60"/>
      <c r="CM56" s="60"/>
      <c r="CN56" s="60"/>
      <c r="CO56" s="60"/>
      <c r="CP56" s="60"/>
      <c r="CQ56" s="60"/>
      <c r="CR56" s="60"/>
      <c r="CS56" s="60"/>
      <c r="CT56" s="57">
        <f t="shared" si="77"/>
        <v>0</v>
      </c>
      <c r="CU56" s="57">
        <f t="shared" si="78"/>
        <v>0</v>
      </c>
      <c r="CV56" s="53">
        <f t="shared" si="79"/>
        <v>0</v>
      </c>
      <c r="CW56" s="53">
        <f t="shared" si="80"/>
        <v>0</v>
      </c>
      <c r="CX56" s="58" t="e">
        <f t="shared" si="81"/>
        <v>#DIV/0!</v>
      </c>
      <c r="CY56" s="53">
        <f t="shared" si="82"/>
        <v>0</v>
      </c>
      <c r="CZ56" s="53">
        <f t="shared" si="83"/>
        <v>0</v>
      </c>
      <c r="DA56" s="58" t="e">
        <f t="shared" si="84"/>
        <v>#DIV/0!</v>
      </c>
      <c r="DB56" s="48" t="e">
        <f t="shared" si="85"/>
        <v>#DIV/0!</v>
      </c>
      <c r="DC56" s="48" t="e">
        <f t="shared" si="86"/>
        <v>#DIV/0!</v>
      </c>
      <c r="DD56" s="48" t="e">
        <f t="shared" si="87"/>
        <v>#DIV/0!</v>
      </c>
      <c r="DE56" s="48" t="e">
        <f t="shared" si="88"/>
        <v>#DIV/0!</v>
      </c>
      <c r="DF56" s="48" t="e">
        <f t="shared" si="89"/>
        <v>#DIV/0!</v>
      </c>
      <c r="DG56" s="48" t="e">
        <f t="shared" si="90"/>
        <v>#DIV/0!</v>
      </c>
      <c r="DH56" s="48">
        <f>SUMIF(FCR!$BZ$4:$DB$500,DG56,FCR!$DE$4:$EG$500)</f>
        <v>0</v>
      </c>
      <c r="DI56" s="48" t="e">
        <f t="shared" si="91"/>
        <v>#DIV/0!</v>
      </c>
      <c r="DJ56" s="48">
        <f>SUMIF(FCR!$BZ$4:$DB$142,DI56,FCR!$DE$4:$EG$142)</f>
        <v>0</v>
      </c>
      <c r="DK56" s="48" t="e">
        <f t="shared" si="92"/>
        <v>#DIV/0!</v>
      </c>
      <c r="DL56" s="55" t="e">
        <f t="shared" si="93"/>
        <v>#DIV/0!</v>
      </c>
      <c r="DM56" s="48" t="e">
        <f t="shared" si="94"/>
        <v>#DIV/0!</v>
      </c>
      <c r="DN56" s="48">
        <f>SUMIF(FCR!$BZ$4:$DB$142,DM56,FCR!$DE$4:$EG$142)</f>
        <v>0</v>
      </c>
      <c r="DO56" s="53" t="e">
        <f t="shared" si="95"/>
        <v>#DIV/0!</v>
      </c>
      <c r="DP56" s="55" t="e">
        <f t="shared" si="96"/>
        <v>#DIV/0!</v>
      </c>
      <c r="DQ56" s="55" t="e">
        <f t="shared" si="97"/>
        <v>#DIV/0!</v>
      </c>
      <c r="DR56" s="55"/>
      <c r="DS56" s="55" t="e">
        <f t="shared" si="98"/>
        <v>#DIV/0!</v>
      </c>
      <c r="DT56" s="55" t="e">
        <f t="shared" si="99"/>
        <v>#DIV/0!</v>
      </c>
      <c r="DU56" s="53">
        <f t="shared" si="100"/>
        <v>0</v>
      </c>
      <c r="DV56" s="59" t="e">
        <f t="shared" si="101"/>
        <v>#DIV/0!</v>
      </c>
    </row>
    <row r="57" spans="30:126">
      <c r="AD57" s="49" t="s">
        <v>411</v>
      </c>
      <c r="AE57" s="49">
        <f t="shared" si="24"/>
        <v>0</v>
      </c>
      <c r="AF57" s="49">
        <f t="shared" si="48"/>
        <v>0</v>
      </c>
      <c r="AG57" s="114">
        <f t="shared" si="49"/>
        <v>0</v>
      </c>
      <c r="AH57" s="104">
        <f t="shared" si="50"/>
        <v>0</v>
      </c>
      <c r="AI57" s="104">
        <f t="shared" si="51"/>
        <v>0</v>
      </c>
      <c r="AJ57" s="104">
        <f t="shared" si="52"/>
        <v>0</v>
      </c>
      <c r="AK57" s="104">
        <f t="shared" si="53"/>
        <v>0</v>
      </c>
      <c r="AL57" s="104">
        <f t="shared" si="54"/>
        <v>0</v>
      </c>
      <c r="AM57" s="104">
        <f t="shared" si="55"/>
        <v>0</v>
      </c>
      <c r="AN57" s="104">
        <f t="shared" si="56"/>
        <v>0</v>
      </c>
      <c r="AO57" s="104">
        <f t="shared" si="57"/>
        <v>0</v>
      </c>
      <c r="AP57" s="104">
        <f t="shared" si="58"/>
        <v>0</v>
      </c>
      <c r="AQ57" s="49">
        <f t="shared" si="59"/>
        <v>0</v>
      </c>
      <c r="AR57" s="104">
        <f t="shared" si="60"/>
        <v>0</v>
      </c>
      <c r="AS57" s="104">
        <f t="shared" si="61"/>
        <v>0</v>
      </c>
      <c r="AT57" s="104">
        <f t="shared" si="62"/>
        <v>0</v>
      </c>
      <c r="AU57" s="104">
        <f t="shared" si="63"/>
        <v>0</v>
      </c>
      <c r="BF57" s="49">
        <f t="shared" si="64"/>
        <v>0</v>
      </c>
      <c r="BG57" s="49">
        <f t="shared" si="65"/>
        <v>0</v>
      </c>
      <c r="BH57" s="54" t="e">
        <f t="shared" si="66"/>
        <v>#DIV/0!</v>
      </c>
      <c r="BI57" s="112" t="e">
        <f t="shared" si="67"/>
        <v>#DIV/0!</v>
      </c>
      <c r="BK57" s="55" t="e">
        <f t="shared" si="68"/>
        <v>#DIV/0!</v>
      </c>
      <c r="BL57" s="55" t="e">
        <f t="shared" si="69"/>
        <v>#DIV/0!</v>
      </c>
      <c r="BM57" s="55" t="e">
        <f t="shared" si="70"/>
        <v>#DIV/0!</v>
      </c>
      <c r="BN57" s="53">
        <f t="shared" si="71"/>
        <v>0</v>
      </c>
      <c r="BO57" s="112" t="e">
        <f t="shared" si="72"/>
        <v>#DIV/0!</v>
      </c>
      <c r="BR57" s="53" t="e">
        <f t="shared" si="73"/>
        <v>#DIV/0!</v>
      </c>
      <c r="BS57" s="53">
        <f t="shared" si="74"/>
        <v>0</v>
      </c>
      <c r="BT57" s="53">
        <f t="shared" si="75"/>
        <v>0</v>
      </c>
      <c r="BU57" s="56" t="e">
        <f t="shared" si="76"/>
        <v>#DIV/0!</v>
      </c>
      <c r="BX57" s="60"/>
      <c r="BY57" s="60"/>
      <c r="BZ57" s="60"/>
      <c r="CA57" s="60"/>
      <c r="CB57" s="60"/>
      <c r="CC57" s="60"/>
      <c r="CD57" s="60"/>
      <c r="CE57" s="60"/>
      <c r="CF57" s="60"/>
      <c r="CG57" s="60"/>
      <c r="CH57" s="60"/>
      <c r="CI57" s="60"/>
      <c r="CJ57" s="60"/>
      <c r="CK57" s="60"/>
      <c r="CL57" s="60"/>
      <c r="CM57" s="60"/>
      <c r="CN57" s="60"/>
      <c r="CO57" s="60"/>
      <c r="CP57" s="60"/>
      <c r="CQ57" s="60"/>
      <c r="CR57" s="60"/>
      <c r="CS57" s="60"/>
      <c r="CT57" s="57">
        <f t="shared" si="77"/>
        <v>0</v>
      </c>
      <c r="CU57" s="57">
        <f t="shared" si="78"/>
        <v>0</v>
      </c>
      <c r="CV57" s="53">
        <f t="shared" si="79"/>
        <v>0</v>
      </c>
      <c r="CW57" s="53">
        <f t="shared" si="80"/>
        <v>0</v>
      </c>
      <c r="CX57" s="58" t="e">
        <f t="shared" si="81"/>
        <v>#DIV/0!</v>
      </c>
      <c r="CY57" s="53">
        <f t="shared" si="82"/>
        <v>0</v>
      </c>
      <c r="CZ57" s="53">
        <f t="shared" si="83"/>
        <v>0</v>
      </c>
      <c r="DA57" s="58" t="e">
        <f t="shared" si="84"/>
        <v>#DIV/0!</v>
      </c>
      <c r="DB57" s="48" t="e">
        <f t="shared" si="85"/>
        <v>#DIV/0!</v>
      </c>
      <c r="DC57" s="48" t="e">
        <f t="shared" si="86"/>
        <v>#DIV/0!</v>
      </c>
      <c r="DD57" s="48" t="e">
        <f t="shared" si="87"/>
        <v>#DIV/0!</v>
      </c>
      <c r="DE57" s="48" t="e">
        <f t="shared" si="88"/>
        <v>#DIV/0!</v>
      </c>
      <c r="DF57" s="48" t="e">
        <f t="shared" si="89"/>
        <v>#DIV/0!</v>
      </c>
      <c r="DG57" s="48" t="e">
        <f t="shared" si="90"/>
        <v>#DIV/0!</v>
      </c>
      <c r="DH57" s="48">
        <f>SUMIF(FCR!$BZ$4:$DB$500,DG57,FCR!$DE$4:$EG$500)</f>
        <v>0</v>
      </c>
      <c r="DI57" s="48" t="e">
        <f t="shared" si="91"/>
        <v>#DIV/0!</v>
      </c>
      <c r="DJ57" s="48">
        <f>SUMIF(FCR!$BZ$4:$DB$142,DI57,FCR!$DE$4:$EG$142)</f>
        <v>0</v>
      </c>
      <c r="DK57" s="48" t="e">
        <f t="shared" si="92"/>
        <v>#DIV/0!</v>
      </c>
      <c r="DL57" s="55" t="e">
        <f t="shared" si="93"/>
        <v>#DIV/0!</v>
      </c>
      <c r="DM57" s="48" t="e">
        <f t="shared" si="94"/>
        <v>#DIV/0!</v>
      </c>
      <c r="DN57" s="48">
        <f>SUMIF(FCR!$BZ$4:$DB$142,DM57,FCR!$DE$4:$EG$142)</f>
        <v>0</v>
      </c>
      <c r="DO57" s="53" t="e">
        <f t="shared" si="95"/>
        <v>#DIV/0!</v>
      </c>
      <c r="DP57" s="55" t="e">
        <f t="shared" si="96"/>
        <v>#DIV/0!</v>
      </c>
      <c r="DQ57" s="55" t="e">
        <f t="shared" si="97"/>
        <v>#DIV/0!</v>
      </c>
      <c r="DR57" s="55"/>
      <c r="DS57" s="55" t="e">
        <f t="shared" si="98"/>
        <v>#DIV/0!</v>
      </c>
      <c r="DT57" s="55" t="e">
        <f t="shared" si="99"/>
        <v>#DIV/0!</v>
      </c>
      <c r="DU57" s="53">
        <f t="shared" si="100"/>
        <v>0</v>
      </c>
      <c r="DV57" s="59" t="e">
        <f t="shared" si="101"/>
        <v>#DIV/0!</v>
      </c>
    </row>
    <row r="58" spans="30:126">
      <c r="AD58" s="49" t="s">
        <v>411</v>
      </c>
      <c r="AE58" s="49">
        <f t="shared" si="24"/>
        <v>0</v>
      </c>
      <c r="AF58" s="49">
        <f t="shared" si="48"/>
        <v>0</v>
      </c>
      <c r="AG58" s="114">
        <f t="shared" si="49"/>
        <v>0</v>
      </c>
      <c r="AH58" s="104">
        <f t="shared" si="50"/>
        <v>0</v>
      </c>
      <c r="AI58" s="104">
        <f t="shared" si="51"/>
        <v>0</v>
      </c>
      <c r="AJ58" s="104">
        <f t="shared" si="52"/>
        <v>0</v>
      </c>
      <c r="AK58" s="104">
        <f t="shared" si="53"/>
        <v>0</v>
      </c>
      <c r="AL58" s="104">
        <f t="shared" si="54"/>
        <v>0</v>
      </c>
      <c r="AM58" s="104">
        <f t="shared" si="55"/>
        <v>0</v>
      </c>
      <c r="AN58" s="104">
        <f t="shared" si="56"/>
        <v>0</v>
      </c>
      <c r="AO58" s="104">
        <f t="shared" si="57"/>
        <v>0</v>
      </c>
      <c r="AP58" s="104">
        <f t="shared" si="58"/>
        <v>0</v>
      </c>
      <c r="AQ58" s="49">
        <f t="shared" si="59"/>
        <v>0</v>
      </c>
      <c r="AR58" s="104">
        <f t="shared" si="60"/>
        <v>0</v>
      </c>
      <c r="AS58" s="104">
        <f t="shared" si="61"/>
        <v>0</v>
      </c>
      <c r="AT58" s="104">
        <f t="shared" si="62"/>
        <v>0</v>
      </c>
      <c r="AU58" s="104">
        <f t="shared" si="63"/>
        <v>0</v>
      </c>
      <c r="BF58" s="49">
        <f t="shared" si="64"/>
        <v>0</v>
      </c>
      <c r="BG58" s="49">
        <f t="shared" si="65"/>
        <v>0</v>
      </c>
      <c r="BH58" s="54" t="e">
        <f t="shared" si="66"/>
        <v>#DIV/0!</v>
      </c>
      <c r="BI58" s="112" t="e">
        <f t="shared" si="67"/>
        <v>#DIV/0!</v>
      </c>
      <c r="BK58" s="55" t="e">
        <f t="shared" si="68"/>
        <v>#DIV/0!</v>
      </c>
      <c r="BL58" s="55" t="e">
        <f t="shared" si="69"/>
        <v>#DIV/0!</v>
      </c>
      <c r="BM58" s="55" t="e">
        <f t="shared" si="70"/>
        <v>#DIV/0!</v>
      </c>
      <c r="BN58" s="53">
        <f t="shared" si="71"/>
        <v>0</v>
      </c>
      <c r="BO58" s="112" t="e">
        <f t="shared" si="72"/>
        <v>#DIV/0!</v>
      </c>
      <c r="BR58" s="53" t="e">
        <f t="shared" si="73"/>
        <v>#DIV/0!</v>
      </c>
      <c r="BS58" s="53">
        <f t="shared" si="74"/>
        <v>0</v>
      </c>
      <c r="BT58" s="53">
        <f t="shared" si="75"/>
        <v>0</v>
      </c>
      <c r="BU58" s="56" t="e">
        <f t="shared" si="76"/>
        <v>#DIV/0!</v>
      </c>
      <c r="BX58" s="60"/>
      <c r="BY58" s="60"/>
      <c r="BZ58" s="60"/>
      <c r="CA58" s="60"/>
      <c r="CB58" s="60"/>
      <c r="CC58" s="60"/>
      <c r="CD58" s="60"/>
      <c r="CE58" s="60"/>
      <c r="CF58" s="60"/>
      <c r="CG58" s="60"/>
      <c r="CH58" s="60"/>
      <c r="CI58" s="60"/>
      <c r="CJ58" s="60"/>
      <c r="CK58" s="60"/>
      <c r="CL58" s="60"/>
      <c r="CM58" s="60"/>
      <c r="CN58" s="60"/>
      <c r="CO58" s="60"/>
      <c r="CP58" s="60"/>
      <c r="CQ58" s="60"/>
      <c r="CR58" s="60"/>
      <c r="CS58" s="60"/>
      <c r="CT58" s="57">
        <f t="shared" si="77"/>
        <v>0</v>
      </c>
      <c r="CU58" s="57">
        <f t="shared" si="78"/>
        <v>0</v>
      </c>
      <c r="CV58" s="53">
        <f t="shared" si="79"/>
        <v>0</v>
      </c>
      <c r="CW58" s="53">
        <f t="shared" si="80"/>
        <v>0</v>
      </c>
      <c r="CX58" s="58" t="e">
        <f t="shared" si="81"/>
        <v>#DIV/0!</v>
      </c>
      <c r="CY58" s="53">
        <f t="shared" si="82"/>
        <v>0</v>
      </c>
      <c r="CZ58" s="53">
        <f t="shared" si="83"/>
        <v>0</v>
      </c>
      <c r="DA58" s="58" t="e">
        <f t="shared" si="84"/>
        <v>#DIV/0!</v>
      </c>
      <c r="DB58" s="48" t="e">
        <f t="shared" si="85"/>
        <v>#DIV/0!</v>
      </c>
      <c r="DC58" s="48" t="e">
        <f t="shared" si="86"/>
        <v>#DIV/0!</v>
      </c>
      <c r="DD58" s="48" t="e">
        <f t="shared" si="87"/>
        <v>#DIV/0!</v>
      </c>
      <c r="DE58" s="48" t="e">
        <f t="shared" si="88"/>
        <v>#DIV/0!</v>
      </c>
      <c r="DF58" s="48" t="e">
        <f t="shared" si="89"/>
        <v>#DIV/0!</v>
      </c>
      <c r="DG58" s="48" t="e">
        <f t="shared" si="90"/>
        <v>#DIV/0!</v>
      </c>
      <c r="DH58" s="48">
        <f>SUMIF(FCR!$BZ$4:$DB$500,DG58,FCR!$DE$4:$EG$500)</f>
        <v>0</v>
      </c>
      <c r="DI58" s="48" t="e">
        <f t="shared" si="91"/>
        <v>#DIV/0!</v>
      </c>
      <c r="DJ58" s="48">
        <f>SUMIF(FCR!$BZ$4:$DB$142,DI58,FCR!$DE$4:$EG$142)</f>
        <v>0</v>
      </c>
      <c r="DK58" s="48" t="e">
        <f t="shared" si="92"/>
        <v>#DIV/0!</v>
      </c>
      <c r="DL58" s="55" t="e">
        <f t="shared" si="93"/>
        <v>#DIV/0!</v>
      </c>
      <c r="DM58" s="48" t="e">
        <f t="shared" si="94"/>
        <v>#DIV/0!</v>
      </c>
      <c r="DN58" s="48">
        <f>SUMIF(FCR!$BZ$4:$DB$142,DM58,FCR!$DE$4:$EG$142)</f>
        <v>0</v>
      </c>
      <c r="DO58" s="53" t="e">
        <f t="shared" si="95"/>
        <v>#DIV/0!</v>
      </c>
      <c r="DP58" s="55" t="e">
        <f t="shared" si="96"/>
        <v>#DIV/0!</v>
      </c>
      <c r="DQ58" s="55" t="e">
        <f t="shared" si="97"/>
        <v>#DIV/0!</v>
      </c>
      <c r="DR58" s="55"/>
      <c r="DS58" s="55" t="e">
        <f t="shared" si="98"/>
        <v>#DIV/0!</v>
      </c>
      <c r="DT58" s="55" t="e">
        <f t="shared" si="99"/>
        <v>#DIV/0!</v>
      </c>
      <c r="DU58" s="53">
        <f t="shared" si="100"/>
        <v>0</v>
      </c>
      <c r="DV58" s="59" t="e">
        <f t="shared" si="101"/>
        <v>#DIV/0!</v>
      </c>
    </row>
    <row r="59" spans="30:126">
      <c r="AD59" s="49" t="s">
        <v>411</v>
      </c>
      <c r="AE59" s="49">
        <f t="shared" si="24"/>
        <v>0</v>
      </c>
      <c r="AF59" s="49">
        <f t="shared" si="48"/>
        <v>0</v>
      </c>
      <c r="AG59" s="114">
        <f t="shared" si="49"/>
        <v>0</v>
      </c>
      <c r="AH59" s="104">
        <f t="shared" si="50"/>
        <v>0</v>
      </c>
      <c r="AI59" s="104">
        <f t="shared" si="51"/>
        <v>0</v>
      </c>
      <c r="AJ59" s="104">
        <f t="shared" si="52"/>
        <v>0</v>
      </c>
      <c r="AK59" s="104">
        <f t="shared" si="53"/>
        <v>0</v>
      </c>
      <c r="AL59" s="104">
        <f t="shared" si="54"/>
        <v>0</v>
      </c>
      <c r="AM59" s="104">
        <f t="shared" si="55"/>
        <v>0</v>
      </c>
      <c r="AN59" s="104">
        <f t="shared" si="56"/>
        <v>0</v>
      </c>
      <c r="AO59" s="104">
        <f t="shared" si="57"/>
        <v>0</v>
      </c>
      <c r="AP59" s="104">
        <f t="shared" si="58"/>
        <v>0</v>
      </c>
      <c r="AQ59" s="49">
        <f t="shared" si="59"/>
        <v>0</v>
      </c>
      <c r="AR59" s="104">
        <f t="shared" si="60"/>
        <v>0</v>
      </c>
      <c r="AS59" s="104">
        <f t="shared" si="61"/>
        <v>0</v>
      </c>
      <c r="AT59" s="104">
        <f t="shared" si="62"/>
        <v>0</v>
      </c>
      <c r="AU59" s="104">
        <f t="shared" si="63"/>
        <v>0</v>
      </c>
      <c r="BF59" s="49">
        <f t="shared" si="64"/>
        <v>0</v>
      </c>
      <c r="BG59" s="49">
        <f t="shared" si="65"/>
        <v>0</v>
      </c>
      <c r="BH59" s="54" t="e">
        <f t="shared" si="66"/>
        <v>#DIV/0!</v>
      </c>
      <c r="BI59" s="112" t="e">
        <f t="shared" si="67"/>
        <v>#DIV/0!</v>
      </c>
      <c r="BK59" s="55" t="e">
        <f t="shared" si="68"/>
        <v>#DIV/0!</v>
      </c>
      <c r="BL59" s="55" t="e">
        <f t="shared" si="69"/>
        <v>#DIV/0!</v>
      </c>
      <c r="BM59" s="55" t="e">
        <f t="shared" si="70"/>
        <v>#DIV/0!</v>
      </c>
      <c r="BN59" s="53">
        <f t="shared" si="71"/>
        <v>0</v>
      </c>
      <c r="BO59" s="112" t="e">
        <f t="shared" si="72"/>
        <v>#DIV/0!</v>
      </c>
      <c r="BR59" s="53" t="e">
        <f t="shared" si="73"/>
        <v>#DIV/0!</v>
      </c>
      <c r="BS59" s="53">
        <f t="shared" si="74"/>
        <v>0</v>
      </c>
      <c r="BT59" s="53">
        <f t="shared" si="75"/>
        <v>0</v>
      </c>
      <c r="BU59" s="56" t="e">
        <f t="shared" si="76"/>
        <v>#DIV/0!</v>
      </c>
      <c r="BX59" s="60"/>
      <c r="BY59" s="60"/>
      <c r="BZ59" s="60"/>
      <c r="CA59" s="60"/>
      <c r="CB59" s="60"/>
      <c r="CC59" s="60"/>
      <c r="CD59" s="60"/>
      <c r="CE59" s="60"/>
      <c r="CF59" s="60"/>
      <c r="CG59" s="60"/>
      <c r="CH59" s="60"/>
      <c r="CI59" s="60"/>
      <c r="CJ59" s="60"/>
      <c r="CK59" s="60"/>
      <c r="CL59" s="60"/>
      <c r="CM59" s="60"/>
      <c r="CN59" s="60"/>
      <c r="CO59" s="60"/>
      <c r="CP59" s="60"/>
      <c r="CQ59" s="60"/>
      <c r="CR59" s="60"/>
      <c r="CS59" s="60"/>
      <c r="CT59" s="57">
        <f t="shared" si="77"/>
        <v>0</v>
      </c>
      <c r="CU59" s="57">
        <f t="shared" si="78"/>
        <v>0</v>
      </c>
      <c r="CV59" s="53">
        <f t="shared" si="79"/>
        <v>0</v>
      </c>
      <c r="CW59" s="53">
        <f t="shared" si="80"/>
        <v>0</v>
      </c>
      <c r="CX59" s="58" t="e">
        <f t="shared" si="81"/>
        <v>#DIV/0!</v>
      </c>
      <c r="CY59" s="53">
        <f t="shared" si="82"/>
        <v>0</v>
      </c>
      <c r="CZ59" s="53">
        <f t="shared" si="83"/>
        <v>0</v>
      </c>
      <c r="DA59" s="58" t="e">
        <f t="shared" si="84"/>
        <v>#DIV/0!</v>
      </c>
      <c r="DB59" s="48" t="e">
        <f t="shared" si="85"/>
        <v>#DIV/0!</v>
      </c>
      <c r="DC59" s="48" t="e">
        <f t="shared" si="86"/>
        <v>#DIV/0!</v>
      </c>
      <c r="DD59" s="48" t="e">
        <f t="shared" si="87"/>
        <v>#DIV/0!</v>
      </c>
      <c r="DE59" s="48" t="e">
        <f t="shared" si="88"/>
        <v>#DIV/0!</v>
      </c>
      <c r="DF59" s="48" t="e">
        <f t="shared" si="89"/>
        <v>#DIV/0!</v>
      </c>
      <c r="DG59" s="48" t="e">
        <f t="shared" si="90"/>
        <v>#DIV/0!</v>
      </c>
      <c r="DH59" s="48">
        <f>SUMIF(FCR!$BZ$4:$DB$500,DG59,FCR!$DE$4:$EG$500)</f>
        <v>0</v>
      </c>
      <c r="DI59" s="48" t="e">
        <f t="shared" si="91"/>
        <v>#DIV/0!</v>
      </c>
      <c r="DJ59" s="48">
        <f>SUMIF(FCR!$BZ$4:$DB$142,DI59,FCR!$DE$4:$EG$142)</f>
        <v>0</v>
      </c>
      <c r="DK59" s="48" t="e">
        <f t="shared" si="92"/>
        <v>#DIV/0!</v>
      </c>
      <c r="DL59" s="55" t="e">
        <f t="shared" si="93"/>
        <v>#DIV/0!</v>
      </c>
      <c r="DM59" s="48" t="e">
        <f t="shared" si="94"/>
        <v>#DIV/0!</v>
      </c>
      <c r="DN59" s="48">
        <f>SUMIF(FCR!$BZ$4:$DB$142,DM59,FCR!$DE$4:$EG$142)</f>
        <v>0</v>
      </c>
      <c r="DO59" s="53" t="e">
        <f t="shared" si="95"/>
        <v>#DIV/0!</v>
      </c>
      <c r="DP59" s="55" t="e">
        <f t="shared" si="96"/>
        <v>#DIV/0!</v>
      </c>
      <c r="DQ59" s="55" t="e">
        <f t="shared" si="97"/>
        <v>#DIV/0!</v>
      </c>
      <c r="DR59" s="55"/>
      <c r="DS59" s="55" t="e">
        <f t="shared" si="98"/>
        <v>#DIV/0!</v>
      </c>
      <c r="DT59" s="55" t="e">
        <f t="shared" si="99"/>
        <v>#DIV/0!</v>
      </c>
      <c r="DU59" s="53">
        <f t="shared" si="100"/>
        <v>0</v>
      </c>
      <c r="DV59" s="59" t="e">
        <f t="shared" si="101"/>
        <v>#DIV/0!</v>
      </c>
    </row>
    <row r="60" spans="30:126">
      <c r="AD60" s="49" t="s">
        <v>411</v>
      </c>
      <c r="AE60" s="49">
        <f t="shared" si="24"/>
        <v>0</v>
      </c>
      <c r="AF60" s="49">
        <f t="shared" si="48"/>
        <v>0</v>
      </c>
      <c r="AG60" s="114">
        <f t="shared" si="49"/>
        <v>0</v>
      </c>
      <c r="AH60" s="104">
        <f t="shared" si="50"/>
        <v>0</v>
      </c>
      <c r="AI60" s="104">
        <f t="shared" si="51"/>
        <v>0</v>
      </c>
      <c r="AJ60" s="104">
        <f t="shared" si="52"/>
        <v>0</v>
      </c>
      <c r="AK60" s="104">
        <f t="shared" si="53"/>
        <v>0</v>
      </c>
      <c r="AL60" s="104">
        <f t="shared" si="54"/>
        <v>0</v>
      </c>
      <c r="AM60" s="104">
        <f t="shared" si="55"/>
        <v>0</v>
      </c>
      <c r="AN60" s="104">
        <f t="shared" si="56"/>
        <v>0</v>
      </c>
      <c r="AO60" s="104">
        <f t="shared" si="57"/>
        <v>0</v>
      </c>
      <c r="AP60" s="104">
        <f t="shared" si="58"/>
        <v>0</v>
      </c>
      <c r="AQ60" s="49">
        <f t="shared" si="59"/>
        <v>0</v>
      </c>
      <c r="AR60" s="104">
        <f t="shared" si="60"/>
        <v>0</v>
      </c>
      <c r="AS60" s="104">
        <f t="shared" si="61"/>
        <v>0</v>
      </c>
      <c r="AT60" s="104">
        <f t="shared" si="62"/>
        <v>0</v>
      </c>
      <c r="AU60" s="104">
        <f t="shared" si="63"/>
        <v>0</v>
      </c>
      <c r="BF60" s="49">
        <f t="shared" si="64"/>
        <v>0</v>
      </c>
      <c r="BG60" s="49">
        <f t="shared" si="65"/>
        <v>0</v>
      </c>
      <c r="BH60" s="54" t="e">
        <f t="shared" si="66"/>
        <v>#DIV/0!</v>
      </c>
      <c r="BI60" s="112" t="e">
        <f t="shared" si="67"/>
        <v>#DIV/0!</v>
      </c>
      <c r="BK60" s="55" t="e">
        <f t="shared" si="68"/>
        <v>#DIV/0!</v>
      </c>
      <c r="BL60" s="55" t="e">
        <f t="shared" si="69"/>
        <v>#DIV/0!</v>
      </c>
      <c r="BM60" s="55" t="e">
        <f t="shared" si="70"/>
        <v>#DIV/0!</v>
      </c>
      <c r="BN60" s="53">
        <f t="shared" si="71"/>
        <v>0</v>
      </c>
      <c r="BO60" s="112" t="e">
        <f t="shared" si="72"/>
        <v>#DIV/0!</v>
      </c>
      <c r="BR60" s="53" t="e">
        <f t="shared" si="73"/>
        <v>#DIV/0!</v>
      </c>
      <c r="BS60" s="53">
        <f t="shared" si="74"/>
        <v>0</v>
      </c>
      <c r="BT60" s="53">
        <f t="shared" si="75"/>
        <v>0</v>
      </c>
      <c r="BU60" s="56" t="e">
        <f t="shared" si="76"/>
        <v>#DIV/0!</v>
      </c>
      <c r="BX60" s="60"/>
      <c r="BY60" s="60"/>
      <c r="BZ60" s="60"/>
      <c r="CA60" s="60"/>
      <c r="CB60" s="60"/>
      <c r="CC60" s="60"/>
      <c r="CD60" s="60"/>
      <c r="CE60" s="60"/>
      <c r="CF60" s="60"/>
      <c r="CG60" s="60"/>
      <c r="CH60" s="60"/>
      <c r="CI60" s="60"/>
      <c r="CJ60" s="60"/>
      <c r="CK60" s="60"/>
      <c r="CL60" s="60"/>
      <c r="CM60" s="60"/>
      <c r="CN60" s="60"/>
      <c r="CO60" s="60"/>
      <c r="CP60" s="60"/>
      <c r="CQ60" s="60"/>
      <c r="CR60" s="60"/>
      <c r="CS60" s="60"/>
      <c r="CT60" s="57">
        <f t="shared" si="77"/>
        <v>0</v>
      </c>
      <c r="CU60" s="57">
        <f t="shared" si="78"/>
        <v>0</v>
      </c>
      <c r="CV60" s="53">
        <f t="shared" si="79"/>
        <v>0</v>
      </c>
      <c r="CW60" s="53">
        <f t="shared" si="80"/>
        <v>0</v>
      </c>
      <c r="CX60" s="58" t="e">
        <f t="shared" si="81"/>
        <v>#DIV/0!</v>
      </c>
      <c r="CY60" s="53">
        <f t="shared" si="82"/>
        <v>0</v>
      </c>
      <c r="CZ60" s="53">
        <f t="shared" si="83"/>
        <v>0</v>
      </c>
      <c r="DA60" s="58" t="e">
        <f t="shared" si="84"/>
        <v>#DIV/0!</v>
      </c>
      <c r="DB60" s="48" t="e">
        <f t="shared" si="85"/>
        <v>#DIV/0!</v>
      </c>
      <c r="DC60" s="48" t="e">
        <f t="shared" si="86"/>
        <v>#DIV/0!</v>
      </c>
      <c r="DD60" s="48" t="e">
        <f t="shared" si="87"/>
        <v>#DIV/0!</v>
      </c>
      <c r="DE60" s="48" t="e">
        <f t="shared" si="88"/>
        <v>#DIV/0!</v>
      </c>
      <c r="DF60" s="48" t="e">
        <f t="shared" si="89"/>
        <v>#DIV/0!</v>
      </c>
      <c r="DG60" s="48" t="e">
        <f t="shared" si="90"/>
        <v>#DIV/0!</v>
      </c>
      <c r="DH60" s="48">
        <f>SUMIF(FCR!$BZ$4:$DB$500,DG60,FCR!$DE$4:$EG$500)</f>
        <v>0</v>
      </c>
      <c r="DI60" s="48" t="e">
        <f t="shared" si="91"/>
        <v>#DIV/0!</v>
      </c>
      <c r="DJ60" s="48">
        <f>SUMIF(FCR!$BZ$4:$DB$142,DI60,FCR!$DE$4:$EG$142)</f>
        <v>0</v>
      </c>
      <c r="DK60" s="48" t="e">
        <f t="shared" si="92"/>
        <v>#DIV/0!</v>
      </c>
      <c r="DL60" s="55" t="e">
        <f t="shared" si="93"/>
        <v>#DIV/0!</v>
      </c>
      <c r="DM60" s="48" t="e">
        <f t="shared" si="94"/>
        <v>#DIV/0!</v>
      </c>
      <c r="DN60" s="48">
        <f>SUMIF(FCR!$BZ$4:$DB$142,DM60,FCR!$DE$4:$EG$142)</f>
        <v>0</v>
      </c>
      <c r="DO60" s="53" t="e">
        <f t="shared" si="95"/>
        <v>#DIV/0!</v>
      </c>
      <c r="DP60" s="55" t="e">
        <f t="shared" si="96"/>
        <v>#DIV/0!</v>
      </c>
      <c r="DQ60" s="55" t="e">
        <f t="shared" si="97"/>
        <v>#DIV/0!</v>
      </c>
      <c r="DR60" s="55"/>
      <c r="DS60" s="55" t="e">
        <f t="shared" si="98"/>
        <v>#DIV/0!</v>
      </c>
      <c r="DT60" s="55" t="e">
        <f t="shared" si="99"/>
        <v>#DIV/0!</v>
      </c>
      <c r="DU60" s="53">
        <f t="shared" si="100"/>
        <v>0</v>
      </c>
      <c r="DV60" s="59" t="e">
        <f t="shared" si="101"/>
        <v>#DIV/0!</v>
      </c>
    </row>
    <row r="61" spans="30:126">
      <c r="AD61" s="49" t="s">
        <v>411</v>
      </c>
      <c r="AE61" s="49">
        <f t="shared" si="24"/>
        <v>0</v>
      </c>
      <c r="AF61" s="49">
        <f t="shared" si="48"/>
        <v>0</v>
      </c>
      <c r="AG61" s="114">
        <f t="shared" si="49"/>
        <v>0</v>
      </c>
      <c r="AH61" s="104">
        <f t="shared" si="50"/>
        <v>0</v>
      </c>
      <c r="AI61" s="104">
        <f t="shared" si="51"/>
        <v>0</v>
      </c>
      <c r="AJ61" s="104">
        <f t="shared" si="52"/>
        <v>0</v>
      </c>
      <c r="AK61" s="104">
        <f t="shared" si="53"/>
        <v>0</v>
      </c>
      <c r="AL61" s="104">
        <f t="shared" si="54"/>
        <v>0</v>
      </c>
      <c r="AM61" s="104">
        <f t="shared" si="55"/>
        <v>0</v>
      </c>
      <c r="AN61" s="104">
        <f t="shared" si="56"/>
        <v>0</v>
      </c>
      <c r="AO61" s="104">
        <f t="shared" si="57"/>
        <v>0</v>
      </c>
      <c r="AP61" s="104">
        <f t="shared" si="58"/>
        <v>0</v>
      </c>
      <c r="AQ61" s="49">
        <f t="shared" si="59"/>
        <v>0</v>
      </c>
      <c r="AR61" s="104">
        <f t="shared" si="60"/>
        <v>0</v>
      </c>
      <c r="AS61" s="104">
        <f t="shared" si="61"/>
        <v>0</v>
      </c>
      <c r="AT61" s="104">
        <f t="shared" si="62"/>
        <v>0</v>
      </c>
      <c r="AU61" s="104">
        <f t="shared" si="63"/>
        <v>0</v>
      </c>
      <c r="BF61" s="49">
        <f t="shared" si="64"/>
        <v>0</v>
      </c>
      <c r="BG61" s="49">
        <f t="shared" si="65"/>
        <v>0</v>
      </c>
      <c r="BH61" s="54" t="e">
        <f t="shared" si="66"/>
        <v>#DIV/0!</v>
      </c>
      <c r="BI61" s="112" t="e">
        <f t="shared" si="67"/>
        <v>#DIV/0!</v>
      </c>
      <c r="BK61" s="55" t="e">
        <f t="shared" si="68"/>
        <v>#DIV/0!</v>
      </c>
      <c r="BL61" s="55" t="e">
        <f t="shared" si="69"/>
        <v>#DIV/0!</v>
      </c>
      <c r="BM61" s="55" t="e">
        <f t="shared" si="70"/>
        <v>#DIV/0!</v>
      </c>
      <c r="BN61" s="53">
        <f t="shared" si="71"/>
        <v>0</v>
      </c>
      <c r="BO61" s="112" t="e">
        <f t="shared" si="72"/>
        <v>#DIV/0!</v>
      </c>
      <c r="BR61" s="53" t="e">
        <f t="shared" si="73"/>
        <v>#DIV/0!</v>
      </c>
      <c r="BS61" s="53">
        <f t="shared" si="74"/>
        <v>0</v>
      </c>
      <c r="BT61" s="53">
        <f t="shared" si="75"/>
        <v>0</v>
      </c>
      <c r="BU61" s="56" t="e">
        <f t="shared" si="76"/>
        <v>#DIV/0!</v>
      </c>
      <c r="BX61" s="60"/>
      <c r="BY61" s="60"/>
      <c r="BZ61" s="60"/>
      <c r="CA61" s="60"/>
      <c r="CB61" s="60"/>
      <c r="CC61" s="60"/>
      <c r="CD61" s="60"/>
      <c r="CE61" s="60"/>
      <c r="CF61" s="60"/>
      <c r="CG61" s="60"/>
      <c r="CH61" s="60"/>
      <c r="CI61" s="60"/>
      <c r="CJ61" s="60"/>
      <c r="CK61" s="60"/>
      <c r="CL61" s="60"/>
      <c r="CM61" s="60"/>
      <c r="CN61" s="60"/>
      <c r="CO61" s="60"/>
      <c r="CP61" s="60"/>
      <c r="CQ61" s="60"/>
      <c r="CR61" s="60"/>
      <c r="CS61" s="60"/>
      <c r="CT61" s="57">
        <f t="shared" si="77"/>
        <v>0</v>
      </c>
      <c r="CU61" s="57">
        <f t="shared" si="78"/>
        <v>0</v>
      </c>
      <c r="CV61" s="53">
        <f t="shared" si="79"/>
        <v>0</v>
      </c>
      <c r="CW61" s="53">
        <f t="shared" si="80"/>
        <v>0</v>
      </c>
      <c r="CX61" s="58" t="e">
        <f t="shared" si="81"/>
        <v>#DIV/0!</v>
      </c>
      <c r="CY61" s="53">
        <f t="shared" si="82"/>
        <v>0</v>
      </c>
      <c r="CZ61" s="53">
        <f t="shared" si="83"/>
        <v>0</v>
      </c>
      <c r="DA61" s="58" t="e">
        <f t="shared" si="84"/>
        <v>#DIV/0!</v>
      </c>
      <c r="DB61" s="48" t="e">
        <f t="shared" si="85"/>
        <v>#DIV/0!</v>
      </c>
      <c r="DC61" s="48" t="e">
        <f t="shared" si="86"/>
        <v>#DIV/0!</v>
      </c>
      <c r="DD61" s="48" t="e">
        <f t="shared" si="87"/>
        <v>#DIV/0!</v>
      </c>
      <c r="DE61" s="48" t="e">
        <f t="shared" si="88"/>
        <v>#DIV/0!</v>
      </c>
      <c r="DF61" s="48" t="e">
        <f t="shared" si="89"/>
        <v>#DIV/0!</v>
      </c>
      <c r="DG61" s="48" t="e">
        <f t="shared" si="90"/>
        <v>#DIV/0!</v>
      </c>
      <c r="DH61" s="48">
        <f>SUMIF(FCR!$BZ$4:$DB$500,DG61,FCR!$DE$4:$EG$500)</f>
        <v>0</v>
      </c>
      <c r="DI61" s="48" t="e">
        <f t="shared" si="91"/>
        <v>#DIV/0!</v>
      </c>
      <c r="DJ61" s="48">
        <f>SUMIF(FCR!$BZ$4:$DB$142,DI61,FCR!$DE$4:$EG$142)</f>
        <v>0</v>
      </c>
      <c r="DK61" s="48" t="e">
        <f t="shared" si="92"/>
        <v>#DIV/0!</v>
      </c>
      <c r="DL61" s="55" t="e">
        <f t="shared" si="93"/>
        <v>#DIV/0!</v>
      </c>
      <c r="DM61" s="48" t="e">
        <f t="shared" si="94"/>
        <v>#DIV/0!</v>
      </c>
      <c r="DN61" s="48">
        <f>SUMIF(FCR!$BZ$4:$DB$142,DM61,FCR!$DE$4:$EG$142)</f>
        <v>0</v>
      </c>
      <c r="DO61" s="53" t="e">
        <f t="shared" si="95"/>
        <v>#DIV/0!</v>
      </c>
      <c r="DP61" s="55" t="e">
        <f t="shared" si="96"/>
        <v>#DIV/0!</v>
      </c>
      <c r="DQ61" s="55" t="e">
        <f t="shared" si="97"/>
        <v>#DIV/0!</v>
      </c>
      <c r="DR61" s="55"/>
      <c r="DS61" s="55" t="e">
        <f t="shared" si="98"/>
        <v>#DIV/0!</v>
      </c>
      <c r="DT61" s="55" t="e">
        <f t="shared" si="99"/>
        <v>#DIV/0!</v>
      </c>
      <c r="DU61" s="53">
        <f t="shared" si="100"/>
        <v>0</v>
      </c>
      <c r="DV61" s="59" t="e">
        <f t="shared" si="101"/>
        <v>#DIV/0!</v>
      </c>
    </row>
    <row r="62" spans="30:126">
      <c r="AD62" s="49" t="s">
        <v>411</v>
      </c>
      <c r="AE62" s="49">
        <f t="shared" si="24"/>
        <v>0</v>
      </c>
      <c r="AF62" s="49">
        <f t="shared" si="48"/>
        <v>0</v>
      </c>
      <c r="AG62" s="114">
        <f t="shared" si="49"/>
        <v>0</v>
      </c>
      <c r="AH62" s="104">
        <f t="shared" si="50"/>
        <v>0</v>
      </c>
      <c r="AI62" s="104">
        <f t="shared" si="51"/>
        <v>0</v>
      </c>
      <c r="AJ62" s="104">
        <f t="shared" si="52"/>
        <v>0</v>
      </c>
      <c r="AK62" s="104">
        <f t="shared" si="53"/>
        <v>0</v>
      </c>
      <c r="AL62" s="104">
        <f t="shared" si="54"/>
        <v>0</v>
      </c>
      <c r="AM62" s="104">
        <f t="shared" si="55"/>
        <v>0</v>
      </c>
      <c r="AN62" s="104">
        <f t="shared" si="56"/>
        <v>0</v>
      </c>
      <c r="AO62" s="104">
        <f t="shared" si="57"/>
        <v>0</v>
      </c>
      <c r="AP62" s="104">
        <f t="shared" si="58"/>
        <v>0</v>
      </c>
      <c r="AQ62" s="49">
        <f t="shared" si="59"/>
        <v>0</v>
      </c>
      <c r="AR62" s="104">
        <f t="shared" si="60"/>
        <v>0</v>
      </c>
      <c r="AS62" s="104">
        <f t="shared" si="61"/>
        <v>0</v>
      </c>
      <c r="AT62" s="104">
        <f t="shared" si="62"/>
        <v>0</v>
      </c>
      <c r="AU62" s="104">
        <f t="shared" si="63"/>
        <v>0</v>
      </c>
      <c r="BF62" s="49">
        <f t="shared" si="64"/>
        <v>0</v>
      </c>
      <c r="BG62" s="49">
        <f t="shared" si="65"/>
        <v>0</v>
      </c>
      <c r="BH62" s="54" t="e">
        <f t="shared" si="66"/>
        <v>#DIV/0!</v>
      </c>
      <c r="BI62" s="112" t="e">
        <f t="shared" si="67"/>
        <v>#DIV/0!</v>
      </c>
      <c r="BK62" s="55" t="e">
        <f t="shared" si="68"/>
        <v>#DIV/0!</v>
      </c>
      <c r="BL62" s="55" t="e">
        <f t="shared" si="69"/>
        <v>#DIV/0!</v>
      </c>
      <c r="BM62" s="55" t="e">
        <f t="shared" si="70"/>
        <v>#DIV/0!</v>
      </c>
      <c r="BN62" s="53">
        <f t="shared" si="71"/>
        <v>0</v>
      </c>
      <c r="BO62" s="112" t="e">
        <f t="shared" si="72"/>
        <v>#DIV/0!</v>
      </c>
      <c r="BR62" s="53" t="e">
        <f t="shared" si="73"/>
        <v>#DIV/0!</v>
      </c>
      <c r="BS62" s="53">
        <f t="shared" si="74"/>
        <v>0</v>
      </c>
      <c r="BT62" s="53">
        <f t="shared" si="75"/>
        <v>0</v>
      </c>
      <c r="BU62" s="56" t="e">
        <f t="shared" si="76"/>
        <v>#DIV/0!</v>
      </c>
      <c r="BX62" s="60"/>
      <c r="BY62" s="60"/>
      <c r="BZ62" s="60"/>
      <c r="CA62" s="60"/>
      <c r="CB62" s="60"/>
      <c r="CC62" s="60"/>
      <c r="CD62" s="60"/>
      <c r="CE62" s="60"/>
      <c r="CF62" s="60"/>
      <c r="CG62" s="60"/>
      <c r="CH62" s="60"/>
      <c r="CI62" s="60"/>
      <c r="CJ62" s="60"/>
      <c r="CK62" s="60"/>
      <c r="CL62" s="60"/>
      <c r="CM62" s="60"/>
      <c r="CN62" s="60"/>
      <c r="CO62" s="60"/>
      <c r="CP62" s="60"/>
      <c r="CQ62" s="60"/>
      <c r="CR62" s="60"/>
      <c r="CS62" s="60"/>
      <c r="CT62" s="57">
        <f t="shared" si="77"/>
        <v>0</v>
      </c>
      <c r="CU62" s="57">
        <f t="shared" si="78"/>
        <v>0</v>
      </c>
      <c r="CV62" s="53">
        <f t="shared" si="79"/>
        <v>0</v>
      </c>
      <c r="CW62" s="53">
        <f t="shared" si="80"/>
        <v>0</v>
      </c>
      <c r="CX62" s="58" t="e">
        <f t="shared" si="81"/>
        <v>#DIV/0!</v>
      </c>
      <c r="CY62" s="53">
        <f t="shared" si="82"/>
        <v>0</v>
      </c>
      <c r="CZ62" s="53">
        <f t="shared" si="83"/>
        <v>0</v>
      </c>
      <c r="DA62" s="58" t="e">
        <f t="shared" si="84"/>
        <v>#DIV/0!</v>
      </c>
      <c r="DB62" s="48" t="e">
        <f t="shared" si="85"/>
        <v>#DIV/0!</v>
      </c>
      <c r="DC62" s="48" t="e">
        <f t="shared" si="86"/>
        <v>#DIV/0!</v>
      </c>
      <c r="DD62" s="48" t="e">
        <f t="shared" si="87"/>
        <v>#DIV/0!</v>
      </c>
      <c r="DE62" s="48" t="e">
        <f t="shared" si="88"/>
        <v>#DIV/0!</v>
      </c>
      <c r="DF62" s="48" t="e">
        <f t="shared" si="89"/>
        <v>#DIV/0!</v>
      </c>
      <c r="DG62" s="48" t="e">
        <f t="shared" si="90"/>
        <v>#DIV/0!</v>
      </c>
      <c r="DH62" s="48">
        <f>SUMIF(FCR!$BZ$4:$DB$500,DG62,FCR!$DE$4:$EG$500)</f>
        <v>0</v>
      </c>
      <c r="DI62" s="48" t="e">
        <f t="shared" si="91"/>
        <v>#DIV/0!</v>
      </c>
      <c r="DJ62" s="48">
        <f>SUMIF(FCR!$BZ$4:$DB$142,DI62,FCR!$DE$4:$EG$142)</f>
        <v>0</v>
      </c>
      <c r="DK62" s="48" t="e">
        <f t="shared" si="92"/>
        <v>#DIV/0!</v>
      </c>
      <c r="DL62" s="55" t="e">
        <f t="shared" si="93"/>
        <v>#DIV/0!</v>
      </c>
      <c r="DM62" s="48" t="e">
        <f t="shared" si="94"/>
        <v>#DIV/0!</v>
      </c>
      <c r="DN62" s="48">
        <f>SUMIF(FCR!$BZ$4:$DB$142,DM62,FCR!$DE$4:$EG$142)</f>
        <v>0</v>
      </c>
      <c r="DO62" s="53" t="e">
        <f t="shared" si="95"/>
        <v>#DIV/0!</v>
      </c>
      <c r="DP62" s="55" t="e">
        <f t="shared" si="96"/>
        <v>#DIV/0!</v>
      </c>
      <c r="DQ62" s="55" t="e">
        <f t="shared" si="97"/>
        <v>#DIV/0!</v>
      </c>
      <c r="DR62" s="55"/>
      <c r="DS62" s="55" t="e">
        <f t="shared" si="98"/>
        <v>#DIV/0!</v>
      </c>
      <c r="DT62" s="55" t="e">
        <f t="shared" si="99"/>
        <v>#DIV/0!</v>
      </c>
      <c r="DU62" s="53">
        <f t="shared" si="100"/>
        <v>0</v>
      </c>
      <c r="DV62" s="59" t="e">
        <f t="shared" si="101"/>
        <v>#DIV/0!</v>
      </c>
    </row>
    <row r="63" spans="30:126">
      <c r="AD63" s="49" t="s">
        <v>411</v>
      </c>
      <c r="AE63" s="49">
        <f t="shared" si="24"/>
        <v>0</v>
      </c>
      <c r="AF63" s="49">
        <f t="shared" si="48"/>
        <v>0</v>
      </c>
      <c r="AG63" s="114">
        <f t="shared" si="49"/>
        <v>0</v>
      </c>
      <c r="AH63" s="104">
        <f t="shared" si="50"/>
        <v>0</v>
      </c>
      <c r="AI63" s="104">
        <f t="shared" si="51"/>
        <v>0</v>
      </c>
      <c r="AJ63" s="104">
        <f t="shared" si="52"/>
        <v>0</v>
      </c>
      <c r="AK63" s="104">
        <f t="shared" si="53"/>
        <v>0</v>
      </c>
      <c r="AL63" s="104">
        <f t="shared" si="54"/>
        <v>0</v>
      </c>
      <c r="AM63" s="104">
        <f t="shared" si="55"/>
        <v>0</v>
      </c>
      <c r="AN63" s="104">
        <f t="shared" si="56"/>
        <v>0</v>
      </c>
      <c r="AO63" s="104">
        <f t="shared" si="57"/>
        <v>0</v>
      </c>
      <c r="AP63" s="104">
        <f t="shared" si="58"/>
        <v>0</v>
      </c>
      <c r="AQ63" s="49">
        <f t="shared" si="59"/>
        <v>0</v>
      </c>
      <c r="AR63" s="104">
        <f t="shared" si="60"/>
        <v>0</v>
      </c>
      <c r="AS63" s="104">
        <f t="shared" si="61"/>
        <v>0</v>
      </c>
      <c r="AT63" s="104">
        <f t="shared" si="62"/>
        <v>0</v>
      </c>
      <c r="AU63" s="104">
        <f t="shared" si="63"/>
        <v>0</v>
      </c>
      <c r="BF63" s="49">
        <f t="shared" si="64"/>
        <v>0</v>
      </c>
      <c r="BG63" s="49">
        <f t="shared" si="65"/>
        <v>0</v>
      </c>
      <c r="BH63" s="54" t="e">
        <f t="shared" si="66"/>
        <v>#DIV/0!</v>
      </c>
      <c r="BI63" s="112" t="e">
        <f t="shared" si="67"/>
        <v>#DIV/0!</v>
      </c>
      <c r="BK63" s="55" t="e">
        <f t="shared" si="68"/>
        <v>#DIV/0!</v>
      </c>
      <c r="BL63" s="55" t="e">
        <f t="shared" si="69"/>
        <v>#DIV/0!</v>
      </c>
      <c r="BM63" s="55" t="e">
        <f t="shared" si="70"/>
        <v>#DIV/0!</v>
      </c>
      <c r="BN63" s="53">
        <f t="shared" si="71"/>
        <v>0</v>
      </c>
      <c r="BO63" s="112" t="e">
        <f t="shared" si="72"/>
        <v>#DIV/0!</v>
      </c>
      <c r="BR63" s="53" t="e">
        <f t="shared" si="73"/>
        <v>#DIV/0!</v>
      </c>
      <c r="BS63" s="53">
        <f t="shared" si="74"/>
        <v>0</v>
      </c>
      <c r="BT63" s="53">
        <f t="shared" si="75"/>
        <v>0</v>
      </c>
      <c r="BU63" s="56" t="e">
        <f t="shared" si="76"/>
        <v>#DIV/0!</v>
      </c>
      <c r="BX63" s="60"/>
      <c r="BY63" s="60"/>
      <c r="BZ63" s="60"/>
      <c r="CA63" s="60"/>
      <c r="CB63" s="60"/>
      <c r="CC63" s="60"/>
      <c r="CD63" s="60"/>
      <c r="CE63" s="60"/>
      <c r="CF63" s="60"/>
      <c r="CG63" s="60"/>
      <c r="CH63" s="60"/>
      <c r="CI63" s="60"/>
      <c r="CJ63" s="60"/>
      <c r="CK63" s="60"/>
      <c r="CL63" s="60"/>
      <c r="CM63" s="60"/>
      <c r="CN63" s="60"/>
      <c r="CO63" s="60"/>
      <c r="CP63" s="60"/>
      <c r="CQ63" s="60"/>
      <c r="CR63" s="60"/>
      <c r="CS63" s="60"/>
      <c r="CT63" s="57">
        <f t="shared" si="77"/>
        <v>0</v>
      </c>
      <c r="CU63" s="57">
        <f t="shared" si="78"/>
        <v>0</v>
      </c>
      <c r="CV63" s="53">
        <f t="shared" si="79"/>
        <v>0</v>
      </c>
      <c r="CW63" s="53">
        <f t="shared" si="80"/>
        <v>0</v>
      </c>
      <c r="CX63" s="58" t="e">
        <f t="shared" si="81"/>
        <v>#DIV/0!</v>
      </c>
      <c r="CY63" s="53">
        <f t="shared" si="82"/>
        <v>0</v>
      </c>
      <c r="CZ63" s="53">
        <f t="shared" si="83"/>
        <v>0</v>
      </c>
      <c r="DA63" s="58" t="e">
        <f t="shared" si="84"/>
        <v>#DIV/0!</v>
      </c>
      <c r="DB63" s="48" t="e">
        <f t="shared" si="85"/>
        <v>#DIV/0!</v>
      </c>
      <c r="DC63" s="48" t="e">
        <f t="shared" si="86"/>
        <v>#DIV/0!</v>
      </c>
      <c r="DD63" s="48" t="e">
        <f t="shared" si="87"/>
        <v>#DIV/0!</v>
      </c>
      <c r="DE63" s="48" t="e">
        <f t="shared" si="88"/>
        <v>#DIV/0!</v>
      </c>
      <c r="DF63" s="48" t="e">
        <f t="shared" si="89"/>
        <v>#DIV/0!</v>
      </c>
      <c r="DG63" s="48" t="e">
        <f t="shared" si="90"/>
        <v>#DIV/0!</v>
      </c>
      <c r="DH63" s="48">
        <f>SUMIF(FCR!$BZ$4:$DB$500,DG63,FCR!$DE$4:$EG$500)</f>
        <v>0</v>
      </c>
      <c r="DI63" s="48" t="e">
        <f t="shared" si="91"/>
        <v>#DIV/0!</v>
      </c>
      <c r="DJ63" s="48">
        <f>SUMIF(FCR!$BZ$4:$DB$142,DI63,FCR!$DE$4:$EG$142)</f>
        <v>0</v>
      </c>
      <c r="DK63" s="48" t="e">
        <f t="shared" si="92"/>
        <v>#DIV/0!</v>
      </c>
      <c r="DL63" s="55" t="e">
        <f t="shared" si="93"/>
        <v>#DIV/0!</v>
      </c>
      <c r="DM63" s="48" t="e">
        <f t="shared" si="94"/>
        <v>#DIV/0!</v>
      </c>
      <c r="DN63" s="48">
        <f>SUMIF(FCR!$BZ$4:$DB$142,DM63,FCR!$DE$4:$EG$142)</f>
        <v>0</v>
      </c>
      <c r="DO63" s="53" t="e">
        <f t="shared" si="95"/>
        <v>#DIV/0!</v>
      </c>
      <c r="DP63" s="55" t="e">
        <f t="shared" si="96"/>
        <v>#DIV/0!</v>
      </c>
      <c r="DQ63" s="55" t="e">
        <f t="shared" si="97"/>
        <v>#DIV/0!</v>
      </c>
      <c r="DR63" s="55"/>
      <c r="DS63" s="55" t="e">
        <f t="shared" si="98"/>
        <v>#DIV/0!</v>
      </c>
      <c r="DT63" s="55" t="e">
        <f t="shared" si="99"/>
        <v>#DIV/0!</v>
      </c>
      <c r="DU63" s="53">
        <f t="shared" si="100"/>
        <v>0</v>
      </c>
      <c r="DV63" s="59" t="e">
        <f t="shared" si="101"/>
        <v>#DIV/0!</v>
      </c>
    </row>
    <row r="64" spans="30:126">
      <c r="AD64" s="49" t="s">
        <v>411</v>
      </c>
      <c r="AE64" s="49">
        <f t="shared" si="24"/>
        <v>0</v>
      </c>
      <c r="AF64" s="49">
        <f t="shared" si="48"/>
        <v>0</v>
      </c>
      <c r="AG64" s="114">
        <f t="shared" si="49"/>
        <v>0</v>
      </c>
      <c r="AH64" s="104">
        <f t="shared" si="50"/>
        <v>0</v>
      </c>
      <c r="AI64" s="104">
        <f t="shared" si="51"/>
        <v>0</v>
      </c>
      <c r="AJ64" s="104">
        <f t="shared" si="52"/>
        <v>0</v>
      </c>
      <c r="AK64" s="104">
        <f t="shared" si="53"/>
        <v>0</v>
      </c>
      <c r="AL64" s="104">
        <f t="shared" si="54"/>
        <v>0</v>
      </c>
      <c r="AM64" s="104">
        <f t="shared" si="55"/>
        <v>0</v>
      </c>
      <c r="AN64" s="104">
        <f t="shared" si="56"/>
        <v>0</v>
      </c>
      <c r="AO64" s="104">
        <f t="shared" si="57"/>
        <v>0</v>
      </c>
      <c r="AP64" s="104">
        <f t="shared" si="58"/>
        <v>0</v>
      </c>
      <c r="AQ64" s="49">
        <f t="shared" si="59"/>
        <v>0</v>
      </c>
      <c r="AR64" s="104">
        <f t="shared" si="60"/>
        <v>0</v>
      </c>
      <c r="AS64" s="104">
        <f t="shared" si="61"/>
        <v>0</v>
      </c>
      <c r="AT64" s="104">
        <f t="shared" si="62"/>
        <v>0</v>
      </c>
      <c r="AU64" s="104">
        <f t="shared" si="63"/>
        <v>0</v>
      </c>
      <c r="BF64" s="49">
        <f t="shared" si="64"/>
        <v>0</v>
      </c>
      <c r="BG64" s="49">
        <f t="shared" si="65"/>
        <v>0</v>
      </c>
      <c r="BH64" s="54" t="e">
        <f t="shared" si="66"/>
        <v>#DIV/0!</v>
      </c>
      <c r="BI64" s="112" t="e">
        <f t="shared" si="67"/>
        <v>#DIV/0!</v>
      </c>
      <c r="BK64" s="55" t="e">
        <f t="shared" si="68"/>
        <v>#DIV/0!</v>
      </c>
      <c r="BL64" s="55" t="e">
        <f t="shared" si="69"/>
        <v>#DIV/0!</v>
      </c>
      <c r="BM64" s="55" t="e">
        <f t="shared" si="70"/>
        <v>#DIV/0!</v>
      </c>
      <c r="BN64" s="53">
        <f t="shared" si="71"/>
        <v>0</v>
      </c>
      <c r="BO64" s="112" t="e">
        <f t="shared" si="72"/>
        <v>#DIV/0!</v>
      </c>
      <c r="BR64" s="53" t="e">
        <f t="shared" si="73"/>
        <v>#DIV/0!</v>
      </c>
      <c r="BS64" s="53">
        <f t="shared" si="74"/>
        <v>0</v>
      </c>
      <c r="BT64" s="53">
        <f t="shared" si="75"/>
        <v>0</v>
      </c>
      <c r="BU64" s="56" t="e">
        <f t="shared" si="76"/>
        <v>#DIV/0!</v>
      </c>
      <c r="BX64" s="60"/>
      <c r="BY64" s="60"/>
      <c r="BZ64" s="60"/>
      <c r="CA64" s="60"/>
      <c r="CB64" s="60"/>
      <c r="CC64" s="60"/>
      <c r="CD64" s="60"/>
      <c r="CE64" s="60"/>
      <c r="CF64" s="60"/>
      <c r="CG64" s="60"/>
      <c r="CH64" s="60"/>
      <c r="CI64" s="60"/>
      <c r="CJ64" s="60"/>
      <c r="CK64" s="60"/>
      <c r="CL64" s="60"/>
      <c r="CM64" s="60"/>
      <c r="CN64" s="60"/>
      <c r="CO64" s="60"/>
      <c r="CP64" s="60"/>
      <c r="CQ64" s="60"/>
      <c r="CR64" s="60"/>
      <c r="CS64" s="60"/>
      <c r="CT64" s="57">
        <f t="shared" si="77"/>
        <v>0</v>
      </c>
      <c r="CU64" s="57">
        <f t="shared" si="78"/>
        <v>0</v>
      </c>
      <c r="CV64" s="53">
        <f t="shared" si="79"/>
        <v>0</v>
      </c>
      <c r="CW64" s="53">
        <f t="shared" si="80"/>
        <v>0</v>
      </c>
      <c r="CX64" s="58" t="e">
        <f t="shared" si="81"/>
        <v>#DIV/0!</v>
      </c>
      <c r="CY64" s="53">
        <f t="shared" si="82"/>
        <v>0</v>
      </c>
      <c r="CZ64" s="53">
        <f t="shared" si="83"/>
        <v>0</v>
      </c>
      <c r="DA64" s="58" t="e">
        <f t="shared" si="84"/>
        <v>#DIV/0!</v>
      </c>
      <c r="DB64" s="48" t="e">
        <f t="shared" si="85"/>
        <v>#DIV/0!</v>
      </c>
      <c r="DC64" s="48" t="e">
        <f t="shared" si="86"/>
        <v>#DIV/0!</v>
      </c>
      <c r="DD64" s="48" t="e">
        <f t="shared" si="87"/>
        <v>#DIV/0!</v>
      </c>
      <c r="DE64" s="48" t="e">
        <f t="shared" si="88"/>
        <v>#DIV/0!</v>
      </c>
      <c r="DF64" s="48" t="e">
        <f t="shared" si="89"/>
        <v>#DIV/0!</v>
      </c>
      <c r="DG64" s="48" t="e">
        <f t="shared" si="90"/>
        <v>#DIV/0!</v>
      </c>
      <c r="DH64" s="48">
        <f>SUMIF(FCR!$BZ$4:$DB$500,DG64,FCR!$DE$4:$EG$500)</f>
        <v>0</v>
      </c>
      <c r="DI64" s="48" t="e">
        <f t="shared" si="91"/>
        <v>#DIV/0!</v>
      </c>
      <c r="DJ64" s="48">
        <f>SUMIF(FCR!$BZ$4:$DB$142,DI64,FCR!$DE$4:$EG$142)</f>
        <v>0</v>
      </c>
      <c r="DK64" s="48" t="e">
        <f t="shared" si="92"/>
        <v>#DIV/0!</v>
      </c>
      <c r="DL64" s="55" t="e">
        <f t="shared" si="93"/>
        <v>#DIV/0!</v>
      </c>
      <c r="DM64" s="48" t="e">
        <f t="shared" si="94"/>
        <v>#DIV/0!</v>
      </c>
      <c r="DN64" s="48">
        <f>SUMIF(FCR!$BZ$4:$DB$142,DM64,FCR!$DE$4:$EG$142)</f>
        <v>0</v>
      </c>
      <c r="DO64" s="53" t="e">
        <f t="shared" si="95"/>
        <v>#DIV/0!</v>
      </c>
      <c r="DP64" s="55" t="e">
        <f t="shared" si="96"/>
        <v>#DIV/0!</v>
      </c>
      <c r="DQ64" s="55" t="e">
        <f t="shared" si="97"/>
        <v>#DIV/0!</v>
      </c>
      <c r="DR64" s="55"/>
      <c r="DS64" s="55" t="e">
        <f t="shared" si="98"/>
        <v>#DIV/0!</v>
      </c>
      <c r="DT64" s="55" t="e">
        <f t="shared" si="99"/>
        <v>#DIV/0!</v>
      </c>
      <c r="DU64" s="53">
        <f t="shared" si="100"/>
        <v>0</v>
      </c>
      <c r="DV64" s="59" t="e">
        <f t="shared" si="101"/>
        <v>#DIV/0!</v>
      </c>
    </row>
    <row r="65" spans="30:126">
      <c r="AD65" s="49" t="s">
        <v>411</v>
      </c>
      <c r="AE65" s="49">
        <f t="shared" si="24"/>
        <v>0</v>
      </c>
      <c r="AF65" s="49">
        <f t="shared" si="48"/>
        <v>0</v>
      </c>
      <c r="AG65" s="114">
        <f t="shared" si="49"/>
        <v>0</v>
      </c>
      <c r="AH65" s="104">
        <f t="shared" si="50"/>
        <v>0</v>
      </c>
      <c r="AI65" s="104">
        <f t="shared" si="51"/>
        <v>0</v>
      </c>
      <c r="AJ65" s="104">
        <f t="shared" si="52"/>
        <v>0</v>
      </c>
      <c r="AK65" s="104">
        <f t="shared" si="53"/>
        <v>0</v>
      </c>
      <c r="AL65" s="104">
        <f t="shared" si="54"/>
        <v>0</v>
      </c>
      <c r="AM65" s="104">
        <f t="shared" si="55"/>
        <v>0</v>
      </c>
      <c r="AN65" s="104">
        <f t="shared" si="56"/>
        <v>0</v>
      </c>
      <c r="AO65" s="104">
        <f t="shared" si="57"/>
        <v>0</v>
      </c>
      <c r="AP65" s="104">
        <f t="shared" si="58"/>
        <v>0</v>
      </c>
      <c r="AQ65" s="49">
        <f t="shared" si="59"/>
        <v>0</v>
      </c>
      <c r="AR65" s="104">
        <f t="shared" si="60"/>
        <v>0</v>
      </c>
      <c r="AS65" s="104">
        <f t="shared" si="61"/>
        <v>0</v>
      </c>
      <c r="AT65" s="104">
        <f t="shared" si="62"/>
        <v>0</v>
      </c>
      <c r="AU65" s="104">
        <f t="shared" si="63"/>
        <v>0</v>
      </c>
      <c r="BF65" s="49">
        <f t="shared" si="64"/>
        <v>0</v>
      </c>
      <c r="BG65" s="49">
        <f t="shared" si="65"/>
        <v>0</v>
      </c>
      <c r="BH65" s="54" t="e">
        <f t="shared" si="66"/>
        <v>#DIV/0!</v>
      </c>
      <c r="BI65" s="112" t="e">
        <f t="shared" si="67"/>
        <v>#DIV/0!</v>
      </c>
      <c r="BK65" s="55" t="e">
        <f t="shared" si="68"/>
        <v>#DIV/0!</v>
      </c>
      <c r="BL65" s="55" t="e">
        <f t="shared" si="69"/>
        <v>#DIV/0!</v>
      </c>
      <c r="BM65" s="55" t="e">
        <f t="shared" si="70"/>
        <v>#DIV/0!</v>
      </c>
      <c r="BN65" s="53">
        <f t="shared" si="71"/>
        <v>0</v>
      </c>
      <c r="BO65" s="112" t="e">
        <f t="shared" si="72"/>
        <v>#DIV/0!</v>
      </c>
      <c r="BR65" s="53" t="e">
        <f t="shared" si="73"/>
        <v>#DIV/0!</v>
      </c>
      <c r="BS65" s="53">
        <f t="shared" si="74"/>
        <v>0</v>
      </c>
      <c r="BT65" s="53">
        <f t="shared" si="75"/>
        <v>0</v>
      </c>
      <c r="BU65" s="56" t="e">
        <f t="shared" si="76"/>
        <v>#DIV/0!</v>
      </c>
      <c r="BX65" s="60"/>
      <c r="BY65" s="60"/>
      <c r="BZ65" s="60"/>
      <c r="CA65" s="60"/>
      <c r="CB65" s="60"/>
      <c r="CC65" s="60"/>
      <c r="CD65" s="60"/>
      <c r="CE65" s="60"/>
      <c r="CF65" s="60"/>
      <c r="CG65" s="60"/>
      <c r="CH65" s="60"/>
      <c r="CI65" s="60"/>
      <c r="CJ65" s="60"/>
      <c r="CK65" s="60"/>
      <c r="CL65" s="60"/>
      <c r="CM65" s="60"/>
      <c r="CN65" s="60"/>
      <c r="CO65" s="60"/>
      <c r="CP65" s="60"/>
      <c r="CQ65" s="60"/>
      <c r="CR65" s="60"/>
      <c r="CS65" s="60"/>
      <c r="CT65" s="57">
        <f t="shared" si="77"/>
        <v>0</v>
      </c>
      <c r="CU65" s="57">
        <f t="shared" si="78"/>
        <v>0</v>
      </c>
      <c r="CV65" s="53">
        <f t="shared" si="79"/>
        <v>0</v>
      </c>
      <c r="CW65" s="53">
        <f t="shared" si="80"/>
        <v>0</v>
      </c>
      <c r="CX65" s="58" t="e">
        <f t="shared" si="81"/>
        <v>#DIV/0!</v>
      </c>
      <c r="CY65" s="53">
        <f t="shared" si="82"/>
        <v>0</v>
      </c>
      <c r="CZ65" s="53">
        <f t="shared" si="83"/>
        <v>0</v>
      </c>
      <c r="DA65" s="58" t="e">
        <f t="shared" si="84"/>
        <v>#DIV/0!</v>
      </c>
      <c r="DB65" s="48" t="e">
        <f t="shared" si="85"/>
        <v>#DIV/0!</v>
      </c>
      <c r="DC65" s="48" t="e">
        <f t="shared" si="86"/>
        <v>#DIV/0!</v>
      </c>
      <c r="DD65" s="48" t="e">
        <f t="shared" si="87"/>
        <v>#DIV/0!</v>
      </c>
      <c r="DE65" s="48" t="e">
        <f t="shared" si="88"/>
        <v>#DIV/0!</v>
      </c>
      <c r="DF65" s="48" t="e">
        <f t="shared" si="89"/>
        <v>#DIV/0!</v>
      </c>
      <c r="DG65" s="48" t="e">
        <f t="shared" si="90"/>
        <v>#DIV/0!</v>
      </c>
      <c r="DH65" s="48">
        <f>SUMIF(FCR!$BZ$4:$DB$500,DG65,FCR!$DE$4:$EG$500)</f>
        <v>0</v>
      </c>
      <c r="DI65" s="48" t="e">
        <f t="shared" si="91"/>
        <v>#DIV/0!</v>
      </c>
      <c r="DJ65" s="48">
        <f>SUMIF(FCR!$BZ$4:$DB$142,DI65,FCR!$DE$4:$EG$142)</f>
        <v>0</v>
      </c>
      <c r="DK65" s="48" t="e">
        <f t="shared" si="92"/>
        <v>#DIV/0!</v>
      </c>
      <c r="DL65" s="55" t="e">
        <f t="shared" si="93"/>
        <v>#DIV/0!</v>
      </c>
      <c r="DM65" s="48" t="e">
        <f t="shared" si="94"/>
        <v>#DIV/0!</v>
      </c>
      <c r="DN65" s="48">
        <f>SUMIF(FCR!$BZ$4:$DB$142,DM65,FCR!$DE$4:$EG$142)</f>
        <v>0</v>
      </c>
      <c r="DO65" s="53" t="e">
        <f t="shared" si="95"/>
        <v>#DIV/0!</v>
      </c>
      <c r="DP65" s="55" t="e">
        <f t="shared" si="96"/>
        <v>#DIV/0!</v>
      </c>
      <c r="DQ65" s="55" t="e">
        <f t="shared" si="97"/>
        <v>#DIV/0!</v>
      </c>
      <c r="DR65" s="55"/>
      <c r="DS65" s="55" t="e">
        <f t="shared" si="98"/>
        <v>#DIV/0!</v>
      </c>
      <c r="DT65" s="55" t="e">
        <f t="shared" si="99"/>
        <v>#DIV/0!</v>
      </c>
      <c r="DU65" s="53">
        <f t="shared" si="100"/>
        <v>0</v>
      </c>
      <c r="DV65" s="59" t="e">
        <f t="shared" si="101"/>
        <v>#DIV/0!</v>
      </c>
    </row>
    <row r="66" spans="30:126">
      <c r="AD66" s="49" t="s">
        <v>411</v>
      </c>
      <c r="AE66" s="49">
        <f t="shared" si="24"/>
        <v>0</v>
      </c>
      <c r="AF66" s="49">
        <f t="shared" si="48"/>
        <v>0</v>
      </c>
      <c r="AG66" s="114">
        <f t="shared" si="49"/>
        <v>0</v>
      </c>
      <c r="AH66" s="104">
        <f t="shared" si="50"/>
        <v>0</v>
      </c>
      <c r="AI66" s="104">
        <f t="shared" si="51"/>
        <v>0</v>
      </c>
      <c r="AJ66" s="104">
        <f t="shared" si="52"/>
        <v>0</v>
      </c>
      <c r="AK66" s="104">
        <f t="shared" si="53"/>
        <v>0</v>
      </c>
      <c r="AL66" s="104">
        <f t="shared" si="54"/>
        <v>0</v>
      </c>
      <c r="AM66" s="104">
        <f t="shared" si="55"/>
        <v>0</v>
      </c>
      <c r="AN66" s="104">
        <f t="shared" si="56"/>
        <v>0</v>
      </c>
      <c r="AO66" s="104">
        <f t="shared" si="57"/>
        <v>0</v>
      </c>
      <c r="AP66" s="104">
        <f t="shared" si="58"/>
        <v>0</v>
      </c>
      <c r="AQ66" s="49">
        <f t="shared" si="59"/>
        <v>0</v>
      </c>
      <c r="AR66" s="104">
        <f t="shared" si="60"/>
        <v>0</v>
      </c>
      <c r="AS66" s="104">
        <f t="shared" si="61"/>
        <v>0</v>
      </c>
      <c r="AT66" s="104">
        <f t="shared" si="62"/>
        <v>0</v>
      </c>
      <c r="AU66" s="104">
        <f t="shared" si="63"/>
        <v>0</v>
      </c>
      <c r="BF66" s="49">
        <f t="shared" si="64"/>
        <v>0</v>
      </c>
      <c r="BG66" s="49">
        <f t="shared" si="65"/>
        <v>0</v>
      </c>
      <c r="BH66" s="54" t="e">
        <f t="shared" si="66"/>
        <v>#DIV/0!</v>
      </c>
      <c r="BI66" s="112" t="e">
        <f t="shared" si="67"/>
        <v>#DIV/0!</v>
      </c>
      <c r="BK66" s="55" t="e">
        <f t="shared" si="68"/>
        <v>#DIV/0!</v>
      </c>
      <c r="BL66" s="55" t="e">
        <f t="shared" si="69"/>
        <v>#DIV/0!</v>
      </c>
      <c r="BM66" s="55" t="e">
        <f t="shared" si="70"/>
        <v>#DIV/0!</v>
      </c>
      <c r="BN66" s="53">
        <f t="shared" si="71"/>
        <v>0</v>
      </c>
      <c r="BO66" s="112" t="e">
        <f t="shared" si="72"/>
        <v>#DIV/0!</v>
      </c>
      <c r="BR66" s="53" t="e">
        <f t="shared" si="73"/>
        <v>#DIV/0!</v>
      </c>
      <c r="BS66" s="53">
        <f t="shared" si="74"/>
        <v>0</v>
      </c>
      <c r="BT66" s="53">
        <f t="shared" si="75"/>
        <v>0</v>
      </c>
      <c r="BU66" s="56" t="e">
        <f t="shared" si="76"/>
        <v>#DIV/0!</v>
      </c>
      <c r="BX66" s="60"/>
      <c r="BY66" s="60"/>
      <c r="BZ66" s="60"/>
      <c r="CA66" s="60"/>
      <c r="CB66" s="60"/>
      <c r="CC66" s="60"/>
      <c r="CD66" s="60"/>
      <c r="CE66" s="60"/>
      <c r="CF66" s="60"/>
      <c r="CG66" s="60"/>
      <c r="CH66" s="60"/>
      <c r="CI66" s="60"/>
      <c r="CJ66" s="60"/>
      <c r="CK66" s="60"/>
      <c r="CL66" s="60"/>
      <c r="CM66" s="60"/>
      <c r="CN66" s="60"/>
      <c r="CO66" s="60"/>
      <c r="CP66" s="60"/>
      <c r="CQ66" s="60"/>
      <c r="CR66" s="60"/>
      <c r="CS66" s="60"/>
      <c r="CT66" s="57">
        <f t="shared" si="77"/>
        <v>0</v>
      </c>
      <c r="CU66" s="57">
        <f t="shared" si="78"/>
        <v>0</v>
      </c>
      <c r="CV66" s="53">
        <f t="shared" si="79"/>
        <v>0</v>
      </c>
      <c r="CW66" s="53">
        <f t="shared" si="80"/>
        <v>0</v>
      </c>
      <c r="CX66" s="58" t="e">
        <f t="shared" si="81"/>
        <v>#DIV/0!</v>
      </c>
      <c r="CY66" s="53">
        <f t="shared" si="82"/>
        <v>0</v>
      </c>
      <c r="CZ66" s="53">
        <f t="shared" si="83"/>
        <v>0</v>
      </c>
      <c r="DA66" s="58" t="e">
        <f t="shared" si="84"/>
        <v>#DIV/0!</v>
      </c>
      <c r="DB66" s="48" t="e">
        <f t="shared" si="85"/>
        <v>#DIV/0!</v>
      </c>
      <c r="DC66" s="48" t="e">
        <f t="shared" si="86"/>
        <v>#DIV/0!</v>
      </c>
      <c r="DD66" s="48" t="e">
        <f t="shared" si="87"/>
        <v>#DIV/0!</v>
      </c>
      <c r="DE66" s="48" t="e">
        <f t="shared" si="88"/>
        <v>#DIV/0!</v>
      </c>
      <c r="DF66" s="48" t="e">
        <f t="shared" si="89"/>
        <v>#DIV/0!</v>
      </c>
      <c r="DG66" s="48" t="e">
        <f t="shared" si="90"/>
        <v>#DIV/0!</v>
      </c>
      <c r="DH66" s="48">
        <f>SUMIF(FCR!$BZ$4:$DB$500,DG66,FCR!$DE$4:$EG$500)</f>
        <v>0</v>
      </c>
      <c r="DI66" s="48" t="e">
        <f t="shared" si="91"/>
        <v>#DIV/0!</v>
      </c>
      <c r="DJ66" s="48">
        <f>SUMIF(FCR!$BZ$4:$DB$142,DI66,FCR!$DE$4:$EG$142)</f>
        <v>0</v>
      </c>
      <c r="DK66" s="48" t="e">
        <f t="shared" si="92"/>
        <v>#DIV/0!</v>
      </c>
      <c r="DL66" s="55" t="e">
        <f t="shared" si="93"/>
        <v>#DIV/0!</v>
      </c>
      <c r="DM66" s="48" t="e">
        <f t="shared" si="94"/>
        <v>#DIV/0!</v>
      </c>
      <c r="DN66" s="48">
        <f>SUMIF(FCR!$BZ$4:$DB$142,DM66,FCR!$DE$4:$EG$142)</f>
        <v>0</v>
      </c>
      <c r="DO66" s="53" t="e">
        <f t="shared" si="95"/>
        <v>#DIV/0!</v>
      </c>
      <c r="DP66" s="55" t="e">
        <f t="shared" si="96"/>
        <v>#DIV/0!</v>
      </c>
      <c r="DQ66" s="55" t="e">
        <f t="shared" si="97"/>
        <v>#DIV/0!</v>
      </c>
      <c r="DR66" s="55"/>
      <c r="DS66" s="55" t="e">
        <f t="shared" si="98"/>
        <v>#DIV/0!</v>
      </c>
      <c r="DT66" s="55" t="e">
        <f t="shared" si="99"/>
        <v>#DIV/0!</v>
      </c>
      <c r="DU66" s="53">
        <f t="shared" si="100"/>
        <v>0</v>
      </c>
      <c r="DV66" s="59" t="e">
        <f t="shared" si="101"/>
        <v>#DIV/0!</v>
      </c>
    </row>
    <row r="67" spans="30:126">
      <c r="AD67" s="49" t="s">
        <v>411</v>
      </c>
      <c r="AE67" s="49">
        <f t="shared" si="24"/>
        <v>0</v>
      </c>
      <c r="AF67" s="49">
        <f t="shared" si="48"/>
        <v>0</v>
      </c>
      <c r="AG67" s="114">
        <f t="shared" si="49"/>
        <v>0</v>
      </c>
      <c r="AH67" s="104">
        <f t="shared" si="50"/>
        <v>0</v>
      </c>
      <c r="AI67" s="104">
        <f t="shared" si="51"/>
        <v>0</v>
      </c>
      <c r="AJ67" s="104">
        <f t="shared" si="52"/>
        <v>0</v>
      </c>
      <c r="AK67" s="104">
        <f t="shared" si="53"/>
        <v>0</v>
      </c>
      <c r="AL67" s="104">
        <f t="shared" si="54"/>
        <v>0</v>
      </c>
      <c r="AM67" s="104">
        <f t="shared" si="55"/>
        <v>0</v>
      </c>
      <c r="AN67" s="104">
        <f t="shared" si="56"/>
        <v>0</v>
      </c>
      <c r="AO67" s="104">
        <f t="shared" si="57"/>
        <v>0</v>
      </c>
      <c r="AP67" s="104">
        <f t="shared" si="58"/>
        <v>0</v>
      </c>
      <c r="AQ67" s="49">
        <f t="shared" si="59"/>
        <v>0</v>
      </c>
      <c r="AR67" s="104">
        <f t="shared" si="60"/>
        <v>0</v>
      </c>
      <c r="AS67" s="104">
        <f t="shared" si="61"/>
        <v>0</v>
      </c>
      <c r="AT67" s="104">
        <f t="shared" si="62"/>
        <v>0</v>
      </c>
      <c r="AU67" s="104">
        <f t="shared" si="63"/>
        <v>0</v>
      </c>
      <c r="BF67" s="49">
        <f t="shared" si="64"/>
        <v>0</v>
      </c>
      <c r="BG67" s="49">
        <f t="shared" si="65"/>
        <v>0</v>
      </c>
      <c r="BH67" s="54" t="e">
        <f t="shared" si="66"/>
        <v>#DIV/0!</v>
      </c>
      <c r="BI67" s="112" t="e">
        <f t="shared" si="67"/>
        <v>#DIV/0!</v>
      </c>
      <c r="BK67" s="55" t="e">
        <f t="shared" si="68"/>
        <v>#DIV/0!</v>
      </c>
      <c r="BL67" s="55" t="e">
        <f t="shared" si="69"/>
        <v>#DIV/0!</v>
      </c>
      <c r="BM67" s="55" t="e">
        <f t="shared" si="70"/>
        <v>#DIV/0!</v>
      </c>
      <c r="BN67" s="53">
        <f t="shared" si="71"/>
        <v>0</v>
      </c>
      <c r="BO67" s="112" t="e">
        <f t="shared" si="72"/>
        <v>#DIV/0!</v>
      </c>
      <c r="BR67" s="53" t="e">
        <f t="shared" si="73"/>
        <v>#DIV/0!</v>
      </c>
      <c r="BS67" s="53">
        <f t="shared" si="74"/>
        <v>0</v>
      </c>
      <c r="BT67" s="53">
        <f t="shared" si="75"/>
        <v>0</v>
      </c>
      <c r="BU67" s="56" t="e">
        <f t="shared" si="76"/>
        <v>#DIV/0!</v>
      </c>
      <c r="BX67" s="60"/>
      <c r="BY67" s="60"/>
      <c r="BZ67" s="60"/>
      <c r="CA67" s="60"/>
      <c r="CB67" s="60"/>
      <c r="CC67" s="60"/>
      <c r="CD67" s="60"/>
      <c r="CE67" s="60"/>
      <c r="CF67" s="60"/>
      <c r="CG67" s="60"/>
      <c r="CH67" s="60"/>
      <c r="CI67" s="60"/>
      <c r="CJ67" s="60"/>
      <c r="CK67" s="60"/>
      <c r="CL67" s="60"/>
      <c r="CM67" s="60"/>
      <c r="CN67" s="60"/>
      <c r="CO67" s="60"/>
      <c r="CP67" s="60"/>
      <c r="CQ67" s="60"/>
      <c r="CR67" s="60"/>
      <c r="CS67" s="60"/>
      <c r="CT67" s="57">
        <f t="shared" si="77"/>
        <v>0</v>
      </c>
      <c r="CU67" s="57">
        <f t="shared" si="78"/>
        <v>0</v>
      </c>
      <c r="CV67" s="53">
        <f t="shared" si="79"/>
        <v>0</v>
      </c>
      <c r="CW67" s="53">
        <f t="shared" si="80"/>
        <v>0</v>
      </c>
      <c r="CX67" s="58" t="e">
        <f t="shared" si="81"/>
        <v>#DIV/0!</v>
      </c>
      <c r="CY67" s="53">
        <f t="shared" si="82"/>
        <v>0</v>
      </c>
      <c r="CZ67" s="53">
        <f t="shared" si="83"/>
        <v>0</v>
      </c>
      <c r="DA67" s="58" t="e">
        <f t="shared" si="84"/>
        <v>#DIV/0!</v>
      </c>
      <c r="DB67" s="48" t="e">
        <f t="shared" si="85"/>
        <v>#DIV/0!</v>
      </c>
      <c r="DC67" s="48" t="e">
        <f t="shared" si="86"/>
        <v>#DIV/0!</v>
      </c>
      <c r="DD67" s="48" t="e">
        <f t="shared" si="87"/>
        <v>#DIV/0!</v>
      </c>
      <c r="DE67" s="48" t="e">
        <f t="shared" si="88"/>
        <v>#DIV/0!</v>
      </c>
      <c r="DF67" s="48" t="e">
        <f t="shared" si="89"/>
        <v>#DIV/0!</v>
      </c>
      <c r="DG67" s="48" t="e">
        <f t="shared" si="90"/>
        <v>#DIV/0!</v>
      </c>
      <c r="DH67" s="48">
        <f>SUMIF(FCR!$BZ$4:$DB$500,DG67,FCR!$DE$4:$EG$500)</f>
        <v>0</v>
      </c>
      <c r="DI67" s="48" t="e">
        <f t="shared" si="91"/>
        <v>#DIV/0!</v>
      </c>
      <c r="DJ67" s="48">
        <f>SUMIF(FCR!$BZ$4:$DB$142,DI67,FCR!$DE$4:$EG$142)</f>
        <v>0</v>
      </c>
      <c r="DK67" s="48" t="e">
        <f t="shared" si="92"/>
        <v>#DIV/0!</v>
      </c>
      <c r="DL67" s="55" t="e">
        <f t="shared" si="93"/>
        <v>#DIV/0!</v>
      </c>
      <c r="DM67" s="48" t="e">
        <f t="shared" si="94"/>
        <v>#DIV/0!</v>
      </c>
      <c r="DN67" s="48">
        <f>SUMIF(FCR!$BZ$4:$DB$142,DM67,FCR!$DE$4:$EG$142)</f>
        <v>0</v>
      </c>
      <c r="DO67" s="53" t="e">
        <f t="shared" si="95"/>
        <v>#DIV/0!</v>
      </c>
      <c r="DP67" s="55" t="e">
        <f t="shared" si="96"/>
        <v>#DIV/0!</v>
      </c>
      <c r="DQ67" s="55" t="e">
        <f t="shared" si="97"/>
        <v>#DIV/0!</v>
      </c>
      <c r="DR67" s="55"/>
      <c r="DS67" s="55" t="e">
        <f t="shared" si="98"/>
        <v>#DIV/0!</v>
      </c>
      <c r="DT67" s="55" t="e">
        <f t="shared" si="99"/>
        <v>#DIV/0!</v>
      </c>
      <c r="DU67" s="53">
        <f t="shared" si="100"/>
        <v>0</v>
      </c>
      <c r="DV67" s="59" t="e">
        <f t="shared" si="101"/>
        <v>#DIV/0!</v>
      </c>
    </row>
    <row r="68" spans="30:126">
      <c r="AD68" s="49" t="s">
        <v>411</v>
      </c>
      <c r="AE68" s="49">
        <f t="shared" si="24"/>
        <v>0</v>
      </c>
      <c r="AF68" s="49">
        <f t="shared" si="48"/>
        <v>0</v>
      </c>
      <c r="AG68" s="114">
        <f t="shared" si="49"/>
        <v>0</v>
      </c>
      <c r="AH68" s="104">
        <f t="shared" si="50"/>
        <v>0</v>
      </c>
      <c r="AI68" s="104">
        <f t="shared" si="51"/>
        <v>0</v>
      </c>
      <c r="AJ68" s="104">
        <f t="shared" si="52"/>
        <v>0</v>
      </c>
      <c r="AK68" s="104">
        <f t="shared" si="53"/>
        <v>0</v>
      </c>
      <c r="AL68" s="104">
        <f t="shared" si="54"/>
        <v>0</v>
      </c>
      <c r="AM68" s="104">
        <f t="shared" si="55"/>
        <v>0</v>
      </c>
      <c r="AN68" s="104">
        <f t="shared" si="56"/>
        <v>0</v>
      </c>
      <c r="AO68" s="104">
        <f t="shared" si="57"/>
        <v>0</v>
      </c>
      <c r="AP68" s="104">
        <f t="shared" si="58"/>
        <v>0</v>
      </c>
      <c r="AQ68" s="49">
        <f t="shared" si="59"/>
        <v>0</v>
      </c>
      <c r="AR68" s="104">
        <f t="shared" si="60"/>
        <v>0</v>
      </c>
      <c r="AS68" s="104">
        <f t="shared" si="61"/>
        <v>0</v>
      </c>
      <c r="AT68" s="104">
        <f t="shared" si="62"/>
        <v>0</v>
      </c>
      <c r="AU68" s="104">
        <f t="shared" si="63"/>
        <v>0</v>
      </c>
      <c r="BF68" s="49">
        <f t="shared" si="64"/>
        <v>0</v>
      </c>
      <c r="BG68" s="49">
        <f t="shared" si="65"/>
        <v>0</v>
      </c>
      <c r="BH68" s="54" t="e">
        <f t="shared" si="66"/>
        <v>#DIV/0!</v>
      </c>
      <c r="BI68" s="112" t="e">
        <f t="shared" si="67"/>
        <v>#DIV/0!</v>
      </c>
      <c r="BK68" s="55" t="e">
        <f t="shared" si="68"/>
        <v>#DIV/0!</v>
      </c>
      <c r="BL68" s="55" t="e">
        <f t="shared" si="69"/>
        <v>#DIV/0!</v>
      </c>
      <c r="BM68" s="55" t="e">
        <f t="shared" si="70"/>
        <v>#DIV/0!</v>
      </c>
      <c r="BN68" s="53">
        <f t="shared" si="71"/>
        <v>0</v>
      </c>
      <c r="BO68" s="112" t="e">
        <f t="shared" si="72"/>
        <v>#DIV/0!</v>
      </c>
      <c r="BR68" s="53" t="e">
        <f t="shared" si="73"/>
        <v>#DIV/0!</v>
      </c>
      <c r="BS68" s="53">
        <f t="shared" si="74"/>
        <v>0</v>
      </c>
      <c r="BT68" s="53">
        <f t="shared" si="75"/>
        <v>0</v>
      </c>
      <c r="BU68" s="56" t="e">
        <f t="shared" si="76"/>
        <v>#DIV/0!</v>
      </c>
      <c r="BX68" s="60"/>
      <c r="BY68" s="60"/>
      <c r="BZ68" s="60"/>
      <c r="CA68" s="60"/>
      <c r="CB68" s="60"/>
      <c r="CC68" s="60"/>
      <c r="CD68" s="60"/>
      <c r="CE68" s="60"/>
      <c r="CF68" s="60"/>
      <c r="CG68" s="60"/>
      <c r="CH68" s="60"/>
      <c r="CI68" s="60"/>
      <c r="CJ68" s="60"/>
      <c r="CK68" s="60"/>
      <c r="CL68" s="60"/>
      <c r="CM68" s="60"/>
      <c r="CN68" s="60"/>
      <c r="CO68" s="60"/>
      <c r="CP68" s="60"/>
      <c r="CQ68" s="60"/>
      <c r="CR68" s="60"/>
      <c r="CS68" s="60"/>
      <c r="CT68" s="57">
        <f t="shared" si="77"/>
        <v>0</v>
      </c>
      <c r="CU68" s="57">
        <f t="shared" si="78"/>
        <v>0</v>
      </c>
      <c r="CV68" s="53">
        <f t="shared" si="79"/>
        <v>0</v>
      </c>
      <c r="CW68" s="53">
        <f t="shared" si="80"/>
        <v>0</v>
      </c>
      <c r="CX68" s="58" t="e">
        <f t="shared" si="81"/>
        <v>#DIV/0!</v>
      </c>
      <c r="CY68" s="53">
        <f t="shared" si="82"/>
        <v>0</v>
      </c>
      <c r="CZ68" s="53">
        <f t="shared" si="83"/>
        <v>0</v>
      </c>
      <c r="DA68" s="58" t="e">
        <f t="shared" si="84"/>
        <v>#DIV/0!</v>
      </c>
      <c r="DB68" s="48" t="e">
        <f t="shared" si="85"/>
        <v>#DIV/0!</v>
      </c>
      <c r="DC68" s="48" t="e">
        <f t="shared" si="86"/>
        <v>#DIV/0!</v>
      </c>
      <c r="DD68" s="48" t="e">
        <f t="shared" si="87"/>
        <v>#DIV/0!</v>
      </c>
      <c r="DE68" s="48" t="e">
        <f t="shared" si="88"/>
        <v>#DIV/0!</v>
      </c>
      <c r="DF68" s="48" t="e">
        <f t="shared" si="89"/>
        <v>#DIV/0!</v>
      </c>
      <c r="DG68" s="48" t="e">
        <f t="shared" si="90"/>
        <v>#DIV/0!</v>
      </c>
      <c r="DH68" s="48">
        <f>SUMIF(FCR!$BZ$4:$DB$500,DG68,FCR!$DE$4:$EG$500)</f>
        <v>0</v>
      </c>
      <c r="DI68" s="48" t="e">
        <f t="shared" si="91"/>
        <v>#DIV/0!</v>
      </c>
      <c r="DJ68" s="48">
        <f>SUMIF(FCR!$BZ$4:$DB$142,DI68,FCR!$DE$4:$EG$142)</f>
        <v>0</v>
      </c>
      <c r="DK68" s="48" t="e">
        <f t="shared" si="92"/>
        <v>#DIV/0!</v>
      </c>
      <c r="DL68" s="55" t="e">
        <f t="shared" si="93"/>
        <v>#DIV/0!</v>
      </c>
      <c r="DM68" s="48" t="e">
        <f t="shared" si="94"/>
        <v>#DIV/0!</v>
      </c>
      <c r="DN68" s="48">
        <f>SUMIF(FCR!$BZ$4:$DB$142,DM68,FCR!$DE$4:$EG$142)</f>
        <v>0</v>
      </c>
      <c r="DO68" s="53" t="e">
        <f t="shared" si="95"/>
        <v>#DIV/0!</v>
      </c>
      <c r="DP68" s="55" t="e">
        <f t="shared" si="96"/>
        <v>#DIV/0!</v>
      </c>
      <c r="DQ68" s="55" t="e">
        <f t="shared" si="97"/>
        <v>#DIV/0!</v>
      </c>
      <c r="DR68" s="55"/>
      <c r="DS68" s="55" t="e">
        <f t="shared" si="98"/>
        <v>#DIV/0!</v>
      </c>
      <c r="DT68" s="55" t="e">
        <f t="shared" si="99"/>
        <v>#DIV/0!</v>
      </c>
      <c r="DU68" s="53">
        <f t="shared" si="100"/>
        <v>0</v>
      </c>
      <c r="DV68" s="59" t="e">
        <f t="shared" si="101"/>
        <v>#DIV/0!</v>
      </c>
    </row>
    <row r="69" spans="30:126">
      <c r="AD69" s="49" t="s">
        <v>411</v>
      </c>
      <c r="AE69" s="49">
        <f t="shared" si="24"/>
        <v>0</v>
      </c>
      <c r="AF69" s="49">
        <f t="shared" si="48"/>
        <v>0</v>
      </c>
      <c r="AG69" s="114">
        <f t="shared" si="49"/>
        <v>0</v>
      </c>
      <c r="AH69" s="104">
        <f t="shared" si="50"/>
        <v>0</v>
      </c>
      <c r="AI69" s="104">
        <f t="shared" si="51"/>
        <v>0</v>
      </c>
      <c r="AJ69" s="104">
        <f t="shared" si="52"/>
        <v>0</v>
      </c>
      <c r="AK69" s="104">
        <f t="shared" si="53"/>
        <v>0</v>
      </c>
      <c r="AL69" s="104">
        <f t="shared" si="54"/>
        <v>0</v>
      </c>
      <c r="AM69" s="104">
        <f t="shared" si="55"/>
        <v>0</v>
      </c>
      <c r="AN69" s="104">
        <f t="shared" si="56"/>
        <v>0</v>
      </c>
      <c r="AO69" s="104">
        <f t="shared" si="57"/>
        <v>0</v>
      </c>
      <c r="AP69" s="104">
        <f t="shared" si="58"/>
        <v>0</v>
      </c>
      <c r="AQ69" s="49">
        <f t="shared" si="59"/>
        <v>0</v>
      </c>
      <c r="AR69" s="104">
        <f t="shared" si="60"/>
        <v>0</v>
      </c>
      <c r="AS69" s="104">
        <f t="shared" si="61"/>
        <v>0</v>
      </c>
      <c r="AT69" s="104">
        <f t="shared" si="62"/>
        <v>0</v>
      </c>
      <c r="AU69" s="104">
        <f t="shared" si="63"/>
        <v>0</v>
      </c>
      <c r="BF69" s="49">
        <f t="shared" si="64"/>
        <v>0</v>
      </c>
      <c r="BG69" s="49">
        <f t="shared" si="65"/>
        <v>0</v>
      </c>
      <c r="BH69" s="54" t="e">
        <f t="shared" si="66"/>
        <v>#DIV/0!</v>
      </c>
      <c r="BI69" s="112" t="e">
        <f t="shared" si="67"/>
        <v>#DIV/0!</v>
      </c>
      <c r="BK69" s="55" t="e">
        <f t="shared" si="68"/>
        <v>#DIV/0!</v>
      </c>
      <c r="BL69" s="55" t="e">
        <f t="shared" si="69"/>
        <v>#DIV/0!</v>
      </c>
      <c r="BM69" s="55" t="e">
        <f t="shared" si="70"/>
        <v>#DIV/0!</v>
      </c>
      <c r="BN69" s="53">
        <f t="shared" si="71"/>
        <v>0</v>
      </c>
      <c r="BO69" s="112" t="e">
        <f t="shared" si="72"/>
        <v>#DIV/0!</v>
      </c>
      <c r="BR69" s="53" t="e">
        <f t="shared" si="73"/>
        <v>#DIV/0!</v>
      </c>
      <c r="BS69" s="53">
        <f t="shared" si="74"/>
        <v>0</v>
      </c>
      <c r="BT69" s="53">
        <f t="shared" si="75"/>
        <v>0</v>
      </c>
      <c r="BU69" s="56" t="e">
        <f t="shared" si="76"/>
        <v>#DIV/0!</v>
      </c>
      <c r="BX69" s="60"/>
      <c r="BY69" s="60"/>
      <c r="BZ69" s="60"/>
      <c r="CA69" s="60"/>
      <c r="CB69" s="60"/>
      <c r="CC69" s="60"/>
      <c r="CD69" s="60"/>
      <c r="CE69" s="60"/>
      <c r="CF69" s="60"/>
      <c r="CG69" s="60"/>
      <c r="CH69" s="60"/>
      <c r="CI69" s="60"/>
      <c r="CJ69" s="60"/>
      <c r="CK69" s="60"/>
      <c r="CL69" s="60"/>
      <c r="CM69" s="60"/>
      <c r="CN69" s="60"/>
      <c r="CO69" s="60"/>
      <c r="CP69" s="60"/>
      <c r="CQ69" s="60"/>
      <c r="CR69" s="60"/>
      <c r="CS69" s="60"/>
      <c r="CT69" s="57">
        <f t="shared" si="77"/>
        <v>0</v>
      </c>
      <c r="CU69" s="57">
        <f t="shared" si="78"/>
        <v>0</v>
      </c>
      <c r="CV69" s="53">
        <f t="shared" si="79"/>
        <v>0</v>
      </c>
      <c r="CW69" s="53">
        <f t="shared" si="80"/>
        <v>0</v>
      </c>
      <c r="CX69" s="58" t="e">
        <f t="shared" si="81"/>
        <v>#DIV/0!</v>
      </c>
      <c r="CY69" s="53">
        <f t="shared" si="82"/>
        <v>0</v>
      </c>
      <c r="CZ69" s="53">
        <f t="shared" si="83"/>
        <v>0</v>
      </c>
      <c r="DA69" s="58" t="e">
        <f t="shared" si="84"/>
        <v>#DIV/0!</v>
      </c>
      <c r="DB69" s="48" t="e">
        <f t="shared" si="85"/>
        <v>#DIV/0!</v>
      </c>
      <c r="DC69" s="48" t="e">
        <f t="shared" si="86"/>
        <v>#DIV/0!</v>
      </c>
      <c r="DD69" s="48" t="e">
        <f t="shared" si="87"/>
        <v>#DIV/0!</v>
      </c>
      <c r="DE69" s="48" t="e">
        <f t="shared" si="88"/>
        <v>#DIV/0!</v>
      </c>
      <c r="DF69" s="48" t="e">
        <f t="shared" si="89"/>
        <v>#DIV/0!</v>
      </c>
      <c r="DG69" s="48" t="e">
        <f t="shared" si="90"/>
        <v>#DIV/0!</v>
      </c>
      <c r="DH69" s="48">
        <f>SUMIF(FCR!$BZ$4:$DB$500,DG69,FCR!$DE$4:$EG$500)</f>
        <v>0</v>
      </c>
      <c r="DI69" s="48" t="e">
        <f t="shared" si="91"/>
        <v>#DIV/0!</v>
      </c>
      <c r="DJ69" s="48">
        <f>SUMIF(FCR!$BZ$4:$DB$142,DI69,FCR!$DE$4:$EG$142)</f>
        <v>0</v>
      </c>
      <c r="DK69" s="48" t="e">
        <f t="shared" si="92"/>
        <v>#DIV/0!</v>
      </c>
      <c r="DL69" s="55" t="e">
        <f t="shared" si="93"/>
        <v>#DIV/0!</v>
      </c>
      <c r="DM69" s="48" t="e">
        <f t="shared" si="94"/>
        <v>#DIV/0!</v>
      </c>
      <c r="DN69" s="48">
        <f>SUMIF(FCR!$BZ$4:$DB$142,DM69,FCR!$DE$4:$EG$142)</f>
        <v>0</v>
      </c>
      <c r="DO69" s="53" t="e">
        <f t="shared" si="95"/>
        <v>#DIV/0!</v>
      </c>
      <c r="DP69" s="55" t="e">
        <f t="shared" si="96"/>
        <v>#DIV/0!</v>
      </c>
      <c r="DQ69" s="55" t="e">
        <f t="shared" si="97"/>
        <v>#DIV/0!</v>
      </c>
      <c r="DR69" s="55"/>
      <c r="DS69" s="55" t="e">
        <f t="shared" si="98"/>
        <v>#DIV/0!</v>
      </c>
      <c r="DT69" s="55" t="e">
        <f t="shared" si="99"/>
        <v>#DIV/0!</v>
      </c>
      <c r="DU69" s="53">
        <f t="shared" si="100"/>
        <v>0</v>
      </c>
      <c r="DV69" s="59" t="e">
        <f t="shared" si="101"/>
        <v>#DIV/0!</v>
      </c>
    </row>
    <row r="70" spans="30:126">
      <c r="AD70" s="49" t="s">
        <v>411</v>
      </c>
      <c r="AE70" s="49">
        <f t="shared" ref="AE70:AE133" si="102">+A70</f>
        <v>0</v>
      </c>
      <c r="AF70" s="49">
        <f t="shared" si="48"/>
        <v>0</v>
      </c>
      <c r="AG70" s="114">
        <f t="shared" si="49"/>
        <v>0</v>
      </c>
      <c r="AH70" s="104">
        <f t="shared" si="50"/>
        <v>0</v>
      </c>
      <c r="AI70" s="104">
        <f t="shared" si="51"/>
        <v>0</v>
      </c>
      <c r="AJ70" s="104">
        <f t="shared" si="52"/>
        <v>0</v>
      </c>
      <c r="AK70" s="104">
        <f t="shared" si="53"/>
        <v>0</v>
      </c>
      <c r="AL70" s="104">
        <f t="shared" si="54"/>
        <v>0</v>
      </c>
      <c r="AM70" s="104">
        <f t="shared" si="55"/>
        <v>0</v>
      </c>
      <c r="AN70" s="104">
        <f t="shared" si="56"/>
        <v>0</v>
      </c>
      <c r="AO70" s="104">
        <f t="shared" si="57"/>
        <v>0</v>
      </c>
      <c r="AP70" s="104">
        <f t="shared" si="58"/>
        <v>0</v>
      </c>
      <c r="AQ70" s="49">
        <f t="shared" si="59"/>
        <v>0</v>
      </c>
      <c r="AR70" s="104">
        <f t="shared" si="60"/>
        <v>0</v>
      </c>
      <c r="AS70" s="104">
        <f t="shared" si="61"/>
        <v>0</v>
      </c>
      <c r="AT70" s="104">
        <f t="shared" si="62"/>
        <v>0</v>
      </c>
      <c r="AU70" s="104">
        <f t="shared" si="63"/>
        <v>0</v>
      </c>
      <c r="BF70" s="49">
        <f t="shared" si="64"/>
        <v>0</v>
      </c>
      <c r="BG70" s="49">
        <f t="shared" si="65"/>
        <v>0</v>
      </c>
      <c r="BH70" s="54" t="e">
        <f t="shared" si="66"/>
        <v>#DIV/0!</v>
      </c>
      <c r="BI70" s="112" t="e">
        <f t="shared" si="67"/>
        <v>#DIV/0!</v>
      </c>
      <c r="BK70" s="55" t="e">
        <f t="shared" si="68"/>
        <v>#DIV/0!</v>
      </c>
      <c r="BL70" s="55" t="e">
        <f t="shared" si="69"/>
        <v>#DIV/0!</v>
      </c>
      <c r="BM70" s="55" t="e">
        <f t="shared" si="70"/>
        <v>#DIV/0!</v>
      </c>
      <c r="BN70" s="53">
        <f t="shared" si="71"/>
        <v>0</v>
      </c>
      <c r="BO70" s="112" t="e">
        <f t="shared" si="72"/>
        <v>#DIV/0!</v>
      </c>
      <c r="BR70" s="53" t="e">
        <f t="shared" si="73"/>
        <v>#DIV/0!</v>
      </c>
      <c r="BS70" s="53">
        <f t="shared" si="74"/>
        <v>0</v>
      </c>
      <c r="BT70" s="53">
        <f t="shared" si="75"/>
        <v>0</v>
      </c>
      <c r="BU70" s="56" t="e">
        <f t="shared" si="76"/>
        <v>#DIV/0!</v>
      </c>
      <c r="BX70" s="60"/>
      <c r="BY70" s="60"/>
      <c r="BZ70" s="60"/>
      <c r="CA70" s="60"/>
      <c r="CB70" s="60"/>
      <c r="CC70" s="60"/>
      <c r="CD70" s="60"/>
      <c r="CE70" s="60"/>
      <c r="CF70" s="60"/>
      <c r="CG70" s="60"/>
      <c r="CH70" s="60"/>
      <c r="CI70" s="60"/>
      <c r="CJ70" s="60"/>
      <c r="CK70" s="60"/>
      <c r="CL70" s="60"/>
      <c r="CM70" s="60"/>
      <c r="CN70" s="60"/>
      <c r="CO70" s="60"/>
      <c r="CP70" s="60"/>
      <c r="CQ70" s="60"/>
      <c r="CR70" s="60"/>
      <c r="CS70" s="60"/>
      <c r="CT70" s="57">
        <f t="shared" si="77"/>
        <v>0</v>
      </c>
      <c r="CU70" s="57">
        <f t="shared" si="78"/>
        <v>0</v>
      </c>
      <c r="CV70" s="53">
        <f t="shared" si="79"/>
        <v>0</v>
      </c>
      <c r="CW70" s="53">
        <f t="shared" si="80"/>
        <v>0</v>
      </c>
      <c r="CX70" s="58" t="e">
        <f t="shared" si="81"/>
        <v>#DIV/0!</v>
      </c>
      <c r="CY70" s="53">
        <f t="shared" si="82"/>
        <v>0</v>
      </c>
      <c r="CZ70" s="53">
        <f t="shared" si="83"/>
        <v>0</v>
      </c>
      <c r="DA70" s="58" t="e">
        <f t="shared" si="84"/>
        <v>#DIV/0!</v>
      </c>
      <c r="DB70" s="48" t="e">
        <f t="shared" si="85"/>
        <v>#DIV/0!</v>
      </c>
      <c r="DC70" s="48" t="e">
        <f t="shared" si="86"/>
        <v>#DIV/0!</v>
      </c>
      <c r="DD70" s="48" t="e">
        <f t="shared" si="87"/>
        <v>#DIV/0!</v>
      </c>
      <c r="DE70" s="48" t="e">
        <f t="shared" si="88"/>
        <v>#DIV/0!</v>
      </c>
      <c r="DF70" s="48" t="e">
        <f t="shared" si="89"/>
        <v>#DIV/0!</v>
      </c>
      <c r="DG70" s="48" t="e">
        <f t="shared" si="90"/>
        <v>#DIV/0!</v>
      </c>
      <c r="DH70" s="48">
        <f>SUMIF(FCR!$BZ$4:$DB$500,DG70,FCR!$DE$4:$EG$500)</f>
        <v>0</v>
      </c>
      <c r="DI70" s="48" t="e">
        <f t="shared" si="91"/>
        <v>#DIV/0!</v>
      </c>
      <c r="DJ70" s="48">
        <f>SUMIF(FCR!$BZ$4:$DB$142,DI70,FCR!$DE$4:$EG$142)</f>
        <v>0</v>
      </c>
      <c r="DK70" s="48" t="e">
        <f t="shared" si="92"/>
        <v>#DIV/0!</v>
      </c>
      <c r="DL70" s="55" t="e">
        <f t="shared" si="93"/>
        <v>#DIV/0!</v>
      </c>
      <c r="DM70" s="48" t="e">
        <f t="shared" si="94"/>
        <v>#DIV/0!</v>
      </c>
      <c r="DN70" s="48">
        <f>SUMIF(FCR!$BZ$4:$DB$142,DM70,FCR!$DE$4:$EG$142)</f>
        <v>0</v>
      </c>
      <c r="DO70" s="53" t="e">
        <f t="shared" si="95"/>
        <v>#DIV/0!</v>
      </c>
      <c r="DP70" s="55" t="e">
        <f t="shared" si="96"/>
        <v>#DIV/0!</v>
      </c>
      <c r="DQ70" s="55" t="e">
        <f t="shared" si="97"/>
        <v>#DIV/0!</v>
      </c>
      <c r="DR70" s="55"/>
      <c r="DS70" s="55" t="e">
        <f t="shared" si="98"/>
        <v>#DIV/0!</v>
      </c>
      <c r="DT70" s="55" t="e">
        <f t="shared" si="99"/>
        <v>#DIV/0!</v>
      </c>
      <c r="DU70" s="53">
        <f t="shared" si="100"/>
        <v>0</v>
      </c>
      <c r="DV70" s="59" t="e">
        <f t="shared" si="101"/>
        <v>#DIV/0!</v>
      </c>
    </row>
    <row r="71" spans="30:126">
      <c r="AD71" s="49" t="s">
        <v>411</v>
      </c>
      <c r="AE71" s="49">
        <f t="shared" si="102"/>
        <v>0</v>
      </c>
      <c r="AF71" s="49">
        <f t="shared" si="48"/>
        <v>0</v>
      </c>
      <c r="AG71" s="114">
        <f t="shared" si="49"/>
        <v>0</v>
      </c>
      <c r="AH71" s="104">
        <f t="shared" si="50"/>
        <v>0</v>
      </c>
      <c r="AI71" s="104">
        <f t="shared" si="51"/>
        <v>0</v>
      </c>
      <c r="AJ71" s="104">
        <f t="shared" si="52"/>
        <v>0</v>
      </c>
      <c r="AK71" s="104">
        <f t="shared" si="53"/>
        <v>0</v>
      </c>
      <c r="AL71" s="104">
        <f t="shared" si="54"/>
        <v>0</v>
      </c>
      <c r="AM71" s="104">
        <f t="shared" si="55"/>
        <v>0</v>
      </c>
      <c r="AN71" s="104">
        <f t="shared" si="56"/>
        <v>0</v>
      </c>
      <c r="AO71" s="104">
        <f t="shared" si="57"/>
        <v>0</v>
      </c>
      <c r="AP71" s="104">
        <f t="shared" si="58"/>
        <v>0</v>
      </c>
      <c r="AQ71" s="49">
        <f t="shared" si="59"/>
        <v>0</v>
      </c>
      <c r="AR71" s="104">
        <f t="shared" si="60"/>
        <v>0</v>
      </c>
      <c r="AS71" s="104">
        <f t="shared" si="61"/>
        <v>0</v>
      </c>
      <c r="AT71" s="104">
        <f t="shared" si="62"/>
        <v>0</v>
      </c>
      <c r="AU71" s="104">
        <f t="shared" si="63"/>
        <v>0</v>
      </c>
      <c r="BF71" s="49">
        <f t="shared" si="64"/>
        <v>0</v>
      </c>
      <c r="BG71" s="49">
        <f t="shared" si="65"/>
        <v>0</v>
      </c>
      <c r="BH71" s="54" t="e">
        <f t="shared" si="66"/>
        <v>#DIV/0!</v>
      </c>
      <c r="BI71" s="112" t="e">
        <f t="shared" si="67"/>
        <v>#DIV/0!</v>
      </c>
      <c r="BK71" s="55" t="e">
        <f t="shared" si="68"/>
        <v>#DIV/0!</v>
      </c>
      <c r="BL71" s="55" t="e">
        <f t="shared" si="69"/>
        <v>#DIV/0!</v>
      </c>
      <c r="BM71" s="55" t="e">
        <f t="shared" si="70"/>
        <v>#DIV/0!</v>
      </c>
      <c r="BN71" s="53">
        <f t="shared" si="71"/>
        <v>0</v>
      </c>
      <c r="BO71" s="112" t="e">
        <f t="shared" si="72"/>
        <v>#DIV/0!</v>
      </c>
      <c r="BR71" s="53" t="e">
        <f t="shared" si="73"/>
        <v>#DIV/0!</v>
      </c>
      <c r="BS71" s="53">
        <f t="shared" si="74"/>
        <v>0</v>
      </c>
      <c r="BT71" s="53">
        <f t="shared" si="75"/>
        <v>0</v>
      </c>
      <c r="BU71" s="56" t="e">
        <f t="shared" si="76"/>
        <v>#DIV/0!</v>
      </c>
      <c r="BX71" s="60"/>
      <c r="BY71" s="60"/>
      <c r="BZ71" s="60"/>
      <c r="CA71" s="60"/>
      <c r="CB71" s="60"/>
      <c r="CC71" s="60"/>
      <c r="CD71" s="60"/>
      <c r="CE71" s="60"/>
      <c r="CF71" s="60"/>
      <c r="CG71" s="60"/>
      <c r="CH71" s="60"/>
      <c r="CI71" s="60"/>
      <c r="CJ71" s="60"/>
      <c r="CK71" s="60"/>
      <c r="CL71" s="60"/>
      <c r="CM71" s="60"/>
      <c r="CN71" s="60"/>
      <c r="CO71" s="60"/>
      <c r="CP71" s="60"/>
      <c r="CQ71" s="60"/>
      <c r="CR71" s="60"/>
      <c r="CS71" s="60"/>
      <c r="CT71" s="57">
        <f t="shared" si="77"/>
        <v>0</v>
      </c>
      <c r="CU71" s="57">
        <f t="shared" si="78"/>
        <v>0</v>
      </c>
      <c r="CV71" s="53">
        <f t="shared" si="79"/>
        <v>0</v>
      </c>
      <c r="CW71" s="53">
        <f t="shared" si="80"/>
        <v>0</v>
      </c>
      <c r="CX71" s="58" t="e">
        <f t="shared" si="81"/>
        <v>#DIV/0!</v>
      </c>
      <c r="CY71" s="53">
        <f t="shared" si="82"/>
        <v>0</v>
      </c>
      <c r="CZ71" s="53">
        <f t="shared" si="83"/>
        <v>0</v>
      </c>
      <c r="DA71" s="58" t="e">
        <f t="shared" si="84"/>
        <v>#DIV/0!</v>
      </c>
      <c r="DB71" s="48" t="e">
        <f t="shared" si="85"/>
        <v>#DIV/0!</v>
      </c>
      <c r="DC71" s="48" t="e">
        <f t="shared" si="86"/>
        <v>#DIV/0!</v>
      </c>
      <c r="DD71" s="48" t="e">
        <f t="shared" si="87"/>
        <v>#DIV/0!</v>
      </c>
      <c r="DE71" s="48" t="e">
        <f t="shared" si="88"/>
        <v>#DIV/0!</v>
      </c>
      <c r="DF71" s="48" t="e">
        <f t="shared" si="89"/>
        <v>#DIV/0!</v>
      </c>
      <c r="DG71" s="48" t="e">
        <f t="shared" si="90"/>
        <v>#DIV/0!</v>
      </c>
      <c r="DH71" s="48">
        <f>SUMIF(FCR!$BZ$4:$DB$500,DG71,FCR!$DE$4:$EG$500)</f>
        <v>0</v>
      </c>
      <c r="DI71" s="48" t="e">
        <f t="shared" si="91"/>
        <v>#DIV/0!</v>
      </c>
      <c r="DJ71" s="48">
        <f>SUMIF(FCR!$BZ$4:$DB$142,DI71,FCR!$DE$4:$EG$142)</f>
        <v>0</v>
      </c>
      <c r="DK71" s="48" t="e">
        <f t="shared" si="92"/>
        <v>#DIV/0!</v>
      </c>
      <c r="DL71" s="55" t="e">
        <f t="shared" si="93"/>
        <v>#DIV/0!</v>
      </c>
      <c r="DM71" s="48" t="e">
        <f t="shared" si="94"/>
        <v>#DIV/0!</v>
      </c>
      <c r="DN71" s="48">
        <f>SUMIF(FCR!$BZ$4:$DB$142,DM71,FCR!$DE$4:$EG$142)</f>
        <v>0</v>
      </c>
      <c r="DO71" s="53" t="e">
        <f t="shared" si="95"/>
        <v>#DIV/0!</v>
      </c>
      <c r="DP71" s="55" t="e">
        <f t="shared" si="96"/>
        <v>#DIV/0!</v>
      </c>
      <c r="DQ71" s="55" t="e">
        <f t="shared" si="97"/>
        <v>#DIV/0!</v>
      </c>
      <c r="DR71" s="55"/>
      <c r="DS71" s="55" t="e">
        <f t="shared" si="98"/>
        <v>#DIV/0!</v>
      </c>
      <c r="DT71" s="55" t="e">
        <f t="shared" si="99"/>
        <v>#DIV/0!</v>
      </c>
      <c r="DU71" s="53">
        <f t="shared" si="100"/>
        <v>0</v>
      </c>
      <c r="DV71" s="59" t="e">
        <f t="shared" si="101"/>
        <v>#DIV/0!</v>
      </c>
    </row>
    <row r="72" spans="30:126">
      <c r="AD72" s="49" t="s">
        <v>411</v>
      </c>
      <c r="AE72" s="49">
        <f t="shared" si="102"/>
        <v>0</v>
      </c>
      <c r="AF72" s="49">
        <f t="shared" si="48"/>
        <v>0</v>
      </c>
      <c r="AG72" s="114">
        <f t="shared" si="49"/>
        <v>0</v>
      </c>
      <c r="AH72" s="104">
        <f t="shared" si="50"/>
        <v>0</v>
      </c>
      <c r="AI72" s="104">
        <f t="shared" si="51"/>
        <v>0</v>
      </c>
      <c r="AJ72" s="104">
        <f t="shared" si="52"/>
        <v>0</v>
      </c>
      <c r="AK72" s="104">
        <f t="shared" si="53"/>
        <v>0</v>
      </c>
      <c r="AL72" s="104">
        <f t="shared" si="54"/>
        <v>0</v>
      </c>
      <c r="AM72" s="104">
        <f t="shared" si="55"/>
        <v>0</v>
      </c>
      <c r="AN72" s="104">
        <f t="shared" si="56"/>
        <v>0</v>
      </c>
      <c r="AO72" s="104">
        <f t="shared" si="57"/>
        <v>0</v>
      </c>
      <c r="AP72" s="104">
        <f t="shared" si="58"/>
        <v>0</v>
      </c>
      <c r="AQ72" s="49">
        <f t="shared" si="59"/>
        <v>0</v>
      </c>
      <c r="AR72" s="104">
        <f t="shared" si="60"/>
        <v>0</v>
      </c>
      <c r="AS72" s="104">
        <f t="shared" si="61"/>
        <v>0</v>
      </c>
      <c r="AT72" s="104">
        <f t="shared" si="62"/>
        <v>0</v>
      </c>
      <c r="AU72" s="104">
        <f t="shared" si="63"/>
        <v>0</v>
      </c>
      <c r="BF72" s="49">
        <f t="shared" si="64"/>
        <v>0</v>
      </c>
      <c r="BG72" s="49">
        <f t="shared" si="65"/>
        <v>0</v>
      </c>
      <c r="BH72" s="54" t="e">
        <f t="shared" si="66"/>
        <v>#DIV/0!</v>
      </c>
      <c r="BI72" s="112" t="e">
        <f t="shared" si="67"/>
        <v>#DIV/0!</v>
      </c>
      <c r="BK72" s="55" t="e">
        <f t="shared" si="68"/>
        <v>#DIV/0!</v>
      </c>
      <c r="BL72" s="55" t="e">
        <f t="shared" si="69"/>
        <v>#DIV/0!</v>
      </c>
      <c r="BM72" s="55" t="e">
        <f t="shared" si="70"/>
        <v>#DIV/0!</v>
      </c>
      <c r="BN72" s="53">
        <f t="shared" si="71"/>
        <v>0</v>
      </c>
      <c r="BO72" s="112" t="e">
        <f t="shared" si="72"/>
        <v>#DIV/0!</v>
      </c>
      <c r="BR72" s="53" t="e">
        <f t="shared" si="73"/>
        <v>#DIV/0!</v>
      </c>
      <c r="BS72" s="53">
        <f t="shared" si="74"/>
        <v>0</v>
      </c>
      <c r="BT72" s="53">
        <f t="shared" si="75"/>
        <v>0</v>
      </c>
      <c r="BU72" s="56" t="e">
        <f t="shared" si="76"/>
        <v>#DIV/0!</v>
      </c>
      <c r="BX72" s="60"/>
      <c r="BY72" s="60"/>
      <c r="BZ72" s="60"/>
      <c r="CA72" s="60"/>
      <c r="CB72" s="60"/>
      <c r="CC72" s="60"/>
      <c r="CD72" s="60"/>
      <c r="CE72" s="60"/>
      <c r="CF72" s="60"/>
      <c r="CG72" s="60"/>
      <c r="CH72" s="60"/>
      <c r="CI72" s="60"/>
      <c r="CJ72" s="60"/>
      <c r="CK72" s="60"/>
      <c r="CL72" s="60"/>
      <c r="CM72" s="60"/>
      <c r="CN72" s="60"/>
      <c r="CO72" s="60"/>
      <c r="CP72" s="60"/>
      <c r="CQ72" s="60"/>
      <c r="CR72" s="60"/>
      <c r="CS72" s="60"/>
      <c r="CT72" s="57">
        <f t="shared" si="77"/>
        <v>0</v>
      </c>
      <c r="CU72" s="57">
        <f t="shared" si="78"/>
        <v>0</v>
      </c>
      <c r="CV72" s="53">
        <f t="shared" si="79"/>
        <v>0</v>
      </c>
      <c r="CW72" s="53">
        <f t="shared" si="80"/>
        <v>0</v>
      </c>
      <c r="CX72" s="58" t="e">
        <f t="shared" si="81"/>
        <v>#DIV/0!</v>
      </c>
      <c r="CY72" s="53">
        <f t="shared" si="82"/>
        <v>0</v>
      </c>
      <c r="CZ72" s="53">
        <f t="shared" si="83"/>
        <v>0</v>
      </c>
      <c r="DA72" s="58" t="e">
        <f t="shared" si="84"/>
        <v>#DIV/0!</v>
      </c>
      <c r="DB72" s="48" t="e">
        <f t="shared" si="85"/>
        <v>#DIV/0!</v>
      </c>
      <c r="DC72" s="48" t="e">
        <f t="shared" si="86"/>
        <v>#DIV/0!</v>
      </c>
      <c r="DD72" s="48" t="e">
        <f t="shared" si="87"/>
        <v>#DIV/0!</v>
      </c>
      <c r="DE72" s="48" t="e">
        <f t="shared" si="88"/>
        <v>#DIV/0!</v>
      </c>
      <c r="DF72" s="48" t="e">
        <f t="shared" si="89"/>
        <v>#DIV/0!</v>
      </c>
      <c r="DG72" s="48" t="e">
        <f t="shared" si="90"/>
        <v>#DIV/0!</v>
      </c>
      <c r="DH72" s="48">
        <f>SUMIF(FCR!$BZ$4:$DB$500,DG72,FCR!$DE$4:$EG$500)</f>
        <v>0</v>
      </c>
      <c r="DI72" s="48" t="e">
        <f t="shared" si="91"/>
        <v>#DIV/0!</v>
      </c>
      <c r="DJ72" s="48">
        <f>SUMIF(FCR!$BZ$4:$DB$142,DI72,FCR!$DE$4:$EG$142)</f>
        <v>0</v>
      </c>
      <c r="DK72" s="48" t="e">
        <f t="shared" si="92"/>
        <v>#DIV/0!</v>
      </c>
      <c r="DL72" s="55" t="e">
        <f t="shared" si="93"/>
        <v>#DIV/0!</v>
      </c>
      <c r="DM72" s="48" t="e">
        <f t="shared" si="94"/>
        <v>#DIV/0!</v>
      </c>
      <c r="DN72" s="48">
        <f>SUMIF(FCR!$BZ$4:$DB$142,DM72,FCR!$DE$4:$EG$142)</f>
        <v>0</v>
      </c>
      <c r="DO72" s="53" t="e">
        <f t="shared" si="95"/>
        <v>#DIV/0!</v>
      </c>
      <c r="DP72" s="55" t="e">
        <f t="shared" si="96"/>
        <v>#DIV/0!</v>
      </c>
      <c r="DQ72" s="55" t="e">
        <f t="shared" si="97"/>
        <v>#DIV/0!</v>
      </c>
      <c r="DR72" s="55"/>
      <c r="DS72" s="55" t="e">
        <f t="shared" si="98"/>
        <v>#DIV/0!</v>
      </c>
      <c r="DT72" s="55" t="e">
        <f t="shared" si="99"/>
        <v>#DIV/0!</v>
      </c>
      <c r="DU72" s="53">
        <f t="shared" si="100"/>
        <v>0</v>
      </c>
      <c r="DV72" s="59" t="e">
        <f t="shared" si="101"/>
        <v>#DIV/0!</v>
      </c>
    </row>
    <row r="73" spans="30:126">
      <c r="AD73" s="49" t="s">
        <v>411</v>
      </c>
      <c r="AE73" s="49">
        <f t="shared" si="102"/>
        <v>0</v>
      </c>
      <c r="AF73" s="49">
        <f t="shared" si="48"/>
        <v>0</v>
      </c>
      <c r="AG73" s="114">
        <f t="shared" si="49"/>
        <v>0</v>
      </c>
      <c r="AH73" s="104">
        <f t="shared" si="50"/>
        <v>0</v>
      </c>
      <c r="AI73" s="104">
        <f t="shared" si="51"/>
        <v>0</v>
      </c>
      <c r="AJ73" s="104">
        <f t="shared" si="52"/>
        <v>0</v>
      </c>
      <c r="AK73" s="104">
        <f t="shared" si="53"/>
        <v>0</v>
      </c>
      <c r="AL73" s="104">
        <f t="shared" si="54"/>
        <v>0</v>
      </c>
      <c r="AM73" s="104">
        <f t="shared" si="55"/>
        <v>0</v>
      </c>
      <c r="AN73" s="104">
        <f t="shared" si="56"/>
        <v>0</v>
      </c>
      <c r="AO73" s="104">
        <f t="shared" si="57"/>
        <v>0</v>
      </c>
      <c r="AP73" s="104">
        <f t="shared" si="58"/>
        <v>0</v>
      </c>
      <c r="AQ73" s="49">
        <f t="shared" si="59"/>
        <v>0</v>
      </c>
      <c r="AR73" s="104">
        <f t="shared" si="60"/>
        <v>0</v>
      </c>
      <c r="AS73" s="104">
        <f t="shared" si="61"/>
        <v>0</v>
      </c>
      <c r="AT73" s="104">
        <f t="shared" si="62"/>
        <v>0</v>
      </c>
      <c r="AU73" s="104">
        <f t="shared" si="63"/>
        <v>0</v>
      </c>
      <c r="BF73" s="49">
        <f t="shared" si="64"/>
        <v>0</v>
      </c>
      <c r="BG73" s="49">
        <f t="shared" si="65"/>
        <v>0</v>
      </c>
      <c r="BH73" s="54" t="e">
        <f t="shared" si="66"/>
        <v>#DIV/0!</v>
      </c>
      <c r="BI73" s="112" t="e">
        <f t="shared" si="67"/>
        <v>#DIV/0!</v>
      </c>
      <c r="BK73" s="55" t="e">
        <f t="shared" si="68"/>
        <v>#DIV/0!</v>
      </c>
      <c r="BL73" s="55" t="e">
        <f t="shared" si="69"/>
        <v>#DIV/0!</v>
      </c>
      <c r="BM73" s="55" t="e">
        <f t="shared" si="70"/>
        <v>#DIV/0!</v>
      </c>
      <c r="BN73" s="53">
        <f t="shared" si="71"/>
        <v>0</v>
      </c>
      <c r="BO73" s="112" t="e">
        <f t="shared" si="72"/>
        <v>#DIV/0!</v>
      </c>
      <c r="BR73" s="53" t="e">
        <f t="shared" si="73"/>
        <v>#DIV/0!</v>
      </c>
      <c r="BS73" s="53">
        <f t="shared" si="74"/>
        <v>0</v>
      </c>
      <c r="BT73" s="53">
        <f t="shared" si="75"/>
        <v>0</v>
      </c>
      <c r="BU73" s="56" t="e">
        <f t="shared" si="76"/>
        <v>#DIV/0!</v>
      </c>
      <c r="BX73" s="60"/>
      <c r="BY73" s="60"/>
      <c r="BZ73" s="60"/>
      <c r="CA73" s="60"/>
      <c r="CB73" s="60"/>
      <c r="CC73" s="60"/>
      <c r="CD73" s="60"/>
      <c r="CE73" s="60"/>
      <c r="CF73" s="60"/>
      <c r="CG73" s="60"/>
      <c r="CH73" s="60"/>
      <c r="CI73" s="60"/>
      <c r="CJ73" s="60"/>
      <c r="CK73" s="60"/>
      <c r="CL73" s="60"/>
      <c r="CM73" s="60"/>
      <c r="CN73" s="60"/>
      <c r="CO73" s="60"/>
      <c r="CP73" s="60"/>
      <c r="CQ73" s="60"/>
      <c r="CR73" s="60"/>
      <c r="CS73" s="60"/>
      <c r="CT73" s="57">
        <f t="shared" si="77"/>
        <v>0</v>
      </c>
      <c r="CU73" s="57">
        <f t="shared" si="78"/>
        <v>0</v>
      </c>
      <c r="CV73" s="53">
        <f t="shared" si="79"/>
        <v>0</v>
      </c>
      <c r="CW73" s="53">
        <f t="shared" si="80"/>
        <v>0</v>
      </c>
      <c r="CX73" s="58" t="e">
        <f t="shared" si="81"/>
        <v>#DIV/0!</v>
      </c>
      <c r="CY73" s="53">
        <f t="shared" si="82"/>
        <v>0</v>
      </c>
      <c r="CZ73" s="53">
        <f t="shared" si="83"/>
        <v>0</v>
      </c>
      <c r="DA73" s="58" t="e">
        <f t="shared" si="84"/>
        <v>#DIV/0!</v>
      </c>
      <c r="DB73" s="48" t="e">
        <f t="shared" si="85"/>
        <v>#DIV/0!</v>
      </c>
      <c r="DC73" s="48" t="e">
        <f t="shared" si="86"/>
        <v>#DIV/0!</v>
      </c>
      <c r="DD73" s="48" t="e">
        <f t="shared" si="87"/>
        <v>#DIV/0!</v>
      </c>
      <c r="DE73" s="48" t="e">
        <f t="shared" si="88"/>
        <v>#DIV/0!</v>
      </c>
      <c r="DF73" s="48" t="e">
        <f t="shared" si="89"/>
        <v>#DIV/0!</v>
      </c>
      <c r="DG73" s="48" t="e">
        <f t="shared" si="90"/>
        <v>#DIV/0!</v>
      </c>
      <c r="DH73" s="48">
        <f>SUMIF(FCR!$BZ$4:$DB$500,DG73,FCR!$DE$4:$EG$500)</f>
        <v>0</v>
      </c>
      <c r="DI73" s="48" t="e">
        <f t="shared" si="91"/>
        <v>#DIV/0!</v>
      </c>
      <c r="DJ73" s="48">
        <f>SUMIF(FCR!$BZ$4:$DB$142,DI73,FCR!$DE$4:$EG$142)</f>
        <v>0</v>
      </c>
      <c r="DK73" s="48" t="e">
        <f t="shared" si="92"/>
        <v>#DIV/0!</v>
      </c>
      <c r="DL73" s="55" t="e">
        <f t="shared" si="93"/>
        <v>#DIV/0!</v>
      </c>
      <c r="DM73" s="48" t="e">
        <f t="shared" si="94"/>
        <v>#DIV/0!</v>
      </c>
      <c r="DN73" s="48">
        <f>SUMIF(FCR!$BZ$4:$DB$142,DM73,FCR!$DE$4:$EG$142)</f>
        <v>0</v>
      </c>
      <c r="DO73" s="53" t="e">
        <f t="shared" si="95"/>
        <v>#DIV/0!</v>
      </c>
      <c r="DP73" s="55" t="e">
        <f t="shared" si="96"/>
        <v>#DIV/0!</v>
      </c>
      <c r="DQ73" s="55" t="e">
        <f t="shared" si="97"/>
        <v>#DIV/0!</v>
      </c>
      <c r="DR73" s="55"/>
      <c r="DS73" s="55" t="e">
        <f t="shared" si="98"/>
        <v>#DIV/0!</v>
      </c>
      <c r="DT73" s="55" t="e">
        <f t="shared" si="99"/>
        <v>#DIV/0!</v>
      </c>
      <c r="DU73" s="53">
        <f t="shared" si="100"/>
        <v>0</v>
      </c>
      <c r="DV73" s="59" t="e">
        <f t="shared" si="101"/>
        <v>#DIV/0!</v>
      </c>
    </row>
    <row r="74" spans="30:126">
      <c r="AD74" s="49" t="s">
        <v>411</v>
      </c>
      <c r="AE74" s="49">
        <f t="shared" si="102"/>
        <v>0</v>
      </c>
      <c r="AF74" s="49">
        <f t="shared" si="48"/>
        <v>0</v>
      </c>
      <c r="AG74" s="114">
        <f t="shared" si="49"/>
        <v>0</v>
      </c>
      <c r="AH74" s="104">
        <f t="shared" si="50"/>
        <v>0</v>
      </c>
      <c r="AI74" s="104">
        <f t="shared" si="51"/>
        <v>0</v>
      </c>
      <c r="AJ74" s="104">
        <f t="shared" si="52"/>
        <v>0</v>
      </c>
      <c r="AK74" s="104">
        <f t="shared" si="53"/>
        <v>0</v>
      </c>
      <c r="AL74" s="104">
        <f t="shared" si="54"/>
        <v>0</v>
      </c>
      <c r="AM74" s="104">
        <f t="shared" si="55"/>
        <v>0</v>
      </c>
      <c r="AN74" s="104">
        <f t="shared" si="56"/>
        <v>0</v>
      </c>
      <c r="AO74" s="104">
        <f t="shared" si="57"/>
        <v>0</v>
      </c>
      <c r="AP74" s="104">
        <f t="shared" si="58"/>
        <v>0</v>
      </c>
      <c r="AQ74" s="49">
        <f t="shared" si="59"/>
        <v>0</v>
      </c>
      <c r="AR74" s="104">
        <f t="shared" si="60"/>
        <v>0</v>
      </c>
      <c r="AS74" s="104">
        <f t="shared" si="61"/>
        <v>0</v>
      </c>
      <c r="AT74" s="104">
        <f t="shared" si="62"/>
        <v>0</v>
      </c>
      <c r="AU74" s="104">
        <f t="shared" si="63"/>
        <v>0</v>
      </c>
      <c r="BF74" s="49">
        <f t="shared" si="64"/>
        <v>0</v>
      </c>
      <c r="BG74" s="49">
        <f t="shared" si="65"/>
        <v>0</v>
      </c>
      <c r="BH74" s="54" t="e">
        <f t="shared" si="66"/>
        <v>#DIV/0!</v>
      </c>
      <c r="BI74" s="112" t="e">
        <f t="shared" si="67"/>
        <v>#DIV/0!</v>
      </c>
      <c r="BK74" s="55" t="e">
        <f t="shared" si="68"/>
        <v>#DIV/0!</v>
      </c>
      <c r="BL74" s="55" t="e">
        <f t="shared" si="69"/>
        <v>#DIV/0!</v>
      </c>
      <c r="BM74" s="55" t="e">
        <f t="shared" si="70"/>
        <v>#DIV/0!</v>
      </c>
      <c r="BN74" s="53">
        <f t="shared" si="71"/>
        <v>0</v>
      </c>
      <c r="BO74" s="112" t="e">
        <f t="shared" si="72"/>
        <v>#DIV/0!</v>
      </c>
      <c r="BR74" s="53" t="e">
        <f t="shared" si="73"/>
        <v>#DIV/0!</v>
      </c>
      <c r="BS74" s="53">
        <f t="shared" si="74"/>
        <v>0</v>
      </c>
      <c r="BT74" s="53">
        <f t="shared" si="75"/>
        <v>0</v>
      </c>
      <c r="BU74" s="56" t="e">
        <f t="shared" si="76"/>
        <v>#DIV/0!</v>
      </c>
      <c r="BX74" s="60"/>
      <c r="BY74" s="60"/>
      <c r="BZ74" s="60"/>
      <c r="CA74" s="60"/>
      <c r="CB74" s="60"/>
      <c r="CC74" s="60"/>
      <c r="CD74" s="60"/>
      <c r="CE74" s="60"/>
      <c r="CF74" s="60"/>
      <c r="CG74" s="60"/>
      <c r="CH74" s="60"/>
      <c r="CI74" s="60"/>
      <c r="CJ74" s="60"/>
      <c r="CK74" s="60"/>
      <c r="CL74" s="60"/>
      <c r="CM74" s="60"/>
      <c r="CN74" s="60"/>
      <c r="CO74" s="60"/>
      <c r="CP74" s="60"/>
      <c r="CQ74" s="60"/>
      <c r="CR74" s="60"/>
      <c r="CS74" s="60"/>
      <c r="CT74" s="57">
        <f t="shared" si="77"/>
        <v>0</v>
      </c>
      <c r="CU74" s="57">
        <f t="shared" si="78"/>
        <v>0</v>
      </c>
      <c r="CV74" s="53">
        <f t="shared" si="79"/>
        <v>0</v>
      </c>
      <c r="CW74" s="53">
        <f t="shared" si="80"/>
        <v>0</v>
      </c>
      <c r="CX74" s="58" t="e">
        <f t="shared" si="81"/>
        <v>#DIV/0!</v>
      </c>
      <c r="CY74" s="53">
        <f t="shared" si="82"/>
        <v>0</v>
      </c>
      <c r="CZ74" s="53">
        <f t="shared" si="83"/>
        <v>0</v>
      </c>
      <c r="DA74" s="58" t="e">
        <f t="shared" si="84"/>
        <v>#DIV/0!</v>
      </c>
      <c r="DB74" s="48" t="e">
        <f t="shared" si="85"/>
        <v>#DIV/0!</v>
      </c>
      <c r="DC74" s="48" t="e">
        <f t="shared" si="86"/>
        <v>#DIV/0!</v>
      </c>
      <c r="DD74" s="48" t="e">
        <f t="shared" si="87"/>
        <v>#DIV/0!</v>
      </c>
      <c r="DE74" s="48" t="e">
        <f t="shared" si="88"/>
        <v>#DIV/0!</v>
      </c>
      <c r="DF74" s="48" t="e">
        <f t="shared" si="89"/>
        <v>#DIV/0!</v>
      </c>
      <c r="DG74" s="48" t="e">
        <f t="shared" si="90"/>
        <v>#DIV/0!</v>
      </c>
      <c r="DH74" s="48">
        <f>SUMIF(FCR!$BZ$4:$DB$500,DG74,FCR!$DE$4:$EG$500)</f>
        <v>0</v>
      </c>
      <c r="DI74" s="48" t="e">
        <f t="shared" si="91"/>
        <v>#DIV/0!</v>
      </c>
      <c r="DJ74" s="48">
        <f>SUMIF(FCR!$BZ$4:$DB$142,DI74,FCR!$DE$4:$EG$142)</f>
        <v>0</v>
      </c>
      <c r="DK74" s="48" t="e">
        <f t="shared" si="92"/>
        <v>#DIV/0!</v>
      </c>
      <c r="DL74" s="55" t="e">
        <f t="shared" si="93"/>
        <v>#DIV/0!</v>
      </c>
      <c r="DM74" s="48" t="e">
        <f t="shared" si="94"/>
        <v>#DIV/0!</v>
      </c>
      <c r="DN74" s="48">
        <f>SUMIF(FCR!$BZ$4:$DB$142,DM74,FCR!$DE$4:$EG$142)</f>
        <v>0</v>
      </c>
      <c r="DO74" s="53" t="e">
        <f t="shared" si="95"/>
        <v>#DIV/0!</v>
      </c>
      <c r="DP74" s="55" t="e">
        <f t="shared" si="96"/>
        <v>#DIV/0!</v>
      </c>
      <c r="DQ74" s="55" t="e">
        <f t="shared" si="97"/>
        <v>#DIV/0!</v>
      </c>
      <c r="DR74" s="55"/>
      <c r="DS74" s="55" t="e">
        <f t="shared" si="98"/>
        <v>#DIV/0!</v>
      </c>
      <c r="DT74" s="55" t="e">
        <f t="shared" si="99"/>
        <v>#DIV/0!</v>
      </c>
      <c r="DU74" s="53">
        <f t="shared" si="100"/>
        <v>0</v>
      </c>
      <c r="DV74" s="59" t="e">
        <f t="shared" si="101"/>
        <v>#DIV/0!</v>
      </c>
    </row>
    <row r="75" spans="30:126">
      <c r="AD75" s="49" t="s">
        <v>411</v>
      </c>
      <c r="AE75" s="49">
        <f t="shared" si="102"/>
        <v>0</v>
      </c>
      <c r="AF75" s="49">
        <f t="shared" si="48"/>
        <v>0</v>
      </c>
      <c r="AG75" s="114">
        <f t="shared" si="49"/>
        <v>0</v>
      </c>
      <c r="AH75" s="104">
        <f t="shared" si="50"/>
        <v>0</v>
      </c>
      <c r="AI75" s="104">
        <f t="shared" si="51"/>
        <v>0</v>
      </c>
      <c r="AJ75" s="104">
        <f t="shared" si="52"/>
        <v>0</v>
      </c>
      <c r="AK75" s="104">
        <f t="shared" si="53"/>
        <v>0</v>
      </c>
      <c r="AL75" s="104">
        <f t="shared" si="54"/>
        <v>0</v>
      </c>
      <c r="AM75" s="104">
        <f t="shared" si="55"/>
        <v>0</v>
      </c>
      <c r="AN75" s="104">
        <f t="shared" si="56"/>
        <v>0</v>
      </c>
      <c r="AO75" s="104">
        <f t="shared" si="57"/>
        <v>0</v>
      </c>
      <c r="AP75" s="104">
        <f t="shared" si="58"/>
        <v>0</v>
      </c>
      <c r="AQ75" s="49">
        <f t="shared" si="59"/>
        <v>0</v>
      </c>
      <c r="AR75" s="104">
        <f t="shared" si="60"/>
        <v>0</v>
      </c>
      <c r="AS75" s="104">
        <f t="shared" si="61"/>
        <v>0</v>
      </c>
      <c r="AT75" s="104">
        <f t="shared" si="62"/>
        <v>0</v>
      </c>
      <c r="AU75" s="104">
        <f t="shared" si="63"/>
        <v>0</v>
      </c>
      <c r="BF75" s="49">
        <f t="shared" si="64"/>
        <v>0</v>
      </c>
      <c r="BG75" s="49">
        <f t="shared" si="65"/>
        <v>0</v>
      </c>
      <c r="BH75" s="54" t="e">
        <f t="shared" si="66"/>
        <v>#DIV/0!</v>
      </c>
      <c r="BI75" s="112" t="e">
        <f t="shared" si="67"/>
        <v>#DIV/0!</v>
      </c>
      <c r="BK75" s="55" t="e">
        <f t="shared" si="68"/>
        <v>#DIV/0!</v>
      </c>
      <c r="BL75" s="55" t="e">
        <f t="shared" si="69"/>
        <v>#DIV/0!</v>
      </c>
      <c r="BM75" s="55" t="e">
        <f t="shared" si="70"/>
        <v>#DIV/0!</v>
      </c>
      <c r="BN75" s="53">
        <f t="shared" si="71"/>
        <v>0</v>
      </c>
      <c r="BO75" s="112" t="e">
        <f t="shared" si="72"/>
        <v>#DIV/0!</v>
      </c>
      <c r="BR75" s="53" t="e">
        <f t="shared" si="73"/>
        <v>#DIV/0!</v>
      </c>
      <c r="BS75" s="53">
        <f t="shared" si="74"/>
        <v>0</v>
      </c>
      <c r="BT75" s="53">
        <f t="shared" si="75"/>
        <v>0</v>
      </c>
      <c r="BU75" s="56" t="e">
        <f t="shared" si="76"/>
        <v>#DIV/0!</v>
      </c>
      <c r="BX75" s="60"/>
      <c r="BY75" s="60"/>
      <c r="BZ75" s="60"/>
      <c r="CA75" s="60"/>
      <c r="CB75" s="60"/>
      <c r="CC75" s="60"/>
      <c r="CD75" s="60"/>
      <c r="CE75" s="60"/>
      <c r="CF75" s="60"/>
      <c r="CG75" s="60"/>
      <c r="CH75" s="60"/>
      <c r="CI75" s="60"/>
      <c r="CJ75" s="60"/>
      <c r="CK75" s="60"/>
      <c r="CL75" s="60"/>
      <c r="CM75" s="60"/>
      <c r="CN75" s="60"/>
      <c r="CO75" s="60"/>
      <c r="CP75" s="60"/>
      <c r="CQ75" s="60"/>
      <c r="CR75" s="60"/>
      <c r="CS75" s="60"/>
      <c r="CT75" s="57">
        <f t="shared" si="77"/>
        <v>0</v>
      </c>
      <c r="CU75" s="57">
        <f t="shared" si="78"/>
        <v>0</v>
      </c>
      <c r="CV75" s="53">
        <f t="shared" si="79"/>
        <v>0</v>
      </c>
      <c r="CW75" s="53">
        <f t="shared" si="80"/>
        <v>0</v>
      </c>
      <c r="CX75" s="58" t="e">
        <f t="shared" si="81"/>
        <v>#DIV/0!</v>
      </c>
      <c r="CY75" s="53">
        <f t="shared" si="82"/>
        <v>0</v>
      </c>
      <c r="CZ75" s="53">
        <f t="shared" si="83"/>
        <v>0</v>
      </c>
      <c r="DA75" s="58" t="e">
        <f t="shared" si="84"/>
        <v>#DIV/0!</v>
      </c>
      <c r="DB75" s="48" t="e">
        <f t="shared" si="85"/>
        <v>#DIV/0!</v>
      </c>
      <c r="DC75" s="48" t="e">
        <f t="shared" si="86"/>
        <v>#DIV/0!</v>
      </c>
      <c r="DD75" s="48" t="e">
        <f t="shared" si="87"/>
        <v>#DIV/0!</v>
      </c>
      <c r="DE75" s="48" t="e">
        <f t="shared" si="88"/>
        <v>#DIV/0!</v>
      </c>
      <c r="DF75" s="48" t="e">
        <f t="shared" si="89"/>
        <v>#DIV/0!</v>
      </c>
      <c r="DG75" s="48" t="e">
        <f t="shared" si="90"/>
        <v>#DIV/0!</v>
      </c>
      <c r="DH75" s="48">
        <f>SUMIF(FCR!$BZ$4:$DB$500,DG75,FCR!$DE$4:$EG$500)</f>
        <v>0</v>
      </c>
      <c r="DI75" s="48" t="e">
        <f t="shared" si="91"/>
        <v>#DIV/0!</v>
      </c>
      <c r="DJ75" s="48">
        <f>SUMIF(FCR!$BZ$4:$DB$142,DI75,FCR!$DE$4:$EG$142)</f>
        <v>0</v>
      </c>
      <c r="DK75" s="48" t="e">
        <f t="shared" si="92"/>
        <v>#DIV/0!</v>
      </c>
      <c r="DL75" s="55" t="e">
        <f t="shared" si="93"/>
        <v>#DIV/0!</v>
      </c>
      <c r="DM75" s="48" t="e">
        <f t="shared" si="94"/>
        <v>#DIV/0!</v>
      </c>
      <c r="DN75" s="48">
        <f>SUMIF(FCR!$BZ$4:$DB$142,DM75,FCR!$DE$4:$EG$142)</f>
        <v>0</v>
      </c>
      <c r="DO75" s="53" t="e">
        <f t="shared" si="95"/>
        <v>#DIV/0!</v>
      </c>
      <c r="DP75" s="55" t="e">
        <f t="shared" si="96"/>
        <v>#DIV/0!</v>
      </c>
      <c r="DQ75" s="55" t="e">
        <f t="shared" si="97"/>
        <v>#DIV/0!</v>
      </c>
      <c r="DR75" s="55"/>
      <c r="DS75" s="55" t="e">
        <f t="shared" si="98"/>
        <v>#DIV/0!</v>
      </c>
      <c r="DT75" s="55" t="e">
        <f t="shared" si="99"/>
        <v>#DIV/0!</v>
      </c>
      <c r="DU75" s="53">
        <f t="shared" si="100"/>
        <v>0</v>
      </c>
      <c r="DV75" s="59" t="e">
        <f t="shared" si="101"/>
        <v>#DIV/0!</v>
      </c>
    </row>
    <row r="76" spans="30:126">
      <c r="AD76" s="49" t="s">
        <v>411</v>
      </c>
      <c r="AE76" s="49">
        <f t="shared" si="102"/>
        <v>0</v>
      </c>
      <c r="AF76" s="49">
        <f t="shared" si="48"/>
        <v>0</v>
      </c>
      <c r="AG76" s="114">
        <f t="shared" si="49"/>
        <v>0</v>
      </c>
      <c r="AH76" s="104">
        <f t="shared" si="50"/>
        <v>0</v>
      </c>
      <c r="AI76" s="104">
        <f t="shared" si="51"/>
        <v>0</v>
      </c>
      <c r="AJ76" s="104">
        <f t="shared" si="52"/>
        <v>0</v>
      </c>
      <c r="AK76" s="104">
        <f t="shared" si="53"/>
        <v>0</v>
      </c>
      <c r="AL76" s="104">
        <f t="shared" si="54"/>
        <v>0</v>
      </c>
      <c r="AM76" s="104">
        <f t="shared" si="55"/>
        <v>0</v>
      </c>
      <c r="AN76" s="104">
        <f t="shared" si="56"/>
        <v>0</v>
      </c>
      <c r="AO76" s="104">
        <f t="shared" si="57"/>
        <v>0</v>
      </c>
      <c r="AP76" s="104">
        <f t="shared" si="58"/>
        <v>0</v>
      </c>
      <c r="AQ76" s="49">
        <f t="shared" si="59"/>
        <v>0</v>
      </c>
      <c r="AR76" s="104">
        <f t="shared" si="60"/>
        <v>0</v>
      </c>
      <c r="AS76" s="104">
        <f t="shared" si="61"/>
        <v>0</v>
      </c>
      <c r="AT76" s="104">
        <f t="shared" si="62"/>
        <v>0</v>
      </c>
      <c r="AU76" s="104">
        <f t="shared" si="63"/>
        <v>0</v>
      </c>
      <c r="BF76" s="49">
        <f t="shared" si="64"/>
        <v>0</v>
      </c>
      <c r="BG76" s="49">
        <f t="shared" si="65"/>
        <v>0</v>
      </c>
      <c r="BH76" s="54" t="e">
        <f t="shared" si="66"/>
        <v>#DIV/0!</v>
      </c>
      <c r="BI76" s="112" t="e">
        <f t="shared" si="67"/>
        <v>#DIV/0!</v>
      </c>
      <c r="BK76" s="55" t="e">
        <f t="shared" si="68"/>
        <v>#DIV/0!</v>
      </c>
      <c r="BL76" s="55" t="e">
        <f t="shared" si="69"/>
        <v>#DIV/0!</v>
      </c>
      <c r="BM76" s="55" t="e">
        <f t="shared" si="70"/>
        <v>#DIV/0!</v>
      </c>
      <c r="BN76" s="53">
        <f t="shared" si="71"/>
        <v>0</v>
      </c>
      <c r="BO76" s="112" t="e">
        <f t="shared" si="72"/>
        <v>#DIV/0!</v>
      </c>
      <c r="BR76" s="53" t="e">
        <f t="shared" si="73"/>
        <v>#DIV/0!</v>
      </c>
      <c r="BS76" s="53">
        <f t="shared" si="74"/>
        <v>0</v>
      </c>
      <c r="BT76" s="53">
        <f t="shared" si="75"/>
        <v>0</v>
      </c>
      <c r="BU76" s="56" t="e">
        <f t="shared" si="76"/>
        <v>#DIV/0!</v>
      </c>
      <c r="BX76" s="60"/>
      <c r="BY76" s="60"/>
      <c r="BZ76" s="60"/>
      <c r="CA76" s="60"/>
      <c r="CB76" s="60"/>
      <c r="CC76" s="60"/>
      <c r="CD76" s="60"/>
      <c r="CE76" s="60"/>
      <c r="CF76" s="60"/>
      <c r="CG76" s="60"/>
      <c r="CH76" s="60"/>
      <c r="CI76" s="60"/>
      <c r="CJ76" s="60"/>
      <c r="CK76" s="60"/>
      <c r="CL76" s="60"/>
      <c r="CM76" s="60"/>
      <c r="CN76" s="60"/>
      <c r="CO76" s="60"/>
      <c r="CP76" s="60"/>
      <c r="CQ76" s="60"/>
      <c r="CR76" s="60"/>
      <c r="CS76" s="60"/>
      <c r="CT76" s="57">
        <f t="shared" si="77"/>
        <v>0</v>
      </c>
      <c r="CU76" s="57">
        <f t="shared" si="78"/>
        <v>0</v>
      </c>
      <c r="CV76" s="53">
        <f t="shared" si="79"/>
        <v>0</v>
      </c>
      <c r="CW76" s="53">
        <f t="shared" si="80"/>
        <v>0</v>
      </c>
      <c r="CX76" s="58" t="e">
        <f t="shared" si="81"/>
        <v>#DIV/0!</v>
      </c>
      <c r="CY76" s="53">
        <f t="shared" si="82"/>
        <v>0</v>
      </c>
      <c r="CZ76" s="53">
        <f t="shared" si="83"/>
        <v>0</v>
      </c>
      <c r="DA76" s="58" t="e">
        <f t="shared" si="84"/>
        <v>#DIV/0!</v>
      </c>
      <c r="DB76" s="48" t="e">
        <f t="shared" si="85"/>
        <v>#DIV/0!</v>
      </c>
      <c r="DC76" s="48" t="e">
        <f t="shared" si="86"/>
        <v>#DIV/0!</v>
      </c>
      <c r="DD76" s="48" t="e">
        <f t="shared" si="87"/>
        <v>#DIV/0!</v>
      </c>
      <c r="DE76" s="48" t="e">
        <f t="shared" si="88"/>
        <v>#DIV/0!</v>
      </c>
      <c r="DF76" s="48" t="e">
        <f t="shared" si="89"/>
        <v>#DIV/0!</v>
      </c>
      <c r="DG76" s="48" t="e">
        <f t="shared" si="90"/>
        <v>#DIV/0!</v>
      </c>
      <c r="DH76" s="48">
        <f>SUMIF(FCR!$BZ$4:$DB$500,DG76,FCR!$DE$4:$EG$500)</f>
        <v>0</v>
      </c>
      <c r="DI76" s="48" t="e">
        <f t="shared" si="91"/>
        <v>#DIV/0!</v>
      </c>
      <c r="DJ76" s="48">
        <f>SUMIF(FCR!$BZ$4:$DB$142,DI76,FCR!$DE$4:$EG$142)</f>
        <v>0</v>
      </c>
      <c r="DK76" s="48" t="e">
        <f t="shared" si="92"/>
        <v>#DIV/0!</v>
      </c>
      <c r="DL76" s="55" t="e">
        <f t="shared" si="93"/>
        <v>#DIV/0!</v>
      </c>
      <c r="DM76" s="48" t="e">
        <f t="shared" si="94"/>
        <v>#DIV/0!</v>
      </c>
      <c r="DN76" s="48">
        <f>SUMIF(FCR!$BZ$4:$DB$142,DM76,FCR!$DE$4:$EG$142)</f>
        <v>0</v>
      </c>
      <c r="DO76" s="53" t="e">
        <f t="shared" si="95"/>
        <v>#DIV/0!</v>
      </c>
      <c r="DP76" s="55" t="e">
        <f t="shared" si="96"/>
        <v>#DIV/0!</v>
      </c>
      <c r="DQ76" s="55" t="e">
        <f t="shared" si="97"/>
        <v>#DIV/0!</v>
      </c>
      <c r="DR76" s="55"/>
      <c r="DS76" s="55" t="e">
        <f t="shared" si="98"/>
        <v>#DIV/0!</v>
      </c>
      <c r="DT76" s="55" t="e">
        <f t="shared" si="99"/>
        <v>#DIV/0!</v>
      </c>
      <c r="DU76" s="53">
        <f t="shared" si="100"/>
        <v>0</v>
      </c>
      <c r="DV76" s="59" t="e">
        <f t="shared" si="101"/>
        <v>#DIV/0!</v>
      </c>
    </row>
    <row r="77" spans="30:126">
      <c r="AD77" s="49" t="s">
        <v>411</v>
      </c>
      <c r="AE77" s="49">
        <f t="shared" si="102"/>
        <v>0</v>
      </c>
      <c r="AF77" s="49">
        <f t="shared" ref="AF77:AF140" si="103">+C77</f>
        <v>0</v>
      </c>
      <c r="AG77" s="114">
        <f t="shared" ref="AG77:AG140" si="104">+D77</f>
        <v>0</v>
      </c>
      <c r="AH77" s="104">
        <f t="shared" ref="AH77:AH140" si="105">+BF77</f>
        <v>0</v>
      </c>
      <c r="AI77" s="104">
        <f t="shared" ref="AI77:AI140" si="106">+ROUND(IFERROR(BH77,0),1)</f>
        <v>0</v>
      </c>
      <c r="AJ77" s="104">
        <f t="shared" ref="AJ77:AJ140" si="107">+BG77</f>
        <v>0</v>
      </c>
      <c r="AK77" s="104">
        <f t="shared" ref="AK77:AK140" si="108">+DU77</f>
        <v>0</v>
      </c>
      <c r="AL77" s="104">
        <f t="shared" ref="AL77:AL140" si="109">+ROUND(IFERROR(DV77,0),1)</f>
        <v>0</v>
      </c>
      <c r="AM77" s="104">
        <f t="shared" ref="AM77:AM140" si="110">+BS77</f>
        <v>0</v>
      </c>
      <c r="AN77" s="104">
        <f t="shared" ref="AN77:AN140" si="111">+ROUND(IFERROR(DA77,0),1)</f>
        <v>0</v>
      </c>
      <c r="AO77" s="104">
        <f t="shared" ref="AO77:AO140" si="112">+BT77</f>
        <v>0</v>
      </c>
      <c r="AP77" s="104">
        <f t="shared" ref="AP77:AP140" si="113">+AO77-AJ77</f>
        <v>0</v>
      </c>
      <c r="AQ77" s="49">
        <f t="shared" ref="AQ77:AQ140" si="114">+ROUND(BN77,0)</f>
        <v>0</v>
      </c>
      <c r="AR77" s="104">
        <f t="shared" ref="AR77:AR140" si="115">+ROUND(IFERROR(AQ77/AM77,0),1)</f>
        <v>0</v>
      </c>
      <c r="AS77" s="104">
        <f t="shared" ref="AS77:AS140" si="116">+ROUND(IFERROR(BK77,0),3)</f>
        <v>0</v>
      </c>
      <c r="AT77" s="104">
        <f t="shared" ref="AT77:AT140" si="117">+ROUND(IFERROR(BL77,0),3)</f>
        <v>0</v>
      </c>
      <c r="AU77" s="104">
        <f t="shared" ref="AU77:AU140" si="118">+ROUND(IFERROR(BM77,0),3)</f>
        <v>0</v>
      </c>
      <c r="BF77" s="49">
        <f t="shared" ref="BF77:BF140" si="119">+F77</f>
        <v>0</v>
      </c>
      <c r="BG77" s="49">
        <f t="shared" ref="BG77:BG140" si="120">+G77</f>
        <v>0</v>
      </c>
      <c r="BH77" s="54" t="e">
        <f t="shared" ref="BH77:BH140" si="121">BG77/BF77</f>
        <v>#DIV/0!</v>
      </c>
      <c r="BI77" s="112" t="e">
        <f t="shared" ref="BI77:BI140" si="122">BJ77/BF77</f>
        <v>#DIV/0!</v>
      </c>
      <c r="BK77" s="55" t="e">
        <f t="shared" ref="BK77:BK140" si="123">BN77/(BT77-BG77)</f>
        <v>#DIV/0!</v>
      </c>
      <c r="BL77" s="55" t="e">
        <f t="shared" ref="BL77:BL140" si="124">DS77</f>
        <v>#DIV/0!</v>
      </c>
      <c r="BM77" s="55" t="e">
        <f t="shared" ref="BM77:BM140" si="125">BK77-BL77</f>
        <v>#DIV/0!</v>
      </c>
      <c r="BN77" s="53">
        <f t="shared" ref="BN77:BN140" si="126">+H77</f>
        <v>0</v>
      </c>
      <c r="BO77" s="112" t="e">
        <f t="shared" ref="BO77:BO140" si="127">BP77/BN77</f>
        <v>#DIV/0!</v>
      </c>
      <c r="BR77" s="53" t="e">
        <f t="shared" ref="BR77:BR140" si="128">BQ77/BT77</f>
        <v>#DIV/0!</v>
      </c>
      <c r="BS77" s="53">
        <f t="shared" ref="BS77:BS140" si="129">+J77</f>
        <v>0</v>
      </c>
      <c r="BT77" s="53">
        <f t="shared" ref="BT77:BT140" si="130">+K77</f>
        <v>0</v>
      </c>
      <c r="BU77" s="56" t="e">
        <f t="shared" ref="BU77:BU140" si="131">BT77/BS77</f>
        <v>#DIV/0!</v>
      </c>
      <c r="BX77" s="60"/>
      <c r="BY77" s="60"/>
      <c r="BZ77" s="60"/>
      <c r="CA77" s="60"/>
      <c r="CB77" s="60"/>
      <c r="CC77" s="60"/>
      <c r="CD77" s="60"/>
      <c r="CE77" s="60"/>
      <c r="CF77" s="60"/>
      <c r="CG77" s="60"/>
      <c r="CH77" s="60"/>
      <c r="CI77" s="60"/>
      <c r="CJ77" s="60"/>
      <c r="CK77" s="60"/>
      <c r="CL77" s="60"/>
      <c r="CM77" s="60"/>
      <c r="CN77" s="60"/>
      <c r="CO77" s="60"/>
      <c r="CP77" s="60"/>
      <c r="CQ77" s="60"/>
      <c r="CR77" s="60"/>
      <c r="CS77" s="60"/>
      <c r="CT77" s="57">
        <f t="shared" ref="CT77:CT140" si="132">CL77+CJ77+CH77+CF77+CD77+CB77+BZ77+BX77+CN77+CP77+CR77</f>
        <v>0</v>
      </c>
      <c r="CU77" s="57">
        <f t="shared" ref="CU77:CU140" si="133">CM77+CK77+CI77+CG77+CE77+CC77+CA77+BY77+CO77+CQ77+CS77</f>
        <v>0</v>
      </c>
      <c r="CV77" s="53">
        <f t="shared" ref="CV77:CV140" si="134">BF77</f>
        <v>0</v>
      </c>
      <c r="CW77" s="53">
        <f t="shared" ref="CW77:CW140" si="135">BG77</f>
        <v>0</v>
      </c>
      <c r="CX77" s="58" t="e">
        <f t="shared" ref="CX77:CX140" si="136">ROUND(BH77,2)</f>
        <v>#DIV/0!</v>
      </c>
      <c r="CY77" s="53">
        <f t="shared" ref="CY77:CY140" si="137">BS77</f>
        <v>0</v>
      </c>
      <c r="CZ77" s="53">
        <f t="shared" ref="CZ77:CZ140" si="138">BT77</f>
        <v>0</v>
      </c>
      <c r="DA77" s="58" t="e">
        <f t="shared" ref="DA77:DA140" si="139">ROUND(BU77,2)</f>
        <v>#DIV/0!</v>
      </c>
      <c r="DB77" s="48" t="e">
        <f t="shared" ref="DB77:DB140" si="140">IF(DA77&lt;100,(LEFT(DA77,2)),IF(DA77&gt;100,(LEFT(DA77,3))))</f>
        <v>#DIV/0!</v>
      </c>
      <c r="DC77" s="48" t="e">
        <f t="shared" ref="DC77:DC140" si="141">+DB77+1</f>
        <v>#DIV/0!</v>
      </c>
      <c r="DD77" s="48" t="e">
        <f t="shared" ref="DD77:DD140" si="142">LEFT(CX77,2)</f>
        <v>#DIV/0!</v>
      </c>
      <c r="DE77" s="48" t="e">
        <f t="shared" ref="DE77:DE140" si="143">ROUND(DD77,0)</f>
        <v>#DIV/0!</v>
      </c>
      <c r="DF77" s="48" t="e">
        <f t="shared" ref="DF77:DF140" si="144">+DD77+1</f>
        <v>#DIV/0!</v>
      </c>
      <c r="DG77" s="48" t="e">
        <f t="shared" ref="DG77:DG140" si="145">DE77&amp;DB77</f>
        <v>#DIV/0!</v>
      </c>
      <c r="DH77" s="48">
        <f>SUMIF(FCR!$BZ$4:$DB$500,DG77,FCR!$DE$4:$EG$500)</f>
        <v>0</v>
      </c>
      <c r="DI77" s="48" t="e">
        <f t="shared" ref="DI77:DI140" si="146">DF77&amp;DB77</f>
        <v>#DIV/0!</v>
      </c>
      <c r="DJ77" s="48">
        <f>SUMIF(FCR!$BZ$4:$DB$142,DI77,FCR!$DE$4:$EG$142)</f>
        <v>0</v>
      </c>
      <c r="DK77" s="48" t="e">
        <f t="shared" ref="DK77:DK140" si="147">(CX77-DE77)*100</f>
        <v>#DIV/0!</v>
      </c>
      <c r="DL77" s="55" t="e">
        <f t="shared" ref="DL77:DL140" si="148">ROUND(DH77+(DJ77-DH77)/100*DK77,3)</f>
        <v>#DIV/0!</v>
      </c>
      <c r="DM77" s="48" t="e">
        <f t="shared" ref="DM77:DM140" si="149">DE77&amp;DC77</f>
        <v>#DIV/0!</v>
      </c>
      <c r="DN77" s="48">
        <f>SUMIF(FCR!$BZ$4:$DB$142,DM77,FCR!$DE$4:$EG$142)</f>
        <v>0</v>
      </c>
      <c r="DO77" s="53" t="e">
        <f t="shared" ref="DO77:DO140" si="150">(DA77-DB77)*100</f>
        <v>#DIV/0!</v>
      </c>
      <c r="DP77" s="55" t="e">
        <f t="shared" ref="DP77:DP140" si="151">ROUND(DH77+(DN77-DH77)/100*DO77,3)</f>
        <v>#DIV/0!</v>
      </c>
      <c r="DQ77" s="55" t="e">
        <f t="shared" ref="DQ77:DQ140" si="152">ROUND((DP77+DL77)/2,3)</f>
        <v>#DIV/0!</v>
      </c>
      <c r="DR77" s="55"/>
      <c r="DS77" s="55" t="e">
        <f t="shared" ref="DS77:DS140" si="153">DR77+DQ77</f>
        <v>#DIV/0!</v>
      </c>
      <c r="DT77" s="55" t="e">
        <f t="shared" ref="DT77:DT140" si="154">+DQ77-BL77</f>
        <v>#DIV/0!</v>
      </c>
      <c r="DU77" s="53">
        <f t="shared" ref="DU77:DU140" si="155">CV77-CY77</f>
        <v>0</v>
      </c>
      <c r="DV77" s="59" t="e">
        <f t="shared" ref="DV77:DV140" si="156">ROUND(DU77/CV77*100,2)</f>
        <v>#DIV/0!</v>
      </c>
    </row>
    <row r="78" spans="30:126">
      <c r="AD78" s="49" t="s">
        <v>411</v>
      </c>
      <c r="AE78" s="49">
        <f t="shared" si="102"/>
        <v>0</v>
      </c>
      <c r="AF78" s="49">
        <f t="shared" si="103"/>
        <v>0</v>
      </c>
      <c r="AG78" s="114">
        <f t="shared" si="104"/>
        <v>0</v>
      </c>
      <c r="AH78" s="104">
        <f t="shared" si="105"/>
        <v>0</v>
      </c>
      <c r="AI78" s="104">
        <f t="shared" si="106"/>
        <v>0</v>
      </c>
      <c r="AJ78" s="104">
        <f t="shared" si="107"/>
        <v>0</v>
      </c>
      <c r="AK78" s="104">
        <f t="shared" si="108"/>
        <v>0</v>
      </c>
      <c r="AL78" s="104">
        <f t="shared" si="109"/>
        <v>0</v>
      </c>
      <c r="AM78" s="104">
        <f t="shared" si="110"/>
        <v>0</v>
      </c>
      <c r="AN78" s="104">
        <f t="shared" si="111"/>
        <v>0</v>
      </c>
      <c r="AO78" s="104">
        <f t="shared" si="112"/>
        <v>0</v>
      </c>
      <c r="AP78" s="104">
        <f t="shared" si="113"/>
        <v>0</v>
      </c>
      <c r="AQ78" s="49">
        <f t="shared" si="114"/>
        <v>0</v>
      </c>
      <c r="AR78" s="104">
        <f t="shared" si="115"/>
        <v>0</v>
      </c>
      <c r="AS78" s="104">
        <f t="shared" si="116"/>
        <v>0</v>
      </c>
      <c r="AT78" s="104">
        <f t="shared" si="117"/>
        <v>0</v>
      </c>
      <c r="AU78" s="104">
        <f t="shared" si="118"/>
        <v>0</v>
      </c>
      <c r="BF78" s="49">
        <f t="shared" si="119"/>
        <v>0</v>
      </c>
      <c r="BG78" s="49">
        <f t="shared" si="120"/>
        <v>0</v>
      </c>
      <c r="BH78" s="54" t="e">
        <f t="shared" si="121"/>
        <v>#DIV/0!</v>
      </c>
      <c r="BI78" s="112" t="e">
        <f t="shared" si="122"/>
        <v>#DIV/0!</v>
      </c>
      <c r="BK78" s="55" t="e">
        <f t="shared" si="123"/>
        <v>#DIV/0!</v>
      </c>
      <c r="BL78" s="55" t="e">
        <f t="shared" si="124"/>
        <v>#DIV/0!</v>
      </c>
      <c r="BM78" s="55" t="e">
        <f t="shared" si="125"/>
        <v>#DIV/0!</v>
      </c>
      <c r="BN78" s="53">
        <f t="shared" si="126"/>
        <v>0</v>
      </c>
      <c r="BO78" s="112" t="e">
        <f t="shared" si="127"/>
        <v>#DIV/0!</v>
      </c>
      <c r="BR78" s="53" t="e">
        <f t="shared" si="128"/>
        <v>#DIV/0!</v>
      </c>
      <c r="BS78" s="53">
        <f t="shared" si="129"/>
        <v>0</v>
      </c>
      <c r="BT78" s="53">
        <f t="shared" si="130"/>
        <v>0</v>
      </c>
      <c r="BU78" s="56" t="e">
        <f t="shared" si="131"/>
        <v>#DIV/0!</v>
      </c>
      <c r="BX78" s="60"/>
      <c r="BY78" s="60"/>
      <c r="BZ78" s="60"/>
      <c r="CA78" s="60"/>
      <c r="CB78" s="60"/>
      <c r="CC78" s="60"/>
      <c r="CD78" s="60"/>
      <c r="CE78" s="60"/>
      <c r="CF78" s="60"/>
      <c r="CG78" s="60"/>
      <c r="CH78" s="60"/>
      <c r="CI78" s="60"/>
      <c r="CJ78" s="60"/>
      <c r="CK78" s="60"/>
      <c r="CL78" s="60"/>
      <c r="CM78" s="60"/>
      <c r="CN78" s="60"/>
      <c r="CO78" s="60"/>
      <c r="CP78" s="60"/>
      <c r="CQ78" s="60"/>
      <c r="CR78" s="60"/>
      <c r="CS78" s="60"/>
      <c r="CT78" s="57">
        <f t="shared" si="132"/>
        <v>0</v>
      </c>
      <c r="CU78" s="57">
        <f t="shared" si="133"/>
        <v>0</v>
      </c>
      <c r="CV78" s="53">
        <f t="shared" si="134"/>
        <v>0</v>
      </c>
      <c r="CW78" s="53">
        <f t="shared" si="135"/>
        <v>0</v>
      </c>
      <c r="CX78" s="58" t="e">
        <f t="shared" si="136"/>
        <v>#DIV/0!</v>
      </c>
      <c r="CY78" s="53">
        <f t="shared" si="137"/>
        <v>0</v>
      </c>
      <c r="CZ78" s="53">
        <f t="shared" si="138"/>
        <v>0</v>
      </c>
      <c r="DA78" s="58" t="e">
        <f t="shared" si="139"/>
        <v>#DIV/0!</v>
      </c>
      <c r="DB78" s="48" t="e">
        <f t="shared" si="140"/>
        <v>#DIV/0!</v>
      </c>
      <c r="DC78" s="48" t="e">
        <f t="shared" si="141"/>
        <v>#DIV/0!</v>
      </c>
      <c r="DD78" s="48" t="e">
        <f t="shared" si="142"/>
        <v>#DIV/0!</v>
      </c>
      <c r="DE78" s="48" t="e">
        <f t="shared" si="143"/>
        <v>#DIV/0!</v>
      </c>
      <c r="DF78" s="48" t="e">
        <f t="shared" si="144"/>
        <v>#DIV/0!</v>
      </c>
      <c r="DG78" s="48" t="e">
        <f t="shared" si="145"/>
        <v>#DIV/0!</v>
      </c>
      <c r="DH78" s="48">
        <f>SUMIF(FCR!$BZ$4:$DB$500,DG78,FCR!$DE$4:$EG$500)</f>
        <v>0</v>
      </c>
      <c r="DI78" s="48" t="e">
        <f t="shared" si="146"/>
        <v>#DIV/0!</v>
      </c>
      <c r="DJ78" s="48">
        <f>SUMIF(FCR!$BZ$4:$DB$142,DI78,FCR!$DE$4:$EG$142)</f>
        <v>0</v>
      </c>
      <c r="DK78" s="48" t="e">
        <f t="shared" si="147"/>
        <v>#DIV/0!</v>
      </c>
      <c r="DL78" s="55" t="e">
        <f t="shared" si="148"/>
        <v>#DIV/0!</v>
      </c>
      <c r="DM78" s="48" t="e">
        <f t="shared" si="149"/>
        <v>#DIV/0!</v>
      </c>
      <c r="DN78" s="48">
        <f>SUMIF(FCR!$BZ$4:$DB$142,DM78,FCR!$DE$4:$EG$142)</f>
        <v>0</v>
      </c>
      <c r="DO78" s="53" t="e">
        <f t="shared" si="150"/>
        <v>#DIV/0!</v>
      </c>
      <c r="DP78" s="55" t="e">
        <f t="shared" si="151"/>
        <v>#DIV/0!</v>
      </c>
      <c r="DQ78" s="55" t="e">
        <f t="shared" si="152"/>
        <v>#DIV/0!</v>
      </c>
      <c r="DR78" s="55"/>
      <c r="DS78" s="55" t="e">
        <f t="shared" si="153"/>
        <v>#DIV/0!</v>
      </c>
      <c r="DT78" s="55" t="e">
        <f t="shared" si="154"/>
        <v>#DIV/0!</v>
      </c>
      <c r="DU78" s="53">
        <f t="shared" si="155"/>
        <v>0</v>
      </c>
      <c r="DV78" s="59" t="e">
        <f t="shared" si="156"/>
        <v>#DIV/0!</v>
      </c>
    </row>
    <row r="79" spans="30:126">
      <c r="AD79" s="49" t="s">
        <v>411</v>
      </c>
      <c r="AE79" s="49">
        <f t="shared" si="102"/>
        <v>0</v>
      </c>
      <c r="AF79" s="49">
        <f t="shared" si="103"/>
        <v>0</v>
      </c>
      <c r="AG79" s="114">
        <f t="shared" si="104"/>
        <v>0</v>
      </c>
      <c r="AH79" s="104">
        <f t="shared" si="105"/>
        <v>0</v>
      </c>
      <c r="AI79" s="104">
        <f t="shared" si="106"/>
        <v>0</v>
      </c>
      <c r="AJ79" s="104">
        <f t="shared" si="107"/>
        <v>0</v>
      </c>
      <c r="AK79" s="104">
        <f t="shared" si="108"/>
        <v>0</v>
      </c>
      <c r="AL79" s="104">
        <f t="shared" si="109"/>
        <v>0</v>
      </c>
      <c r="AM79" s="104">
        <f t="shared" si="110"/>
        <v>0</v>
      </c>
      <c r="AN79" s="104">
        <f t="shared" si="111"/>
        <v>0</v>
      </c>
      <c r="AO79" s="104">
        <f t="shared" si="112"/>
        <v>0</v>
      </c>
      <c r="AP79" s="104">
        <f t="shared" si="113"/>
        <v>0</v>
      </c>
      <c r="AQ79" s="49">
        <f t="shared" si="114"/>
        <v>0</v>
      </c>
      <c r="AR79" s="104">
        <f t="shared" si="115"/>
        <v>0</v>
      </c>
      <c r="AS79" s="104">
        <f t="shared" si="116"/>
        <v>0</v>
      </c>
      <c r="AT79" s="104">
        <f t="shared" si="117"/>
        <v>0</v>
      </c>
      <c r="AU79" s="104">
        <f t="shared" si="118"/>
        <v>0</v>
      </c>
      <c r="BF79" s="49">
        <f t="shared" si="119"/>
        <v>0</v>
      </c>
      <c r="BG79" s="49">
        <f t="shared" si="120"/>
        <v>0</v>
      </c>
      <c r="BH79" s="54" t="e">
        <f t="shared" si="121"/>
        <v>#DIV/0!</v>
      </c>
      <c r="BI79" s="112" t="e">
        <f t="shared" si="122"/>
        <v>#DIV/0!</v>
      </c>
      <c r="BK79" s="55" t="e">
        <f t="shared" si="123"/>
        <v>#DIV/0!</v>
      </c>
      <c r="BL79" s="55" t="e">
        <f t="shared" si="124"/>
        <v>#DIV/0!</v>
      </c>
      <c r="BM79" s="55" t="e">
        <f t="shared" si="125"/>
        <v>#DIV/0!</v>
      </c>
      <c r="BN79" s="53">
        <f t="shared" si="126"/>
        <v>0</v>
      </c>
      <c r="BO79" s="112" t="e">
        <f t="shared" si="127"/>
        <v>#DIV/0!</v>
      </c>
      <c r="BR79" s="53" t="e">
        <f t="shared" si="128"/>
        <v>#DIV/0!</v>
      </c>
      <c r="BS79" s="53">
        <f t="shared" si="129"/>
        <v>0</v>
      </c>
      <c r="BT79" s="53">
        <f t="shared" si="130"/>
        <v>0</v>
      </c>
      <c r="BU79" s="56" t="e">
        <f t="shared" si="131"/>
        <v>#DIV/0!</v>
      </c>
      <c r="BX79" s="60"/>
      <c r="BY79" s="60"/>
      <c r="BZ79" s="60"/>
      <c r="CA79" s="60"/>
      <c r="CB79" s="60"/>
      <c r="CC79" s="60"/>
      <c r="CD79" s="60"/>
      <c r="CE79" s="60"/>
      <c r="CF79" s="60"/>
      <c r="CG79" s="60"/>
      <c r="CH79" s="60"/>
      <c r="CI79" s="60"/>
      <c r="CJ79" s="60"/>
      <c r="CK79" s="60"/>
      <c r="CL79" s="60"/>
      <c r="CM79" s="60"/>
      <c r="CN79" s="60"/>
      <c r="CO79" s="60"/>
      <c r="CP79" s="60"/>
      <c r="CQ79" s="60"/>
      <c r="CR79" s="60"/>
      <c r="CS79" s="60"/>
      <c r="CT79" s="57">
        <f t="shared" si="132"/>
        <v>0</v>
      </c>
      <c r="CU79" s="57">
        <f t="shared" si="133"/>
        <v>0</v>
      </c>
      <c r="CV79" s="53">
        <f t="shared" si="134"/>
        <v>0</v>
      </c>
      <c r="CW79" s="53">
        <f t="shared" si="135"/>
        <v>0</v>
      </c>
      <c r="CX79" s="58" t="e">
        <f t="shared" si="136"/>
        <v>#DIV/0!</v>
      </c>
      <c r="CY79" s="53">
        <f t="shared" si="137"/>
        <v>0</v>
      </c>
      <c r="CZ79" s="53">
        <f t="shared" si="138"/>
        <v>0</v>
      </c>
      <c r="DA79" s="58" t="e">
        <f t="shared" si="139"/>
        <v>#DIV/0!</v>
      </c>
      <c r="DB79" s="48" t="e">
        <f t="shared" si="140"/>
        <v>#DIV/0!</v>
      </c>
      <c r="DC79" s="48" t="e">
        <f t="shared" si="141"/>
        <v>#DIV/0!</v>
      </c>
      <c r="DD79" s="48" t="e">
        <f t="shared" si="142"/>
        <v>#DIV/0!</v>
      </c>
      <c r="DE79" s="48" t="e">
        <f t="shared" si="143"/>
        <v>#DIV/0!</v>
      </c>
      <c r="DF79" s="48" t="e">
        <f t="shared" si="144"/>
        <v>#DIV/0!</v>
      </c>
      <c r="DG79" s="48" t="e">
        <f t="shared" si="145"/>
        <v>#DIV/0!</v>
      </c>
      <c r="DH79" s="48">
        <f>SUMIF(FCR!$BZ$4:$DB$500,DG79,FCR!$DE$4:$EG$500)</f>
        <v>0</v>
      </c>
      <c r="DI79" s="48" t="e">
        <f t="shared" si="146"/>
        <v>#DIV/0!</v>
      </c>
      <c r="DJ79" s="48">
        <f>SUMIF(FCR!$BZ$4:$DB$142,DI79,FCR!$DE$4:$EG$142)</f>
        <v>0</v>
      </c>
      <c r="DK79" s="48" t="e">
        <f t="shared" si="147"/>
        <v>#DIV/0!</v>
      </c>
      <c r="DL79" s="55" t="e">
        <f t="shared" si="148"/>
        <v>#DIV/0!</v>
      </c>
      <c r="DM79" s="48" t="e">
        <f t="shared" si="149"/>
        <v>#DIV/0!</v>
      </c>
      <c r="DN79" s="48">
        <f>SUMIF(FCR!$BZ$4:$DB$142,DM79,FCR!$DE$4:$EG$142)</f>
        <v>0</v>
      </c>
      <c r="DO79" s="53" t="e">
        <f t="shared" si="150"/>
        <v>#DIV/0!</v>
      </c>
      <c r="DP79" s="55" t="e">
        <f t="shared" si="151"/>
        <v>#DIV/0!</v>
      </c>
      <c r="DQ79" s="55" t="e">
        <f t="shared" si="152"/>
        <v>#DIV/0!</v>
      </c>
      <c r="DR79" s="55"/>
      <c r="DS79" s="55" t="e">
        <f t="shared" si="153"/>
        <v>#DIV/0!</v>
      </c>
      <c r="DT79" s="55" t="e">
        <f t="shared" si="154"/>
        <v>#DIV/0!</v>
      </c>
      <c r="DU79" s="53">
        <f t="shared" si="155"/>
        <v>0</v>
      </c>
      <c r="DV79" s="59" t="e">
        <f t="shared" si="156"/>
        <v>#DIV/0!</v>
      </c>
    </row>
    <row r="80" spans="30:126">
      <c r="AD80" s="49" t="s">
        <v>411</v>
      </c>
      <c r="AE80" s="49">
        <f t="shared" si="102"/>
        <v>0</v>
      </c>
      <c r="AF80" s="49">
        <f t="shared" si="103"/>
        <v>0</v>
      </c>
      <c r="AG80" s="114">
        <f t="shared" si="104"/>
        <v>0</v>
      </c>
      <c r="AH80" s="104">
        <f t="shared" si="105"/>
        <v>0</v>
      </c>
      <c r="AI80" s="104">
        <f t="shared" si="106"/>
        <v>0</v>
      </c>
      <c r="AJ80" s="104">
        <f t="shared" si="107"/>
        <v>0</v>
      </c>
      <c r="AK80" s="104">
        <f t="shared" si="108"/>
        <v>0</v>
      </c>
      <c r="AL80" s="104">
        <f t="shared" si="109"/>
        <v>0</v>
      </c>
      <c r="AM80" s="104">
        <f t="shared" si="110"/>
        <v>0</v>
      </c>
      <c r="AN80" s="104">
        <f t="shared" si="111"/>
        <v>0</v>
      </c>
      <c r="AO80" s="104">
        <f t="shared" si="112"/>
        <v>0</v>
      </c>
      <c r="AP80" s="104">
        <f t="shared" si="113"/>
        <v>0</v>
      </c>
      <c r="AQ80" s="49">
        <f t="shared" si="114"/>
        <v>0</v>
      </c>
      <c r="AR80" s="104">
        <f t="shared" si="115"/>
        <v>0</v>
      </c>
      <c r="AS80" s="104">
        <f t="shared" si="116"/>
        <v>0</v>
      </c>
      <c r="AT80" s="104">
        <f t="shared" si="117"/>
        <v>0</v>
      </c>
      <c r="AU80" s="104">
        <f t="shared" si="118"/>
        <v>0</v>
      </c>
      <c r="BF80" s="49">
        <f t="shared" si="119"/>
        <v>0</v>
      </c>
      <c r="BG80" s="49">
        <f t="shared" si="120"/>
        <v>0</v>
      </c>
      <c r="BH80" s="54" t="e">
        <f t="shared" si="121"/>
        <v>#DIV/0!</v>
      </c>
      <c r="BI80" s="112" t="e">
        <f t="shared" si="122"/>
        <v>#DIV/0!</v>
      </c>
      <c r="BK80" s="55" t="e">
        <f t="shared" si="123"/>
        <v>#DIV/0!</v>
      </c>
      <c r="BL80" s="55" t="e">
        <f t="shared" si="124"/>
        <v>#DIV/0!</v>
      </c>
      <c r="BM80" s="55" t="e">
        <f t="shared" si="125"/>
        <v>#DIV/0!</v>
      </c>
      <c r="BN80" s="53">
        <f t="shared" si="126"/>
        <v>0</v>
      </c>
      <c r="BO80" s="112" t="e">
        <f t="shared" si="127"/>
        <v>#DIV/0!</v>
      </c>
      <c r="BR80" s="53" t="e">
        <f t="shared" si="128"/>
        <v>#DIV/0!</v>
      </c>
      <c r="BS80" s="53">
        <f t="shared" si="129"/>
        <v>0</v>
      </c>
      <c r="BT80" s="53">
        <f t="shared" si="130"/>
        <v>0</v>
      </c>
      <c r="BU80" s="56" t="e">
        <f t="shared" si="131"/>
        <v>#DIV/0!</v>
      </c>
      <c r="BX80" s="60"/>
      <c r="BY80" s="60"/>
      <c r="BZ80" s="60"/>
      <c r="CA80" s="60"/>
      <c r="CB80" s="60"/>
      <c r="CC80" s="60"/>
      <c r="CD80" s="60"/>
      <c r="CE80" s="60"/>
      <c r="CF80" s="60"/>
      <c r="CG80" s="60"/>
      <c r="CH80" s="60"/>
      <c r="CI80" s="60"/>
      <c r="CJ80" s="60"/>
      <c r="CK80" s="60"/>
      <c r="CL80" s="60"/>
      <c r="CM80" s="60"/>
      <c r="CN80" s="60"/>
      <c r="CO80" s="60"/>
      <c r="CP80" s="60"/>
      <c r="CQ80" s="60"/>
      <c r="CR80" s="60"/>
      <c r="CS80" s="60"/>
      <c r="CT80" s="57">
        <f t="shared" si="132"/>
        <v>0</v>
      </c>
      <c r="CU80" s="57">
        <f t="shared" si="133"/>
        <v>0</v>
      </c>
      <c r="CV80" s="53">
        <f t="shared" si="134"/>
        <v>0</v>
      </c>
      <c r="CW80" s="53">
        <f t="shared" si="135"/>
        <v>0</v>
      </c>
      <c r="CX80" s="58" t="e">
        <f t="shared" si="136"/>
        <v>#DIV/0!</v>
      </c>
      <c r="CY80" s="53">
        <f t="shared" si="137"/>
        <v>0</v>
      </c>
      <c r="CZ80" s="53">
        <f t="shared" si="138"/>
        <v>0</v>
      </c>
      <c r="DA80" s="58" t="e">
        <f t="shared" si="139"/>
        <v>#DIV/0!</v>
      </c>
      <c r="DB80" s="48" t="e">
        <f t="shared" si="140"/>
        <v>#DIV/0!</v>
      </c>
      <c r="DC80" s="48" t="e">
        <f t="shared" si="141"/>
        <v>#DIV/0!</v>
      </c>
      <c r="DD80" s="48" t="e">
        <f t="shared" si="142"/>
        <v>#DIV/0!</v>
      </c>
      <c r="DE80" s="48" t="e">
        <f t="shared" si="143"/>
        <v>#DIV/0!</v>
      </c>
      <c r="DF80" s="48" t="e">
        <f t="shared" si="144"/>
        <v>#DIV/0!</v>
      </c>
      <c r="DG80" s="48" t="e">
        <f t="shared" si="145"/>
        <v>#DIV/0!</v>
      </c>
      <c r="DH80" s="48">
        <f>SUMIF(FCR!$BZ$4:$DB$500,DG80,FCR!$DE$4:$EG$500)</f>
        <v>0</v>
      </c>
      <c r="DI80" s="48" t="e">
        <f t="shared" si="146"/>
        <v>#DIV/0!</v>
      </c>
      <c r="DJ80" s="48">
        <f>SUMIF(FCR!$BZ$4:$DB$142,DI80,FCR!$DE$4:$EG$142)</f>
        <v>0</v>
      </c>
      <c r="DK80" s="48" t="e">
        <f t="shared" si="147"/>
        <v>#DIV/0!</v>
      </c>
      <c r="DL80" s="55" t="e">
        <f t="shared" si="148"/>
        <v>#DIV/0!</v>
      </c>
      <c r="DM80" s="48" t="e">
        <f t="shared" si="149"/>
        <v>#DIV/0!</v>
      </c>
      <c r="DN80" s="48">
        <f>SUMIF(FCR!$BZ$4:$DB$142,DM80,FCR!$DE$4:$EG$142)</f>
        <v>0</v>
      </c>
      <c r="DO80" s="53" t="e">
        <f t="shared" si="150"/>
        <v>#DIV/0!</v>
      </c>
      <c r="DP80" s="55" t="e">
        <f t="shared" si="151"/>
        <v>#DIV/0!</v>
      </c>
      <c r="DQ80" s="55" t="e">
        <f t="shared" si="152"/>
        <v>#DIV/0!</v>
      </c>
      <c r="DR80" s="55"/>
      <c r="DS80" s="55" t="e">
        <f t="shared" si="153"/>
        <v>#DIV/0!</v>
      </c>
      <c r="DT80" s="55" t="e">
        <f t="shared" si="154"/>
        <v>#DIV/0!</v>
      </c>
      <c r="DU80" s="53">
        <f t="shared" si="155"/>
        <v>0</v>
      </c>
      <c r="DV80" s="59" t="e">
        <f t="shared" si="156"/>
        <v>#DIV/0!</v>
      </c>
    </row>
    <row r="81" spans="30:126">
      <c r="AD81" s="49" t="s">
        <v>411</v>
      </c>
      <c r="AE81" s="49">
        <f t="shared" si="102"/>
        <v>0</v>
      </c>
      <c r="AF81" s="49">
        <f t="shared" si="103"/>
        <v>0</v>
      </c>
      <c r="AG81" s="114">
        <f t="shared" si="104"/>
        <v>0</v>
      </c>
      <c r="AH81" s="104">
        <f t="shared" si="105"/>
        <v>0</v>
      </c>
      <c r="AI81" s="104">
        <f t="shared" si="106"/>
        <v>0</v>
      </c>
      <c r="AJ81" s="104">
        <f t="shared" si="107"/>
        <v>0</v>
      </c>
      <c r="AK81" s="104">
        <f t="shared" si="108"/>
        <v>0</v>
      </c>
      <c r="AL81" s="104">
        <f t="shared" si="109"/>
        <v>0</v>
      </c>
      <c r="AM81" s="104">
        <f t="shared" si="110"/>
        <v>0</v>
      </c>
      <c r="AN81" s="104">
        <f t="shared" si="111"/>
        <v>0</v>
      </c>
      <c r="AO81" s="104">
        <f t="shared" si="112"/>
        <v>0</v>
      </c>
      <c r="AP81" s="104">
        <f t="shared" si="113"/>
        <v>0</v>
      </c>
      <c r="AQ81" s="49">
        <f t="shared" si="114"/>
        <v>0</v>
      </c>
      <c r="AR81" s="104">
        <f t="shared" si="115"/>
        <v>0</v>
      </c>
      <c r="AS81" s="104">
        <f t="shared" si="116"/>
        <v>0</v>
      </c>
      <c r="AT81" s="104">
        <f t="shared" si="117"/>
        <v>0</v>
      </c>
      <c r="AU81" s="104">
        <f t="shared" si="118"/>
        <v>0</v>
      </c>
      <c r="BF81" s="49">
        <f t="shared" si="119"/>
        <v>0</v>
      </c>
      <c r="BG81" s="49">
        <f t="shared" si="120"/>
        <v>0</v>
      </c>
      <c r="BH81" s="54" t="e">
        <f t="shared" si="121"/>
        <v>#DIV/0!</v>
      </c>
      <c r="BI81" s="112" t="e">
        <f t="shared" si="122"/>
        <v>#DIV/0!</v>
      </c>
      <c r="BK81" s="55" t="e">
        <f t="shared" si="123"/>
        <v>#DIV/0!</v>
      </c>
      <c r="BL81" s="55" t="e">
        <f t="shared" si="124"/>
        <v>#DIV/0!</v>
      </c>
      <c r="BM81" s="55" t="e">
        <f t="shared" si="125"/>
        <v>#DIV/0!</v>
      </c>
      <c r="BN81" s="53">
        <f t="shared" si="126"/>
        <v>0</v>
      </c>
      <c r="BO81" s="112" t="e">
        <f t="shared" si="127"/>
        <v>#DIV/0!</v>
      </c>
      <c r="BR81" s="53" t="e">
        <f t="shared" si="128"/>
        <v>#DIV/0!</v>
      </c>
      <c r="BS81" s="53">
        <f t="shared" si="129"/>
        <v>0</v>
      </c>
      <c r="BT81" s="53">
        <f t="shared" si="130"/>
        <v>0</v>
      </c>
      <c r="BU81" s="56" t="e">
        <f t="shared" si="131"/>
        <v>#DIV/0!</v>
      </c>
      <c r="BX81" s="60"/>
      <c r="BY81" s="60"/>
      <c r="BZ81" s="60"/>
      <c r="CA81" s="60"/>
      <c r="CB81" s="60"/>
      <c r="CC81" s="60"/>
      <c r="CD81" s="60"/>
      <c r="CE81" s="60"/>
      <c r="CF81" s="60"/>
      <c r="CG81" s="60"/>
      <c r="CH81" s="60"/>
      <c r="CI81" s="60"/>
      <c r="CJ81" s="60"/>
      <c r="CK81" s="60"/>
      <c r="CL81" s="60"/>
      <c r="CM81" s="60"/>
      <c r="CN81" s="60"/>
      <c r="CO81" s="60"/>
      <c r="CP81" s="60"/>
      <c r="CQ81" s="60"/>
      <c r="CR81" s="60"/>
      <c r="CS81" s="60"/>
      <c r="CT81" s="57">
        <f t="shared" si="132"/>
        <v>0</v>
      </c>
      <c r="CU81" s="57">
        <f t="shared" si="133"/>
        <v>0</v>
      </c>
      <c r="CV81" s="53">
        <f t="shared" si="134"/>
        <v>0</v>
      </c>
      <c r="CW81" s="53">
        <f t="shared" si="135"/>
        <v>0</v>
      </c>
      <c r="CX81" s="58" t="e">
        <f t="shared" si="136"/>
        <v>#DIV/0!</v>
      </c>
      <c r="CY81" s="53">
        <f t="shared" si="137"/>
        <v>0</v>
      </c>
      <c r="CZ81" s="53">
        <f t="shared" si="138"/>
        <v>0</v>
      </c>
      <c r="DA81" s="58" t="e">
        <f t="shared" si="139"/>
        <v>#DIV/0!</v>
      </c>
      <c r="DB81" s="48" t="e">
        <f t="shared" si="140"/>
        <v>#DIV/0!</v>
      </c>
      <c r="DC81" s="48" t="e">
        <f t="shared" si="141"/>
        <v>#DIV/0!</v>
      </c>
      <c r="DD81" s="48" t="e">
        <f t="shared" si="142"/>
        <v>#DIV/0!</v>
      </c>
      <c r="DE81" s="48" t="e">
        <f t="shared" si="143"/>
        <v>#DIV/0!</v>
      </c>
      <c r="DF81" s="48" t="e">
        <f t="shared" si="144"/>
        <v>#DIV/0!</v>
      </c>
      <c r="DG81" s="48" t="e">
        <f t="shared" si="145"/>
        <v>#DIV/0!</v>
      </c>
      <c r="DH81" s="48">
        <f>SUMIF(FCR!$BZ$4:$DB$500,DG81,FCR!$DE$4:$EG$500)</f>
        <v>0</v>
      </c>
      <c r="DI81" s="48" t="e">
        <f t="shared" si="146"/>
        <v>#DIV/0!</v>
      </c>
      <c r="DJ81" s="48">
        <f>SUMIF(FCR!$BZ$4:$DB$142,DI81,FCR!$DE$4:$EG$142)</f>
        <v>0</v>
      </c>
      <c r="DK81" s="48" t="e">
        <f t="shared" si="147"/>
        <v>#DIV/0!</v>
      </c>
      <c r="DL81" s="55" t="e">
        <f t="shared" si="148"/>
        <v>#DIV/0!</v>
      </c>
      <c r="DM81" s="48" t="e">
        <f t="shared" si="149"/>
        <v>#DIV/0!</v>
      </c>
      <c r="DN81" s="48">
        <f>SUMIF(FCR!$BZ$4:$DB$142,DM81,FCR!$DE$4:$EG$142)</f>
        <v>0</v>
      </c>
      <c r="DO81" s="53" t="e">
        <f t="shared" si="150"/>
        <v>#DIV/0!</v>
      </c>
      <c r="DP81" s="55" t="e">
        <f t="shared" si="151"/>
        <v>#DIV/0!</v>
      </c>
      <c r="DQ81" s="55" t="e">
        <f t="shared" si="152"/>
        <v>#DIV/0!</v>
      </c>
      <c r="DR81" s="55"/>
      <c r="DS81" s="55" t="e">
        <f t="shared" si="153"/>
        <v>#DIV/0!</v>
      </c>
      <c r="DT81" s="55" t="e">
        <f t="shared" si="154"/>
        <v>#DIV/0!</v>
      </c>
      <c r="DU81" s="53">
        <f t="shared" si="155"/>
        <v>0</v>
      </c>
      <c r="DV81" s="59" t="e">
        <f t="shared" si="156"/>
        <v>#DIV/0!</v>
      </c>
    </row>
    <row r="82" spans="30:126">
      <c r="AD82" s="49" t="s">
        <v>411</v>
      </c>
      <c r="AE82" s="49">
        <f t="shared" si="102"/>
        <v>0</v>
      </c>
      <c r="AF82" s="49">
        <f t="shared" si="103"/>
        <v>0</v>
      </c>
      <c r="AG82" s="114">
        <f t="shared" si="104"/>
        <v>0</v>
      </c>
      <c r="AH82" s="104">
        <f t="shared" si="105"/>
        <v>0</v>
      </c>
      <c r="AI82" s="104">
        <f t="shared" si="106"/>
        <v>0</v>
      </c>
      <c r="AJ82" s="104">
        <f t="shared" si="107"/>
        <v>0</v>
      </c>
      <c r="AK82" s="104">
        <f t="shared" si="108"/>
        <v>0</v>
      </c>
      <c r="AL82" s="104">
        <f t="shared" si="109"/>
        <v>0</v>
      </c>
      <c r="AM82" s="104">
        <f t="shared" si="110"/>
        <v>0</v>
      </c>
      <c r="AN82" s="104">
        <f t="shared" si="111"/>
        <v>0</v>
      </c>
      <c r="AO82" s="104">
        <f t="shared" si="112"/>
        <v>0</v>
      </c>
      <c r="AP82" s="104">
        <f t="shared" si="113"/>
        <v>0</v>
      </c>
      <c r="AQ82" s="49">
        <f t="shared" si="114"/>
        <v>0</v>
      </c>
      <c r="AR82" s="104">
        <f t="shared" si="115"/>
        <v>0</v>
      </c>
      <c r="AS82" s="104">
        <f t="shared" si="116"/>
        <v>0</v>
      </c>
      <c r="AT82" s="104">
        <f t="shared" si="117"/>
        <v>0</v>
      </c>
      <c r="AU82" s="104">
        <f t="shared" si="118"/>
        <v>0</v>
      </c>
      <c r="BF82" s="49">
        <f t="shared" si="119"/>
        <v>0</v>
      </c>
      <c r="BG82" s="49">
        <f t="shared" si="120"/>
        <v>0</v>
      </c>
      <c r="BH82" s="54" t="e">
        <f t="shared" si="121"/>
        <v>#DIV/0!</v>
      </c>
      <c r="BI82" s="112" t="e">
        <f t="shared" si="122"/>
        <v>#DIV/0!</v>
      </c>
      <c r="BK82" s="55" t="e">
        <f t="shared" si="123"/>
        <v>#DIV/0!</v>
      </c>
      <c r="BL82" s="55" t="e">
        <f t="shared" si="124"/>
        <v>#DIV/0!</v>
      </c>
      <c r="BM82" s="55" t="e">
        <f t="shared" si="125"/>
        <v>#DIV/0!</v>
      </c>
      <c r="BN82" s="53">
        <f t="shared" si="126"/>
        <v>0</v>
      </c>
      <c r="BO82" s="112" t="e">
        <f t="shared" si="127"/>
        <v>#DIV/0!</v>
      </c>
      <c r="BR82" s="53" t="e">
        <f t="shared" si="128"/>
        <v>#DIV/0!</v>
      </c>
      <c r="BS82" s="53">
        <f t="shared" si="129"/>
        <v>0</v>
      </c>
      <c r="BT82" s="53">
        <f t="shared" si="130"/>
        <v>0</v>
      </c>
      <c r="BU82" s="56" t="e">
        <f t="shared" si="131"/>
        <v>#DIV/0!</v>
      </c>
      <c r="BX82" s="60"/>
      <c r="BY82" s="60"/>
      <c r="BZ82" s="60"/>
      <c r="CA82" s="60"/>
      <c r="CB82" s="60"/>
      <c r="CC82" s="60"/>
      <c r="CD82" s="60"/>
      <c r="CE82" s="60"/>
      <c r="CF82" s="60"/>
      <c r="CG82" s="60"/>
      <c r="CH82" s="60"/>
      <c r="CI82" s="60"/>
      <c r="CJ82" s="60"/>
      <c r="CK82" s="60"/>
      <c r="CL82" s="60"/>
      <c r="CM82" s="60"/>
      <c r="CN82" s="60"/>
      <c r="CO82" s="60"/>
      <c r="CP82" s="60"/>
      <c r="CQ82" s="60"/>
      <c r="CR82" s="60"/>
      <c r="CS82" s="60"/>
      <c r="CT82" s="57">
        <f t="shared" si="132"/>
        <v>0</v>
      </c>
      <c r="CU82" s="57">
        <f t="shared" si="133"/>
        <v>0</v>
      </c>
      <c r="CV82" s="53">
        <f t="shared" si="134"/>
        <v>0</v>
      </c>
      <c r="CW82" s="53">
        <f t="shared" si="135"/>
        <v>0</v>
      </c>
      <c r="CX82" s="58" t="e">
        <f t="shared" si="136"/>
        <v>#DIV/0!</v>
      </c>
      <c r="CY82" s="53">
        <f t="shared" si="137"/>
        <v>0</v>
      </c>
      <c r="CZ82" s="53">
        <f t="shared" si="138"/>
        <v>0</v>
      </c>
      <c r="DA82" s="58" t="e">
        <f t="shared" si="139"/>
        <v>#DIV/0!</v>
      </c>
      <c r="DB82" s="48" t="e">
        <f t="shared" si="140"/>
        <v>#DIV/0!</v>
      </c>
      <c r="DC82" s="48" t="e">
        <f t="shared" si="141"/>
        <v>#DIV/0!</v>
      </c>
      <c r="DD82" s="48" t="e">
        <f t="shared" si="142"/>
        <v>#DIV/0!</v>
      </c>
      <c r="DE82" s="48" t="e">
        <f t="shared" si="143"/>
        <v>#DIV/0!</v>
      </c>
      <c r="DF82" s="48" t="e">
        <f t="shared" si="144"/>
        <v>#DIV/0!</v>
      </c>
      <c r="DG82" s="48" t="e">
        <f t="shared" si="145"/>
        <v>#DIV/0!</v>
      </c>
      <c r="DH82" s="48">
        <f>SUMIF(FCR!$BZ$4:$DB$500,DG82,FCR!$DE$4:$EG$500)</f>
        <v>0</v>
      </c>
      <c r="DI82" s="48" t="e">
        <f t="shared" si="146"/>
        <v>#DIV/0!</v>
      </c>
      <c r="DJ82" s="48">
        <f>SUMIF(FCR!$BZ$4:$DB$142,DI82,FCR!$DE$4:$EG$142)</f>
        <v>0</v>
      </c>
      <c r="DK82" s="48" t="e">
        <f t="shared" si="147"/>
        <v>#DIV/0!</v>
      </c>
      <c r="DL82" s="55" t="e">
        <f t="shared" si="148"/>
        <v>#DIV/0!</v>
      </c>
      <c r="DM82" s="48" t="e">
        <f t="shared" si="149"/>
        <v>#DIV/0!</v>
      </c>
      <c r="DN82" s="48">
        <f>SUMIF(FCR!$BZ$4:$DB$142,DM82,FCR!$DE$4:$EG$142)</f>
        <v>0</v>
      </c>
      <c r="DO82" s="53" t="e">
        <f t="shared" si="150"/>
        <v>#DIV/0!</v>
      </c>
      <c r="DP82" s="55" t="e">
        <f t="shared" si="151"/>
        <v>#DIV/0!</v>
      </c>
      <c r="DQ82" s="55" t="e">
        <f t="shared" si="152"/>
        <v>#DIV/0!</v>
      </c>
      <c r="DR82" s="55"/>
      <c r="DS82" s="55" t="e">
        <f t="shared" si="153"/>
        <v>#DIV/0!</v>
      </c>
      <c r="DT82" s="55" t="e">
        <f t="shared" si="154"/>
        <v>#DIV/0!</v>
      </c>
      <c r="DU82" s="53">
        <f t="shared" si="155"/>
        <v>0</v>
      </c>
      <c r="DV82" s="59" t="e">
        <f t="shared" si="156"/>
        <v>#DIV/0!</v>
      </c>
    </row>
    <row r="83" spans="30:126">
      <c r="AD83" s="49" t="s">
        <v>411</v>
      </c>
      <c r="AE83" s="49">
        <f t="shared" si="102"/>
        <v>0</v>
      </c>
      <c r="AF83" s="49">
        <f t="shared" si="103"/>
        <v>0</v>
      </c>
      <c r="AG83" s="114">
        <f t="shared" si="104"/>
        <v>0</v>
      </c>
      <c r="AH83" s="104">
        <f t="shared" si="105"/>
        <v>0</v>
      </c>
      <c r="AI83" s="104">
        <f t="shared" si="106"/>
        <v>0</v>
      </c>
      <c r="AJ83" s="104">
        <f t="shared" si="107"/>
        <v>0</v>
      </c>
      <c r="AK83" s="104">
        <f t="shared" si="108"/>
        <v>0</v>
      </c>
      <c r="AL83" s="104">
        <f t="shared" si="109"/>
        <v>0</v>
      </c>
      <c r="AM83" s="104">
        <f t="shared" si="110"/>
        <v>0</v>
      </c>
      <c r="AN83" s="104">
        <f t="shared" si="111"/>
        <v>0</v>
      </c>
      <c r="AO83" s="104">
        <f t="shared" si="112"/>
        <v>0</v>
      </c>
      <c r="AP83" s="104">
        <f t="shared" si="113"/>
        <v>0</v>
      </c>
      <c r="AQ83" s="49">
        <f t="shared" si="114"/>
        <v>0</v>
      </c>
      <c r="AR83" s="104">
        <f t="shared" si="115"/>
        <v>0</v>
      </c>
      <c r="AS83" s="104">
        <f t="shared" si="116"/>
        <v>0</v>
      </c>
      <c r="AT83" s="104">
        <f t="shared" si="117"/>
        <v>0</v>
      </c>
      <c r="AU83" s="104">
        <f t="shared" si="118"/>
        <v>0</v>
      </c>
      <c r="BF83" s="49">
        <f t="shared" si="119"/>
        <v>0</v>
      </c>
      <c r="BG83" s="49">
        <f t="shared" si="120"/>
        <v>0</v>
      </c>
      <c r="BH83" s="54" t="e">
        <f t="shared" si="121"/>
        <v>#DIV/0!</v>
      </c>
      <c r="BI83" s="112" t="e">
        <f t="shared" si="122"/>
        <v>#DIV/0!</v>
      </c>
      <c r="BK83" s="55" t="e">
        <f t="shared" si="123"/>
        <v>#DIV/0!</v>
      </c>
      <c r="BL83" s="55" t="e">
        <f t="shared" si="124"/>
        <v>#DIV/0!</v>
      </c>
      <c r="BM83" s="55" t="e">
        <f t="shared" si="125"/>
        <v>#DIV/0!</v>
      </c>
      <c r="BN83" s="53">
        <f t="shared" si="126"/>
        <v>0</v>
      </c>
      <c r="BO83" s="112" t="e">
        <f t="shared" si="127"/>
        <v>#DIV/0!</v>
      </c>
      <c r="BR83" s="53" t="e">
        <f t="shared" si="128"/>
        <v>#DIV/0!</v>
      </c>
      <c r="BS83" s="53">
        <f t="shared" si="129"/>
        <v>0</v>
      </c>
      <c r="BT83" s="53">
        <f t="shared" si="130"/>
        <v>0</v>
      </c>
      <c r="BU83" s="56" t="e">
        <f t="shared" si="131"/>
        <v>#DIV/0!</v>
      </c>
      <c r="BX83" s="60"/>
      <c r="BY83" s="60"/>
      <c r="BZ83" s="60"/>
      <c r="CA83" s="60"/>
      <c r="CB83" s="60"/>
      <c r="CC83" s="60"/>
      <c r="CD83" s="60"/>
      <c r="CE83" s="60"/>
      <c r="CF83" s="60"/>
      <c r="CG83" s="60"/>
      <c r="CH83" s="60"/>
      <c r="CI83" s="60"/>
      <c r="CJ83" s="60"/>
      <c r="CK83" s="60"/>
      <c r="CL83" s="60"/>
      <c r="CM83" s="60"/>
      <c r="CN83" s="60"/>
      <c r="CO83" s="60"/>
      <c r="CP83" s="60"/>
      <c r="CQ83" s="60"/>
      <c r="CR83" s="60"/>
      <c r="CS83" s="60"/>
      <c r="CT83" s="57">
        <f t="shared" si="132"/>
        <v>0</v>
      </c>
      <c r="CU83" s="57">
        <f t="shared" si="133"/>
        <v>0</v>
      </c>
      <c r="CV83" s="53">
        <f t="shared" si="134"/>
        <v>0</v>
      </c>
      <c r="CW83" s="53">
        <f t="shared" si="135"/>
        <v>0</v>
      </c>
      <c r="CX83" s="58" t="e">
        <f t="shared" si="136"/>
        <v>#DIV/0!</v>
      </c>
      <c r="CY83" s="53">
        <f t="shared" si="137"/>
        <v>0</v>
      </c>
      <c r="CZ83" s="53">
        <f t="shared" si="138"/>
        <v>0</v>
      </c>
      <c r="DA83" s="58" t="e">
        <f t="shared" si="139"/>
        <v>#DIV/0!</v>
      </c>
      <c r="DB83" s="48" t="e">
        <f t="shared" si="140"/>
        <v>#DIV/0!</v>
      </c>
      <c r="DC83" s="48" t="e">
        <f t="shared" si="141"/>
        <v>#DIV/0!</v>
      </c>
      <c r="DD83" s="48" t="e">
        <f t="shared" si="142"/>
        <v>#DIV/0!</v>
      </c>
      <c r="DE83" s="48" t="e">
        <f t="shared" si="143"/>
        <v>#DIV/0!</v>
      </c>
      <c r="DF83" s="48" t="e">
        <f t="shared" si="144"/>
        <v>#DIV/0!</v>
      </c>
      <c r="DG83" s="48" t="e">
        <f t="shared" si="145"/>
        <v>#DIV/0!</v>
      </c>
      <c r="DH83" s="48">
        <f>SUMIF(FCR!$BZ$4:$DB$500,DG83,FCR!$DE$4:$EG$500)</f>
        <v>0</v>
      </c>
      <c r="DI83" s="48" t="e">
        <f t="shared" si="146"/>
        <v>#DIV/0!</v>
      </c>
      <c r="DJ83" s="48">
        <f>SUMIF(FCR!$BZ$4:$DB$142,DI83,FCR!$DE$4:$EG$142)</f>
        <v>0</v>
      </c>
      <c r="DK83" s="48" t="e">
        <f t="shared" si="147"/>
        <v>#DIV/0!</v>
      </c>
      <c r="DL83" s="55" t="e">
        <f t="shared" si="148"/>
        <v>#DIV/0!</v>
      </c>
      <c r="DM83" s="48" t="e">
        <f t="shared" si="149"/>
        <v>#DIV/0!</v>
      </c>
      <c r="DN83" s="48">
        <f>SUMIF(FCR!$BZ$4:$DB$142,DM83,FCR!$DE$4:$EG$142)</f>
        <v>0</v>
      </c>
      <c r="DO83" s="53" t="e">
        <f t="shared" si="150"/>
        <v>#DIV/0!</v>
      </c>
      <c r="DP83" s="55" t="e">
        <f t="shared" si="151"/>
        <v>#DIV/0!</v>
      </c>
      <c r="DQ83" s="55" t="e">
        <f t="shared" si="152"/>
        <v>#DIV/0!</v>
      </c>
      <c r="DR83" s="55"/>
      <c r="DS83" s="55" t="e">
        <f t="shared" si="153"/>
        <v>#DIV/0!</v>
      </c>
      <c r="DT83" s="55" t="e">
        <f t="shared" si="154"/>
        <v>#DIV/0!</v>
      </c>
      <c r="DU83" s="53">
        <f t="shared" si="155"/>
        <v>0</v>
      </c>
      <c r="DV83" s="59" t="e">
        <f t="shared" si="156"/>
        <v>#DIV/0!</v>
      </c>
    </row>
    <row r="84" spans="30:126">
      <c r="AD84" s="49" t="s">
        <v>411</v>
      </c>
      <c r="AE84" s="49">
        <f t="shared" si="102"/>
        <v>0</v>
      </c>
      <c r="AF84" s="49">
        <f t="shared" si="103"/>
        <v>0</v>
      </c>
      <c r="AG84" s="114">
        <f t="shared" si="104"/>
        <v>0</v>
      </c>
      <c r="AH84" s="104">
        <f t="shared" si="105"/>
        <v>0</v>
      </c>
      <c r="AI84" s="104">
        <f t="shared" si="106"/>
        <v>0</v>
      </c>
      <c r="AJ84" s="104">
        <f t="shared" si="107"/>
        <v>0</v>
      </c>
      <c r="AK84" s="104">
        <f t="shared" si="108"/>
        <v>0</v>
      </c>
      <c r="AL84" s="104">
        <f t="shared" si="109"/>
        <v>0</v>
      </c>
      <c r="AM84" s="104">
        <f t="shared" si="110"/>
        <v>0</v>
      </c>
      <c r="AN84" s="104">
        <f t="shared" si="111"/>
        <v>0</v>
      </c>
      <c r="AO84" s="104">
        <f t="shared" si="112"/>
        <v>0</v>
      </c>
      <c r="AP84" s="104">
        <f t="shared" si="113"/>
        <v>0</v>
      </c>
      <c r="AQ84" s="49">
        <f t="shared" si="114"/>
        <v>0</v>
      </c>
      <c r="AR84" s="104">
        <f t="shared" si="115"/>
        <v>0</v>
      </c>
      <c r="AS84" s="104">
        <f t="shared" si="116"/>
        <v>0</v>
      </c>
      <c r="AT84" s="104">
        <f t="shared" si="117"/>
        <v>0</v>
      </c>
      <c r="AU84" s="104">
        <f t="shared" si="118"/>
        <v>0</v>
      </c>
      <c r="BF84" s="49">
        <f t="shared" si="119"/>
        <v>0</v>
      </c>
      <c r="BG84" s="49">
        <f t="shared" si="120"/>
        <v>0</v>
      </c>
      <c r="BH84" s="54" t="e">
        <f t="shared" si="121"/>
        <v>#DIV/0!</v>
      </c>
      <c r="BI84" s="112" t="e">
        <f t="shared" si="122"/>
        <v>#DIV/0!</v>
      </c>
      <c r="BK84" s="55" t="e">
        <f t="shared" si="123"/>
        <v>#DIV/0!</v>
      </c>
      <c r="BL84" s="55" t="e">
        <f t="shared" si="124"/>
        <v>#DIV/0!</v>
      </c>
      <c r="BM84" s="55" t="e">
        <f t="shared" si="125"/>
        <v>#DIV/0!</v>
      </c>
      <c r="BN84" s="53">
        <f t="shared" si="126"/>
        <v>0</v>
      </c>
      <c r="BO84" s="112" t="e">
        <f t="shared" si="127"/>
        <v>#DIV/0!</v>
      </c>
      <c r="BR84" s="53" t="e">
        <f t="shared" si="128"/>
        <v>#DIV/0!</v>
      </c>
      <c r="BS84" s="53">
        <f t="shared" si="129"/>
        <v>0</v>
      </c>
      <c r="BT84" s="53">
        <f t="shared" si="130"/>
        <v>0</v>
      </c>
      <c r="BU84" s="56" t="e">
        <f t="shared" si="131"/>
        <v>#DIV/0!</v>
      </c>
      <c r="BX84" s="60"/>
      <c r="BY84" s="60"/>
      <c r="BZ84" s="60"/>
      <c r="CA84" s="60"/>
      <c r="CB84" s="60"/>
      <c r="CC84" s="60"/>
      <c r="CD84" s="60"/>
      <c r="CE84" s="60"/>
      <c r="CF84" s="60"/>
      <c r="CG84" s="60"/>
      <c r="CH84" s="60"/>
      <c r="CI84" s="60"/>
      <c r="CJ84" s="60"/>
      <c r="CK84" s="60"/>
      <c r="CL84" s="60"/>
      <c r="CM84" s="60"/>
      <c r="CN84" s="60"/>
      <c r="CO84" s="60"/>
      <c r="CP84" s="60"/>
      <c r="CQ84" s="60"/>
      <c r="CR84" s="60"/>
      <c r="CS84" s="60"/>
      <c r="CT84" s="57">
        <f t="shared" si="132"/>
        <v>0</v>
      </c>
      <c r="CU84" s="57">
        <f t="shared" si="133"/>
        <v>0</v>
      </c>
      <c r="CV84" s="53">
        <f t="shared" si="134"/>
        <v>0</v>
      </c>
      <c r="CW84" s="53">
        <f t="shared" si="135"/>
        <v>0</v>
      </c>
      <c r="CX84" s="58" t="e">
        <f t="shared" si="136"/>
        <v>#DIV/0!</v>
      </c>
      <c r="CY84" s="53">
        <f t="shared" si="137"/>
        <v>0</v>
      </c>
      <c r="CZ84" s="53">
        <f t="shared" si="138"/>
        <v>0</v>
      </c>
      <c r="DA84" s="58" t="e">
        <f t="shared" si="139"/>
        <v>#DIV/0!</v>
      </c>
      <c r="DB84" s="48" t="e">
        <f t="shared" si="140"/>
        <v>#DIV/0!</v>
      </c>
      <c r="DC84" s="48" t="e">
        <f t="shared" si="141"/>
        <v>#DIV/0!</v>
      </c>
      <c r="DD84" s="48" t="e">
        <f t="shared" si="142"/>
        <v>#DIV/0!</v>
      </c>
      <c r="DE84" s="48" t="e">
        <f t="shared" si="143"/>
        <v>#DIV/0!</v>
      </c>
      <c r="DF84" s="48" t="e">
        <f t="shared" si="144"/>
        <v>#DIV/0!</v>
      </c>
      <c r="DG84" s="48" t="e">
        <f t="shared" si="145"/>
        <v>#DIV/0!</v>
      </c>
      <c r="DH84" s="48">
        <f>SUMIF(FCR!$BZ$4:$DB$500,DG84,FCR!$DE$4:$EG$500)</f>
        <v>0</v>
      </c>
      <c r="DI84" s="48" t="e">
        <f t="shared" si="146"/>
        <v>#DIV/0!</v>
      </c>
      <c r="DJ84" s="48">
        <f>SUMIF(FCR!$BZ$4:$DB$142,DI84,FCR!$DE$4:$EG$142)</f>
        <v>0</v>
      </c>
      <c r="DK84" s="48" t="e">
        <f t="shared" si="147"/>
        <v>#DIV/0!</v>
      </c>
      <c r="DL84" s="55" t="e">
        <f t="shared" si="148"/>
        <v>#DIV/0!</v>
      </c>
      <c r="DM84" s="48" t="e">
        <f t="shared" si="149"/>
        <v>#DIV/0!</v>
      </c>
      <c r="DN84" s="48">
        <f>SUMIF(FCR!$BZ$4:$DB$142,DM84,FCR!$DE$4:$EG$142)</f>
        <v>0</v>
      </c>
      <c r="DO84" s="53" t="e">
        <f t="shared" si="150"/>
        <v>#DIV/0!</v>
      </c>
      <c r="DP84" s="55" t="e">
        <f t="shared" si="151"/>
        <v>#DIV/0!</v>
      </c>
      <c r="DQ84" s="55" t="e">
        <f t="shared" si="152"/>
        <v>#DIV/0!</v>
      </c>
      <c r="DR84" s="55"/>
      <c r="DS84" s="55" t="e">
        <f t="shared" si="153"/>
        <v>#DIV/0!</v>
      </c>
      <c r="DT84" s="55" t="e">
        <f t="shared" si="154"/>
        <v>#DIV/0!</v>
      </c>
      <c r="DU84" s="53">
        <f t="shared" si="155"/>
        <v>0</v>
      </c>
      <c r="DV84" s="59" t="e">
        <f t="shared" si="156"/>
        <v>#DIV/0!</v>
      </c>
    </row>
    <row r="85" spans="30:126">
      <c r="AD85" s="49" t="s">
        <v>411</v>
      </c>
      <c r="AE85" s="49">
        <f t="shared" si="102"/>
        <v>0</v>
      </c>
      <c r="AF85" s="49">
        <f t="shared" si="103"/>
        <v>0</v>
      </c>
      <c r="AG85" s="114">
        <f t="shared" si="104"/>
        <v>0</v>
      </c>
      <c r="AH85" s="104">
        <f t="shared" si="105"/>
        <v>0</v>
      </c>
      <c r="AI85" s="104">
        <f t="shared" si="106"/>
        <v>0</v>
      </c>
      <c r="AJ85" s="104">
        <f t="shared" si="107"/>
        <v>0</v>
      </c>
      <c r="AK85" s="104">
        <f t="shared" si="108"/>
        <v>0</v>
      </c>
      <c r="AL85" s="104">
        <f t="shared" si="109"/>
        <v>0</v>
      </c>
      <c r="AM85" s="104">
        <f t="shared" si="110"/>
        <v>0</v>
      </c>
      <c r="AN85" s="104">
        <f t="shared" si="111"/>
        <v>0</v>
      </c>
      <c r="AO85" s="104">
        <f t="shared" si="112"/>
        <v>0</v>
      </c>
      <c r="AP85" s="104">
        <f t="shared" si="113"/>
        <v>0</v>
      </c>
      <c r="AQ85" s="49">
        <f t="shared" si="114"/>
        <v>0</v>
      </c>
      <c r="AR85" s="104">
        <f t="shared" si="115"/>
        <v>0</v>
      </c>
      <c r="AS85" s="104">
        <f t="shared" si="116"/>
        <v>0</v>
      </c>
      <c r="AT85" s="104">
        <f t="shared" si="117"/>
        <v>0</v>
      </c>
      <c r="AU85" s="104">
        <f t="shared" si="118"/>
        <v>0</v>
      </c>
      <c r="BF85" s="49">
        <f t="shared" si="119"/>
        <v>0</v>
      </c>
      <c r="BG85" s="49">
        <f t="shared" si="120"/>
        <v>0</v>
      </c>
      <c r="BH85" s="54" t="e">
        <f t="shared" si="121"/>
        <v>#DIV/0!</v>
      </c>
      <c r="BI85" s="112" t="e">
        <f t="shared" si="122"/>
        <v>#DIV/0!</v>
      </c>
      <c r="BK85" s="55" t="e">
        <f t="shared" si="123"/>
        <v>#DIV/0!</v>
      </c>
      <c r="BL85" s="55" t="e">
        <f t="shared" si="124"/>
        <v>#DIV/0!</v>
      </c>
      <c r="BM85" s="55" t="e">
        <f t="shared" si="125"/>
        <v>#DIV/0!</v>
      </c>
      <c r="BN85" s="53">
        <f t="shared" si="126"/>
        <v>0</v>
      </c>
      <c r="BO85" s="112" t="e">
        <f t="shared" si="127"/>
        <v>#DIV/0!</v>
      </c>
      <c r="BR85" s="53" t="e">
        <f t="shared" si="128"/>
        <v>#DIV/0!</v>
      </c>
      <c r="BS85" s="53">
        <f t="shared" si="129"/>
        <v>0</v>
      </c>
      <c r="BT85" s="53">
        <f t="shared" si="130"/>
        <v>0</v>
      </c>
      <c r="BU85" s="56" t="e">
        <f t="shared" si="131"/>
        <v>#DIV/0!</v>
      </c>
      <c r="BX85" s="60"/>
      <c r="BY85" s="60"/>
      <c r="BZ85" s="60"/>
      <c r="CA85" s="60"/>
      <c r="CB85" s="60"/>
      <c r="CC85" s="60"/>
      <c r="CD85" s="60"/>
      <c r="CE85" s="60"/>
      <c r="CF85" s="60"/>
      <c r="CG85" s="60"/>
      <c r="CH85" s="60"/>
      <c r="CI85" s="60"/>
      <c r="CJ85" s="60"/>
      <c r="CK85" s="60"/>
      <c r="CL85" s="60"/>
      <c r="CM85" s="60"/>
      <c r="CN85" s="60"/>
      <c r="CO85" s="60"/>
      <c r="CP85" s="60"/>
      <c r="CQ85" s="60"/>
      <c r="CR85" s="60"/>
      <c r="CS85" s="60"/>
      <c r="CT85" s="57">
        <f t="shared" si="132"/>
        <v>0</v>
      </c>
      <c r="CU85" s="57">
        <f t="shared" si="133"/>
        <v>0</v>
      </c>
      <c r="CV85" s="53">
        <f t="shared" si="134"/>
        <v>0</v>
      </c>
      <c r="CW85" s="53">
        <f t="shared" si="135"/>
        <v>0</v>
      </c>
      <c r="CX85" s="58" t="e">
        <f t="shared" si="136"/>
        <v>#DIV/0!</v>
      </c>
      <c r="CY85" s="53">
        <f t="shared" si="137"/>
        <v>0</v>
      </c>
      <c r="CZ85" s="53">
        <f t="shared" si="138"/>
        <v>0</v>
      </c>
      <c r="DA85" s="58" t="e">
        <f t="shared" si="139"/>
        <v>#DIV/0!</v>
      </c>
      <c r="DB85" s="48" t="e">
        <f t="shared" si="140"/>
        <v>#DIV/0!</v>
      </c>
      <c r="DC85" s="48" t="e">
        <f t="shared" si="141"/>
        <v>#DIV/0!</v>
      </c>
      <c r="DD85" s="48" t="e">
        <f t="shared" si="142"/>
        <v>#DIV/0!</v>
      </c>
      <c r="DE85" s="48" t="e">
        <f t="shared" si="143"/>
        <v>#DIV/0!</v>
      </c>
      <c r="DF85" s="48" t="e">
        <f t="shared" si="144"/>
        <v>#DIV/0!</v>
      </c>
      <c r="DG85" s="48" t="e">
        <f t="shared" si="145"/>
        <v>#DIV/0!</v>
      </c>
      <c r="DH85" s="48">
        <f>SUMIF(FCR!$BZ$4:$DB$500,DG85,FCR!$DE$4:$EG$500)</f>
        <v>0</v>
      </c>
      <c r="DI85" s="48" t="e">
        <f t="shared" si="146"/>
        <v>#DIV/0!</v>
      </c>
      <c r="DJ85" s="48">
        <f>SUMIF(FCR!$BZ$4:$DB$142,DI85,FCR!$DE$4:$EG$142)</f>
        <v>0</v>
      </c>
      <c r="DK85" s="48" t="e">
        <f t="shared" si="147"/>
        <v>#DIV/0!</v>
      </c>
      <c r="DL85" s="55" t="e">
        <f t="shared" si="148"/>
        <v>#DIV/0!</v>
      </c>
      <c r="DM85" s="48" t="e">
        <f t="shared" si="149"/>
        <v>#DIV/0!</v>
      </c>
      <c r="DN85" s="48">
        <f>SUMIF(FCR!$BZ$4:$DB$142,DM85,FCR!$DE$4:$EG$142)</f>
        <v>0</v>
      </c>
      <c r="DO85" s="53" t="e">
        <f t="shared" si="150"/>
        <v>#DIV/0!</v>
      </c>
      <c r="DP85" s="55" t="e">
        <f t="shared" si="151"/>
        <v>#DIV/0!</v>
      </c>
      <c r="DQ85" s="55" t="e">
        <f t="shared" si="152"/>
        <v>#DIV/0!</v>
      </c>
      <c r="DR85" s="55"/>
      <c r="DS85" s="55" t="e">
        <f t="shared" si="153"/>
        <v>#DIV/0!</v>
      </c>
      <c r="DT85" s="55" t="e">
        <f t="shared" si="154"/>
        <v>#DIV/0!</v>
      </c>
      <c r="DU85" s="53">
        <f t="shared" si="155"/>
        <v>0</v>
      </c>
      <c r="DV85" s="59" t="e">
        <f t="shared" si="156"/>
        <v>#DIV/0!</v>
      </c>
    </row>
    <row r="86" spans="30:126">
      <c r="AD86" s="49" t="s">
        <v>411</v>
      </c>
      <c r="AE86" s="49">
        <f t="shared" si="102"/>
        <v>0</v>
      </c>
      <c r="AF86" s="49">
        <f t="shared" si="103"/>
        <v>0</v>
      </c>
      <c r="AG86" s="114">
        <f t="shared" si="104"/>
        <v>0</v>
      </c>
      <c r="AH86" s="104">
        <f t="shared" si="105"/>
        <v>0</v>
      </c>
      <c r="AI86" s="104">
        <f t="shared" si="106"/>
        <v>0</v>
      </c>
      <c r="AJ86" s="104">
        <f t="shared" si="107"/>
        <v>0</v>
      </c>
      <c r="AK86" s="104">
        <f t="shared" si="108"/>
        <v>0</v>
      </c>
      <c r="AL86" s="104">
        <f t="shared" si="109"/>
        <v>0</v>
      </c>
      <c r="AM86" s="104">
        <f t="shared" si="110"/>
        <v>0</v>
      </c>
      <c r="AN86" s="104">
        <f t="shared" si="111"/>
        <v>0</v>
      </c>
      <c r="AO86" s="104">
        <f t="shared" si="112"/>
        <v>0</v>
      </c>
      <c r="AP86" s="104">
        <f t="shared" si="113"/>
        <v>0</v>
      </c>
      <c r="AQ86" s="49">
        <f t="shared" si="114"/>
        <v>0</v>
      </c>
      <c r="AR86" s="104">
        <f t="shared" si="115"/>
        <v>0</v>
      </c>
      <c r="AS86" s="104">
        <f t="shared" si="116"/>
        <v>0</v>
      </c>
      <c r="AT86" s="104">
        <f t="shared" si="117"/>
        <v>0</v>
      </c>
      <c r="AU86" s="104">
        <f t="shared" si="118"/>
        <v>0</v>
      </c>
      <c r="BF86" s="49">
        <f t="shared" si="119"/>
        <v>0</v>
      </c>
      <c r="BG86" s="49">
        <f t="shared" si="120"/>
        <v>0</v>
      </c>
      <c r="BH86" s="54" t="e">
        <f t="shared" si="121"/>
        <v>#DIV/0!</v>
      </c>
      <c r="BI86" s="112" t="e">
        <f t="shared" si="122"/>
        <v>#DIV/0!</v>
      </c>
      <c r="BK86" s="55" t="e">
        <f t="shared" si="123"/>
        <v>#DIV/0!</v>
      </c>
      <c r="BL86" s="55" t="e">
        <f t="shared" si="124"/>
        <v>#DIV/0!</v>
      </c>
      <c r="BM86" s="55" t="e">
        <f t="shared" si="125"/>
        <v>#DIV/0!</v>
      </c>
      <c r="BN86" s="53">
        <f t="shared" si="126"/>
        <v>0</v>
      </c>
      <c r="BO86" s="112" t="e">
        <f t="shared" si="127"/>
        <v>#DIV/0!</v>
      </c>
      <c r="BR86" s="53" t="e">
        <f t="shared" si="128"/>
        <v>#DIV/0!</v>
      </c>
      <c r="BS86" s="53">
        <f t="shared" si="129"/>
        <v>0</v>
      </c>
      <c r="BT86" s="53">
        <f t="shared" si="130"/>
        <v>0</v>
      </c>
      <c r="BU86" s="56" t="e">
        <f t="shared" si="131"/>
        <v>#DIV/0!</v>
      </c>
      <c r="BX86" s="60"/>
      <c r="BY86" s="60"/>
      <c r="BZ86" s="60"/>
      <c r="CA86" s="60"/>
      <c r="CB86" s="60"/>
      <c r="CC86" s="60"/>
      <c r="CD86" s="60"/>
      <c r="CE86" s="60"/>
      <c r="CF86" s="60"/>
      <c r="CG86" s="60"/>
      <c r="CH86" s="60"/>
      <c r="CI86" s="60"/>
      <c r="CJ86" s="60"/>
      <c r="CK86" s="60"/>
      <c r="CL86" s="60"/>
      <c r="CM86" s="60"/>
      <c r="CN86" s="60"/>
      <c r="CO86" s="60"/>
      <c r="CP86" s="60"/>
      <c r="CQ86" s="60"/>
      <c r="CR86" s="60"/>
      <c r="CS86" s="60"/>
      <c r="CT86" s="57">
        <f t="shared" si="132"/>
        <v>0</v>
      </c>
      <c r="CU86" s="57">
        <f t="shared" si="133"/>
        <v>0</v>
      </c>
      <c r="CV86" s="53">
        <f t="shared" si="134"/>
        <v>0</v>
      </c>
      <c r="CW86" s="53">
        <f t="shared" si="135"/>
        <v>0</v>
      </c>
      <c r="CX86" s="58" t="e">
        <f t="shared" si="136"/>
        <v>#DIV/0!</v>
      </c>
      <c r="CY86" s="53">
        <f t="shared" si="137"/>
        <v>0</v>
      </c>
      <c r="CZ86" s="53">
        <f t="shared" si="138"/>
        <v>0</v>
      </c>
      <c r="DA86" s="58" t="e">
        <f t="shared" si="139"/>
        <v>#DIV/0!</v>
      </c>
      <c r="DB86" s="48" t="e">
        <f t="shared" si="140"/>
        <v>#DIV/0!</v>
      </c>
      <c r="DC86" s="48" t="e">
        <f t="shared" si="141"/>
        <v>#DIV/0!</v>
      </c>
      <c r="DD86" s="48" t="e">
        <f t="shared" si="142"/>
        <v>#DIV/0!</v>
      </c>
      <c r="DE86" s="48" t="e">
        <f t="shared" si="143"/>
        <v>#DIV/0!</v>
      </c>
      <c r="DF86" s="48" t="e">
        <f t="shared" si="144"/>
        <v>#DIV/0!</v>
      </c>
      <c r="DG86" s="48" t="e">
        <f t="shared" si="145"/>
        <v>#DIV/0!</v>
      </c>
      <c r="DH86" s="48">
        <f>SUMIF(FCR!$BZ$4:$DB$500,DG86,FCR!$DE$4:$EG$500)</f>
        <v>0</v>
      </c>
      <c r="DI86" s="48" t="e">
        <f t="shared" si="146"/>
        <v>#DIV/0!</v>
      </c>
      <c r="DJ86" s="48">
        <f>SUMIF(FCR!$BZ$4:$DB$142,DI86,FCR!$DE$4:$EG$142)</f>
        <v>0</v>
      </c>
      <c r="DK86" s="48" t="e">
        <f t="shared" si="147"/>
        <v>#DIV/0!</v>
      </c>
      <c r="DL86" s="55" t="e">
        <f t="shared" si="148"/>
        <v>#DIV/0!</v>
      </c>
      <c r="DM86" s="48" t="e">
        <f t="shared" si="149"/>
        <v>#DIV/0!</v>
      </c>
      <c r="DN86" s="48">
        <f>SUMIF(FCR!$BZ$4:$DB$142,DM86,FCR!$DE$4:$EG$142)</f>
        <v>0</v>
      </c>
      <c r="DO86" s="53" t="e">
        <f t="shared" si="150"/>
        <v>#DIV/0!</v>
      </c>
      <c r="DP86" s="55" t="e">
        <f t="shared" si="151"/>
        <v>#DIV/0!</v>
      </c>
      <c r="DQ86" s="55" t="e">
        <f t="shared" si="152"/>
        <v>#DIV/0!</v>
      </c>
      <c r="DR86" s="55"/>
      <c r="DS86" s="55" t="e">
        <f t="shared" si="153"/>
        <v>#DIV/0!</v>
      </c>
      <c r="DT86" s="55" t="e">
        <f t="shared" si="154"/>
        <v>#DIV/0!</v>
      </c>
      <c r="DU86" s="53">
        <f t="shared" si="155"/>
        <v>0</v>
      </c>
      <c r="DV86" s="59" t="e">
        <f t="shared" si="156"/>
        <v>#DIV/0!</v>
      </c>
    </row>
    <row r="87" spans="30:126">
      <c r="AD87" s="49" t="s">
        <v>411</v>
      </c>
      <c r="AE87" s="49">
        <f t="shared" si="102"/>
        <v>0</v>
      </c>
      <c r="AF87" s="49">
        <f t="shared" si="103"/>
        <v>0</v>
      </c>
      <c r="AG87" s="114">
        <f t="shared" si="104"/>
        <v>0</v>
      </c>
      <c r="AH87" s="104">
        <f t="shared" si="105"/>
        <v>0</v>
      </c>
      <c r="AI87" s="104">
        <f t="shared" si="106"/>
        <v>0</v>
      </c>
      <c r="AJ87" s="104">
        <f t="shared" si="107"/>
        <v>0</v>
      </c>
      <c r="AK87" s="104">
        <f t="shared" si="108"/>
        <v>0</v>
      </c>
      <c r="AL87" s="104">
        <f t="shared" si="109"/>
        <v>0</v>
      </c>
      <c r="AM87" s="104">
        <f t="shared" si="110"/>
        <v>0</v>
      </c>
      <c r="AN87" s="104">
        <f t="shared" si="111"/>
        <v>0</v>
      </c>
      <c r="AO87" s="104">
        <f t="shared" si="112"/>
        <v>0</v>
      </c>
      <c r="AP87" s="104">
        <f t="shared" si="113"/>
        <v>0</v>
      </c>
      <c r="AQ87" s="49">
        <f t="shared" si="114"/>
        <v>0</v>
      </c>
      <c r="AR87" s="104">
        <f t="shared" si="115"/>
        <v>0</v>
      </c>
      <c r="AS87" s="104">
        <f t="shared" si="116"/>
        <v>0</v>
      </c>
      <c r="AT87" s="104">
        <f t="shared" si="117"/>
        <v>0</v>
      </c>
      <c r="AU87" s="104">
        <f t="shared" si="118"/>
        <v>0</v>
      </c>
      <c r="BF87" s="49">
        <f t="shared" si="119"/>
        <v>0</v>
      </c>
      <c r="BG87" s="49">
        <f t="shared" si="120"/>
        <v>0</v>
      </c>
      <c r="BH87" s="54" t="e">
        <f t="shared" si="121"/>
        <v>#DIV/0!</v>
      </c>
      <c r="BI87" s="112" t="e">
        <f t="shared" si="122"/>
        <v>#DIV/0!</v>
      </c>
      <c r="BK87" s="55" t="e">
        <f t="shared" si="123"/>
        <v>#DIV/0!</v>
      </c>
      <c r="BL87" s="55" t="e">
        <f t="shared" si="124"/>
        <v>#DIV/0!</v>
      </c>
      <c r="BM87" s="55" t="e">
        <f t="shared" si="125"/>
        <v>#DIV/0!</v>
      </c>
      <c r="BN87" s="53">
        <f t="shared" si="126"/>
        <v>0</v>
      </c>
      <c r="BO87" s="112" t="e">
        <f t="shared" si="127"/>
        <v>#DIV/0!</v>
      </c>
      <c r="BR87" s="53" t="e">
        <f t="shared" si="128"/>
        <v>#DIV/0!</v>
      </c>
      <c r="BS87" s="53">
        <f t="shared" si="129"/>
        <v>0</v>
      </c>
      <c r="BT87" s="53">
        <f t="shared" si="130"/>
        <v>0</v>
      </c>
      <c r="BU87" s="56" t="e">
        <f t="shared" si="131"/>
        <v>#DIV/0!</v>
      </c>
      <c r="BX87" s="60"/>
      <c r="BY87" s="60"/>
      <c r="BZ87" s="60"/>
      <c r="CA87" s="60"/>
      <c r="CB87" s="60"/>
      <c r="CC87" s="60"/>
      <c r="CD87" s="60"/>
      <c r="CE87" s="60"/>
      <c r="CF87" s="60"/>
      <c r="CG87" s="60"/>
      <c r="CH87" s="60"/>
      <c r="CI87" s="60"/>
      <c r="CJ87" s="60"/>
      <c r="CK87" s="60"/>
      <c r="CL87" s="60"/>
      <c r="CM87" s="60"/>
      <c r="CN87" s="60"/>
      <c r="CO87" s="60"/>
      <c r="CP87" s="60"/>
      <c r="CQ87" s="60"/>
      <c r="CR87" s="60"/>
      <c r="CS87" s="60"/>
      <c r="CT87" s="57">
        <f t="shared" si="132"/>
        <v>0</v>
      </c>
      <c r="CU87" s="57">
        <f t="shared" si="133"/>
        <v>0</v>
      </c>
      <c r="CV87" s="53">
        <f t="shared" si="134"/>
        <v>0</v>
      </c>
      <c r="CW87" s="53">
        <f t="shared" si="135"/>
        <v>0</v>
      </c>
      <c r="CX87" s="58" t="e">
        <f t="shared" si="136"/>
        <v>#DIV/0!</v>
      </c>
      <c r="CY87" s="53">
        <f t="shared" si="137"/>
        <v>0</v>
      </c>
      <c r="CZ87" s="53">
        <f t="shared" si="138"/>
        <v>0</v>
      </c>
      <c r="DA87" s="58" t="e">
        <f t="shared" si="139"/>
        <v>#DIV/0!</v>
      </c>
      <c r="DB87" s="48" t="e">
        <f t="shared" si="140"/>
        <v>#DIV/0!</v>
      </c>
      <c r="DC87" s="48" t="e">
        <f t="shared" si="141"/>
        <v>#DIV/0!</v>
      </c>
      <c r="DD87" s="48" t="e">
        <f t="shared" si="142"/>
        <v>#DIV/0!</v>
      </c>
      <c r="DE87" s="48" t="e">
        <f t="shared" si="143"/>
        <v>#DIV/0!</v>
      </c>
      <c r="DF87" s="48" t="e">
        <f t="shared" si="144"/>
        <v>#DIV/0!</v>
      </c>
      <c r="DG87" s="48" t="e">
        <f t="shared" si="145"/>
        <v>#DIV/0!</v>
      </c>
      <c r="DH87" s="48">
        <f>SUMIF(FCR!$BZ$4:$DB$500,DG87,FCR!$DE$4:$EG$500)</f>
        <v>0</v>
      </c>
      <c r="DI87" s="48" t="e">
        <f t="shared" si="146"/>
        <v>#DIV/0!</v>
      </c>
      <c r="DJ87" s="48">
        <f>SUMIF(FCR!$BZ$4:$DB$142,DI87,FCR!$DE$4:$EG$142)</f>
        <v>0</v>
      </c>
      <c r="DK87" s="48" t="e">
        <f t="shared" si="147"/>
        <v>#DIV/0!</v>
      </c>
      <c r="DL87" s="55" t="e">
        <f t="shared" si="148"/>
        <v>#DIV/0!</v>
      </c>
      <c r="DM87" s="48" t="e">
        <f t="shared" si="149"/>
        <v>#DIV/0!</v>
      </c>
      <c r="DN87" s="48">
        <f>SUMIF(FCR!$BZ$4:$DB$142,DM87,FCR!$DE$4:$EG$142)</f>
        <v>0</v>
      </c>
      <c r="DO87" s="53" t="e">
        <f t="shared" si="150"/>
        <v>#DIV/0!</v>
      </c>
      <c r="DP87" s="55" t="e">
        <f t="shared" si="151"/>
        <v>#DIV/0!</v>
      </c>
      <c r="DQ87" s="55" t="e">
        <f t="shared" si="152"/>
        <v>#DIV/0!</v>
      </c>
      <c r="DR87" s="55"/>
      <c r="DS87" s="55" t="e">
        <f t="shared" si="153"/>
        <v>#DIV/0!</v>
      </c>
      <c r="DT87" s="55" t="e">
        <f t="shared" si="154"/>
        <v>#DIV/0!</v>
      </c>
      <c r="DU87" s="53">
        <f t="shared" si="155"/>
        <v>0</v>
      </c>
      <c r="DV87" s="59" t="e">
        <f t="shared" si="156"/>
        <v>#DIV/0!</v>
      </c>
    </row>
    <row r="88" spans="30:126">
      <c r="AD88" s="49" t="s">
        <v>411</v>
      </c>
      <c r="AE88" s="49">
        <f t="shared" si="102"/>
        <v>0</v>
      </c>
      <c r="AF88" s="49">
        <f t="shared" si="103"/>
        <v>0</v>
      </c>
      <c r="AG88" s="114">
        <f t="shared" si="104"/>
        <v>0</v>
      </c>
      <c r="AH88" s="104">
        <f t="shared" si="105"/>
        <v>0</v>
      </c>
      <c r="AI88" s="104">
        <f t="shared" si="106"/>
        <v>0</v>
      </c>
      <c r="AJ88" s="104">
        <f t="shared" si="107"/>
        <v>0</v>
      </c>
      <c r="AK88" s="104">
        <f t="shared" si="108"/>
        <v>0</v>
      </c>
      <c r="AL88" s="104">
        <f t="shared" si="109"/>
        <v>0</v>
      </c>
      <c r="AM88" s="104">
        <f t="shared" si="110"/>
        <v>0</v>
      </c>
      <c r="AN88" s="104">
        <f t="shared" si="111"/>
        <v>0</v>
      </c>
      <c r="AO88" s="104">
        <f t="shared" si="112"/>
        <v>0</v>
      </c>
      <c r="AP88" s="104">
        <f t="shared" si="113"/>
        <v>0</v>
      </c>
      <c r="AQ88" s="49">
        <f t="shared" si="114"/>
        <v>0</v>
      </c>
      <c r="AR88" s="104">
        <f t="shared" si="115"/>
        <v>0</v>
      </c>
      <c r="AS88" s="104">
        <f t="shared" si="116"/>
        <v>0</v>
      </c>
      <c r="AT88" s="104">
        <f t="shared" si="117"/>
        <v>0</v>
      </c>
      <c r="AU88" s="104">
        <f t="shared" si="118"/>
        <v>0</v>
      </c>
      <c r="BF88" s="49">
        <f t="shared" si="119"/>
        <v>0</v>
      </c>
      <c r="BG88" s="49">
        <f t="shared" si="120"/>
        <v>0</v>
      </c>
      <c r="BH88" s="54" t="e">
        <f t="shared" si="121"/>
        <v>#DIV/0!</v>
      </c>
      <c r="BI88" s="112" t="e">
        <f t="shared" si="122"/>
        <v>#DIV/0!</v>
      </c>
      <c r="BK88" s="55" t="e">
        <f t="shared" si="123"/>
        <v>#DIV/0!</v>
      </c>
      <c r="BL88" s="55" t="e">
        <f t="shared" si="124"/>
        <v>#DIV/0!</v>
      </c>
      <c r="BM88" s="55" t="e">
        <f t="shared" si="125"/>
        <v>#DIV/0!</v>
      </c>
      <c r="BN88" s="53">
        <f t="shared" si="126"/>
        <v>0</v>
      </c>
      <c r="BO88" s="112" t="e">
        <f t="shared" si="127"/>
        <v>#DIV/0!</v>
      </c>
      <c r="BR88" s="53" t="e">
        <f t="shared" si="128"/>
        <v>#DIV/0!</v>
      </c>
      <c r="BS88" s="53">
        <f t="shared" si="129"/>
        <v>0</v>
      </c>
      <c r="BT88" s="53">
        <f t="shared" si="130"/>
        <v>0</v>
      </c>
      <c r="BU88" s="56" t="e">
        <f t="shared" si="131"/>
        <v>#DIV/0!</v>
      </c>
      <c r="BX88" s="60"/>
      <c r="BY88" s="60"/>
      <c r="BZ88" s="60"/>
      <c r="CA88" s="60"/>
      <c r="CB88" s="60"/>
      <c r="CC88" s="60"/>
      <c r="CD88" s="60"/>
      <c r="CE88" s="60"/>
      <c r="CF88" s="60"/>
      <c r="CG88" s="60"/>
      <c r="CH88" s="60"/>
      <c r="CI88" s="60"/>
      <c r="CJ88" s="60"/>
      <c r="CK88" s="60"/>
      <c r="CL88" s="60"/>
      <c r="CM88" s="60"/>
      <c r="CN88" s="60"/>
      <c r="CO88" s="60"/>
      <c r="CP88" s="60"/>
      <c r="CQ88" s="60"/>
      <c r="CR88" s="60"/>
      <c r="CS88" s="60"/>
      <c r="CT88" s="57">
        <f t="shared" si="132"/>
        <v>0</v>
      </c>
      <c r="CU88" s="57">
        <f t="shared" si="133"/>
        <v>0</v>
      </c>
      <c r="CV88" s="53">
        <f t="shared" si="134"/>
        <v>0</v>
      </c>
      <c r="CW88" s="53">
        <f t="shared" si="135"/>
        <v>0</v>
      </c>
      <c r="CX88" s="58" t="e">
        <f t="shared" si="136"/>
        <v>#DIV/0!</v>
      </c>
      <c r="CY88" s="53">
        <f t="shared" si="137"/>
        <v>0</v>
      </c>
      <c r="CZ88" s="53">
        <f t="shared" si="138"/>
        <v>0</v>
      </c>
      <c r="DA88" s="58" t="e">
        <f t="shared" si="139"/>
        <v>#DIV/0!</v>
      </c>
      <c r="DB88" s="48" t="e">
        <f t="shared" si="140"/>
        <v>#DIV/0!</v>
      </c>
      <c r="DC88" s="48" t="e">
        <f t="shared" si="141"/>
        <v>#DIV/0!</v>
      </c>
      <c r="DD88" s="48" t="e">
        <f t="shared" si="142"/>
        <v>#DIV/0!</v>
      </c>
      <c r="DE88" s="48" t="e">
        <f t="shared" si="143"/>
        <v>#DIV/0!</v>
      </c>
      <c r="DF88" s="48" t="e">
        <f t="shared" si="144"/>
        <v>#DIV/0!</v>
      </c>
      <c r="DG88" s="48" t="e">
        <f t="shared" si="145"/>
        <v>#DIV/0!</v>
      </c>
      <c r="DH88" s="48">
        <f>SUMIF(FCR!$BZ$4:$DB$500,DG88,FCR!$DE$4:$EG$500)</f>
        <v>0</v>
      </c>
      <c r="DI88" s="48" t="e">
        <f t="shared" si="146"/>
        <v>#DIV/0!</v>
      </c>
      <c r="DJ88" s="48">
        <f>SUMIF(FCR!$BZ$4:$DB$142,DI88,FCR!$DE$4:$EG$142)</f>
        <v>0</v>
      </c>
      <c r="DK88" s="48" t="e">
        <f t="shared" si="147"/>
        <v>#DIV/0!</v>
      </c>
      <c r="DL88" s="55" t="e">
        <f t="shared" si="148"/>
        <v>#DIV/0!</v>
      </c>
      <c r="DM88" s="48" t="e">
        <f t="shared" si="149"/>
        <v>#DIV/0!</v>
      </c>
      <c r="DN88" s="48">
        <f>SUMIF(FCR!$BZ$4:$DB$142,DM88,FCR!$DE$4:$EG$142)</f>
        <v>0</v>
      </c>
      <c r="DO88" s="53" t="e">
        <f t="shared" si="150"/>
        <v>#DIV/0!</v>
      </c>
      <c r="DP88" s="55" t="e">
        <f t="shared" si="151"/>
        <v>#DIV/0!</v>
      </c>
      <c r="DQ88" s="55" t="e">
        <f t="shared" si="152"/>
        <v>#DIV/0!</v>
      </c>
      <c r="DR88" s="55"/>
      <c r="DS88" s="55" t="e">
        <f t="shared" si="153"/>
        <v>#DIV/0!</v>
      </c>
      <c r="DT88" s="55" t="e">
        <f t="shared" si="154"/>
        <v>#DIV/0!</v>
      </c>
      <c r="DU88" s="53">
        <f t="shared" si="155"/>
        <v>0</v>
      </c>
      <c r="DV88" s="59" t="e">
        <f t="shared" si="156"/>
        <v>#DIV/0!</v>
      </c>
    </row>
    <row r="89" spans="30:126">
      <c r="AD89" s="49" t="s">
        <v>411</v>
      </c>
      <c r="AE89" s="49">
        <f t="shared" si="102"/>
        <v>0</v>
      </c>
      <c r="AF89" s="49">
        <f t="shared" si="103"/>
        <v>0</v>
      </c>
      <c r="AG89" s="114">
        <f t="shared" si="104"/>
        <v>0</v>
      </c>
      <c r="AH89" s="104">
        <f t="shared" si="105"/>
        <v>0</v>
      </c>
      <c r="AI89" s="104">
        <f t="shared" si="106"/>
        <v>0</v>
      </c>
      <c r="AJ89" s="104">
        <f t="shared" si="107"/>
        <v>0</v>
      </c>
      <c r="AK89" s="104">
        <f t="shared" si="108"/>
        <v>0</v>
      </c>
      <c r="AL89" s="104">
        <f t="shared" si="109"/>
        <v>0</v>
      </c>
      <c r="AM89" s="104">
        <f t="shared" si="110"/>
        <v>0</v>
      </c>
      <c r="AN89" s="104">
        <f t="shared" si="111"/>
        <v>0</v>
      </c>
      <c r="AO89" s="104">
        <f t="shared" si="112"/>
        <v>0</v>
      </c>
      <c r="AP89" s="104">
        <f t="shared" si="113"/>
        <v>0</v>
      </c>
      <c r="AQ89" s="49">
        <f t="shared" si="114"/>
        <v>0</v>
      </c>
      <c r="AR89" s="104">
        <f t="shared" si="115"/>
        <v>0</v>
      </c>
      <c r="AS89" s="104">
        <f t="shared" si="116"/>
        <v>0</v>
      </c>
      <c r="AT89" s="104">
        <f t="shared" si="117"/>
        <v>0</v>
      </c>
      <c r="AU89" s="104">
        <f t="shared" si="118"/>
        <v>0</v>
      </c>
      <c r="BF89" s="49">
        <f t="shared" si="119"/>
        <v>0</v>
      </c>
      <c r="BG89" s="49">
        <f t="shared" si="120"/>
        <v>0</v>
      </c>
      <c r="BH89" s="54" t="e">
        <f t="shared" si="121"/>
        <v>#DIV/0!</v>
      </c>
      <c r="BI89" s="112" t="e">
        <f t="shared" si="122"/>
        <v>#DIV/0!</v>
      </c>
      <c r="BK89" s="55" t="e">
        <f t="shared" si="123"/>
        <v>#DIV/0!</v>
      </c>
      <c r="BL89" s="55" t="e">
        <f t="shared" si="124"/>
        <v>#DIV/0!</v>
      </c>
      <c r="BM89" s="55" t="e">
        <f t="shared" si="125"/>
        <v>#DIV/0!</v>
      </c>
      <c r="BN89" s="53">
        <f t="shared" si="126"/>
        <v>0</v>
      </c>
      <c r="BO89" s="112" t="e">
        <f t="shared" si="127"/>
        <v>#DIV/0!</v>
      </c>
      <c r="BR89" s="53" t="e">
        <f t="shared" si="128"/>
        <v>#DIV/0!</v>
      </c>
      <c r="BS89" s="53">
        <f t="shared" si="129"/>
        <v>0</v>
      </c>
      <c r="BT89" s="53">
        <f t="shared" si="130"/>
        <v>0</v>
      </c>
      <c r="BU89" s="56" t="e">
        <f t="shared" si="131"/>
        <v>#DIV/0!</v>
      </c>
      <c r="BX89" s="60"/>
      <c r="BY89" s="60"/>
      <c r="BZ89" s="60"/>
      <c r="CA89" s="60"/>
      <c r="CB89" s="60"/>
      <c r="CC89" s="60"/>
      <c r="CD89" s="60"/>
      <c r="CE89" s="60"/>
      <c r="CF89" s="60"/>
      <c r="CG89" s="60"/>
      <c r="CH89" s="60"/>
      <c r="CI89" s="60"/>
      <c r="CJ89" s="60"/>
      <c r="CK89" s="60"/>
      <c r="CL89" s="60"/>
      <c r="CM89" s="60"/>
      <c r="CN89" s="60"/>
      <c r="CO89" s="60"/>
      <c r="CP89" s="60"/>
      <c r="CQ89" s="60"/>
      <c r="CR89" s="60"/>
      <c r="CS89" s="60"/>
      <c r="CT89" s="57">
        <f t="shared" si="132"/>
        <v>0</v>
      </c>
      <c r="CU89" s="57">
        <f t="shared" si="133"/>
        <v>0</v>
      </c>
      <c r="CV89" s="53">
        <f t="shared" si="134"/>
        <v>0</v>
      </c>
      <c r="CW89" s="53">
        <f t="shared" si="135"/>
        <v>0</v>
      </c>
      <c r="CX89" s="58" t="e">
        <f t="shared" si="136"/>
        <v>#DIV/0!</v>
      </c>
      <c r="CY89" s="53">
        <f t="shared" si="137"/>
        <v>0</v>
      </c>
      <c r="CZ89" s="53">
        <f t="shared" si="138"/>
        <v>0</v>
      </c>
      <c r="DA89" s="58" t="e">
        <f t="shared" si="139"/>
        <v>#DIV/0!</v>
      </c>
      <c r="DB89" s="48" t="e">
        <f t="shared" si="140"/>
        <v>#DIV/0!</v>
      </c>
      <c r="DC89" s="48" t="e">
        <f t="shared" si="141"/>
        <v>#DIV/0!</v>
      </c>
      <c r="DD89" s="48" t="e">
        <f t="shared" si="142"/>
        <v>#DIV/0!</v>
      </c>
      <c r="DE89" s="48" t="e">
        <f t="shared" si="143"/>
        <v>#DIV/0!</v>
      </c>
      <c r="DF89" s="48" t="e">
        <f t="shared" si="144"/>
        <v>#DIV/0!</v>
      </c>
      <c r="DG89" s="48" t="e">
        <f t="shared" si="145"/>
        <v>#DIV/0!</v>
      </c>
      <c r="DH89" s="48">
        <f>SUMIF(FCR!$BZ$4:$DB$500,DG89,FCR!$DE$4:$EG$500)</f>
        <v>0</v>
      </c>
      <c r="DI89" s="48" t="e">
        <f t="shared" si="146"/>
        <v>#DIV/0!</v>
      </c>
      <c r="DJ89" s="48">
        <f>SUMIF(FCR!$BZ$4:$DB$142,DI89,FCR!$DE$4:$EG$142)</f>
        <v>0</v>
      </c>
      <c r="DK89" s="48" t="e">
        <f t="shared" si="147"/>
        <v>#DIV/0!</v>
      </c>
      <c r="DL89" s="55" t="e">
        <f t="shared" si="148"/>
        <v>#DIV/0!</v>
      </c>
      <c r="DM89" s="48" t="e">
        <f t="shared" si="149"/>
        <v>#DIV/0!</v>
      </c>
      <c r="DN89" s="48">
        <f>SUMIF(FCR!$BZ$4:$DB$142,DM89,FCR!$DE$4:$EG$142)</f>
        <v>0</v>
      </c>
      <c r="DO89" s="53" t="e">
        <f t="shared" si="150"/>
        <v>#DIV/0!</v>
      </c>
      <c r="DP89" s="55" t="e">
        <f t="shared" si="151"/>
        <v>#DIV/0!</v>
      </c>
      <c r="DQ89" s="55" t="e">
        <f t="shared" si="152"/>
        <v>#DIV/0!</v>
      </c>
      <c r="DR89" s="55"/>
      <c r="DS89" s="55" t="e">
        <f t="shared" si="153"/>
        <v>#DIV/0!</v>
      </c>
      <c r="DT89" s="55" t="e">
        <f t="shared" si="154"/>
        <v>#DIV/0!</v>
      </c>
      <c r="DU89" s="53">
        <f t="shared" si="155"/>
        <v>0</v>
      </c>
      <c r="DV89" s="59" t="e">
        <f t="shared" si="156"/>
        <v>#DIV/0!</v>
      </c>
    </row>
    <row r="90" spans="30:126">
      <c r="AD90" s="49" t="s">
        <v>411</v>
      </c>
      <c r="AE90" s="49">
        <f t="shared" si="102"/>
        <v>0</v>
      </c>
      <c r="AF90" s="49">
        <f t="shared" si="103"/>
        <v>0</v>
      </c>
      <c r="AG90" s="114">
        <f t="shared" si="104"/>
        <v>0</v>
      </c>
      <c r="AH90" s="104">
        <f t="shared" si="105"/>
        <v>0</v>
      </c>
      <c r="AI90" s="104">
        <f t="shared" si="106"/>
        <v>0</v>
      </c>
      <c r="AJ90" s="104">
        <f t="shared" si="107"/>
        <v>0</v>
      </c>
      <c r="AK90" s="104">
        <f t="shared" si="108"/>
        <v>0</v>
      </c>
      <c r="AL90" s="104">
        <f t="shared" si="109"/>
        <v>0</v>
      </c>
      <c r="AM90" s="104">
        <f t="shared" si="110"/>
        <v>0</v>
      </c>
      <c r="AN90" s="104">
        <f t="shared" si="111"/>
        <v>0</v>
      </c>
      <c r="AO90" s="104">
        <f t="shared" si="112"/>
        <v>0</v>
      </c>
      <c r="AP90" s="104">
        <f t="shared" si="113"/>
        <v>0</v>
      </c>
      <c r="AQ90" s="49">
        <f t="shared" si="114"/>
        <v>0</v>
      </c>
      <c r="AR90" s="104">
        <f t="shared" si="115"/>
        <v>0</v>
      </c>
      <c r="AS90" s="104">
        <f t="shared" si="116"/>
        <v>0</v>
      </c>
      <c r="AT90" s="104">
        <f t="shared" si="117"/>
        <v>0</v>
      </c>
      <c r="AU90" s="104">
        <f t="shared" si="118"/>
        <v>0</v>
      </c>
      <c r="BF90" s="49">
        <f t="shared" si="119"/>
        <v>0</v>
      </c>
      <c r="BG90" s="49">
        <f t="shared" si="120"/>
        <v>0</v>
      </c>
      <c r="BH90" s="54" t="e">
        <f t="shared" si="121"/>
        <v>#DIV/0!</v>
      </c>
      <c r="BI90" s="112" t="e">
        <f t="shared" si="122"/>
        <v>#DIV/0!</v>
      </c>
      <c r="BK90" s="55" t="e">
        <f t="shared" si="123"/>
        <v>#DIV/0!</v>
      </c>
      <c r="BL90" s="55" t="e">
        <f t="shared" si="124"/>
        <v>#DIV/0!</v>
      </c>
      <c r="BM90" s="55" t="e">
        <f t="shared" si="125"/>
        <v>#DIV/0!</v>
      </c>
      <c r="BN90" s="53">
        <f t="shared" si="126"/>
        <v>0</v>
      </c>
      <c r="BO90" s="112" t="e">
        <f t="shared" si="127"/>
        <v>#DIV/0!</v>
      </c>
      <c r="BR90" s="53" t="e">
        <f t="shared" si="128"/>
        <v>#DIV/0!</v>
      </c>
      <c r="BS90" s="53">
        <f t="shared" si="129"/>
        <v>0</v>
      </c>
      <c r="BT90" s="53">
        <f t="shared" si="130"/>
        <v>0</v>
      </c>
      <c r="BU90" s="56" t="e">
        <f t="shared" si="131"/>
        <v>#DIV/0!</v>
      </c>
      <c r="BX90" s="60"/>
      <c r="BY90" s="60"/>
      <c r="BZ90" s="60"/>
      <c r="CA90" s="60"/>
      <c r="CB90" s="60"/>
      <c r="CC90" s="60"/>
      <c r="CD90" s="60"/>
      <c r="CE90" s="60"/>
      <c r="CF90" s="60"/>
      <c r="CG90" s="60"/>
      <c r="CH90" s="60"/>
      <c r="CI90" s="60"/>
      <c r="CJ90" s="60"/>
      <c r="CK90" s="60"/>
      <c r="CL90" s="60"/>
      <c r="CM90" s="60"/>
      <c r="CN90" s="60"/>
      <c r="CO90" s="60"/>
      <c r="CP90" s="60"/>
      <c r="CQ90" s="60"/>
      <c r="CR90" s="60"/>
      <c r="CS90" s="60"/>
      <c r="CT90" s="57">
        <f t="shared" si="132"/>
        <v>0</v>
      </c>
      <c r="CU90" s="57">
        <f t="shared" si="133"/>
        <v>0</v>
      </c>
      <c r="CV90" s="53">
        <f t="shared" si="134"/>
        <v>0</v>
      </c>
      <c r="CW90" s="53">
        <f t="shared" si="135"/>
        <v>0</v>
      </c>
      <c r="CX90" s="58" t="e">
        <f t="shared" si="136"/>
        <v>#DIV/0!</v>
      </c>
      <c r="CY90" s="53">
        <f t="shared" si="137"/>
        <v>0</v>
      </c>
      <c r="CZ90" s="53">
        <f t="shared" si="138"/>
        <v>0</v>
      </c>
      <c r="DA90" s="58" t="e">
        <f t="shared" si="139"/>
        <v>#DIV/0!</v>
      </c>
      <c r="DB90" s="48" t="e">
        <f t="shared" si="140"/>
        <v>#DIV/0!</v>
      </c>
      <c r="DC90" s="48" t="e">
        <f t="shared" si="141"/>
        <v>#DIV/0!</v>
      </c>
      <c r="DD90" s="48" t="e">
        <f t="shared" si="142"/>
        <v>#DIV/0!</v>
      </c>
      <c r="DE90" s="48" t="e">
        <f t="shared" si="143"/>
        <v>#DIV/0!</v>
      </c>
      <c r="DF90" s="48" t="e">
        <f t="shared" si="144"/>
        <v>#DIV/0!</v>
      </c>
      <c r="DG90" s="48" t="e">
        <f t="shared" si="145"/>
        <v>#DIV/0!</v>
      </c>
      <c r="DH90" s="48">
        <f>SUMIF(FCR!$BZ$4:$DB$500,DG90,FCR!$DE$4:$EG$500)</f>
        <v>0</v>
      </c>
      <c r="DI90" s="48" t="e">
        <f t="shared" si="146"/>
        <v>#DIV/0!</v>
      </c>
      <c r="DJ90" s="48">
        <f>SUMIF(FCR!$BZ$4:$DB$142,DI90,FCR!$DE$4:$EG$142)</f>
        <v>0</v>
      </c>
      <c r="DK90" s="48" t="e">
        <f t="shared" si="147"/>
        <v>#DIV/0!</v>
      </c>
      <c r="DL90" s="55" t="e">
        <f t="shared" si="148"/>
        <v>#DIV/0!</v>
      </c>
      <c r="DM90" s="48" t="e">
        <f t="shared" si="149"/>
        <v>#DIV/0!</v>
      </c>
      <c r="DN90" s="48">
        <f>SUMIF(FCR!$BZ$4:$DB$142,DM90,FCR!$DE$4:$EG$142)</f>
        <v>0</v>
      </c>
      <c r="DO90" s="53" t="e">
        <f t="shared" si="150"/>
        <v>#DIV/0!</v>
      </c>
      <c r="DP90" s="55" t="e">
        <f t="shared" si="151"/>
        <v>#DIV/0!</v>
      </c>
      <c r="DQ90" s="55" t="e">
        <f t="shared" si="152"/>
        <v>#DIV/0!</v>
      </c>
      <c r="DR90" s="55"/>
      <c r="DS90" s="55" t="e">
        <f t="shared" si="153"/>
        <v>#DIV/0!</v>
      </c>
      <c r="DT90" s="55" t="e">
        <f t="shared" si="154"/>
        <v>#DIV/0!</v>
      </c>
      <c r="DU90" s="53">
        <f t="shared" si="155"/>
        <v>0</v>
      </c>
      <c r="DV90" s="59" t="e">
        <f t="shared" si="156"/>
        <v>#DIV/0!</v>
      </c>
    </row>
    <row r="91" spans="30:126">
      <c r="AD91" s="49" t="s">
        <v>411</v>
      </c>
      <c r="AE91" s="49">
        <f t="shared" si="102"/>
        <v>0</v>
      </c>
      <c r="AF91" s="49">
        <f t="shared" si="103"/>
        <v>0</v>
      </c>
      <c r="AG91" s="114">
        <f t="shared" si="104"/>
        <v>0</v>
      </c>
      <c r="AH91" s="104">
        <f t="shared" si="105"/>
        <v>0</v>
      </c>
      <c r="AI91" s="104">
        <f t="shared" si="106"/>
        <v>0</v>
      </c>
      <c r="AJ91" s="104">
        <f t="shared" si="107"/>
        <v>0</v>
      </c>
      <c r="AK91" s="104">
        <f t="shared" si="108"/>
        <v>0</v>
      </c>
      <c r="AL91" s="104">
        <f t="shared" si="109"/>
        <v>0</v>
      </c>
      <c r="AM91" s="104">
        <f t="shared" si="110"/>
        <v>0</v>
      </c>
      <c r="AN91" s="104">
        <f t="shared" si="111"/>
        <v>0</v>
      </c>
      <c r="AO91" s="104">
        <f t="shared" si="112"/>
        <v>0</v>
      </c>
      <c r="AP91" s="104">
        <f t="shared" si="113"/>
        <v>0</v>
      </c>
      <c r="AQ91" s="49">
        <f t="shared" si="114"/>
        <v>0</v>
      </c>
      <c r="AR91" s="104">
        <f t="shared" si="115"/>
        <v>0</v>
      </c>
      <c r="AS91" s="104">
        <f t="shared" si="116"/>
        <v>0</v>
      </c>
      <c r="AT91" s="104">
        <f t="shared" si="117"/>
        <v>0</v>
      </c>
      <c r="AU91" s="104">
        <f t="shared" si="118"/>
        <v>0</v>
      </c>
      <c r="BF91" s="49">
        <f t="shared" si="119"/>
        <v>0</v>
      </c>
      <c r="BG91" s="49">
        <f t="shared" si="120"/>
        <v>0</v>
      </c>
      <c r="BH91" s="54" t="e">
        <f t="shared" si="121"/>
        <v>#DIV/0!</v>
      </c>
      <c r="BI91" s="112" t="e">
        <f t="shared" si="122"/>
        <v>#DIV/0!</v>
      </c>
      <c r="BK91" s="55" t="e">
        <f t="shared" si="123"/>
        <v>#DIV/0!</v>
      </c>
      <c r="BL91" s="55" t="e">
        <f t="shared" si="124"/>
        <v>#DIV/0!</v>
      </c>
      <c r="BM91" s="55" t="e">
        <f t="shared" si="125"/>
        <v>#DIV/0!</v>
      </c>
      <c r="BN91" s="53">
        <f t="shared" si="126"/>
        <v>0</v>
      </c>
      <c r="BO91" s="112" t="e">
        <f t="shared" si="127"/>
        <v>#DIV/0!</v>
      </c>
      <c r="BR91" s="53" t="e">
        <f t="shared" si="128"/>
        <v>#DIV/0!</v>
      </c>
      <c r="BS91" s="53">
        <f t="shared" si="129"/>
        <v>0</v>
      </c>
      <c r="BT91" s="53">
        <f t="shared" si="130"/>
        <v>0</v>
      </c>
      <c r="BU91" s="56" t="e">
        <f t="shared" si="131"/>
        <v>#DIV/0!</v>
      </c>
      <c r="BX91" s="60"/>
      <c r="BY91" s="60"/>
      <c r="BZ91" s="60"/>
      <c r="CA91" s="60"/>
      <c r="CB91" s="60"/>
      <c r="CC91" s="60"/>
      <c r="CD91" s="60"/>
      <c r="CE91" s="60"/>
      <c r="CF91" s="60"/>
      <c r="CG91" s="60"/>
      <c r="CH91" s="60"/>
      <c r="CI91" s="60"/>
      <c r="CJ91" s="60"/>
      <c r="CK91" s="60"/>
      <c r="CL91" s="60"/>
      <c r="CM91" s="60"/>
      <c r="CN91" s="60"/>
      <c r="CO91" s="60"/>
      <c r="CP91" s="60"/>
      <c r="CQ91" s="60"/>
      <c r="CR91" s="60"/>
      <c r="CS91" s="60"/>
      <c r="CT91" s="57">
        <f t="shared" si="132"/>
        <v>0</v>
      </c>
      <c r="CU91" s="57">
        <f t="shared" si="133"/>
        <v>0</v>
      </c>
      <c r="CV91" s="53">
        <f t="shared" si="134"/>
        <v>0</v>
      </c>
      <c r="CW91" s="53">
        <f t="shared" si="135"/>
        <v>0</v>
      </c>
      <c r="CX91" s="58" t="e">
        <f t="shared" si="136"/>
        <v>#DIV/0!</v>
      </c>
      <c r="CY91" s="53">
        <f t="shared" si="137"/>
        <v>0</v>
      </c>
      <c r="CZ91" s="53">
        <f t="shared" si="138"/>
        <v>0</v>
      </c>
      <c r="DA91" s="58" t="e">
        <f t="shared" si="139"/>
        <v>#DIV/0!</v>
      </c>
      <c r="DB91" s="48" t="e">
        <f t="shared" si="140"/>
        <v>#DIV/0!</v>
      </c>
      <c r="DC91" s="48" t="e">
        <f t="shared" si="141"/>
        <v>#DIV/0!</v>
      </c>
      <c r="DD91" s="48" t="e">
        <f t="shared" si="142"/>
        <v>#DIV/0!</v>
      </c>
      <c r="DE91" s="48" t="e">
        <f t="shared" si="143"/>
        <v>#DIV/0!</v>
      </c>
      <c r="DF91" s="48" t="e">
        <f t="shared" si="144"/>
        <v>#DIV/0!</v>
      </c>
      <c r="DG91" s="48" t="e">
        <f t="shared" si="145"/>
        <v>#DIV/0!</v>
      </c>
      <c r="DH91" s="48">
        <f>SUMIF(FCR!$BZ$4:$DB$500,DG91,FCR!$DE$4:$EG$500)</f>
        <v>0</v>
      </c>
      <c r="DI91" s="48" t="e">
        <f t="shared" si="146"/>
        <v>#DIV/0!</v>
      </c>
      <c r="DJ91" s="48">
        <f>SUMIF(FCR!$BZ$4:$DB$142,DI91,FCR!$DE$4:$EG$142)</f>
        <v>0</v>
      </c>
      <c r="DK91" s="48" t="e">
        <f t="shared" si="147"/>
        <v>#DIV/0!</v>
      </c>
      <c r="DL91" s="55" t="e">
        <f t="shared" si="148"/>
        <v>#DIV/0!</v>
      </c>
      <c r="DM91" s="48" t="e">
        <f t="shared" si="149"/>
        <v>#DIV/0!</v>
      </c>
      <c r="DN91" s="48">
        <f>SUMIF(FCR!$BZ$4:$DB$142,DM91,FCR!$DE$4:$EG$142)</f>
        <v>0</v>
      </c>
      <c r="DO91" s="53" t="e">
        <f t="shared" si="150"/>
        <v>#DIV/0!</v>
      </c>
      <c r="DP91" s="55" t="e">
        <f t="shared" si="151"/>
        <v>#DIV/0!</v>
      </c>
      <c r="DQ91" s="55" t="e">
        <f t="shared" si="152"/>
        <v>#DIV/0!</v>
      </c>
      <c r="DR91" s="55"/>
      <c r="DS91" s="55" t="e">
        <f t="shared" si="153"/>
        <v>#DIV/0!</v>
      </c>
      <c r="DT91" s="55" t="e">
        <f t="shared" si="154"/>
        <v>#DIV/0!</v>
      </c>
      <c r="DU91" s="53">
        <f t="shared" si="155"/>
        <v>0</v>
      </c>
      <c r="DV91" s="59" t="e">
        <f t="shared" si="156"/>
        <v>#DIV/0!</v>
      </c>
    </row>
    <row r="92" spans="30:126">
      <c r="AD92" s="49" t="s">
        <v>411</v>
      </c>
      <c r="AE92" s="49">
        <f t="shared" si="102"/>
        <v>0</v>
      </c>
      <c r="AF92" s="49">
        <f t="shared" si="103"/>
        <v>0</v>
      </c>
      <c r="AG92" s="114">
        <f t="shared" si="104"/>
        <v>0</v>
      </c>
      <c r="AH92" s="104">
        <f t="shared" si="105"/>
        <v>0</v>
      </c>
      <c r="AI92" s="104">
        <f t="shared" si="106"/>
        <v>0</v>
      </c>
      <c r="AJ92" s="104">
        <f t="shared" si="107"/>
        <v>0</v>
      </c>
      <c r="AK92" s="104">
        <f t="shared" si="108"/>
        <v>0</v>
      </c>
      <c r="AL92" s="104">
        <f t="shared" si="109"/>
        <v>0</v>
      </c>
      <c r="AM92" s="104">
        <f t="shared" si="110"/>
        <v>0</v>
      </c>
      <c r="AN92" s="104">
        <f t="shared" si="111"/>
        <v>0</v>
      </c>
      <c r="AO92" s="104">
        <f t="shared" si="112"/>
        <v>0</v>
      </c>
      <c r="AP92" s="104">
        <f t="shared" si="113"/>
        <v>0</v>
      </c>
      <c r="AQ92" s="49">
        <f t="shared" si="114"/>
        <v>0</v>
      </c>
      <c r="AR92" s="104">
        <f t="shared" si="115"/>
        <v>0</v>
      </c>
      <c r="AS92" s="104">
        <f t="shared" si="116"/>
        <v>0</v>
      </c>
      <c r="AT92" s="104">
        <f t="shared" si="117"/>
        <v>0</v>
      </c>
      <c r="AU92" s="104">
        <f t="shared" si="118"/>
        <v>0</v>
      </c>
      <c r="BF92" s="49">
        <f t="shared" si="119"/>
        <v>0</v>
      </c>
      <c r="BG92" s="49">
        <f t="shared" si="120"/>
        <v>0</v>
      </c>
      <c r="BH92" s="54" t="e">
        <f t="shared" si="121"/>
        <v>#DIV/0!</v>
      </c>
      <c r="BI92" s="112" t="e">
        <f t="shared" si="122"/>
        <v>#DIV/0!</v>
      </c>
      <c r="BK92" s="55" t="e">
        <f t="shared" si="123"/>
        <v>#DIV/0!</v>
      </c>
      <c r="BL92" s="55" t="e">
        <f t="shared" si="124"/>
        <v>#DIV/0!</v>
      </c>
      <c r="BM92" s="55" t="e">
        <f t="shared" si="125"/>
        <v>#DIV/0!</v>
      </c>
      <c r="BN92" s="53">
        <f t="shared" si="126"/>
        <v>0</v>
      </c>
      <c r="BO92" s="112" t="e">
        <f t="shared" si="127"/>
        <v>#DIV/0!</v>
      </c>
      <c r="BR92" s="53" t="e">
        <f t="shared" si="128"/>
        <v>#DIV/0!</v>
      </c>
      <c r="BS92" s="53">
        <f t="shared" si="129"/>
        <v>0</v>
      </c>
      <c r="BT92" s="53">
        <f t="shared" si="130"/>
        <v>0</v>
      </c>
      <c r="BU92" s="56" t="e">
        <f t="shared" si="131"/>
        <v>#DIV/0!</v>
      </c>
      <c r="BX92" s="60"/>
      <c r="BY92" s="60"/>
      <c r="BZ92" s="60"/>
      <c r="CA92" s="60"/>
      <c r="CB92" s="60"/>
      <c r="CC92" s="60"/>
      <c r="CD92" s="60"/>
      <c r="CE92" s="60"/>
      <c r="CF92" s="60"/>
      <c r="CG92" s="60"/>
      <c r="CH92" s="60"/>
      <c r="CI92" s="60"/>
      <c r="CJ92" s="60"/>
      <c r="CK92" s="60"/>
      <c r="CL92" s="60"/>
      <c r="CM92" s="60"/>
      <c r="CN92" s="60"/>
      <c r="CO92" s="60"/>
      <c r="CP92" s="60"/>
      <c r="CQ92" s="60"/>
      <c r="CR92" s="60"/>
      <c r="CS92" s="60"/>
      <c r="CT92" s="57">
        <f t="shared" si="132"/>
        <v>0</v>
      </c>
      <c r="CU92" s="57">
        <f t="shared" si="133"/>
        <v>0</v>
      </c>
      <c r="CV92" s="53">
        <f t="shared" si="134"/>
        <v>0</v>
      </c>
      <c r="CW92" s="53">
        <f t="shared" si="135"/>
        <v>0</v>
      </c>
      <c r="CX92" s="58" t="e">
        <f t="shared" si="136"/>
        <v>#DIV/0!</v>
      </c>
      <c r="CY92" s="53">
        <f t="shared" si="137"/>
        <v>0</v>
      </c>
      <c r="CZ92" s="53">
        <f t="shared" si="138"/>
        <v>0</v>
      </c>
      <c r="DA92" s="58" t="e">
        <f t="shared" si="139"/>
        <v>#DIV/0!</v>
      </c>
      <c r="DB92" s="48" t="e">
        <f t="shared" si="140"/>
        <v>#DIV/0!</v>
      </c>
      <c r="DC92" s="48" t="e">
        <f t="shared" si="141"/>
        <v>#DIV/0!</v>
      </c>
      <c r="DD92" s="48" t="e">
        <f t="shared" si="142"/>
        <v>#DIV/0!</v>
      </c>
      <c r="DE92" s="48" t="e">
        <f t="shared" si="143"/>
        <v>#DIV/0!</v>
      </c>
      <c r="DF92" s="48" t="e">
        <f t="shared" si="144"/>
        <v>#DIV/0!</v>
      </c>
      <c r="DG92" s="48" t="e">
        <f t="shared" si="145"/>
        <v>#DIV/0!</v>
      </c>
      <c r="DH92" s="48">
        <f>SUMIF(FCR!$BZ$4:$DB$500,DG92,FCR!$DE$4:$EG$500)</f>
        <v>0</v>
      </c>
      <c r="DI92" s="48" t="e">
        <f t="shared" si="146"/>
        <v>#DIV/0!</v>
      </c>
      <c r="DJ92" s="48">
        <f>SUMIF(FCR!$BZ$4:$DB$142,DI92,FCR!$DE$4:$EG$142)</f>
        <v>0</v>
      </c>
      <c r="DK92" s="48" t="e">
        <f t="shared" si="147"/>
        <v>#DIV/0!</v>
      </c>
      <c r="DL92" s="55" t="e">
        <f t="shared" si="148"/>
        <v>#DIV/0!</v>
      </c>
      <c r="DM92" s="48" t="e">
        <f t="shared" si="149"/>
        <v>#DIV/0!</v>
      </c>
      <c r="DN92" s="48">
        <f>SUMIF(FCR!$BZ$4:$DB$142,DM92,FCR!$DE$4:$EG$142)</f>
        <v>0</v>
      </c>
      <c r="DO92" s="53" t="e">
        <f t="shared" si="150"/>
        <v>#DIV/0!</v>
      </c>
      <c r="DP92" s="55" t="e">
        <f t="shared" si="151"/>
        <v>#DIV/0!</v>
      </c>
      <c r="DQ92" s="55" t="e">
        <f t="shared" si="152"/>
        <v>#DIV/0!</v>
      </c>
      <c r="DR92" s="55"/>
      <c r="DS92" s="55" t="e">
        <f t="shared" si="153"/>
        <v>#DIV/0!</v>
      </c>
      <c r="DT92" s="55" t="e">
        <f t="shared" si="154"/>
        <v>#DIV/0!</v>
      </c>
      <c r="DU92" s="53">
        <f t="shared" si="155"/>
        <v>0</v>
      </c>
      <c r="DV92" s="59" t="e">
        <f t="shared" si="156"/>
        <v>#DIV/0!</v>
      </c>
    </row>
    <row r="93" spans="30:126">
      <c r="AD93" s="49" t="s">
        <v>411</v>
      </c>
      <c r="AE93" s="49">
        <f t="shared" si="102"/>
        <v>0</v>
      </c>
      <c r="AF93" s="49">
        <f t="shared" si="103"/>
        <v>0</v>
      </c>
      <c r="AG93" s="114">
        <f t="shared" si="104"/>
        <v>0</v>
      </c>
      <c r="AH93" s="104">
        <f t="shared" si="105"/>
        <v>0</v>
      </c>
      <c r="AI93" s="104">
        <f t="shared" si="106"/>
        <v>0</v>
      </c>
      <c r="AJ93" s="104">
        <f t="shared" si="107"/>
        <v>0</v>
      </c>
      <c r="AK93" s="104">
        <f t="shared" si="108"/>
        <v>0</v>
      </c>
      <c r="AL93" s="104">
        <f t="shared" si="109"/>
        <v>0</v>
      </c>
      <c r="AM93" s="104">
        <f t="shared" si="110"/>
        <v>0</v>
      </c>
      <c r="AN93" s="104">
        <f t="shared" si="111"/>
        <v>0</v>
      </c>
      <c r="AO93" s="104">
        <f t="shared" si="112"/>
        <v>0</v>
      </c>
      <c r="AP93" s="104">
        <f t="shared" si="113"/>
        <v>0</v>
      </c>
      <c r="AQ93" s="49">
        <f t="shared" si="114"/>
        <v>0</v>
      </c>
      <c r="AR93" s="104">
        <f t="shared" si="115"/>
        <v>0</v>
      </c>
      <c r="AS93" s="104">
        <f t="shared" si="116"/>
        <v>0</v>
      </c>
      <c r="AT93" s="104">
        <f t="shared" si="117"/>
        <v>0</v>
      </c>
      <c r="AU93" s="104">
        <f t="shared" si="118"/>
        <v>0</v>
      </c>
      <c r="BF93" s="49">
        <f t="shared" si="119"/>
        <v>0</v>
      </c>
      <c r="BG93" s="49">
        <f t="shared" si="120"/>
        <v>0</v>
      </c>
      <c r="BH93" s="54" t="e">
        <f t="shared" si="121"/>
        <v>#DIV/0!</v>
      </c>
      <c r="BI93" s="112" t="e">
        <f t="shared" si="122"/>
        <v>#DIV/0!</v>
      </c>
      <c r="BK93" s="55" t="e">
        <f t="shared" si="123"/>
        <v>#DIV/0!</v>
      </c>
      <c r="BL93" s="55" t="e">
        <f t="shared" si="124"/>
        <v>#DIV/0!</v>
      </c>
      <c r="BM93" s="55" t="e">
        <f t="shared" si="125"/>
        <v>#DIV/0!</v>
      </c>
      <c r="BN93" s="53">
        <f t="shared" si="126"/>
        <v>0</v>
      </c>
      <c r="BO93" s="112" t="e">
        <f t="shared" si="127"/>
        <v>#DIV/0!</v>
      </c>
      <c r="BR93" s="53" t="e">
        <f t="shared" si="128"/>
        <v>#DIV/0!</v>
      </c>
      <c r="BS93" s="53">
        <f t="shared" si="129"/>
        <v>0</v>
      </c>
      <c r="BT93" s="53">
        <f t="shared" si="130"/>
        <v>0</v>
      </c>
      <c r="BU93" s="56" t="e">
        <f t="shared" si="131"/>
        <v>#DIV/0!</v>
      </c>
      <c r="BX93" s="60"/>
      <c r="BY93" s="60"/>
      <c r="BZ93" s="60"/>
      <c r="CA93" s="60"/>
      <c r="CB93" s="60"/>
      <c r="CC93" s="60"/>
      <c r="CD93" s="60"/>
      <c r="CE93" s="60"/>
      <c r="CF93" s="60"/>
      <c r="CG93" s="60"/>
      <c r="CH93" s="60"/>
      <c r="CI93" s="60"/>
      <c r="CJ93" s="60"/>
      <c r="CK93" s="60"/>
      <c r="CL93" s="60"/>
      <c r="CM93" s="60"/>
      <c r="CN93" s="60"/>
      <c r="CO93" s="60"/>
      <c r="CP93" s="60"/>
      <c r="CQ93" s="60"/>
      <c r="CR93" s="60"/>
      <c r="CS93" s="60"/>
      <c r="CT93" s="57">
        <f t="shared" si="132"/>
        <v>0</v>
      </c>
      <c r="CU93" s="57">
        <f t="shared" si="133"/>
        <v>0</v>
      </c>
      <c r="CV93" s="53">
        <f t="shared" si="134"/>
        <v>0</v>
      </c>
      <c r="CW93" s="53">
        <f t="shared" si="135"/>
        <v>0</v>
      </c>
      <c r="CX93" s="58" t="e">
        <f t="shared" si="136"/>
        <v>#DIV/0!</v>
      </c>
      <c r="CY93" s="53">
        <f t="shared" si="137"/>
        <v>0</v>
      </c>
      <c r="CZ93" s="53">
        <f t="shared" si="138"/>
        <v>0</v>
      </c>
      <c r="DA93" s="58" t="e">
        <f t="shared" si="139"/>
        <v>#DIV/0!</v>
      </c>
      <c r="DB93" s="48" t="e">
        <f t="shared" si="140"/>
        <v>#DIV/0!</v>
      </c>
      <c r="DC93" s="48" t="e">
        <f t="shared" si="141"/>
        <v>#DIV/0!</v>
      </c>
      <c r="DD93" s="48" t="e">
        <f t="shared" si="142"/>
        <v>#DIV/0!</v>
      </c>
      <c r="DE93" s="48" t="e">
        <f t="shared" si="143"/>
        <v>#DIV/0!</v>
      </c>
      <c r="DF93" s="48" t="e">
        <f t="shared" si="144"/>
        <v>#DIV/0!</v>
      </c>
      <c r="DG93" s="48" t="e">
        <f t="shared" si="145"/>
        <v>#DIV/0!</v>
      </c>
      <c r="DH93" s="48">
        <f>SUMIF(FCR!$BZ$4:$DB$500,DG93,FCR!$DE$4:$EG$500)</f>
        <v>0</v>
      </c>
      <c r="DI93" s="48" t="e">
        <f t="shared" si="146"/>
        <v>#DIV/0!</v>
      </c>
      <c r="DJ93" s="48">
        <f>SUMIF(FCR!$BZ$4:$DB$142,DI93,FCR!$DE$4:$EG$142)</f>
        <v>0</v>
      </c>
      <c r="DK93" s="48" t="e">
        <f t="shared" si="147"/>
        <v>#DIV/0!</v>
      </c>
      <c r="DL93" s="55" t="e">
        <f t="shared" si="148"/>
        <v>#DIV/0!</v>
      </c>
      <c r="DM93" s="48" t="e">
        <f t="shared" si="149"/>
        <v>#DIV/0!</v>
      </c>
      <c r="DN93" s="48">
        <f>SUMIF(FCR!$BZ$4:$DB$142,DM93,FCR!$DE$4:$EG$142)</f>
        <v>0</v>
      </c>
      <c r="DO93" s="53" t="e">
        <f t="shared" si="150"/>
        <v>#DIV/0!</v>
      </c>
      <c r="DP93" s="55" t="e">
        <f t="shared" si="151"/>
        <v>#DIV/0!</v>
      </c>
      <c r="DQ93" s="55" t="e">
        <f t="shared" si="152"/>
        <v>#DIV/0!</v>
      </c>
      <c r="DR93" s="55"/>
      <c r="DS93" s="55" t="e">
        <f t="shared" si="153"/>
        <v>#DIV/0!</v>
      </c>
      <c r="DT93" s="55" t="e">
        <f t="shared" si="154"/>
        <v>#DIV/0!</v>
      </c>
      <c r="DU93" s="53">
        <f t="shared" si="155"/>
        <v>0</v>
      </c>
      <c r="DV93" s="59" t="e">
        <f t="shared" si="156"/>
        <v>#DIV/0!</v>
      </c>
    </row>
    <row r="94" spans="30:126">
      <c r="AD94" s="49" t="s">
        <v>411</v>
      </c>
      <c r="AE94" s="49">
        <f t="shared" si="102"/>
        <v>0</v>
      </c>
      <c r="AF94" s="49">
        <f t="shared" si="103"/>
        <v>0</v>
      </c>
      <c r="AG94" s="114">
        <f t="shared" si="104"/>
        <v>0</v>
      </c>
      <c r="AH94" s="104">
        <f t="shared" si="105"/>
        <v>0</v>
      </c>
      <c r="AI94" s="104">
        <f t="shared" si="106"/>
        <v>0</v>
      </c>
      <c r="AJ94" s="104">
        <f t="shared" si="107"/>
        <v>0</v>
      </c>
      <c r="AK94" s="104">
        <f t="shared" si="108"/>
        <v>0</v>
      </c>
      <c r="AL94" s="104">
        <f t="shared" si="109"/>
        <v>0</v>
      </c>
      <c r="AM94" s="104">
        <f t="shared" si="110"/>
        <v>0</v>
      </c>
      <c r="AN94" s="104">
        <f t="shared" si="111"/>
        <v>0</v>
      </c>
      <c r="AO94" s="104">
        <f t="shared" si="112"/>
        <v>0</v>
      </c>
      <c r="AP94" s="104">
        <f t="shared" si="113"/>
        <v>0</v>
      </c>
      <c r="AQ94" s="49">
        <f t="shared" si="114"/>
        <v>0</v>
      </c>
      <c r="AR94" s="104">
        <f t="shared" si="115"/>
        <v>0</v>
      </c>
      <c r="AS94" s="104">
        <f t="shared" si="116"/>
        <v>0</v>
      </c>
      <c r="AT94" s="104">
        <f t="shared" si="117"/>
        <v>0</v>
      </c>
      <c r="AU94" s="104">
        <f t="shared" si="118"/>
        <v>0</v>
      </c>
      <c r="BF94" s="49">
        <f t="shared" si="119"/>
        <v>0</v>
      </c>
      <c r="BG94" s="49">
        <f t="shared" si="120"/>
        <v>0</v>
      </c>
      <c r="BH94" s="54" t="e">
        <f t="shared" si="121"/>
        <v>#DIV/0!</v>
      </c>
      <c r="BI94" s="112" t="e">
        <f t="shared" si="122"/>
        <v>#DIV/0!</v>
      </c>
      <c r="BK94" s="55" t="e">
        <f t="shared" si="123"/>
        <v>#DIV/0!</v>
      </c>
      <c r="BL94" s="55" t="e">
        <f t="shared" si="124"/>
        <v>#DIV/0!</v>
      </c>
      <c r="BM94" s="55" t="e">
        <f t="shared" si="125"/>
        <v>#DIV/0!</v>
      </c>
      <c r="BN94" s="53">
        <f t="shared" si="126"/>
        <v>0</v>
      </c>
      <c r="BO94" s="112" t="e">
        <f t="shared" si="127"/>
        <v>#DIV/0!</v>
      </c>
      <c r="BR94" s="53" t="e">
        <f t="shared" si="128"/>
        <v>#DIV/0!</v>
      </c>
      <c r="BS94" s="53">
        <f t="shared" si="129"/>
        <v>0</v>
      </c>
      <c r="BT94" s="53">
        <f t="shared" si="130"/>
        <v>0</v>
      </c>
      <c r="BU94" s="56" t="e">
        <f t="shared" si="131"/>
        <v>#DIV/0!</v>
      </c>
      <c r="BX94" s="60"/>
      <c r="BY94" s="60"/>
      <c r="BZ94" s="60"/>
      <c r="CA94" s="60"/>
      <c r="CB94" s="60"/>
      <c r="CC94" s="60"/>
      <c r="CD94" s="60"/>
      <c r="CE94" s="60"/>
      <c r="CF94" s="60"/>
      <c r="CG94" s="60"/>
      <c r="CH94" s="60"/>
      <c r="CI94" s="60"/>
      <c r="CJ94" s="60"/>
      <c r="CK94" s="60"/>
      <c r="CL94" s="60"/>
      <c r="CM94" s="60"/>
      <c r="CN94" s="60"/>
      <c r="CO94" s="60"/>
      <c r="CP94" s="60"/>
      <c r="CQ94" s="60"/>
      <c r="CR94" s="60"/>
      <c r="CS94" s="60"/>
      <c r="CT94" s="57">
        <f t="shared" si="132"/>
        <v>0</v>
      </c>
      <c r="CU94" s="57">
        <f t="shared" si="133"/>
        <v>0</v>
      </c>
      <c r="CV94" s="53">
        <f t="shared" si="134"/>
        <v>0</v>
      </c>
      <c r="CW94" s="53">
        <f t="shared" si="135"/>
        <v>0</v>
      </c>
      <c r="CX94" s="58" t="e">
        <f t="shared" si="136"/>
        <v>#DIV/0!</v>
      </c>
      <c r="CY94" s="53">
        <f t="shared" si="137"/>
        <v>0</v>
      </c>
      <c r="CZ94" s="53">
        <f t="shared" si="138"/>
        <v>0</v>
      </c>
      <c r="DA94" s="58" t="e">
        <f t="shared" si="139"/>
        <v>#DIV/0!</v>
      </c>
      <c r="DB94" s="48" t="e">
        <f t="shared" si="140"/>
        <v>#DIV/0!</v>
      </c>
      <c r="DC94" s="48" t="e">
        <f t="shared" si="141"/>
        <v>#DIV/0!</v>
      </c>
      <c r="DD94" s="48" t="e">
        <f t="shared" si="142"/>
        <v>#DIV/0!</v>
      </c>
      <c r="DE94" s="48" t="e">
        <f t="shared" si="143"/>
        <v>#DIV/0!</v>
      </c>
      <c r="DF94" s="48" t="e">
        <f t="shared" si="144"/>
        <v>#DIV/0!</v>
      </c>
      <c r="DG94" s="48" t="e">
        <f t="shared" si="145"/>
        <v>#DIV/0!</v>
      </c>
      <c r="DH94" s="48">
        <f>SUMIF(FCR!$BZ$4:$DB$500,DG94,FCR!$DE$4:$EG$500)</f>
        <v>0</v>
      </c>
      <c r="DI94" s="48" t="e">
        <f t="shared" si="146"/>
        <v>#DIV/0!</v>
      </c>
      <c r="DJ94" s="48">
        <f>SUMIF(FCR!$BZ$4:$DB$142,DI94,FCR!$DE$4:$EG$142)</f>
        <v>0</v>
      </c>
      <c r="DK94" s="48" t="e">
        <f t="shared" si="147"/>
        <v>#DIV/0!</v>
      </c>
      <c r="DL94" s="55" t="e">
        <f t="shared" si="148"/>
        <v>#DIV/0!</v>
      </c>
      <c r="DM94" s="48" t="e">
        <f t="shared" si="149"/>
        <v>#DIV/0!</v>
      </c>
      <c r="DN94" s="48">
        <f>SUMIF(FCR!$BZ$4:$DB$142,DM94,FCR!$DE$4:$EG$142)</f>
        <v>0</v>
      </c>
      <c r="DO94" s="53" t="e">
        <f t="shared" si="150"/>
        <v>#DIV/0!</v>
      </c>
      <c r="DP94" s="55" t="e">
        <f t="shared" si="151"/>
        <v>#DIV/0!</v>
      </c>
      <c r="DQ94" s="55" t="e">
        <f t="shared" si="152"/>
        <v>#DIV/0!</v>
      </c>
      <c r="DR94" s="55"/>
      <c r="DS94" s="55" t="e">
        <f t="shared" si="153"/>
        <v>#DIV/0!</v>
      </c>
      <c r="DT94" s="55" t="e">
        <f t="shared" si="154"/>
        <v>#DIV/0!</v>
      </c>
      <c r="DU94" s="53">
        <f t="shared" si="155"/>
        <v>0</v>
      </c>
      <c r="DV94" s="59" t="e">
        <f t="shared" si="156"/>
        <v>#DIV/0!</v>
      </c>
    </row>
    <row r="95" spans="30:126">
      <c r="AD95" s="49" t="s">
        <v>411</v>
      </c>
      <c r="AE95" s="49">
        <f t="shared" si="102"/>
        <v>0</v>
      </c>
      <c r="AF95" s="49">
        <f t="shared" si="103"/>
        <v>0</v>
      </c>
      <c r="AG95" s="114">
        <f t="shared" si="104"/>
        <v>0</v>
      </c>
      <c r="AH95" s="104">
        <f t="shared" si="105"/>
        <v>0</v>
      </c>
      <c r="AI95" s="104">
        <f t="shared" si="106"/>
        <v>0</v>
      </c>
      <c r="AJ95" s="104">
        <f t="shared" si="107"/>
        <v>0</v>
      </c>
      <c r="AK95" s="104">
        <f t="shared" si="108"/>
        <v>0</v>
      </c>
      <c r="AL95" s="104">
        <f t="shared" si="109"/>
        <v>0</v>
      </c>
      <c r="AM95" s="104">
        <f t="shared" si="110"/>
        <v>0</v>
      </c>
      <c r="AN95" s="104">
        <f t="shared" si="111"/>
        <v>0</v>
      </c>
      <c r="AO95" s="104">
        <f t="shared" si="112"/>
        <v>0</v>
      </c>
      <c r="AP95" s="104">
        <f t="shared" si="113"/>
        <v>0</v>
      </c>
      <c r="AQ95" s="49">
        <f t="shared" si="114"/>
        <v>0</v>
      </c>
      <c r="AR95" s="104">
        <f t="shared" si="115"/>
        <v>0</v>
      </c>
      <c r="AS95" s="104">
        <f t="shared" si="116"/>
        <v>0</v>
      </c>
      <c r="AT95" s="104">
        <f t="shared" si="117"/>
        <v>0</v>
      </c>
      <c r="AU95" s="104">
        <f t="shared" si="118"/>
        <v>0</v>
      </c>
      <c r="BF95" s="49">
        <f t="shared" si="119"/>
        <v>0</v>
      </c>
      <c r="BG95" s="49">
        <f t="shared" si="120"/>
        <v>0</v>
      </c>
      <c r="BH95" s="54" t="e">
        <f t="shared" si="121"/>
        <v>#DIV/0!</v>
      </c>
      <c r="BI95" s="112" t="e">
        <f t="shared" si="122"/>
        <v>#DIV/0!</v>
      </c>
      <c r="BK95" s="55" t="e">
        <f t="shared" si="123"/>
        <v>#DIV/0!</v>
      </c>
      <c r="BL95" s="55" t="e">
        <f t="shared" si="124"/>
        <v>#DIV/0!</v>
      </c>
      <c r="BM95" s="55" t="e">
        <f t="shared" si="125"/>
        <v>#DIV/0!</v>
      </c>
      <c r="BN95" s="53">
        <f t="shared" si="126"/>
        <v>0</v>
      </c>
      <c r="BO95" s="112" t="e">
        <f t="shared" si="127"/>
        <v>#DIV/0!</v>
      </c>
      <c r="BR95" s="53" t="e">
        <f t="shared" si="128"/>
        <v>#DIV/0!</v>
      </c>
      <c r="BS95" s="53">
        <f t="shared" si="129"/>
        <v>0</v>
      </c>
      <c r="BT95" s="53">
        <f t="shared" si="130"/>
        <v>0</v>
      </c>
      <c r="BU95" s="56" t="e">
        <f t="shared" si="131"/>
        <v>#DIV/0!</v>
      </c>
      <c r="BX95" s="60"/>
      <c r="BY95" s="60"/>
      <c r="BZ95" s="60"/>
      <c r="CA95" s="60"/>
      <c r="CB95" s="60"/>
      <c r="CC95" s="60"/>
      <c r="CD95" s="60"/>
      <c r="CE95" s="60"/>
      <c r="CF95" s="60"/>
      <c r="CG95" s="60"/>
      <c r="CH95" s="60"/>
      <c r="CI95" s="60"/>
      <c r="CJ95" s="60"/>
      <c r="CK95" s="60"/>
      <c r="CL95" s="60"/>
      <c r="CM95" s="60"/>
      <c r="CN95" s="60"/>
      <c r="CO95" s="60"/>
      <c r="CP95" s="60"/>
      <c r="CQ95" s="60"/>
      <c r="CR95" s="60"/>
      <c r="CS95" s="60"/>
      <c r="CT95" s="57">
        <f t="shared" si="132"/>
        <v>0</v>
      </c>
      <c r="CU95" s="57">
        <f t="shared" si="133"/>
        <v>0</v>
      </c>
      <c r="CV95" s="53">
        <f t="shared" si="134"/>
        <v>0</v>
      </c>
      <c r="CW95" s="53">
        <f t="shared" si="135"/>
        <v>0</v>
      </c>
      <c r="CX95" s="58" t="e">
        <f t="shared" si="136"/>
        <v>#DIV/0!</v>
      </c>
      <c r="CY95" s="53">
        <f t="shared" si="137"/>
        <v>0</v>
      </c>
      <c r="CZ95" s="53">
        <f t="shared" si="138"/>
        <v>0</v>
      </c>
      <c r="DA95" s="58" t="e">
        <f t="shared" si="139"/>
        <v>#DIV/0!</v>
      </c>
      <c r="DB95" s="48" t="e">
        <f t="shared" si="140"/>
        <v>#DIV/0!</v>
      </c>
      <c r="DC95" s="48" t="e">
        <f t="shared" si="141"/>
        <v>#DIV/0!</v>
      </c>
      <c r="DD95" s="48" t="e">
        <f t="shared" si="142"/>
        <v>#DIV/0!</v>
      </c>
      <c r="DE95" s="48" t="e">
        <f t="shared" si="143"/>
        <v>#DIV/0!</v>
      </c>
      <c r="DF95" s="48" t="e">
        <f t="shared" si="144"/>
        <v>#DIV/0!</v>
      </c>
      <c r="DG95" s="48" t="e">
        <f t="shared" si="145"/>
        <v>#DIV/0!</v>
      </c>
      <c r="DH95" s="48">
        <f>SUMIF(FCR!$BZ$4:$DB$500,DG95,FCR!$DE$4:$EG$500)</f>
        <v>0</v>
      </c>
      <c r="DI95" s="48" t="e">
        <f t="shared" si="146"/>
        <v>#DIV/0!</v>
      </c>
      <c r="DJ95" s="48">
        <f>SUMIF(FCR!$BZ$4:$DB$142,DI95,FCR!$DE$4:$EG$142)</f>
        <v>0</v>
      </c>
      <c r="DK95" s="48" t="e">
        <f t="shared" si="147"/>
        <v>#DIV/0!</v>
      </c>
      <c r="DL95" s="55" t="e">
        <f t="shared" si="148"/>
        <v>#DIV/0!</v>
      </c>
      <c r="DM95" s="48" t="e">
        <f t="shared" si="149"/>
        <v>#DIV/0!</v>
      </c>
      <c r="DN95" s="48">
        <f>SUMIF(FCR!$BZ$4:$DB$142,DM95,FCR!$DE$4:$EG$142)</f>
        <v>0</v>
      </c>
      <c r="DO95" s="53" t="e">
        <f t="shared" si="150"/>
        <v>#DIV/0!</v>
      </c>
      <c r="DP95" s="55" t="e">
        <f t="shared" si="151"/>
        <v>#DIV/0!</v>
      </c>
      <c r="DQ95" s="55" t="e">
        <f t="shared" si="152"/>
        <v>#DIV/0!</v>
      </c>
      <c r="DR95" s="55"/>
      <c r="DS95" s="55" t="e">
        <f t="shared" si="153"/>
        <v>#DIV/0!</v>
      </c>
      <c r="DT95" s="55" t="e">
        <f t="shared" si="154"/>
        <v>#DIV/0!</v>
      </c>
      <c r="DU95" s="53">
        <f t="shared" si="155"/>
        <v>0</v>
      </c>
      <c r="DV95" s="59" t="e">
        <f t="shared" si="156"/>
        <v>#DIV/0!</v>
      </c>
    </row>
    <row r="96" spans="30:126">
      <c r="AD96" s="49" t="s">
        <v>411</v>
      </c>
      <c r="AE96" s="49">
        <f t="shared" si="102"/>
        <v>0</v>
      </c>
      <c r="AF96" s="49">
        <f t="shared" si="103"/>
        <v>0</v>
      </c>
      <c r="AG96" s="114">
        <f t="shared" si="104"/>
        <v>0</v>
      </c>
      <c r="AH96" s="104">
        <f t="shared" si="105"/>
        <v>0</v>
      </c>
      <c r="AI96" s="104">
        <f t="shared" si="106"/>
        <v>0</v>
      </c>
      <c r="AJ96" s="104">
        <f t="shared" si="107"/>
        <v>0</v>
      </c>
      <c r="AK96" s="104">
        <f t="shared" si="108"/>
        <v>0</v>
      </c>
      <c r="AL96" s="104">
        <f t="shared" si="109"/>
        <v>0</v>
      </c>
      <c r="AM96" s="104">
        <f t="shared" si="110"/>
        <v>0</v>
      </c>
      <c r="AN96" s="104">
        <f t="shared" si="111"/>
        <v>0</v>
      </c>
      <c r="AO96" s="104">
        <f t="shared" si="112"/>
        <v>0</v>
      </c>
      <c r="AP96" s="104">
        <f t="shared" si="113"/>
        <v>0</v>
      </c>
      <c r="AQ96" s="49">
        <f t="shared" si="114"/>
        <v>0</v>
      </c>
      <c r="AR96" s="104">
        <f t="shared" si="115"/>
        <v>0</v>
      </c>
      <c r="AS96" s="104">
        <f t="shared" si="116"/>
        <v>0</v>
      </c>
      <c r="AT96" s="104">
        <f t="shared" si="117"/>
        <v>0</v>
      </c>
      <c r="AU96" s="104">
        <f t="shared" si="118"/>
        <v>0</v>
      </c>
      <c r="BF96" s="49">
        <f t="shared" si="119"/>
        <v>0</v>
      </c>
      <c r="BG96" s="49">
        <f t="shared" si="120"/>
        <v>0</v>
      </c>
      <c r="BH96" s="54" t="e">
        <f t="shared" si="121"/>
        <v>#DIV/0!</v>
      </c>
      <c r="BI96" s="112" t="e">
        <f t="shared" si="122"/>
        <v>#DIV/0!</v>
      </c>
      <c r="BK96" s="55" t="e">
        <f t="shared" si="123"/>
        <v>#DIV/0!</v>
      </c>
      <c r="BL96" s="55" t="e">
        <f t="shared" si="124"/>
        <v>#DIV/0!</v>
      </c>
      <c r="BM96" s="55" t="e">
        <f t="shared" si="125"/>
        <v>#DIV/0!</v>
      </c>
      <c r="BN96" s="53">
        <f t="shared" si="126"/>
        <v>0</v>
      </c>
      <c r="BO96" s="112" t="e">
        <f t="shared" si="127"/>
        <v>#DIV/0!</v>
      </c>
      <c r="BR96" s="53" t="e">
        <f t="shared" si="128"/>
        <v>#DIV/0!</v>
      </c>
      <c r="BS96" s="53">
        <f t="shared" si="129"/>
        <v>0</v>
      </c>
      <c r="BT96" s="53">
        <f t="shared" si="130"/>
        <v>0</v>
      </c>
      <c r="BU96" s="56" t="e">
        <f t="shared" si="131"/>
        <v>#DIV/0!</v>
      </c>
      <c r="BX96" s="60"/>
      <c r="BY96" s="60"/>
      <c r="BZ96" s="60"/>
      <c r="CA96" s="60"/>
      <c r="CB96" s="60"/>
      <c r="CC96" s="60"/>
      <c r="CD96" s="60"/>
      <c r="CE96" s="60"/>
      <c r="CF96" s="60"/>
      <c r="CG96" s="60"/>
      <c r="CH96" s="60"/>
      <c r="CI96" s="60"/>
      <c r="CJ96" s="60"/>
      <c r="CK96" s="60"/>
      <c r="CL96" s="60"/>
      <c r="CM96" s="60"/>
      <c r="CN96" s="60"/>
      <c r="CO96" s="60"/>
      <c r="CP96" s="60"/>
      <c r="CQ96" s="60"/>
      <c r="CR96" s="60"/>
      <c r="CS96" s="60"/>
      <c r="CT96" s="57">
        <f t="shared" si="132"/>
        <v>0</v>
      </c>
      <c r="CU96" s="57">
        <f t="shared" si="133"/>
        <v>0</v>
      </c>
      <c r="CV96" s="53">
        <f t="shared" si="134"/>
        <v>0</v>
      </c>
      <c r="CW96" s="53">
        <f t="shared" si="135"/>
        <v>0</v>
      </c>
      <c r="CX96" s="58" t="e">
        <f t="shared" si="136"/>
        <v>#DIV/0!</v>
      </c>
      <c r="CY96" s="53">
        <f t="shared" si="137"/>
        <v>0</v>
      </c>
      <c r="CZ96" s="53">
        <f t="shared" si="138"/>
        <v>0</v>
      </c>
      <c r="DA96" s="58" t="e">
        <f t="shared" si="139"/>
        <v>#DIV/0!</v>
      </c>
      <c r="DB96" s="48" t="e">
        <f t="shared" si="140"/>
        <v>#DIV/0!</v>
      </c>
      <c r="DC96" s="48" t="e">
        <f t="shared" si="141"/>
        <v>#DIV/0!</v>
      </c>
      <c r="DD96" s="48" t="e">
        <f t="shared" si="142"/>
        <v>#DIV/0!</v>
      </c>
      <c r="DE96" s="48" t="e">
        <f t="shared" si="143"/>
        <v>#DIV/0!</v>
      </c>
      <c r="DF96" s="48" t="e">
        <f t="shared" si="144"/>
        <v>#DIV/0!</v>
      </c>
      <c r="DG96" s="48" t="e">
        <f t="shared" si="145"/>
        <v>#DIV/0!</v>
      </c>
      <c r="DH96" s="48">
        <f>SUMIF(FCR!$BZ$4:$DB$500,DG96,FCR!$DE$4:$EG$500)</f>
        <v>0</v>
      </c>
      <c r="DI96" s="48" t="e">
        <f t="shared" si="146"/>
        <v>#DIV/0!</v>
      </c>
      <c r="DJ96" s="48">
        <f>SUMIF(FCR!$BZ$4:$DB$142,DI96,FCR!$DE$4:$EG$142)</f>
        <v>0</v>
      </c>
      <c r="DK96" s="48" t="e">
        <f t="shared" si="147"/>
        <v>#DIV/0!</v>
      </c>
      <c r="DL96" s="55" t="e">
        <f t="shared" si="148"/>
        <v>#DIV/0!</v>
      </c>
      <c r="DM96" s="48" t="e">
        <f t="shared" si="149"/>
        <v>#DIV/0!</v>
      </c>
      <c r="DN96" s="48">
        <f>SUMIF(FCR!$BZ$4:$DB$142,DM96,FCR!$DE$4:$EG$142)</f>
        <v>0</v>
      </c>
      <c r="DO96" s="53" t="e">
        <f t="shared" si="150"/>
        <v>#DIV/0!</v>
      </c>
      <c r="DP96" s="55" t="e">
        <f t="shared" si="151"/>
        <v>#DIV/0!</v>
      </c>
      <c r="DQ96" s="55" t="e">
        <f t="shared" si="152"/>
        <v>#DIV/0!</v>
      </c>
      <c r="DR96" s="55"/>
      <c r="DS96" s="55" t="e">
        <f t="shared" si="153"/>
        <v>#DIV/0!</v>
      </c>
      <c r="DT96" s="55" t="e">
        <f t="shared" si="154"/>
        <v>#DIV/0!</v>
      </c>
      <c r="DU96" s="53">
        <f t="shared" si="155"/>
        <v>0</v>
      </c>
      <c r="DV96" s="59" t="e">
        <f t="shared" si="156"/>
        <v>#DIV/0!</v>
      </c>
    </row>
    <row r="97" spans="30:126">
      <c r="AD97" s="49" t="s">
        <v>411</v>
      </c>
      <c r="AE97" s="49">
        <f t="shared" si="102"/>
        <v>0</v>
      </c>
      <c r="AF97" s="49">
        <f t="shared" si="103"/>
        <v>0</v>
      </c>
      <c r="AG97" s="114">
        <f t="shared" si="104"/>
        <v>0</v>
      </c>
      <c r="AH97" s="104">
        <f t="shared" si="105"/>
        <v>0</v>
      </c>
      <c r="AI97" s="104">
        <f t="shared" si="106"/>
        <v>0</v>
      </c>
      <c r="AJ97" s="104">
        <f t="shared" si="107"/>
        <v>0</v>
      </c>
      <c r="AK97" s="104">
        <f t="shared" si="108"/>
        <v>0</v>
      </c>
      <c r="AL97" s="104">
        <f t="shared" si="109"/>
        <v>0</v>
      </c>
      <c r="AM97" s="104">
        <f t="shared" si="110"/>
        <v>0</v>
      </c>
      <c r="AN97" s="104">
        <f t="shared" si="111"/>
        <v>0</v>
      </c>
      <c r="AO97" s="104">
        <f t="shared" si="112"/>
        <v>0</v>
      </c>
      <c r="AP97" s="104">
        <f t="shared" si="113"/>
        <v>0</v>
      </c>
      <c r="AQ97" s="49">
        <f t="shared" si="114"/>
        <v>0</v>
      </c>
      <c r="AR97" s="104">
        <f t="shared" si="115"/>
        <v>0</v>
      </c>
      <c r="AS97" s="104">
        <f t="shared" si="116"/>
        <v>0</v>
      </c>
      <c r="AT97" s="104">
        <f t="shared" si="117"/>
        <v>0</v>
      </c>
      <c r="AU97" s="104">
        <f t="shared" si="118"/>
        <v>0</v>
      </c>
      <c r="BF97" s="49">
        <f t="shared" si="119"/>
        <v>0</v>
      </c>
      <c r="BG97" s="49">
        <f t="shared" si="120"/>
        <v>0</v>
      </c>
      <c r="BH97" s="54" t="e">
        <f t="shared" si="121"/>
        <v>#DIV/0!</v>
      </c>
      <c r="BI97" s="112" t="e">
        <f t="shared" si="122"/>
        <v>#DIV/0!</v>
      </c>
      <c r="BK97" s="55" t="e">
        <f t="shared" si="123"/>
        <v>#DIV/0!</v>
      </c>
      <c r="BL97" s="55" t="e">
        <f t="shared" si="124"/>
        <v>#DIV/0!</v>
      </c>
      <c r="BM97" s="55" t="e">
        <f t="shared" si="125"/>
        <v>#DIV/0!</v>
      </c>
      <c r="BN97" s="53">
        <f t="shared" si="126"/>
        <v>0</v>
      </c>
      <c r="BO97" s="112" t="e">
        <f t="shared" si="127"/>
        <v>#DIV/0!</v>
      </c>
      <c r="BR97" s="53" t="e">
        <f t="shared" si="128"/>
        <v>#DIV/0!</v>
      </c>
      <c r="BS97" s="53">
        <f t="shared" si="129"/>
        <v>0</v>
      </c>
      <c r="BT97" s="53">
        <f t="shared" si="130"/>
        <v>0</v>
      </c>
      <c r="BU97" s="56" t="e">
        <f t="shared" si="131"/>
        <v>#DIV/0!</v>
      </c>
      <c r="BX97" s="60"/>
      <c r="BY97" s="60"/>
      <c r="BZ97" s="60"/>
      <c r="CA97" s="60"/>
      <c r="CB97" s="60"/>
      <c r="CC97" s="60"/>
      <c r="CD97" s="60"/>
      <c r="CE97" s="60"/>
      <c r="CF97" s="60"/>
      <c r="CG97" s="60"/>
      <c r="CH97" s="60"/>
      <c r="CI97" s="60"/>
      <c r="CJ97" s="60"/>
      <c r="CK97" s="60"/>
      <c r="CL97" s="60"/>
      <c r="CM97" s="60"/>
      <c r="CN97" s="60"/>
      <c r="CO97" s="60"/>
      <c r="CP97" s="60"/>
      <c r="CQ97" s="60"/>
      <c r="CR97" s="60"/>
      <c r="CS97" s="60"/>
      <c r="CT97" s="57">
        <f t="shared" si="132"/>
        <v>0</v>
      </c>
      <c r="CU97" s="57">
        <f t="shared" si="133"/>
        <v>0</v>
      </c>
      <c r="CV97" s="53">
        <f t="shared" si="134"/>
        <v>0</v>
      </c>
      <c r="CW97" s="53">
        <f t="shared" si="135"/>
        <v>0</v>
      </c>
      <c r="CX97" s="58" t="e">
        <f t="shared" si="136"/>
        <v>#DIV/0!</v>
      </c>
      <c r="CY97" s="53">
        <f t="shared" si="137"/>
        <v>0</v>
      </c>
      <c r="CZ97" s="53">
        <f t="shared" si="138"/>
        <v>0</v>
      </c>
      <c r="DA97" s="58" t="e">
        <f t="shared" si="139"/>
        <v>#DIV/0!</v>
      </c>
      <c r="DB97" s="48" t="e">
        <f t="shared" si="140"/>
        <v>#DIV/0!</v>
      </c>
      <c r="DC97" s="48" t="e">
        <f t="shared" si="141"/>
        <v>#DIV/0!</v>
      </c>
      <c r="DD97" s="48" t="e">
        <f t="shared" si="142"/>
        <v>#DIV/0!</v>
      </c>
      <c r="DE97" s="48" t="e">
        <f t="shared" si="143"/>
        <v>#DIV/0!</v>
      </c>
      <c r="DF97" s="48" t="e">
        <f t="shared" si="144"/>
        <v>#DIV/0!</v>
      </c>
      <c r="DG97" s="48" t="e">
        <f t="shared" si="145"/>
        <v>#DIV/0!</v>
      </c>
      <c r="DH97" s="48">
        <f>SUMIF(FCR!$BZ$4:$DB$500,DG97,FCR!$DE$4:$EG$500)</f>
        <v>0</v>
      </c>
      <c r="DI97" s="48" t="e">
        <f t="shared" si="146"/>
        <v>#DIV/0!</v>
      </c>
      <c r="DJ97" s="48">
        <f>SUMIF(FCR!$BZ$4:$DB$142,DI97,FCR!$DE$4:$EG$142)</f>
        <v>0</v>
      </c>
      <c r="DK97" s="48" t="e">
        <f t="shared" si="147"/>
        <v>#DIV/0!</v>
      </c>
      <c r="DL97" s="55" t="e">
        <f t="shared" si="148"/>
        <v>#DIV/0!</v>
      </c>
      <c r="DM97" s="48" t="e">
        <f t="shared" si="149"/>
        <v>#DIV/0!</v>
      </c>
      <c r="DN97" s="48">
        <f>SUMIF(FCR!$BZ$4:$DB$142,DM97,FCR!$DE$4:$EG$142)</f>
        <v>0</v>
      </c>
      <c r="DO97" s="53" t="e">
        <f t="shared" si="150"/>
        <v>#DIV/0!</v>
      </c>
      <c r="DP97" s="55" t="e">
        <f t="shared" si="151"/>
        <v>#DIV/0!</v>
      </c>
      <c r="DQ97" s="55" t="e">
        <f t="shared" si="152"/>
        <v>#DIV/0!</v>
      </c>
      <c r="DR97" s="55"/>
      <c r="DS97" s="55" t="e">
        <f t="shared" si="153"/>
        <v>#DIV/0!</v>
      </c>
      <c r="DT97" s="55" t="e">
        <f t="shared" si="154"/>
        <v>#DIV/0!</v>
      </c>
      <c r="DU97" s="53">
        <f t="shared" si="155"/>
        <v>0</v>
      </c>
      <c r="DV97" s="59" t="e">
        <f t="shared" si="156"/>
        <v>#DIV/0!</v>
      </c>
    </row>
    <row r="98" spans="30:126">
      <c r="AD98" s="49" t="s">
        <v>411</v>
      </c>
      <c r="AE98" s="49">
        <f t="shared" si="102"/>
        <v>0</v>
      </c>
      <c r="AF98" s="49">
        <f t="shared" si="103"/>
        <v>0</v>
      </c>
      <c r="AG98" s="114">
        <f t="shared" si="104"/>
        <v>0</v>
      </c>
      <c r="AH98" s="104">
        <f t="shared" si="105"/>
        <v>0</v>
      </c>
      <c r="AI98" s="104">
        <f t="shared" si="106"/>
        <v>0</v>
      </c>
      <c r="AJ98" s="104">
        <f t="shared" si="107"/>
        <v>0</v>
      </c>
      <c r="AK98" s="104">
        <f t="shared" si="108"/>
        <v>0</v>
      </c>
      <c r="AL98" s="104">
        <f t="shared" si="109"/>
        <v>0</v>
      </c>
      <c r="AM98" s="104">
        <f t="shared" si="110"/>
        <v>0</v>
      </c>
      <c r="AN98" s="104">
        <f t="shared" si="111"/>
        <v>0</v>
      </c>
      <c r="AO98" s="104">
        <f t="shared" si="112"/>
        <v>0</v>
      </c>
      <c r="AP98" s="104">
        <f t="shared" si="113"/>
        <v>0</v>
      </c>
      <c r="AQ98" s="49">
        <f t="shared" si="114"/>
        <v>0</v>
      </c>
      <c r="AR98" s="104">
        <f t="shared" si="115"/>
        <v>0</v>
      </c>
      <c r="AS98" s="104">
        <f t="shared" si="116"/>
        <v>0</v>
      </c>
      <c r="AT98" s="104">
        <f t="shared" si="117"/>
        <v>0</v>
      </c>
      <c r="AU98" s="104">
        <f t="shared" si="118"/>
        <v>0</v>
      </c>
      <c r="BF98" s="49">
        <f t="shared" si="119"/>
        <v>0</v>
      </c>
      <c r="BG98" s="49">
        <f t="shared" si="120"/>
        <v>0</v>
      </c>
      <c r="BH98" s="54" t="e">
        <f t="shared" si="121"/>
        <v>#DIV/0!</v>
      </c>
      <c r="BI98" s="112" t="e">
        <f t="shared" si="122"/>
        <v>#DIV/0!</v>
      </c>
      <c r="BK98" s="55" t="e">
        <f t="shared" si="123"/>
        <v>#DIV/0!</v>
      </c>
      <c r="BL98" s="55" t="e">
        <f t="shared" si="124"/>
        <v>#DIV/0!</v>
      </c>
      <c r="BM98" s="55" t="e">
        <f t="shared" si="125"/>
        <v>#DIV/0!</v>
      </c>
      <c r="BN98" s="53">
        <f t="shared" si="126"/>
        <v>0</v>
      </c>
      <c r="BO98" s="112" t="e">
        <f t="shared" si="127"/>
        <v>#DIV/0!</v>
      </c>
      <c r="BR98" s="53" t="e">
        <f t="shared" si="128"/>
        <v>#DIV/0!</v>
      </c>
      <c r="BS98" s="53">
        <f t="shared" si="129"/>
        <v>0</v>
      </c>
      <c r="BT98" s="53">
        <f t="shared" si="130"/>
        <v>0</v>
      </c>
      <c r="BU98" s="56" t="e">
        <f t="shared" si="131"/>
        <v>#DIV/0!</v>
      </c>
      <c r="BX98" s="60"/>
      <c r="BY98" s="60"/>
      <c r="BZ98" s="60"/>
      <c r="CA98" s="60"/>
      <c r="CB98" s="60"/>
      <c r="CC98" s="60"/>
      <c r="CD98" s="60"/>
      <c r="CE98" s="60"/>
      <c r="CF98" s="60"/>
      <c r="CG98" s="60"/>
      <c r="CH98" s="60"/>
      <c r="CI98" s="60"/>
      <c r="CJ98" s="60"/>
      <c r="CK98" s="60"/>
      <c r="CL98" s="60"/>
      <c r="CM98" s="60"/>
      <c r="CN98" s="60"/>
      <c r="CO98" s="60"/>
      <c r="CP98" s="60"/>
      <c r="CQ98" s="60"/>
      <c r="CR98" s="60"/>
      <c r="CS98" s="60"/>
      <c r="CT98" s="57">
        <f t="shared" si="132"/>
        <v>0</v>
      </c>
      <c r="CU98" s="57">
        <f t="shared" si="133"/>
        <v>0</v>
      </c>
      <c r="CV98" s="53">
        <f t="shared" si="134"/>
        <v>0</v>
      </c>
      <c r="CW98" s="53">
        <f t="shared" si="135"/>
        <v>0</v>
      </c>
      <c r="CX98" s="58" t="e">
        <f t="shared" si="136"/>
        <v>#DIV/0!</v>
      </c>
      <c r="CY98" s="53">
        <f t="shared" si="137"/>
        <v>0</v>
      </c>
      <c r="CZ98" s="53">
        <f t="shared" si="138"/>
        <v>0</v>
      </c>
      <c r="DA98" s="58" t="e">
        <f t="shared" si="139"/>
        <v>#DIV/0!</v>
      </c>
      <c r="DB98" s="48" t="e">
        <f t="shared" si="140"/>
        <v>#DIV/0!</v>
      </c>
      <c r="DC98" s="48" t="e">
        <f t="shared" si="141"/>
        <v>#DIV/0!</v>
      </c>
      <c r="DD98" s="48" t="e">
        <f t="shared" si="142"/>
        <v>#DIV/0!</v>
      </c>
      <c r="DE98" s="48" t="e">
        <f t="shared" si="143"/>
        <v>#DIV/0!</v>
      </c>
      <c r="DF98" s="48" t="e">
        <f t="shared" si="144"/>
        <v>#DIV/0!</v>
      </c>
      <c r="DG98" s="48" t="e">
        <f t="shared" si="145"/>
        <v>#DIV/0!</v>
      </c>
      <c r="DH98" s="48">
        <f>SUMIF(FCR!$BZ$4:$DB$500,DG98,FCR!$DE$4:$EG$500)</f>
        <v>0</v>
      </c>
      <c r="DI98" s="48" t="e">
        <f t="shared" si="146"/>
        <v>#DIV/0!</v>
      </c>
      <c r="DJ98" s="48">
        <f>SUMIF(FCR!$BZ$4:$DB$142,DI98,FCR!$DE$4:$EG$142)</f>
        <v>0</v>
      </c>
      <c r="DK98" s="48" t="e">
        <f t="shared" si="147"/>
        <v>#DIV/0!</v>
      </c>
      <c r="DL98" s="55" t="e">
        <f t="shared" si="148"/>
        <v>#DIV/0!</v>
      </c>
      <c r="DM98" s="48" t="e">
        <f t="shared" si="149"/>
        <v>#DIV/0!</v>
      </c>
      <c r="DN98" s="48">
        <f>SUMIF(FCR!$BZ$4:$DB$142,DM98,FCR!$DE$4:$EG$142)</f>
        <v>0</v>
      </c>
      <c r="DO98" s="53" t="e">
        <f t="shared" si="150"/>
        <v>#DIV/0!</v>
      </c>
      <c r="DP98" s="55" t="e">
        <f t="shared" si="151"/>
        <v>#DIV/0!</v>
      </c>
      <c r="DQ98" s="55" t="e">
        <f t="shared" si="152"/>
        <v>#DIV/0!</v>
      </c>
      <c r="DR98" s="55"/>
      <c r="DS98" s="55" t="e">
        <f t="shared" si="153"/>
        <v>#DIV/0!</v>
      </c>
      <c r="DT98" s="55" t="e">
        <f t="shared" si="154"/>
        <v>#DIV/0!</v>
      </c>
      <c r="DU98" s="53">
        <f t="shared" si="155"/>
        <v>0</v>
      </c>
      <c r="DV98" s="59" t="e">
        <f t="shared" si="156"/>
        <v>#DIV/0!</v>
      </c>
    </row>
    <row r="99" spans="30:126">
      <c r="AD99" s="49" t="s">
        <v>411</v>
      </c>
      <c r="AE99" s="49">
        <f t="shared" si="102"/>
        <v>0</v>
      </c>
      <c r="AF99" s="49">
        <f t="shared" si="103"/>
        <v>0</v>
      </c>
      <c r="AG99" s="114">
        <f t="shared" si="104"/>
        <v>0</v>
      </c>
      <c r="AH99" s="104">
        <f t="shared" si="105"/>
        <v>0</v>
      </c>
      <c r="AI99" s="104">
        <f t="shared" si="106"/>
        <v>0</v>
      </c>
      <c r="AJ99" s="104">
        <f t="shared" si="107"/>
        <v>0</v>
      </c>
      <c r="AK99" s="104">
        <f t="shared" si="108"/>
        <v>0</v>
      </c>
      <c r="AL99" s="104">
        <f t="shared" si="109"/>
        <v>0</v>
      </c>
      <c r="AM99" s="104">
        <f t="shared" si="110"/>
        <v>0</v>
      </c>
      <c r="AN99" s="104">
        <f t="shared" si="111"/>
        <v>0</v>
      </c>
      <c r="AO99" s="104">
        <f t="shared" si="112"/>
        <v>0</v>
      </c>
      <c r="AP99" s="104">
        <f t="shared" si="113"/>
        <v>0</v>
      </c>
      <c r="AQ99" s="49">
        <f t="shared" si="114"/>
        <v>0</v>
      </c>
      <c r="AR99" s="104">
        <f t="shared" si="115"/>
        <v>0</v>
      </c>
      <c r="AS99" s="104">
        <f t="shared" si="116"/>
        <v>0</v>
      </c>
      <c r="AT99" s="104">
        <f t="shared" si="117"/>
        <v>0</v>
      </c>
      <c r="AU99" s="104">
        <f t="shared" si="118"/>
        <v>0</v>
      </c>
      <c r="BF99" s="49">
        <f t="shared" si="119"/>
        <v>0</v>
      </c>
      <c r="BG99" s="49">
        <f t="shared" si="120"/>
        <v>0</v>
      </c>
      <c r="BH99" s="54" t="e">
        <f t="shared" si="121"/>
        <v>#DIV/0!</v>
      </c>
      <c r="BI99" s="112" t="e">
        <f t="shared" si="122"/>
        <v>#DIV/0!</v>
      </c>
      <c r="BK99" s="55" t="e">
        <f t="shared" si="123"/>
        <v>#DIV/0!</v>
      </c>
      <c r="BL99" s="55" t="e">
        <f t="shared" si="124"/>
        <v>#DIV/0!</v>
      </c>
      <c r="BM99" s="55" t="e">
        <f t="shared" si="125"/>
        <v>#DIV/0!</v>
      </c>
      <c r="BN99" s="53">
        <f t="shared" si="126"/>
        <v>0</v>
      </c>
      <c r="BO99" s="112" t="e">
        <f t="shared" si="127"/>
        <v>#DIV/0!</v>
      </c>
      <c r="BR99" s="53" t="e">
        <f t="shared" si="128"/>
        <v>#DIV/0!</v>
      </c>
      <c r="BS99" s="53">
        <f t="shared" si="129"/>
        <v>0</v>
      </c>
      <c r="BT99" s="53">
        <f t="shared" si="130"/>
        <v>0</v>
      </c>
      <c r="BU99" s="56" t="e">
        <f t="shared" si="131"/>
        <v>#DIV/0!</v>
      </c>
      <c r="BX99" s="60"/>
      <c r="BY99" s="60"/>
      <c r="BZ99" s="60"/>
      <c r="CA99" s="60"/>
      <c r="CB99" s="60"/>
      <c r="CC99" s="60"/>
      <c r="CD99" s="60"/>
      <c r="CE99" s="60"/>
      <c r="CF99" s="60"/>
      <c r="CG99" s="60"/>
      <c r="CH99" s="60"/>
      <c r="CI99" s="60"/>
      <c r="CJ99" s="60"/>
      <c r="CK99" s="60"/>
      <c r="CL99" s="60"/>
      <c r="CM99" s="60"/>
      <c r="CN99" s="60"/>
      <c r="CO99" s="60"/>
      <c r="CP99" s="60"/>
      <c r="CQ99" s="60"/>
      <c r="CR99" s="60"/>
      <c r="CS99" s="60"/>
      <c r="CT99" s="57">
        <f t="shared" si="132"/>
        <v>0</v>
      </c>
      <c r="CU99" s="57">
        <f t="shared" si="133"/>
        <v>0</v>
      </c>
      <c r="CV99" s="53">
        <f t="shared" si="134"/>
        <v>0</v>
      </c>
      <c r="CW99" s="53">
        <f t="shared" si="135"/>
        <v>0</v>
      </c>
      <c r="CX99" s="58" t="e">
        <f t="shared" si="136"/>
        <v>#DIV/0!</v>
      </c>
      <c r="CY99" s="53">
        <f t="shared" si="137"/>
        <v>0</v>
      </c>
      <c r="CZ99" s="53">
        <f t="shared" si="138"/>
        <v>0</v>
      </c>
      <c r="DA99" s="58" t="e">
        <f t="shared" si="139"/>
        <v>#DIV/0!</v>
      </c>
      <c r="DB99" s="48" t="e">
        <f t="shared" si="140"/>
        <v>#DIV/0!</v>
      </c>
      <c r="DC99" s="48" t="e">
        <f t="shared" si="141"/>
        <v>#DIV/0!</v>
      </c>
      <c r="DD99" s="48" t="e">
        <f t="shared" si="142"/>
        <v>#DIV/0!</v>
      </c>
      <c r="DE99" s="48" t="e">
        <f t="shared" si="143"/>
        <v>#DIV/0!</v>
      </c>
      <c r="DF99" s="48" t="e">
        <f t="shared" si="144"/>
        <v>#DIV/0!</v>
      </c>
      <c r="DG99" s="48" t="e">
        <f t="shared" si="145"/>
        <v>#DIV/0!</v>
      </c>
      <c r="DH99" s="48">
        <f>SUMIF(FCR!$BZ$4:$DB$500,DG99,FCR!$DE$4:$EG$500)</f>
        <v>0</v>
      </c>
      <c r="DI99" s="48" t="e">
        <f t="shared" si="146"/>
        <v>#DIV/0!</v>
      </c>
      <c r="DJ99" s="48">
        <f>SUMIF(FCR!$BZ$4:$DB$142,DI99,FCR!$DE$4:$EG$142)</f>
        <v>0</v>
      </c>
      <c r="DK99" s="48" t="e">
        <f t="shared" si="147"/>
        <v>#DIV/0!</v>
      </c>
      <c r="DL99" s="55" t="e">
        <f t="shared" si="148"/>
        <v>#DIV/0!</v>
      </c>
      <c r="DM99" s="48" t="e">
        <f t="shared" si="149"/>
        <v>#DIV/0!</v>
      </c>
      <c r="DN99" s="48">
        <f>SUMIF(FCR!$BZ$4:$DB$142,DM99,FCR!$DE$4:$EG$142)</f>
        <v>0</v>
      </c>
      <c r="DO99" s="53" t="e">
        <f t="shared" si="150"/>
        <v>#DIV/0!</v>
      </c>
      <c r="DP99" s="55" t="e">
        <f t="shared" si="151"/>
        <v>#DIV/0!</v>
      </c>
      <c r="DQ99" s="55" t="e">
        <f t="shared" si="152"/>
        <v>#DIV/0!</v>
      </c>
      <c r="DR99" s="55"/>
      <c r="DS99" s="55" t="e">
        <f t="shared" si="153"/>
        <v>#DIV/0!</v>
      </c>
      <c r="DT99" s="55" t="e">
        <f t="shared" si="154"/>
        <v>#DIV/0!</v>
      </c>
      <c r="DU99" s="53">
        <f t="shared" si="155"/>
        <v>0</v>
      </c>
      <c r="DV99" s="59" t="e">
        <f t="shared" si="156"/>
        <v>#DIV/0!</v>
      </c>
    </row>
    <row r="100" spans="30:126">
      <c r="AD100" s="49" t="s">
        <v>411</v>
      </c>
      <c r="AE100" s="49">
        <f t="shared" si="102"/>
        <v>0</v>
      </c>
      <c r="AF100" s="49">
        <f t="shared" si="103"/>
        <v>0</v>
      </c>
      <c r="AG100" s="114">
        <f t="shared" si="104"/>
        <v>0</v>
      </c>
      <c r="AH100" s="104">
        <f t="shared" si="105"/>
        <v>0</v>
      </c>
      <c r="AI100" s="104">
        <f t="shared" si="106"/>
        <v>0</v>
      </c>
      <c r="AJ100" s="104">
        <f t="shared" si="107"/>
        <v>0</v>
      </c>
      <c r="AK100" s="104">
        <f t="shared" si="108"/>
        <v>0</v>
      </c>
      <c r="AL100" s="104">
        <f t="shared" si="109"/>
        <v>0</v>
      </c>
      <c r="AM100" s="104">
        <f t="shared" si="110"/>
        <v>0</v>
      </c>
      <c r="AN100" s="104">
        <f t="shared" si="111"/>
        <v>0</v>
      </c>
      <c r="AO100" s="104">
        <f t="shared" si="112"/>
        <v>0</v>
      </c>
      <c r="AP100" s="104">
        <f t="shared" si="113"/>
        <v>0</v>
      </c>
      <c r="AQ100" s="49">
        <f t="shared" si="114"/>
        <v>0</v>
      </c>
      <c r="AR100" s="104">
        <f t="shared" si="115"/>
        <v>0</v>
      </c>
      <c r="AS100" s="104">
        <f t="shared" si="116"/>
        <v>0</v>
      </c>
      <c r="AT100" s="104">
        <f t="shared" si="117"/>
        <v>0</v>
      </c>
      <c r="AU100" s="104">
        <f t="shared" si="118"/>
        <v>0</v>
      </c>
      <c r="BF100" s="49">
        <f t="shared" si="119"/>
        <v>0</v>
      </c>
      <c r="BG100" s="49">
        <f t="shared" si="120"/>
        <v>0</v>
      </c>
      <c r="BH100" s="54" t="e">
        <f t="shared" si="121"/>
        <v>#DIV/0!</v>
      </c>
      <c r="BI100" s="112" t="e">
        <f t="shared" si="122"/>
        <v>#DIV/0!</v>
      </c>
      <c r="BK100" s="55" t="e">
        <f t="shared" si="123"/>
        <v>#DIV/0!</v>
      </c>
      <c r="BL100" s="55" t="e">
        <f t="shared" si="124"/>
        <v>#DIV/0!</v>
      </c>
      <c r="BM100" s="55" t="e">
        <f t="shared" si="125"/>
        <v>#DIV/0!</v>
      </c>
      <c r="BN100" s="53">
        <f t="shared" si="126"/>
        <v>0</v>
      </c>
      <c r="BO100" s="112" t="e">
        <f t="shared" si="127"/>
        <v>#DIV/0!</v>
      </c>
      <c r="BR100" s="53" t="e">
        <f t="shared" si="128"/>
        <v>#DIV/0!</v>
      </c>
      <c r="BS100" s="53">
        <f t="shared" si="129"/>
        <v>0</v>
      </c>
      <c r="BT100" s="53">
        <f t="shared" si="130"/>
        <v>0</v>
      </c>
      <c r="BU100" s="56" t="e">
        <f t="shared" si="131"/>
        <v>#DIV/0!</v>
      </c>
      <c r="BX100" s="60"/>
      <c r="BY100" s="60"/>
      <c r="BZ100" s="60"/>
      <c r="CA100" s="60"/>
      <c r="CB100" s="60"/>
      <c r="CC100" s="60"/>
      <c r="CD100" s="60"/>
      <c r="CE100" s="60"/>
      <c r="CF100" s="60"/>
      <c r="CG100" s="60"/>
      <c r="CH100" s="60"/>
      <c r="CI100" s="60"/>
      <c r="CJ100" s="60"/>
      <c r="CK100" s="60"/>
      <c r="CL100" s="60"/>
      <c r="CM100" s="60"/>
      <c r="CN100" s="60"/>
      <c r="CO100" s="60"/>
      <c r="CP100" s="60"/>
      <c r="CQ100" s="60"/>
      <c r="CR100" s="60"/>
      <c r="CS100" s="60"/>
      <c r="CT100" s="57">
        <f t="shared" si="132"/>
        <v>0</v>
      </c>
      <c r="CU100" s="57">
        <f t="shared" si="133"/>
        <v>0</v>
      </c>
      <c r="CV100" s="53">
        <f t="shared" si="134"/>
        <v>0</v>
      </c>
      <c r="CW100" s="53">
        <f t="shared" si="135"/>
        <v>0</v>
      </c>
      <c r="CX100" s="58" t="e">
        <f t="shared" si="136"/>
        <v>#DIV/0!</v>
      </c>
      <c r="CY100" s="53">
        <f t="shared" si="137"/>
        <v>0</v>
      </c>
      <c r="CZ100" s="53">
        <f t="shared" si="138"/>
        <v>0</v>
      </c>
      <c r="DA100" s="58" t="e">
        <f t="shared" si="139"/>
        <v>#DIV/0!</v>
      </c>
      <c r="DB100" s="48" t="e">
        <f t="shared" si="140"/>
        <v>#DIV/0!</v>
      </c>
      <c r="DC100" s="48" t="e">
        <f t="shared" si="141"/>
        <v>#DIV/0!</v>
      </c>
      <c r="DD100" s="48" t="e">
        <f t="shared" si="142"/>
        <v>#DIV/0!</v>
      </c>
      <c r="DE100" s="48" t="e">
        <f t="shared" si="143"/>
        <v>#DIV/0!</v>
      </c>
      <c r="DF100" s="48" t="e">
        <f t="shared" si="144"/>
        <v>#DIV/0!</v>
      </c>
      <c r="DG100" s="48" t="e">
        <f t="shared" si="145"/>
        <v>#DIV/0!</v>
      </c>
      <c r="DH100" s="48">
        <f>SUMIF(FCR!$BZ$4:$DB$500,DG100,FCR!$DE$4:$EG$500)</f>
        <v>0</v>
      </c>
      <c r="DI100" s="48" t="e">
        <f t="shared" si="146"/>
        <v>#DIV/0!</v>
      </c>
      <c r="DJ100" s="48">
        <f>SUMIF(FCR!$BZ$4:$DB$142,DI100,FCR!$DE$4:$EG$142)</f>
        <v>0</v>
      </c>
      <c r="DK100" s="48" t="e">
        <f t="shared" si="147"/>
        <v>#DIV/0!</v>
      </c>
      <c r="DL100" s="55" t="e">
        <f t="shared" si="148"/>
        <v>#DIV/0!</v>
      </c>
      <c r="DM100" s="48" t="e">
        <f t="shared" si="149"/>
        <v>#DIV/0!</v>
      </c>
      <c r="DN100" s="48">
        <f>SUMIF(FCR!$BZ$4:$DB$142,DM100,FCR!$DE$4:$EG$142)</f>
        <v>0</v>
      </c>
      <c r="DO100" s="53" t="e">
        <f t="shared" si="150"/>
        <v>#DIV/0!</v>
      </c>
      <c r="DP100" s="55" t="e">
        <f t="shared" si="151"/>
        <v>#DIV/0!</v>
      </c>
      <c r="DQ100" s="55" t="e">
        <f t="shared" si="152"/>
        <v>#DIV/0!</v>
      </c>
      <c r="DR100" s="55"/>
      <c r="DS100" s="55" t="e">
        <f t="shared" si="153"/>
        <v>#DIV/0!</v>
      </c>
      <c r="DT100" s="55" t="e">
        <f t="shared" si="154"/>
        <v>#DIV/0!</v>
      </c>
      <c r="DU100" s="53">
        <f t="shared" si="155"/>
        <v>0</v>
      </c>
      <c r="DV100" s="59" t="e">
        <f t="shared" si="156"/>
        <v>#DIV/0!</v>
      </c>
    </row>
    <row r="101" spans="30:126">
      <c r="AD101" s="49" t="s">
        <v>411</v>
      </c>
      <c r="AE101" s="49">
        <f t="shared" si="102"/>
        <v>0</v>
      </c>
      <c r="AF101" s="49">
        <f t="shared" si="103"/>
        <v>0</v>
      </c>
      <c r="AG101" s="114">
        <f t="shared" si="104"/>
        <v>0</v>
      </c>
      <c r="AH101" s="104">
        <f t="shared" si="105"/>
        <v>0</v>
      </c>
      <c r="AI101" s="104">
        <f t="shared" si="106"/>
        <v>0</v>
      </c>
      <c r="AJ101" s="104">
        <f t="shared" si="107"/>
        <v>0</v>
      </c>
      <c r="AK101" s="104">
        <f t="shared" si="108"/>
        <v>0</v>
      </c>
      <c r="AL101" s="104">
        <f t="shared" si="109"/>
        <v>0</v>
      </c>
      <c r="AM101" s="104">
        <f t="shared" si="110"/>
        <v>0</v>
      </c>
      <c r="AN101" s="104">
        <f t="shared" si="111"/>
        <v>0</v>
      </c>
      <c r="AO101" s="104">
        <f t="shared" si="112"/>
        <v>0</v>
      </c>
      <c r="AP101" s="104">
        <f t="shared" si="113"/>
        <v>0</v>
      </c>
      <c r="AQ101" s="49">
        <f t="shared" si="114"/>
        <v>0</v>
      </c>
      <c r="AR101" s="104">
        <f t="shared" si="115"/>
        <v>0</v>
      </c>
      <c r="AS101" s="104">
        <f t="shared" si="116"/>
        <v>0</v>
      </c>
      <c r="AT101" s="104">
        <f t="shared" si="117"/>
        <v>0</v>
      </c>
      <c r="AU101" s="104">
        <f t="shared" si="118"/>
        <v>0</v>
      </c>
      <c r="BF101" s="49">
        <f t="shared" si="119"/>
        <v>0</v>
      </c>
      <c r="BG101" s="49">
        <f t="shared" si="120"/>
        <v>0</v>
      </c>
      <c r="BH101" s="54" t="e">
        <f t="shared" si="121"/>
        <v>#DIV/0!</v>
      </c>
      <c r="BI101" s="112" t="e">
        <f t="shared" si="122"/>
        <v>#DIV/0!</v>
      </c>
      <c r="BK101" s="55" t="e">
        <f t="shared" si="123"/>
        <v>#DIV/0!</v>
      </c>
      <c r="BL101" s="55" t="e">
        <f t="shared" si="124"/>
        <v>#DIV/0!</v>
      </c>
      <c r="BM101" s="55" t="e">
        <f t="shared" si="125"/>
        <v>#DIV/0!</v>
      </c>
      <c r="BN101" s="53">
        <f t="shared" si="126"/>
        <v>0</v>
      </c>
      <c r="BO101" s="112" t="e">
        <f t="shared" si="127"/>
        <v>#DIV/0!</v>
      </c>
      <c r="BR101" s="53" t="e">
        <f t="shared" si="128"/>
        <v>#DIV/0!</v>
      </c>
      <c r="BS101" s="53">
        <f t="shared" si="129"/>
        <v>0</v>
      </c>
      <c r="BT101" s="53">
        <f t="shared" si="130"/>
        <v>0</v>
      </c>
      <c r="BU101" s="56" t="e">
        <f t="shared" si="131"/>
        <v>#DIV/0!</v>
      </c>
      <c r="BX101" s="60"/>
      <c r="BY101" s="60"/>
      <c r="BZ101" s="60"/>
      <c r="CA101" s="60"/>
      <c r="CB101" s="60"/>
      <c r="CC101" s="60"/>
      <c r="CD101" s="60"/>
      <c r="CE101" s="60"/>
      <c r="CF101" s="60"/>
      <c r="CG101" s="60"/>
      <c r="CH101" s="60"/>
      <c r="CI101" s="60"/>
      <c r="CJ101" s="60"/>
      <c r="CK101" s="60"/>
      <c r="CL101" s="60"/>
      <c r="CM101" s="60"/>
      <c r="CN101" s="60"/>
      <c r="CO101" s="60"/>
      <c r="CP101" s="60"/>
      <c r="CQ101" s="60"/>
      <c r="CR101" s="60"/>
      <c r="CS101" s="60"/>
      <c r="CT101" s="57">
        <f t="shared" si="132"/>
        <v>0</v>
      </c>
      <c r="CU101" s="57">
        <f t="shared" si="133"/>
        <v>0</v>
      </c>
      <c r="CV101" s="53">
        <f t="shared" si="134"/>
        <v>0</v>
      </c>
      <c r="CW101" s="53">
        <f t="shared" si="135"/>
        <v>0</v>
      </c>
      <c r="CX101" s="58" t="e">
        <f t="shared" si="136"/>
        <v>#DIV/0!</v>
      </c>
      <c r="CY101" s="53">
        <f t="shared" si="137"/>
        <v>0</v>
      </c>
      <c r="CZ101" s="53">
        <f t="shared" si="138"/>
        <v>0</v>
      </c>
      <c r="DA101" s="58" t="e">
        <f t="shared" si="139"/>
        <v>#DIV/0!</v>
      </c>
      <c r="DB101" s="48" t="e">
        <f t="shared" si="140"/>
        <v>#DIV/0!</v>
      </c>
      <c r="DC101" s="48" t="e">
        <f t="shared" si="141"/>
        <v>#DIV/0!</v>
      </c>
      <c r="DD101" s="48" t="e">
        <f t="shared" si="142"/>
        <v>#DIV/0!</v>
      </c>
      <c r="DE101" s="48" t="e">
        <f t="shared" si="143"/>
        <v>#DIV/0!</v>
      </c>
      <c r="DF101" s="48" t="e">
        <f t="shared" si="144"/>
        <v>#DIV/0!</v>
      </c>
      <c r="DG101" s="48" t="e">
        <f t="shared" si="145"/>
        <v>#DIV/0!</v>
      </c>
      <c r="DH101" s="48">
        <f>SUMIF(FCR!$BZ$4:$DB$500,DG101,FCR!$DE$4:$EG$500)</f>
        <v>0</v>
      </c>
      <c r="DI101" s="48" t="e">
        <f t="shared" si="146"/>
        <v>#DIV/0!</v>
      </c>
      <c r="DJ101" s="48">
        <f>SUMIF(FCR!$BZ$4:$DB$142,DI101,FCR!$DE$4:$EG$142)</f>
        <v>0</v>
      </c>
      <c r="DK101" s="48" t="e">
        <f t="shared" si="147"/>
        <v>#DIV/0!</v>
      </c>
      <c r="DL101" s="55" t="e">
        <f t="shared" si="148"/>
        <v>#DIV/0!</v>
      </c>
      <c r="DM101" s="48" t="e">
        <f t="shared" si="149"/>
        <v>#DIV/0!</v>
      </c>
      <c r="DN101" s="48">
        <f>SUMIF(FCR!$BZ$4:$DB$142,DM101,FCR!$DE$4:$EG$142)</f>
        <v>0</v>
      </c>
      <c r="DO101" s="53" t="e">
        <f t="shared" si="150"/>
        <v>#DIV/0!</v>
      </c>
      <c r="DP101" s="55" t="e">
        <f t="shared" si="151"/>
        <v>#DIV/0!</v>
      </c>
      <c r="DQ101" s="55" t="e">
        <f t="shared" si="152"/>
        <v>#DIV/0!</v>
      </c>
      <c r="DR101" s="55"/>
      <c r="DS101" s="55" t="e">
        <f t="shared" si="153"/>
        <v>#DIV/0!</v>
      </c>
      <c r="DT101" s="55" t="e">
        <f t="shared" si="154"/>
        <v>#DIV/0!</v>
      </c>
      <c r="DU101" s="53">
        <f t="shared" si="155"/>
        <v>0</v>
      </c>
      <c r="DV101" s="59" t="e">
        <f t="shared" si="156"/>
        <v>#DIV/0!</v>
      </c>
    </row>
    <row r="102" spans="30:126">
      <c r="AD102" s="49" t="s">
        <v>411</v>
      </c>
      <c r="AE102" s="49">
        <f t="shared" si="102"/>
        <v>0</v>
      </c>
      <c r="AF102" s="49">
        <f t="shared" si="103"/>
        <v>0</v>
      </c>
      <c r="AG102" s="114">
        <f t="shared" si="104"/>
        <v>0</v>
      </c>
      <c r="AH102" s="104">
        <f t="shared" si="105"/>
        <v>0</v>
      </c>
      <c r="AI102" s="104">
        <f t="shared" si="106"/>
        <v>0</v>
      </c>
      <c r="AJ102" s="104">
        <f t="shared" si="107"/>
        <v>0</v>
      </c>
      <c r="AK102" s="104">
        <f t="shared" si="108"/>
        <v>0</v>
      </c>
      <c r="AL102" s="104">
        <f t="shared" si="109"/>
        <v>0</v>
      </c>
      <c r="AM102" s="104">
        <f t="shared" si="110"/>
        <v>0</v>
      </c>
      <c r="AN102" s="104">
        <f t="shared" si="111"/>
        <v>0</v>
      </c>
      <c r="AO102" s="104">
        <f t="shared" si="112"/>
        <v>0</v>
      </c>
      <c r="AP102" s="104">
        <f t="shared" si="113"/>
        <v>0</v>
      </c>
      <c r="AQ102" s="49">
        <f t="shared" si="114"/>
        <v>0</v>
      </c>
      <c r="AR102" s="104">
        <f t="shared" si="115"/>
        <v>0</v>
      </c>
      <c r="AS102" s="104">
        <f t="shared" si="116"/>
        <v>0</v>
      </c>
      <c r="AT102" s="104">
        <f t="shared" si="117"/>
        <v>0</v>
      </c>
      <c r="AU102" s="104">
        <f t="shared" si="118"/>
        <v>0</v>
      </c>
      <c r="BF102" s="49">
        <f t="shared" si="119"/>
        <v>0</v>
      </c>
      <c r="BG102" s="49">
        <f t="shared" si="120"/>
        <v>0</v>
      </c>
      <c r="BH102" s="54" t="e">
        <f t="shared" si="121"/>
        <v>#DIV/0!</v>
      </c>
      <c r="BI102" s="112" t="e">
        <f t="shared" si="122"/>
        <v>#DIV/0!</v>
      </c>
      <c r="BK102" s="55" t="e">
        <f t="shared" si="123"/>
        <v>#DIV/0!</v>
      </c>
      <c r="BL102" s="55" t="e">
        <f t="shared" si="124"/>
        <v>#DIV/0!</v>
      </c>
      <c r="BM102" s="55" t="e">
        <f t="shared" si="125"/>
        <v>#DIV/0!</v>
      </c>
      <c r="BN102" s="53">
        <f t="shared" si="126"/>
        <v>0</v>
      </c>
      <c r="BO102" s="112" t="e">
        <f t="shared" si="127"/>
        <v>#DIV/0!</v>
      </c>
      <c r="BR102" s="53" t="e">
        <f t="shared" si="128"/>
        <v>#DIV/0!</v>
      </c>
      <c r="BS102" s="53">
        <f t="shared" si="129"/>
        <v>0</v>
      </c>
      <c r="BT102" s="53">
        <f t="shared" si="130"/>
        <v>0</v>
      </c>
      <c r="BU102" s="56" t="e">
        <f t="shared" si="131"/>
        <v>#DIV/0!</v>
      </c>
      <c r="BX102" s="60"/>
      <c r="BY102" s="60"/>
      <c r="BZ102" s="60"/>
      <c r="CA102" s="60"/>
      <c r="CB102" s="60"/>
      <c r="CC102" s="60"/>
      <c r="CD102" s="60"/>
      <c r="CE102" s="60"/>
      <c r="CF102" s="60"/>
      <c r="CG102" s="60"/>
      <c r="CH102" s="60"/>
      <c r="CI102" s="60"/>
      <c r="CJ102" s="60"/>
      <c r="CK102" s="60"/>
      <c r="CL102" s="60"/>
      <c r="CM102" s="60"/>
      <c r="CN102" s="60"/>
      <c r="CO102" s="60"/>
      <c r="CP102" s="60"/>
      <c r="CQ102" s="60"/>
      <c r="CR102" s="60"/>
      <c r="CS102" s="60"/>
      <c r="CT102" s="57">
        <f t="shared" si="132"/>
        <v>0</v>
      </c>
      <c r="CU102" s="57">
        <f t="shared" si="133"/>
        <v>0</v>
      </c>
      <c r="CV102" s="53">
        <f t="shared" si="134"/>
        <v>0</v>
      </c>
      <c r="CW102" s="53">
        <f t="shared" si="135"/>
        <v>0</v>
      </c>
      <c r="CX102" s="58" t="e">
        <f t="shared" si="136"/>
        <v>#DIV/0!</v>
      </c>
      <c r="CY102" s="53">
        <f t="shared" si="137"/>
        <v>0</v>
      </c>
      <c r="CZ102" s="53">
        <f t="shared" si="138"/>
        <v>0</v>
      </c>
      <c r="DA102" s="58" t="e">
        <f t="shared" si="139"/>
        <v>#DIV/0!</v>
      </c>
      <c r="DB102" s="48" t="e">
        <f t="shared" si="140"/>
        <v>#DIV/0!</v>
      </c>
      <c r="DC102" s="48" t="e">
        <f t="shared" si="141"/>
        <v>#DIV/0!</v>
      </c>
      <c r="DD102" s="48" t="e">
        <f t="shared" si="142"/>
        <v>#DIV/0!</v>
      </c>
      <c r="DE102" s="48" t="e">
        <f t="shared" si="143"/>
        <v>#DIV/0!</v>
      </c>
      <c r="DF102" s="48" t="e">
        <f t="shared" si="144"/>
        <v>#DIV/0!</v>
      </c>
      <c r="DG102" s="48" t="e">
        <f t="shared" si="145"/>
        <v>#DIV/0!</v>
      </c>
      <c r="DH102" s="48">
        <f>SUMIF(FCR!$BZ$4:$DB$500,DG102,FCR!$DE$4:$EG$500)</f>
        <v>0</v>
      </c>
      <c r="DI102" s="48" t="e">
        <f t="shared" si="146"/>
        <v>#DIV/0!</v>
      </c>
      <c r="DJ102" s="48">
        <f>SUMIF(FCR!$BZ$4:$DB$142,DI102,FCR!$DE$4:$EG$142)</f>
        <v>0</v>
      </c>
      <c r="DK102" s="48" t="e">
        <f t="shared" si="147"/>
        <v>#DIV/0!</v>
      </c>
      <c r="DL102" s="55" t="e">
        <f t="shared" si="148"/>
        <v>#DIV/0!</v>
      </c>
      <c r="DM102" s="48" t="e">
        <f t="shared" si="149"/>
        <v>#DIV/0!</v>
      </c>
      <c r="DN102" s="48">
        <f>SUMIF(FCR!$BZ$4:$DB$142,DM102,FCR!$DE$4:$EG$142)</f>
        <v>0</v>
      </c>
      <c r="DO102" s="53" t="e">
        <f t="shared" si="150"/>
        <v>#DIV/0!</v>
      </c>
      <c r="DP102" s="55" t="e">
        <f t="shared" si="151"/>
        <v>#DIV/0!</v>
      </c>
      <c r="DQ102" s="55" t="e">
        <f t="shared" si="152"/>
        <v>#DIV/0!</v>
      </c>
      <c r="DR102" s="55"/>
      <c r="DS102" s="55" t="e">
        <f t="shared" si="153"/>
        <v>#DIV/0!</v>
      </c>
      <c r="DT102" s="55" t="e">
        <f t="shared" si="154"/>
        <v>#DIV/0!</v>
      </c>
      <c r="DU102" s="53">
        <f t="shared" si="155"/>
        <v>0</v>
      </c>
      <c r="DV102" s="59" t="e">
        <f t="shared" si="156"/>
        <v>#DIV/0!</v>
      </c>
    </row>
    <row r="103" spans="30:126">
      <c r="AD103" s="49" t="s">
        <v>411</v>
      </c>
      <c r="AE103" s="49">
        <f t="shared" si="102"/>
        <v>0</v>
      </c>
      <c r="AF103" s="49">
        <f t="shared" si="103"/>
        <v>0</v>
      </c>
      <c r="AG103" s="114">
        <f t="shared" si="104"/>
        <v>0</v>
      </c>
      <c r="AH103" s="104">
        <f t="shared" si="105"/>
        <v>0</v>
      </c>
      <c r="AI103" s="104">
        <f t="shared" si="106"/>
        <v>0</v>
      </c>
      <c r="AJ103" s="104">
        <f t="shared" si="107"/>
        <v>0</v>
      </c>
      <c r="AK103" s="104">
        <f t="shared" si="108"/>
        <v>0</v>
      </c>
      <c r="AL103" s="104">
        <f t="shared" si="109"/>
        <v>0</v>
      </c>
      <c r="AM103" s="104">
        <f t="shared" si="110"/>
        <v>0</v>
      </c>
      <c r="AN103" s="104">
        <f t="shared" si="111"/>
        <v>0</v>
      </c>
      <c r="AO103" s="104">
        <f t="shared" si="112"/>
        <v>0</v>
      </c>
      <c r="AP103" s="104">
        <f t="shared" si="113"/>
        <v>0</v>
      </c>
      <c r="AQ103" s="49">
        <f t="shared" si="114"/>
        <v>0</v>
      </c>
      <c r="AR103" s="104">
        <f t="shared" si="115"/>
        <v>0</v>
      </c>
      <c r="AS103" s="104">
        <f t="shared" si="116"/>
        <v>0</v>
      </c>
      <c r="AT103" s="104">
        <f t="shared" si="117"/>
        <v>0</v>
      </c>
      <c r="AU103" s="104">
        <f t="shared" si="118"/>
        <v>0</v>
      </c>
      <c r="BF103" s="49">
        <f t="shared" si="119"/>
        <v>0</v>
      </c>
      <c r="BG103" s="49">
        <f t="shared" si="120"/>
        <v>0</v>
      </c>
      <c r="BH103" s="54" t="e">
        <f t="shared" si="121"/>
        <v>#DIV/0!</v>
      </c>
      <c r="BI103" s="112" t="e">
        <f t="shared" si="122"/>
        <v>#DIV/0!</v>
      </c>
      <c r="BK103" s="55" t="e">
        <f t="shared" si="123"/>
        <v>#DIV/0!</v>
      </c>
      <c r="BL103" s="55" t="e">
        <f t="shared" si="124"/>
        <v>#DIV/0!</v>
      </c>
      <c r="BM103" s="55" t="e">
        <f t="shared" si="125"/>
        <v>#DIV/0!</v>
      </c>
      <c r="BN103" s="53">
        <f t="shared" si="126"/>
        <v>0</v>
      </c>
      <c r="BO103" s="112" t="e">
        <f t="shared" si="127"/>
        <v>#DIV/0!</v>
      </c>
      <c r="BR103" s="53" t="e">
        <f t="shared" si="128"/>
        <v>#DIV/0!</v>
      </c>
      <c r="BS103" s="53">
        <f t="shared" si="129"/>
        <v>0</v>
      </c>
      <c r="BT103" s="53">
        <f t="shared" si="130"/>
        <v>0</v>
      </c>
      <c r="BU103" s="56" t="e">
        <f t="shared" si="131"/>
        <v>#DIV/0!</v>
      </c>
      <c r="BX103" s="60"/>
      <c r="BY103" s="60"/>
      <c r="BZ103" s="60"/>
      <c r="CA103" s="60"/>
      <c r="CB103" s="60"/>
      <c r="CC103" s="60"/>
      <c r="CD103" s="60"/>
      <c r="CE103" s="60"/>
      <c r="CF103" s="60"/>
      <c r="CG103" s="60"/>
      <c r="CH103" s="60"/>
      <c r="CI103" s="60"/>
      <c r="CJ103" s="60"/>
      <c r="CK103" s="60"/>
      <c r="CL103" s="60"/>
      <c r="CM103" s="60"/>
      <c r="CN103" s="60"/>
      <c r="CO103" s="60"/>
      <c r="CP103" s="60"/>
      <c r="CQ103" s="60"/>
      <c r="CR103" s="60"/>
      <c r="CS103" s="60"/>
      <c r="CT103" s="57">
        <f t="shared" si="132"/>
        <v>0</v>
      </c>
      <c r="CU103" s="57">
        <f t="shared" si="133"/>
        <v>0</v>
      </c>
      <c r="CV103" s="53">
        <f t="shared" si="134"/>
        <v>0</v>
      </c>
      <c r="CW103" s="53">
        <f t="shared" si="135"/>
        <v>0</v>
      </c>
      <c r="CX103" s="58" t="e">
        <f t="shared" si="136"/>
        <v>#DIV/0!</v>
      </c>
      <c r="CY103" s="53">
        <f t="shared" si="137"/>
        <v>0</v>
      </c>
      <c r="CZ103" s="53">
        <f t="shared" si="138"/>
        <v>0</v>
      </c>
      <c r="DA103" s="58" t="e">
        <f t="shared" si="139"/>
        <v>#DIV/0!</v>
      </c>
      <c r="DB103" s="48" t="e">
        <f t="shared" si="140"/>
        <v>#DIV/0!</v>
      </c>
      <c r="DC103" s="48" t="e">
        <f t="shared" si="141"/>
        <v>#DIV/0!</v>
      </c>
      <c r="DD103" s="48" t="e">
        <f t="shared" si="142"/>
        <v>#DIV/0!</v>
      </c>
      <c r="DE103" s="48" t="e">
        <f t="shared" si="143"/>
        <v>#DIV/0!</v>
      </c>
      <c r="DF103" s="48" t="e">
        <f t="shared" si="144"/>
        <v>#DIV/0!</v>
      </c>
      <c r="DG103" s="48" t="e">
        <f t="shared" si="145"/>
        <v>#DIV/0!</v>
      </c>
      <c r="DH103" s="48">
        <f>SUMIF(FCR!$BZ$4:$DB$500,DG103,FCR!$DE$4:$EG$500)</f>
        <v>0</v>
      </c>
      <c r="DI103" s="48" t="e">
        <f t="shared" si="146"/>
        <v>#DIV/0!</v>
      </c>
      <c r="DJ103" s="48">
        <f>SUMIF(FCR!$BZ$4:$DB$142,DI103,FCR!$DE$4:$EG$142)</f>
        <v>0</v>
      </c>
      <c r="DK103" s="48" t="e">
        <f t="shared" si="147"/>
        <v>#DIV/0!</v>
      </c>
      <c r="DL103" s="55" t="e">
        <f t="shared" si="148"/>
        <v>#DIV/0!</v>
      </c>
      <c r="DM103" s="48" t="e">
        <f t="shared" si="149"/>
        <v>#DIV/0!</v>
      </c>
      <c r="DN103" s="48">
        <f>SUMIF(FCR!$BZ$4:$DB$142,DM103,FCR!$DE$4:$EG$142)</f>
        <v>0</v>
      </c>
      <c r="DO103" s="53" t="e">
        <f t="shared" si="150"/>
        <v>#DIV/0!</v>
      </c>
      <c r="DP103" s="55" t="e">
        <f t="shared" si="151"/>
        <v>#DIV/0!</v>
      </c>
      <c r="DQ103" s="55" t="e">
        <f t="shared" si="152"/>
        <v>#DIV/0!</v>
      </c>
      <c r="DR103" s="55"/>
      <c r="DS103" s="55" t="e">
        <f t="shared" si="153"/>
        <v>#DIV/0!</v>
      </c>
      <c r="DT103" s="55" t="e">
        <f t="shared" si="154"/>
        <v>#DIV/0!</v>
      </c>
      <c r="DU103" s="53">
        <f t="shared" si="155"/>
        <v>0</v>
      </c>
      <c r="DV103" s="59" t="e">
        <f t="shared" si="156"/>
        <v>#DIV/0!</v>
      </c>
    </row>
    <row r="104" spans="30:126">
      <c r="AD104" s="49" t="s">
        <v>411</v>
      </c>
      <c r="AE104" s="49">
        <f t="shared" si="102"/>
        <v>0</v>
      </c>
      <c r="AF104" s="49">
        <f t="shared" si="103"/>
        <v>0</v>
      </c>
      <c r="AG104" s="114">
        <f t="shared" si="104"/>
        <v>0</v>
      </c>
      <c r="AH104" s="104">
        <f t="shared" si="105"/>
        <v>0</v>
      </c>
      <c r="AI104" s="104">
        <f t="shared" si="106"/>
        <v>0</v>
      </c>
      <c r="AJ104" s="104">
        <f t="shared" si="107"/>
        <v>0</v>
      </c>
      <c r="AK104" s="104">
        <f t="shared" si="108"/>
        <v>0</v>
      </c>
      <c r="AL104" s="104">
        <f t="shared" si="109"/>
        <v>0</v>
      </c>
      <c r="AM104" s="104">
        <f t="shared" si="110"/>
        <v>0</v>
      </c>
      <c r="AN104" s="104">
        <f t="shared" si="111"/>
        <v>0</v>
      </c>
      <c r="AO104" s="104">
        <f t="shared" si="112"/>
        <v>0</v>
      </c>
      <c r="AP104" s="104">
        <f t="shared" si="113"/>
        <v>0</v>
      </c>
      <c r="AQ104" s="49">
        <f t="shared" si="114"/>
        <v>0</v>
      </c>
      <c r="AR104" s="104">
        <f t="shared" si="115"/>
        <v>0</v>
      </c>
      <c r="AS104" s="104">
        <f t="shared" si="116"/>
        <v>0</v>
      </c>
      <c r="AT104" s="104">
        <f t="shared" si="117"/>
        <v>0</v>
      </c>
      <c r="AU104" s="104">
        <f t="shared" si="118"/>
        <v>0</v>
      </c>
      <c r="BF104" s="49">
        <f t="shared" si="119"/>
        <v>0</v>
      </c>
      <c r="BG104" s="49">
        <f t="shared" si="120"/>
        <v>0</v>
      </c>
      <c r="BH104" s="54" t="e">
        <f t="shared" si="121"/>
        <v>#DIV/0!</v>
      </c>
      <c r="BI104" s="112" t="e">
        <f t="shared" si="122"/>
        <v>#DIV/0!</v>
      </c>
      <c r="BK104" s="55" t="e">
        <f t="shared" si="123"/>
        <v>#DIV/0!</v>
      </c>
      <c r="BL104" s="55" t="e">
        <f t="shared" si="124"/>
        <v>#DIV/0!</v>
      </c>
      <c r="BM104" s="55" t="e">
        <f t="shared" si="125"/>
        <v>#DIV/0!</v>
      </c>
      <c r="BN104" s="53">
        <f t="shared" si="126"/>
        <v>0</v>
      </c>
      <c r="BO104" s="112" t="e">
        <f t="shared" si="127"/>
        <v>#DIV/0!</v>
      </c>
      <c r="BR104" s="53" t="e">
        <f t="shared" si="128"/>
        <v>#DIV/0!</v>
      </c>
      <c r="BS104" s="53">
        <f t="shared" si="129"/>
        <v>0</v>
      </c>
      <c r="BT104" s="53">
        <f t="shared" si="130"/>
        <v>0</v>
      </c>
      <c r="BU104" s="56" t="e">
        <f t="shared" si="131"/>
        <v>#DIV/0!</v>
      </c>
      <c r="BX104" s="60"/>
      <c r="BY104" s="60"/>
      <c r="BZ104" s="60"/>
      <c r="CA104" s="60"/>
      <c r="CB104" s="60"/>
      <c r="CC104" s="60"/>
      <c r="CD104" s="60"/>
      <c r="CE104" s="60"/>
      <c r="CF104" s="60"/>
      <c r="CG104" s="60"/>
      <c r="CH104" s="60"/>
      <c r="CI104" s="60"/>
      <c r="CJ104" s="60"/>
      <c r="CK104" s="60"/>
      <c r="CL104" s="60"/>
      <c r="CM104" s="60"/>
      <c r="CN104" s="60"/>
      <c r="CO104" s="60"/>
      <c r="CP104" s="60"/>
      <c r="CQ104" s="60"/>
      <c r="CR104" s="60"/>
      <c r="CS104" s="60"/>
      <c r="CT104" s="57">
        <f t="shared" si="132"/>
        <v>0</v>
      </c>
      <c r="CU104" s="57">
        <f t="shared" si="133"/>
        <v>0</v>
      </c>
      <c r="CV104" s="53">
        <f t="shared" si="134"/>
        <v>0</v>
      </c>
      <c r="CW104" s="53">
        <f t="shared" si="135"/>
        <v>0</v>
      </c>
      <c r="CX104" s="58" t="e">
        <f t="shared" si="136"/>
        <v>#DIV/0!</v>
      </c>
      <c r="CY104" s="53">
        <f t="shared" si="137"/>
        <v>0</v>
      </c>
      <c r="CZ104" s="53">
        <f t="shared" si="138"/>
        <v>0</v>
      </c>
      <c r="DA104" s="58" t="e">
        <f t="shared" si="139"/>
        <v>#DIV/0!</v>
      </c>
      <c r="DB104" s="48" t="e">
        <f t="shared" si="140"/>
        <v>#DIV/0!</v>
      </c>
      <c r="DC104" s="48" t="e">
        <f t="shared" si="141"/>
        <v>#DIV/0!</v>
      </c>
      <c r="DD104" s="48" t="e">
        <f t="shared" si="142"/>
        <v>#DIV/0!</v>
      </c>
      <c r="DE104" s="48" t="e">
        <f t="shared" si="143"/>
        <v>#DIV/0!</v>
      </c>
      <c r="DF104" s="48" t="e">
        <f t="shared" si="144"/>
        <v>#DIV/0!</v>
      </c>
      <c r="DG104" s="48" t="e">
        <f t="shared" si="145"/>
        <v>#DIV/0!</v>
      </c>
      <c r="DH104" s="48">
        <f>SUMIF(FCR!$BZ$4:$DB$500,DG104,FCR!$DE$4:$EG$500)</f>
        <v>0</v>
      </c>
      <c r="DI104" s="48" t="e">
        <f t="shared" si="146"/>
        <v>#DIV/0!</v>
      </c>
      <c r="DJ104" s="48">
        <f>SUMIF(FCR!$BZ$4:$DB$142,DI104,FCR!$DE$4:$EG$142)</f>
        <v>0</v>
      </c>
      <c r="DK104" s="48" t="e">
        <f t="shared" si="147"/>
        <v>#DIV/0!</v>
      </c>
      <c r="DL104" s="55" t="e">
        <f t="shared" si="148"/>
        <v>#DIV/0!</v>
      </c>
      <c r="DM104" s="48" t="e">
        <f t="shared" si="149"/>
        <v>#DIV/0!</v>
      </c>
      <c r="DN104" s="48">
        <f>SUMIF(FCR!$BZ$4:$DB$142,DM104,FCR!$DE$4:$EG$142)</f>
        <v>0</v>
      </c>
      <c r="DO104" s="53" t="e">
        <f t="shared" si="150"/>
        <v>#DIV/0!</v>
      </c>
      <c r="DP104" s="55" t="e">
        <f t="shared" si="151"/>
        <v>#DIV/0!</v>
      </c>
      <c r="DQ104" s="55" t="e">
        <f t="shared" si="152"/>
        <v>#DIV/0!</v>
      </c>
      <c r="DR104" s="55"/>
      <c r="DS104" s="55" t="e">
        <f t="shared" si="153"/>
        <v>#DIV/0!</v>
      </c>
      <c r="DT104" s="55" t="e">
        <f t="shared" si="154"/>
        <v>#DIV/0!</v>
      </c>
      <c r="DU104" s="53">
        <f t="shared" si="155"/>
        <v>0</v>
      </c>
      <c r="DV104" s="59" t="e">
        <f t="shared" si="156"/>
        <v>#DIV/0!</v>
      </c>
    </row>
    <row r="105" spans="30:126">
      <c r="AD105" s="49" t="s">
        <v>411</v>
      </c>
      <c r="AE105" s="49">
        <f t="shared" si="102"/>
        <v>0</v>
      </c>
      <c r="AF105" s="49">
        <f t="shared" si="103"/>
        <v>0</v>
      </c>
      <c r="AG105" s="114">
        <f t="shared" si="104"/>
        <v>0</v>
      </c>
      <c r="AH105" s="104">
        <f t="shared" si="105"/>
        <v>0</v>
      </c>
      <c r="AI105" s="104">
        <f t="shared" si="106"/>
        <v>0</v>
      </c>
      <c r="AJ105" s="104">
        <f t="shared" si="107"/>
        <v>0</v>
      </c>
      <c r="AK105" s="104">
        <f t="shared" si="108"/>
        <v>0</v>
      </c>
      <c r="AL105" s="104">
        <f t="shared" si="109"/>
        <v>0</v>
      </c>
      <c r="AM105" s="104">
        <f t="shared" si="110"/>
        <v>0</v>
      </c>
      <c r="AN105" s="104">
        <f t="shared" si="111"/>
        <v>0</v>
      </c>
      <c r="AO105" s="104">
        <f t="shared" si="112"/>
        <v>0</v>
      </c>
      <c r="AP105" s="104">
        <f t="shared" si="113"/>
        <v>0</v>
      </c>
      <c r="AQ105" s="49">
        <f t="shared" si="114"/>
        <v>0</v>
      </c>
      <c r="AR105" s="104">
        <f t="shared" si="115"/>
        <v>0</v>
      </c>
      <c r="AS105" s="104">
        <f t="shared" si="116"/>
        <v>0</v>
      </c>
      <c r="AT105" s="104">
        <f t="shared" si="117"/>
        <v>0</v>
      </c>
      <c r="AU105" s="104">
        <f t="shared" si="118"/>
        <v>0</v>
      </c>
      <c r="BF105" s="49">
        <f t="shared" si="119"/>
        <v>0</v>
      </c>
      <c r="BG105" s="49">
        <f t="shared" si="120"/>
        <v>0</v>
      </c>
      <c r="BH105" s="54" t="e">
        <f t="shared" si="121"/>
        <v>#DIV/0!</v>
      </c>
      <c r="BI105" s="112" t="e">
        <f t="shared" si="122"/>
        <v>#DIV/0!</v>
      </c>
      <c r="BK105" s="55" t="e">
        <f t="shared" si="123"/>
        <v>#DIV/0!</v>
      </c>
      <c r="BL105" s="55" t="e">
        <f t="shared" si="124"/>
        <v>#DIV/0!</v>
      </c>
      <c r="BM105" s="55" t="e">
        <f t="shared" si="125"/>
        <v>#DIV/0!</v>
      </c>
      <c r="BN105" s="53">
        <f t="shared" si="126"/>
        <v>0</v>
      </c>
      <c r="BO105" s="112" t="e">
        <f t="shared" si="127"/>
        <v>#DIV/0!</v>
      </c>
      <c r="BR105" s="53" t="e">
        <f t="shared" si="128"/>
        <v>#DIV/0!</v>
      </c>
      <c r="BS105" s="53">
        <f t="shared" si="129"/>
        <v>0</v>
      </c>
      <c r="BT105" s="53">
        <f t="shared" si="130"/>
        <v>0</v>
      </c>
      <c r="BU105" s="56" t="e">
        <f t="shared" si="131"/>
        <v>#DIV/0!</v>
      </c>
      <c r="BX105" s="60"/>
      <c r="BY105" s="60"/>
      <c r="BZ105" s="60"/>
      <c r="CA105" s="60"/>
      <c r="CB105" s="60"/>
      <c r="CC105" s="60"/>
      <c r="CD105" s="60"/>
      <c r="CE105" s="60"/>
      <c r="CF105" s="60"/>
      <c r="CG105" s="60"/>
      <c r="CH105" s="60"/>
      <c r="CI105" s="60"/>
      <c r="CJ105" s="60"/>
      <c r="CK105" s="60"/>
      <c r="CL105" s="60"/>
      <c r="CM105" s="60"/>
      <c r="CN105" s="60"/>
      <c r="CO105" s="60"/>
      <c r="CP105" s="60"/>
      <c r="CQ105" s="60"/>
      <c r="CR105" s="60"/>
      <c r="CS105" s="60"/>
      <c r="CT105" s="57">
        <f t="shared" si="132"/>
        <v>0</v>
      </c>
      <c r="CU105" s="57">
        <f t="shared" si="133"/>
        <v>0</v>
      </c>
      <c r="CV105" s="53">
        <f t="shared" si="134"/>
        <v>0</v>
      </c>
      <c r="CW105" s="53">
        <f t="shared" si="135"/>
        <v>0</v>
      </c>
      <c r="CX105" s="58" t="e">
        <f t="shared" si="136"/>
        <v>#DIV/0!</v>
      </c>
      <c r="CY105" s="53">
        <f t="shared" si="137"/>
        <v>0</v>
      </c>
      <c r="CZ105" s="53">
        <f t="shared" si="138"/>
        <v>0</v>
      </c>
      <c r="DA105" s="58" t="e">
        <f t="shared" si="139"/>
        <v>#DIV/0!</v>
      </c>
      <c r="DB105" s="48" t="e">
        <f t="shared" si="140"/>
        <v>#DIV/0!</v>
      </c>
      <c r="DC105" s="48" t="e">
        <f t="shared" si="141"/>
        <v>#DIV/0!</v>
      </c>
      <c r="DD105" s="48" t="e">
        <f t="shared" si="142"/>
        <v>#DIV/0!</v>
      </c>
      <c r="DE105" s="48" t="e">
        <f t="shared" si="143"/>
        <v>#DIV/0!</v>
      </c>
      <c r="DF105" s="48" t="e">
        <f t="shared" si="144"/>
        <v>#DIV/0!</v>
      </c>
      <c r="DG105" s="48" t="e">
        <f t="shared" si="145"/>
        <v>#DIV/0!</v>
      </c>
      <c r="DH105" s="48">
        <f>SUMIF(FCR!$BZ$4:$DB$500,DG105,FCR!$DE$4:$EG$500)</f>
        <v>0</v>
      </c>
      <c r="DI105" s="48" t="e">
        <f t="shared" si="146"/>
        <v>#DIV/0!</v>
      </c>
      <c r="DJ105" s="48">
        <f>SUMIF(FCR!$BZ$4:$DB$142,DI105,FCR!$DE$4:$EG$142)</f>
        <v>0</v>
      </c>
      <c r="DK105" s="48" t="e">
        <f t="shared" si="147"/>
        <v>#DIV/0!</v>
      </c>
      <c r="DL105" s="55" t="e">
        <f t="shared" si="148"/>
        <v>#DIV/0!</v>
      </c>
      <c r="DM105" s="48" t="e">
        <f t="shared" si="149"/>
        <v>#DIV/0!</v>
      </c>
      <c r="DN105" s="48">
        <f>SUMIF(FCR!$BZ$4:$DB$142,DM105,FCR!$DE$4:$EG$142)</f>
        <v>0</v>
      </c>
      <c r="DO105" s="53" t="e">
        <f t="shared" si="150"/>
        <v>#DIV/0!</v>
      </c>
      <c r="DP105" s="55" t="e">
        <f t="shared" si="151"/>
        <v>#DIV/0!</v>
      </c>
      <c r="DQ105" s="55" t="e">
        <f t="shared" si="152"/>
        <v>#DIV/0!</v>
      </c>
      <c r="DR105" s="55"/>
      <c r="DS105" s="55" t="e">
        <f t="shared" si="153"/>
        <v>#DIV/0!</v>
      </c>
      <c r="DT105" s="55" t="e">
        <f t="shared" si="154"/>
        <v>#DIV/0!</v>
      </c>
      <c r="DU105" s="53">
        <f t="shared" si="155"/>
        <v>0</v>
      </c>
      <c r="DV105" s="59" t="e">
        <f t="shared" si="156"/>
        <v>#DIV/0!</v>
      </c>
    </row>
    <row r="106" spans="30:126">
      <c r="AD106" s="49" t="s">
        <v>411</v>
      </c>
      <c r="AE106" s="49">
        <f t="shared" si="102"/>
        <v>0</v>
      </c>
      <c r="AF106" s="49">
        <f t="shared" si="103"/>
        <v>0</v>
      </c>
      <c r="AG106" s="114">
        <f t="shared" si="104"/>
        <v>0</v>
      </c>
      <c r="AH106" s="104">
        <f t="shared" si="105"/>
        <v>0</v>
      </c>
      <c r="AI106" s="104">
        <f t="shared" si="106"/>
        <v>0</v>
      </c>
      <c r="AJ106" s="104">
        <f t="shared" si="107"/>
        <v>0</v>
      </c>
      <c r="AK106" s="104">
        <f t="shared" si="108"/>
        <v>0</v>
      </c>
      <c r="AL106" s="104">
        <f t="shared" si="109"/>
        <v>0</v>
      </c>
      <c r="AM106" s="104">
        <f t="shared" si="110"/>
        <v>0</v>
      </c>
      <c r="AN106" s="104">
        <f t="shared" si="111"/>
        <v>0</v>
      </c>
      <c r="AO106" s="104">
        <f t="shared" si="112"/>
        <v>0</v>
      </c>
      <c r="AP106" s="104">
        <f t="shared" si="113"/>
        <v>0</v>
      </c>
      <c r="AQ106" s="49">
        <f t="shared" si="114"/>
        <v>0</v>
      </c>
      <c r="AR106" s="104">
        <f t="shared" si="115"/>
        <v>0</v>
      </c>
      <c r="AS106" s="104">
        <f t="shared" si="116"/>
        <v>0</v>
      </c>
      <c r="AT106" s="104">
        <f t="shared" si="117"/>
        <v>0</v>
      </c>
      <c r="AU106" s="104">
        <f t="shared" si="118"/>
        <v>0</v>
      </c>
      <c r="BF106" s="49">
        <f t="shared" si="119"/>
        <v>0</v>
      </c>
      <c r="BG106" s="49">
        <f t="shared" si="120"/>
        <v>0</v>
      </c>
      <c r="BH106" s="54" t="e">
        <f t="shared" si="121"/>
        <v>#DIV/0!</v>
      </c>
      <c r="BI106" s="112" t="e">
        <f t="shared" si="122"/>
        <v>#DIV/0!</v>
      </c>
      <c r="BK106" s="55" t="e">
        <f t="shared" si="123"/>
        <v>#DIV/0!</v>
      </c>
      <c r="BL106" s="55" t="e">
        <f t="shared" si="124"/>
        <v>#DIV/0!</v>
      </c>
      <c r="BM106" s="55" t="e">
        <f t="shared" si="125"/>
        <v>#DIV/0!</v>
      </c>
      <c r="BN106" s="53">
        <f t="shared" si="126"/>
        <v>0</v>
      </c>
      <c r="BO106" s="112" t="e">
        <f t="shared" si="127"/>
        <v>#DIV/0!</v>
      </c>
      <c r="BR106" s="53" t="e">
        <f t="shared" si="128"/>
        <v>#DIV/0!</v>
      </c>
      <c r="BS106" s="53">
        <f t="shared" si="129"/>
        <v>0</v>
      </c>
      <c r="BT106" s="53">
        <f t="shared" si="130"/>
        <v>0</v>
      </c>
      <c r="BU106" s="56" t="e">
        <f t="shared" si="131"/>
        <v>#DIV/0!</v>
      </c>
      <c r="BX106" s="60"/>
      <c r="BY106" s="60"/>
      <c r="BZ106" s="60"/>
      <c r="CA106" s="60"/>
      <c r="CB106" s="60"/>
      <c r="CC106" s="60"/>
      <c r="CD106" s="60"/>
      <c r="CE106" s="60"/>
      <c r="CF106" s="60"/>
      <c r="CG106" s="60"/>
      <c r="CH106" s="60"/>
      <c r="CI106" s="60"/>
      <c r="CJ106" s="60"/>
      <c r="CK106" s="60"/>
      <c r="CL106" s="60"/>
      <c r="CM106" s="60"/>
      <c r="CN106" s="60"/>
      <c r="CO106" s="60"/>
      <c r="CP106" s="60"/>
      <c r="CQ106" s="60"/>
      <c r="CR106" s="60"/>
      <c r="CS106" s="60"/>
      <c r="CT106" s="57">
        <f t="shared" si="132"/>
        <v>0</v>
      </c>
      <c r="CU106" s="57">
        <f t="shared" si="133"/>
        <v>0</v>
      </c>
      <c r="CV106" s="53">
        <f t="shared" si="134"/>
        <v>0</v>
      </c>
      <c r="CW106" s="53">
        <f t="shared" si="135"/>
        <v>0</v>
      </c>
      <c r="CX106" s="58" t="e">
        <f t="shared" si="136"/>
        <v>#DIV/0!</v>
      </c>
      <c r="CY106" s="53">
        <f t="shared" si="137"/>
        <v>0</v>
      </c>
      <c r="CZ106" s="53">
        <f t="shared" si="138"/>
        <v>0</v>
      </c>
      <c r="DA106" s="58" t="e">
        <f t="shared" si="139"/>
        <v>#DIV/0!</v>
      </c>
      <c r="DB106" s="48" t="e">
        <f t="shared" si="140"/>
        <v>#DIV/0!</v>
      </c>
      <c r="DC106" s="48" t="e">
        <f t="shared" si="141"/>
        <v>#DIV/0!</v>
      </c>
      <c r="DD106" s="48" t="e">
        <f t="shared" si="142"/>
        <v>#DIV/0!</v>
      </c>
      <c r="DE106" s="48" t="e">
        <f t="shared" si="143"/>
        <v>#DIV/0!</v>
      </c>
      <c r="DF106" s="48" t="e">
        <f t="shared" si="144"/>
        <v>#DIV/0!</v>
      </c>
      <c r="DG106" s="48" t="e">
        <f t="shared" si="145"/>
        <v>#DIV/0!</v>
      </c>
      <c r="DH106" s="48">
        <f>SUMIF(FCR!$BZ$4:$DB$500,DG106,FCR!$DE$4:$EG$500)</f>
        <v>0</v>
      </c>
      <c r="DI106" s="48" t="e">
        <f t="shared" si="146"/>
        <v>#DIV/0!</v>
      </c>
      <c r="DJ106" s="48">
        <f>SUMIF(FCR!$BZ$4:$DB$142,DI106,FCR!$DE$4:$EG$142)</f>
        <v>0</v>
      </c>
      <c r="DK106" s="48" t="e">
        <f t="shared" si="147"/>
        <v>#DIV/0!</v>
      </c>
      <c r="DL106" s="55" t="e">
        <f t="shared" si="148"/>
        <v>#DIV/0!</v>
      </c>
      <c r="DM106" s="48" t="e">
        <f t="shared" si="149"/>
        <v>#DIV/0!</v>
      </c>
      <c r="DN106" s="48">
        <f>SUMIF(FCR!$BZ$4:$DB$142,DM106,FCR!$DE$4:$EG$142)</f>
        <v>0</v>
      </c>
      <c r="DO106" s="53" t="e">
        <f t="shared" si="150"/>
        <v>#DIV/0!</v>
      </c>
      <c r="DP106" s="55" t="e">
        <f t="shared" si="151"/>
        <v>#DIV/0!</v>
      </c>
      <c r="DQ106" s="55" t="e">
        <f t="shared" si="152"/>
        <v>#DIV/0!</v>
      </c>
      <c r="DR106" s="55"/>
      <c r="DS106" s="55" t="e">
        <f t="shared" si="153"/>
        <v>#DIV/0!</v>
      </c>
      <c r="DT106" s="55" t="e">
        <f t="shared" si="154"/>
        <v>#DIV/0!</v>
      </c>
      <c r="DU106" s="53">
        <f t="shared" si="155"/>
        <v>0</v>
      </c>
      <c r="DV106" s="59" t="e">
        <f t="shared" si="156"/>
        <v>#DIV/0!</v>
      </c>
    </row>
    <row r="107" spans="30:126">
      <c r="AD107" s="49" t="s">
        <v>411</v>
      </c>
      <c r="AE107" s="49">
        <f t="shared" si="102"/>
        <v>0</v>
      </c>
      <c r="AF107" s="49">
        <f t="shared" si="103"/>
        <v>0</v>
      </c>
      <c r="AG107" s="114">
        <f t="shared" si="104"/>
        <v>0</v>
      </c>
      <c r="AH107" s="104">
        <f t="shared" si="105"/>
        <v>0</v>
      </c>
      <c r="AI107" s="104">
        <f t="shared" si="106"/>
        <v>0</v>
      </c>
      <c r="AJ107" s="104">
        <f t="shared" si="107"/>
        <v>0</v>
      </c>
      <c r="AK107" s="104">
        <f t="shared" si="108"/>
        <v>0</v>
      </c>
      <c r="AL107" s="104">
        <f t="shared" si="109"/>
        <v>0</v>
      </c>
      <c r="AM107" s="104">
        <f t="shared" si="110"/>
        <v>0</v>
      </c>
      <c r="AN107" s="104">
        <f t="shared" si="111"/>
        <v>0</v>
      </c>
      <c r="AO107" s="104">
        <f t="shared" si="112"/>
        <v>0</v>
      </c>
      <c r="AP107" s="104">
        <f t="shared" si="113"/>
        <v>0</v>
      </c>
      <c r="AQ107" s="49">
        <f t="shared" si="114"/>
        <v>0</v>
      </c>
      <c r="AR107" s="104">
        <f t="shared" si="115"/>
        <v>0</v>
      </c>
      <c r="AS107" s="104">
        <f t="shared" si="116"/>
        <v>0</v>
      </c>
      <c r="AT107" s="104">
        <f t="shared" si="117"/>
        <v>0</v>
      </c>
      <c r="AU107" s="104">
        <f t="shared" si="118"/>
        <v>0</v>
      </c>
      <c r="BF107" s="49">
        <f t="shared" si="119"/>
        <v>0</v>
      </c>
      <c r="BG107" s="49">
        <f t="shared" si="120"/>
        <v>0</v>
      </c>
      <c r="BH107" s="54" t="e">
        <f t="shared" si="121"/>
        <v>#DIV/0!</v>
      </c>
      <c r="BI107" s="112" t="e">
        <f t="shared" si="122"/>
        <v>#DIV/0!</v>
      </c>
      <c r="BK107" s="55" t="e">
        <f t="shared" si="123"/>
        <v>#DIV/0!</v>
      </c>
      <c r="BL107" s="55" t="e">
        <f t="shared" si="124"/>
        <v>#DIV/0!</v>
      </c>
      <c r="BM107" s="55" t="e">
        <f t="shared" si="125"/>
        <v>#DIV/0!</v>
      </c>
      <c r="BN107" s="53">
        <f t="shared" si="126"/>
        <v>0</v>
      </c>
      <c r="BO107" s="112" t="e">
        <f t="shared" si="127"/>
        <v>#DIV/0!</v>
      </c>
      <c r="BR107" s="53" t="e">
        <f t="shared" si="128"/>
        <v>#DIV/0!</v>
      </c>
      <c r="BS107" s="53">
        <f t="shared" si="129"/>
        <v>0</v>
      </c>
      <c r="BT107" s="53">
        <f t="shared" si="130"/>
        <v>0</v>
      </c>
      <c r="BU107" s="56" t="e">
        <f t="shared" si="131"/>
        <v>#DIV/0!</v>
      </c>
      <c r="BX107" s="60"/>
      <c r="BY107" s="60"/>
      <c r="BZ107" s="60"/>
      <c r="CA107" s="60"/>
      <c r="CB107" s="60"/>
      <c r="CC107" s="60"/>
      <c r="CD107" s="60"/>
      <c r="CE107" s="60"/>
      <c r="CF107" s="60"/>
      <c r="CG107" s="60"/>
      <c r="CH107" s="60"/>
      <c r="CI107" s="60"/>
      <c r="CJ107" s="60"/>
      <c r="CK107" s="60"/>
      <c r="CL107" s="60"/>
      <c r="CM107" s="60"/>
      <c r="CN107" s="60"/>
      <c r="CO107" s="60"/>
      <c r="CP107" s="60"/>
      <c r="CQ107" s="60"/>
      <c r="CR107" s="60"/>
      <c r="CS107" s="60"/>
      <c r="CT107" s="57">
        <f t="shared" si="132"/>
        <v>0</v>
      </c>
      <c r="CU107" s="57">
        <f t="shared" si="133"/>
        <v>0</v>
      </c>
      <c r="CV107" s="53">
        <f t="shared" si="134"/>
        <v>0</v>
      </c>
      <c r="CW107" s="53">
        <f t="shared" si="135"/>
        <v>0</v>
      </c>
      <c r="CX107" s="58" t="e">
        <f t="shared" si="136"/>
        <v>#DIV/0!</v>
      </c>
      <c r="CY107" s="53">
        <f t="shared" si="137"/>
        <v>0</v>
      </c>
      <c r="CZ107" s="53">
        <f t="shared" si="138"/>
        <v>0</v>
      </c>
      <c r="DA107" s="58" t="e">
        <f t="shared" si="139"/>
        <v>#DIV/0!</v>
      </c>
      <c r="DB107" s="48" t="e">
        <f t="shared" si="140"/>
        <v>#DIV/0!</v>
      </c>
      <c r="DC107" s="48" t="e">
        <f t="shared" si="141"/>
        <v>#DIV/0!</v>
      </c>
      <c r="DD107" s="48" t="e">
        <f t="shared" si="142"/>
        <v>#DIV/0!</v>
      </c>
      <c r="DE107" s="48" t="e">
        <f t="shared" si="143"/>
        <v>#DIV/0!</v>
      </c>
      <c r="DF107" s="48" t="e">
        <f t="shared" si="144"/>
        <v>#DIV/0!</v>
      </c>
      <c r="DG107" s="48" t="e">
        <f t="shared" si="145"/>
        <v>#DIV/0!</v>
      </c>
      <c r="DH107" s="48">
        <f>SUMIF(FCR!$BZ$4:$DB$500,DG107,FCR!$DE$4:$EG$500)</f>
        <v>0</v>
      </c>
      <c r="DI107" s="48" t="e">
        <f t="shared" si="146"/>
        <v>#DIV/0!</v>
      </c>
      <c r="DJ107" s="48">
        <f>SUMIF(FCR!$BZ$4:$DB$142,DI107,FCR!$DE$4:$EG$142)</f>
        <v>0</v>
      </c>
      <c r="DK107" s="48" t="e">
        <f t="shared" si="147"/>
        <v>#DIV/0!</v>
      </c>
      <c r="DL107" s="55" t="e">
        <f t="shared" si="148"/>
        <v>#DIV/0!</v>
      </c>
      <c r="DM107" s="48" t="e">
        <f t="shared" si="149"/>
        <v>#DIV/0!</v>
      </c>
      <c r="DN107" s="48">
        <f>SUMIF(FCR!$BZ$4:$DB$142,DM107,FCR!$DE$4:$EG$142)</f>
        <v>0</v>
      </c>
      <c r="DO107" s="53" t="e">
        <f t="shared" si="150"/>
        <v>#DIV/0!</v>
      </c>
      <c r="DP107" s="55" t="e">
        <f t="shared" si="151"/>
        <v>#DIV/0!</v>
      </c>
      <c r="DQ107" s="55" t="e">
        <f t="shared" si="152"/>
        <v>#DIV/0!</v>
      </c>
      <c r="DR107" s="55"/>
      <c r="DS107" s="55" t="e">
        <f t="shared" si="153"/>
        <v>#DIV/0!</v>
      </c>
      <c r="DT107" s="55" t="e">
        <f t="shared" si="154"/>
        <v>#DIV/0!</v>
      </c>
      <c r="DU107" s="53">
        <f t="shared" si="155"/>
        <v>0</v>
      </c>
      <c r="DV107" s="59" t="e">
        <f t="shared" si="156"/>
        <v>#DIV/0!</v>
      </c>
    </row>
    <row r="108" spans="30:126">
      <c r="AD108" s="49" t="s">
        <v>411</v>
      </c>
      <c r="AE108" s="49">
        <f t="shared" si="102"/>
        <v>0</v>
      </c>
      <c r="AF108" s="49">
        <f t="shared" si="103"/>
        <v>0</v>
      </c>
      <c r="AG108" s="114">
        <f t="shared" si="104"/>
        <v>0</v>
      </c>
      <c r="AH108" s="104">
        <f t="shared" si="105"/>
        <v>0</v>
      </c>
      <c r="AI108" s="104">
        <f t="shared" si="106"/>
        <v>0</v>
      </c>
      <c r="AJ108" s="104">
        <f t="shared" si="107"/>
        <v>0</v>
      </c>
      <c r="AK108" s="104">
        <f t="shared" si="108"/>
        <v>0</v>
      </c>
      <c r="AL108" s="104">
        <f t="shared" si="109"/>
        <v>0</v>
      </c>
      <c r="AM108" s="104">
        <f t="shared" si="110"/>
        <v>0</v>
      </c>
      <c r="AN108" s="104">
        <f t="shared" si="111"/>
        <v>0</v>
      </c>
      <c r="AO108" s="104">
        <f t="shared" si="112"/>
        <v>0</v>
      </c>
      <c r="AP108" s="104">
        <f t="shared" si="113"/>
        <v>0</v>
      </c>
      <c r="AQ108" s="49">
        <f t="shared" si="114"/>
        <v>0</v>
      </c>
      <c r="AR108" s="104">
        <f t="shared" si="115"/>
        <v>0</v>
      </c>
      <c r="AS108" s="104">
        <f t="shared" si="116"/>
        <v>0</v>
      </c>
      <c r="AT108" s="104">
        <f t="shared" si="117"/>
        <v>0</v>
      </c>
      <c r="AU108" s="104">
        <f t="shared" si="118"/>
        <v>0</v>
      </c>
      <c r="BF108" s="49">
        <f t="shared" si="119"/>
        <v>0</v>
      </c>
      <c r="BG108" s="49">
        <f t="shared" si="120"/>
        <v>0</v>
      </c>
      <c r="BH108" s="54" t="e">
        <f t="shared" si="121"/>
        <v>#DIV/0!</v>
      </c>
      <c r="BI108" s="112" t="e">
        <f t="shared" si="122"/>
        <v>#DIV/0!</v>
      </c>
      <c r="BK108" s="55" t="e">
        <f t="shared" si="123"/>
        <v>#DIV/0!</v>
      </c>
      <c r="BL108" s="55" t="e">
        <f t="shared" si="124"/>
        <v>#DIV/0!</v>
      </c>
      <c r="BM108" s="55" t="e">
        <f t="shared" si="125"/>
        <v>#DIV/0!</v>
      </c>
      <c r="BN108" s="53">
        <f t="shared" si="126"/>
        <v>0</v>
      </c>
      <c r="BO108" s="112" t="e">
        <f t="shared" si="127"/>
        <v>#DIV/0!</v>
      </c>
      <c r="BR108" s="53" t="e">
        <f t="shared" si="128"/>
        <v>#DIV/0!</v>
      </c>
      <c r="BS108" s="53">
        <f t="shared" si="129"/>
        <v>0</v>
      </c>
      <c r="BT108" s="53">
        <f t="shared" si="130"/>
        <v>0</v>
      </c>
      <c r="BU108" s="56" t="e">
        <f t="shared" si="131"/>
        <v>#DIV/0!</v>
      </c>
      <c r="BX108" s="60"/>
      <c r="BY108" s="60"/>
      <c r="BZ108" s="60"/>
      <c r="CA108" s="60"/>
      <c r="CB108" s="60"/>
      <c r="CC108" s="60"/>
      <c r="CD108" s="60"/>
      <c r="CE108" s="60"/>
      <c r="CF108" s="60"/>
      <c r="CG108" s="60"/>
      <c r="CH108" s="60"/>
      <c r="CI108" s="60"/>
      <c r="CJ108" s="60"/>
      <c r="CK108" s="60"/>
      <c r="CL108" s="60"/>
      <c r="CM108" s="60"/>
      <c r="CN108" s="60"/>
      <c r="CO108" s="60"/>
      <c r="CP108" s="60"/>
      <c r="CQ108" s="60"/>
      <c r="CR108" s="60"/>
      <c r="CS108" s="60"/>
      <c r="CT108" s="57">
        <f t="shared" si="132"/>
        <v>0</v>
      </c>
      <c r="CU108" s="57">
        <f t="shared" si="133"/>
        <v>0</v>
      </c>
      <c r="CV108" s="53">
        <f t="shared" si="134"/>
        <v>0</v>
      </c>
      <c r="CW108" s="53">
        <f t="shared" si="135"/>
        <v>0</v>
      </c>
      <c r="CX108" s="58" t="e">
        <f t="shared" si="136"/>
        <v>#DIV/0!</v>
      </c>
      <c r="CY108" s="53">
        <f t="shared" si="137"/>
        <v>0</v>
      </c>
      <c r="CZ108" s="53">
        <f t="shared" si="138"/>
        <v>0</v>
      </c>
      <c r="DA108" s="58" t="e">
        <f t="shared" si="139"/>
        <v>#DIV/0!</v>
      </c>
      <c r="DB108" s="48" t="e">
        <f t="shared" si="140"/>
        <v>#DIV/0!</v>
      </c>
      <c r="DC108" s="48" t="e">
        <f t="shared" si="141"/>
        <v>#DIV/0!</v>
      </c>
      <c r="DD108" s="48" t="e">
        <f t="shared" si="142"/>
        <v>#DIV/0!</v>
      </c>
      <c r="DE108" s="48" t="e">
        <f t="shared" si="143"/>
        <v>#DIV/0!</v>
      </c>
      <c r="DF108" s="48" t="e">
        <f t="shared" si="144"/>
        <v>#DIV/0!</v>
      </c>
      <c r="DG108" s="48" t="e">
        <f t="shared" si="145"/>
        <v>#DIV/0!</v>
      </c>
      <c r="DH108" s="48">
        <f>SUMIF(FCR!$BZ$4:$DB$500,DG108,FCR!$DE$4:$EG$500)</f>
        <v>0</v>
      </c>
      <c r="DI108" s="48" t="e">
        <f t="shared" si="146"/>
        <v>#DIV/0!</v>
      </c>
      <c r="DJ108" s="48">
        <f>SUMIF(FCR!$BZ$4:$DB$142,DI108,FCR!$DE$4:$EG$142)</f>
        <v>0</v>
      </c>
      <c r="DK108" s="48" t="e">
        <f t="shared" si="147"/>
        <v>#DIV/0!</v>
      </c>
      <c r="DL108" s="55" t="e">
        <f t="shared" si="148"/>
        <v>#DIV/0!</v>
      </c>
      <c r="DM108" s="48" t="e">
        <f t="shared" si="149"/>
        <v>#DIV/0!</v>
      </c>
      <c r="DN108" s="48">
        <f>SUMIF(FCR!$BZ$4:$DB$142,DM108,FCR!$DE$4:$EG$142)</f>
        <v>0</v>
      </c>
      <c r="DO108" s="53" t="e">
        <f t="shared" si="150"/>
        <v>#DIV/0!</v>
      </c>
      <c r="DP108" s="55" t="e">
        <f t="shared" si="151"/>
        <v>#DIV/0!</v>
      </c>
      <c r="DQ108" s="55" t="e">
        <f t="shared" si="152"/>
        <v>#DIV/0!</v>
      </c>
      <c r="DR108" s="55"/>
      <c r="DS108" s="55" t="e">
        <f t="shared" si="153"/>
        <v>#DIV/0!</v>
      </c>
      <c r="DT108" s="55" t="e">
        <f t="shared" si="154"/>
        <v>#DIV/0!</v>
      </c>
      <c r="DU108" s="53">
        <f t="shared" si="155"/>
        <v>0</v>
      </c>
      <c r="DV108" s="59" t="e">
        <f t="shared" si="156"/>
        <v>#DIV/0!</v>
      </c>
    </row>
    <row r="109" spans="30:126">
      <c r="AD109" s="49" t="s">
        <v>411</v>
      </c>
      <c r="AE109" s="49">
        <f t="shared" si="102"/>
        <v>0</v>
      </c>
      <c r="AF109" s="49">
        <f t="shared" si="103"/>
        <v>0</v>
      </c>
      <c r="AG109" s="114">
        <f t="shared" si="104"/>
        <v>0</v>
      </c>
      <c r="AH109" s="104">
        <f t="shared" si="105"/>
        <v>0</v>
      </c>
      <c r="AI109" s="104">
        <f t="shared" si="106"/>
        <v>0</v>
      </c>
      <c r="AJ109" s="104">
        <f t="shared" si="107"/>
        <v>0</v>
      </c>
      <c r="AK109" s="104">
        <f t="shared" si="108"/>
        <v>0</v>
      </c>
      <c r="AL109" s="104">
        <f t="shared" si="109"/>
        <v>0</v>
      </c>
      <c r="AM109" s="104">
        <f t="shared" si="110"/>
        <v>0</v>
      </c>
      <c r="AN109" s="104">
        <f t="shared" si="111"/>
        <v>0</v>
      </c>
      <c r="AO109" s="104">
        <f t="shared" si="112"/>
        <v>0</v>
      </c>
      <c r="AP109" s="104">
        <f t="shared" si="113"/>
        <v>0</v>
      </c>
      <c r="AQ109" s="49">
        <f t="shared" si="114"/>
        <v>0</v>
      </c>
      <c r="AR109" s="104">
        <f t="shared" si="115"/>
        <v>0</v>
      </c>
      <c r="AS109" s="104">
        <f t="shared" si="116"/>
        <v>0</v>
      </c>
      <c r="AT109" s="104">
        <f t="shared" si="117"/>
        <v>0</v>
      </c>
      <c r="AU109" s="104">
        <f t="shared" si="118"/>
        <v>0</v>
      </c>
      <c r="BF109" s="49">
        <f t="shared" si="119"/>
        <v>0</v>
      </c>
      <c r="BG109" s="49">
        <f t="shared" si="120"/>
        <v>0</v>
      </c>
      <c r="BH109" s="54" t="e">
        <f t="shared" si="121"/>
        <v>#DIV/0!</v>
      </c>
      <c r="BI109" s="112" t="e">
        <f t="shared" si="122"/>
        <v>#DIV/0!</v>
      </c>
      <c r="BK109" s="55" t="e">
        <f t="shared" si="123"/>
        <v>#DIV/0!</v>
      </c>
      <c r="BL109" s="55" t="e">
        <f t="shared" si="124"/>
        <v>#DIV/0!</v>
      </c>
      <c r="BM109" s="55" t="e">
        <f t="shared" si="125"/>
        <v>#DIV/0!</v>
      </c>
      <c r="BN109" s="53">
        <f t="shared" si="126"/>
        <v>0</v>
      </c>
      <c r="BO109" s="112" t="e">
        <f t="shared" si="127"/>
        <v>#DIV/0!</v>
      </c>
      <c r="BR109" s="53" t="e">
        <f t="shared" si="128"/>
        <v>#DIV/0!</v>
      </c>
      <c r="BS109" s="53">
        <f t="shared" si="129"/>
        <v>0</v>
      </c>
      <c r="BT109" s="53">
        <f t="shared" si="130"/>
        <v>0</v>
      </c>
      <c r="BU109" s="56" t="e">
        <f t="shared" si="131"/>
        <v>#DIV/0!</v>
      </c>
      <c r="BX109" s="60"/>
      <c r="BY109" s="60"/>
      <c r="BZ109" s="60"/>
      <c r="CA109" s="60"/>
      <c r="CB109" s="60"/>
      <c r="CC109" s="60"/>
      <c r="CD109" s="60"/>
      <c r="CE109" s="60"/>
      <c r="CF109" s="60"/>
      <c r="CG109" s="60"/>
      <c r="CH109" s="60"/>
      <c r="CI109" s="60"/>
      <c r="CJ109" s="60"/>
      <c r="CK109" s="60"/>
      <c r="CL109" s="60"/>
      <c r="CM109" s="60"/>
      <c r="CN109" s="60"/>
      <c r="CO109" s="60"/>
      <c r="CP109" s="60"/>
      <c r="CQ109" s="60"/>
      <c r="CR109" s="60"/>
      <c r="CS109" s="60"/>
      <c r="CT109" s="57">
        <f t="shared" si="132"/>
        <v>0</v>
      </c>
      <c r="CU109" s="57">
        <f t="shared" si="133"/>
        <v>0</v>
      </c>
      <c r="CV109" s="53">
        <f t="shared" si="134"/>
        <v>0</v>
      </c>
      <c r="CW109" s="53">
        <f t="shared" si="135"/>
        <v>0</v>
      </c>
      <c r="CX109" s="58" t="e">
        <f t="shared" si="136"/>
        <v>#DIV/0!</v>
      </c>
      <c r="CY109" s="53">
        <f t="shared" si="137"/>
        <v>0</v>
      </c>
      <c r="CZ109" s="53">
        <f t="shared" si="138"/>
        <v>0</v>
      </c>
      <c r="DA109" s="58" t="e">
        <f t="shared" si="139"/>
        <v>#DIV/0!</v>
      </c>
      <c r="DB109" s="48" t="e">
        <f t="shared" si="140"/>
        <v>#DIV/0!</v>
      </c>
      <c r="DC109" s="48" t="e">
        <f t="shared" si="141"/>
        <v>#DIV/0!</v>
      </c>
      <c r="DD109" s="48" t="e">
        <f t="shared" si="142"/>
        <v>#DIV/0!</v>
      </c>
      <c r="DE109" s="48" t="e">
        <f t="shared" si="143"/>
        <v>#DIV/0!</v>
      </c>
      <c r="DF109" s="48" t="e">
        <f t="shared" si="144"/>
        <v>#DIV/0!</v>
      </c>
      <c r="DG109" s="48" t="e">
        <f t="shared" si="145"/>
        <v>#DIV/0!</v>
      </c>
      <c r="DH109" s="48">
        <f>SUMIF(FCR!$BZ$4:$DB$500,DG109,FCR!$DE$4:$EG$500)</f>
        <v>0</v>
      </c>
      <c r="DI109" s="48" t="e">
        <f t="shared" si="146"/>
        <v>#DIV/0!</v>
      </c>
      <c r="DJ109" s="48">
        <f>SUMIF(FCR!$BZ$4:$DB$142,DI109,FCR!$DE$4:$EG$142)</f>
        <v>0</v>
      </c>
      <c r="DK109" s="48" t="e">
        <f t="shared" si="147"/>
        <v>#DIV/0!</v>
      </c>
      <c r="DL109" s="55" t="e">
        <f t="shared" si="148"/>
        <v>#DIV/0!</v>
      </c>
      <c r="DM109" s="48" t="e">
        <f t="shared" si="149"/>
        <v>#DIV/0!</v>
      </c>
      <c r="DN109" s="48">
        <f>SUMIF(FCR!$BZ$4:$DB$142,DM109,FCR!$DE$4:$EG$142)</f>
        <v>0</v>
      </c>
      <c r="DO109" s="53" t="e">
        <f t="shared" si="150"/>
        <v>#DIV/0!</v>
      </c>
      <c r="DP109" s="55" t="e">
        <f t="shared" si="151"/>
        <v>#DIV/0!</v>
      </c>
      <c r="DQ109" s="55" t="e">
        <f t="shared" si="152"/>
        <v>#DIV/0!</v>
      </c>
      <c r="DR109" s="55"/>
      <c r="DS109" s="55" t="e">
        <f t="shared" si="153"/>
        <v>#DIV/0!</v>
      </c>
      <c r="DT109" s="55" t="e">
        <f t="shared" si="154"/>
        <v>#DIV/0!</v>
      </c>
      <c r="DU109" s="53">
        <f t="shared" si="155"/>
        <v>0</v>
      </c>
      <c r="DV109" s="59" t="e">
        <f t="shared" si="156"/>
        <v>#DIV/0!</v>
      </c>
    </row>
    <row r="110" spans="30:126">
      <c r="AD110" s="49" t="s">
        <v>411</v>
      </c>
      <c r="AE110" s="49">
        <f t="shared" si="102"/>
        <v>0</v>
      </c>
      <c r="AF110" s="49">
        <f t="shared" si="103"/>
        <v>0</v>
      </c>
      <c r="AG110" s="114">
        <f t="shared" si="104"/>
        <v>0</v>
      </c>
      <c r="AH110" s="104">
        <f t="shared" si="105"/>
        <v>0</v>
      </c>
      <c r="AI110" s="104">
        <f t="shared" si="106"/>
        <v>0</v>
      </c>
      <c r="AJ110" s="104">
        <f t="shared" si="107"/>
        <v>0</v>
      </c>
      <c r="AK110" s="104">
        <f t="shared" si="108"/>
        <v>0</v>
      </c>
      <c r="AL110" s="104">
        <f t="shared" si="109"/>
        <v>0</v>
      </c>
      <c r="AM110" s="104">
        <f t="shared" si="110"/>
        <v>0</v>
      </c>
      <c r="AN110" s="104">
        <f t="shared" si="111"/>
        <v>0</v>
      </c>
      <c r="AO110" s="104">
        <f t="shared" si="112"/>
        <v>0</v>
      </c>
      <c r="AP110" s="104">
        <f t="shared" si="113"/>
        <v>0</v>
      </c>
      <c r="AQ110" s="49">
        <f t="shared" si="114"/>
        <v>0</v>
      </c>
      <c r="AR110" s="104">
        <f t="shared" si="115"/>
        <v>0</v>
      </c>
      <c r="AS110" s="104">
        <f t="shared" si="116"/>
        <v>0</v>
      </c>
      <c r="AT110" s="104">
        <f t="shared" si="117"/>
        <v>0</v>
      </c>
      <c r="AU110" s="104">
        <f t="shared" si="118"/>
        <v>0</v>
      </c>
      <c r="BF110" s="49">
        <f t="shared" si="119"/>
        <v>0</v>
      </c>
      <c r="BG110" s="49">
        <f t="shared" si="120"/>
        <v>0</v>
      </c>
      <c r="BH110" s="54" t="e">
        <f t="shared" si="121"/>
        <v>#DIV/0!</v>
      </c>
      <c r="BI110" s="112" t="e">
        <f t="shared" si="122"/>
        <v>#DIV/0!</v>
      </c>
      <c r="BK110" s="55" t="e">
        <f t="shared" si="123"/>
        <v>#DIV/0!</v>
      </c>
      <c r="BL110" s="55" t="e">
        <f t="shared" si="124"/>
        <v>#DIV/0!</v>
      </c>
      <c r="BM110" s="55" t="e">
        <f t="shared" si="125"/>
        <v>#DIV/0!</v>
      </c>
      <c r="BN110" s="53">
        <f t="shared" si="126"/>
        <v>0</v>
      </c>
      <c r="BO110" s="112" t="e">
        <f t="shared" si="127"/>
        <v>#DIV/0!</v>
      </c>
      <c r="BR110" s="53" t="e">
        <f t="shared" si="128"/>
        <v>#DIV/0!</v>
      </c>
      <c r="BS110" s="53">
        <f t="shared" si="129"/>
        <v>0</v>
      </c>
      <c r="BT110" s="53">
        <f t="shared" si="130"/>
        <v>0</v>
      </c>
      <c r="BU110" s="56" t="e">
        <f t="shared" si="131"/>
        <v>#DIV/0!</v>
      </c>
      <c r="BX110" s="60"/>
      <c r="BY110" s="60"/>
      <c r="BZ110" s="60"/>
      <c r="CA110" s="60"/>
      <c r="CB110" s="60"/>
      <c r="CC110" s="60"/>
      <c r="CD110" s="60"/>
      <c r="CE110" s="60"/>
      <c r="CF110" s="60"/>
      <c r="CG110" s="60"/>
      <c r="CH110" s="60"/>
      <c r="CI110" s="60"/>
      <c r="CJ110" s="60"/>
      <c r="CK110" s="60"/>
      <c r="CL110" s="60"/>
      <c r="CM110" s="60"/>
      <c r="CN110" s="60"/>
      <c r="CO110" s="60"/>
      <c r="CP110" s="60"/>
      <c r="CQ110" s="60"/>
      <c r="CR110" s="60"/>
      <c r="CS110" s="60"/>
      <c r="CT110" s="57">
        <f t="shared" si="132"/>
        <v>0</v>
      </c>
      <c r="CU110" s="57">
        <f t="shared" si="133"/>
        <v>0</v>
      </c>
      <c r="CV110" s="53">
        <f t="shared" si="134"/>
        <v>0</v>
      </c>
      <c r="CW110" s="53">
        <f t="shared" si="135"/>
        <v>0</v>
      </c>
      <c r="CX110" s="58" t="e">
        <f t="shared" si="136"/>
        <v>#DIV/0!</v>
      </c>
      <c r="CY110" s="53">
        <f t="shared" si="137"/>
        <v>0</v>
      </c>
      <c r="CZ110" s="53">
        <f t="shared" si="138"/>
        <v>0</v>
      </c>
      <c r="DA110" s="58" t="e">
        <f t="shared" si="139"/>
        <v>#DIV/0!</v>
      </c>
      <c r="DB110" s="48" t="e">
        <f t="shared" si="140"/>
        <v>#DIV/0!</v>
      </c>
      <c r="DC110" s="48" t="e">
        <f t="shared" si="141"/>
        <v>#DIV/0!</v>
      </c>
      <c r="DD110" s="48" t="e">
        <f t="shared" si="142"/>
        <v>#DIV/0!</v>
      </c>
      <c r="DE110" s="48" t="e">
        <f t="shared" si="143"/>
        <v>#DIV/0!</v>
      </c>
      <c r="DF110" s="48" t="e">
        <f t="shared" si="144"/>
        <v>#DIV/0!</v>
      </c>
      <c r="DG110" s="48" t="e">
        <f t="shared" si="145"/>
        <v>#DIV/0!</v>
      </c>
      <c r="DH110" s="48">
        <f>SUMIF(FCR!$BZ$4:$DB$500,DG110,FCR!$DE$4:$EG$500)</f>
        <v>0</v>
      </c>
      <c r="DI110" s="48" t="e">
        <f t="shared" si="146"/>
        <v>#DIV/0!</v>
      </c>
      <c r="DJ110" s="48">
        <f>SUMIF(FCR!$BZ$4:$DB$142,DI110,FCR!$DE$4:$EG$142)</f>
        <v>0</v>
      </c>
      <c r="DK110" s="48" t="e">
        <f t="shared" si="147"/>
        <v>#DIV/0!</v>
      </c>
      <c r="DL110" s="55" t="e">
        <f t="shared" si="148"/>
        <v>#DIV/0!</v>
      </c>
      <c r="DM110" s="48" t="e">
        <f t="shared" si="149"/>
        <v>#DIV/0!</v>
      </c>
      <c r="DN110" s="48">
        <f>SUMIF(FCR!$BZ$4:$DB$142,DM110,FCR!$DE$4:$EG$142)</f>
        <v>0</v>
      </c>
      <c r="DO110" s="53" t="e">
        <f t="shared" si="150"/>
        <v>#DIV/0!</v>
      </c>
      <c r="DP110" s="55" t="e">
        <f t="shared" si="151"/>
        <v>#DIV/0!</v>
      </c>
      <c r="DQ110" s="55" t="e">
        <f t="shared" si="152"/>
        <v>#DIV/0!</v>
      </c>
      <c r="DR110" s="55"/>
      <c r="DS110" s="55" t="e">
        <f t="shared" si="153"/>
        <v>#DIV/0!</v>
      </c>
      <c r="DT110" s="55" t="e">
        <f t="shared" si="154"/>
        <v>#DIV/0!</v>
      </c>
      <c r="DU110" s="53">
        <f t="shared" si="155"/>
        <v>0</v>
      </c>
      <c r="DV110" s="59" t="e">
        <f t="shared" si="156"/>
        <v>#DIV/0!</v>
      </c>
    </row>
    <row r="111" spans="30:126">
      <c r="AD111" s="49" t="s">
        <v>411</v>
      </c>
      <c r="AE111" s="49">
        <f t="shared" si="102"/>
        <v>0</v>
      </c>
      <c r="AF111" s="49">
        <f t="shared" si="103"/>
        <v>0</v>
      </c>
      <c r="AG111" s="114">
        <f t="shared" si="104"/>
        <v>0</v>
      </c>
      <c r="AH111" s="104">
        <f t="shared" si="105"/>
        <v>0</v>
      </c>
      <c r="AI111" s="104">
        <f t="shared" si="106"/>
        <v>0</v>
      </c>
      <c r="AJ111" s="104">
        <f t="shared" si="107"/>
        <v>0</v>
      </c>
      <c r="AK111" s="104">
        <f t="shared" si="108"/>
        <v>0</v>
      </c>
      <c r="AL111" s="104">
        <f t="shared" si="109"/>
        <v>0</v>
      </c>
      <c r="AM111" s="104">
        <f t="shared" si="110"/>
        <v>0</v>
      </c>
      <c r="AN111" s="104">
        <f t="shared" si="111"/>
        <v>0</v>
      </c>
      <c r="AO111" s="104">
        <f t="shared" si="112"/>
        <v>0</v>
      </c>
      <c r="AP111" s="104">
        <f t="shared" si="113"/>
        <v>0</v>
      </c>
      <c r="AQ111" s="49">
        <f t="shared" si="114"/>
        <v>0</v>
      </c>
      <c r="AR111" s="104">
        <f t="shared" si="115"/>
        <v>0</v>
      </c>
      <c r="AS111" s="104">
        <f t="shared" si="116"/>
        <v>0</v>
      </c>
      <c r="AT111" s="104">
        <f t="shared" si="117"/>
        <v>0</v>
      </c>
      <c r="AU111" s="104">
        <f t="shared" si="118"/>
        <v>0</v>
      </c>
      <c r="BF111" s="49">
        <f t="shared" si="119"/>
        <v>0</v>
      </c>
      <c r="BG111" s="49">
        <f t="shared" si="120"/>
        <v>0</v>
      </c>
      <c r="BH111" s="54" t="e">
        <f t="shared" si="121"/>
        <v>#DIV/0!</v>
      </c>
      <c r="BI111" s="112" t="e">
        <f t="shared" si="122"/>
        <v>#DIV/0!</v>
      </c>
      <c r="BK111" s="55" t="e">
        <f t="shared" si="123"/>
        <v>#DIV/0!</v>
      </c>
      <c r="BL111" s="55" t="e">
        <f t="shared" si="124"/>
        <v>#DIV/0!</v>
      </c>
      <c r="BM111" s="55" t="e">
        <f t="shared" si="125"/>
        <v>#DIV/0!</v>
      </c>
      <c r="BN111" s="53">
        <f t="shared" si="126"/>
        <v>0</v>
      </c>
      <c r="BO111" s="112" t="e">
        <f t="shared" si="127"/>
        <v>#DIV/0!</v>
      </c>
      <c r="BR111" s="53" t="e">
        <f t="shared" si="128"/>
        <v>#DIV/0!</v>
      </c>
      <c r="BS111" s="53">
        <f t="shared" si="129"/>
        <v>0</v>
      </c>
      <c r="BT111" s="53">
        <f t="shared" si="130"/>
        <v>0</v>
      </c>
      <c r="BU111" s="56" t="e">
        <f t="shared" si="131"/>
        <v>#DIV/0!</v>
      </c>
      <c r="BX111" s="60"/>
      <c r="BY111" s="60"/>
      <c r="BZ111" s="60"/>
      <c r="CA111" s="60"/>
      <c r="CB111" s="60"/>
      <c r="CC111" s="60"/>
      <c r="CD111" s="60"/>
      <c r="CE111" s="60"/>
      <c r="CF111" s="60"/>
      <c r="CG111" s="60"/>
      <c r="CH111" s="60"/>
      <c r="CI111" s="60"/>
      <c r="CJ111" s="60"/>
      <c r="CK111" s="60"/>
      <c r="CL111" s="60"/>
      <c r="CM111" s="60"/>
      <c r="CN111" s="60"/>
      <c r="CO111" s="60"/>
      <c r="CP111" s="60"/>
      <c r="CQ111" s="60"/>
      <c r="CR111" s="60"/>
      <c r="CS111" s="60"/>
      <c r="CT111" s="57">
        <f t="shared" si="132"/>
        <v>0</v>
      </c>
      <c r="CU111" s="57">
        <f t="shared" si="133"/>
        <v>0</v>
      </c>
      <c r="CV111" s="53">
        <f t="shared" si="134"/>
        <v>0</v>
      </c>
      <c r="CW111" s="53">
        <f t="shared" si="135"/>
        <v>0</v>
      </c>
      <c r="CX111" s="58" t="e">
        <f t="shared" si="136"/>
        <v>#DIV/0!</v>
      </c>
      <c r="CY111" s="53">
        <f t="shared" si="137"/>
        <v>0</v>
      </c>
      <c r="CZ111" s="53">
        <f t="shared" si="138"/>
        <v>0</v>
      </c>
      <c r="DA111" s="58" t="e">
        <f t="shared" si="139"/>
        <v>#DIV/0!</v>
      </c>
      <c r="DB111" s="48" t="e">
        <f t="shared" si="140"/>
        <v>#DIV/0!</v>
      </c>
      <c r="DC111" s="48" t="e">
        <f t="shared" si="141"/>
        <v>#DIV/0!</v>
      </c>
      <c r="DD111" s="48" t="e">
        <f t="shared" si="142"/>
        <v>#DIV/0!</v>
      </c>
      <c r="DE111" s="48" t="e">
        <f t="shared" si="143"/>
        <v>#DIV/0!</v>
      </c>
      <c r="DF111" s="48" t="e">
        <f t="shared" si="144"/>
        <v>#DIV/0!</v>
      </c>
      <c r="DG111" s="48" t="e">
        <f t="shared" si="145"/>
        <v>#DIV/0!</v>
      </c>
      <c r="DH111" s="48">
        <f>SUMIF(FCR!$BZ$4:$DB$500,DG111,FCR!$DE$4:$EG$500)</f>
        <v>0</v>
      </c>
      <c r="DI111" s="48" t="e">
        <f t="shared" si="146"/>
        <v>#DIV/0!</v>
      </c>
      <c r="DJ111" s="48">
        <f>SUMIF(FCR!$BZ$4:$DB$142,DI111,FCR!$DE$4:$EG$142)</f>
        <v>0</v>
      </c>
      <c r="DK111" s="48" t="e">
        <f t="shared" si="147"/>
        <v>#DIV/0!</v>
      </c>
      <c r="DL111" s="55" t="e">
        <f t="shared" si="148"/>
        <v>#DIV/0!</v>
      </c>
      <c r="DM111" s="48" t="e">
        <f t="shared" si="149"/>
        <v>#DIV/0!</v>
      </c>
      <c r="DN111" s="48">
        <f>SUMIF(FCR!$BZ$4:$DB$142,DM111,FCR!$DE$4:$EG$142)</f>
        <v>0</v>
      </c>
      <c r="DO111" s="53" t="e">
        <f t="shared" si="150"/>
        <v>#DIV/0!</v>
      </c>
      <c r="DP111" s="55" t="e">
        <f t="shared" si="151"/>
        <v>#DIV/0!</v>
      </c>
      <c r="DQ111" s="55" t="e">
        <f t="shared" si="152"/>
        <v>#DIV/0!</v>
      </c>
      <c r="DR111" s="55"/>
      <c r="DS111" s="55" t="e">
        <f t="shared" si="153"/>
        <v>#DIV/0!</v>
      </c>
      <c r="DT111" s="55" t="e">
        <f t="shared" si="154"/>
        <v>#DIV/0!</v>
      </c>
      <c r="DU111" s="53">
        <f t="shared" si="155"/>
        <v>0</v>
      </c>
      <c r="DV111" s="59" t="e">
        <f t="shared" si="156"/>
        <v>#DIV/0!</v>
      </c>
    </row>
    <row r="112" spans="30:126">
      <c r="AD112" s="49" t="s">
        <v>411</v>
      </c>
      <c r="AE112" s="49">
        <f t="shared" si="102"/>
        <v>0</v>
      </c>
      <c r="AF112" s="49">
        <f t="shared" si="103"/>
        <v>0</v>
      </c>
      <c r="AG112" s="114">
        <f t="shared" si="104"/>
        <v>0</v>
      </c>
      <c r="AH112" s="104">
        <f t="shared" si="105"/>
        <v>0</v>
      </c>
      <c r="AI112" s="104">
        <f t="shared" si="106"/>
        <v>0</v>
      </c>
      <c r="AJ112" s="104">
        <f t="shared" si="107"/>
        <v>0</v>
      </c>
      <c r="AK112" s="104">
        <f t="shared" si="108"/>
        <v>0</v>
      </c>
      <c r="AL112" s="104">
        <f t="shared" si="109"/>
        <v>0</v>
      </c>
      <c r="AM112" s="104">
        <f t="shared" si="110"/>
        <v>0</v>
      </c>
      <c r="AN112" s="104">
        <f t="shared" si="111"/>
        <v>0</v>
      </c>
      <c r="AO112" s="104">
        <f t="shared" si="112"/>
        <v>0</v>
      </c>
      <c r="AP112" s="104">
        <f t="shared" si="113"/>
        <v>0</v>
      </c>
      <c r="AQ112" s="49">
        <f t="shared" si="114"/>
        <v>0</v>
      </c>
      <c r="AR112" s="104">
        <f t="shared" si="115"/>
        <v>0</v>
      </c>
      <c r="AS112" s="104">
        <f t="shared" si="116"/>
        <v>0</v>
      </c>
      <c r="AT112" s="104">
        <f t="shared" si="117"/>
        <v>0</v>
      </c>
      <c r="AU112" s="104">
        <f t="shared" si="118"/>
        <v>0</v>
      </c>
      <c r="BF112" s="49">
        <f t="shared" si="119"/>
        <v>0</v>
      </c>
      <c r="BG112" s="49">
        <f t="shared" si="120"/>
        <v>0</v>
      </c>
      <c r="BH112" s="54" t="e">
        <f t="shared" si="121"/>
        <v>#DIV/0!</v>
      </c>
      <c r="BI112" s="112" t="e">
        <f t="shared" si="122"/>
        <v>#DIV/0!</v>
      </c>
      <c r="BK112" s="55" t="e">
        <f t="shared" si="123"/>
        <v>#DIV/0!</v>
      </c>
      <c r="BL112" s="55" t="e">
        <f t="shared" si="124"/>
        <v>#DIV/0!</v>
      </c>
      <c r="BM112" s="55" t="e">
        <f t="shared" si="125"/>
        <v>#DIV/0!</v>
      </c>
      <c r="BN112" s="53">
        <f t="shared" si="126"/>
        <v>0</v>
      </c>
      <c r="BO112" s="112" t="e">
        <f t="shared" si="127"/>
        <v>#DIV/0!</v>
      </c>
      <c r="BR112" s="53" t="e">
        <f t="shared" si="128"/>
        <v>#DIV/0!</v>
      </c>
      <c r="BS112" s="53">
        <f t="shared" si="129"/>
        <v>0</v>
      </c>
      <c r="BT112" s="53">
        <f t="shared" si="130"/>
        <v>0</v>
      </c>
      <c r="BU112" s="56" t="e">
        <f t="shared" si="131"/>
        <v>#DIV/0!</v>
      </c>
      <c r="BX112" s="60"/>
      <c r="BY112" s="60"/>
      <c r="BZ112" s="60"/>
      <c r="CA112" s="60"/>
      <c r="CB112" s="60"/>
      <c r="CC112" s="60"/>
      <c r="CD112" s="60"/>
      <c r="CE112" s="60"/>
      <c r="CF112" s="60"/>
      <c r="CG112" s="60"/>
      <c r="CH112" s="60"/>
      <c r="CI112" s="60"/>
      <c r="CJ112" s="60"/>
      <c r="CK112" s="60"/>
      <c r="CL112" s="60"/>
      <c r="CM112" s="60"/>
      <c r="CN112" s="60"/>
      <c r="CO112" s="60"/>
      <c r="CP112" s="60"/>
      <c r="CQ112" s="60"/>
      <c r="CR112" s="60"/>
      <c r="CS112" s="60"/>
      <c r="CT112" s="57">
        <f t="shared" si="132"/>
        <v>0</v>
      </c>
      <c r="CU112" s="57">
        <f t="shared" si="133"/>
        <v>0</v>
      </c>
      <c r="CV112" s="53">
        <f t="shared" si="134"/>
        <v>0</v>
      </c>
      <c r="CW112" s="53">
        <f t="shared" si="135"/>
        <v>0</v>
      </c>
      <c r="CX112" s="58" t="e">
        <f t="shared" si="136"/>
        <v>#DIV/0!</v>
      </c>
      <c r="CY112" s="53">
        <f t="shared" si="137"/>
        <v>0</v>
      </c>
      <c r="CZ112" s="53">
        <f t="shared" si="138"/>
        <v>0</v>
      </c>
      <c r="DA112" s="58" t="e">
        <f t="shared" si="139"/>
        <v>#DIV/0!</v>
      </c>
      <c r="DB112" s="48" t="e">
        <f t="shared" si="140"/>
        <v>#DIV/0!</v>
      </c>
      <c r="DC112" s="48" t="e">
        <f t="shared" si="141"/>
        <v>#DIV/0!</v>
      </c>
      <c r="DD112" s="48" t="e">
        <f t="shared" si="142"/>
        <v>#DIV/0!</v>
      </c>
      <c r="DE112" s="48" t="e">
        <f t="shared" si="143"/>
        <v>#DIV/0!</v>
      </c>
      <c r="DF112" s="48" t="e">
        <f t="shared" si="144"/>
        <v>#DIV/0!</v>
      </c>
      <c r="DG112" s="48" t="e">
        <f t="shared" si="145"/>
        <v>#DIV/0!</v>
      </c>
      <c r="DH112" s="48">
        <f>SUMIF(FCR!$BZ$4:$DB$500,DG112,FCR!$DE$4:$EG$500)</f>
        <v>0</v>
      </c>
      <c r="DI112" s="48" t="e">
        <f t="shared" si="146"/>
        <v>#DIV/0!</v>
      </c>
      <c r="DJ112" s="48">
        <f>SUMIF(FCR!$BZ$4:$DB$142,DI112,FCR!$DE$4:$EG$142)</f>
        <v>0</v>
      </c>
      <c r="DK112" s="48" t="e">
        <f t="shared" si="147"/>
        <v>#DIV/0!</v>
      </c>
      <c r="DL112" s="55" t="e">
        <f t="shared" si="148"/>
        <v>#DIV/0!</v>
      </c>
      <c r="DM112" s="48" t="e">
        <f t="shared" si="149"/>
        <v>#DIV/0!</v>
      </c>
      <c r="DN112" s="48">
        <f>SUMIF(FCR!$BZ$4:$DB$142,DM112,FCR!$DE$4:$EG$142)</f>
        <v>0</v>
      </c>
      <c r="DO112" s="53" t="e">
        <f t="shared" si="150"/>
        <v>#DIV/0!</v>
      </c>
      <c r="DP112" s="55" t="e">
        <f t="shared" si="151"/>
        <v>#DIV/0!</v>
      </c>
      <c r="DQ112" s="55" t="e">
        <f t="shared" si="152"/>
        <v>#DIV/0!</v>
      </c>
      <c r="DR112" s="55"/>
      <c r="DS112" s="55" t="e">
        <f t="shared" si="153"/>
        <v>#DIV/0!</v>
      </c>
      <c r="DT112" s="55" t="e">
        <f t="shared" si="154"/>
        <v>#DIV/0!</v>
      </c>
      <c r="DU112" s="53">
        <f t="shared" si="155"/>
        <v>0</v>
      </c>
      <c r="DV112" s="59" t="e">
        <f t="shared" si="156"/>
        <v>#DIV/0!</v>
      </c>
    </row>
    <row r="113" spans="30:126">
      <c r="AD113" s="49" t="s">
        <v>411</v>
      </c>
      <c r="AE113" s="49">
        <f t="shared" si="102"/>
        <v>0</v>
      </c>
      <c r="AF113" s="49">
        <f t="shared" si="103"/>
        <v>0</v>
      </c>
      <c r="AG113" s="114">
        <f t="shared" si="104"/>
        <v>0</v>
      </c>
      <c r="AH113" s="104">
        <f t="shared" si="105"/>
        <v>0</v>
      </c>
      <c r="AI113" s="104">
        <f t="shared" si="106"/>
        <v>0</v>
      </c>
      <c r="AJ113" s="104">
        <f t="shared" si="107"/>
        <v>0</v>
      </c>
      <c r="AK113" s="104">
        <f t="shared" si="108"/>
        <v>0</v>
      </c>
      <c r="AL113" s="104">
        <f t="shared" si="109"/>
        <v>0</v>
      </c>
      <c r="AM113" s="104">
        <f t="shared" si="110"/>
        <v>0</v>
      </c>
      <c r="AN113" s="104">
        <f t="shared" si="111"/>
        <v>0</v>
      </c>
      <c r="AO113" s="104">
        <f t="shared" si="112"/>
        <v>0</v>
      </c>
      <c r="AP113" s="104">
        <f t="shared" si="113"/>
        <v>0</v>
      </c>
      <c r="AQ113" s="49">
        <f t="shared" si="114"/>
        <v>0</v>
      </c>
      <c r="AR113" s="104">
        <f t="shared" si="115"/>
        <v>0</v>
      </c>
      <c r="AS113" s="104">
        <f t="shared" si="116"/>
        <v>0</v>
      </c>
      <c r="AT113" s="104">
        <f t="shared" si="117"/>
        <v>0</v>
      </c>
      <c r="AU113" s="104">
        <f t="shared" si="118"/>
        <v>0</v>
      </c>
      <c r="BF113" s="49">
        <f t="shared" si="119"/>
        <v>0</v>
      </c>
      <c r="BG113" s="49">
        <f t="shared" si="120"/>
        <v>0</v>
      </c>
      <c r="BH113" s="54" t="e">
        <f t="shared" si="121"/>
        <v>#DIV/0!</v>
      </c>
      <c r="BI113" s="112" t="e">
        <f t="shared" si="122"/>
        <v>#DIV/0!</v>
      </c>
      <c r="BK113" s="55" t="e">
        <f t="shared" si="123"/>
        <v>#DIV/0!</v>
      </c>
      <c r="BL113" s="55" t="e">
        <f t="shared" si="124"/>
        <v>#DIV/0!</v>
      </c>
      <c r="BM113" s="55" t="e">
        <f t="shared" si="125"/>
        <v>#DIV/0!</v>
      </c>
      <c r="BN113" s="53">
        <f t="shared" si="126"/>
        <v>0</v>
      </c>
      <c r="BO113" s="112" t="e">
        <f t="shared" si="127"/>
        <v>#DIV/0!</v>
      </c>
      <c r="BR113" s="53" t="e">
        <f t="shared" si="128"/>
        <v>#DIV/0!</v>
      </c>
      <c r="BS113" s="53">
        <f t="shared" si="129"/>
        <v>0</v>
      </c>
      <c r="BT113" s="53">
        <f t="shared" si="130"/>
        <v>0</v>
      </c>
      <c r="BU113" s="56" t="e">
        <f t="shared" si="131"/>
        <v>#DIV/0!</v>
      </c>
      <c r="BX113" s="60"/>
      <c r="BY113" s="60"/>
      <c r="BZ113" s="60"/>
      <c r="CA113" s="60"/>
      <c r="CB113" s="60"/>
      <c r="CC113" s="60"/>
      <c r="CD113" s="60"/>
      <c r="CE113" s="60"/>
      <c r="CF113" s="60"/>
      <c r="CG113" s="60"/>
      <c r="CH113" s="60"/>
      <c r="CI113" s="60"/>
      <c r="CJ113" s="60"/>
      <c r="CK113" s="60"/>
      <c r="CL113" s="60"/>
      <c r="CM113" s="60"/>
      <c r="CN113" s="60"/>
      <c r="CO113" s="60"/>
      <c r="CP113" s="60"/>
      <c r="CQ113" s="60"/>
      <c r="CR113" s="60"/>
      <c r="CS113" s="60"/>
      <c r="CT113" s="57">
        <f t="shared" si="132"/>
        <v>0</v>
      </c>
      <c r="CU113" s="57">
        <f t="shared" si="133"/>
        <v>0</v>
      </c>
      <c r="CV113" s="53">
        <f t="shared" si="134"/>
        <v>0</v>
      </c>
      <c r="CW113" s="53">
        <f t="shared" si="135"/>
        <v>0</v>
      </c>
      <c r="CX113" s="58" t="e">
        <f t="shared" si="136"/>
        <v>#DIV/0!</v>
      </c>
      <c r="CY113" s="53">
        <f t="shared" si="137"/>
        <v>0</v>
      </c>
      <c r="CZ113" s="53">
        <f t="shared" si="138"/>
        <v>0</v>
      </c>
      <c r="DA113" s="58" t="e">
        <f t="shared" si="139"/>
        <v>#DIV/0!</v>
      </c>
      <c r="DB113" s="48" t="e">
        <f t="shared" si="140"/>
        <v>#DIV/0!</v>
      </c>
      <c r="DC113" s="48" t="e">
        <f t="shared" si="141"/>
        <v>#DIV/0!</v>
      </c>
      <c r="DD113" s="48" t="e">
        <f t="shared" si="142"/>
        <v>#DIV/0!</v>
      </c>
      <c r="DE113" s="48" t="e">
        <f t="shared" si="143"/>
        <v>#DIV/0!</v>
      </c>
      <c r="DF113" s="48" t="e">
        <f t="shared" si="144"/>
        <v>#DIV/0!</v>
      </c>
      <c r="DG113" s="48" t="e">
        <f t="shared" si="145"/>
        <v>#DIV/0!</v>
      </c>
      <c r="DH113" s="48">
        <f>SUMIF(FCR!$BZ$4:$DB$500,DG113,FCR!$DE$4:$EG$500)</f>
        <v>0</v>
      </c>
      <c r="DI113" s="48" t="e">
        <f t="shared" si="146"/>
        <v>#DIV/0!</v>
      </c>
      <c r="DJ113" s="48">
        <f>SUMIF(FCR!$BZ$4:$DB$142,DI113,FCR!$DE$4:$EG$142)</f>
        <v>0</v>
      </c>
      <c r="DK113" s="48" t="e">
        <f t="shared" si="147"/>
        <v>#DIV/0!</v>
      </c>
      <c r="DL113" s="55" t="e">
        <f t="shared" si="148"/>
        <v>#DIV/0!</v>
      </c>
      <c r="DM113" s="48" t="e">
        <f t="shared" si="149"/>
        <v>#DIV/0!</v>
      </c>
      <c r="DN113" s="48">
        <f>SUMIF(FCR!$BZ$4:$DB$142,DM113,FCR!$DE$4:$EG$142)</f>
        <v>0</v>
      </c>
      <c r="DO113" s="53" t="e">
        <f t="shared" si="150"/>
        <v>#DIV/0!</v>
      </c>
      <c r="DP113" s="55" t="e">
        <f t="shared" si="151"/>
        <v>#DIV/0!</v>
      </c>
      <c r="DQ113" s="55" t="e">
        <f t="shared" si="152"/>
        <v>#DIV/0!</v>
      </c>
      <c r="DR113" s="55"/>
      <c r="DS113" s="55" t="e">
        <f t="shared" si="153"/>
        <v>#DIV/0!</v>
      </c>
      <c r="DT113" s="55" t="e">
        <f t="shared" si="154"/>
        <v>#DIV/0!</v>
      </c>
      <c r="DU113" s="53">
        <f t="shared" si="155"/>
        <v>0</v>
      </c>
      <c r="DV113" s="59" t="e">
        <f t="shared" si="156"/>
        <v>#DIV/0!</v>
      </c>
    </row>
    <row r="114" spans="30:126">
      <c r="AD114" s="49" t="s">
        <v>411</v>
      </c>
      <c r="AE114" s="49">
        <f t="shared" si="102"/>
        <v>0</v>
      </c>
      <c r="AF114" s="49">
        <f t="shared" si="103"/>
        <v>0</v>
      </c>
      <c r="AG114" s="114">
        <f t="shared" si="104"/>
        <v>0</v>
      </c>
      <c r="AH114" s="104">
        <f t="shared" si="105"/>
        <v>0</v>
      </c>
      <c r="AI114" s="104">
        <f t="shared" si="106"/>
        <v>0</v>
      </c>
      <c r="AJ114" s="104">
        <f t="shared" si="107"/>
        <v>0</v>
      </c>
      <c r="AK114" s="104">
        <f t="shared" si="108"/>
        <v>0</v>
      </c>
      <c r="AL114" s="104">
        <f t="shared" si="109"/>
        <v>0</v>
      </c>
      <c r="AM114" s="104">
        <f t="shared" si="110"/>
        <v>0</v>
      </c>
      <c r="AN114" s="104">
        <f t="shared" si="111"/>
        <v>0</v>
      </c>
      <c r="AO114" s="104">
        <f t="shared" si="112"/>
        <v>0</v>
      </c>
      <c r="AP114" s="104">
        <f t="shared" si="113"/>
        <v>0</v>
      </c>
      <c r="AQ114" s="49">
        <f t="shared" si="114"/>
        <v>0</v>
      </c>
      <c r="AR114" s="104">
        <f t="shared" si="115"/>
        <v>0</v>
      </c>
      <c r="AS114" s="104">
        <f t="shared" si="116"/>
        <v>0</v>
      </c>
      <c r="AT114" s="104">
        <f t="shared" si="117"/>
        <v>0</v>
      </c>
      <c r="AU114" s="104">
        <f t="shared" si="118"/>
        <v>0</v>
      </c>
      <c r="BF114" s="49">
        <f t="shared" si="119"/>
        <v>0</v>
      </c>
      <c r="BG114" s="49">
        <f t="shared" si="120"/>
        <v>0</v>
      </c>
      <c r="BH114" s="54" t="e">
        <f t="shared" si="121"/>
        <v>#DIV/0!</v>
      </c>
      <c r="BI114" s="112" t="e">
        <f t="shared" si="122"/>
        <v>#DIV/0!</v>
      </c>
      <c r="BK114" s="55" t="e">
        <f t="shared" si="123"/>
        <v>#DIV/0!</v>
      </c>
      <c r="BL114" s="55" t="e">
        <f t="shared" si="124"/>
        <v>#DIV/0!</v>
      </c>
      <c r="BM114" s="55" t="e">
        <f t="shared" si="125"/>
        <v>#DIV/0!</v>
      </c>
      <c r="BN114" s="53">
        <f t="shared" si="126"/>
        <v>0</v>
      </c>
      <c r="BO114" s="112" t="e">
        <f t="shared" si="127"/>
        <v>#DIV/0!</v>
      </c>
      <c r="BR114" s="53" t="e">
        <f t="shared" si="128"/>
        <v>#DIV/0!</v>
      </c>
      <c r="BS114" s="53">
        <f t="shared" si="129"/>
        <v>0</v>
      </c>
      <c r="BT114" s="53">
        <f t="shared" si="130"/>
        <v>0</v>
      </c>
      <c r="BU114" s="56" t="e">
        <f t="shared" si="131"/>
        <v>#DIV/0!</v>
      </c>
      <c r="BX114" s="60"/>
      <c r="BY114" s="60"/>
      <c r="BZ114" s="60"/>
      <c r="CA114" s="60"/>
      <c r="CB114" s="60"/>
      <c r="CC114" s="60"/>
      <c r="CD114" s="60"/>
      <c r="CE114" s="60"/>
      <c r="CF114" s="60"/>
      <c r="CG114" s="60"/>
      <c r="CH114" s="60"/>
      <c r="CI114" s="60"/>
      <c r="CJ114" s="60"/>
      <c r="CK114" s="60"/>
      <c r="CL114" s="60"/>
      <c r="CM114" s="60"/>
      <c r="CN114" s="60"/>
      <c r="CO114" s="60"/>
      <c r="CP114" s="60"/>
      <c r="CQ114" s="60"/>
      <c r="CR114" s="60"/>
      <c r="CS114" s="60"/>
      <c r="CT114" s="57">
        <f t="shared" si="132"/>
        <v>0</v>
      </c>
      <c r="CU114" s="57">
        <f t="shared" si="133"/>
        <v>0</v>
      </c>
      <c r="CV114" s="53">
        <f t="shared" si="134"/>
        <v>0</v>
      </c>
      <c r="CW114" s="53">
        <f t="shared" si="135"/>
        <v>0</v>
      </c>
      <c r="CX114" s="58" t="e">
        <f t="shared" si="136"/>
        <v>#DIV/0!</v>
      </c>
      <c r="CY114" s="53">
        <f t="shared" si="137"/>
        <v>0</v>
      </c>
      <c r="CZ114" s="53">
        <f t="shared" si="138"/>
        <v>0</v>
      </c>
      <c r="DA114" s="58" t="e">
        <f t="shared" si="139"/>
        <v>#DIV/0!</v>
      </c>
      <c r="DB114" s="48" t="e">
        <f t="shared" si="140"/>
        <v>#DIV/0!</v>
      </c>
      <c r="DC114" s="48" t="e">
        <f t="shared" si="141"/>
        <v>#DIV/0!</v>
      </c>
      <c r="DD114" s="48" t="e">
        <f t="shared" si="142"/>
        <v>#DIV/0!</v>
      </c>
      <c r="DE114" s="48" t="e">
        <f t="shared" si="143"/>
        <v>#DIV/0!</v>
      </c>
      <c r="DF114" s="48" t="e">
        <f t="shared" si="144"/>
        <v>#DIV/0!</v>
      </c>
      <c r="DG114" s="48" t="e">
        <f t="shared" si="145"/>
        <v>#DIV/0!</v>
      </c>
      <c r="DH114" s="48">
        <f>SUMIF(FCR!$BZ$4:$DB$500,DG114,FCR!$DE$4:$EG$500)</f>
        <v>0</v>
      </c>
      <c r="DI114" s="48" t="e">
        <f t="shared" si="146"/>
        <v>#DIV/0!</v>
      </c>
      <c r="DJ114" s="48">
        <f>SUMIF(FCR!$BZ$4:$DB$142,DI114,FCR!$DE$4:$EG$142)</f>
        <v>0</v>
      </c>
      <c r="DK114" s="48" t="e">
        <f t="shared" si="147"/>
        <v>#DIV/0!</v>
      </c>
      <c r="DL114" s="55" t="e">
        <f t="shared" si="148"/>
        <v>#DIV/0!</v>
      </c>
      <c r="DM114" s="48" t="e">
        <f t="shared" si="149"/>
        <v>#DIV/0!</v>
      </c>
      <c r="DN114" s="48">
        <f>SUMIF(FCR!$BZ$4:$DB$142,DM114,FCR!$DE$4:$EG$142)</f>
        <v>0</v>
      </c>
      <c r="DO114" s="53" t="e">
        <f t="shared" si="150"/>
        <v>#DIV/0!</v>
      </c>
      <c r="DP114" s="55" t="e">
        <f t="shared" si="151"/>
        <v>#DIV/0!</v>
      </c>
      <c r="DQ114" s="55" t="e">
        <f t="shared" si="152"/>
        <v>#DIV/0!</v>
      </c>
      <c r="DR114" s="55"/>
      <c r="DS114" s="55" t="e">
        <f t="shared" si="153"/>
        <v>#DIV/0!</v>
      </c>
      <c r="DT114" s="55" t="e">
        <f t="shared" si="154"/>
        <v>#DIV/0!</v>
      </c>
      <c r="DU114" s="53">
        <f t="shared" si="155"/>
        <v>0</v>
      </c>
      <c r="DV114" s="59" t="e">
        <f t="shared" si="156"/>
        <v>#DIV/0!</v>
      </c>
    </row>
    <row r="115" spans="30:126">
      <c r="AD115" s="49" t="s">
        <v>411</v>
      </c>
      <c r="AE115" s="49">
        <f t="shared" si="102"/>
        <v>0</v>
      </c>
      <c r="AF115" s="49">
        <f t="shared" si="103"/>
        <v>0</v>
      </c>
      <c r="AG115" s="114">
        <f t="shared" si="104"/>
        <v>0</v>
      </c>
      <c r="AH115" s="104">
        <f t="shared" si="105"/>
        <v>0</v>
      </c>
      <c r="AI115" s="104">
        <f t="shared" si="106"/>
        <v>0</v>
      </c>
      <c r="AJ115" s="104">
        <f t="shared" si="107"/>
        <v>0</v>
      </c>
      <c r="AK115" s="104">
        <f t="shared" si="108"/>
        <v>0</v>
      </c>
      <c r="AL115" s="104">
        <f t="shared" si="109"/>
        <v>0</v>
      </c>
      <c r="AM115" s="104">
        <f t="shared" si="110"/>
        <v>0</v>
      </c>
      <c r="AN115" s="104">
        <f t="shared" si="111"/>
        <v>0</v>
      </c>
      <c r="AO115" s="104">
        <f t="shared" si="112"/>
        <v>0</v>
      </c>
      <c r="AP115" s="104">
        <f t="shared" si="113"/>
        <v>0</v>
      </c>
      <c r="AQ115" s="49">
        <f t="shared" si="114"/>
        <v>0</v>
      </c>
      <c r="AR115" s="104">
        <f t="shared" si="115"/>
        <v>0</v>
      </c>
      <c r="AS115" s="104">
        <f t="shared" si="116"/>
        <v>0</v>
      </c>
      <c r="AT115" s="104">
        <f t="shared" si="117"/>
        <v>0</v>
      </c>
      <c r="AU115" s="104">
        <f t="shared" si="118"/>
        <v>0</v>
      </c>
      <c r="BF115" s="49">
        <f t="shared" si="119"/>
        <v>0</v>
      </c>
      <c r="BG115" s="49">
        <f t="shared" si="120"/>
        <v>0</v>
      </c>
      <c r="BH115" s="54" t="e">
        <f t="shared" si="121"/>
        <v>#DIV/0!</v>
      </c>
      <c r="BI115" s="112" t="e">
        <f t="shared" si="122"/>
        <v>#DIV/0!</v>
      </c>
      <c r="BK115" s="55" t="e">
        <f t="shared" si="123"/>
        <v>#DIV/0!</v>
      </c>
      <c r="BL115" s="55" t="e">
        <f t="shared" si="124"/>
        <v>#DIV/0!</v>
      </c>
      <c r="BM115" s="55" t="e">
        <f t="shared" si="125"/>
        <v>#DIV/0!</v>
      </c>
      <c r="BN115" s="53">
        <f t="shared" si="126"/>
        <v>0</v>
      </c>
      <c r="BO115" s="112" t="e">
        <f t="shared" si="127"/>
        <v>#DIV/0!</v>
      </c>
      <c r="BR115" s="53" t="e">
        <f t="shared" si="128"/>
        <v>#DIV/0!</v>
      </c>
      <c r="BS115" s="53">
        <f t="shared" si="129"/>
        <v>0</v>
      </c>
      <c r="BT115" s="53">
        <f t="shared" si="130"/>
        <v>0</v>
      </c>
      <c r="BU115" s="56" t="e">
        <f t="shared" si="131"/>
        <v>#DIV/0!</v>
      </c>
      <c r="BX115" s="60"/>
      <c r="BY115" s="60"/>
      <c r="BZ115" s="60"/>
      <c r="CA115" s="60"/>
      <c r="CB115" s="60"/>
      <c r="CC115" s="60"/>
      <c r="CD115" s="60"/>
      <c r="CE115" s="60"/>
      <c r="CF115" s="60"/>
      <c r="CG115" s="60"/>
      <c r="CH115" s="60"/>
      <c r="CI115" s="60"/>
      <c r="CJ115" s="60"/>
      <c r="CK115" s="60"/>
      <c r="CL115" s="60"/>
      <c r="CM115" s="60"/>
      <c r="CN115" s="60"/>
      <c r="CO115" s="60"/>
      <c r="CP115" s="60"/>
      <c r="CQ115" s="60"/>
      <c r="CR115" s="60"/>
      <c r="CS115" s="60"/>
      <c r="CT115" s="57">
        <f t="shared" si="132"/>
        <v>0</v>
      </c>
      <c r="CU115" s="57">
        <f t="shared" si="133"/>
        <v>0</v>
      </c>
      <c r="CV115" s="53">
        <f t="shared" si="134"/>
        <v>0</v>
      </c>
      <c r="CW115" s="53">
        <f t="shared" si="135"/>
        <v>0</v>
      </c>
      <c r="CX115" s="58" t="e">
        <f t="shared" si="136"/>
        <v>#DIV/0!</v>
      </c>
      <c r="CY115" s="53">
        <f t="shared" si="137"/>
        <v>0</v>
      </c>
      <c r="CZ115" s="53">
        <f t="shared" si="138"/>
        <v>0</v>
      </c>
      <c r="DA115" s="58" t="e">
        <f t="shared" si="139"/>
        <v>#DIV/0!</v>
      </c>
      <c r="DB115" s="48" t="e">
        <f t="shared" si="140"/>
        <v>#DIV/0!</v>
      </c>
      <c r="DC115" s="48" t="e">
        <f t="shared" si="141"/>
        <v>#DIV/0!</v>
      </c>
      <c r="DD115" s="48" t="e">
        <f t="shared" si="142"/>
        <v>#DIV/0!</v>
      </c>
      <c r="DE115" s="48" t="e">
        <f t="shared" si="143"/>
        <v>#DIV/0!</v>
      </c>
      <c r="DF115" s="48" t="e">
        <f t="shared" si="144"/>
        <v>#DIV/0!</v>
      </c>
      <c r="DG115" s="48" t="e">
        <f t="shared" si="145"/>
        <v>#DIV/0!</v>
      </c>
      <c r="DH115" s="48">
        <f>SUMIF(FCR!$BZ$4:$DB$500,DG115,FCR!$DE$4:$EG$500)</f>
        <v>0</v>
      </c>
      <c r="DI115" s="48" t="e">
        <f t="shared" si="146"/>
        <v>#DIV/0!</v>
      </c>
      <c r="DJ115" s="48">
        <f>SUMIF(FCR!$BZ$4:$DB$142,DI115,FCR!$DE$4:$EG$142)</f>
        <v>0</v>
      </c>
      <c r="DK115" s="48" t="e">
        <f t="shared" si="147"/>
        <v>#DIV/0!</v>
      </c>
      <c r="DL115" s="55" t="e">
        <f t="shared" si="148"/>
        <v>#DIV/0!</v>
      </c>
      <c r="DM115" s="48" t="e">
        <f t="shared" si="149"/>
        <v>#DIV/0!</v>
      </c>
      <c r="DN115" s="48">
        <f>SUMIF(FCR!$BZ$4:$DB$142,DM115,FCR!$DE$4:$EG$142)</f>
        <v>0</v>
      </c>
      <c r="DO115" s="53" t="e">
        <f t="shared" si="150"/>
        <v>#DIV/0!</v>
      </c>
      <c r="DP115" s="55" t="e">
        <f t="shared" si="151"/>
        <v>#DIV/0!</v>
      </c>
      <c r="DQ115" s="55" t="e">
        <f t="shared" si="152"/>
        <v>#DIV/0!</v>
      </c>
      <c r="DR115" s="55"/>
      <c r="DS115" s="55" t="e">
        <f t="shared" si="153"/>
        <v>#DIV/0!</v>
      </c>
      <c r="DT115" s="55" t="e">
        <f t="shared" si="154"/>
        <v>#DIV/0!</v>
      </c>
      <c r="DU115" s="53">
        <f t="shared" si="155"/>
        <v>0</v>
      </c>
      <c r="DV115" s="59" t="e">
        <f t="shared" si="156"/>
        <v>#DIV/0!</v>
      </c>
    </row>
    <row r="116" spans="30:126">
      <c r="AD116" s="49" t="s">
        <v>411</v>
      </c>
      <c r="AE116" s="49">
        <f t="shared" si="102"/>
        <v>0</v>
      </c>
      <c r="AF116" s="49">
        <f t="shared" si="103"/>
        <v>0</v>
      </c>
      <c r="AG116" s="114">
        <f t="shared" si="104"/>
        <v>0</v>
      </c>
      <c r="AH116" s="104">
        <f t="shared" si="105"/>
        <v>0</v>
      </c>
      <c r="AI116" s="104">
        <f t="shared" si="106"/>
        <v>0</v>
      </c>
      <c r="AJ116" s="104">
        <f t="shared" si="107"/>
        <v>0</v>
      </c>
      <c r="AK116" s="104">
        <f t="shared" si="108"/>
        <v>0</v>
      </c>
      <c r="AL116" s="104">
        <f t="shared" si="109"/>
        <v>0</v>
      </c>
      <c r="AM116" s="104">
        <f t="shared" si="110"/>
        <v>0</v>
      </c>
      <c r="AN116" s="104">
        <f t="shared" si="111"/>
        <v>0</v>
      </c>
      <c r="AO116" s="104">
        <f t="shared" si="112"/>
        <v>0</v>
      </c>
      <c r="AP116" s="104">
        <f t="shared" si="113"/>
        <v>0</v>
      </c>
      <c r="AQ116" s="49">
        <f t="shared" si="114"/>
        <v>0</v>
      </c>
      <c r="AR116" s="104">
        <f t="shared" si="115"/>
        <v>0</v>
      </c>
      <c r="AS116" s="104">
        <f t="shared" si="116"/>
        <v>0</v>
      </c>
      <c r="AT116" s="104">
        <f t="shared" si="117"/>
        <v>0</v>
      </c>
      <c r="AU116" s="104">
        <f t="shared" si="118"/>
        <v>0</v>
      </c>
      <c r="BF116" s="49">
        <f t="shared" si="119"/>
        <v>0</v>
      </c>
      <c r="BG116" s="49">
        <f t="shared" si="120"/>
        <v>0</v>
      </c>
      <c r="BH116" s="54" t="e">
        <f t="shared" si="121"/>
        <v>#DIV/0!</v>
      </c>
      <c r="BI116" s="112" t="e">
        <f t="shared" si="122"/>
        <v>#DIV/0!</v>
      </c>
      <c r="BK116" s="55" t="e">
        <f t="shared" si="123"/>
        <v>#DIV/0!</v>
      </c>
      <c r="BL116" s="55" t="e">
        <f t="shared" si="124"/>
        <v>#DIV/0!</v>
      </c>
      <c r="BM116" s="55" t="e">
        <f t="shared" si="125"/>
        <v>#DIV/0!</v>
      </c>
      <c r="BN116" s="53">
        <f t="shared" si="126"/>
        <v>0</v>
      </c>
      <c r="BO116" s="112" t="e">
        <f t="shared" si="127"/>
        <v>#DIV/0!</v>
      </c>
      <c r="BR116" s="53" t="e">
        <f t="shared" si="128"/>
        <v>#DIV/0!</v>
      </c>
      <c r="BS116" s="53">
        <f t="shared" si="129"/>
        <v>0</v>
      </c>
      <c r="BT116" s="53">
        <f t="shared" si="130"/>
        <v>0</v>
      </c>
      <c r="BU116" s="56" t="e">
        <f t="shared" si="131"/>
        <v>#DIV/0!</v>
      </c>
      <c r="BX116" s="60"/>
      <c r="BY116" s="60"/>
      <c r="BZ116" s="60"/>
      <c r="CA116" s="60"/>
      <c r="CB116" s="60"/>
      <c r="CC116" s="60"/>
      <c r="CD116" s="60"/>
      <c r="CE116" s="60"/>
      <c r="CF116" s="60"/>
      <c r="CG116" s="60"/>
      <c r="CH116" s="60"/>
      <c r="CI116" s="60"/>
      <c r="CJ116" s="60"/>
      <c r="CK116" s="60"/>
      <c r="CL116" s="60"/>
      <c r="CM116" s="60"/>
      <c r="CN116" s="60"/>
      <c r="CO116" s="60"/>
      <c r="CP116" s="60"/>
      <c r="CQ116" s="60"/>
      <c r="CR116" s="60"/>
      <c r="CS116" s="60"/>
      <c r="CT116" s="57">
        <f t="shared" si="132"/>
        <v>0</v>
      </c>
      <c r="CU116" s="57">
        <f t="shared" si="133"/>
        <v>0</v>
      </c>
      <c r="CV116" s="53">
        <f t="shared" si="134"/>
        <v>0</v>
      </c>
      <c r="CW116" s="53">
        <f t="shared" si="135"/>
        <v>0</v>
      </c>
      <c r="CX116" s="58" t="e">
        <f t="shared" si="136"/>
        <v>#DIV/0!</v>
      </c>
      <c r="CY116" s="53">
        <f t="shared" si="137"/>
        <v>0</v>
      </c>
      <c r="CZ116" s="53">
        <f t="shared" si="138"/>
        <v>0</v>
      </c>
      <c r="DA116" s="58" t="e">
        <f t="shared" si="139"/>
        <v>#DIV/0!</v>
      </c>
      <c r="DB116" s="48" t="e">
        <f t="shared" si="140"/>
        <v>#DIV/0!</v>
      </c>
      <c r="DC116" s="48" t="e">
        <f t="shared" si="141"/>
        <v>#DIV/0!</v>
      </c>
      <c r="DD116" s="48" t="e">
        <f t="shared" si="142"/>
        <v>#DIV/0!</v>
      </c>
      <c r="DE116" s="48" t="e">
        <f t="shared" si="143"/>
        <v>#DIV/0!</v>
      </c>
      <c r="DF116" s="48" t="e">
        <f t="shared" si="144"/>
        <v>#DIV/0!</v>
      </c>
      <c r="DG116" s="48" t="e">
        <f t="shared" si="145"/>
        <v>#DIV/0!</v>
      </c>
      <c r="DH116" s="48">
        <f>SUMIF(FCR!$BZ$4:$DB$500,DG116,FCR!$DE$4:$EG$500)</f>
        <v>0</v>
      </c>
      <c r="DI116" s="48" t="e">
        <f t="shared" si="146"/>
        <v>#DIV/0!</v>
      </c>
      <c r="DJ116" s="48">
        <f>SUMIF(FCR!$BZ$4:$DB$142,DI116,FCR!$DE$4:$EG$142)</f>
        <v>0</v>
      </c>
      <c r="DK116" s="48" t="e">
        <f t="shared" si="147"/>
        <v>#DIV/0!</v>
      </c>
      <c r="DL116" s="55" t="e">
        <f t="shared" si="148"/>
        <v>#DIV/0!</v>
      </c>
      <c r="DM116" s="48" t="e">
        <f t="shared" si="149"/>
        <v>#DIV/0!</v>
      </c>
      <c r="DN116" s="48">
        <f>SUMIF(FCR!$BZ$4:$DB$142,DM116,FCR!$DE$4:$EG$142)</f>
        <v>0</v>
      </c>
      <c r="DO116" s="53" t="e">
        <f t="shared" si="150"/>
        <v>#DIV/0!</v>
      </c>
      <c r="DP116" s="55" t="e">
        <f t="shared" si="151"/>
        <v>#DIV/0!</v>
      </c>
      <c r="DQ116" s="55" t="e">
        <f t="shared" si="152"/>
        <v>#DIV/0!</v>
      </c>
      <c r="DR116" s="55"/>
      <c r="DS116" s="55" t="e">
        <f t="shared" si="153"/>
        <v>#DIV/0!</v>
      </c>
      <c r="DT116" s="55" t="e">
        <f t="shared" si="154"/>
        <v>#DIV/0!</v>
      </c>
      <c r="DU116" s="53">
        <f t="shared" si="155"/>
        <v>0</v>
      </c>
      <c r="DV116" s="59" t="e">
        <f t="shared" si="156"/>
        <v>#DIV/0!</v>
      </c>
    </row>
    <row r="117" spans="30:126">
      <c r="AD117" s="49" t="s">
        <v>411</v>
      </c>
      <c r="AE117" s="49">
        <f t="shared" si="102"/>
        <v>0</v>
      </c>
      <c r="AF117" s="49">
        <f t="shared" si="103"/>
        <v>0</v>
      </c>
      <c r="AG117" s="114">
        <f t="shared" si="104"/>
        <v>0</v>
      </c>
      <c r="AH117" s="104">
        <f t="shared" si="105"/>
        <v>0</v>
      </c>
      <c r="AI117" s="104">
        <f t="shared" si="106"/>
        <v>0</v>
      </c>
      <c r="AJ117" s="104">
        <f t="shared" si="107"/>
        <v>0</v>
      </c>
      <c r="AK117" s="104">
        <f t="shared" si="108"/>
        <v>0</v>
      </c>
      <c r="AL117" s="104">
        <f t="shared" si="109"/>
        <v>0</v>
      </c>
      <c r="AM117" s="104">
        <f t="shared" si="110"/>
        <v>0</v>
      </c>
      <c r="AN117" s="104">
        <f t="shared" si="111"/>
        <v>0</v>
      </c>
      <c r="AO117" s="104">
        <f t="shared" si="112"/>
        <v>0</v>
      </c>
      <c r="AP117" s="104">
        <f t="shared" si="113"/>
        <v>0</v>
      </c>
      <c r="AQ117" s="49">
        <f t="shared" si="114"/>
        <v>0</v>
      </c>
      <c r="AR117" s="104">
        <f t="shared" si="115"/>
        <v>0</v>
      </c>
      <c r="AS117" s="104">
        <f t="shared" si="116"/>
        <v>0</v>
      </c>
      <c r="AT117" s="104">
        <f t="shared" si="117"/>
        <v>0</v>
      </c>
      <c r="AU117" s="104">
        <f t="shared" si="118"/>
        <v>0</v>
      </c>
      <c r="BF117" s="49">
        <f t="shared" si="119"/>
        <v>0</v>
      </c>
      <c r="BG117" s="49">
        <f t="shared" si="120"/>
        <v>0</v>
      </c>
      <c r="BH117" s="54" t="e">
        <f t="shared" si="121"/>
        <v>#DIV/0!</v>
      </c>
      <c r="BI117" s="112" t="e">
        <f t="shared" si="122"/>
        <v>#DIV/0!</v>
      </c>
      <c r="BK117" s="55" t="e">
        <f t="shared" si="123"/>
        <v>#DIV/0!</v>
      </c>
      <c r="BL117" s="55" t="e">
        <f t="shared" si="124"/>
        <v>#DIV/0!</v>
      </c>
      <c r="BM117" s="55" t="e">
        <f t="shared" si="125"/>
        <v>#DIV/0!</v>
      </c>
      <c r="BN117" s="53">
        <f t="shared" si="126"/>
        <v>0</v>
      </c>
      <c r="BO117" s="112" t="e">
        <f t="shared" si="127"/>
        <v>#DIV/0!</v>
      </c>
      <c r="BR117" s="53" t="e">
        <f t="shared" si="128"/>
        <v>#DIV/0!</v>
      </c>
      <c r="BS117" s="53">
        <f t="shared" si="129"/>
        <v>0</v>
      </c>
      <c r="BT117" s="53">
        <f t="shared" si="130"/>
        <v>0</v>
      </c>
      <c r="BU117" s="56" t="e">
        <f t="shared" si="131"/>
        <v>#DIV/0!</v>
      </c>
      <c r="BX117" s="60"/>
      <c r="BY117" s="60"/>
      <c r="BZ117" s="60"/>
      <c r="CA117" s="60"/>
      <c r="CB117" s="60"/>
      <c r="CC117" s="60"/>
      <c r="CD117" s="60"/>
      <c r="CE117" s="60"/>
      <c r="CF117" s="60"/>
      <c r="CG117" s="60"/>
      <c r="CH117" s="60"/>
      <c r="CI117" s="60"/>
      <c r="CJ117" s="60"/>
      <c r="CK117" s="60"/>
      <c r="CL117" s="60"/>
      <c r="CM117" s="60"/>
      <c r="CN117" s="60"/>
      <c r="CO117" s="60"/>
      <c r="CP117" s="60"/>
      <c r="CQ117" s="60"/>
      <c r="CR117" s="60"/>
      <c r="CS117" s="60"/>
      <c r="CT117" s="57">
        <f t="shared" si="132"/>
        <v>0</v>
      </c>
      <c r="CU117" s="57">
        <f t="shared" si="133"/>
        <v>0</v>
      </c>
      <c r="CV117" s="53">
        <f t="shared" si="134"/>
        <v>0</v>
      </c>
      <c r="CW117" s="53">
        <f t="shared" si="135"/>
        <v>0</v>
      </c>
      <c r="CX117" s="58" t="e">
        <f t="shared" si="136"/>
        <v>#DIV/0!</v>
      </c>
      <c r="CY117" s="53">
        <f t="shared" si="137"/>
        <v>0</v>
      </c>
      <c r="CZ117" s="53">
        <f t="shared" si="138"/>
        <v>0</v>
      </c>
      <c r="DA117" s="58" t="e">
        <f t="shared" si="139"/>
        <v>#DIV/0!</v>
      </c>
      <c r="DB117" s="48" t="e">
        <f t="shared" si="140"/>
        <v>#DIV/0!</v>
      </c>
      <c r="DC117" s="48" t="e">
        <f t="shared" si="141"/>
        <v>#DIV/0!</v>
      </c>
      <c r="DD117" s="48" t="e">
        <f t="shared" si="142"/>
        <v>#DIV/0!</v>
      </c>
      <c r="DE117" s="48" t="e">
        <f t="shared" si="143"/>
        <v>#DIV/0!</v>
      </c>
      <c r="DF117" s="48" t="e">
        <f t="shared" si="144"/>
        <v>#DIV/0!</v>
      </c>
      <c r="DG117" s="48" t="e">
        <f t="shared" si="145"/>
        <v>#DIV/0!</v>
      </c>
      <c r="DH117" s="48">
        <f>SUMIF(FCR!$BZ$4:$DB$500,DG117,FCR!$DE$4:$EG$500)</f>
        <v>0</v>
      </c>
      <c r="DI117" s="48" t="e">
        <f t="shared" si="146"/>
        <v>#DIV/0!</v>
      </c>
      <c r="DJ117" s="48">
        <f>SUMIF(FCR!$BZ$4:$DB$142,DI117,FCR!$DE$4:$EG$142)</f>
        <v>0</v>
      </c>
      <c r="DK117" s="48" t="e">
        <f t="shared" si="147"/>
        <v>#DIV/0!</v>
      </c>
      <c r="DL117" s="55" t="e">
        <f t="shared" si="148"/>
        <v>#DIV/0!</v>
      </c>
      <c r="DM117" s="48" t="e">
        <f t="shared" si="149"/>
        <v>#DIV/0!</v>
      </c>
      <c r="DN117" s="48">
        <f>SUMIF(FCR!$BZ$4:$DB$142,DM117,FCR!$DE$4:$EG$142)</f>
        <v>0</v>
      </c>
      <c r="DO117" s="53" t="e">
        <f t="shared" si="150"/>
        <v>#DIV/0!</v>
      </c>
      <c r="DP117" s="55" t="e">
        <f t="shared" si="151"/>
        <v>#DIV/0!</v>
      </c>
      <c r="DQ117" s="55" t="e">
        <f t="shared" si="152"/>
        <v>#DIV/0!</v>
      </c>
      <c r="DR117" s="55"/>
      <c r="DS117" s="55" t="e">
        <f t="shared" si="153"/>
        <v>#DIV/0!</v>
      </c>
      <c r="DT117" s="55" t="e">
        <f t="shared" si="154"/>
        <v>#DIV/0!</v>
      </c>
      <c r="DU117" s="53">
        <f t="shared" si="155"/>
        <v>0</v>
      </c>
      <c r="DV117" s="59" t="e">
        <f t="shared" si="156"/>
        <v>#DIV/0!</v>
      </c>
    </row>
    <row r="118" spans="30:126">
      <c r="AD118" s="49" t="s">
        <v>411</v>
      </c>
      <c r="AE118" s="49">
        <f t="shared" si="102"/>
        <v>0</v>
      </c>
      <c r="AF118" s="49">
        <f t="shared" si="103"/>
        <v>0</v>
      </c>
      <c r="AG118" s="114">
        <f t="shared" si="104"/>
        <v>0</v>
      </c>
      <c r="AH118" s="104">
        <f t="shared" si="105"/>
        <v>0</v>
      </c>
      <c r="AI118" s="104">
        <f t="shared" si="106"/>
        <v>0</v>
      </c>
      <c r="AJ118" s="104">
        <f t="shared" si="107"/>
        <v>0</v>
      </c>
      <c r="AK118" s="104">
        <f t="shared" si="108"/>
        <v>0</v>
      </c>
      <c r="AL118" s="104">
        <f t="shared" si="109"/>
        <v>0</v>
      </c>
      <c r="AM118" s="104">
        <f t="shared" si="110"/>
        <v>0</v>
      </c>
      <c r="AN118" s="104">
        <f t="shared" si="111"/>
        <v>0</v>
      </c>
      <c r="AO118" s="104">
        <f t="shared" si="112"/>
        <v>0</v>
      </c>
      <c r="AP118" s="104">
        <f t="shared" si="113"/>
        <v>0</v>
      </c>
      <c r="AQ118" s="49">
        <f t="shared" si="114"/>
        <v>0</v>
      </c>
      <c r="AR118" s="104">
        <f t="shared" si="115"/>
        <v>0</v>
      </c>
      <c r="AS118" s="104">
        <f t="shared" si="116"/>
        <v>0</v>
      </c>
      <c r="AT118" s="104">
        <f t="shared" si="117"/>
        <v>0</v>
      </c>
      <c r="AU118" s="104">
        <f t="shared" si="118"/>
        <v>0</v>
      </c>
      <c r="BF118" s="49">
        <f t="shared" si="119"/>
        <v>0</v>
      </c>
      <c r="BG118" s="49">
        <f t="shared" si="120"/>
        <v>0</v>
      </c>
      <c r="BH118" s="54" t="e">
        <f t="shared" si="121"/>
        <v>#DIV/0!</v>
      </c>
      <c r="BI118" s="112" t="e">
        <f t="shared" si="122"/>
        <v>#DIV/0!</v>
      </c>
      <c r="BK118" s="55" t="e">
        <f t="shared" si="123"/>
        <v>#DIV/0!</v>
      </c>
      <c r="BL118" s="55" t="e">
        <f t="shared" si="124"/>
        <v>#DIV/0!</v>
      </c>
      <c r="BM118" s="55" t="e">
        <f t="shared" si="125"/>
        <v>#DIV/0!</v>
      </c>
      <c r="BN118" s="53">
        <f t="shared" si="126"/>
        <v>0</v>
      </c>
      <c r="BO118" s="112" t="e">
        <f t="shared" si="127"/>
        <v>#DIV/0!</v>
      </c>
      <c r="BR118" s="53" t="e">
        <f t="shared" si="128"/>
        <v>#DIV/0!</v>
      </c>
      <c r="BS118" s="53">
        <f t="shared" si="129"/>
        <v>0</v>
      </c>
      <c r="BT118" s="53">
        <f t="shared" si="130"/>
        <v>0</v>
      </c>
      <c r="BU118" s="56" t="e">
        <f t="shared" si="131"/>
        <v>#DIV/0!</v>
      </c>
      <c r="BX118" s="60"/>
      <c r="BY118" s="60"/>
      <c r="BZ118" s="60"/>
      <c r="CA118" s="60"/>
      <c r="CB118" s="60"/>
      <c r="CC118" s="60"/>
      <c r="CD118" s="60"/>
      <c r="CE118" s="60"/>
      <c r="CF118" s="60"/>
      <c r="CG118" s="60"/>
      <c r="CH118" s="60"/>
      <c r="CI118" s="60"/>
      <c r="CJ118" s="60"/>
      <c r="CK118" s="60"/>
      <c r="CL118" s="60"/>
      <c r="CM118" s="60"/>
      <c r="CN118" s="60"/>
      <c r="CO118" s="60"/>
      <c r="CP118" s="60"/>
      <c r="CQ118" s="60"/>
      <c r="CR118" s="60"/>
      <c r="CS118" s="60"/>
      <c r="CT118" s="57">
        <f t="shared" si="132"/>
        <v>0</v>
      </c>
      <c r="CU118" s="57">
        <f t="shared" si="133"/>
        <v>0</v>
      </c>
      <c r="CV118" s="53">
        <f t="shared" si="134"/>
        <v>0</v>
      </c>
      <c r="CW118" s="53">
        <f t="shared" si="135"/>
        <v>0</v>
      </c>
      <c r="CX118" s="58" t="e">
        <f t="shared" si="136"/>
        <v>#DIV/0!</v>
      </c>
      <c r="CY118" s="53">
        <f t="shared" si="137"/>
        <v>0</v>
      </c>
      <c r="CZ118" s="53">
        <f t="shared" si="138"/>
        <v>0</v>
      </c>
      <c r="DA118" s="58" t="e">
        <f t="shared" si="139"/>
        <v>#DIV/0!</v>
      </c>
      <c r="DB118" s="48" t="e">
        <f t="shared" si="140"/>
        <v>#DIV/0!</v>
      </c>
      <c r="DC118" s="48" t="e">
        <f t="shared" si="141"/>
        <v>#DIV/0!</v>
      </c>
      <c r="DD118" s="48" t="e">
        <f t="shared" si="142"/>
        <v>#DIV/0!</v>
      </c>
      <c r="DE118" s="48" t="e">
        <f t="shared" si="143"/>
        <v>#DIV/0!</v>
      </c>
      <c r="DF118" s="48" t="e">
        <f t="shared" si="144"/>
        <v>#DIV/0!</v>
      </c>
      <c r="DG118" s="48" t="e">
        <f t="shared" si="145"/>
        <v>#DIV/0!</v>
      </c>
      <c r="DH118" s="48">
        <f>SUMIF(FCR!$BZ$4:$DB$500,DG118,FCR!$DE$4:$EG$500)</f>
        <v>0</v>
      </c>
      <c r="DI118" s="48" t="e">
        <f t="shared" si="146"/>
        <v>#DIV/0!</v>
      </c>
      <c r="DJ118" s="48">
        <f>SUMIF(FCR!$BZ$4:$DB$142,DI118,FCR!$DE$4:$EG$142)</f>
        <v>0</v>
      </c>
      <c r="DK118" s="48" t="e">
        <f t="shared" si="147"/>
        <v>#DIV/0!</v>
      </c>
      <c r="DL118" s="55" t="e">
        <f t="shared" si="148"/>
        <v>#DIV/0!</v>
      </c>
      <c r="DM118" s="48" t="e">
        <f t="shared" si="149"/>
        <v>#DIV/0!</v>
      </c>
      <c r="DN118" s="48">
        <f>SUMIF(FCR!$BZ$4:$DB$142,DM118,FCR!$DE$4:$EG$142)</f>
        <v>0</v>
      </c>
      <c r="DO118" s="53" t="e">
        <f t="shared" si="150"/>
        <v>#DIV/0!</v>
      </c>
      <c r="DP118" s="55" t="e">
        <f t="shared" si="151"/>
        <v>#DIV/0!</v>
      </c>
      <c r="DQ118" s="55" t="e">
        <f t="shared" si="152"/>
        <v>#DIV/0!</v>
      </c>
      <c r="DR118" s="55"/>
      <c r="DS118" s="55" t="e">
        <f t="shared" si="153"/>
        <v>#DIV/0!</v>
      </c>
      <c r="DT118" s="55" t="e">
        <f t="shared" si="154"/>
        <v>#DIV/0!</v>
      </c>
      <c r="DU118" s="53">
        <f t="shared" si="155"/>
        <v>0</v>
      </c>
      <c r="DV118" s="59" t="e">
        <f t="shared" si="156"/>
        <v>#DIV/0!</v>
      </c>
    </row>
    <row r="119" spans="30:126">
      <c r="AD119" s="49" t="s">
        <v>411</v>
      </c>
      <c r="AE119" s="49">
        <f t="shared" si="102"/>
        <v>0</v>
      </c>
      <c r="AF119" s="49">
        <f t="shared" si="103"/>
        <v>0</v>
      </c>
      <c r="AG119" s="114">
        <f t="shared" si="104"/>
        <v>0</v>
      </c>
      <c r="AH119" s="104">
        <f t="shared" si="105"/>
        <v>0</v>
      </c>
      <c r="AI119" s="104">
        <f t="shared" si="106"/>
        <v>0</v>
      </c>
      <c r="AJ119" s="104">
        <f t="shared" si="107"/>
        <v>0</v>
      </c>
      <c r="AK119" s="104">
        <f t="shared" si="108"/>
        <v>0</v>
      </c>
      <c r="AL119" s="104">
        <f t="shared" si="109"/>
        <v>0</v>
      </c>
      <c r="AM119" s="104">
        <f t="shared" si="110"/>
        <v>0</v>
      </c>
      <c r="AN119" s="104">
        <f t="shared" si="111"/>
        <v>0</v>
      </c>
      <c r="AO119" s="104">
        <f t="shared" si="112"/>
        <v>0</v>
      </c>
      <c r="AP119" s="104">
        <f t="shared" si="113"/>
        <v>0</v>
      </c>
      <c r="AQ119" s="49">
        <f t="shared" si="114"/>
        <v>0</v>
      </c>
      <c r="AR119" s="104">
        <f t="shared" si="115"/>
        <v>0</v>
      </c>
      <c r="AS119" s="104">
        <f t="shared" si="116"/>
        <v>0</v>
      </c>
      <c r="AT119" s="104">
        <f t="shared" si="117"/>
        <v>0</v>
      </c>
      <c r="AU119" s="104">
        <f t="shared" si="118"/>
        <v>0</v>
      </c>
      <c r="BF119" s="49">
        <f t="shared" si="119"/>
        <v>0</v>
      </c>
      <c r="BG119" s="49">
        <f t="shared" si="120"/>
        <v>0</v>
      </c>
      <c r="BH119" s="54" t="e">
        <f t="shared" si="121"/>
        <v>#DIV/0!</v>
      </c>
      <c r="BI119" s="112" t="e">
        <f t="shared" si="122"/>
        <v>#DIV/0!</v>
      </c>
      <c r="BK119" s="55" t="e">
        <f t="shared" si="123"/>
        <v>#DIV/0!</v>
      </c>
      <c r="BL119" s="55" t="e">
        <f t="shared" si="124"/>
        <v>#DIV/0!</v>
      </c>
      <c r="BM119" s="55" t="e">
        <f t="shared" si="125"/>
        <v>#DIV/0!</v>
      </c>
      <c r="BN119" s="53">
        <f t="shared" si="126"/>
        <v>0</v>
      </c>
      <c r="BO119" s="112" t="e">
        <f t="shared" si="127"/>
        <v>#DIV/0!</v>
      </c>
      <c r="BR119" s="53" t="e">
        <f t="shared" si="128"/>
        <v>#DIV/0!</v>
      </c>
      <c r="BS119" s="53">
        <f t="shared" si="129"/>
        <v>0</v>
      </c>
      <c r="BT119" s="53">
        <f t="shared" si="130"/>
        <v>0</v>
      </c>
      <c r="BU119" s="56" t="e">
        <f t="shared" si="131"/>
        <v>#DIV/0!</v>
      </c>
      <c r="BX119" s="60"/>
      <c r="BY119" s="60"/>
      <c r="BZ119" s="60"/>
      <c r="CA119" s="60"/>
      <c r="CB119" s="60"/>
      <c r="CC119" s="60"/>
      <c r="CD119" s="60"/>
      <c r="CE119" s="60"/>
      <c r="CF119" s="60"/>
      <c r="CG119" s="60"/>
      <c r="CH119" s="60"/>
      <c r="CI119" s="60"/>
      <c r="CJ119" s="60"/>
      <c r="CK119" s="60"/>
      <c r="CL119" s="60"/>
      <c r="CM119" s="60"/>
      <c r="CN119" s="60"/>
      <c r="CO119" s="60"/>
      <c r="CP119" s="60"/>
      <c r="CQ119" s="60"/>
      <c r="CR119" s="60"/>
      <c r="CS119" s="60"/>
      <c r="CT119" s="57">
        <f t="shared" si="132"/>
        <v>0</v>
      </c>
      <c r="CU119" s="57">
        <f t="shared" si="133"/>
        <v>0</v>
      </c>
      <c r="CV119" s="53">
        <f t="shared" si="134"/>
        <v>0</v>
      </c>
      <c r="CW119" s="53">
        <f t="shared" si="135"/>
        <v>0</v>
      </c>
      <c r="CX119" s="58" t="e">
        <f t="shared" si="136"/>
        <v>#DIV/0!</v>
      </c>
      <c r="CY119" s="53">
        <f t="shared" si="137"/>
        <v>0</v>
      </c>
      <c r="CZ119" s="53">
        <f t="shared" si="138"/>
        <v>0</v>
      </c>
      <c r="DA119" s="58" t="e">
        <f t="shared" si="139"/>
        <v>#DIV/0!</v>
      </c>
      <c r="DB119" s="48" t="e">
        <f t="shared" si="140"/>
        <v>#DIV/0!</v>
      </c>
      <c r="DC119" s="48" t="e">
        <f t="shared" si="141"/>
        <v>#DIV/0!</v>
      </c>
      <c r="DD119" s="48" t="e">
        <f t="shared" si="142"/>
        <v>#DIV/0!</v>
      </c>
      <c r="DE119" s="48" t="e">
        <f t="shared" si="143"/>
        <v>#DIV/0!</v>
      </c>
      <c r="DF119" s="48" t="e">
        <f t="shared" si="144"/>
        <v>#DIV/0!</v>
      </c>
      <c r="DG119" s="48" t="e">
        <f t="shared" si="145"/>
        <v>#DIV/0!</v>
      </c>
      <c r="DH119" s="48">
        <f>SUMIF(FCR!$BZ$4:$DB$500,DG119,FCR!$DE$4:$EG$500)</f>
        <v>0</v>
      </c>
      <c r="DI119" s="48" t="e">
        <f t="shared" si="146"/>
        <v>#DIV/0!</v>
      </c>
      <c r="DJ119" s="48">
        <f>SUMIF(FCR!$BZ$4:$DB$142,DI119,FCR!$DE$4:$EG$142)</f>
        <v>0</v>
      </c>
      <c r="DK119" s="48" t="e">
        <f t="shared" si="147"/>
        <v>#DIV/0!</v>
      </c>
      <c r="DL119" s="55" t="e">
        <f t="shared" si="148"/>
        <v>#DIV/0!</v>
      </c>
      <c r="DM119" s="48" t="e">
        <f t="shared" si="149"/>
        <v>#DIV/0!</v>
      </c>
      <c r="DN119" s="48">
        <f>SUMIF(FCR!$BZ$4:$DB$142,DM119,FCR!$DE$4:$EG$142)</f>
        <v>0</v>
      </c>
      <c r="DO119" s="53" t="e">
        <f t="shared" si="150"/>
        <v>#DIV/0!</v>
      </c>
      <c r="DP119" s="55" t="e">
        <f t="shared" si="151"/>
        <v>#DIV/0!</v>
      </c>
      <c r="DQ119" s="55" t="e">
        <f t="shared" si="152"/>
        <v>#DIV/0!</v>
      </c>
      <c r="DR119" s="55"/>
      <c r="DS119" s="55" t="e">
        <f t="shared" si="153"/>
        <v>#DIV/0!</v>
      </c>
      <c r="DT119" s="55" t="e">
        <f t="shared" si="154"/>
        <v>#DIV/0!</v>
      </c>
      <c r="DU119" s="53">
        <f t="shared" si="155"/>
        <v>0</v>
      </c>
      <c r="DV119" s="59" t="e">
        <f t="shared" si="156"/>
        <v>#DIV/0!</v>
      </c>
    </row>
    <row r="120" spans="30:126">
      <c r="AD120" s="49" t="s">
        <v>411</v>
      </c>
      <c r="AE120" s="49">
        <f t="shared" si="102"/>
        <v>0</v>
      </c>
      <c r="AF120" s="49">
        <f t="shared" si="103"/>
        <v>0</v>
      </c>
      <c r="AG120" s="114">
        <f t="shared" si="104"/>
        <v>0</v>
      </c>
      <c r="AH120" s="104">
        <f t="shared" si="105"/>
        <v>0</v>
      </c>
      <c r="AI120" s="104">
        <f t="shared" si="106"/>
        <v>0</v>
      </c>
      <c r="AJ120" s="104">
        <f t="shared" si="107"/>
        <v>0</v>
      </c>
      <c r="AK120" s="104">
        <f t="shared" si="108"/>
        <v>0</v>
      </c>
      <c r="AL120" s="104">
        <f t="shared" si="109"/>
        <v>0</v>
      </c>
      <c r="AM120" s="104">
        <f t="shared" si="110"/>
        <v>0</v>
      </c>
      <c r="AN120" s="104">
        <f t="shared" si="111"/>
        <v>0</v>
      </c>
      <c r="AO120" s="104">
        <f t="shared" si="112"/>
        <v>0</v>
      </c>
      <c r="AP120" s="104">
        <f t="shared" si="113"/>
        <v>0</v>
      </c>
      <c r="AQ120" s="49">
        <f t="shared" si="114"/>
        <v>0</v>
      </c>
      <c r="AR120" s="104">
        <f t="shared" si="115"/>
        <v>0</v>
      </c>
      <c r="AS120" s="104">
        <f t="shared" si="116"/>
        <v>0</v>
      </c>
      <c r="AT120" s="104">
        <f t="shared" si="117"/>
        <v>0</v>
      </c>
      <c r="AU120" s="104">
        <f t="shared" si="118"/>
        <v>0</v>
      </c>
      <c r="BF120" s="49">
        <f t="shared" si="119"/>
        <v>0</v>
      </c>
      <c r="BG120" s="49">
        <f t="shared" si="120"/>
        <v>0</v>
      </c>
      <c r="BH120" s="54" t="e">
        <f t="shared" si="121"/>
        <v>#DIV/0!</v>
      </c>
      <c r="BI120" s="112" t="e">
        <f t="shared" si="122"/>
        <v>#DIV/0!</v>
      </c>
      <c r="BK120" s="55" t="e">
        <f t="shared" si="123"/>
        <v>#DIV/0!</v>
      </c>
      <c r="BL120" s="55" t="e">
        <f t="shared" si="124"/>
        <v>#DIV/0!</v>
      </c>
      <c r="BM120" s="55" t="e">
        <f t="shared" si="125"/>
        <v>#DIV/0!</v>
      </c>
      <c r="BN120" s="53">
        <f t="shared" si="126"/>
        <v>0</v>
      </c>
      <c r="BO120" s="112" t="e">
        <f t="shared" si="127"/>
        <v>#DIV/0!</v>
      </c>
      <c r="BR120" s="53" t="e">
        <f t="shared" si="128"/>
        <v>#DIV/0!</v>
      </c>
      <c r="BS120" s="53">
        <f t="shared" si="129"/>
        <v>0</v>
      </c>
      <c r="BT120" s="53">
        <f t="shared" si="130"/>
        <v>0</v>
      </c>
      <c r="BU120" s="56" t="e">
        <f t="shared" si="131"/>
        <v>#DIV/0!</v>
      </c>
      <c r="BX120" s="60"/>
      <c r="BY120" s="60"/>
      <c r="BZ120" s="60"/>
      <c r="CA120" s="60"/>
      <c r="CB120" s="60"/>
      <c r="CC120" s="60"/>
      <c r="CD120" s="60"/>
      <c r="CE120" s="60"/>
      <c r="CF120" s="60"/>
      <c r="CG120" s="60"/>
      <c r="CH120" s="60"/>
      <c r="CI120" s="60"/>
      <c r="CJ120" s="60"/>
      <c r="CK120" s="60"/>
      <c r="CL120" s="60"/>
      <c r="CM120" s="60"/>
      <c r="CN120" s="60"/>
      <c r="CO120" s="60"/>
      <c r="CP120" s="60"/>
      <c r="CQ120" s="60"/>
      <c r="CR120" s="60"/>
      <c r="CS120" s="60"/>
      <c r="CT120" s="57">
        <f t="shared" si="132"/>
        <v>0</v>
      </c>
      <c r="CU120" s="57">
        <f t="shared" si="133"/>
        <v>0</v>
      </c>
      <c r="CV120" s="53">
        <f t="shared" si="134"/>
        <v>0</v>
      </c>
      <c r="CW120" s="53">
        <f t="shared" si="135"/>
        <v>0</v>
      </c>
      <c r="CX120" s="58" t="e">
        <f t="shared" si="136"/>
        <v>#DIV/0!</v>
      </c>
      <c r="CY120" s="53">
        <f t="shared" si="137"/>
        <v>0</v>
      </c>
      <c r="CZ120" s="53">
        <f t="shared" si="138"/>
        <v>0</v>
      </c>
      <c r="DA120" s="58" t="e">
        <f t="shared" si="139"/>
        <v>#DIV/0!</v>
      </c>
      <c r="DB120" s="48" t="e">
        <f t="shared" si="140"/>
        <v>#DIV/0!</v>
      </c>
      <c r="DC120" s="48" t="e">
        <f t="shared" si="141"/>
        <v>#DIV/0!</v>
      </c>
      <c r="DD120" s="48" t="e">
        <f t="shared" si="142"/>
        <v>#DIV/0!</v>
      </c>
      <c r="DE120" s="48" t="e">
        <f t="shared" si="143"/>
        <v>#DIV/0!</v>
      </c>
      <c r="DF120" s="48" t="e">
        <f t="shared" si="144"/>
        <v>#DIV/0!</v>
      </c>
      <c r="DG120" s="48" t="e">
        <f t="shared" si="145"/>
        <v>#DIV/0!</v>
      </c>
      <c r="DH120" s="48">
        <f>SUMIF(FCR!$BZ$4:$DB$500,DG120,FCR!$DE$4:$EG$500)</f>
        <v>0</v>
      </c>
      <c r="DI120" s="48" t="e">
        <f t="shared" si="146"/>
        <v>#DIV/0!</v>
      </c>
      <c r="DJ120" s="48">
        <f>SUMIF(FCR!$BZ$4:$DB$142,DI120,FCR!$DE$4:$EG$142)</f>
        <v>0</v>
      </c>
      <c r="DK120" s="48" t="e">
        <f t="shared" si="147"/>
        <v>#DIV/0!</v>
      </c>
      <c r="DL120" s="55" t="e">
        <f t="shared" si="148"/>
        <v>#DIV/0!</v>
      </c>
      <c r="DM120" s="48" t="e">
        <f t="shared" si="149"/>
        <v>#DIV/0!</v>
      </c>
      <c r="DN120" s="48">
        <f>SUMIF(FCR!$BZ$4:$DB$142,DM120,FCR!$DE$4:$EG$142)</f>
        <v>0</v>
      </c>
      <c r="DO120" s="53" t="e">
        <f t="shared" si="150"/>
        <v>#DIV/0!</v>
      </c>
      <c r="DP120" s="55" t="e">
        <f t="shared" si="151"/>
        <v>#DIV/0!</v>
      </c>
      <c r="DQ120" s="55" t="e">
        <f t="shared" si="152"/>
        <v>#DIV/0!</v>
      </c>
      <c r="DR120" s="55"/>
      <c r="DS120" s="55" t="e">
        <f t="shared" si="153"/>
        <v>#DIV/0!</v>
      </c>
      <c r="DT120" s="55" t="e">
        <f t="shared" si="154"/>
        <v>#DIV/0!</v>
      </c>
      <c r="DU120" s="53">
        <f t="shared" si="155"/>
        <v>0</v>
      </c>
      <c r="DV120" s="59" t="e">
        <f t="shared" si="156"/>
        <v>#DIV/0!</v>
      </c>
    </row>
    <row r="121" spans="30:126">
      <c r="AD121" s="49" t="s">
        <v>411</v>
      </c>
      <c r="AE121" s="49">
        <f t="shared" si="102"/>
        <v>0</v>
      </c>
      <c r="AF121" s="49">
        <f t="shared" si="103"/>
        <v>0</v>
      </c>
      <c r="AG121" s="114">
        <f t="shared" si="104"/>
        <v>0</v>
      </c>
      <c r="AH121" s="104">
        <f t="shared" si="105"/>
        <v>0</v>
      </c>
      <c r="AI121" s="104">
        <f t="shared" si="106"/>
        <v>0</v>
      </c>
      <c r="AJ121" s="104">
        <f t="shared" si="107"/>
        <v>0</v>
      </c>
      <c r="AK121" s="104">
        <f t="shared" si="108"/>
        <v>0</v>
      </c>
      <c r="AL121" s="104">
        <f t="shared" si="109"/>
        <v>0</v>
      </c>
      <c r="AM121" s="104">
        <f t="shared" si="110"/>
        <v>0</v>
      </c>
      <c r="AN121" s="104">
        <f t="shared" si="111"/>
        <v>0</v>
      </c>
      <c r="AO121" s="104">
        <f t="shared" si="112"/>
        <v>0</v>
      </c>
      <c r="AP121" s="104">
        <f t="shared" si="113"/>
        <v>0</v>
      </c>
      <c r="AQ121" s="49">
        <f t="shared" si="114"/>
        <v>0</v>
      </c>
      <c r="AR121" s="104">
        <f t="shared" si="115"/>
        <v>0</v>
      </c>
      <c r="AS121" s="104">
        <f t="shared" si="116"/>
        <v>0</v>
      </c>
      <c r="AT121" s="104">
        <f t="shared" si="117"/>
        <v>0</v>
      </c>
      <c r="AU121" s="104">
        <f t="shared" si="118"/>
        <v>0</v>
      </c>
      <c r="BF121" s="49">
        <f t="shared" si="119"/>
        <v>0</v>
      </c>
      <c r="BG121" s="49">
        <f t="shared" si="120"/>
        <v>0</v>
      </c>
      <c r="BH121" s="54" t="e">
        <f t="shared" si="121"/>
        <v>#DIV/0!</v>
      </c>
      <c r="BI121" s="112" t="e">
        <f t="shared" si="122"/>
        <v>#DIV/0!</v>
      </c>
      <c r="BK121" s="55" t="e">
        <f t="shared" si="123"/>
        <v>#DIV/0!</v>
      </c>
      <c r="BL121" s="55" t="e">
        <f t="shared" si="124"/>
        <v>#DIV/0!</v>
      </c>
      <c r="BM121" s="55" t="e">
        <f t="shared" si="125"/>
        <v>#DIV/0!</v>
      </c>
      <c r="BN121" s="53">
        <f t="shared" si="126"/>
        <v>0</v>
      </c>
      <c r="BO121" s="112" t="e">
        <f t="shared" si="127"/>
        <v>#DIV/0!</v>
      </c>
      <c r="BR121" s="53" t="e">
        <f t="shared" si="128"/>
        <v>#DIV/0!</v>
      </c>
      <c r="BS121" s="53">
        <f t="shared" si="129"/>
        <v>0</v>
      </c>
      <c r="BT121" s="53">
        <f t="shared" si="130"/>
        <v>0</v>
      </c>
      <c r="BU121" s="56" t="e">
        <f t="shared" si="131"/>
        <v>#DIV/0!</v>
      </c>
      <c r="BX121" s="60"/>
      <c r="BY121" s="60"/>
      <c r="BZ121" s="60"/>
      <c r="CA121" s="60"/>
      <c r="CB121" s="60"/>
      <c r="CC121" s="60"/>
      <c r="CD121" s="60"/>
      <c r="CE121" s="60"/>
      <c r="CF121" s="60"/>
      <c r="CG121" s="60"/>
      <c r="CH121" s="60"/>
      <c r="CI121" s="60"/>
      <c r="CJ121" s="60"/>
      <c r="CK121" s="60"/>
      <c r="CL121" s="60"/>
      <c r="CM121" s="60"/>
      <c r="CN121" s="60"/>
      <c r="CO121" s="60"/>
      <c r="CP121" s="60"/>
      <c r="CQ121" s="60"/>
      <c r="CR121" s="60"/>
      <c r="CS121" s="60"/>
      <c r="CT121" s="57">
        <f t="shared" si="132"/>
        <v>0</v>
      </c>
      <c r="CU121" s="57">
        <f t="shared" si="133"/>
        <v>0</v>
      </c>
      <c r="CV121" s="53">
        <f t="shared" si="134"/>
        <v>0</v>
      </c>
      <c r="CW121" s="53">
        <f t="shared" si="135"/>
        <v>0</v>
      </c>
      <c r="CX121" s="58" t="e">
        <f t="shared" si="136"/>
        <v>#DIV/0!</v>
      </c>
      <c r="CY121" s="53">
        <f t="shared" si="137"/>
        <v>0</v>
      </c>
      <c r="CZ121" s="53">
        <f t="shared" si="138"/>
        <v>0</v>
      </c>
      <c r="DA121" s="58" t="e">
        <f t="shared" si="139"/>
        <v>#DIV/0!</v>
      </c>
      <c r="DB121" s="48" t="e">
        <f t="shared" si="140"/>
        <v>#DIV/0!</v>
      </c>
      <c r="DC121" s="48" t="e">
        <f t="shared" si="141"/>
        <v>#DIV/0!</v>
      </c>
      <c r="DD121" s="48" t="e">
        <f t="shared" si="142"/>
        <v>#DIV/0!</v>
      </c>
      <c r="DE121" s="48" t="e">
        <f t="shared" si="143"/>
        <v>#DIV/0!</v>
      </c>
      <c r="DF121" s="48" t="e">
        <f t="shared" si="144"/>
        <v>#DIV/0!</v>
      </c>
      <c r="DG121" s="48" t="e">
        <f t="shared" si="145"/>
        <v>#DIV/0!</v>
      </c>
      <c r="DH121" s="48">
        <f>SUMIF(FCR!$BZ$4:$DB$500,DG121,FCR!$DE$4:$EG$500)</f>
        <v>0</v>
      </c>
      <c r="DI121" s="48" t="e">
        <f t="shared" si="146"/>
        <v>#DIV/0!</v>
      </c>
      <c r="DJ121" s="48">
        <f>SUMIF(FCR!$BZ$4:$DB$142,DI121,FCR!$DE$4:$EG$142)</f>
        <v>0</v>
      </c>
      <c r="DK121" s="48" t="e">
        <f t="shared" si="147"/>
        <v>#DIV/0!</v>
      </c>
      <c r="DL121" s="55" t="e">
        <f t="shared" si="148"/>
        <v>#DIV/0!</v>
      </c>
      <c r="DM121" s="48" t="e">
        <f t="shared" si="149"/>
        <v>#DIV/0!</v>
      </c>
      <c r="DN121" s="48">
        <f>SUMIF(FCR!$BZ$4:$DB$142,DM121,FCR!$DE$4:$EG$142)</f>
        <v>0</v>
      </c>
      <c r="DO121" s="53" t="e">
        <f t="shared" si="150"/>
        <v>#DIV/0!</v>
      </c>
      <c r="DP121" s="55" t="e">
        <f t="shared" si="151"/>
        <v>#DIV/0!</v>
      </c>
      <c r="DQ121" s="55" t="e">
        <f t="shared" si="152"/>
        <v>#DIV/0!</v>
      </c>
      <c r="DR121" s="55"/>
      <c r="DS121" s="55" t="e">
        <f t="shared" si="153"/>
        <v>#DIV/0!</v>
      </c>
      <c r="DT121" s="55" t="e">
        <f t="shared" si="154"/>
        <v>#DIV/0!</v>
      </c>
      <c r="DU121" s="53">
        <f t="shared" si="155"/>
        <v>0</v>
      </c>
      <c r="DV121" s="59" t="e">
        <f t="shared" si="156"/>
        <v>#DIV/0!</v>
      </c>
    </row>
    <row r="122" spans="30:126">
      <c r="AD122" s="49" t="s">
        <v>411</v>
      </c>
      <c r="AE122" s="49">
        <f t="shared" si="102"/>
        <v>0</v>
      </c>
      <c r="AF122" s="49">
        <f t="shared" si="103"/>
        <v>0</v>
      </c>
      <c r="AG122" s="114">
        <f t="shared" si="104"/>
        <v>0</v>
      </c>
      <c r="AH122" s="104">
        <f t="shared" si="105"/>
        <v>0</v>
      </c>
      <c r="AI122" s="104">
        <f t="shared" si="106"/>
        <v>0</v>
      </c>
      <c r="AJ122" s="104">
        <f t="shared" si="107"/>
        <v>0</v>
      </c>
      <c r="AK122" s="104">
        <f t="shared" si="108"/>
        <v>0</v>
      </c>
      <c r="AL122" s="104">
        <f t="shared" si="109"/>
        <v>0</v>
      </c>
      <c r="AM122" s="104">
        <f t="shared" si="110"/>
        <v>0</v>
      </c>
      <c r="AN122" s="104">
        <f t="shared" si="111"/>
        <v>0</v>
      </c>
      <c r="AO122" s="104">
        <f t="shared" si="112"/>
        <v>0</v>
      </c>
      <c r="AP122" s="104">
        <f t="shared" si="113"/>
        <v>0</v>
      </c>
      <c r="AQ122" s="49">
        <f t="shared" si="114"/>
        <v>0</v>
      </c>
      <c r="AR122" s="104">
        <f t="shared" si="115"/>
        <v>0</v>
      </c>
      <c r="AS122" s="104">
        <f t="shared" si="116"/>
        <v>0</v>
      </c>
      <c r="AT122" s="104">
        <f t="shared" si="117"/>
        <v>0</v>
      </c>
      <c r="AU122" s="104">
        <f t="shared" si="118"/>
        <v>0</v>
      </c>
      <c r="BF122" s="49">
        <f t="shared" si="119"/>
        <v>0</v>
      </c>
      <c r="BG122" s="49">
        <f t="shared" si="120"/>
        <v>0</v>
      </c>
      <c r="BH122" s="54" t="e">
        <f t="shared" si="121"/>
        <v>#DIV/0!</v>
      </c>
      <c r="BI122" s="112" t="e">
        <f t="shared" si="122"/>
        <v>#DIV/0!</v>
      </c>
      <c r="BK122" s="55" t="e">
        <f t="shared" si="123"/>
        <v>#DIV/0!</v>
      </c>
      <c r="BL122" s="55" t="e">
        <f t="shared" si="124"/>
        <v>#DIV/0!</v>
      </c>
      <c r="BM122" s="55" t="e">
        <f t="shared" si="125"/>
        <v>#DIV/0!</v>
      </c>
      <c r="BN122" s="53">
        <f t="shared" si="126"/>
        <v>0</v>
      </c>
      <c r="BO122" s="112" t="e">
        <f t="shared" si="127"/>
        <v>#DIV/0!</v>
      </c>
      <c r="BR122" s="53" t="e">
        <f t="shared" si="128"/>
        <v>#DIV/0!</v>
      </c>
      <c r="BS122" s="53">
        <f t="shared" si="129"/>
        <v>0</v>
      </c>
      <c r="BT122" s="53">
        <f t="shared" si="130"/>
        <v>0</v>
      </c>
      <c r="BU122" s="56" t="e">
        <f t="shared" si="131"/>
        <v>#DIV/0!</v>
      </c>
      <c r="BX122" s="60"/>
      <c r="BY122" s="60"/>
      <c r="BZ122" s="60"/>
      <c r="CA122" s="60"/>
      <c r="CB122" s="60"/>
      <c r="CC122" s="60"/>
      <c r="CD122" s="60"/>
      <c r="CE122" s="60"/>
      <c r="CF122" s="60"/>
      <c r="CG122" s="60"/>
      <c r="CH122" s="60"/>
      <c r="CI122" s="60"/>
      <c r="CJ122" s="60"/>
      <c r="CK122" s="60"/>
      <c r="CL122" s="60"/>
      <c r="CM122" s="60"/>
      <c r="CN122" s="60"/>
      <c r="CO122" s="60"/>
      <c r="CP122" s="60"/>
      <c r="CQ122" s="60"/>
      <c r="CR122" s="60"/>
      <c r="CS122" s="60"/>
      <c r="CT122" s="57">
        <f t="shared" si="132"/>
        <v>0</v>
      </c>
      <c r="CU122" s="57">
        <f t="shared" si="133"/>
        <v>0</v>
      </c>
      <c r="CV122" s="53">
        <f t="shared" si="134"/>
        <v>0</v>
      </c>
      <c r="CW122" s="53">
        <f t="shared" si="135"/>
        <v>0</v>
      </c>
      <c r="CX122" s="58" t="e">
        <f t="shared" si="136"/>
        <v>#DIV/0!</v>
      </c>
      <c r="CY122" s="53">
        <f t="shared" si="137"/>
        <v>0</v>
      </c>
      <c r="CZ122" s="53">
        <f t="shared" si="138"/>
        <v>0</v>
      </c>
      <c r="DA122" s="58" t="e">
        <f t="shared" si="139"/>
        <v>#DIV/0!</v>
      </c>
      <c r="DB122" s="48" t="e">
        <f t="shared" si="140"/>
        <v>#DIV/0!</v>
      </c>
      <c r="DC122" s="48" t="e">
        <f t="shared" si="141"/>
        <v>#DIV/0!</v>
      </c>
      <c r="DD122" s="48" t="e">
        <f t="shared" si="142"/>
        <v>#DIV/0!</v>
      </c>
      <c r="DE122" s="48" t="e">
        <f t="shared" si="143"/>
        <v>#DIV/0!</v>
      </c>
      <c r="DF122" s="48" t="e">
        <f t="shared" si="144"/>
        <v>#DIV/0!</v>
      </c>
      <c r="DG122" s="48" t="e">
        <f t="shared" si="145"/>
        <v>#DIV/0!</v>
      </c>
      <c r="DH122" s="48">
        <f>SUMIF(FCR!$BZ$4:$DB$500,DG122,FCR!$DE$4:$EG$500)</f>
        <v>0</v>
      </c>
      <c r="DI122" s="48" t="e">
        <f t="shared" si="146"/>
        <v>#DIV/0!</v>
      </c>
      <c r="DJ122" s="48">
        <f>SUMIF(FCR!$BZ$4:$DB$142,DI122,FCR!$DE$4:$EG$142)</f>
        <v>0</v>
      </c>
      <c r="DK122" s="48" t="e">
        <f t="shared" si="147"/>
        <v>#DIV/0!</v>
      </c>
      <c r="DL122" s="55" t="e">
        <f t="shared" si="148"/>
        <v>#DIV/0!</v>
      </c>
      <c r="DM122" s="48" t="e">
        <f t="shared" si="149"/>
        <v>#DIV/0!</v>
      </c>
      <c r="DN122" s="48">
        <f>SUMIF(FCR!$BZ$4:$DB$142,DM122,FCR!$DE$4:$EG$142)</f>
        <v>0</v>
      </c>
      <c r="DO122" s="53" t="e">
        <f t="shared" si="150"/>
        <v>#DIV/0!</v>
      </c>
      <c r="DP122" s="55" t="e">
        <f t="shared" si="151"/>
        <v>#DIV/0!</v>
      </c>
      <c r="DQ122" s="55" t="e">
        <f t="shared" si="152"/>
        <v>#DIV/0!</v>
      </c>
      <c r="DR122" s="55"/>
      <c r="DS122" s="55" t="e">
        <f t="shared" si="153"/>
        <v>#DIV/0!</v>
      </c>
      <c r="DT122" s="55" t="e">
        <f t="shared" si="154"/>
        <v>#DIV/0!</v>
      </c>
      <c r="DU122" s="53">
        <f t="shared" si="155"/>
        <v>0</v>
      </c>
      <c r="DV122" s="59" t="e">
        <f t="shared" si="156"/>
        <v>#DIV/0!</v>
      </c>
    </row>
    <row r="123" spans="30:126">
      <c r="AD123" s="49" t="s">
        <v>411</v>
      </c>
      <c r="AE123" s="49">
        <f t="shared" si="102"/>
        <v>0</v>
      </c>
      <c r="AF123" s="49">
        <f t="shared" si="103"/>
        <v>0</v>
      </c>
      <c r="AG123" s="114">
        <f t="shared" si="104"/>
        <v>0</v>
      </c>
      <c r="AH123" s="104">
        <f t="shared" si="105"/>
        <v>0</v>
      </c>
      <c r="AI123" s="104">
        <f t="shared" si="106"/>
        <v>0</v>
      </c>
      <c r="AJ123" s="104">
        <f t="shared" si="107"/>
        <v>0</v>
      </c>
      <c r="AK123" s="104">
        <f t="shared" si="108"/>
        <v>0</v>
      </c>
      <c r="AL123" s="104">
        <f t="shared" si="109"/>
        <v>0</v>
      </c>
      <c r="AM123" s="104">
        <f t="shared" si="110"/>
        <v>0</v>
      </c>
      <c r="AN123" s="104">
        <f t="shared" si="111"/>
        <v>0</v>
      </c>
      <c r="AO123" s="104">
        <f t="shared" si="112"/>
        <v>0</v>
      </c>
      <c r="AP123" s="104">
        <f t="shared" si="113"/>
        <v>0</v>
      </c>
      <c r="AQ123" s="49">
        <f t="shared" si="114"/>
        <v>0</v>
      </c>
      <c r="AR123" s="104">
        <f t="shared" si="115"/>
        <v>0</v>
      </c>
      <c r="AS123" s="104">
        <f t="shared" si="116"/>
        <v>0</v>
      </c>
      <c r="AT123" s="104">
        <f t="shared" si="117"/>
        <v>0</v>
      </c>
      <c r="AU123" s="104">
        <f t="shared" si="118"/>
        <v>0</v>
      </c>
      <c r="BF123" s="49">
        <f t="shared" si="119"/>
        <v>0</v>
      </c>
      <c r="BG123" s="49">
        <f t="shared" si="120"/>
        <v>0</v>
      </c>
      <c r="BH123" s="54" t="e">
        <f t="shared" si="121"/>
        <v>#DIV/0!</v>
      </c>
      <c r="BI123" s="112" t="e">
        <f t="shared" si="122"/>
        <v>#DIV/0!</v>
      </c>
      <c r="BK123" s="55" t="e">
        <f t="shared" si="123"/>
        <v>#DIV/0!</v>
      </c>
      <c r="BL123" s="55" t="e">
        <f t="shared" si="124"/>
        <v>#DIV/0!</v>
      </c>
      <c r="BM123" s="55" t="e">
        <f t="shared" si="125"/>
        <v>#DIV/0!</v>
      </c>
      <c r="BN123" s="53">
        <f t="shared" si="126"/>
        <v>0</v>
      </c>
      <c r="BO123" s="112" t="e">
        <f t="shared" si="127"/>
        <v>#DIV/0!</v>
      </c>
      <c r="BR123" s="53" t="e">
        <f t="shared" si="128"/>
        <v>#DIV/0!</v>
      </c>
      <c r="BS123" s="53">
        <f t="shared" si="129"/>
        <v>0</v>
      </c>
      <c r="BT123" s="53">
        <f t="shared" si="130"/>
        <v>0</v>
      </c>
      <c r="BU123" s="56" t="e">
        <f t="shared" si="131"/>
        <v>#DIV/0!</v>
      </c>
      <c r="BX123" s="60"/>
      <c r="BY123" s="60"/>
      <c r="BZ123" s="60"/>
      <c r="CA123" s="60"/>
      <c r="CB123" s="60"/>
      <c r="CC123" s="60"/>
      <c r="CD123" s="60"/>
      <c r="CE123" s="60"/>
      <c r="CF123" s="60"/>
      <c r="CG123" s="60"/>
      <c r="CH123" s="60"/>
      <c r="CI123" s="60"/>
      <c r="CJ123" s="60"/>
      <c r="CK123" s="60"/>
      <c r="CL123" s="60"/>
      <c r="CM123" s="60"/>
      <c r="CN123" s="60"/>
      <c r="CO123" s="60"/>
      <c r="CP123" s="60"/>
      <c r="CQ123" s="60"/>
      <c r="CR123" s="60"/>
      <c r="CS123" s="60"/>
      <c r="CT123" s="57">
        <f t="shared" si="132"/>
        <v>0</v>
      </c>
      <c r="CU123" s="57">
        <f t="shared" si="133"/>
        <v>0</v>
      </c>
      <c r="CV123" s="53">
        <f t="shared" si="134"/>
        <v>0</v>
      </c>
      <c r="CW123" s="53">
        <f t="shared" si="135"/>
        <v>0</v>
      </c>
      <c r="CX123" s="58" t="e">
        <f t="shared" si="136"/>
        <v>#DIV/0!</v>
      </c>
      <c r="CY123" s="53">
        <f t="shared" si="137"/>
        <v>0</v>
      </c>
      <c r="CZ123" s="53">
        <f t="shared" si="138"/>
        <v>0</v>
      </c>
      <c r="DA123" s="58" t="e">
        <f t="shared" si="139"/>
        <v>#DIV/0!</v>
      </c>
      <c r="DB123" s="48" t="e">
        <f t="shared" si="140"/>
        <v>#DIV/0!</v>
      </c>
      <c r="DC123" s="48" t="e">
        <f t="shared" si="141"/>
        <v>#DIV/0!</v>
      </c>
      <c r="DD123" s="48" t="e">
        <f t="shared" si="142"/>
        <v>#DIV/0!</v>
      </c>
      <c r="DE123" s="48" t="e">
        <f t="shared" si="143"/>
        <v>#DIV/0!</v>
      </c>
      <c r="DF123" s="48" t="e">
        <f t="shared" si="144"/>
        <v>#DIV/0!</v>
      </c>
      <c r="DG123" s="48" t="e">
        <f t="shared" si="145"/>
        <v>#DIV/0!</v>
      </c>
      <c r="DH123" s="48">
        <f>SUMIF(FCR!$BZ$4:$DB$500,DG123,FCR!$DE$4:$EG$500)</f>
        <v>0</v>
      </c>
      <c r="DI123" s="48" t="e">
        <f t="shared" si="146"/>
        <v>#DIV/0!</v>
      </c>
      <c r="DJ123" s="48">
        <f>SUMIF(FCR!$BZ$4:$DB$142,DI123,FCR!$DE$4:$EG$142)</f>
        <v>0</v>
      </c>
      <c r="DK123" s="48" t="e">
        <f t="shared" si="147"/>
        <v>#DIV/0!</v>
      </c>
      <c r="DL123" s="55" t="e">
        <f t="shared" si="148"/>
        <v>#DIV/0!</v>
      </c>
      <c r="DM123" s="48" t="e">
        <f t="shared" si="149"/>
        <v>#DIV/0!</v>
      </c>
      <c r="DN123" s="48">
        <f>SUMIF(FCR!$BZ$4:$DB$142,DM123,FCR!$DE$4:$EG$142)</f>
        <v>0</v>
      </c>
      <c r="DO123" s="53" t="e">
        <f t="shared" si="150"/>
        <v>#DIV/0!</v>
      </c>
      <c r="DP123" s="55" t="e">
        <f t="shared" si="151"/>
        <v>#DIV/0!</v>
      </c>
      <c r="DQ123" s="55" t="e">
        <f t="shared" si="152"/>
        <v>#DIV/0!</v>
      </c>
      <c r="DR123" s="55"/>
      <c r="DS123" s="55" t="e">
        <f t="shared" si="153"/>
        <v>#DIV/0!</v>
      </c>
      <c r="DT123" s="55" t="e">
        <f t="shared" si="154"/>
        <v>#DIV/0!</v>
      </c>
      <c r="DU123" s="53">
        <f t="shared" si="155"/>
        <v>0</v>
      </c>
      <c r="DV123" s="59" t="e">
        <f t="shared" si="156"/>
        <v>#DIV/0!</v>
      </c>
    </row>
    <row r="124" spans="30:126">
      <c r="AD124" s="49" t="s">
        <v>411</v>
      </c>
      <c r="AE124" s="49">
        <f t="shared" si="102"/>
        <v>0</v>
      </c>
      <c r="AF124" s="49">
        <f t="shared" si="103"/>
        <v>0</v>
      </c>
      <c r="AG124" s="114">
        <f t="shared" si="104"/>
        <v>0</v>
      </c>
      <c r="AH124" s="104">
        <f t="shared" si="105"/>
        <v>0</v>
      </c>
      <c r="AI124" s="104">
        <f t="shared" si="106"/>
        <v>0</v>
      </c>
      <c r="AJ124" s="104">
        <f t="shared" si="107"/>
        <v>0</v>
      </c>
      <c r="AK124" s="104">
        <f t="shared" si="108"/>
        <v>0</v>
      </c>
      <c r="AL124" s="104">
        <f t="shared" si="109"/>
        <v>0</v>
      </c>
      <c r="AM124" s="104">
        <f t="shared" si="110"/>
        <v>0</v>
      </c>
      <c r="AN124" s="104">
        <f t="shared" si="111"/>
        <v>0</v>
      </c>
      <c r="AO124" s="104">
        <f t="shared" si="112"/>
        <v>0</v>
      </c>
      <c r="AP124" s="104">
        <f t="shared" si="113"/>
        <v>0</v>
      </c>
      <c r="AQ124" s="49">
        <f t="shared" si="114"/>
        <v>0</v>
      </c>
      <c r="AR124" s="104">
        <f t="shared" si="115"/>
        <v>0</v>
      </c>
      <c r="AS124" s="104">
        <f t="shared" si="116"/>
        <v>0</v>
      </c>
      <c r="AT124" s="104">
        <f t="shared" si="117"/>
        <v>0</v>
      </c>
      <c r="AU124" s="104">
        <f t="shared" si="118"/>
        <v>0</v>
      </c>
      <c r="BF124" s="49">
        <f t="shared" si="119"/>
        <v>0</v>
      </c>
      <c r="BG124" s="49">
        <f t="shared" si="120"/>
        <v>0</v>
      </c>
      <c r="BH124" s="54" t="e">
        <f t="shared" si="121"/>
        <v>#DIV/0!</v>
      </c>
      <c r="BI124" s="112" t="e">
        <f t="shared" si="122"/>
        <v>#DIV/0!</v>
      </c>
      <c r="BK124" s="55" t="e">
        <f t="shared" si="123"/>
        <v>#DIV/0!</v>
      </c>
      <c r="BL124" s="55" t="e">
        <f t="shared" si="124"/>
        <v>#DIV/0!</v>
      </c>
      <c r="BM124" s="55" t="e">
        <f t="shared" si="125"/>
        <v>#DIV/0!</v>
      </c>
      <c r="BN124" s="53">
        <f t="shared" si="126"/>
        <v>0</v>
      </c>
      <c r="BO124" s="112" t="e">
        <f t="shared" si="127"/>
        <v>#DIV/0!</v>
      </c>
      <c r="BR124" s="53" t="e">
        <f t="shared" si="128"/>
        <v>#DIV/0!</v>
      </c>
      <c r="BS124" s="53">
        <f t="shared" si="129"/>
        <v>0</v>
      </c>
      <c r="BT124" s="53">
        <f t="shared" si="130"/>
        <v>0</v>
      </c>
      <c r="BU124" s="56" t="e">
        <f t="shared" si="131"/>
        <v>#DIV/0!</v>
      </c>
      <c r="BX124" s="60"/>
      <c r="BY124" s="60"/>
      <c r="BZ124" s="60"/>
      <c r="CA124" s="60"/>
      <c r="CB124" s="60"/>
      <c r="CC124" s="60"/>
      <c r="CD124" s="60"/>
      <c r="CE124" s="60"/>
      <c r="CF124" s="60"/>
      <c r="CG124" s="60"/>
      <c r="CH124" s="60"/>
      <c r="CI124" s="60"/>
      <c r="CJ124" s="60"/>
      <c r="CK124" s="60"/>
      <c r="CL124" s="60"/>
      <c r="CM124" s="60"/>
      <c r="CN124" s="60"/>
      <c r="CO124" s="60"/>
      <c r="CP124" s="60"/>
      <c r="CQ124" s="60"/>
      <c r="CR124" s="60"/>
      <c r="CS124" s="60"/>
      <c r="CT124" s="57">
        <f t="shared" si="132"/>
        <v>0</v>
      </c>
      <c r="CU124" s="57">
        <f t="shared" si="133"/>
        <v>0</v>
      </c>
      <c r="CV124" s="53">
        <f t="shared" si="134"/>
        <v>0</v>
      </c>
      <c r="CW124" s="53">
        <f t="shared" si="135"/>
        <v>0</v>
      </c>
      <c r="CX124" s="58" t="e">
        <f t="shared" si="136"/>
        <v>#DIV/0!</v>
      </c>
      <c r="CY124" s="53">
        <f t="shared" si="137"/>
        <v>0</v>
      </c>
      <c r="CZ124" s="53">
        <f t="shared" si="138"/>
        <v>0</v>
      </c>
      <c r="DA124" s="58" t="e">
        <f t="shared" si="139"/>
        <v>#DIV/0!</v>
      </c>
      <c r="DB124" s="48" t="e">
        <f t="shared" si="140"/>
        <v>#DIV/0!</v>
      </c>
      <c r="DC124" s="48" t="e">
        <f t="shared" si="141"/>
        <v>#DIV/0!</v>
      </c>
      <c r="DD124" s="48" t="e">
        <f t="shared" si="142"/>
        <v>#DIV/0!</v>
      </c>
      <c r="DE124" s="48" t="e">
        <f t="shared" si="143"/>
        <v>#DIV/0!</v>
      </c>
      <c r="DF124" s="48" t="e">
        <f t="shared" si="144"/>
        <v>#DIV/0!</v>
      </c>
      <c r="DG124" s="48" t="e">
        <f t="shared" si="145"/>
        <v>#DIV/0!</v>
      </c>
      <c r="DH124" s="48">
        <f>SUMIF(FCR!$BZ$4:$DB$500,DG124,FCR!$DE$4:$EG$500)</f>
        <v>0</v>
      </c>
      <c r="DI124" s="48" t="e">
        <f t="shared" si="146"/>
        <v>#DIV/0!</v>
      </c>
      <c r="DJ124" s="48">
        <f>SUMIF(FCR!$BZ$4:$DB$142,DI124,FCR!$DE$4:$EG$142)</f>
        <v>0</v>
      </c>
      <c r="DK124" s="48" t="e">
        <f t="shared" si="147"/>
        <v>#DIV/0!</v>
      </c>
      <c r="DL124" s="55" t="e">
        <f t="shared" si="148"/>
        <v>#DIV/0!</v>
      </c>
      <c r="DM124" s="48" t="e">
        <f t="shared" si="149"/>
        <v>#DIV/0!</v>
      </c>
      <c r="DN124" s="48">
        <f>SUMIF(FCR!$BZ$4:$DB$142,DM124,FCR!$DE$4:$EG$142)</f>
        <v>0</v>
      </c>
      <c r="DO124" s="53" t="e">
        <f t="shared" si="150"/>
        <v>#DIV/0!</v>
      </c>
      <c r="DP124" s="55" t="e">
        <f t="shared" si="151"/>
        <v>#DIV/0!</v>
      </c>
      <c r="DQ124" s="55" t="e">
        <f t="shared" si="152"/>
        <v>#DIV/0!</v>
      </c>
      <c r="DR124" s="55"/>
      <c r="DS124" s="55" t="e">
        <f t="shared" si="153"/>
        <v>#DIV/0!</v>
      </c>
      <c r="DT124" s="55" t="e">
        <f t="shared" si="154"/>
        <v>#DIV/0!</v>
      </c>
      <c r="DU124" s="53">
        <f t="shared" si="155"/>
        <v>0</v>
      </c>
      <c r="DV124" s="59" t="e">
        <f t="shared" si="156"/>
        <v>#DIV/0!</v>
      </c>
    </row>
    <row r="125" spans="30:126">
      <c r="AD125" s="49" t="s">
        <v>411</v>
      </c>
      <c r="AE125" s="49">
        <f t="shared" si="102"/>
        <v>0</v>
      </c>
      <c r="AF125" s="49">
        <f t="shared" si="103"/>
        <v>0</v>
      </c>
      <c r="AG125" s="114">
        <f t="shared" si="104"/>
        <v>0</v>
      </c>
      <c r="AH125" s="104">
        <f t="shared" si="105"/>
        <v>0</v>
      </c>
      <c r="AI125" s="104">
        <f t="shared" si="106"/>
        <v>0</v>
      </c>
      <c r="AJ125" s="104">
        <f t="shared" si="107"/>
        <v>0</v>
      </c>
      <c r="AK125" s="104">
        <f t="shared" si="108"/>
        <v>0</v>
      </c>
      <c r="AL125" s="104">
        <f t="shared" si="109"/>
        <v>0</v>
      </c>
      <c r="AM125" s="104">
        <f t="shared" si="110"/>
        <v>0</v>
      </c>
      <c r="AN125" s="104">
        <f t="shared" si="111"/>
        <v>0</v>
      </c>
      <c r="AO125" s="104">
        <f t="shared" si="112"/>
        <v>0</v>
      </c>
      <c r="AP125" s="104">
        <f t="shared" si="113"/>
        <v>0</v>
      </c>
      <c r="AQ125" s="49">
        <f t="shared" si="114"/>
        <v>0</v>
      </c>
      <c r="AR125" s="104">
        <f t="shared" si="115"/>
        <v>0</v>
      </c>
      <c r="AS125" s="104">
        <f t="shared" si="116"/>
        <v>0</v>
      </c>
      <c r="AT125" s="104">
        <f t="shared" si="117"/>
        <v>0</v>
      </c>
      <c r="AU125" s="104">
        <f t="shared" si="118"/>
        <v>0</v>
      </c>
      <c r="BF125" s="49">
        <f t="shared" si="119"/>
        <v>0</v>
      </c>
      <c r="BG125" s="49">
        <f t="shared" si="120"/>
        <v>0</v>
      </c>
      <c r="BH125" s="54" t="e">
        <f t="shared" si="121"/>
        <v>#DIV/0!</v>
      </c>
      <c r="BI125" s="112" t="e">
        <f t="shared" si="122"/>
        <v>#DIV/0!</v>
      </c>
      <c r="BK125" s="55" t="e">
        <f t="shared" si="123"/>
        <v>#DIV/0!</v>
      </c>
      <c r="BL125" s="55" t="e">
        <f t="shared" si="124"/>
        <v>#DIV/0!</v>
      </c>
      <c r="BM125" s="55" t="e">
        <f t="shared" si="125"/>
        <v>#DIV/0!</v>
      </c>
      <c r="BN125" s="53">
        <f t="shared" si="126"/>
        <v>0</v>
      </c>
      <c r="BO125" s="112" t="e">
        <f t="shared" si="127"/>
        <v>#DIV/0!</v>
      </c>
      <c r="BR125" s="53" t="e">
        <f t="shared" si="128"/>
        <v>#DIV/0!</v>
      </c>
      <c r="BS125" s="53">
        <f t="shared" si="129"/>
        <v>0</v>
      </c>
      <c r="BT125" s="53">
        <f t="shared" si="130"/>
        <v>0</v>
      </c>
      <c r="BU125" s="56" t="e">
        <f t="shared" si="131"/>
        <v>#DIV/0!</v>
      </c>
      <c r="BX125" s="60"/>
      <c r="BY125" s="60"/>
      <c r="BZ125" s="60"/>
      <c r="CA125" s="60"/>
      <c r="CB125" s="60"/>
      <c r="CC125" s="60"/>
      <c r="CD125" s="60"/>
      <c r="CE125" s="60"/>
      <c r="CF125" s="60"/>
      <c r="CG125" s="60"/>
      <c r="CH125" s="60"/>
      <c r="CI125" s="60"/>
      <c r="CJ125" s="60"/>
      <c r="CK125" s="60"/>
      <c r="CL125" s="60"/>
      <c r="CM125" s="60"/>
      <c r="CN125" s="60"/>
      <c r="CO125" s="60"/>
      <c r="CP125" s="60"/>
      <c r="CQ125" s="60"/>
      <c r="CR125" s="60"/>
      <c r="CS125" s="60"/>
      <c r="CT125" s="57">
        <f t="shared" si="132"/>
        <v>0</v>
      </c>
      <c r="CU125" s="57">
        <f t="shared" si="133"/>
        <v>0</v>
      </c>
      <c r="CV125" s="53">
        <f t="shared" si="134"/>
        <v>0</v>
      </c>
      <c r="CW125" s="53">
        <f t="shared" si="135"/>
        <v>0</v>
      </c>
      <c r="CX125" s="58" t="e">
        <f t="shared" si="136"/>
        <v>#DIV/0!</v>
      </c>
      <c r="CY125" s="53">
        <f t="shared" si="137"/>
        <v>0</v>
      </c>
      <c r="CZ125" s="53">
        <f t="shared" si="138"/>
        <v>0</v>
      </c>
      <c r="DA125" s="58" t="e">
        <f t="shared" si="139"/>
        <v>#DIV/0!</v>
      </c>
      <c r="DB125" s="48" t="e">
        <f t="shared" si="140"/>
        <v>#DIV/0!</v>
      </c>
      <c r="DC125" s="48" t="e">
        <f t="shared" si="141"/>
        <v>#DIV/0!</v>
      </c>
      <c r="DD125" s="48" t="e">
        <f t="shared" si="142"/>
        <v>#DIV/0!</v>
      </c>
      <c r="DE125" s="48" t="e">
        <f t="shared" si="143"/>
        <v>#DIV/0!</v>
      </c>
      <c r="DF125" s="48" t="e">
        <f t="shared" si="144"/>
        <v>#DIV/0!</v>
      </c>
      <c r="DG125" s="48" t="e">
        <f t="shared" si="145"/>
        <v>#DIV/0!</v>
      </c>
      <c r="DH125" s="48">
        <f>SUMIF(FCR!$BZ$4:$DB$500,DG125,FCR!$DE$4:$EG$500)</f>
        <v>0</v>
      </c>
      <c r="DI125" s="48" t="e">
        <f t="shared" si="146"/>
        <v>#DIV/0!</v>
      </c>
      <c r="DJ125" s="48">
        <f>SUMIF(FCR!$BZ$4:$DB$142,DI125,FCR!$DE$4:$EG$142)</f>
        <v>0</v>
      </c>
      <c r="DK125" s="48" t="e">
        <f t="shared" si="147"/>
        <v>#DIV/0!</v>
      </c>
      <c r="DL125" s="55" t="e">
        <f t="shared" si="148"/>
        <v>#DIV/0!</v>
      </c>
      <c r="DM125" s="48" t="e">
        <f t="shared" si="149"/>
        <v>#DIV/0!</v>
      </c>
      <c r="DN125" s="48">
        <f>SUMIF(FCR!$BZ$4:$DB$142,DM125,FCR!$DE$4:$EG$142)</f>
        <v>0</v>
      </c>
      <c r="DO125" s="53" t="e">
        <f t="shared" si="150"/>
        <v>#DIV/0!</v>
      </c>
      <c r="DP125" s="55" t="e">
        <f t="shared" si="151"/>
        <v>#DIV/0!</v>
      </c>
      <c r="DQ125" s="55" t="e">
        <f t="shared" si="152"/>
        <v>#DIV/0!</v>
      </c>
      <c r="DR125" s="55"/>
      <c r="DS125" s="55" t="e">
        <f t="shared" si="153"/>
        <v>#DIV/0!</v>
      </c>
      <c r="DT125" s="55" t="e">
        <f t="shared" si="154"/>
        <v>#DIV/0!</v>
      </c>
      <c r="DU125" s="53">
        <f t="shared" si="155"/>
        <v>0</v>
      </c>
      <c r="DV125" s="59" t="e">
        <f t="shared" si="156"/>
        <v>#DIV/0!</v>
      </c>
    </row>
    <row r="126" spans="30:126">
      <c r="AD126" s="49" t="s">
        <v>411</v>
      </c>
      <c r="AE126" s="49">
        <f t="shared" si="102"/>
        <v>0</v>
      </c>
      <c r="AF126" s="49">
        <f t="shared" si="103"/>
        <v>0</v>
      </c>
      <c r="AG126" s="114">
        <f t="shared" si="104"/>
        <v>0</v>
      </c>
      <c r="AH126" s="104">
        <f t="shared" si="105"/>
        <v>0</v>
      </c>
      <c r="AI126" s="104">
        <f t="shared" si="106"/>
        <v>0</v>
      </c>
      <c r="AJ126" s="104">
        <f t="shared" si="107"/>
        <v>0</v>
      </c>
      <c r="AK126" s="104">
        <f t="shared" si="108"/>
        <v>0</v>
      </c>
      <c r="AL126" s="104">
        <f t="shared" si="109"/>
        <v>0</v>
      </c>
      <c r="AM126" s="104">
        <f t="shared" si="110"/>
        <v>0</v>
      </c>
      <c r="AN126" s="104">
        <f t="shared" si="111"/>
        <v>0</v>
      </c>
      <c r="AO126" s="104">
        <f t="shared" si="112"/>
        <v>0</v>
      </c>
      <c r="AP126" s="104">
        <f t="shared" si="113"/>
        <v>0</v>
      </c>
      <c r="AQ126" s="49">
        <f t="shared" si="114"/>
        <v>0</v>
      </c>
      <c r="AR126" s="104">
        <f t="shared" si="115"/>
        <v>0</v>
      </c>
      <c r="AS126" s="104">
        <f t="shared" si="116"/>
        <v>0</v>
      </c>
      <c r="AT126" s="104">
        <f t="shared" si="117"/>
        <v>0</v>
      </c>
      <c r="AU126" s="104">
        <f t="shared" si="118"/>
        <v>0</v>
      </c>
      <c r="BF126" s="49">
        <f t="shared" si="119"/>
        <v>0</v>
      </c>
      <c r="BG126" s="49">
        <f t="shared" si="120"/>
        <v>0</v>
      </c>
      <c r="BH126" s="54" t="e">
        <f t="shared" si="121"/>
        <v>#DIV/0!</v>
      </c>
      <c r="BI126" s="112" t="e">
        <f t="shared" si="122"/>
        <v>#DIV/0!</v>
      </c>
      <c r="BK126" s="55" t="e">
        <f t="shared" si="123"/>
        <v>#DIV/0!</v>
      </c>
      <c r="BL126" s="55" t="e">
        <f t="shared" si="124"/>
        <v>#DIV/0!</v>
      </c>
      <c r="BM126" s="55" t="e">
        <f t="shared" si="125"/>
        <v>#DIV/0!</v>
      </c>
      <c r="BN126" s="53">
        <f t="shared" si="126"/>
        <v>0</v>
      </c>
      <c r="BO126" s="112" t="e">
        <f t="shared" si="127"/>
        <v>#DIV/0!</v>
      </c>
      <c r="BR126" s="53" t="e">
        <f t="shared" si="128"/>
        <v>#DIV/0!</v>
      </c>
      <c r="BS126" s="53">
        <f t="shared" si="129"/>
        <v>0</v>
      </c>
      <c r="BT126" s="53">
        <f t="shared" si="130"/>
        <v>0</v>
      </c>
      <c r="BU126" s="56" t="e">
        <f t="shared" si="131"/>
        <v>#DIV/0!</v>
      </c>
      <c r="BX126" s="60"/>
      <c r="BY126" s="60"/>
      <c r="BZ126" s="60"/>
      <c r="CA126" s="60"/>
      <c r="CB126" s="60"/>
      <c r="CC126" s="60"/>
      <c r="CD126" s="60"/>
      <c r="CE126" s="60"/>
      <c r="CF126" s="60"/>
      <c r="CG126" s="60"/>
      <c r="CH126" s="60"/>
      <c r="CI126" s="60"/>
      <c r="CJ126" s="60"/>
      <c r="CK126" s="60"/>
      <c r="CL126" s="60"/>
      <c r="CM126" s="60"/>
      <c r="CN126" s="60"/>
      <c r="CO126" s="60"/>
      <c r="CP126" s="60"/>
      <c r="CQ126" s="60"/>
      <c r="CR126" s="60"/>
      <c r="CS126" s="60"/>
      <c r="CT126" s="57">
        <f t="shared" si="132"/>
        <v>0</v>
      </c>
      <c r="CU126" s="57">
        <f t="shared" si="133"/>
        <v>0</v>
      </c>
      <c r="CV126" s="53">
        <f t="shared" si="134"/>
        <v>0</v>
      </c>
      <c r="CW126" s="53">
        <f t="shared" si="135"/>
        <v>0</v>
      </c>
      <c r="CX126" s="58" t="e">
        <f t="shared" si="136"/>
        <v>#DIV/0!</v>
      </c>
      <c r="CY126" s="53">
        <f t="shared" si="137"/>
        <v>0</v>
      </c>
      <c r="CZ126" s="53">
        <f t="shared" si="138"/>
        <v>0</v>
      </c>
      <c r="DA126" s="58" t="e">
        <f t="shared" si="139"/>
        <v>#DIV/0!</v>
      </c>
      <c r="DB126" s="48" t="e">
        <f t="shared" si="140"/>
        <v>#DIV/0!</v>
      </c>
      <c r="DC126" s="48" t="e">
        <f t="shared" si="141"/>
        <v>#DIV/0!</v>
      </c>
      <c r="DD126" s="48" t="e">
        <f t="shared" si="142"/>
        <v>#DIV/0!</v>
      </c>
      <c r="DE126" s="48" t="e">
        <f t="shared" si="143"/>
        <v>#DIV/0!</v>
      </c>
      <c r="DF126" s="48" t="e">
        <f t="shared" si="144"/>
        <v>#DIV/0!</v>
      </c>
      <c r="DG126" s="48" t="e">
        <f t="shared" si="145"/>
        <v>#DIV/0!</v>
      </c>
      <c r="DH126" s="48">
        <f>SUMIF(FCR!$BZ$4:$DB$500,DG126,FCR!$DE$4:$EG$500)</f>
        <v>0</v>
      </c>
      <c r="DI126" s="48" t="e">
        <f t="shared" si="146"/>
        <v>#DIV/0!</v>
      </c>
      <c r="DJ126" s="48">
        <f>SUMIF(FCR!$BZ$4:$DB$142,DI126,FCR!$DE$4:$EG$142)</f>
        <v>0</v>
      </c>
      <c r="DK126" s="48" t="e">
        <f t="shared" si="147"/>
        <v>#DIV/0!</v>
      </c>
      <c r="DL126" s="55" t="e">
        <f t="shared" si="148"/>
        <v>#DIV/0!</v>
      </c>
      <c r="DM126" s="48" t="e">
        <f t="shared" si="149"/>
        <v>#DIV/0!</v>
      </c>
      <c r="DN126" s="48">
        <f>SUMIF(FCR!$BZ$4:$DB$142,DM126,FCR!$DE$4:$EG$142)</f>
        <v>0</v>
      </c>
      <c r="DO126" s="53" t="e">
        <f t="shared" si="150"/>
        <v>#DIV/0!</v>
      </c>
      <c r="DP126" s="55" t="e">
        <f t="shared" si="151"/>
        <v>#DIV/0!</v>
      </c>
      <c r="DQ126" s="55" t="e">
        <f t="shared" si="152"/>
        <v>#DIV/0!</v>
      </c>
      <c r="DR126" s="55"/>
      <c r="DS126" s="55" t="e">
        <f t="shared" si="153"/>
        <v>#DIV/0!</v>
      </c>
      <c r="DT126" s="55" t="e">
        <f t="shared" si="154"/>
        <v>#DIV/0!</v>
      </c>
      <c r="DU126" s="53">
        <f t="shared" si="155"/>
        <v>0</v>
      </c>
      <c r="DV126" s="59" t="e">
        <f t="shared" si="156"/>
        <v>#DIV/0!</v>
      </c>
    </row>
    <row r="127" spans="30:126">
      <c r="AD127" s="49" t="s">
        <v>411</v>
      </c>
      <c r="AE127" s="49">
        <f t="shared" si="102"/>
        <v>0</v>
      </c>
      <c r="AF127" s="49">
        <f t="shared" si="103"/>
        <v>0</v>
      </c>
      <c r="AG127" s="114">
        <f t="shared" si="104"/>
        <v>0</v>
      </c>
      <c r="AH127" s="104">
        <f t="shared" si="105"/>
        <v>0</v>
      </c>
      <c r="AI127" s="104">
        <f t="shared" si="106"/>
        <v>0</v>
      </c>
      <c r="AJ127" s="104">
        <f t="shared" si="107"/>
        <v>0</v>
      </c>
      <c r="AK127" s="104">
        <f t="shared" si="108"/>
        <v>0</v>
      </c>
      <c r="AL127" s="104">
        <f t="shared" si="109"/>
        <v>0</v>
      </c>
      <c r="AM127" s="104">
        <f t="shared" si="110"/>
        <v>0</v>
      </c>
      <c r="AN127" s="104">
        <f t="shared" si="111"/>
        <v>0</v>
      </c>
      <c r="AO127" s="104">
        <f t="shared" si="112"/>
        <v>0</v>
      </c>
      <c r="AP127" s="104">
        <f t="shared" si="113"/>
        <v>0</v>
      </c>
      <c r="AQ127" s="49">
        <f t="shared" si="114"/>
        <v>0</v>
      </c>
      <c r="AR127" s="104">
        <f t="shared" si="115"/>
        <v>0</v>
      </c>
      <c r="AS127" s="104">
        <f t="shared" si="116"/>
        <v>0</v>
      </c>
      <c r="AT127" s="104">
        <f t="shared" si="117"/>
        <v>0</v>
      </c>
      <c r="AU127" s="104">
        <f t="shared" si="118"/>
        <v>0</v>
      </c>
      <c r="BF127" s="49">
        <f t="shared" si="119"/>
        <v>0</v>
      </c>
      <c r="BG127" s="49">
        <f t="shared" si="120"/>
        <v>0</v>
      </c>
      <c r="BH127" s="54" t="e">
        <f t="shared" si="121"/>
        <v>#DIV/0!</v>
      </c>
      <c r="BI127" s="112" t="e">
        <f t="shared" si="122"/>
        <v>#DIV/0!</v>
      </c>
      <c r="BK127" s="55" t="e">
        <f t="shared" si="123"/>
        <v>#DIV/0!</v>
      </c>
      <c r="BL127" s="55" t="e">
        <f t="shared" si="124"/>
        <v>#DIV/0!</v>
      </c>
      <c r="BM127" s="55" t="e">
        <f t="shared" si="125"/>
        <v>#DIV/0!</v>
      </c>
      <c r="BN127" s="53">
        <f t="shared" si="126"/>
        <v>0</v>
      </c>
      <c r="BO127" s="112" t="e">
        <f t="shared" si="127"/>
        <v>#DIV/0!</v>
      </c>
      <c r="BR127" s="53" t="e">
        <f t="shared" si="128"/>
        <v>#DIV/0!</v>
      </c>
      <c r="BS127" s="53">
        <f t="shared" si="129"/>
        <v>0</v>
      </c>
      <c r="BT127" s="53">
        <f t="shared" si="130"/>
        <v>0</v>
      </c>
      <c r="BU127" s="56" t="e">
        <f t="shared" si="131"/>
        <v>#DIV/0!</v>
      </c>
      <c r="BX127" s="60"/>
      <c r="BY127" s="60"/>
      <c r="BZ127" s="60"/>
      <c r="CA127" s="60"/>
      <c r="CB127" s="60"/>
      <c r="CC127" s="60"/>
      <c r="CD127" s="60"/>
      <c r="CE127" s="60"/>
      <c r="CF127" s="60"/>
      <c r="CG127" s="60"/>
      <c r="CH127" s="60"/>
      <c r="CI127" s="60"/>
      <c r="CJ127" s="60"/>
      <c r="CK127" s="60"/>
      <c r="CL127" s="60"/>
      <c r="CM127" s="60"/>
      <c r="CN127" s="60"/>
      <c r="CO127" s="60"/>
      <c r="CP127" s="60"/>
      <c r="CQ127" s="60"/>
      <c r="CR127" s="60"/>
      <c r="CS127" s="60"/>
      <c r="CT127" s="57">
        <f t="shared" si="132"/>
        <v>0</v>
      </c>
      <c r="CU127" s="57">
        <f t="shared" si="133"/>
        <v>0</v>
      </c>
      <c r="CV127" s="53">
        <f t="shared" si="134"/>
        <v>0</v>
      </c>
      <c r="CW127" s="53">
        <f t="shared" si="135"/>
        <v>0</v>
      </c>
      <c r="CX127" s="58" t="e">
        <f t="shared" si="136"/>
        <v>#DIV/0!</v>
      </c>
      <c r="CY127" s="53">
        <f t="shared" si="137"/>
        <v>0</v>
      </c>
      <c r="CZ127" s="53">
        <f t="shared" si="138"/>
        <v>0</v>
      </c>
      <c r="DA127" s="58" t="e">
        <f t="shared" si="139"/>
        <v>#DIV/0!</v>
      </c>
      <c r="DB127" s="48" t="e">
        <f t="shared" si="140"/>
        <v>#DIV/0!</v>
      </c>
      <c r="DC127" s="48" t="e">
        <f t="shared" si="141"/>
        <v>#DIV/0!</v>
      </c>
      <c r="DD127" s="48" t="e">
        <f t="shared" si="142"/>
        <v>#DIV/0!</v>
      </c>
      <c r="DE127" s="48" t="e">
        <f t="shared" si="143"/>
        <v>#DIV/0!</v>
      </c>
      <c r="DF127" s="48" t="e">
        <f t="shared" si="144"/>
        <v>#DIV/0!</v>
      </c>
      <c r="DG127" s="48" t="e">
        <f t="shared" si="145"/>
        <v>#DIV/0!</v>
      </c>
      <c r="DH127" s="48">
        <f>SUMIF(FCR!$BZ$4:$DB$500,DG127,FCR!$DE$4:$EG$500)</f>
        <v>0</v>
      </c>
      <c r="DI127" s="48" t="e">
        <f t="shared" si="146"/>
        <v>#DIV/0!</v>
      </c>
      <c r="DJ127" s="48">
        <f>SUMIF(FCR!$BZ$4:$DB$142,DI127,FCR!$DE$4:$EG$142)</f>
        <v>0</v>
      </c>
      <c r="DK127" s="48" t="e">
        <f t="shared" si="147"/>
        <v>#DIV/0!</v>
      </c>
      <c r="DL127" s="55" t="e">
        <f t="shared" si="148"/>
        <v>#DIV/0!</v>
      </c>
      <c r="DM127" s="48" t="e">
        <f t="shared" si="149"/>
        <v>#DIV/0!</v>
      </c>
      <c r="DN127" s="48">
        <f>SUMIF(FCR!$BZ$4:$DB$142,DM127,FCR!$DE$4:$EG$142)</f>
        <v>0</v>
      </c>
      <c r="DO127" s="53" t="e">
        <f t="shared" si="150"/>
        <v>#DIV/0!</v>
      </c>
      <c r="DP127" s="55" t="e">
        <f t="shared" si="151"/>
        <v>#DIV/0!</v>
      </c>
      <c r="DQ127" s="55" t="e">
        <f t="shared" si="152"/>
        <v>#DIV/0!</v>
      </c>
      <c r="DR127" s="55"/>
      <c r="DS127" s="55" t="e">
        <f t="shared" si="153"/>
        <v>#DIV/0!</v>
      </c>
      <c r="DT127" s="55" t="e">
        <f t="shared" si="154"/>
        <v>#DIV/0!</v>
      </c>
      <c r="DU127" s="53">
        <f t="shared" si="155"/>
        <v>0</v>
      </c>
      <c r="DV127" s="59" t="e">
        <f t="shared" si="156"/>
        <v>#DIV/0!</v>
      </c>
    </row>
    <row r="128" spans="30:126">
      <c r="AD128" s="49" t="s">
        <v>411</v>
      </c>
      <c r="AE128" s="49">
        <f t="shared" si="102"/>
        <v>0</v>
      </c>
      <c r="AF128" s="49">
        <f t="shared" si="103"/>
        <v>0</v>
      </c>
      <c r="AG128" s="114">
        <f t="shared" si="104"/>
        <v>0</v>
      </c>
      <c r="AH128" s="104">
        <f t="shared" si="105"/>
        <v>0</v>
      </c>
      <c r="AI128" s="104">
        <f t="shared" si="106"/>
        <v>0</v>
      </c>
      <c r="AJ128" s="104">
        <f t="shared" si="107"/>
        <v>0</v>
      </c>
      <c r="AK128" s="104">
        <f t="shared" si="108"/>
        <v>0</v>
      </c>
      <c r="AL128" s="104">
        <f t="shared" si="109"/>
        <v>0</v>
      </c>
      <c r="AM128" s="104">
        <f t="shared" si="110"/>
        <v>0</v>
      </c>
      <c r="AN128" s="104">
        <f t="shared" si="111"/>
        <v>0</v>
      </c>
      <c r="AO128" s="104">
        <f t="shared" si="112"/>
        <v>0</v>
      </c>
      <c r="AP128" s="104">
        <f t="shared" si="113"/>
        <v>0</v>
      </c>
      <c r="AQ128" s="49">
        <f t="shared" si="114"/>
        <v>0</v>
      </c>
      <c r="AR128" s="104">
        <f t="shared" si="115"/>
        <v>0</v>
      </c>
      <c r="AS128" s="104">
        <f t="shared" si="116"/>
        <v>0</v>
      </c>
      <c r="AT128" s="104">
        <f t="shared" si="117"/>
        <v>0</v>
      </c>
      <c r="AU128" s="104">
        <f t="shared" si="118"/>
        <v>0</v>
      </c>
      <c r="BF128" s="49">
        <f t="shared" si="119"/>
        <v>0</v>
      </c>
      <c r="BG128" s="49">
        <f t="shared" si="120"/>
        <v>0</v>
      </c>
      <c r="BH128" s="54" t="e">
        <f t="shared" si="121"/>
        <v>#DIV/0!</v>
      </c>
      <c r="BI128" s="112" t="e">
        <f t="shared" si="122"/>
        <v>#DIV/0!</v>
      </c>
      <c r="BK128" s="55" t="e">
        <f t="shared" si="123"/>
        <v>#DIV/0!</v>
      </c>
      <c r="BL128" s="55" t="e">
        <f t="shared" si="124"/>
        <v>#DIV/0!</v>
      </c>
      <c r="BM128" s="55" t="e">
        <f t="shared" si="125"/>
        <v>#DIV/0!</v>
      </c>
      <c r="BN128" s="53">
        <f t="shared" si="126"/>
        <v>0</v>
      </c>
      <c r="BO128" s="112" t="e">
        <f t="shared" si="127"/>
        <v>#DIV/0!</v>
      </c>
      <c r="BR128" s="53" t="e">
        <f t="shared" si="128"/>
        <v>#DIV/0!</v>
      </c>
      <c r="BS128" s="53">
        <f t="shared" si="129"/>
        <v>0</v>
      </c>
      <c r="BT128" s="53">
        <f t="shared" si="130"/>
        <v>0</v>
      </c>
      <c r="BU128" s="56" t="e">
        <f t="shared" si="131"/>
        <v>#DIV/0!</v>
      </c>
      <c r="BX128" s="60"/>
      <c r="BY128" s="60"/>
      <c r="BZ128" s="60"/>
      <c r="CA128" s="60"/>
      <c r="CB128" s="60"/>
      <c r="CC128" s="60"/>
      <c r="CD128" s="60"/>
      <c r="CE128" s="60"/>
      <c r="CF128" s="60"/>
      <c r="CG128" s="60"/>
      <c r="CH128" s="60"/>
      <c r="CI128" s="60"/>
      <c r="CJ128" s="60"/>
      <c r="CK128" s="60"/>
      <c r="CL128" s="60"/>
      <c r="CM128" s="60"/>
      <c r="CN128" s="60"/>
      <c r="CO128" s="60"/>
      <c r="CP128" s="60"/>
      <c r="CQ128" s="60"/>
      <c r="CR128" s="60"/>
      <c r="CS128" s="60"/>
      <c r="CT128" s="57">
        <f t="shared" si="132"/>
        <v>0</v>
      </c>
      <c r="CU128" s="57">
        <f t="shared" si="133"/>
        <v>0</v>
      </c>
      <c r="CV128" s="53">
        <f t="shared" si="134"/>
        <v>0</v>
      </c>
      <c r="CW128" s="53">
        <f t="shared" si="135"/>
        <v>0</v>
      </c>
      <c r="CX128" s="58" t="e">
        <f t="shared" si="136"/>
        <v>#DIV/0!</v>
      </c>
      <c r="CY128" s="53">
        <f t="shared" si="137"/>
        <v>0</v>
      </c>
      <c r="CZ128" s="53">
        <f t="shared" si="138"/>
        <v>0</v>
      </c>
      <c r="DA128" s="58" t="e">
        <f t="shared" si="139"/>
        <v>#DIV/0!</v>
      </c>
      <c r="DB128" s="48" t="e">
        <f t="shared" si="140"/>
        <v>#DIV/0!</v>
      </c>
      <c r="DC128" s="48" t="e">
        <f t="shared" si="141"/>
        <v>#DIV/0!</v>
      </c>
      <c r="DD128" s="48" t="e">
        <f t="shared" si="142"/>
        <v>#DIV/0!</v>
      </c>
      <c r="DE128" s="48" t="e">
        <f t="shared" si="143"/>
        <v>#DIV/0!</v>
      </c>
      <c r="DF128" s="48" t="e">
        <f t="shared" si="144"/>
        <v>#DIV/0!</v>
      </c>
      <c r="DG128" s="48" t="e">
        <f t="shared" si="145"/>
        <v>#DIV/0!</v>
      </c>
      <c r="DH128" s="48">
        <f>SUMIF(FCR!$BZ$4:$DB$500,DG128,FCR!$DE$4:$EG$500)</f>
        <v>0</v>
      </c>
      <c r="DI128" s="48" t="e">
        <f t="shared" si="146"/>
        <v>#DIV/0!</v>
      </c>
      <c r="DJ128" s="48">
        <f>SUMIF(FCR!$BZ$4:$DB$142,DI128,FCR!$DE$4:$EG$142)</f>
        <v>0</v>
      </c>
      <c r="DK128" s="48" t="e">
        <f t="shared" si="147"/>
        <v>#DIV/0!</v>
      </c>
      <c r="DL128" s="55" t="e">
        <f t="shared" si="148"/>
        <v>#DIV/0!</v>
      </c>
      <c r="DM128" s="48" t="e">
        <f t="shared" si="149"/>
        <v>#DIV/0!</v>
      </c>
      <c r="DN128" s="48">
        <f>SUMIF(FCR!$BZ$4:$DB$142,DM128,FCR!$DE$4:$EG$142)</f>
        <v>0</v>
      </c>
      <c r="DO128" s="53" t="e">
        <f t="shared" si="150"/>
        <v>#DIV/0!</v>
      </c>
      <c r="DP128" s="55" t="e">
        <f t="shared" si="151"/>
        <v>#DIV/0!</v>
      </c>
      <c r="DQ128" s="55" t="e">
        <f t="shared" si="152"/>
        <v>#DIV/0!</v>
      </c>
      <c r="DR128" s="55"/>
      <c r="DS128" s="55" t="e">
        <f t="shared" si="153"/>
        <v>#DIV/0!</v>
      </c>
      <c r="DT128" s="55" t="e">
        <f t="shared" si="154"/>
        <v>#DIV/0!</v>
      </c>
      <c r="DU128" s="53">
        <f t="shared" si="155"/>
        <v>0</v>
      </c>
      <c r="DV128" s="59" t="e">
        <f t="shared" si="156"/>
        <v>#DIV/0!</v>
      </c>
    </row>
    <row r="129" spans="30:126">
      <c r="AD129" s="49" t="s">
        <v>411</v>
      </c>
      <c r="AE129" s="49">
        <f t="shared" si="102"/>
        <v>0</v>
      </c>
      <c r="AF129" s="49">
        <f t="shared" si="103"/>
        <v>0</v>
      </c>
      <c r="AG129" s="114">
        <f t="shared" si="104"/>
        <v>0</v>
      </c>
      <c r="AH129" s="104">
        <f t="shared" si="105"/>
        <v>0</v>
      </c>
      <c r="AI129" s="104">
        <f t="shared" si="106"/>
        <v>0</v>
      </c>
      <c r="AJ129" s="104">
        <f t="shared" si="107"/>
        <v>0</v>
      </c>
      <c r="AK129" s="104">
        <f t="shared" si="108"/>
        <v>0</v>
      </c>
      <c r="AL129" s="104">
        <f t="shared" si="109"/>
        <v>0</v>
      </c>
      <c r="AM129" s="104">
        <f t="shared" si="110"/>
        <v>0</v>
      </c>
      <c r="AN129" s="104">
        <f t="shared" si="111"/>
        <v>0</v>
      </c>
      <c r="AO129" s="104">
        <f t="shared" si="112"/>
        <v>0</v>
      </c>
      <c r="AP129" s="104">
        <f t="shared" si="113"/>
        <v>0</v>
      </c>
      <c r="AQ129" s="49">
        <f t="shared" si="114"/>
        <v>0</v>
      </c>
      <c r="AR129" s="104">
        <f t="shared" si="115"/>
        <v>0</v>
      </c>
      <c r="AS129" s="104">
        <f t="shared" si="116"/>
        <v>0</v>
      </c>
      <c r="AT129" s="104">
        <f t="shared" si="117"/>
        <v>0</v>
      </c>
      <c r="AU129" s="104">
        <f t="shared" si="118"/>
        <v>0</v>
      </c>
      <c r="BF129" s="49">
        <f t="shared" si="119"/>
        <v>0</v>
      </c>
      <c r="BG129" s="49">
        <f t="shared" si="120"/>
        <v>0</v>
      </c>
      <c r="BH129" s="54" t="e">
        <f t="shared" si="121"/>
        <v>#DIV/0!</v>
      </c>
      <c r="BI129" s="112" t="e">
        <f t="shared" si="122"/>
        <v>#DIV/0!</v>
      </c>
      <c r="BK129" s="55" t="e">
        <f t="shared" si="123"/>
        <v>#DIV/0!</v>
      </c>
      <c r="BL129" s="55" t="e">
        <f t="shared" si="124"/>
        <v>#DIV/0!</v>
      </c>
      <c r="BM129" s="55" t="e">
        <f t="shared" si="125"/>
        <v>#DIV/0!</v>
      </c>
      <c r="BN129" s="53">
        <f t="shared" si="126"/>
        <v>0</v>
      </c>
      <c r="BO129" s="112" t="e">
        <f t="shared" si="127"/>
        <v>#DIV/0!</v>
      </c>
      <c r="BR129" s="53" t="e">
        <f t="shared" si="128"/>
        <v>#DIV/0!</v>
      </c>
      <c r="BS129" s="53">
        <f t="shared" si="129"/>
        <v>0</v>
      </c>
      <c r="BT129" s="53">
        <f t="shared" si="130"/>
        <v>0</v>
      </c>
      <c r="BU129" s="56" t="e">
        <f t="shared" si="131"/>
        <v>#DIV/0!</v>
      </c>
      <c r="BX129" s="60"/>
      <c r="BY129" s="60"/>
      <c r="BZ129" s="60"/>
      <c r="CA129" s="60"/>
      <c r="CB129" s="60"/>
      <c r="CC129" s="60"/>
      <c r="CD129" s="60"/>
      <c r="CE129" s="60"/>
      <c r="CF129" s="60"/>
      <c r="CG129" s="60"/>
      <c r="CH129" s="60"/>
      <c r="CI129" s="60"/>
      <c r="CJ129" s="60"/>
      <c r="CK129" s="60"/>
      <c r="CL129" s="60"/>
      <c r="CM129" s="60"/>
      <c r="CN129" s="60"/>
      <c r="CO129" s="60"/>
      <c r="CP129" s="60"/>
      <c r="CQ129" s="60"/>
      <c r="CR129" s="60"/>
      <c r="CS129" s="60"/>
      <c r="CT129" s="57">
        <f t="shared" si="132"/>
        <v>0</v>
      </c>
      <c r="CU129" s="57">
        <f t="shared" si="133"/>
        <v>0</v>
      </c>
      <c r="CV129" s="53">
        <f t="shared" si="134"/>
        <v>0</v>
      </c>
      <c r="CW129" s="53">
        <f t="shared" si="135"/>
        <v>0</v>
      </c>
      <c r="CX129" s="58" t="e">
        <f t="shared" si="136"/>
        <v>#DIV/0!</v>
      </c>
      <c r="CY129" s="53">
        <f t="shared" si="137"/>
        <v>0</v>
      </c>
      <c r="CZ129" s="53">
        <f t="shared" si="138"/>
        <v>0</v>
      </c>
      <c r="DA129" s="58" t="e">
        <f t="shared" si="139"/>
        <v>#DIV/0!</v>
      </c>
      <c r="DB129" s="48" t="e">
        <f t="shared" si="140"/>
        <v>#DIV/0!</v>
      </c>
      <c r="DC129" s="48" t="e">
        <f t="shared" si="141"/>
        <v>#DIV/0!</v>
      </c>
      <c r="DD129" s="48" t="e">
        <f t="shared" si="142"/>
        <v>#DIV/0!</v>
      </c>
      <c r="DE129" s="48" t="e">
        <f t="shared" si="143"/>
        <v>#DIV/0!</v>
      </c>
      <c r="DF129" s="48" t="e">
        <f t="shared" si="144"/>
        <v>#DIV/0!</v>
      </c>
      <c r="DG129" s="48" t="e">
        <f t="shared" si="145"/>
        <v>#DIV/0!</v>
      </c>
      <c r="DH129" s="48">
        <f>SUMIF(FCR!$BZ$4:$DB$500,DG129,FCR!$DE$4:$EG$500)</f>
        <v>0</v>
      </c>
      <c r="DI129" s="48" t="e">
        <f t="shared" si="146"/>
        <v>#DIV/0!</v>
      </c>
      <c r="DJ129" s="48">
        <f>SUMIF(FCR!$BZ$4:$DB$142,DI129,FCR!$DE$4:$EG$142)</f>
        <v>0</v>
      </c>
      <c r="DK129" s="48" t="e">
        <f t="shared" si="147"/>
        <v>#DIV/0!</v>
      </c>
      <c r="DL129" s="55" t="e">
        <f t="shared" si="148"/>
        <v>#DIV/0!</v>
      </c>
      <c r="DM129" s="48" t="e">
        <f t="shared" si="149"/>
        <v>#DIV/0!</v>
      </c>
      <c r="DN129" s="48">
        <f>SUMIF(FCR!$BZ$4:$DB$142,DM129,FCR!$DE$4:$EG$142)</f>
        <v>0</v>
      </c>
      <c r="DO129" s="53" t="e">
        <f t="shared" si="150"/>
        <v>#DIV/0!</v>
      </c>
      <c r="DP129" s="55" t="e">
        <f t="shared" si="151"/>
        <v>#DIV/0!</v>
      </c>
      <c r="DQ129" s="55" t="e">
        <f t="shared" si="152"/>
        <v>#DIV/0!</v>
      </c>
      <c r="DR129" s="55"/>
      <c r="DS129" s="55" t="e">
        <f t="shared" si="153"/>
        <v>#DIV/0!</v>
      </c>
      <c r="DT129" s="55" t="e">
        <f t="shared" si="154"/>
        <v>#DIV/0!</v>
      </c>
      <c r="DU129" s="53">
        <f t="shared" si="155"/>
        <v>0</v>
      </c>
      <c r="DV129" s="59" t="e">
        <f t="shared" si="156"/>
        <v>#DIV/0!</v>
      </c>
    </row>
    <row r="130" spans="30:126">
      <c r="AD130" s="49" t="s">
        <v>411</v>
      </c>
      <c r="AE130" s="49">
        <f t="shared" si="102"/>
        <v>0</v>
      </c>
      <c r="AF130" s="49">
        <f t="shared" si="103"/>
        <v>0</v>
      </c>
      <c r="AG130" s="114">
        <f t="shared" si="104"/>
        <v>0</v>
      </c>
      <c r="AH130" s="104">
        <f t="shared" si="105"/>
        <v>0</v>
      </c>
      <c r="AI130" s="104">
        <f t="shared" si="106"/>
        <v>0</v>
      </c>
      <c r="AJ130" s="104">
        <f t="shared" si="107"/>
        <v>0</v>
      </c>
      <c r="AK130" s="104">
        <f t="shared" si="108"/>
        <v>0</v>
      </c>
      <c r="AL130" s="104">
        <f t="shared" si="109"/>
        <v>0</v>
      </c>
      <c r="AM130" s="104">
        <f t="shared" si="110"/>
        <v>0</v>
      </c>
      <c r="AN130" s="104">
        <f t="shared" si="111"/>
        <v>0</v>
      </c>
      <c r="AO130" s="104">
        <f t="shared" si="112"/>
        <v>0</v>
      </c>
      <c r="AP130" s="104">
        <f t="shared" si="113"/>
        <v>0</v>
      </c>
      <c r="AQ130" s="49">
        <f t="shared" si="114"/>
        <v>0</v>
      </c>
      <c r="AR130" s="104">
        <f t="shared" si="115"/>
        <v>0</v>
      </c>
      <c r="AS130" s="104">
        <f t="shared" si="116"/>
        <v>0</v>
      </c>
      <c r="AT130" s="104">
        <f t="shared" si="117"/>
        <v>0</v>
      </c>
      <c r="AU130" s="104">
        <f t="shared" si="118"/>
        <v>0</v>
      </c>
      <c r="BF130" s="49">
        <f t="shared" si="119"/>
        <v>0</v>
      </c>
      <c r="BG130" s="49">
        <f t="shared" si="120"/>
        <v>0</v>
      </c>
      <c r="BH130" s="54" t="e">
        <f t="shared" si="121"/>
        <v>#DIV/0!</v>
      </c>
      <c r="BI130" s="112" t="e">
        <f t="shared" si="122"/>
        <v>#DIV/0!</v>
      </c>
      <c r="BK130" s="55" t="e">
        <f t="shared" si="123"/>
        <v>#DIV/0!</v>
      </c>
      <c r="BL130" s="55" t="e">
        <f t="shared" si="124"/>
        <v>#DIV/0!</v>
      </c>
      <c r="BM130" s="55" t="e">
        <f t="shared" si="125"/>
        <v>#DIV/0!</v>
      </c>
      <c r="BN130" s="53">
        <f t="shared" si="126"/>
        <v>0</v>
      </c>
      <c r="BO130" s="112" t="e">
        <f t="shared" si="127"/>
        <v>#DIV/0!</v>
      </c>
      <c r="BR130" s="53" t="e">
        <f t="shared" si="128"/>
        <v>#DIV/0!</v>
      </c>
      <c r="BS130" s="53">
        <f t="shared" si="129"/>
        <v>0</v>
      </c>
      <c r="BT130" s="53">
        <f t="shared" si="130"/>
        <v>0</v>
      </c>
      <c r="BU130" s="56" t="e">
        <f t="shared" si="131"/>
        <v>#DIV/0!</v>
      </c>
      <c r="BX130" s="60"/>
      <c r="BY130" s="60"/>
      <c r="BZ130" s="60"/>
      <c r="CA130" s="60"/>
      <c r="CB130" s="60"/>
      <c r="CC130" s="60"/>
      <c r="CD130" s="60"/>
      <c r="CE130" s="60"/>
      <c r="CF130" s="60"/>
      <c r="CG130" s="60"/>
      <c r="CH130" s="60"/>
      <c r="CI130" s="60"/>
      <c r="CJ130" s="60"/>
      <c r="CK130" s="60"/>
      <c r="CL130" s="60"/>
      <c r="CM130" s="60"/>
      <c r="CN130" s="60"/>
      <c r="CO130" s="60"/>
      <c r="CP130" s="60"/>
      <c r="CQ130" s="60"/>
      <c r="CR130" s="60"/>
      <c r="CS130" s="60"/>
      <c r="CT130" s="57">
        <f t="shared" si="132"/>
        <v>0</v>
      </c>
      <c r="CU130" s="57">
        <f t="shared" si="133"/>
        <v>0</v>
      </c>
      <c r="CV130" s="53">
        <f t="shared" si="134"/>
        <v>0</v>
      </c>
      <c r="CW130" s="53">
        <f t="shared" si="135"/>
        <v>0</v>
      </c>
      <c r="CX130" s="58" t="e">
        <f t="shared" si="136"/>
        <v>#DIV/0!</v>
      </c>
      <c r="CY130" s="53">
        <f t="shared" si="137"/>
        <v>0</v>
      </c>
      <c r="CZ130" s="53">
        <f t="shared" si="138"/>
        <v>0</v>
      </c>
      <c r="DA130" s="58" t="e">
        <f t="shared" si="139"/>
        <v>#DIV/0!</v>
      </c>
      <c r="DB130" s="48" t="e">
        <f t="shared" si="140"/>
        <v>#DIV/0!</v>
      </c>
      <c r="DC130" s="48" t="e">
        <f t="shared" si="141"/>
        <v>#DIV/0!</v>
      </c>
      <c r="DD130" s="48" t="e">
        <f t="shared" si="142"/>
        <v>#DIV/0!</v>
      </c>
      <c r="DE130" s="48" t="e">
        <f t="shared" si="143"/>
        <v>#DIV/0!</v>
      </c>
      <c r="DF130" s="48" t="e">
        <f t="shared" si="144"/>
        <v>#DIV/0!</v>
      </c>
      <c r="DG130" s="48" t="e">
        <f t="shared" si="145"/>
        <v>#DIV/0!</v>
      </c>
      <c r="DH130" s="48">
        <f>SUMIF(FCR!$BZ$4:$DB$500,DG130,FCR!$DE$4:$EG$500)</f>
        <v>0</v>
      </c>
      <c r="DI130" s="48" t="e">
        <f t="shared" si="146"/>
        <v>#DIV/0!</v>
      </c>
      <c r="DJ130" s="48">
        <f>SUMIF(FCR!$BZ$4:$DB$142,DI130,FCR!$DE$4:$EG$142)</f>
        <v>0</v>
      </c>
      <c r="DK130" s="48" t="e">
        <f t="shared" si="147"/>
        <v>#DIV/0!</v>
      </c>
      <c r="DL130" s="55" t="e">
        <f t="shared" si="148"/>
        <v>#DIV/0!</v>
      </c>
      <c r="DM130" s="48" t="e">
        <f t="shared" si="149"/>
        <v>#DIV/0!</v>
      </c>
      <c r="DN130" s="48">
        <f>SUMIF(FCR!$BZ$4:$DB$142,DM130,FCR!$DE$4:$EG$142)</f>
        <v>0</v>
      </c>
      <c r="DO130" s="53" t="e">
        <f t="shared" si="150"/>
        <v>#DIV/0!</v>
      </c>
      <c r="DP130" s="55" t="e">
        <f t="shared" si="151"/>
        <v>#DIV/0!</v>
      </c>
      <c r="DQ130" s="55" t="e">
        <f t="shared" si="152"/>
        <v>#DIV/0!</v>
      </c>
      <c r="DR130" s="55"/>
      <c r="DS130" s="55" t="e">
        <f t="shared" si="153"/>
        <v>#DIV/0!</v>
      </c>
      <c r="DT130" s="55" t="e">
        <f t="shared" si="154"/>
        <v>#DIV/0!</v>
      </c>
      <c r="DU130" s="53">
        <f t="shared" si="155"/>
        <v>0</v>
      </c>
      <c r="DV130" s="59" t="e">
        <f t="shared" si="156"/>
        <v>#DIV/0!</v>
      </c>
    </row>
    <row r="131" spans="30:126">
      <c r="AD131" s="49" t="s">
        <v>411</v>
      </c>
      <c r="AE131" s="49">
        <f t="shared" si="102"/>
        <v>0</v>
      </c>
      <c r="AF131" s="49">
        <f t="shared" si="103"/>
        <v>0</v>
      </c>
      <c r="AG131" s="114">
        <f t="shared" si="104"/>
        <v>0</v>
      </c>
      <c r="AH131" s="104">
        <f t="shared" si="105"/>
        <v>0</v>
      </c>
      <c r="AI131" s="104">
        <f t="shared" si="106"/>
        <v>0</v>
      </c>
      <c r="AJ131" s="104">
        <f t="shared" si="107"/>
        <v>0</v>
      </c>
      <c r="AK131" s="104">
        <f t="shared" si="108"/>
        <v>0</v>
      </c>
      <c r="AL131" s="104">
        <f t="shared" si="109"/>
        <v>0</v>
      </c>
      <c r="AM131" s="104">
        <f t="shared" si="110"/>
        <v>0</v>
      </c>
      <c r="AN131" s="104">
        <f t="shared" si="111"/>
        <v>0</v>
      </c>
      <c r="AO131" s="104">
        <f t="shared" si="112"/>
        <v>0</v>
      </c>
      <c r="AP131" s="104">
        <f t="shared" si="113"/>
        <v>0</v>
      </c>
      <c r="AQ131" s="49">
        <f t="shared" si="114"/>
        <v>0</v>
      </c>
      <c r="AR131" s="104">
        <f t="shared" si="115"/>
        <v>0</v>
      </c>
      <c r="AS131" s="104">
        <f t="shared" si="116"/>
        <v>0</v>
      </c>
      <c r="AT131" s="104">
        <f t="shared" si="117"/>
        <v>0</v>
      </c>
      <c r="AU131" s="104">
        <f t="shared" si="118"/>
        <v>0</v>
      </c>
      <c r="BF131" s="49">
        <f t="shared" si="119"/>
        <v>0</v>
      </c>
      <c r="BG131" s="49">
        <f t="shared" si="120"/>
        <v>0</v>
      </c>
      <c r="BH131" s="54" t="e">
        <f t="shared" si="121"/>
        <v>#DIV/0!</v>
      </c>
      <c r="BI131" s="112" t="e">
        <f t="shared" si="122"/>
        <v>#DIV/0!</v>
      </c>
      <c r="BK131" s="55" t="e">
        <f t="shared" si="123"/>
        <v>#DIV/0!</v>
      </c>
      <c r="BL131" s="55" t="e">
        <f t="shared" si="124"/>
        <v>#DIV/0!</v>
      </c>
      <c r="BM131" s="55" t="e">
        <f t="shared" si="125"/>
        <v>#DIV/0!</v>
      </c>
      <c r="BN131" s="53">
        <f t="shared" si="126"/>
        <v>0</v>
      </c>
      <c r="BO131" s="112" t="e">
        <f t="shared" si="127"/>
        <v>#DIV/0!</v>
      </c>
      <c r="BR131" s="53" t="e">
        <f t="shared" si="128"/>
        <v>#DIV/0!</v>
      </c>
      <c r="BS131" s="53">
        <f t="shared" si="129"/>
        <v>0</v>
      </c>
      <c r="BT131" s="53">
        <f t="shared" si="130"/>
        <v>0</v>
      </c>
      <c r="BU131" s="56" t="e">
        <f t="shared" si="131"/>
        <v>#DIV/0!</v>
      </c>
      <c r="BX131" s="60"/>
      <c r="BY131" s="60"/>
      <c r="BZ131" s="60"/>
      <c r="CA131" s="60"/>
      <c r="CB131" s="60"/>
      <c r="CC131" s="60"/>
      <c r="CD131" s="60"/>
      <c r="CE131" s="60"/>
      <c r="CF131" s="60"/>
      <c r="CG131" s="60"/>
      <c r="CH131" s="60"/>
      <c r="CI131" s="60"/>
      <c r="CJ131" s="60"/>
      <c r="CK131" s="60"/>
      <c r="CL131" s="60"/>
      <c r="CM131" s="60"/>
      <c r="CN131" s="60"/>
      <c r="CO131" s="60"/>
      <c r="CP131" s="60"/>
      <c r="CQ131" s="60"/>
      <c r="CR131" s="60"/>
      <c r="CS131" s="60"/>
      <c r="CT131" s="57">
        <f t="shared" si="132"/>
        <v>0</v>
      </c>
      <c r="CU131" s="57">
        <f t="shared" si="133"/>
        <v>0</v>
      </c>
      <c r="CV131" s="53">
        <f t="shared" si="134"/>
        <v>0</v>
      </c>
      <c r="CW131" s="53">
        <f t="shared" si="135"/>
        <v>0</v>
      </c>
      <c r="CX131" s="58" t="e">
        <f t="shared" si="136"/>
        <v>#DIV/0!</v>
      </c>
      <c r="CY131" s="53">
        <f t="shared" si="137"/>
        <v>0</v>
      </c>
      <c r="CZ131" s="53">
        <f t="shared" si="138"/>
        <v>0</v>
      </c>
      <c r="DA131" s="58" t="e">
        <f t="shared" si="139"/>
        <v>#DIV/0!</v>
      </c>
      <c r="DB131" s="48" t="e">
        <f t="shared" si="140"/>
        <v>#DIV/0!</v>
      </c>
      <c r="DC131" s="48" t="e">
        <f t="shared" si="141"/>
        <v>#DIV/0!</v>
      </c>
      <c r="DD131" s="48" t="e">
        <f t="shared" si="142"/>
        <v>#DIV/0!</v>
      </c>
      <c r="DE131" s="48" t="e">
        <f t="shared" si="143"/>
        <v>#DIV/0!</v>
      </c>
      <c r="DF131" s="48" t="e">
        <f t="shared" si="144"/>
        <v>#DIV/0!</v>
      </c>
      <c r="DG131" s="48" t="e">
        <f t="shared" si="145"/>
        <v>#DIV/0!</v>
      </c>
      <c r="DH131" s="48">
        <f>SUMIF(FCR!$BZ$4:$DB$500,DG131,FCR!$DE$4:$EG$500)</f>
        <v>0</v>
      </c>
      <c r="DI131" s="48" t="e">
        <f t="shared" si="146"/>
        <v>#DIV/0!</v>
      </c>
      <c r="DJ131" s="48">
        <f>SUMIF(FCR!$BZ$4:$DB$142,DI131,FCR!$DE$4:$EG$142)</f>
        <v>0</v>
      </c>
      <c r="DK131" s="48" t="e">
        <f t="shared" si="147"/>
        <v>#DIV/0!</v>
      </c>
      <c r="DL131" s="55" t="e">
        <f t="shared" si="148"/>
        <v>#DIV/0!</v>
      </c>
      <c r="DM131" s="48" t="e">
        <f t="shared" si="149"/>
        <v>#DIV/0!</v>
      </c>
      <c r="DN131" s="48">
        <f>SUMIF(FCR!$BZ$4:$DB$142,DM131,FCR!$DE$4:$EG$142)</f>
        <v>0</v>
      </c>
      <c r="DO131" s="53" t="e">
        <f t="shared" si="150"/>
        <v>#DIV/0!</v>
      </c>
      <c r="DP131" s="55" t="e">
        <f t="shared" si="151"/>
        <v>#DIV/0!</v>
      </c>
      <c r="DQ131" s="55" t="e">
        <f t="shared" si="152"/>
        <v>#DIV/0!</v>
      </c>
      <c r="DR131" s="55"/>
      <c r="DS131" s="55" t="e">
        <f t="shared" si="153"/>
        <v>#DIV/0!</v>
      </c>
      <c r="DT131" s="55" t="e">
        <f t="shared" si="154"/>
        <v>#DIV/0!</v>
      </c>
      <c r="DU131" s="53">
        <f t="shared" si="155"/>
        <v>0</v>
      </c>
      <c r="DV131" s="59" t="e">
        <f t="shared" si="156"/>
        <v>#DIV/0!</v>
      </c>
    </row>
    <row r="132" spans="30:126">
      <c r="AD132" s="49" t="s">
        <v>411</v>
      </c>
      <c r="AE132" s="49">
        <f t="shared" si="102"/>
        <v>0</v>
      </c>
      <c r="AF132" s="49">
        <f t="shared" si="103"/>
        <v>0</v>
      </c>
      <c r="AG132" s="114">
        <f t="shared" si="104"/>
        <v>0</v>
      </c>
      <c r="AH132" s="104">
        <f t="shared" si="105"/>
        <v>0</v>
      </c>
      <c r="AI132" s="104">
        <f t="shared" si="106"/>
        <v>0</v>
      </c>
      <c r="AJ132" s="104">
        <f t="shared" si="107"/>
        <v>0</v>
      </c>
      <c r="AK132" s="104">
        <f t="shared" si="108"/>
        <v>0</v>
      </c>
      <c r="AL132" s="104">
        <f t="shared" si="109"/>
        <v>0</v>
      </c>
      <c r="AM132" s="104">
        <f t="shared" si="110"/>
        <v>0</v>
      </c>
      <c r="AN132" s="104">
        <f t="shared" si="111"/>
        <v>0</v>
      </c>
      <c r="AO132" s="104">
        <f t="shared" si="112"/>
        <v>0</v>
      </c>
      <c r="AP132" s="104">
        <f t="shared" si="113"/>
        <v>0</v>
      </c>
      <c r="AQ132" s="49">
        <f t="shared" si="114"/>
        <v>0</v>
      </c>
      <c r="AR132" s="104">
        <f t="shared" si="115"/>
        <v>0</v>
      </c>
      <c r="AS132" s="104">
        <f t="shared" si="116"/>
        <v>0</v>
      </c>
      <c r="AT132" s="104">
        <f t="shared" si="117"/>
        <v>0</v>
      </c>
      <c r="AU132" s="104">
        <f t="shared" si="118"/>
        <v>0</v>
      </c>
      <c r="BF132" s="49">
        <f t="shared" si="119"/>
        <v>0</v>
      </c>
      <c r="BG132" s="49">
        <f t="shared" si="120"/>
        <v>0</v>
      </c>
      <c r="BH132" s="54" t="e">
        <f t="shared" si="121"/>
        <v>#DIV/0!</v>
      </c>
      <c r="BI132" s="112" t="e">
        <f t="shared" si="122"/>
        <v>#DIV/0!</v>
      </c>
      <c r="BK132" s="55" t="e">
        <f t="shared" si="123"/>
        <v>#DIV/0!</v>
      </c>
      <c r="BL132" s="55" t="e">
        <f t="shared" si="124"/>
        <v>#DIV/0!</v>
      </c>
      <c r="BM132" s="55" t="e">
        <f t="shared" si="125"/>
        <v>#DIV/0!</v>
      </c>
      <c r="BN132" s="53">
        <f t="shared" si="126"/>
        <v>0</v>
      </c>
      <c r="BO132" s="112" t="e">
        <f t="shared" si="127"/>
        <v>#DIV/0!</v>
      </c>
      <c r="BR132" s="53" t="e">
        <f t="shared" si="128"/>
        <v>#DIV/0!</v>
      </c>
      <c r="BS132" s="53">
        <f t="shared" si="129"/>
        <v>0</v>
      </c>
      <c r="BT132" s="53">
        <f t="shared" si="130"/>
        <v>0</v>
      </c>
      <c r="BU132" s="56" t="e">
        <f t="shared" si="131"/>
        <v>#DIV/0!</v>
      </c>
      <c r="BX132" s="60"/>
      <c r="BY132" s="60"/>
      <c r="BZ132" s="60"/>
      <c r="CA132" s="60"/>
      <c r="CB132" s="60"/>
      <c r="CC132" s="60"/>
      <c r="CD132" s="60"/>
      <c r="CE132" s="60"/>
      <c r="CF132" s="60"/>
      <c r="CG132" s="60"/>
      <c r="CH132" s="60"/>
      <c r="CI132" s="60"/>
      <c r="CJ132" s="60"/>
      <c r="CK132" s="60"/>
      <c r="CL132" s="60"/>
      <c r="CM132" s="60"/>
      <c r="CN132" s="60"/>
      <c r="CO132" s="60"/>
      <c r="CP132" s="60"/>
      <c r="CQ132" s="60"/>
      <c r="CR132" s="60"/>
      <c r="CS132" s="60"/>
      <c r="CT132" s="57">
        <f t="shared" si="132"/>
        <v>0</v>
      </c>
      <c r="CU132" s="57">
        <f t="shared" si="133"/>
        <v>0</v>
      </c>
      <c r="CV132" s="53">
        <f t="shared" si="134"/>
        <v>0</v>
      </c>
      <c r="CW132" s="53">
        <f t="shared" si="135"/>
        <v>0</v>
      </c>
      <c r="CX132" s="58" t="e">
        <f t="shared" si="136"/>
        <v>#DIV/0!</v>
      </c>
      <c r="CY132" s="53">
        <f t="shared" si="137"/>
        <v>0</v>
      </c>
      <c r="CZ132" s="53">
        <f t="shared" si="138"/>
        <v>0</v>
      </c>
      <c r="DA132" s="58" t="e">
        <f t="shared" si="139"/>
        <v>#DIV/0!</v>
      </c>
      <c r="DB132" s="48" t="e">
        <f t="shared" si="140"/>
        <v>#DIV/0!</v>
      </c>
      <c r="DC132" s="48" t="e">
        <f t="shared" si="141"/>
        <v>#DIV/0!</v>
      </c>
      <c r="DD132" s="48" t="e">
        <f t="shared" si="142"/>
        <v>#DIV/0!</v>
      </c>
      <c r="DE132" s="48" t="e">
        <f t="shared" si="143"/>
        <v>#DIV/0!</v>
      </c>
      <c r="DF132" s="48" t="e">
        <f t="shared" si="144"/>
        <v>#DIV/0!</v>
      </c>
      <c r="DG132" s="48" t="e">
        <f t="shared" si="145"/>
        <v>#DIV/0!</v>
      </c>
      <c r="DH132" s="48">
        <f>SUMIF(FCR!$BZ$4:$DB$500,DG132,FCR!$DE$4:$EG$500)</f>
        <v>0</v>
      </c>
      <c r="DI132" s="48" t="e">
        <f t="shared" si="146"/>
        <v>#DIV/0!</v>
      </c>
      <c r="DJ132" s="48">
        <f>SUMIF(FCR!$BZ$4:$DB$142,DI132,FCR!$DE$4:$EG$142)</f>
        <v>0</v>
      </c>
      <c r="DK132" s="48" t="e">
        <f t="shared" si="147"/>
        <v>#DIV/0!</v>
      </c>
      <c r="DL132" s="55" t="e">
        <f t="shared" si="148"/>
        <v>#DIV/0!</v>
      </c>
      <c r="DM132" s="48" t="e">
        <f t="shared" si="149"/>
        <v>#DIV/0!</v>
      </c>
      <c r="DN132" s="48">
        <f>SUMIF(FCR!$BZ$4:$DB$142,DM132,FCR!$DE$4:$EG$142)</f>
        <v>0</v>
      </c>
      <c r="DO132" s="53" t="e">
        <f t="shared" si="150"/>
        <v>#DIV/0!</v>
      </c>
      <c r="DP132" s="55" t="e">
        <f t="shared" si="151"/>
        <v>#DIV/0!</v>
      </c>
      <c r="DQ132" s="55" t="e">
        <f t="shared" si="152"/>
        <v>#DIV/0!</v>
      </c>
      <c r="DR132" s="55"/>
      <c r="DS132" s="55" t="e">
        <f t="shared" si="153"/>
        <v>#DIV/0!</v>
      </c>
      <c r="DT132" s="55" t="e">
        <f t="shared" si="154"/>
        <v>#DIV/0!</v>
      </c>
      <c r="DU132" s="53">
        <f t="shared" si="155"/>
        <v>0</v>
      </c>
      <c r="DV132" s="59" t="e">
        <f t="shared" si="156"/>
        <v>#DIV/0!</v>
      </c>
    </row>
    <row r="133" spans="30:126">
      <c r="AD133" s="49" t="s">
        <v>411</v>
      </c>
      <c r="AE133" s="49">
        <f t="shared" si="102"/>
        <v>0</v>
      </c>
      <c r="AF133" s="49">
        <f t="shared" si="103"/>
        <v>0</v>
      </c>
      <c r="AG133" s="114">
        <f t="shared" si="104"/>
        <v>0</v>
      </c>
      <c r="AH133" s="104">
        <f t="shared" si="105"/>
        <v>0</v>
      </c>
      <c r="AI133" s="104">
        <f t="shared" si="106"/>
        <v>0</v>
      </c>
      <c r="AJ133" s="104">
        <f t="shared" si="107"/>
        <v>0</v>
      </c>
      <c r="AK133" s="104">
        <f t="shared" si="108"/>
        <v>0</v>
      </c>
      <c r="AL133" s="104">
        <f t="shared" si="109"/>
        <v>0</v>
      </c>
      <c r="AM133" s="104">
        <f t="shared" si="110"/>
        <v>0</v>
      </c>
      <c r="AN133" s="104">
        <f t="shared" si="111"/>
        <v>0</v>
      </c>
      <c r="AO133" s="104">
        <f t="shared" si="112"/>
        <v>0</v>
      </c>
      <c r="AP133" s="104">
        <f t="shared" si="113"/>
        <v>0</v>
      </c>
      <c r="AQ133" s="49">
        <f t="shared" si="114"/>
        <v>0</v>
      </c>
      <c r="AR133" s="104">
        <f t="shared" si="115"/>
        <v>0</v>
      </c>
      <c r="AS133" s="104">
        <f t="shared" si="116"/>
        <v>0</v>
      </c>
      <c r="AT133" s="104">
        <f t="shared" si="117"/>
        <v>0</v>
      </c>
      <c r="AU133" s="104">
        <f t="shared" si="118"/>
        <v>0</v>
      </c>
      <c r="BF133" s="49">
        <f t="shared" si="119"/>
        <v>0</v>
      </c>
      <c r="BG133" s="49">
        <f t="shared" si="120"/>
        <v>0</v>
      </c>
      <c r="BH133" s="54" t="e">
        <f t="shared" si="121"/>
        <v>#DIV/0!</v>
      </c>
      <c r="BI133" s="112" t="e">
        <f t="shared" si="122"/>
        <v>#DIV/0!</v>
      </c>
      <c r="BK133" s="55" t="e">
        <f t="shared" si="123"/>
        <v>#DIV/0!</v>
      </c>
      <c r="BL133" s="55" t="e">
        <f t="shared" si="124"/>
        <v>#DIV/0!</v>
      </c>
      <c r="BM133" s="55" t="e">
        <f t="shared" si="125"/>
        <v>#DIV/0!</v>
      </c>
      <c r="BN133" s="53">
        <f t="shared" si="126"/>
        <v>0</v>
      </c>
      <c r="BO133" s="112" t="e">
        <f t="shared" si="127"/>
        <v>#DIV/0!</v>
      </c>
      <c r="BR133" s="53" t="e">
        <f t="shared" si="128"/>
        <v>#DIV/0!</v>
      </c>
      <c r="BS133" s="53">
        <f t="shared" si="129"/>
        <v>0</v>
      </c>
      <c r="BT133" s="53">
        <f t="shared" si="130"/>
        <v>0</v>
      </c>
      <c r="BU133" s="56" t="e">
        <f t="shared" si="131"/>
        <v>#DIV/0!</v>
      </c>
      <c r="BX133" s="60"/>
      <c r="BY133" s="60"/>
      <c r="BZ133" s="60"/>
      <c r="CA133" s="60"/>
      <c r="CB133" s="60"/>
      <c r="CC133" s="60"/>
      <c r="CD133" s="60"/>
      <c r="CE133" s="60"/>
      <c r="CF133" s="60"/>
      <c r="CG133" s="60"/>
      <c r="CH133" s="60"/>
      <c r="CI133" s="60"/>
      <c r="CJ133" s="60"/>
      <c r="CK133" s="60"/>
      <c r="CL133" s="60"/>
      <c r="CM133" s="60"/>
      <c r="CN133" s="60"/>
      <c r="CO133" s="60"/>
      <c r="CP133" s="60"/>
      <c r="CQ133" s="60"/>
      <c r="CR133" s="60"/>
      <c r="CS133" s="60"/>
      <c r="CT133" s="57">
        <f t="shared" si="132"/>
        <v>0</v>
      </c>
      <c r="CU133" s="57">
        <f t="shared" si="133"/>
        <v>0</v>
      </c>
      <c r="CV133" s="53">
        <f t="shared" si="134"/>
        <v>0</v>
      </c>
      <c r="CW133" s="53">
        <f t="shared" si="135"/>
        <v>0</v>
      </c>
      <c r="CX133" s="58" t="e">
        <f t="shared" si="136"/>
        <v>#DIV/0!</v>
      </c>
      <c r="CY133" s="53">
        <f t="shared" si="137"/>
        <v>0</v>
      </c>
      <c r="CZ133" s="53">
        <f t="shared" si="138"/>
        <v>0</v>
      </c>
      <c r="DA133" s="58" t="e">
        <f t="shared" si="139"/>
        <v>#DIV/0!</v>
      </c>
      <c r="DB133" s="48" t="e">
        <f t="shared" si="140"/>
        <v>#DIV/0!</v>
      </c>
      <c r="DC133" s="48" t="e">
        <f t="shared" si="141"/>
        <v>#DIV/0!</v>
      </c>
      <c r="DD133" s="48" t="e">
        <f t="shared" si="142"/>
        <v>#DIV/0!</v>
      </c>
      <c r="DE133" s="48" t="e">
        <f t="shared" si="143"/>
        <v>#DIV/0!</v>
      </c>
      <c r="DF133" s="48" t="e">
        <f t="shared" si="144"/>
        <v>#DIV/0!</v>
      </c>
      <c r="DG133" s="48" t="e">
        <f t="shared" si="145"/>
        <v>#DIV/0!</v>
      </c>
      <c r="DH133" s="48">
        <f>SUMIF(FCR!$BZ$4:$DB$500,DG133,FCR!$DE$4:$EG$500)</f>
        <v>0</v>
      </c>
      <c r="DI133" s="48" t="e">
        <f t="shared" si="146"/>
        <v>#DIV/0!</v>
      </c>
      <c r="DJ133" s="48">
        <f>SUMIF(FCR!$BZ$4:$DB$142,DI133,FCR!$DE$4:$EG$142)</f>
        <v>0</v>
      </c>
      <c r="DK133" s="48" t="e">
        <f t="shared" si="147"/>
        <v>#DIV/0!</v>
      </c>
      <c r="DL133" s="55" t="e">
        <f t="shared" si="148"/>
        <v>#DIV/0!</v>
      </c>
      <c r="DM133" s="48" t="e">
        <f t="shared" si="149"/>
        <v>#DIV/0!</v>
      </c>
      <c r="DN133" s="48">
        <f>SUMIF(FCR!$BZ$4:$DB$142,DM133,FCR!$DE$4:$EG$142)</f>
        <v>0</v>
      </c>
      <c r="DO133" s="53" t="e">
        <f t="shared" si="150"/>
        <v>#DIV/0!</v>
      </c>
      <c r="DP133" s="55" t="e">
        <f t="shared" si="151"/>
        <v>#DIV/0!</v>
      </c>
      <c r="DQ133" s="55" t="e">
        <f t="shared" si="152"/>
        <v>#DIV/0!</v>
      </c>
      <c r="DR133" s="55"/>
      <c r="DS133" s="55" t="e">
        <f t="shared" si="153"/>
        <v>#DIV/0!</v>
      </c>
      <c r="DT133" s="55" t="e">
        <f t="shared" si="154"/>
        <v>#DIV/0!</v>
      </c>
      <c r="DU133" s="53">
        <f t="shared" si="155"/>
        <v>0</v>
      </c>
      <c r="DV133" s="59" t="e">
        <f t="shared" si="156"/>
        <v>#DIV/0!</v>
      </c>
    </row>
    <row r="134" spans="30:126">
      <c r="AD134" s="49" t="s">
        <v>411</v>
      </c>
      <c r="AE134" s="49">
        <f t="shared" ref="AE134:AE197" si="157">+A134</f>
        <v>0</v>
      </c>
      <c r="AF134" s="49">
        <f t="shared" si="103"/>
        <v>0</v>
      </c>
      <c r="AG134" s="114">
        <f t="shared" si="104"/>
        <v>0</v>
      </c>
      <c r="AH134" s="104">
        <f t="shared" si="105"/>
        <v>0</v>
      </c>
      <c r="AI134" s="104">
        <f t="shared" si="106"/>
        <v>0</v>
      </c>
      <c r="AJ134" s="104">
        <f t="shared" si="107"/>
        <v>0</v>
      </c>
      <c r="AK134" s="104">
        <f t="shared" si="108"/>
        <v>0</v>
      </c>
      <c r="AL134" s="104">
        <f t="shared" si="109"/>
        <v>0</v>
      </c>
      <c r="AM134" s="104">
        <f t="shared" si="110"/>
        <v>0</v>
      </c>
      <c r="AN134" s="104">
        <f t="shared" si="111"/>
        <v>0</v>
      </c>
      <c r="AO134" s="104">
        <f t="shared" si="112"/>
        <v>0</v>
      </c>
      <c r="AP134" s="104">
        <f t="shared" si="113"/>
        <v>0</v>
      </c>
      <c r="AQ134" s="49">
        <f t="shared" si="114"/>
        <v>0</v>
      </c>
      <c r="AR134" s="104">
        <f t="shared" si="115"/>
        <v>0</v>
      </c>
      <c r="AS134" s="104">
        <f t="shared" si="116"/>
        <v>0</v>
      </c>
      <c r="AT134" s="104">
        <f t="shared" si="117"/>
        <v>0</v>
      </c>
      <c r="AU134" s="104">
        <f t="shared" si="118"/>
        <v>0</v>
      </c>
      <c r="BF134" s="49">
        <f t="shared" si="119"/>
        <v>0</v>
      </c>
      <c r="BG134" s="49">
        <f t="shared" si="120"/>
        <v>0</v>
      </c>
      <c r="BH134" s="54" t="e">
        <f t="shared" si="121"/>
        <v>#DIV/0!</v>
      </c>
      <c r="BI134" s="112" t="e">
        <f t="shared" si="122"/>
        <v>#DIV/0!</v>
      </c>
      <c r="BK134" s="55" t="e">
        <f t="shared" si="123"/>
        <v>#DIV/0!</v>
      </c>
      <c r="BL134" s="55" t="e">
        <f t="shared" si="124"/>
        <v>#DIV/0!</v>
      </c>
      <c r="BM134" s="55" t="e">
        <f t="shared" si="125"/>
        <v>#DIV/0!</v>
      </c>
      <c r="BN134" s="53">
        <f t="shared" si="126"/>
        <v>0</v>
      </c>
      <c r="BO134" s="112" t="e">
        <f t="shared" si="127"/>
        <v>#DIV/0!</v>
      </c>
      <c r="BR134" s="53" t="e">
        <f t="shared" si="128"/>
        <v>#DIV/0!</v>
      </c>
      <c r="BS134" s="53">
        <f t="shared" si="129"/>
        <v>0</v>
      </c>
      <c r="BT134" s="53">
        <f t="shared" si="130"/>
        <v>0</v>
      </c>
      <c r="BU134" s="56" t="e">
        <f t="shared" si="131"/>
        <v>#DIV/0!</v>
      </c>
      <c r="BX134" s="60"/>
      <c r="BY134" s="60"/>
      <c r="BZ134" s="60"/>
      <c r="CA134" s="60"/>
      <c r="CB134" s="60"/>
      <c r="CC134" s="60"/>
      <c r="CD134" s="60"/>
      <c r="CE134" s="60"/>
      <c r="CF134" s="60"/>
      <c r="CG134" s="60"/>
      <c r="CH134" s="60"/>
      <c r="CI134" s="60"/>
      <c r="CJ134" s="60"/>
      <c r="CK134" s="60"/>
      <c r="CL134" s="60"/>
      <c r="CM134" s="60"/>
      <c r="CN134" s="60"/>
      <c r="CO134" s="60"/>
      <c r="CP134" s="60"/>
      <c r="CQ134" s="60"/>
      <c r="CR134" s="60"/>
      <c r="CS134" s="60"/>
      <c r="CT134" s="57">
        <f t="shared" si="132"/>
        <v>0</v>
      </c>
      <c r="CU134" s="57">
        <f t="shared" si="133"/>
        <v>0</v>
      </c>
      <c r="CV134" s="53">
        <f t="shared" si="134"/>
        <v>0</v>
      </c>
      <c r="CW134" s="53">
        <f t="shared" si="135"/>
        <v>0</v>
      </c>
      <c r="CX134" s="58" t="e">
        <f t="shared" si="136"/>
        <v>#DIV/0!</v>
      </c>
      <c r="CY134" s="53">
        <f t="shared" si="137"/>
        <v>0</v>
      </c>
      <c r="CZ134" s="53">
        <f t="shared" si="138"/>
        <v>0</v>
      </c>
      <c r="DA134" s="58" t="e">
        <f t="shared" si="139"/>
        <v>#DIV/0!</v>
      </c>
      <c r="DB134" s="48" t="e">
        <f t="shared" si="140"/>
        <v>#DIV/0!</v>
      </c>
      <c r="DC134" s="48" t="e">
        <f t="shared" si="141"/>
        <v>#DIV/0!</v>
      </c>
      <c r="DD134" s="48" t="e">
        <f t="shared" si="142"/>
        <v>#DIV/0!</v>
      </c>
      <c r="DE134" s="48" t="e">
        <f t="shared" si="143"/>
        <v>#DIV/0!</v>
      </c>
      <c r="DF134" s="48" t="e">
        <f t="shared" si="144"/>
        <v>#DIV/0!</v>
      </c>
      <c r="DG134" s="48" t="e">
        <f t="shared" si="145"/>
        <v>#DIV/0!</v>
      </c>
      <c r="DH134" s="48">
        <f>SUMIF(FCR!$BZ$4:$DB$500,DG134,FCR!$DE$4:$EG$500)</f>
        <v>0</v>
      </c>
      <c r="DI134" s="48" t="e">
        <f t="shared" si="146"/>
        <v>#DIV/0!</v>
      </c>
      <c r="DJ134" s="48">
        <f>SUMIF(FCR!$BZ$4:$DB$142,DI134,FCR!$DE$4:$EG$142)</f>
        <v>0</v>
      </c>
      <c r="DK134" s="48" t="e">
        <f t="shared" si="147"/>
        <v>#DIV/0!</v>
      </c>
      <c r="DL134" s="55" t="e">
        <f t="shared" si="148"/>
        <v>#DIV/0!</v>
      </c>
      <c r="DM134" s="48" t="e">
        <f t="shared" si="149"/>
        <v>#DIV/0!</v>
      </c>
      <c r="DN134" s="48">
        <f>SUMIF(FCR!$BZ$4:$DB$142,DM134,FCR!$DE$4:$EG$142)</f>
        <v>0</v>
      </c>
      <c r="DO134" s="53" t="e">
        <f t="shared" si="150"/>
        <v>#DIV/0!</v>
      </c>
      <c r="DP134" s="55" t="e">
        <f t="shared" si="151"/>
        <v>#DIV/0!</v>
      </c>
      <c r="DQ134" s="55" t="e">
        <f t="shared" si="152"/>
        <v>#DIV/0!</v>
      </c>
      <c r="DR134" s="55"/>
      <c r="DS134" s="55" t="e">
        <f t="shared" si="153"/>
        <v>#DIV/0!</v>
      </c>
      <c r="DT134" s="55" t="e">
        <f t="shared" si="154"/>
        <v>#DIV/0!</v>
      </c>
      <c r="DU134" s="53">
        <f t="shared" si="155"/>
        <v>0</v>
      </c>
      <c r="DV134" s="59" t="e">
        <f t="shared" si="156"/>
        <v>#DIV/0!</v>
      </c>
    </row>
    <row r="135" spans="30:126">
      <c r="AD135" s="49" t="s">
        <v>411</v>
      </c>
      <c r="AE135" s="49">
        <f t="shared" si="157"/>
        <v>0</v>
      </c>
      <c r="AF135" s="49">
        <f t="shared" si="103"/>
        <v>0</v>
      </c>
      <c r="AG135" s="114">
        <f t="shared" si="104"/>
        <v>0</v>
      </c>
      <c r="AH135" s="104">
        <f t="shared" si="105"/>
        <v>0</v>
      </c>
      <c r="AI135" s="104">
        <f t="shared" si="106"/>
        <v>0</v>
      </c>
      <c r="AJ135" s="104">
        <f t="shared" si="107"/>
        <v>0</v>
      </c>
      <c r="AK135" s="104">
        <f t="shared" si="108"/>
        <v>0</v>
      </c>
      <c r="AL135" s="104">
        <f t="shared" si="109"/>
        <v>0</v>
      </c>
      <c r="AM135" s="104">
        <f t="shared" si="110"/>
        <v>0</v>
      </c>
      <c r="AN135" s="104">
        <f t="shared" si="111"/>
        <v>0</v>
      </c>
      <c r="AO135" s="104">
        <f t="shared" si="112"/>
        <v>0</v>
      </c>
      <c r="AP135" s="104">
        <f t="shared" si="113"/>
        <v>0</v>
      </c>
      <c r="AQ135" s="49">
        <f t="shared" si="114"/>
        <v>0</v>
      </c>
      <c r="AR135" s="104">
        <f t="shared" si="115"/>
        <v>0</v>
      </c>
      <c r="AS135" s="104">
        <f t="shared" si="116"/>
        <v>0</v>
      </c>
      <c r="AT135" s="104">
        <f t="shared" si="117"/>
        <v>0</v>
      </c>
      <c r="AU135" s="104">
        <f t="shared" si="118"/>
        <v>0</v>
      </c>
      <c r="BF135" s="49">
        <f t="shared" si="119"/>
        <v>0</v>
      </c>
      <c r="BG135" s="49">
        <f t="shared" si="120"/>
        <v>0</v>
      </c>
      <c r="BH135" s="54" t="e">
        <f t="shared" si="121"/>
        <v>#DIV/0!</v>
      </c>
      <c r="BI135" s="112" t="e">
        <f t="shared" si="122"/>
        <v>#DIV/0!</v>
      </c>
      <c r="BK135" s="55" t="e">
        <f t="shared" si="123"/>
        <v>#DIV/0!</v>
      </c>
      <c r="BL135" s="55" t="e">
        <f t="shared" si="124"/>
        <v>#DIV/0!</v>
      </c>
      <c r="BM135" s="55" t="e">
        <f t="shared" si="125"/>
        <v>#DIV/0!</v>
      </c>
      <c r="BN135" s="53">
        <f t="shared" si="126"/>
        <v>0</v>
      </c>
      <c r="BO135" s="112" t="e">
        <f t="shared" si="127"/>
        <v>#DIV/0!</v>
      </c>
      <c r="BR135" s="53" t="e">
        <f t="shared" si="128"/>
        <v>#DIV/0!</v>
      </c>
      <c r="BS135" s="53">
        <f t="shared" si="129"/>
        <v>0</v>
      </c>
      <c r="BT135" s="53">
        <f t="shared" si="130"/>
        <v>0</v>
      </c>
      <c r="BU135" s="56" t="e">
        <f t="shared" si="131"/>
        <v>#DIV/0!</v>
      </c>
      <c r="BX135" s="60"/>
      <c r="BY135" s="60"/>
      <c r="BZ135" s="60"/>
      <c r="CA135" s="60"/>
      <c r="CB135" s="60"/>
      <c r="CC135" s="60"/>
      <c r="CD135" s="60"/>
      <c r="CE135" s="60"/>
      <c r="CF135" s="60"/>
      <c r="CG135" s="60"/>
      <c r="CH135" s="60"/>
      <c r="CI135" s="60"/>
      <c r="CJ135" s="60"/>
      <c r="CK135" s="60"/>
      <c r="CL135" s="60"/>
      <c r="CM135" s="60"/>
      <c r="CN135" s="60"/>
      <c r="CO135" s="60"/>
      <c r="CP135" s="60"/>
      <c r="CQ135" s="60"/>
      <c r="CR135" s="60"/>
      <c r="CS135" s="60"/>
      <c r="CT135" s="57">
        <f t="shared" si="132"/>
        <v>0</v>
      </c>
      <c r="CU135" s="57">
        <f t="shared" si="133"/>
        <v>0</v>
      </c>
      <c r="CV135" s="53">
        <f t="shared" si="134"/>
        <v>0</v>
      </c>
      <c r="CW135" s="53">
        <f t="shared" si="135"/>
        <v>0</v>
      </c>
      <c r="CX135" s="58" t="e">
        <f t="shared" si="136"/>
        <v>#DIV/0!</v>
      </c>
      <c r="CY135" s="53">
        <f t="shared" si="137"/>
        <v>0</v>
      </c>
      <c r="CZ135" s="53">
        <f t="shared" si="138"/>
        <v>0</v>
      </c>
      <c r="DA135" s="58" t="e">
        <f t="shared" si="139"/>
        <v>#DIV/0!</v>
      </c>
      <c r="DB135" s="48" t="e">
        <f t="shared" si="140"/>
        <v>#DIV/0!</v>
      </c>
      <c r="DC135" s="48" t="e">
        <f t="shared" si="141"/>
        <v>#DIV/0!</v>
      </c>
      <c r="DD135" s="48" t="e">
        <f t="shared" si="142"/>
        <v>#DIV/0!</v>
      </c>
      <c r="DE135" s="48" t="e">
        <f t="shared" si="143"/>
        <v>#DIV/0!</v>
      </c>
      <c r="DF135" s="48" t="e">
        <f t="shared" si="144"/>
        <v>#DIV/0!</v>
      </c>
      <c r="DG135" s="48" t="e">
        <f t="shared" si="145"/>
        <v>#DIV/0!</v>
      </c>
      <c r="DH135" s="48">
        <f>SUMIF(FCR!$BZ$4:$DB$500,DG135,FCR!$DE$4:$EG$500)</f>
        <v>0</v>
      </c>
      <c r="DI135" s="48" t="e">
        <f t="shared" si="146"/>
        <v>#DIV/0!</v>
      </c>
      <c r="DJ135" s="48">
        <f>SUMIF(FCR!$BZ$4:$DB$142,DI135,FCR!$DE$4:$EG$142)</f>
        <v>0</v>
      </c>
      <c r="DK135" s="48" t="e">
        <f t="shared" si="147"/>
        <v>#DIV/0!</v>
      </c>
      <c r="DL135" s="55" t="e">
        <f t="shared" si="148"/>
        <v>#DIV/0!</v>
      </c>
      <c r="DM135" s="48" t="e">
        <f t="shared" si="149"/>
        <v>#DIV/0!</v>
      </c>
      <c r="DN135" s="48">
        <f>SUMIF(FCR!$BZ$4:$DB$142,DM135,FCR!$DE$4:$EG$142)</f>
        <v>0</v>
      </c>
      <c r="DO135" s="53" t="e">
        <f t="shared" si="150"/>
        <v>#DIV/0!</v>
      </c>
      <c r="DP135" s="55" t="e">
        <f t="shared" si="151"/>
        <v>#DIV/0!</v>
      </c>
      <c r="DQ135" s="55" t="e">
        <f t="shared" si="152"/>
        <v>#DIV/0!</v>
      </c>
      <c r="DR135" s="55"/>
      <c r="DS135" s="55" t="e">
        <f t="shared" si="153"/>
        <v>#DIV/0!</v>
      </c>
      <c r="DT135" s="55" t="e">
        <f t="shared" si="154"/>
        <v>#DIV/0!</v>
      </c>
      <c r="DU135" s="53">
        <f t="shared" si="155"/>
        <v>0</v>
      </c>
      <c r="DV135" s="59" t="e">
        <f t="shared" si="156"/>
        <v>#DIV/0!</v>
      </c>
    </row>
    <row r="136" spans="30:126">
      <c r="AD136" s="49" t="s">
        <v>411</v>
      </c>
      <c r="AE136" s="49">
        <f t="shared" si="157"/>
        <v>0</v>
      </c>
      <c r="AF136" s="49">
        <f t="shared" si="103"/>
        <v>0</v>
      </c>
      <c r="AG136" s="114">
        <f t="shared" si="104"/>
        <v>0</v>
      </c>
      <c r="AH136" s="104">
        <f t="shared" si="105"/>
        <v>0</v>
      </c>
      <c r="AI136" s="104">
        <f t="shared" si="106"/>
        <v>0</v>
      </c>
      <c r="AJ136" s="104">
        <f t="shared" si="107"/>
        <v>0</v>
      </c>
      <c r="AK136" s="104">
        <f t="shared" si="108"/>
        <v>0</v>
      </c>
      <c r="AL136" s="104">
        <f t="shared" si="109"/>
        <v>0</v>
      </c>
      <c r="AM136" s="104">
        <f t="shared" si="110"/>
        <v>0</v>
      </c>
      <c r="AN136" s="104">
        <f t="shared" si="111"/>
        <v>0</v>
      </c>
      <c r="AO136" s="104">
        <f t="shared" si="112"/>
        <v>0</v>
      </c>
      <c r="AP136" s="104">
        <f t="shared" si="113"/>
        <v>0</v>
      </c>
      <c r="AQ136" s="49">
        <f t="shared" si="114"/>
        <v>0</v>
      </c>
      <c r="AR136" s="104">
        <f t="shared" si="115"/>
        <v>0</v>
      </c>
      <c r="AS136" s="104">
        <f t="shared" si="116"/>
        <v>0</v>
      </c>
      <c r="AT136" s="104">
        <f t="shared" si="117"/>
        <v>0</v>
      </c>
      <c r="AU136" s="104">
        <f t="shared" si="118"/>
        <v>0</v>
      </c>
      <c r="BF136" s="49">
        <f t="shared" si="119"/>
        <v>0</v>
      </c>
      <c r="BG136" s="49">
        <f t="shared" si="120"/>
        <v>0</v>
      </c>
      <c r="BH136" s="54" t="e">
        <f t="shared" si="121"/>
        <v>#DIV/0!</v>
      </c>
      <c r="BI136" s="112" t="e">
        <f t="shared" si="122"/>
        <v>#DIV/0!</v>
      </c>
      <c r="BK136" s="55" t="e">
        <f t="shared" si="123"/>
        <v>#DIV/0!</v>
      </c>
      <c r="BL136" s="55" t="e">
        <f t="shared" si="124"/>
        <v>#DIV/0!</v>
      </c>
      <c r="BM136" s="55" t="e">
        <f t="shared" si="125"/>
        <v>#DIV/0!</v>
      </c>
      <c r="BN136" s="53">
        <f t="shared" si="126"/>
        <v>0</v>
      </c>
      <c r="BO136" s="112" t="e">
        <f t="shared" si="127"/>
        <v>#DIV/0!</v>
      </c>
      <c r="BR136" s="53" t="e">
        <f t="shared" si="128"/>
        <v>#DIV/0!</v>
      </c>
      <c r="BS136" s="53">
        <f t="shared" si="129"/>
        <v>0</v>
      </c>
      <c r="BT136" s="53">
        <f t="shared" si="130"/>
        <v>0</v>
      </c>
      <c r="BU136" s="56" t="e">
        <f t="shared" si="131"/>
        <v>#DIV/0!</v>
      </c>
      <c r="BX136" s="60"/>
      <c r="BY136" s="60"/>
      <c r="BZ136" s="60"/>
      <c r="CA136" s="60"/>
      <c r="CB136" s="60"/>
      <c r="CC136" s="60"/>
      <c r="CD136" s="60"/>
      <c r="CE136" s="60"/>
      <c r="CF136" s="60"/>
      <c r="CG136" s="60"/>
      <c r="CH136" s="60"/>
      <c r="CI136" s="60"/>
      <c r="CJ136" s="60"/>
      <c r="CK136" s="60"/>
      <c r="CL136" s="60"/>
      <c r="CM136" s="60"/>
      <c r="CN136" s="60"/>
      <c r="CO136" s="60"/>
      <c r="CP136" s="60"/>
      <c r="CQ136" s="60"/>
      <c r="CR136" s="60"/>
      <c r="CS136" s="60"/>
      <c r="CT136" s="57">
        <f t="shared" si="132"/>
        <v>0</v>
      </c>
      <c r="CU136" s="57">
        <f t="shared" si="133"/>
        <v>0</v>
      </c>
      <c r="CV136" s="53">
        <f t="shared" si="134"/>
        <v>0</v>
      </c>
      <c r="CW136" s="53">
        <f t="shared" si="135"/>
        <v>0</v>
      </c>
      <c r="CX136" s="58" t="e">
        <f t="shared" si="136"/>
        <v>#DIV/0!</v>
      </c>
      <c r="CY136" s="53">
        <f t="shared" si="137"/>
        <v>0</v>
      </c>
      <c r="CZ136" s="53">
        <f t="shared" si="138"/>
        <v>0</v>
      </c>
      <c r="DA136" s="58" t="e">
        <f t="shared" si="139"/>
        <v>#DIV/0!</v>
      </c>
      <c r="DB136" s="48" t="e">
        <f t="shared" si="140"/>
        <v>#DIV/0!</v>
      </c>
      <c r="DC136" s="48" t="e">
        <f t="shared" si="141"/>
        <v>#DIV/0!</v>
      </c>
      <c r="DD136" s="48" t="e">
        <f t="shared" si="142"/>
        <v>#DIV/0!</v>
      </c>
      <c r="DE136" s="48" t="e">
        <f t="shared" si="143"/>
        <v>#DIV/0!</v>
      </c>
      <c r="DF136" s="48" t="e">
        <f t="shared" si="144"/>
        <v>#DIV/0!</v>
      </c>
      <c r="DG136" s="48" t="e">
        <f t="shared" si="145"/>
        <v>#DIV/0!</v>
      </c>
      <c r="DH136" s="48">
        <f>SUMIF(FCR!$BZ$4:$DB$500,DG136,FCR!$DE$4:$EG$500)</f>
        <v>0</v>
      </c>
      <c r="DI136" s="48" t="e">
        <f t="shared" si="146"/>
        <v>#DIV/0!</v>
      </c>
      <c r="DJ136" s="48">
        <f>SUMIF(FCR!$BZ$4:$DB$142,DI136,FCR!$DE$4:$EG$142)</f>
        <v>0</v>
      </c>
      <c r="DK136" s="48" t="e">
        <f t="shared" si="147"/>
        <v>#DIV/0!</v>
      </c>
      <c r="DL136" s="55" t="e">
        <f t="shared" si="148"/>
        <v>#DIV/0!</v>
      </c>
      <c r="DM136" s="48" t="e">
        <f t="shared" si="149"/>
        <v>#DIV/0!</v>
      </c>
      <c r="DN136" s="48">
        <f>SUMIF(FCR!$BZ$4:$DB$142,DM136,FCR!$DE$4:$EG$142)</f>
        <v>0</v>
      </c>
      <c r="DO136" s="53" t="e">
        <f t="shared" si="150"/>
        <v>#DIV/0!</v>
      </c>
      <c r="DP136" s="55" t="e">
        <f t="shared" si="151"/>
        <v>#DIV/0!</v>
      </c>
      <c r="DQ136" s="55" t="e">
        <f t="shared" si="152"/>
        <v>#DIV/0!</v>
      </c>
      <c r="DR136" s="55"/>
      <c r="DS136" s="55" t="e">
        <f t="shared" si="153"/>
        <v>#DIV/0!</v>
      </c>
      <c r="DT136" s="55" t="e">
        <f t="shared" si="154"/>
        <v>#DIV/0!</v>
      </c>
      <c r="DU136" s="53">
        <f t="shared" si="155"/>
        <v>0</v>
      </c>
      <c r="DV136" s="59" t="e">
        <f t="shared" si="156"/>
        <v>#DIV/0!</v>
      </c>
    </row>
    <row r="137" spans="30:126">
      <c r="AD137" s="49" t="s">
        <v>411</v>
      </c>
      <c r="AE137" s="49">
        <f t="shared" si="157"/>
        <v>0</v>
      </c>
      <c r="AF137" s="49">
        <f t="shared" si="103"/>
        <v>0</v>
      </c>
      <c r="AG137" s="114">
        <f t="shared" si="104"/>
        <v>0</v>
      </c>
      <c r="AH137" s="104">
        <f t="shared" si="105"/>
        <v>0</v>
      </c>
      <c r="AI137" s="104">
        <f t="shared" si="106"/>
        <v>0</v>
      </c>
      <c r="AJ137" s="104">
        <f t="shared" si="107"/>
        <v>0</v>
      </c>
      <c r="AK137" s="104">
        <f t="shared" si="108"/>
        <v>0</v>
      </c>
      <c r="AL137" s="104">
        <f t="shared" si="109"/>
        <v>0</v>
      </c>
      <c r="AM137" s="104">
        <f t="shared" si="110"/>
        <v>0</v>
      </c>
      <c r="AN137" s="104">
        <f t="shared" si="111"/>
        <v>0</v>
      </c>
      <c r="AO137" s="104">
        <f t="shared" si="112"/>
        <v>0</v>
      </c>
      <c r="AP137" s="104">
        <f t="shared" si="113"/>
        <v>0</v>
      </c>
      <c r="AQ137" s="49">
        <f t="shared" si="114"/>
        <v>0</v>
      </c>
      <c r="AR137" s="104">
        <f t="shared" si="115"/>
        <v>0</v>
      </c>
      <c r="AS137" s="104">
        <f t="shared" si="116"/>
        <v>0</v>
      </c>
      <c r="AT137" s="104">
        <f t="shared" si="117"/>
        <v>0</v>
      </c>
      <c r="AU137" s="104">
        <f t="shared" si="118"/>
        <v>0</v>
      </c>
      <c r="BF137" s="49">
        <f t="shared" si="119"/>
        <v>0</v>
      </c>
      <c r="BG137" s="49">
        <f t="shared" si="120"/>
        <v>0</v>
      </c>
      <c r="BH137" s="54" t="e">
        <f t="shared" si="121"/>
        <v>#DIV/0!</v>
      </c>
      <c r="BI137" s="112" t="e">
        <f t="shared" si="122"/>
        <v>#DIV/0!</v>
      </c>
      <c r="BK137" s="55" t="e">
        <f t="shared" si="123"/>
        <v>#DIV/0!</v>
      </c>
      <c r="BL137" s="55" t="e">
        <f t="shared" si="124"/>
        <v>#DIV/0!</v>
      </c>
      <c r="BM137" s="55" t="e">
        <f t="shared" si="125"/>
        <v>#DIV/0!</v>
      </c>
      <c r="BN137" s="53">
        <f t="shared" si="126"/>
        <v>0</v>
      </c>
      <c r="BO137" s="112" t="e">
        <f t="shared" si="127"/>
        <v>#DIV/0!</v>
      </c>
      <c r="BR137" s="53" t="e">
        <f t="shared" si="128"/>
        <v>#DIV/0!</v>
      </c>
      <c r="BS137" s="53">
        <f t="shared" si="129"/>
        <v>0</v>
      </c>
      <c r="BT137" s="53">
        <f t="shared" si="130"/>
        <v>0</v>
      </c>
      <c r="BU137" s="56" t="e">
        <f t="shared" si="131"/>
        <v>#DIV/0!</v>
      </c>
      <c r="BX137" s="60"/>
      <c r="BY137" s="60"/>
      <c r="BZ137" s="60"/>
      <c r="CA137" s="60"/>
      <c r="CB137" s="60"/>
      <c r="CC137" s="60"/>
      <c r="CD137" s="60"/>
      <c r="CE137" s="60"/>
      <c r="CF137" s="60"/>
      <c r="CG137" s="60"/>
      <c r="CH137" s="60"/>
      <c r="CI137" s="60"/>
      <c r="CJ137" s="60"/>
      <c r="CK137" s="60"/>
      <c r="CL137" s="60"/>
      <c r="CM137" s="60"/>
      <c r="CN137" s="60"/>
      <c r="CO137" s="60"/>
      <c r="CP137" s="60"/>
      <c r="CQ137" s="60"/>
      <c r="CR137" s="60"/>
      <c r="CS137" s="60"/>
      <c r="CT137" s="57">
        <f t="shared" si="132"/>
        <v>0</v>
      </c>
      <c r="CU137" s="57">
        <f t="shared" si="133"/>
        <v>0</v>
      </c>
      <c r="CV137" s="53">
        <f t="shared" si="134"/>
        <v>0</v>
      </c>
      <c r="CW137" s="53">
        <f t="shared" si="135"/>
        <v>0</v>
      </c>
      <c r="CX137" s="58" t="e">
        <f t="shared" si="136"/>
        <v>#DIV/0!</v>
      </c>
      <c r="CY137" s="53">
        <f t="shared" si="137"/>
        <v>0</v>
      </c>
      <c r="CZ137" s="53">
        <f t="shared" si="138"/>
        <v>0</v>
      </c>
      <c r="DA137" s="58" t="e">
        <f t="shared" si="139"/>
        <v>#DIV/0!</v>
      </c>
      <c r="DB137" s="48" t="e">
        <f t="shared" si="140"/>
        <v>#DIV/0!</v>
      </c>
      <c r="DC137" s="48" t="e">
        <f t="shared" si="141"/>
        <v>#DIV/0!</v>
      </c>
      <c r="DD137" s="48" t="e">
        <f t="shared" si="142"/>
        <v>#DIV/0!</v>
      </c>
      <c r="DE137" s="48" t="e">
        <f t="shared" si="143"/>
        <v>#DIV/0!</v>
      </c>
      <c r="DF137" s="48" t="e">
        <f t="shared" si="144"/>
        <v>#DIV/0!</v>
      </c>
      <c r="DG137" s="48" t="e">
        <f t="shared" si="145"/>
        <v>#DIV/0!</v>
      </c>
      <c r="DH137" s="48">
        <f>SUMIF(FCR!$BZ$4:$DB$500,DG137,FCR!$DE$4:$EG$500)</f>
        <v>0</v>
      </c>
      <c r="DI137" s="48" t="e">
        <f t="shared" si="146"/>
        <v>#DIV/0!</v>
      </c>
      <c r="DJ137" s="48">
        <f>SUMIF(FCR!$BZ$4:$DB$142,DI137,FCR!$DE$4:$EG$142)</f>
        <v>0</v>
      </c>
      <c r="DK137" s="48" t="e">
        <f t="shared" si="147"/>
        <v>#DIV/0!</v>
      </c>
      <c r="DL137" s="55" t="e">
        <f t="shared" si="148"/>
        <v>#DIV/0!</v>
      </c>
      <c r="DM137" s="48" t="e">
        <f t="shared" si="149"/>
        <v>#DIV/0!</v>
      </c>
      <c r="DN137" s="48">
        <f>SUMIF(FCR!$BZ$4:$DB$142,DM137,FCR!$DE$4:$EG$142)</f>
        <v>0</v>
      </c>
      <c r="DO137" s="53" t="e">
        <f t="shared" si="150"/>
        <v>#DIV/0!</v>
      </c>
      <c r="DP137" s="55" t="e">
        <f t="shared" si="151"/>
        <v>#DIV/0!</v>
      </c>
      <c r="DQ137" s="55" t="e">
        <f t="shared" si="152"/>
        <v>#DIV/0!</v>
      </c>
      <c r="DR137" s="55"/>
      <c r="DS137" s="55" t="e">
        <f t="shared" si="153"/>
        <v>#DIV/0!</v>
      </c>
      <c r="DT137" s="55" t="e">
        <f t="shared" si="154"/>
        <v>#DIV/0!</v>
      </c>
      <c r="DU137" s="53">
        <f t="shared" si="155"/>
        <v>0</v>
      </c>
      <c r="DV137" s="59" t="e">
        <f t="shared" si="156"/>
        <v>#DIV/0!</v>
      </c>
    </row>
    <row r="138" spans="30:126">
      <c r="AD138" s="49" t="s">
        <v>411</v>
      </c>
      <c r="AE138" s="49">
        <f t="shared" si="157"/>
        <v>0</v>
      </c>
      <c r="AF138" s="49">
        <f t="shared" si="103"/>
        <v>0</v>
      </c>
      <c r="AG138" s="114">
        <f t="shared" si="104"/>
        <v>0</v>
      </c>
      <c r="AH138" s="104">
        <f t="shared" si="105"/>
        <v>0</v>
      </c>
      <c r="AI138" s="104">
        <f t="shared" si="106"/>
        <v>0</v>
      </c>
      <c r="AJ138" s="104">
        <f t="shared" si="107"/>
        <v>0</v>
      </c>
      <c r="AK138" s="104">
        <f t="shared" si="108"/>
        <v>0</v>
      </c>
      <c r="AL138" s="104">
        <f t="shared" si="109"/>
        <v>0</v>
      </c>
      <c r="AM138" s="104">
        <f t="shared" si="110"/>
        <v>0</v>
      </c>
      <c r="AN138" s="104">
        <f t="shared" si="111"/>
        <v>0</v>
      </c>
      <c r="AO138" s="104">
        <f t="shared" si="112"/>
        <v>0</v>
      </c>
      <c r="AP138" s="104">
        <f t="shared" si="113"/>
        <v>0</v>
      </c>
      <c r="AQ138" s="49">
        <f t="shared" si="114"/>
        <v>0</v>
      </c>
      <c r="AR138" s="104">
        <f t="shared" si="115"/>
        <v>0</v>
      </c>
      <c r="AS138" s="104">
        <f t="shared" si="116"/>
        <v>0</v>
      </c>
      <c r="AT138" s="104">
        <f t="shared" si="117"/>
        <v>0</v>
      </c>
      <c r="AU138" s="104">
        <f t="shared" si="118"/>
        <v>0</v>
      </c>
      <c r="BF138" s="49">
        <f t="shared" si="119"/>
        <v>0</v>
      </c>
      <c r="BG138" s="49">
        <f t="shared" si="120"/>
        <v>0</v>
      </c>
      <c r="BH138" s="54" t="e">
        <f t="shared" si="121"/>
        <v>#DIV/0!</v>
      </c>
      <c r="BI138" s="112" t="e">
        <f t="shared" si="122"/>
        <v>#DIV/0!</v>
      </c>
      <c r="BK138" s="55" t="e">
        <f t="shared" si="123"/>
        <v>#DIV/0!</v>
      </c>
      <c r="BL138" s="55" t="e">
        <f t="shared" si="124"/>
        <v>#DIV/0!</v>
      </c>
      <c r="BM138" s="55" t="e">
        <f t="shared" si="125"/>
        <v>#DIV/0!</v>
      </c>
      <c r="BN138" s="53">
        <f t="shared" si="126"/>
        <v>0</v>
      </c>
      <c r="BO138" s="112" t="e">
        <f t="shared" si="127"/>
        <v>#DIV/0!</v>
      </c>
      <c r="BR138" s="53" t="e">
        <f t="shared" si="128"/>
        <v>#DIV/0!</v>
      </c>
      <c r="BS138" s="53">
        <f t="shared" si="129"/>
        <v>0</v>
      </c>
      <c r="BT138" s="53">
        <f t="shared" si="130"/>
        <v>0</v>
      </c>
      <c r="BU138" s="56" t="e">
        <f t="shared" si="131"/>
        <v>#DIV/0!</v>
      </c>
      <c r="BX138" s="60"/>
      <c r="BY138" s="60"/>
      <c r="BZ138" s="60"/>
      <c r="CA138" s="60"/>
      <c r="CB138" s="60"/>
      <c r="CC138" s="60"/>
      <c r="CD138" s="60"/>
      <c r="CE138" s="60"/>
      <c r="CF138" s="60"/>
      <c r="CG138" s="60"/>
      <c r="CH138" s="60"/>
      <c r="CI138" s="60"/>
      <c r="CJ138" s="60"/>
      <c r="CK138" s="60"/>
      <c r="CL138" s="60"/>
      <c r="CM138" s="60"/>
      <c r="CN138" s="60"/>
      <c r="CO138" s="60"/>
      <c r="CP138" s="60"/>
      <c r="CQ138" s="60"/>
      <c r="CR138" s="60"/>
      <c r="CS138" s="60"/>
      <c r="CT138" s="57">
        <f t="shared" si="132"/>
        <v>0</v>
      </c>
      <c r="CU138" s="57">
        <f t="shared" si="133"/>
        <v>0</v>
      </c>
      <c r="CV138" s="53">
        <f t="shared" si="134"/>
        <v>0</v>
      </c>
      <c r="CW138" s="53">
        <f t="shared" si="135"/>
        <v>0</v>
      </c>
      <c r="CX138" s="58" t="e">
        <f t="shared" si="136"/>
        <v>#DIV/0!</v>
      </c>
      <c r="CY138" s="53">
        <f t="shared" si="137"/>
        <v>0</v>
      </c>
      <c r="CZ138" s="53">
        <f t="shared" si="138"/>
        <v>0</v>
      </c>
      <c r="DA138" s="58" t="e">
        <f t="shared" si="139"/>
        <v>#DIV/0!</v>
      </c>
      <c r="DB138" s="48" t="e">
        <f t="shared" si="140"/>
        <v>#DIV/0!</v>
      </c>
      <c r="DC138" s="48" t="e">
        <f t="shared" si="141"/>
        <v>#DIV/0!</v>
      </c>
      <c r="DD138" s="48" t="e">
        <f t="shared" si="142"/>
        <v>#DIV/0!</v>
      </c>
      <c r="DE138" s="48" t="e">
        <f t="shared" si="143"/>
        <v>#DIV/0!</v>
      </c>
      <c r="DF138" s="48" t="e">
        <f t="shared" si="144"/>
        <v>#DIV/0!</v>
      </c>
      <c r="DG138" s="48" t="e">
        <f t="shared" si="145"/>
        <v>#DIV/0!</v>
      </c>
      <c r="DH138" s="48">
        <f>SUMIF(FCR!$BZ$4:$DB$500,DG138,FCR!$DE$4:$EG$500)</f>
        <v>0</v>
      </c>
      <c r="DI138" s="48" t="e">
        <f t="shared" si="146"/>
        <v>#DIV/0!</v>
      </c>
      <c r="DJ138" s="48">
        <f>SUMIF(FCR!$BZ$4:$DB$142,DI138,FCR!$DE$4:$EG$142)</f>
        <v>0</v>
      </c>
      <c r="DK138" s="48" t="e">
        <f t="shared" si="147"/>
        <v>#DIV/0!</v>
      </c>
      <c r="DL138" s="55" t="e">
        <f t="shared" si="148"/>
        <v>#DIV/0!</v>
      </c>
      <c r="DM138" s="48" t="e">
        <f t="shared" si="149"/>
        <v>#DIV/0!</v>
      </c>
      <c r="DN138" s="48">
        <f>SUMIF(FCR!$BZ$4:$DB$142,DM138,FCR!$DE$4:$EG$142)</f>
        <v>0</v>
      </c>
      <c r="DO138" s="53" t="e">
        <f t="shared" si="150"/>
        <v>#DIV/0!</v>
      </c>
      <c r="DP138" s="55" t="e">
        <f t="shared" si="151"/>
        <v>#DIV/0!</v>
      </c>
      <c r="DQ138" s="55" t="e">
        <f t="shared" si="152"/>
        <v>#DIV/0!</v>
      </c>
      <c r="DR138" s="55"/>
      <c r="DS138" s="55" t="e">
        <f t="shared" si="153"/>
        <v>#DIV/0!</v>
      </c>
      <c r="DT138" s="55" t="e">
        <f t="shared" si="154"/>
        <v>#DIV/0!</v>
      </c>
      <c r="DU138" s="53">
        <f t="shared" si="155"/>
        <v>0</v>
      </c>
      <c r="DV138" s="59" t="e">
        <f t="shared" si="156"/>
        <v>#DIV/0!</v>
      </c>
    </row>
    <row r="139" spans="30:126">
      <c r="AD139" s="49" t="s">
        <v>411</v>
      </c>
      <c r="AE139" s="49">
        <f t="shared" si="157"/>
        <v>0</v>
      </c>
      <c r="AF139" s="49">
        <f t="shared" si="103"/>
        <v>0</v>
      </c>
      <c r="AG139" s="114">
        <f t="shared" si="104"/>
        <v>0</v>
      </c>
      <c r="AH139" s="104">
        <f t="shared" si="105"/>
        <v>0</v>
      </c>
      <c r="AI139" s="104">
        <f t="shared" si="106"/>
        <v>0</v>
      </c>
      <c r="AJ139" s="104">
        <f t="shared" si="107"/>
        <v>0</v>
      </c>
      <c r="AK139" s="104">
        <f t="shared" si="108"/>
        <v>0</v>
      </c>
      <c r="AL139" s="104">
        <f t="shared" si="109"/>
        <v>0</v>
      </c>
      <c r="AM139" s="104">
        <f t="shared" si="110"/>
        <v>0</v>
      </c>
      <c r="AN139" s="104">
        <f t="shared" si="111"/>
        <v>0</v>
      </c>
      <c r="AO139" s="104">
        <f t="shared" si="112"/>
        <v>0</v>
      </c>
      <c r="AP139" s="104">
        <f t="shared" si="113"/>
        <v>0</v>
      </c>
      <c r="AQ139" s="49">
        <f t="shared" si="114"/>
        <v>0</v>
      </c>
      <c r="AR139" s="104">
        <f t="shared" si="115"/>
        <v>0</v>
      </c>
      <c r="AS139" s="104">
        <f t="shared" si="116"/>
        <v>0</v>
      </c>
      <c r="AT139" s="104">
        <f t="shared" si="117"/>
        <v>0</v>
      </c>
      <c r="AU139" s="104">
        <f t="shared" si="118"/>
        <v>0</v>
      </c>
      <c r="BF139" s="49">
        <f t="shared" si="119"/>
        <v>0</v>
      </c>
      <c r="BG139" s="49">
        <f t="shared" si="120"/>
        <v>0</v>
      </c>
      <c r="BH139" s="54" t="e">
        <f t="shared" si="121"/>
        <v>#DIV/0!</v>
      </c>
      <c r="BI139" s="112" t="e">
        <f t="shared" si="122"/>
        <v>#DIV/0!</v>
      </c>
      <c r="BK139" s="55" t="e">
        <f t="shared" si="123"/>
        <v>#DIV/0!</v>
      </c>
      <c r="BL139" s="55" t="e">
        <f t="shared" si="124"/>
        <v>#DIV/0!</v>
      </c>
      <c r="BM139" s="55" t="e">
        <f t="shared" si="125"/>
        <v>#DIV/0!</v>
      </c>
      <c r="BN139" s="53">
        <f t="shared" si="126"/>
        <v>0</v>
      </c>
      <c r="BO139" s="112" t="e">
        <f t="shared" si="127"/>
        <v>#DIV/0!</v>
      </c>
      <c r="BR139" s="53" t="e">
        <f t="shared" si="128"/>
        <v>#DIV/0!</v>
      </c>
      <c r="BS139" s="53">
        <f t="shared" si="129"/>
        <v>0</v>
      </c>
      <c r="BT139" s="53">
        <f t="shared" si="130"/>
        <v>0</v>
      </c>
      <c r="BU139" s="56" t="e">
        <f t="shared" si="131"/>
        <v>#DIV/0!</v>
      </c>
      <c r="BX139" s="60"/>
      <c r="BY139" s="60"/>
      <c r="BZ139" s="60"/>
      <c r="CA139" s="60"/>
      <c r="CB139" s="60"/>
      <c r="CC139" s="60"/>
      <c r="CD139" s="60"/>
      <c r="CE139" s="60"/>
      <c r="CF139" s="60"/>
      <c r="CG139" s="60"/>
      <c r="CH139" s="60"/>
      <c r="CI139" s="60"/>
      <c r="CJ139" s="60"/>
      <c r="CK139" s="60"/>
      <c r="CL139" s="60"/>
      <c r="CM139" s="60"/>
      <c r="CN139" s="60"/>
      <c r="CO139" s="60"/>
      <c r="CP139" s="60"/>
      <c r="CQ139" s="60"/>
      <c r="CR139" s="60"/>
      <c r="CS139" s="60"/>
      <c r="CT139" s="57">
        <f t="shared" si="132"/>
        <v>0</v>
      </c>
      <c r="CU139" s="57">
        <f t="shared" si="133"/>
        <v>0</v>
      </c>
      <c r="CV139" s="53">
        <f t="shared" si="134"/>
        <v>0</v>
      </c>
      <c r="CW139" s="53">
        <f t="shared" si="135"/>
        <v>0</v>
      </c>
      <c r="CX139" s="58" t="e">
        <f t="shared" si="136"/>
        <v>#DIV/0!</v>
      </c>
      <c r="CY139" s="53">
        <f t="shared" si="137"/>
        <v>0</v>
      </c>
      <c r="CZ139" s="53">
        <f t="shared" si="138"/>
        <v>0</v>
      </c>
      <c r="DA139" s="58" t="e">
        <f t="shared" si="139"/>
        <v>#DIV/0!</v>
      </c>
      <c r="DB139" s="48" t="e">
        <f t="shared" si="140"/>
        <v>#DIV/0!</v>
      </c>
      <c r="DC139" s="48" t="e">
        <f t="shared" si="141"/>
        <v>#DIV/0!</v>
      </c>
      <c r="DD139" s="48" t="e">
        <f t="shared" si="142"/>
        <v>#DIV/0!</v>
      </c>
      <c r="DE139" s="48" t="e">
        <f t="shared" si="143"/>
        <v>#DIV/0!</v>
      </c>
      <c r="DF139" s="48" t="e">
        <f t="shared" si="144"/>
        <v>#DIV/0!</v>
      </c>
      <c r="DG139" s="48" t="e">
        <f t="shared" si="145"/>
        <v>#DIV/0!</v>
      </c>
      <c r="DH139" s="48">
        <f>SUMIF(FCR!$BZ$4:$DB$500,DG139,FCR!$DE$4:$EG$500)</f>
        <v>0</v>
      </c>
      <c r="DI139" s="48" t="e">
        <f t="shared" si="146"/>
        <v>#DIV/0!</v>
      </c>
      <c r="DJ139" s="48">
        <f>SUMIF(FCR!$BZ$4:$DB$142,DI139,FCR!$DE$4:$EG$142)</f>
        <v>0</v>
      </c>
      <c r="DK139" s="48" t="e">
        <f t="shared" si="147"/>
        <v>#DIV/0!</v>
      </c>
      <c r="DL139" s="55" t="e">
        <f t="shared" si="148"/>
        <v>#DIV/0!</v>
      </c>
      <c r="DM139" s="48" t="e">
        <f t="shared" si="149"/>
        <v>#DIV/0!</v>
      </c>
      <c r="DN139" s="48">
        <f>SUMIF(FCR!$BZ$4:$DB$142,DM139,FCR!$DE$4:$EG$142)</f>
        <v>0</v>
      </c>
      <c r="DO139" s="53" t="e">
        <f t="shared" si="150"/>
        <v>#DIV/0!</v>
      </c>
      <c r="DP139" s="55" t="e">
        <f t="shared" si="151"/>
        <v>#DIV/0!</v>
      </c>
      <c r="DQ139" s="55" t="e">
        <f t="shared" si="152"/>
        <v>#DIV/0!</v>
      </c>
      <c r="DR139" s="55"/>
      <c r="DS139" s="55" t="e">
        <f t="shared" si="153"/>
        <v>#DIV/0!</v>
      </c>
      <c r="DT139" s="55" t="e">
        <f t="shared" si="154"/>
        <v>#DIV/0!</v>
      </c>
      <c r="DU139" s="53">
        <f t="shared" si="155"/>
        <v>0</v>
      </c>
      <c r="DV139" s="59" t="e">
        <f t="shared" si="156"/>
        <v>#DIV/0!</v>
      </c>
    </row>
    <row r="140" spans="30:126">
      <c r="AD140" s="49" t="s">
        <v>411</v>
      </c>
      <c r="AE140" s="49">
        <f t="shared" si="157"/>
        <v>0</v>
      </c>
      <c r="AF140" s="49">
        <f t="shared" si="103"/>
        <v>0</v>
      </c>
      <c r="AG140" s="114">
        <f t="shared" si="104"/>
        <v>0</v>
      </c>
      <c r="AH140" s="104">
        <f t="shared" si="105"/>
        <v>0</v>
      </c>
      <c r="AI140" s="104">
        <f t="shared" si="106"/>
        <v>0</v>
      </c>
      <c r="AJ140" s="104">
        <f t="shared" si="107"/>
        <v>0</v>
      </c>
      <c r="AK140" s="104">
        <f t="shared" si="108"/>
        <v>0</v>
      </c>
      <c r="AL140" s="104">
        <f t="shared" si="109"/>
        <v>0</v>
      </c>
      <c r="AM140" s="104">
        <f t="shared" si="110"/>
        <v>0</v>
      </c>
      <c r="AN140" s="104">
        <f t="shared" si="111"/>
        <v>0</v>
      </c>
      <c r="AO140" s="104">
        <f t="shared" si="112"/>
        <v>0</v>
      </c>
      <c r="AP140" s="104">
        <f t="shared" si="113"/>
        <v>0</v>
      </c>
      <c r="AQ140" s="49">
        <f t="shared" si="114"/>
        <v>0</v>
      </c>
      <c r="AR140" s="104">
        <f t="shared" si="115"/>
        <v>0</v>
      </c>
      <c r="AS140" s="104">
        <f t="shared" si="116"/>
        <v>0</v>
      </c>
      <c r="AT140" s="104">
        <f t="shared" si="117"/>
        <v>0</v>
      </c>
      <c r="AU140" s="104">
        <f t="shared" si="118"/>
        <v>0</v>
      </c>
      <c r="BF140" s="49">
        <f t="shared" si="119"/>
        <v>0</v>
      </c>
      <c r="BG140" s="49">
        <f t="shared" si="120"/>
        <v>0</v>
      </c>
      <c r="BH140" s="54" t="e">
        <f t="shared" si="121"/>
        <v>#DIV/0!</v>
      </c>
      <c r="BI140" s="112" t="e">
        <f t="shared" si="122"/>
        <v>#DIV/0!</v>
      </c>
      <c r="BK140" s="55" t="e">
        <f t="shared" si="123"/>
        <v>#DIV/0!</v>
      </c>
      <c r="BL140" s="55" t="e">
        <f t="shared" si="124"/>
        <v>#DIV/0!</v>
      </c>
      <c r="BM140" s="55" t="e">
        <f t="shared" si="125"/>
        <v>#DIV/0!</v>
      </c>
      <c r="BN140" s="53">
        <f t="shared" si="126"/>
        <v>0</v>
      </c>
      <c r="BO140" s="112" t="e">
        <f t="shared" si="127"/>
        <v>#DIV/0!</v>
      </c>
      <c r="BR140" s="53" t="e">
        <f t="shared" si="128"/>
        <v>#DIV/0!</v>
      </c>
      <c r="BS140" s="53">
        <f t="shared" si="129"/>
        <v>0</v>
      </c>
      <c r="BT140" s="53">
        <f t="shared" si="130"/>
        <v>0</v>
      </c>
      <c r="BU140" s="56" t="e">
        <f t="shared" si="131"/>
        <v>#DIV/0!</v>
      </c>
      <c r="BX140" s="60"/>
      <c r="BY140" s="60"/>
      <c r="BZ140" s="60"/>
      <c r="CA140" s="60"/>
      <c r="CB140" s="60"/>
      <c r="CC140" s="60"/>
      <c r="CD140" s="60"/>
      <c r="CE140" s="60"/>
      <c r="CF140" s="60"/>
      <c r="CG140" s="60"/>
      <c r="CH140" s="60"/>
      <c r="CI140" s="60"/>
      <c r="CJ140" s="60"/>
      <c r="CK140" s="60"/>
      <c r="CL140" s="60"/>
      <c r="CM140" s="60"/>
      <c r="CN140" s="60"/>
      <c r="CO140" s="60"/>
      <c r="CP140" s="60"/>
      <c r="CQ140" s="60"/>
      <c r="CR140" s="60"/>
      <c r="CS140" s="60"/>
      <c r="CT140" s="57">
        <f t="shared" si="132"/>
        <v>0</v>
      </c>
      <c r="CU140" s="57">
        <f t="shared" si="133"/>
        <v>0</v>
      </c>
      <c r="CV140" s="53">
        <f t="shared" si="134"/>
        <v>0</v>
      </c>
      <c r="CW140" s="53">
        <f t="shared" si="135"/>
        <v>0</v>
      </c>
      <c r="CX140" s="58" t="e">
        <f t="shared" si="136"/>
        <v>#DIV/0!</v>
      </c>
      <c r="CY140" s="53">
        <f t="shared" si="137"/>
        <v>0</v>
      </c>
      <c r="CZ140" s="53">
        <f t="shared" si="138"/>
        <v>0</v>
      </c>
      <c r="DA140" s="58" t="e">
        <f t="shared" si="139"/>
        <v>#DIV/0!</v>
      </c>
      <c r="DB140" s="48" t="e">
        <f t="shared" si="140"/>
        <v>#DIV/0!</v>
      </c>
      <c r="DC140" s="48" t="e">
        <f t="shared" si="141"/>
        <v>#DIV/0!</v>
      </c>
      <c r="DD140" s="48" t="e">
        <f t="shared" si="142"/>
        <v>#DIV/0!</v>
      </c>
      <c r="DE140" s="48" t="e">
        <f t="shared" si="143"/>
        <v>#DIV/0!</v>
      </c>
      <c r="DF140" s="48" t="e">
        <f t="shared" si="144"/>
        <v>#DIV/0!</v>
      </c>
      <c r="DG140" s="48" t="e">
        <f t="shared" si="145"/>
        <v>#DIV/0!</v>
      </c>
      <c r="DH140" s="48">
        <f>SUMIF(FCR!$BZ$4:$DB$500,DG140,FCR!$DE$4:$EG$500)</f>
        <v>0</v>
      </c>
      <c r="DI140" s="48" t="e">
        <f t="shared" si="146"/>
        <v>#DIV/0!</v>
      </c>
      <c r="DJ140" s="48">
        <f>SUMIF(FCR!$BZ$4:$DB$142,DI140,FCR!$DE$4:$EG$142)</f>
        <v>0</v>
      </c>
      <c r="DK140" s="48" t="e">
        <f t="shared" si="147"/>
        <v>#DIV/0!</v>
      </c>
      <c r="DL140" s="55" t="e">
        <f t="shared" si="148"/>
        <v>#DIV/0!</v>
      </c>
      <c r="DM140" s="48" t="e">
        <f t="shared" si="149"/>
        <v>#DIV/0!</v>
      </c>
      <c r="DN140" s="48">
        <f>SUMIF(FCR!$BZ$4:$DB$142,DM140,FCR!$DE$4:$EG$142)</f>
        <v>0</v>
      </c>
      <c r="DO140" s="53" t="e">
        <f t="shared" si="150"/>
        <v>#DIV/0!</v>
      </c>
      <c r="DP140" s="55" t="e">
        <f t="shared" si="151"/>
        <v>#DIV/0!</v>
      </c>
      <c r="DQ140" s="55" t="e">
        <f t="shared" si="152"/>
        <v>#DIV/0!</v>
      </c>
      <c r="DR140" s="55"/>
      <c r="DS140" s="55" t="e">
        <f t="shared" si="153"/>
        <v>#DIV/0!</v>
      </c>
      <c r="DT140" s="55" t="e">
        <f t="shared" si="154"/>
        <v>#DIV/0!</v>
      </c>
      <c r="DU140" s="53">
        <f t="shared" si="155"/>
        <v>0</v>
      </c>
      <c r="DV140" s="59" t="e">
        <f t="shared" si="156"/>
        <v>#DIV/0!</v>
      </c>
    </row>
    <row r="141" spans="30:126">
      <c r="AD141" s="49" t="s">
        <v>411</v>
      </c>
      <c r="AE141" s="49">
        <f t="shared" si="157"/>
        <v>0</v>
      </c>
      <c r="AF141" s="49">
        <f t="shared" ref="AF141:AF200" si="158">+C141</f>
        <v>0</v>
      </c>
      <c r="AG141" s="114">
        <f t="shared" ref="AG141:AG200" si="159">+D141</f>
        <v>0</v>
      </c>
      <c r="AH141" s="104">
        <f t="shared" ref="AH141:AH200" si="160">+BF141</f>
        <v>0</v>
      </c>
      <c r="AI141" s="104">
        <f t="shared" ref="AI141:AI200" si="161">+ROUND(IFERROR(BH141,0),1)</f>
        <v>0</v>
      </c>
      <c r="AJ141" s="104">
        <f t="shared" ref="AJ141:AJ200" si="162">+BG141</f>
        <v>0</v>
      </c>
      <c r="AK141" s="104">
        <f t="shared" ref="AK141:AK200" si="163">+DU141</f>
        <v>0</v>
      </c>
      <c r="AL141" s="104">
        <f t="shared" ref="AL141:AL200" si="164">+ROUND(IFERROR(DV141,0),1)</f>
        <v>0</v>
      </c>
      <c r="AM141" s="104">
        <f t="shared" ref="AM141:AM200" si="165">+BS141</f>
        <v>0</v>
      </c>
      <c r="AN141" s="104">
        <f t="shared" ref="AN141:AN200" si="166">+ROUND(IFERROR(DA141,0),1)</f>
        <v>0</v>
      </c>
      <c r="AO141" s="104">
        <f t="shared" ref="AO141:AO200" si="167">+BT141</f>
        <v>0</v>
      </c>
      <c r="AP141" s="104">
        <f t="shared" ref="AP141:AP200" si="168">+AO141-AJ141</f>
        <v>0</v>
      </c>
      <c r="AQ141" s="49">
        <f t="shared" ref="AQ141:AQ200" si="169">+ROUND(BN141,0)</f>
        <v>0</v>
      </c>
      <c r="AR141" s="104">
        <f t="shared" ref="AR141:AR200" si="170">+ROUND(IFERROR(AQ141/AM141,0),1)</f>
        <v>0</v>
      </c>
      <c r="AS141" s="104">
        <f t="shared" ref="AS141:AS200" si="171">+ROUND(IFERROR(BK141,0),3)</f>
        <v>0</v>
      </c>
      <c r="AT141" s="104">
        <f t="shared" ref="AT141:AT200" si="172">+ROUND(IFERROR(BL141,0),3)</f>
        <v>0</v>
      </c>
      <c r="AU141" s="104">
        <f t="shared" ref="AU141:AU200" si="173">+ROUND(IFERROR(BM141,0),3)</f>
        <v>0</v>
      </c>
      <c r="BF141" s="49">
        <f t="shared" ref="BF141:BF200" si="174">+F141</f>
        <v>0</v>
      </c>
      <c r="BG141" s="49">
        <f t="shared" ref="BG141:BG200" si="175">+G141</f>
        <v>0</v>
      </c>
      <c r="BH141" s="54" t="e">
        <f t="shared" ref="BH141:BH200" si="176">BG141/BF141</f>
        <v>#DIV/0!</v>
      </c>
      <c r="BI141" s="112" t="e">
        <f t="shared" ref="BI141:BI200" si="177">BJ141/BF141</f>
        <v>#DIV/0!</v>
      </c>
      <c r="BK141" s="55" t="e">
        <f t="shared" ref="BK141:BK200" si="178">BN141/(BT141-BG141)</f>
        <v>#DIV/0!</v>
      </c>
      <c r="BL141" s="55" t="e">
        <f t="shared" ref="BL141:BL200" si="179">DS141</f>
        <v>#DIV/0!</v>
      </c>
      <c r="BM141" s="55" t="e">
        <f t="shared" ref="BM141:BM200" si="180">BK141-BL141</f>
        <v>#DIV/0!</v>
      </c>
      <c r="BN141" s="53">
        <f t="shared" ref="BN141:BN200" si="181">+H141</f>
        <v>0</v>
      </c>
      <c r="BO141" s="112" t="e">
        <f t="shared" ref="BO141:BO200" si="182">BP141/BN141</f>
        <v>#DIV/0!</v>
      </c>
      <c r="BR141" s="53" t="e">
        <f t="shared" ref="BR141:BR200" si="183">BQ141/BT141</f>
        <v>#DIV/0!</v>
      </c>
      <c r="BS141" s="53">
        <f t="shared" ref="BS141:BS200" si="184">+J141</f>
        <v>0</v>
      </c>
      <c r="BT141" s="53">
        <f t="shared" ref="BT141:BT200" si="185">+K141</f>
        <v>0</v>
      </c>
      <c r="BU141" s="56" t="e">
        <f t="shared" ref="BU141:BU200" si="186">BT141/BS141</f>
        <v>#DIV/0!</v>
      </c>
      <c r="BX141" s="60"/>
      <c r="BY141" s="60"/>
      <c r="BZ141" s="60"/>
      <c r="CA141" s="60"/>
      <c r="CB141" s="60"/>
      <c r="CC141" s="60"/>
      <c r="CD141" s="60"/>
      <c r="CE141" s="60"/>
      <c r="CF141" s="60"/>
      <c r="CG141" s="60"/>
      <c r="CH141" s="60"/>
      <c r="CI141" s="60"/>
      <c r="CJ141" s="60"/>
      <c r="CK141" s="60"/>
      <c r="CL141" s="60"/>
      <c r="CM141" s="60"/>
      <c r="CN141" s="60"/>
      <c r="CO141" s="60"/>
      <c r="CP141" s="60"/>
      <c r="CQ141" s="60"/>
      <c r="CR141" s="60"/>
      <c r="CS141" s="60"/>
      <c r="CT141" s="57">
        <f t="shared" ref="CT141:CT200" si="187">CL141+CJ141+CH141+CF141+CD141+CB141+BZ141+BX141+CN141+CP141+CR141</f>
        <v>0</v>
      </c>
      <c r="CU141" s="57">
        <f t="shared" ref="CU141:CU200" si="188">CM141+CK141+CI141+CG141+CE141+CC141+CA141+BY141+CO141+CQ141+CS141</f>
        <v>0</v>
      </c>
      <c r="CV141" s="53">
        <f t="shared" ref="CV141:CV200" si="189">BF141</f>
        <v>0</v>
      </c>
      <c r="CW141" s="53">
        <f t="shared" ref="CW141:CW200" si="190">BG141</f>
        <v>0</v>
      </c>
      <c r="CX141" s="58" t="e">
        <f t="shared" ref="CX141:CX200" si="191">ROUND(BH141,2)</f>
        <v>#DIV/0!</v>
      </c>
      <c r="CY141" s="53">
        <f t="shared" ref="CY141:CY200" si="192">BS141</f>
        <v>0</v>
      </c>
      <c r="CZ141" s="53">
        <f t="shared" ref="CZ141:CZ200" si="193">BT141</f>
        <v>0</v>
      </c>
      <c r="DA141" s="58" t="e">
        <f t="shared" ref="DA141:DA200" si="194">ROUND(BU141,2)</f>
        <v>#DIV/0!</v>
      </c>
      <c r="DB141" s="48" t="e">
        <f t="shared" ref="DB141:DB200" si="195">IF(DA141&lt;100,(LEFT(DA141,2)),IF(DA141&gt;100,(LEFT(DA141,3))))</f>
        <v>#DIV/0!</v>
      </c>
      <c r="DC141" s="48" t="e">
        <f t="shared" ref="DC141:DC200" si="196">+DB141+1</f>
        <v>#DIV/0!</v>
      </c>
      <c r="DD141" s="48" t="e">
        <f t="shared" ref="DD141:DD200" si="197">LEFT(CX141,2)</f>
        <v>#DIV/0!</v>
      </c>
      <c r="DE141" s="48" t="e">
        <f t="shared" ref="DE141:DE200" si="198">ROUND(DD141,0)</f>
        <v>#DIV/0!</v>
      </c>
      <c r="DF141" s="48" t="e">
        <f t="shared" ref="DF141:DF200" si="199">+DD141+1</f>
        <v>#DIV/0!</v>
      </c>
      <c r="DG141" s="48" t="e">
        <f t="shared" ref="DG141:DG200" si="200">DE141&amp;DB141</f>
        <v>#DIV/0!</v>
      </c>
      <c r="DH141" s="48">
        <f>SUMIF(FCR!$BZ$4:$DB$500,DG141,FCR!$DE$4:$EG$500)</f>
        <v>0</v>
      </c>
      <c r="DI141" s="48" t="e">
        <f t="shared" ref="DI141:DI200" si="201">DF141&amp;DB141</f>
        <v>#DIV/0!</v>
      </c>
      <c r="DJ141" s="48">
        <f>SUMIF(FCR!$BZ$4:$DB$142,DI141,FCR!$DE$4:$EG$142)</f>
        <v>0</v>
      </c>
      <c r="DK141" s="48" t="e">
        <f t="shared" ref="DK141:DK200" si="202">(CX141-DE141)*100</f>
        <v>#DIV/0!</v>
      </c>
      <c r="DL141" s="55" t="e">
        <f t="shared" ref="DL141:DL200" si="203">ROUND(DH141+(DJ141-DH141)/100*DK141,3)</f>
        <v>#DIV/0!</v>
      </c>
      <c r="DM141" s="48" t="e">
        <f t="shared" ref="DM141:DM200" si="204">DE141&amp;DC141</f>
        <v>#DIV/0!</v>
      </c>
      <c r="DN141" s="48">
        <f>SUMIF(FCR!$BZ$4:$DB$142,DM141,FCR!$DE$4:$EG$142)</f>
        <v>0</v>
      </c>
      <c r="DO141" s="53" t="e">
        <f t="shared" ref="DO141:DO200" si="205">(DA141-DB141)*100</f>
        <v>#DIV/0!</v>
      </c>
      <c r="DP141" s="55" t="e">
        <f t="shared" ref="DP141:DP200" si="206">ROUND(DH141+(DN141-DH141)/100*DO141,3)</f>
        <v>#DIV/0!</v>
      </c>
      <c r="DQ141" s="55" t="e">
        <f t="shared" ref="DQ141:DQ200" si="207">ROUND((DP141+DL141)/2,3)</f>
        <v>#DIV/0!</v>
      </c>
      <c r="DR141" s="55"/>
      <c r="DS141" s="55" t="e">
        <f t="shared" ref="DS141:DS200" si="208">DR141+DQ141</f>
        <v>#DIV/0!</v>
      </c>
      <c r="DT141" s="55" t="e">
        <f t="shared" ref="DT141:DT200" si="209">+DQ141-BL141</f>
        <v>#DIV/0!</v>
      </c>
      <c r="DU141" s="53">
        <f t="shared" ref="DU141:DU200" si="210">CV141-CY141</f>
        <v>0</v>
      </c>
      <c r="DV141" s="59" t="e">
        <f t="shared" ref="DV141:DV200" si="211">ROUND(DU141/CV141*100,2)</f>
        <v>#DIV/0!</v>
      </c>
    </row>
    <row r="142" spans="30:126">
      <c r="AD142" s="49" t="s">
        <v>411</v>
      </c>
      <c r="AE142" s="49">
        <f t="shared" si="157"/>
        <v>0</v>
      </c>
      <c r="AF142" s="49">
        <f t="shared" si="158"/>
        <v>0</v>
      </c>
      <c r="AG142" s="114">
        <f t="shared" si="159"/>
        <v>0</v>
      </c>
      <c r="AH142" s="104">
        <f t="shared" si="160"/>
        <v>0</v>
      </c>
      <c r="AI142" s="104">
        <f t="shared" si="161"/>
        <v>0</v>
      </c>
      <c r="AJ142" s="104">
        <f t="shared" si="162"/>
        <v>0</v>
      </c>
      <c r="AK142" s="104">
        <f t="shared" si="163"/>
        <v>0</v>
      </c>
      <c r="AL142" s="104">
        <f t="shared" si="164"/>
        <v>0</v>
      </c>
      <c r="AM142" s="104">
        <f t="shared" si="165"/>
        <v>0</v>
      </c>
      <c r="AN142" s="104">
        <f t="shared" si="166"/>
        <v>0</v>
      </c>
      <c r="AO142" s="104">
        <f t="shared" si="167"/>
        <v>0</v>
      </c>
      <c r="AP142" s="104">
        <f t="shared" si="168"/>
        <v>0</v>
      </c>
      <c r="AQ142" s="49">
        <f t="shared" si="169"/>
        <v>0</v>
      </c>
      <c r="AR142" s="104">
        <f t="shared" si="170"/>
        <v>0</v>
      </c>
      <c r="AS142" s="104">
        <f t="shared" si="171"/>
        <v>0</v>
      </c>
      <c r="AT142" s="104">
        <f t="shared" si="172"/>
        <v>0</v>
      </c>
      <c r="AU142" s="104">
        <f t="shared" si="173"/>
        <v>0</v>
      </c>
      <c r="BF142" s="49">
        <f t="shared" si="174"/>
        <v>0</v>
      </c>
      <c r="BG142" s="49">
        <f t="shared" si="175"/>
        <v>0</v>
      </c>
      <c r="BH142" s="54" t="e">
        <f t="shared" si="176"/>
        <v>#DIV/0!</v>
      </c>
      <c r="BI142" s="112" t="e">
        <f t="shared" si="177"/>
        <v>#DIV/0!</v>
      </c>
      <c r="BK142" s="55" t="e">
        <f t="shared" si="178"/>
        <v>#DIV/0!</v>
      </c>
      <c r="BL142" s="55" t="e">
        <f t="shared" si="179"/>
        <v>#DIV/0!</v>
      </c>
      <c r="BM142" s="55" t="e">
        <f t="shared" si="180"/>
        <v>#DIV/0!</v>
      </c>
      <c r="BN142" s="53">
        <f t="shared" si="181"/>
        <v>0</v>
      </c>
      <c r="BO142" s="112" t="e">
        <f t="shared" si="182"/>
        <v>#DIV/0!</v>
      </c>
      <c r="BR142" s="53" t="e">
        <f t="shared" si="183"/>
        <v>#DIV/0!</v>
      </c>
      <c r="BS142" s="53">
        <f t="shared" si="184"/>
        <v>0</v>
      </c>
      <c r="BT142" s="53">
        <f t="shared" si="185"/>
        <v>0</v>
      </c>
      <c r="BU142" s="56" t="e">
        <f t="shared" si="186"/>
        <v>#DIV/0!</v>
      </c>
      <c r="BX142" s="60"/>
      <c r="BY142" s="60"/>
      <c r="BZ142" s="60"/>
      <c r="CA142" s="60"/>
      <c r="CB142" s="60"/>
      <c r="CC142" s="60"/>
      <c r="CD142" s="60"/>
      <c r="CE142" s="60"/>
      <c r="CF142" s="60"/>
      <c r="CG142" s="60"/>
      <c r="CH142" s="60"/>
      <c r="CI142" s="60"/>
      <c r="CJ142" s="60"/>
      <c r="CK142" s="60"/>
      <c r="CL142" s="60"/>
      <c r="CM142" s="60"/>
      <c r="CN142" s="60"/>
      <c r="CO142" s="60"/>
      <c r="CP142" s="60"/>
      <c r="CQ142" s="60"/>
      <c r="CR142" s="60"/>
      <c r="CS142" s="60"/>
      <c r="CT142" s="57">
        <f t="shared" si="187"/>
        <v>0</v>
      </c>
      <c r="CU142" s="57">
        <f t="shared" si="188"/>
        <v>0</v>
      </c>
      <c r="CV142" s="53">
        <f t="shared" si="189"/>
        <v>0</v>
      </c>
      <c r="CW142" s="53">
        <f t="shared" si="190"/>
        <v>0</v>
      </c>
      <c r="CX142" s="58" t="e">
        <f t="shared" si="191"/>
        <v>#DIV/0!</v>
      </c>
      <c r="CY142" s="53">
        <f t="shared" si="192"/>
        <v>0</v>
      </c>
      <c r="CZ142" s="53">
        <f t="shared" si="193"/>
        <v>0</v>
      </c>
      <c r="DA142" s="58" t="e">
        <f t="shared" si="194"/>
        <v>#DIV/0!</v>
      </c>
      <c r="DB142" s="48" t="e">
        <f t="shared" si="195"/>
        <v>#DIV/0!</v>
      </c>
      <c r="DC142" s="48" t="e">
        <f t="shared" si="196"/>
        <v>#DIV/0!</v>
      </c>
      <c r="DD142" s="48" t="e">
        <f t="shared" si="197"/>
        <v>#DIV/0!</v>
      </c>
      <c r="DE142" s="48" t="e">
        <f t="shared" si="198"/>
        <v>#DIV/0!</v>
      </c>
      <c r="DF142" s="48" t="e">
        <f t="shared" si="199"/>
        <v>#DIV/0!</v>
      </c>
      <c r="DG142" s="48" t="e">
        <f t="shared" si="200"/>
        <v>#DIV/0!</v>
      </c>
      <c r="DH142" s="48">
        <f>SUMIF(FCR!$BZ$4:$DB$500,DG142,FCR!$DE$4:$EG$500)</f>
        <v>0</v>
      </c>
      <c r="DI142" s="48" t="e">
        <f t="shared" si="201"/>
        <v>#DIV/0!</v>
      </c>
      <c r="DJ142" s="48">
        <f>SUMIF(FCR!$BZ$4:$DB$142,DI142,FCR!$DE$4:$EG$142)</f>
        <v>0</v>
      </c>
      <c r="DK142" s="48" t="e">
        <f t="shared" si="202"/>
        <v>#DIV/0!</v>
      </c>
      <c r="DL142" s="55" t="e">
        <f t="shared" si="203"/>
        <v>#DIV/0!</v>
      </c>
      <c r="DM142" s="48" t="e">
        <f t="shared" si="204"/>
        <v>#DIV/0!</v>
      </c>
      <c r="DN142" s="48">
        <f>SUMIF(FCR!$BZ$4:$DB$142,DM142,FCR!$DE$4:$EG$142)</f>
        <v>0</v>
      </c>
      <c r="DO142" s="53" t="e">
        <f t="shared" si="205"/>
        <v>#DIV/0!</v>
      </c>
      <c r="DP142" s="55" t="e">
        <f t="shared" si="206"/>
        <v>#DIV/0!</v>
      </c>
      <c r="DQ142" s="55" t="e">
        <f t="shared" si="207"/>
        <v>#DIV/0!</v>
      </c>
      <c r="DR142" s="55"/>
      <c r="DS142" s="55" t="e">
        <f t="shared" si="208"/>
        <v>#DIV/0!</v>
      </c>
      <c r="DT142" s="55" t="e">
        <f t="shared" si="209"/>
        <v>#DIV/0!</v>
      </c>
      <c r="DU142" s="53">
        <f t="shared" si="210"/>
        <v>0</v>
      </c>
      <c r="DV142" s="59" t="e">
        <f t="shared" si="211"/>
        <v>#DIV/0!</v>
      </c>
    </row>
    <row r="143" spans="30:126">
      <c r="AD143" s="49" t="s">
        <v>411</v>
      </c>
      <c r="AE143" s="49">
        <f t="shared" si="157"/>
        <v>0</v>
      </c>
      <c r="AF143" s="49">
        <f t="shared" si="158"/>
        <v>0</v>
      </c>
      <c r="AG143" s="114">
        <f t="shared" si="159"/>
        <v>0</v>
      </c>
      <c r="AH143" s="104">
        <f t="shared" si="160"/>
        <v>0</v>
      </c>
      <c r="AI143" s="104">
        <f t="shared" si="161"/>
        <v>0</v>
      </c>
      <c r="AJ143" s="104">
        <f t="shared" si="162"/>
        <v>0</v>
      </c>
      <c r="AK143" s="104">
        <f t="shared" si="163"/>
        <v>0</v>
      </c>
      <c r="AL143" s="104">
        <f t="shared" si="164"/>
        <v>0</v>
      </c>
      <c r="AM143" s="104">
        <f t="shared" si="165"/>
        <v>0</v>
      </c>
      <c r="AN143" s="104">
        <f t="shared" si="166"/>
        <v>0</v>
      </c>
      <c r="AO143" s="104">
        <f t="shared" si="167"/>
        <v>0</v>
      </c>
      <c r="AP143" s="104">
        <f t="shared" si="168"/>
        <v>0</v>
      </c>
      <c r="AQ143" s="49">
        <f t="shared" si="169"/>
        <v>0</v>
      </c>
      <c r="AR143" s="104">
        <f t="shared" si="170"/>
        <v>0</v>
      </c>
      <c r="AS143" s="104">
        <f t="shared" si="171"/>
        <v>0</v>
      </c>
      <c r="AT143" s="104">
        <f t="shared" si="172"/>
        <v>0</v>
      </c>
      <c r="AU143" s="104">
        <f t="shared" si="173"/>
        <v>0</v>
      </c>
      <c r="BF143" s="49">
        <f t="shared" si="174"/>
        <v>0</v>
      </c>
      <c r="BG143" s="49">
        <f t="shared" si="175"/>
        <v>0</v>
      </c>
      <c r="BH143" s="54" t="e">
        <f t="shared" si="176"/>
        <v>#DIV/0!</v>
      </c>
      <c r="BI143" s="112" t="e">
        <f t="shared" si="177"/>
        <v>#DIV/0!</v>
      </c>
      <c r="BK143" s="55" t="e">
        <f t="shared" si="178"/>
        <v>#DIV/0!</v>
      </c>
      <c r="BL143" s="55" t="e">
        <f t="shared" si="179"/>
        <v>#DIV/0!</v>
      </c>
      <c r="BM143" s="55" t="e">
        <f t="shared" si="180"/>
        <v>#DIV/0!</v>
      </c>
      <c r="BN143" s="53">
        <f t="shared" si="181"/>
        <v>0</v>
      </c>
      <c r="BO143" s="112" t="e">
        <f t="shared" si="182"/>
        <v>#DIV/0!</v>
      </c>
      <c r="BR143" s="53" t="e">
        <f t="shared" si="183"/>
        <v>#DIV/0!</v>
      </c>
      <c r="BS143" s="53">
        <f t="shared" si="184"/>
        <v>0</v>
      </c>
      <c r="BT143" s="53">
        <f t="shared" si="185"/>
        <v>0</v>
      </c>
      <c r="BU143" s="56" t="e">
        <f t="shared" si="186"/>
        <v>#DIV/0!</v>
      </c>
      <c r="BX143" s="60"/>
      <c r="BY143" s="60"/>
      <c r="BZ143" s="60"/>
      <c r="CA143" s="60"/>
      <c r="CB143" s="60"/>
      <c r="CC143" s="60"/>
      <c r="CD143" s="60"/>
      <c r="CE143" s="60"/>
      <c r="CF143" s="60"/>
      <c r="CG143" s="60"/>
      <c r="CH143" s="60"/>
      <c r="CI143" s="60"/>
      <c r="CJ143" s="60"/>
      <c r="CK143" s="60"/>
      <c r="CL143" s="60"/>
      <c r="CM143" s="60"/>
      <c r="CN143" s="60"/>
      <c r="CO143" s="60"/>
      <c r="CP143" s="60"/>
      <c r="CQ143" s="60"/>
      <c r="CR143" s="60"/>
      <c r="CS143" s="60"/>
      <c r="CT143" s="57">
        <f t="shared" si="187"/>
        <v>0</v>
      </c>
      <c r="CU143" s="57">
        <f t="shared" si="188"/>
        <v>0</v>
      </c>
      <c r="CV143" s="53">
        <f t="shared" si="189"/>
        <v>0</v>
      </c>
      <c r="CW143" s="53">
        <f t="shared" si="190"/>
        <v>0</v>
      </c>
      <c r="CX143" s="58" t="e">
        <f t="shared" si="191"/>
        <v>#DIV/0!</v>
      </c>
      <c r="CY143" s="53">
        <f t="shared" si="192"/>
        <v>0</v>
      </c>
      <c r="CZ143" s="53">
        <f t="shared" si="193"/>
        <v>0</v>
      </c>
      <c r="DA143" s="58" t="e">
        <f t="shared" si="194"/>
        <v>#DIV/0!</v>
      </c>
      <c r="DB143" s="48" t="e">
        <f t="shared" si="195"/>
        <v>#DIV/0!</v>
      </c>
      <c r="DC143" s="48" t="e">
        <f t="shared" si="196"/>
        <v>#DIV/0!</v>
      </c>
      <c r="DD143" s="48" t="e">
        <f t="shared" si="197"/>
        <v>#DIV/0!</v>
      </c>
      <c r="DE143" s="48" t="e">
        <f t="shared" si="198"/>
        <v>#DIV/0!</v>
      </c>
      <c r="DF143" s="48" t="e">
        <f t="shared" si="199"/>
        <v>#DIV/0!</v>
      </c>
      <c r="DG143" s="48" t="e">
        <f t="shared" si="200"/>
        <v>#DIV/0!</v>
      </c>
      <c r="DH143" s="48">
        <f>SUMIF(FCR!$BZ$4:$DB$500,DG143,FCR!$DE$4:$EG$500)</f>
        <v>0</v>
      </c>
      <c r="DI143" s="48" t="e">
        <f t="shared" si="201"/>
        <v>#DIV/0!</v>
      </c>
      <c r="DJ143" s="48">
        <f>SUMIF(FCR!$BZ$4:$DB$142,DI143,FCR!$DE$4:$EG$142)</f>
        <v>0</v>
      </c>
      <c r="DK143" s="48" t="e">
        <f t="shared" si="202"/>
        <v>#DIV/0!</v>
      </c>
      <c r="DL143" s="55" t="e">
        <f t="shared" si="203"/>
        <v>#DIV/0!</v>
      </c>
      <c r="DM143" s="48" t="e">
        <f t="shared" si="204"/>
        <v>#DIV/0!</v>
      </c>
      <c r="DN143" s="48">
        <f>SUMIF(FCR!$BZ$4:$DB$142,DM143,FCR!$DE$4:$EG$142)</f>
        <v>0</v>
      </c>
      <c r="DO143" s="53" t="e">
        <f t="shared" si="205"/>
        <v>#DIV/0!</v>
      </c>
      <c r="DP143" s="55" t="e">
        <f t="shared" si="206"/>
        <v>#DIV/0!</v>
      </c>
      <c r="DQ143" s="55" t="e">
        <f t="shared" si="207"/>
        <v>#DIV/0!</v>
      </c>
      <c r="DR143" s="55"/>
      <c r="DS143" s="55" t="e">
        <f t="shared" si="208"/>
        <v>#DIV/0!</v>
      </c>
      <c r="DT143" s="55" t="e">
        <f t="shared" si="209"/>
        <v>#DIV/0!</v>
      </c>
      <c r="DU143" s="53">
        <f t="shared" si="210"/>
        <v>0</v>
      </c>
      <c r="DV143" s="59" t="e">
        <f t="shared" si="211"/>
        <v>#DIV/0!</v>
      </c>
    </row>
    <row r="144" spans="30:126">
      <c r="AD144" s="49" t="s">
        <v>411</v>
      </c>
      <c r="AE144" s="49">
        <f t="shared" si="157"/>
        <v>0</v>
      </c>
      <c r="AF144" s="49">
        <f t="shared" si="158"/>
        <v>0</v>
      </c>
      <c r="AG144" s="114">
        <f t="shared" si="159"/>
        <v>0</v>
      </c>
      <c r="AH144" s="104">
        <f t="shared" si="160"/>
        <v>0</v>
      </c>
      <c r="AI144" s="104">
        <f t="shared" si="161"/>
        <v>0</v>
      </c>
      <c r="AJ144" s="104">
        <f t="shared" si="162"/>
        <v>0</v>
      </c>
      <c r="AK144" s="104">
        <f t="shared" si="163"/>
        <v>0</v>
      </c>
      <c r="AL144" s="104">
        <f t="shared" si="164"/>
        <v>0</v>
      </c>
      <c r="AM144" s="104">
        <f t="shared" si="165"/>
        <v>0</v>
      </c>
      <c r="AN144" s="104">
        <f t="shared" si="166"/>
        <v>0</v>
      </c>
      <c r="AO144" s="104">
        <f t="shared" si="167"/>
        <v>0</v>
      </c>
      <c r="AP144" s="104">
        <f t="shared" si="168"/>
        <v>0</v>
      </c>
      <c r="AQ144" s="49">
        <f t="shared" si="169"/>
        <v>0</v>
      </c>
      <c r="AR144" s="104">
        <f t="shared" si="170"/>
        <v>0</v>
      </c>
      <c r="AS144" s="104">
        <f t="shared" si="171"/>
        <v>0</v>
      </c>
      <c r="AT144" s="104">
        <f t="shared" si="172"/>
        <v>0</v>
      </c>
      <c r="AU144" s="104">
        <f t="shared" si="173"/>
        <v>0</v>
      </c>
      <c r="BF144" s="49">
        <f t="shared" si="174"/>
        <v>0</v>
      </c>
      <c r="BG144" s="49">
        <f t="shared" si="175"/>
        <v>0</v>
      </c>
      <c r="BH144" s="54" t="e">
        <f t="shared" si="176"/>
        <v>#DIV/0!</v>
      </c>
      <c r="BI144" s="112" t="e">
        <f t="shared" si="177"/>
        <v>#DIV/0!</v>
      </c>
      <c r="BK144" s="55" t="e">
        <f t="shared" si="178"/>
        <v>#DIV/0!</v>
      </c>
      <c r="BL144" s="55" t="e">
        <f t="shared" si="179"/>
        <v>#DIV/0!</v>
      </c>
      <c r="BM144" s="55" t="e">
        <f t="shared" si="180"/>
        <v>#DIV/0!</v>
      </c>
      <c r="BN144" s="53">
        <f t="shared" si="181"/>
        <v>0</v>
      </c>
      <c r="BO144" s="112" t="e">
        <f t="shared" si="182"/>
        <v>#DIV/0!</v>
      </c>
      <c r="BR144" s="53" t="e">
        <f t="shared" si="183"/>
        <v>#DIV/0!</v>
      </c>
      <c r="BS144" s="53">
        <f t="shared" si="184"/>
        <v>0</v>
      </c>
      <c r="BT144" s="53">
        <f t="shared" si="185"/>
        <v>0</v>
      </c>
      <c r="BU144" s="56" t="e">
        <f t="shared" si="186"/>
        <v>#DIV/0!</v>
      </c>
      <c r="BX144" s="60"/>
      <c r="BY144" s="60"/>
      <c r="BZ144" s="60"/>
      <c r="CA144" s="60"/>
      <c r="CB144" s="60"/>
      <c r="CC144" s="60"/>
      <c r="CD144" s="60"/>
      <c r="CE144" s="60"/>
      <c r="CF144" s="60"/>
      <c r="CG144" s="60"/>
      <c r="CH144" s="60"/>
      <c r="CI144" s="60"/>
      <c r="CJ144" s="60"/>
      <c r="CK144" s="60"/>
      <c r="CL144" s="60"/>
      <c r="CM144" s="60"/>
      <c r="CN144" s="60"/>
      <c r="CO144" s="60"/>
      <c r="CP144" s="60"/>
      <c r="CQ144" s="60"/>
      <c r="CR144" s="60"/>
      <c r="CS144" s="60"/>
      <c r="CT144" s="57">
        <f t="shared" si="187"/>
        <v>0</v>
      </c>
      <c r="CU144" s="57">
        <f t="shared" si="188"/>
        <v>0</v>
      </c>
      <c r="CV144" s="53">
        <f t="shared" si="189"/>
        <v>0</v>
      </c>
      <c r="CW144" s="53">
        <f t="shared" si="190"/>
        <v>0</v>
      </c>
      <c r="CX144" s="58" t="e">
        <f t="shared" si="191"/>
        <v>#DIV/0!</v>
      </c>
      <c r="CY144" s="53">
        <f t="shared" si="192"/>
        <v>0</v>
      </c>
      <c r="CZ144" s="53">
        <f t="shared" si="193"/>
        <v>0</v>
      </c>
      <c r="DA144" s="58" t="e">
        <f t="shared" si="194"/>
        <v>#DIV/0!</v>
      </c>
      <c r="DB144" s="48" t="e">
        <f t="shared" si="195"/>
        <v>#DIV/0!</v>
      </c>
      <c r="DC144" s="48" t="e">
        <f t="shared" si="196"/>
        <v>#DIV/0!</v>
      </c>
      <c r="DD144" s="48" t="e">
        <f t="shared" si="197"/>
        <v>#DIV/0!</v>
      </c>
      <c r="DE144" s="48" t="e">
        <f t="shared" si="198"/>
        <v>#DIV/0!</v>
      </c>
      <c r="DF144" s="48" t="e">
        <f t="shared" si="199"/>
        <v>#DIV/0!</v>
      </c>
      <c r="DG144" s="48" t="e">
        <f t="shared" si="200"/>
        <v>#DIV/0!</v>
      </c>
      <c r="DH144" s="48">
        <f>SUMIF(FCR!$BZ$4:$DB$500,DG144,FCR!$DE$4:$EG$500)</f>
        <v>0</v>
      </c>
      <c r="DI144" s="48" t="e">
        <f t="shared" si="201"/>
        <v>#DIV/0!</v>
      </c>
      <c r="DJ144" s="48">
        <f>SUMIF(FCR!$BZ$4:$DB$142,DI144,FCR!$DE$4:$EG$142)</f>
        <v>0</v>
      </c>
      <c r="DK144" s="48" t="e">
        <f t="shared" si="202"/>
        <v>#DIV/0!</v>
      </c>
      <c r="DL144" s="55" t="e">
        <f t="shared" si="203"/>
        <v>#DIV/0!</v>
      </c>
      <c r="DM144" s="48" t="e">
        <f t="shared" si="204"/>
        <v>#DIV/0!</v>
      </c>
      <c r="DN144" s="48">
        <f>SUMIF(FCR!$BZ$4:$DB$142,DM144,FCR!$DE$4:$EG$142)</f>
        <v>0</v>
      </c>
      <c r="DO144" s="53" t="e">
        <f t="shared" si="205"/>
        <v>#DIV/0!</v>
      </c>
      <c r="DP144" s="55" t="e">
        <f t="shared" si="206"/>
        <v>#DIV/0!</v>
      </c>
      <c r="DQ144" s="55" t="e">
        <f t="shared" si="207"/>
        <v>#DIV/0!</v>
      </c>
      <c r="DR144" s="55"/>
      <c r="DS144" s="55" t="e">
        <f t="shared" si="208"/>
        <v>#DIV/0!</v>
      </c>
      <c r="DT144" s="55" t="e">
        <f t="shared" si="209"/>
        <v>#DIV/0!</v>
      </c>
      <c r="DU144" s="53">
        <f t="shared" si="210"/>
        <v>0</v>
      </c>
      <c r="DV144" s="59" t="e">
        <f t="shared" si="211"/>
        <v>#DIV/0!</v>
      </c>
    </row>
    <row r="145" spans="30:126">
      <c r="AD145" s="49" t="s">
        <v>411</v>
      </c>
      <c r="AE145" s="49">
        <f t="shared" si="157"/>
        <v>0</v>
      </c>
      <c r="AF145" s="49">
        <f t="shared" si="158"/>
        <v>0</v>
      </c>
      <c r="AG145" s="114">
        <f t="shared" si="159"/>
        <v>0</v>
      </c>
      <c r="AH145" s="104">
        <f t="shared" si="160"/>
        <v>0</v>
      </c>
      <c r="AI145" s="104">
        <f t="shared" si="161"/>
        <v>0</v>
      </c>
      <c r="AJ145" s="104">
        <f t="shared" si="162"/>
        <v>0</v>
      </c>
      <c r="AK145" s="104">
        <f t="shared" si="163"/>
        <v>0</v>
      </c>
      <c r="AL145" s="104">
        <f t="shared" si="164"/>
        <v>0</v>
      </c>
      <c r="AM145" s="104">
        <f t="shared" si="165"/>
        <v>0</v>
      </c>
      <c r="AN145" s="104">
        <f t="shared" si="166"/>
        <v>0</v>
      </c>
      <c r="AO145" s="104">
        <f t="shared" si="167"/>
        <v>0</v>
      </c>
      <c r="AP145" s="104">
        <f t="shared" si="168"/>
        <v>0</v>
      </c>
      <c r="AQ145" s="49">
        <f t="shared" si="169"/>
        <v>0</v>
      </c>
      <c r="AR145" s="104">
        <f t="shared" si="170"/>
        <v>0</v>
      </c>
      <c r="AS145" s="104">
        <f t="shared" si="171"/>
        <v>0</v>
      </c>
      <c r="AT145" s="104">
        <f t="shared" si="172"/>
        <v>0</v>
      </c>
      <c r="AU145" s="104">
        <f t="shared" si="173"/>
        <v>0</v>
      </c>
      <c r="BF145" s="49">
        <f t="shared" si="174"/>
        <v>0</v>
      </c>
      <c r="BG145" s="49">
        <f t="shared" si="175"/>
        <v>0</v>
      </c>
      <c r="BH145" s="54" t="e">
        <f t="shared" si="176"/>
        <v>#DIV/0!</v>
      </c>
      <c r="BI145" s="112" t="e">
        <f t="shared" si="177"/>
        <v>#DIV/0!</v>
      </c>
      <c r="BK145" s="55" t="e">
        <f t="shared" si="178"/>
        <v>#DIV/0!</v>
      </c>
      <c r="BL145" s="55" t="e">
        <f t="shared" si="179"/>
        <v>#DIV/0!</v>
      </c>
      <c r="BM145" s="55" t="e">
        <f t="shared" si="180"/>
        <v>#DIV/0!</v>
      </c>
      <c r="BN145" s="53">
        <f t="shared" si="181"/>
        <v>0</v>
      </c>
      <c r="BO145" s="112" t="e">
        <f t="shared" si="182"/>
        <v>#DIV/0!</v>
      </c>
      <c r="BR145" s="53" t="e">
        <f t="shared" si="183"/>
        <v>#DIV/0!</v>
      </c>
      <c r="BS145" s="53">
        <f t="shared" si="184"/>
        <v>0</v>
      </c>
      <c r="BT145" s="53">
        <f t="shared" si="185"/>
        <v>0</v>
      </c>
      <c r="BU145" s="56" t="e">
        <f t="shared" si="186"/>
        <v>#DIV/0!</v>
      </c>
      <c r="BX145" s="60"/>
      <c r="BY145" s="60"/>
      <c r="BZ145" s="60"/>
      <c r="CA145" s="60"/>
      <c r="CB145" s="60"/>
      <c r="CC145" s="60"/>
      <c r="CD145" s="60"/>
      <c r="CE145" s="60"/>
      <c r="CF145" s="60"/>
      <c r="CG145" s="60"/>
      <c r="CH145" s="60"/>
      <c r="CI145" s="60"/>
      <c r="CJ145" s="60"/>
      <c r="CK145" s="60"/>
      <c r="CL145" s="60"/>
      <c r="CM145" s="60"/>
      <c r="CN145" s="60"/>
      <c r="CO145" s="60"/>
      <c r="CP145" s="60"/>
      <c r="CQ145" s="60"/>
      <c r="CR145" s="60"/>
      <c r="CS145" s="60"/>
      <c r="CT145" s="57">
        <f t="shared" si="187"/>
        <v>0</v>
      </c>
      <c r="CU145" s="57">
        <f t="shared" si="188"/>
        <v>0</v>
      </c>
      <c r="CV145" s="53">
        <f t="shared" si="189"/>
        <v>0</v>
      </c>
      <c r="CW145" s="53">
        <f t="shared" si="190"/>
        <v>0</v>
      </c>
      <c r="CX145" s="58" t="e">
        <f t="shared" si="191"/>
        <v>#DIV/0!</v>
      </c>
      <c r="CY145" s="53">
        <f t="shared" si="192"/>
        <v>0</v>
      </c>
      <c r="CZ145" s="53">
        <f t="shared" si="193"/>
        <v>0</v>
      </c>
      <c r="DA145" s="58" t="e">
        <f t="shared" si="194"/>
        <v>#DIV/0!</v>
      </c>
      <c r="DB145" s="48" t="e">
        <f t="shared" si="195"/>
        <v>#DIV/0!</v>
      </c>
      <c r="DC145" s="48" t="e">
        <f t="shared" si="196"/>
        <v>#DIV/0!</v>
      </c>
      <c r="DD145" s="48" t="e">
        <f t="shared" si="197"/>
        <v>#DIV/0!</v>
      </c>
      <c r="DE145" s="48" t="e">
        <f t="shared" si="198"/>
        <v>#DIV/0!</v>
      </c>
      <c r="DF145" s="48" t="e">
        <f t="shared" si="199"/>
        <v>#DIV/0!</v>
      </c>
      <c r="DG145" s="48" t="e">
        <f t="shared" si="200"/>
        <v>#DIV/0!</v>
      </c>
      <c r="DH145" s="48">
        <f>SUMIF(FCR!$BZ$4:$DB$500,DG145,FCR!$DE$4:$EG$500)</f>
        <v>0</v>
      </c>
      <c r="DI145" s="48" t="e">
        <f t="shared" si="201"/>
        <v>#DIV/0!</v>
      </c>
      <c r="DJ145" s="48">
        <f>SUMIF(FCR!$BZ$4:$DB$142,DI145,FCR!$DE$4:$EG$142)</f>
        <v>0</v>
      </c>
      <c r="DK145" s="48" t="e">
        <f t="shared" si="202"/>
        <v>#DIV/0!</v>
      </c>
      <c r="DL145" s="55" t="e">
        <f t="shared" si="203"/>
        <v>#DIV/0!</v>
      </c>
      <c r="DM145" s="48" t="e">
        <f t="shared" si="204"/>
        <v>#DIV/0!</v>
      </c>
      <c r="DN145" s="48">
        <f>SUMIF(FCR!$BZ$4:$DB$142,DM145,FCR!$DE$4:$EG$142)</f>
        <v>0</v>
      </c>
      <c r="DO145" s="53" t="e">
        <f t="shared" si="205"/>
        <v>#DIV/0!</v>
      </c>
      <c r="DP145" s="55" t="e">
        <f t="shared" si="206"/>
        <v>#DIV/0!</v>
      </c>
      <c r="DQ145" s="55" t="e">
        <f t="shared" si="207"/>
        <v>#DIV/0!</v>
      </c>
      <c r="DR145" s="55"/>
      <c r="DS145" s="55" t="e">
        <f t="shared" si="208"/>
        <v>#DIV/0!</v>
      </c>
      <c r="DT145" s="55" t="e">
        <f t="shared" si="209"/>
        <v>#DIV/0!</v>
      </c>
      <c r="DU145" s="53">
        <f t="shared" si="210"/>
        <v>0</v>
      </c>
      <c r="DV145" s="59" t="e">
        <f t="shared" si="211"/>
        <v>#DIV/0!</v>
      </c>
    </row>
    <row r="146" spans="30:126">
      <c r="AD146" s="49" t="s">
        <v>411</v>
      </c>
      <c r="AE146" s="49">
        <f t="shared" si="157"/>
        <v>0</v>
      </c>
      <c r="AF146" s="49">
        <f t="shared" si="158"/>
        <v>0</v>
      </c>
      <c r="AG146" s="114">
        <f t="shared" si="159"/>
        <v>0</v>
      </c>
      <c r="AH146" s="104">
        <f t="shared" si="160"/>
        <v>0</v>
      </c>
      <c r="AI146" s="104">
        <f t="shared" si="161"/>
        <v>0</v>
      </c>
      <c r="AJ146" s="104">
        <f t="shared" si="162"/>
        <v>0</v>
      </c>
      <c r="AK146" s="104">
        <f t="shared" si="163"/>
        <v>0</v>
      </c>
      <c r="AL146" s="104">
        <f t="shared" si="164"/>
        <v>0</v>
      </c>
      <c r="AM146" s="104">
        <f t="shared" si="165"/>
        <v>0</v>
      </c>
      <c r="AN146" s="104">
        <f t="shared" si="166"/>
        <v>0</v>
      </c>
      <c r="AO146" s="104">
        <f t="shared" si="167"/>
        <v>0</v>
      </c>
      <c r="AP146" s="104">
        <f t="shared" si="168"/>
        <v>0</v>
      </c>
      <c r="AQ146" s="49">
        <f t="shared" si="169"/>
        <v>0</v>
      </c>
      <c r="AR146" s="104">
        <f t="shared" si="170"/>
        <v>0</v>
      </c>
      <c r="AS146" s="104">
        <f t="shared" si="171"/>
        <v>0</v>
      </c>
      <c r="AT146" s="104">
        <f t="shared" si="172"/>
        <v>0</v>
      </c>
      <c r="AU146" s="104">
        <f t="shared" si="173"/>
        <v>0</v>
      </c>
      <c r="BF146" s="49">
        <f t="shared" si="174"/>
        <v>0</v>
      </c>
      <c r="BG146" s="49">
        <f t="shared" si="175"/>
        <v>0</v>
      </c>
      <c r="BH146" s="54" t="e">
        <f t="shared" si="176"/>
        <v>#DIV/0!</v>
      </c>
      <c r="BI146" s="112" t="e">
        <f t="shared" si="177"/>
        <v>#DIV/0!</v>
      </c>
      <c r="BK146" s="55" t="e">
        <f t="shared" si="178"/>
        <v>#DIV/0!</v>
      </c>
      <c r="BL146" s="55" t="e">
        <f t="shared" si="179"/>
        <v>#DIV/0!</v>
      </c>
      <c r="BM146" s="55" t="e">
        <f t="shared" si="180"/>
        <v>#DIV/0!</v>
      </c>
      <c r="BN146" s="53">
        <f t="shared" si="181"/>
        <v>0</v>
      </c>
      <c r="BO146" s="112" t="e">
        <f t="shared" si="182"/>
        <v>#DIV/0!</v>
      </c>
      <c r="BR146" s="53" t="e">
        <f t="shared" si="183"/>
        <v>#DIV/0!</v>
      </c>
      <c r="BS146" s="53">
        <f t="shared" si="184"/>
        <v>0</v>
      </c>
      <c r="BT146" s="53">
        <f t="shared" si="185"/>
        <v>0</v>
      </c>
      <c r="BU146" s="56" t="e">
        <f t="shared" si="186"/>
        <v>#DIV/0!</v>
      </c>
      <c r="BX146" s="60"/>
      <c r="BY146" s="60"/>
      <c r="BZ146" s="60"/>
      <c r="CA146" s="60"/>
      <c r="CB146" s="60"/>
      <c r="CC146" s="60"/>
      <c r="CD146" s="60"/>
      <c r="CE146" s="60"/>
      <c r="CF146" s="60"/>
      <c r="CG146" s="60"/>
      <c r="CH146" s="60"/>
      <c r="CI146" s="60"/>
      <c r="CJ146" s="60"/>
      <c r="CK146" s="60"/>
      <c r="CL146" s="60"/>
      <c r="CM146" s="60"/>
      <c r="CN146" s="60"/>
      <c r="CO146" s="60"/>
      <c r="CP146" s="60"/>
      <c r="CQ146" s="60"/>
      <c r="CR146" s="60"/>
      <c r="CS146" s="60"/>
      <c r="CT146" s="57">
        <f t="shared" si="187"/>
        <v>0</v>
      </c>
      <c r="CU146" s="57">
        <f t="shared" si="188"/>
        <v>0</v>
      </c>
      <c r="CV146" s="53">
        <f t="shared" si="189"/>
        <v>0</v>
      </c>
      <c r="CW146" s="53">
        <f t="shared" si="190"/>
        <v>0</v>
      </c>
      <c r="CX146" s="58" t="e">
        <f t="shared" si="191"/>
        <v>#DIV/0!</v>
      </c>
      <c r="CY146" s="53">
        <f t="shared" si="192"/>
        <v>0</v>
      </c>
      <c r="CZ146" s="53">
        <f t="shared" si="193"/>
        <v>0</v>
      </c>
      <c r="DA146" s="58" t="e">
        <f t="shared" si="194"/>
        <v>#DIV/0!</v>
      </c>
      <c r="DB146" s="48" t="e">
        <f t="shared" si="195"/>
        <v>#DIV/0!</v>
      </c>
      <c r="DC146" s="48" t="e">
        <f t="shared" si="196"/>
        <v>#DIV/0!</v>
      </c>
      <c r="DD146" s="48" t="e">
        <f t="shared" si="197"/>
        <v>#DIV/0!</v>
      </c>
      <c r="DE146" s="48" t="e">
        <f t="shared" si="198"/>
        <v>#DIV/0!</v>
      </c>
      <c r="DF146" s="48" t="e">
        <f t="shared" si="199"/>
        <v>#DIV/0!</v>
      </c>
      <c r="DG146" s="48" t="e">
        <f t="shared" si="200"/>
        <v>#DIV/0!</v>
      </c>
      <c r="DH146" s="48">
        <f>SUMIF(FCR!$BZ$4:$DB$500,DG146,FCR!$DE$4:$EG$500)</f>
        <v>0</v>
      </c>
      <c r="DI146" s="48" t="e">
        <f t="shared" si="201"/>
        <v>#DIV/0!</v>
      </c>
      <c r="DJ146" s="48">
        <f>SUMIF(FCR!$BZ$4:$DB$142,DI146,FCR!$DE$4:$EG$142)</f>
        <v>0</v>
      </c>
      <c r="DK146" s="48" t="e">
        <f t="shared" si="202"/>
        <v>#DIV/0!</v>
      </c>
      <c r="DL146" s="55" t="e">
        <f t="shared" si="203"/>
        <v>#DIV/0!</v>
      </c>
      <c r="DM146" s="48" t="e">
        <f t="shared" si="204"/>
        <v>#DIV/0!</v>
      </c>
      <c r="DN146" s="48">
        <f>SUMIF(FCR!$BZ$4:$DB$142,DM146,FCR!$DE$4:$EG$142)</f>
        <v>0</v>
      </c>
      <c r="DO146" s="53" t="e">
        <f t="shared" si="205"/>
        <v>#DIV/0!</v>
      </c>
      <c r="DP146" s="55" t="e">
        <f t="shared" si="206"/>
        <v>#DIV/0!</v>
      </c>
      <c r="DQ146" s="55" t="e">
        <f t="shared" si="207"/>
        <v>#DIV/0!</v>
      </c>
      <c r="DR146" s="55"/>
      <c r="DS146" s="55" t="e">
        <f t="shared" si="208"/>
        <v>#DIV/0!</v>
      </c>
      <c r="DT146" s="55" t="e">
        <f t="shared" si="209"/>
        <v>#DIV/0!</v>
      </c>
      <c r="DU146" s="53">
        <f t="shared" si="210"/>
        <v>0</v>
      </c>
      <c r="DV146" s="59" t="e">
        <f t="shared" si="211"/>
        <v>#DIV/0!</v>
      </c>
    </row>
    <row r="147" spans="30:126">
      <c r="AD147" s="49" t="s">
        <v>411</v>
      </c>
      <c r="AE147" s="49">
        <f t="shared" si="157"/>
        <v>0</v>
      </c>
      <c r="AF147" s="49">
        <f t="shared" si="158"/>
        <v>0</v>
      </c>
      <c r="AG147" s="114">
        <f t="shared" si="159"/>
        <v>0</v>
      </c>
      <c r="AH147" s="104">
        <f t="shared" si="160"/>
        <v>0</v>
      </c>
      <c r="AI147" s="104">
        <f t="shared" si="161"/>
        <v>0</v>
      </c>
      <c r="AJ147" s="104">
        <f t="shared" si="162"/>
        <v>0</v>
      </c>
      <c r="AK147" s="104">
        <f t="shared" si="163"/>
        <v>0</v>
      </c>
      <c r="AL147" s="104">
        <f t="shared" si="164"/>
        <v>0</v>
      </c>
      <c r="AM147" s="104">
        <f t="shared" si="165"/>
        <v>0</v>
      </c>
      <c r="AN147" s="104">
        <f t="shared" si="166"/>
        <v>0</v>
      </c>
      <c r="AO147" s="104">
        <f t="shared" si="167"/>
        <v>0</v>
      </c>
      <c r="AP147" s="104">
        <f t="shared" si="168"/>
        <v>0</v>
      </c>
      <c r="AQ147" s="49">
        <f t="shared" si="169"/>
        <v>0</v>
      </c>
      <c r="AR147" s="104">
        <f t="shared" si="170"/>
        <v>0</v>
      </c>
      <c r="AS147" s="104">
        <f t="shared" si="171"/>
        <v>0</v>
      </c>
      <c r="AT147" s="104">
        <f t="shared" si="172"/>
        <v>0</v>
      </c>
      <c r="AU147" s="104">
        <f t="shared" si="173"/>
        <v>0</v>
      </c>
      <c r="BF147" s="49">
        <f t="shared" si="174"/>
        <v>0</v>
      </c>
      <c r="BG147" s="49">
        <f t="shared" si="175"/>
        <v>0</v>
      </c>
      <c r="BH147" s="54" t="e">
        <f t="shared" si="176"/>
        <v>#DIV/0!</v>
      </c>
      <c r="BI147" s="112" t="e">
        <f t="shared" si="177"/>
        <v>#DIV/0!</v>
      </c>
      <c r="BK147" s="55" t="e">
        <f t="shared" si="178"/>
        <v>#DIV/0!</v>
      </c>
      <c r="BL147" s="55" t="e">
        <f t="shared" si="179"/>
        <v>#DIV/0!</v>
      </c>
      <c r="BM147" s="55" t="e">
        <f t="shared" si="180"/>
        <v>#DIV/0!</v>
      </c>
      <c r="BN147" s="53">
        <f t="shared" si="181"/>
        <v>0</v>
      </c>
      <c r="BO147" s="112" t="e">
        <f t="shared" si="182"/>
        <v>#DIV/0!</v>
      </c>
      <c r="BR147" s="53" t="e">
        <f t="shared" si="183"/>
        <v>#DIV/0!</v>
      </c>
      <c r="BS147" s="53">
        <f t="shared" si="184"/>
        <v>0</v>
      </c>
      <c r="BT147" s="53">
        <f t="shared" si="185"/>
        <v>0</v>
      </c>
      <c r="BU147" s="56" t="e">
        <f t="shared" si="186"/>
        <v>#DIV/0!</v>
      </c>
      <c r="BX147" s="60"/>
      <c r="BY147" s="60"/>
      <c r="BZ147" s="60"/>
      <c r="CA147" s="60"/>
      <c r="CB147" s="60"/>
      <c r="CC147" s="60"/>
      <c r="CD147" s="60"/>
      <c r="CE147" s="60"/>
      <c r="CF147" s="60"/>
      <c r="CG147" s="60"/>
      <c r="CH147" s="60"/>
      <c r="CI147" s="60"/>
      <c r="CJ147" s="60"/>
      <c r="CK147" s="60"/>
      <c r="CL147" s="60"/>
      <c r="CM147" s="60"/>
      <c r="CN147" s="60"/>
      <c r="CO147" s="60"/>
      <c r="CP147" s="60"/>
      <c r="CQ147" s="60"/>
      <c r="CR147" s="60"/>
      <c r="CS147" s="60"/>
      <c r="CT147" s="57">
        <f t="shared" si="187"/>
        <v>0</v>
      </c>
      <c r="CU147" s="57">
        <f t="shared" si="188"/>
        <v>0</v>
      </c>
      <c r="CV147" s="53">
        <f t="shared" si="189"/>
        <v>0</v>
      </c>
      <c r="CW147" s="53">
        <f t="shared" si="190"/>
        <v>0</v>
      </c>
      <c r="CX147" s="58" t="e">
        <f t="shared" si="191"/>
        <v>#DIV/0!</v>
      </c>
      <c r="CY147" s="53">
        <f t="shared" si="192"/>
        <v>0</v>
      </c>
      <c r="CZ147" s="53">
        <f t="shared" si="193"/>
        <v>0</v>
      </c>
      <c r="DA147" s="58" t="e">
        <f t="shared" si="194"/>
        <v>#DIV/0!</v>
      </c>
      <c r="DB147" s="48" t="e">
        <f t="shared" si="195"/>
        <v>#DIV/0!</v>
      </c>
      <c r="DC147" s="48" t="e">
        <f t="shared" si="196"/>
        <v>#DIV/0!</v>
      </c>
      <c r="DD147" s="48" t="e">
        <f t="shared" si="197"/>
        <v>#DIV/0!</v>
      </c>
      <c r="DE147" s="48" t="e">
        <f t="shared" si="198"/>
        <v>#DIV/0!</v>
      </c>
      <c r="DF147" s="48" t="e">
        <f t="shared" si="199"/>
        <v>#DIV/0!</v>
      </c>
      <c r="DG147" s="48" t="e">
        <f t="shared" si="200"/>
        <v>#DIV/0!</v>
      </c>
      <c r="DH147" s="48">
        <f>SUMIF(FCR!$BZ$4:$DB$500,DG147,FCR!$DE$4:$EG$500)</f>
        <v>0</v>
      </c>
      <c r="DI147" s="48" t="e">
        <f t="shared" si="201"/>
        <v>#DIV/0!</v>
      </c>
      <c r="DJ147" s="48">
        <f>SUMIF(FCR!$BZ$4:$DB$142,DI147,FCR!$DE$4:$EG$142)</f>
        <v>0</v>
      </c>
      <c r="DK147" s="48" t="e">
        <f t="shared" si="202"/>
        <v>#DIV/0!</v>
      </c>
      <c r="DL147" s="55" t="e">
        <f t="shared" si="203"/>
        <v>#DIV/0!</v>
      </c>
      <c r="DM147" s="48" t="e">
        <f t="shared" si="204"/>
        <v>#DIV/0!</v>
      </c>
      <c r="DN147" s="48">
        <f>SUMIF(FCR!$BZ$4:$DB$142,DM147,FCR!$DE$4:$EG$142)</f>
        <v>0</v>
      </c>
      <c r="DO147" s="53" t="e">
        <f t="shared" si="205"/>
        <v>#DIV/0!</v>
      </c>
      <c r="DP147" s="55" t="e">
        <f t="shared" si="206"/>
        <v>#DIV/0!</v>
      </c>
      <c r="DQ147" s="55" t="e">
        <f t="shared" si="207"/>
        <v>#DIV/0!</v>
      </c>
      <c r="DR147" s="55"/>
      <c r="DS147" s="55" t="e">
        <f t="shared" si="208"/>
        <v>#DIV/0!</v>
      </c>
      <c r="DT147" s="55" t="e">
        <f t="shared" si="209"/>
        <v>#DIV/0!</v>
      </c>
      <c r="DU147" s="53">
        <f t="shared" si="210"/>
        <v>0</v>
      </c>
      <c r="DV147" s="59" t="e">
        <f t="shared" si="211"/>
        <v>#DIV/0!</v>
      </c>
    </row>
    <row r="148" spans="30:126">
      <c r="AD148" s="49" t="s">
        <v>411</v>
      </c>
      <c r="AE148" s="49">
        <f t="shared" si="157"/>
        <v>0</v>
      </c>
      <c r="AF148" s="49">
        <f t="shared" si="158"/>
        <v>0</v>
      </c>
      <c r="AG148" s="114">
        <f t="shared" si="159"/>
        <v>0</v>
      </c>
      <c r="AH148" s="104">
        <f t="shared" si="160"/>
        <v>0</v>
      </c>
      <c r="AI148" s="104">
        <f t="shared" si="161"/>
        <v>0</v>
      </c>
      <c r="AJ148" s="104">
        <f t="shared" si="162"/>
        <v>0</v>
      </c>
      <c r="AK148" s="104">
        <f t="shared" si="163"/>
        <v>0</v>
      </c>
      <c r="AL148" s="104">
        <f t="shared" si="164"/>
        <v>0</v>
      </c>
      <c r="AM148" s="104">
        <f t="shared" si="165"/>
        <v>0</v>
      </c>
      <c r="AN148" s="104">
        <f t="shared" si="166"/>
        <v>0</v>
      </c>
      <c r="AO148" s="104">
        <f t="shared" si="167"/>
        <v>0</v>
      </c>
      <c r="AP148" s="104">
        <f t="shared" si="168"/>
        <v>0</v>
      </c>
      <c r="AQ148" s="49">
        <f t="shared" si="169"/>
        <v>0</v>
      </c>
      <c r="AR148" s="104">
        <f t="shared" si="170"/>
        <v>0</v>
      </c>
      <c r="AS148" s="104">
        <f t="shared" si="171"/>
        <v>0</v>
      </c>
      <c r="AT148" s="104">
        <f t="shared" si="172"/>
        <v>0</v>
      </c>
      <c r="AU148" s="104">
        <f t="shared" si="173"/>
        <v>0</v>
      </c>
      <c r="BF148" s="49">
        <f t="shared" si="174"/>
        <v>0</v>
      </c>
      <c r="BG148" s="49">
        <f t="shared" si="175"/>
        <v>0</v>
      </c>
      <c r="BH148" s="54" t="e">
        <f t="shared" si="176"/>
        <v>#DIV/0!</v>
      </c>
      <c r="BI148" s="112" t="e">
        <f t="shared" si="177"/>
        <v>#DIV/0!</v>
      </c>
      <c r="BK148" s="55" t="e">
        <f t="shared" si="178"/>
        <v>#DIV/0!</v>
      </c>
      <c r="BL148" s="55" t="e">
        <f t="shared" si="179"/>
        <v>#DIV/0!</v>
      </c>
      <c r="BM148" s="55" t="e">
        <f t="shared" si="180"/>
        <v>#DIV/0!</v>
      </c>
      <c r="BN148" s="53">
        <f t="shared" si="181"/>
        <v>0</v>
      </c>
      <c r="BO148" s="112" t="e">
        <f t="shared" si="182"/>
        <v>#DIV/0!</v>
      </c>
      <c r="BR148" s="53" t="e">
        <f t="shared" si="183"/>
        <v>#DIV/0!</v>
      </c>
      <c r="BS148" s="53">
        <f t="shared" si="184"/>
        <v>0</v>
      </c>
      <c r="BT148" s="53">
        <f t="shared" si="185"/>
        <v>0</v>
      </c>
      <c r="BU148" s="56" t="e">
        <f t="shared" si="186"/>
        <v>#DIV/0!</v>
      </c>
      <c r="BX148" s="60"/>
      <c r="BY148" s="60"/>
      <c r="BZ148" s="60"/>
      <c r="CA148" s="60"/>
      <c r="CB148" s="60"/>
      <c r="CC148" s="60"/>
      <c r="CD148" s="60"/>
      <c r="CE148" s="60"/>
      <c r="CF148" s="60"/>
      <c r="CG148" s="60"/>
      <c r="CH148" s="60"/>
      <c r="CI148" s="60"/>
      <c r="CJ148" s="60"/>
      <c r="CK148" s="60"/>
      <c r="CL148" s="60"/>
      <c r="CM148" s="60"/>
      <c r="CN148" s="60"/>
      <c r="CO148" s="60"/>
      <c r="CP148" s="60"/>
      <c r="CQ148" s="60"/>
      <c r="CR148" s="60"/>
      <c r="CS148" s="60"/>
      <c r="CT148" s="57">
        <f t="shared" si="187"/>
        <v>0</v>
      </c>
      <c r="CU148" s="57">
        <f t="shared" si="188"/>
        <v>0</v>
      </c>
      <c r="CV148" s="53">
        <f t="shared" si="189"/>
        <v>0</v>
      </c>
      <c r="CW148" s="53">
        <f t="shared" si="190"/>
        <v>0</v>
      </c>
      <c r="CX148" s="58" t="e">
        <f t="shared" si="191"/>
        <v>#DIV/0!</v>
      </c>
      <c r="CY148" s="53">
        <f t="shared" si="192"/>
        <v>0</v>
      </c>
      <c r="CZ148" s="53">
        <f t="shared" si="193"/>
        <v>0</v>
      </c>
      <c r="DA148" s="58" t="e">
        <f t="shared" si="194"/>
        <v>#DIV/0!</v>
      </c>
      <c r="DB148" s="48" t="e">
        <f t="shared" si="195"/>
        <v>#DIV/0!</v>
      </c>
      <c r="DC148" s="48" t="e">
        <f t="shared" si="196"/>
        <v>#DIV/0!</v>
      </c>
      <c r="DD148" s="48" t="e">
        <f t="shared" si="197"/>
        <v>#DIV/0!</v>
      </c>
      <c r="DE148" s="48" t="e">
        <f t="shared" si="198"/>
        <v>#DIV/0!</v>
      </c>
      <c r="DF148" s="48" t="e">
        <f t="shared" si="199"/>
        <v>#DIV/0!</v>
      </c>
      <c r="DG148" s="48" t="e">
        <f t="shared" si="200"/>
        <v>#DIV/0!</v>
      </c>
      <c r="DH148" s="48">
        <f>SUMIF(FCR!$BZ$4:$DB$500,DG148,FCR!$DE$4:$EG$500)</f>
        <v>0</v>
      </c>
      <c r="DI148" s="48" t="e">
        <f t="shared" si="201"/>
        <v>#DIV/0!</v>
      </c>
      <c r="DJ148" s="48">
        <f>SUMIF(FCR!$BZ$4:$DB$142,DI148,FCR!$DE$4:$EG$142)</f>
        <v>0</v>
      </c>
      <c r="DK148" s="48" t="e">
        <f t="shared" si="202"/>
        <v>#DIV/0!</v>
      </c>
      <c r="DL148" s="55" t="e">
        <f t="shared" si="203"/>
        <v>#DIV/0!</v>
      </c>
      <c r="DM148" s="48" t="e">
        <f t="shared" si="204"/>
        <v>#DIV/0!</v>
      </c>
      <c r="DN148" s="48">
        <f>SUMIF(FCR!$BZ$4:$DB$142,DM148,FCR!$DE$4:$EG$142)</f>
        <v>0</v>
      </c>
      <c r="DO148" s="53" t="e">
        <f t="shared" si="205"/>
        <v>#DIV/0!</v>
      </c>
      <c r="DP148" s="55" t="e">
        <f t="shared" si="206"/>
        <v>#DIV/0!</v>
      </c>
      <c r="DQ148" s="55" t="e">
        <f t="shared" si="207"/>
        <v>#DIV/0!</v>
      </c>
      <c r="DR148" s="55"/>
      <c r="DS148" s="55" t="e">
        <f t="shared" si="208"/>
        <v>#DIV/0!</v>
      </c>
      <c r="DT148" s="55" t="e">
        <f t="shared" si="209"/>
        <v>#DIV/0!</v>
      </c>
      <c r="DU148" s="53">
        <f t="shared" si="210"/>
        <v>0</v>
      </c>
      <c r="DV148" s="59" t="e">
        <f t="shared" si="211"/>
        <v>#DIV/0!</v>
      </c>
    </row>
    <row r="149" spans="30:126">
      <c r="AD149" s="49" t="s">
        <v>411</v>
      </c>
      <c r="AE149" s="49">
        <f t="shared" si="157"/>
        <v>0</v>
      </c>
      <c r="AF149" s="49">
        <f t="shared" si="158"/>
        <v>0</v>
      </c>
      <c r="AG149" s="114">
        <f t="shared" si="159"/>
        <v>0</v>
      </c>
      <c r="AH149" s="104">
        <f t="shared" si="160"/>
        <v>0</v>
      </c>
      <c r="AI149" s="104">
        <f t="shared" si="161"/>
        <v>0</v>
      </c>
      <c r="AJ149" s="104">
        <f t="shared" si="162"/>
        <v>0</v>
      </c>
      <c r="AK149" s="104">
        <f t="shared" si="163"/>
        <v>0</v>
      </c>
      <c r="AL149" s="104">
        <f t="shared" si="164"/>
        <v>0</v>
      </c>
      <c r="AM149" s="104">
        <f t="shared" si="165"/>
        <v>0</v>
      </c>
      <c r="AN149" s="104">
        <f t="shared" si="166"/>
        <v>0</v>
      </c>
      <c r="AO149" s="104">
        <f t="shared" si="167"/>
        <v>0</v>
      </c>
      <c r="AP149" s="104">
        <f t="shared" si="168"/>
        <v>0</v>
      </c>
      <c r="AQ149" s="49">
        <f t="shared" si="169"/>
        <v>0</v>
      </c>
      <c r="AR149" s="104">
        <f t="shared" si="170"/>
        <v>0</v>
      </c>
      <c r="AS149" s="104">
        <f t="shared" si="171"/>
        <v>0</v>
      </c>
      <c r="AT149" s="104">
        <f t="shared" si="172"/>
        <v>0</v>
      </c>
      <c r="AU149" s="104">
        <f t="shared" si="173"/>
        <v>0</v>
      </c>
      <c r="BF149" s="49">
        <f t="shared" si="174"/>
        <v>0</v>
      </c>
      <c r="BG149" s="49">
        <f t="shared" si="175"/>
        <v>0</v>
      </c>
      <c r="BH149" s="54" t="e">
        <f t="shared" si="176"/>
        <v>#DIV/0!</v>
      </c>
      <c r="BI149" s="112" t="e">
        <f t="shared" si="177"/>
        <v>#DIV/0!</v>
      </c>
      <c r="BK149" s="55" t="e">
        <f t="shared" si="178"/>
        <v>#DIV/0!</v>
      </c>
      <c r="BL149" s="55" t="e">
        <f t="shared" si="179"/>
        <v>#DIV/0!</v>
      </c>
      <c r="BM149" s="55" t="e">
        <f t="shared" si="180"/>
        <v>#DIV/0!</v>
      </c>
      <c r="BN149" s="53">
        <f t="shared" si="181"/>
        <v>0</v>
      </c>
      <c r="BO149" s="112" t="e">
        <f t="shared" si="182"/>
        <v>#DIV/0!</v>
      </c>
      <c r="BR149" s="53" t="e">
        <f t="shared" si="183"/>
        <v>#DIV/0!</v>
      </c>
      <c r="BS149" s="53">
        <f t="shared" si="184"/>
        <v>0</v>
      </c>
      <c r="BT149" s="53">
        <f t="shared" si="185"/>
        <v>0</v>
      </c>
      <c r="BU149" s="56" t="e">
        <f t="shared" si="186"/>
        <v>#DIV/0!</v>
      </c>
      <c r="BX149" s="60"/>
      <c r="BY149" s="60"/>
      <c r="BZ149" s="60"/>
      <c r="CA149" s="60"/>
      <c r="CB149" s="60"/>
      <c r="CC149" s="60"/>
      <c r="CD149" s="60"/>
      <c r="CE149" s="60"/>
      <c r="CF149" s="60"/>
      <c r="CG149" s="60"/>
      <c r="CH149" s="60"/>
      <c r="CI149" s="60"/>
      <c r="CJ149" s="60"/>
      <c r="CK149" s="60"/>
      <c r="CL149" s="60"/>
      <c r="CM149" s="60"/>
      <c r="CN149" s="60"/>
      <c r="CO149" s="60"/>
      <c r="CP149" s="60"/>
      <c r="CQ149" s="60"/>
      <c r="CR149" s="60"/>
      <c r="CS149" s="60"/>
      <c r="CT149" s="57">
        <f t="shared" si="187"/>
        <v>0</v>
      </c>
      <c r="CU149" s="57">
        <f t="shared" si="188"/>
        <v>0</v>
      </c>
      <c r="CV149" s="53">
        <f t="shared" si="189"/>
        <v>0</v>
      </c>
      <c r="CW149" s="53">
        <f t="shared" si="190"/>
        <v>0</v>
      </c>
      <c r="CX149" s="58" t="e">
        <f t="shared" si="191"/>
        <v>#DIV/0!</v>
      </c>
      <c r="CY149" s="53">
        <f t="shared" si="192"/>
        <v>0</v>
      </c>
      <c r="CZ149" s="53">
        <f t="shared" si="193"/>
        <v>0</v>
      </c>
      <c r="DA149" s="58" t="e">
        <f t="shared" si="194"/>
        <v>#DIV/0!</v>
      </c>
      <c r="DB149" s="48" t="e">
        <f t="shared" si="195"/>
        <v>#DIV/0!</v>
      </c>
      <c r="DC149" s="48" t="e">
        <f t="shared" si="196"/>
        <v>#DIV/0!</v>
      </c>
      <c r="DD149" s="48" t="e">
        <f t="shared" si="197"/>
        <v>#DIV/0!</v>
      </c>
      <c r="DE149" s="48" t="e">
        <f t="shared" si="198"/>
        <v>#DIV/0!</v>
      </c>
      <c r="DF149" s="48" t="e">
        <f t="shared" si="199"/>
        <v>#DIV/0!</v>
      </c>
      <c r="DG149" s="48" t="e">
        <f t="shared" si="200"/>
        <v>#DIV/0!</v>
      </c>
      <c r="DH149" s="48">
        <f>SUMIF(FCR!$BZ$4:$DB$500,DG149,FCR!$DE$4:$EG$500)</f>
        <v>0</v>
      </c>
      <c r="DI149" s="48" t="e">
        <f t="shared" si="201"/>
        <v>#DIV/0!</v>
      </c>
      <c r="DJ149" s="48">
        <f>SUMIF(FCR!$BZ$4:$DB$142,DI149,FCR!$DE$4:$EG$142)</f>
        <v>0</v>
      </c>
      <c r="DK149" s="48" t="e">
        <f t="shared" si="202"/>
        <v>#DIV/0!</v>
      </c>
      <c r="DL149" s="55" t="e">
        <f t="shared" si="203"/>
        <v>#DIV/0!</v>
      </c>
      <c r="DM149" s="48" t="e">
        <f t="shared" si="204"/>
        <v>#DIV/0!</v>
      </c>
      <c r="DN149" s="48">
        <f>SUMIF(FCR!$BZ$4:$DB$142,DM149,FCR!$DE$4:$EG$142)</f>
        <v>0</v>
      </c>
      <c r="DO149" s="53" t="e">
        <f t="shared" si="205"/>
        <v>#DIV/0!</v>
      </c>
      <c r="DP149" s="55" t="e">
        <f t="shared" si="206"/>
        <v>#DIV/0!</v>
      </c>
      <c r="DQ149" s="55" t="e">
        <f t="shared" si="207"/>
        <v>#DIV/0!</v>
      </c>
      <c r="DR149" s="55"/>
      <c r="DS149" s="55" t="e">
        <f t="shared" si="208"/>
        <v>#DIV/0!</v>
      </c>
      <c r="DT149" s="55" t="e">
        <f t="shared" si="209"/>
        <v>#DIV/0!</v>
      </c>
      <c r="DU149" s="53">
        <f t="shared" si="210"/>
        <v>0</v>
      </c>
      <c r="DV149" s="59" t="e">
        <f t="shared" si="211"/>
        <v>#DIV/0!</v>
      </c>
    </row>
    <row r="150" spans="30:126">
      <c r="AD150" s="49" t="s">
        <v>411</v>
      </c>
      <c r="AE150" s="49">
        <f t="shared" si="157"/>
        <v>0</v>
      </c>
      <c r="AF150" s="49">
        <f t="shared" si="158"/>
        <v>0</v>
      </c>
      <c r="AG150" s="114">
        <f t="shared" si="159"/>
        <v>0</v>
      </c>
      <c r="AH150" s="104">
        <f t="shared" si="160"/>
        <v>0</v>
      </c>
      <c r="AI150" s="104">
        <f t="shared" si="161"/>
        <v>0</v>
      </c>
      <c r="AJ150" s="104">
        <f t="shared" si="162"/>
        <v>0</v>
      </c>
      <c r="AK150" s="104">
        <f t="shared" si="163"/>
        <v>0</v>
      </c>
      <c r="AL150" s="104">
        <f t="shared" si="164"/>
        <v>0</v>
      </c>
      <c r="AM150" s="104">
        <f t="shared" si="165"/>
        <v>0</v>
      </c>
      <c r="AN150" s="104">
        <f t="shared" si="166"/>
        <v>0</v>
      </c>
      <c r="AO150" s="104">
        <f t="shared" si="167"/>
        <v>0</v>
      </c>
      <c r="AP150" s="104">
        <f t="shared" si="168"/>
        <v>0</v>
      </c>
      <c r="AQ150" s="49">
        <f t="shared" si="169"/>
        <v>0</v>
      </c>
      <c r="AR150" s="104">
        <f t="shared" si="170"/>
        <v>0</v>
      </c>
      <c r="AS150" s="104">
        <f t="shared" si="171"/>
        <v>0</v>
      </c>
      <c r="AT150" s="104">
        <f t="shared" si="172"/>
        <v>0</v>
      </c>
      <c r="AU150" s="104">
        <f t="shared" si="173"/>
        <v>0</v>
      </c>
      <c r="BF150" s="49">
        <f t="shared" si="174"/>
        <v>0</v>
      </c>
      <c r="BG150" s="49">
        <f t="shared" si="175"/>
        <v>0</v>
      </c>
      <c r="BH150" s="54" t="e">
        <f t="shared" si="176"/>
        <v>#DIV/0!</v>
      </c>
      <c r="BI150" s="112" t="e">
        <f t="shared" si="177"/>
        <v>#DIV/0!</v>
      </c>
      <c r="BK150" s="55" t="e">
        <f t="shared" si="178"/>
        <v>#DIV/0!</v>
      </c>
      <c r="BL150" s="55" t="e">
        <f t="shared" si="179"/>
        <v>#DIV/0!</v>
      </c>
      <c r="BM150" s="55" t="e">
        <f t="shared" si="180"/>
        <v>#DIV/0!</v>
      </c>
      <c r="BN150" s="53">
        <f t="shared" si="181"/>
        <v>0</v>
      </c>
      <c r="BO150" s="112" t="e">
        <f t="shared" si="182"/>
        <v>#DIV/0!</v>
      </c>
      <c r="BR150" s="53" t="e">
        <f t="shared" si="183"/>
        <v>#DIV/0!</v>
      </c>
      <c r="BS150" s="53">
        <f t="shared" si="184"/>
        <v>0</v>
      </c>
      <c r="BT150" s="53">
        <f t="shared" si="185"/>
        <v>0</v>
      </c>
      <c r="BU150" s="56" t="e">
        <f t="shared" si="186"/>
        <v>#DIV/0!</v>
      </c>
      <c r="BX150" s="60"/>
      <c r="BY150" s="60"/>
      <c r="BZ150" s="60"/>
      <c r="CA150" s="60"/>
      <c r="CB150" s="60"/>
      <c r="CC150" s="60"/>
      <c r="CD150" s="60"/>
      <c r="CE150" s="60"/>
      <c r="CF150" s="60"/>
      <c r="CG150" s="60"/>
      <c r="CH150" s="60"/>
      <c r="CI150" s="60"/>
      <c r="CJ150" s="60"/>
      <c r="CK150" s="60"/>
      <c r="CL150" s="60"/>
      <c r="CM150" s="60"/>
      <c r="CN150" s="60"/>
      <c r="CO150" s="60"/>
      <c r="CP150" s="60"/>
      <c r="CQ150" s="60"/>
      <c r="CR150" s="60"/>
      <c r="CS150" s="60"/>
      <c r="CT150" s="57">
        <f t="shared" si="187"/>
        <v>0</v>
      </c>
      <c r="CU150" s="57">
        <f t="shared" si="188"/>
        <v>0</v>
      </c>
      <c r="CV150" s="53">
        <f t="shared" si="189"/>
        <v>0</v>
      </c>
      <c r="CW150" s="53">
        <f t="shared" si="190"/>
        <v>0</v>
      </c>
      <c r="CX150" s="58" t="e">
        <f t="shared" si="191"/>
        <v>#DIV/0!</v>
      </c>
      <c r="CY150" s="53">
        <f t="shared" si="192"/>
        <v>0</v>
      </c>
      <c r="CZ150" s="53">
        <f t="shared" si="193"/>
        <v>0</v>
      </c>
      <c r="DA150" s="58" t="e">
        <f t="shared" si="194"/>
        <v>#DIV/0!</v>
      </c>
      <c r="DB150" s="48" t="e">
        <f t="shared" si="195"/>
        <v>#DIV/0!</v>
      </c>
      <c r="DC150" s="48" t="e">
        <f t="shared" si="196"/>
        <v>#DIV/0!</v>
      </c>
      <c r="DD150" s="48" t="e">
        <f t="shared" si="197"/>
        <v>#DIV/0!</v>
      </c>
      <c r="DE150" s="48" t="e">
        <f t="shared" si="198"/>
        <v>#DIV/0!</v>
      </c>
      <c r="DF150" s="48" t="e">
        <f t="shared" si="199"/>
        <v>#DIV/0!</v>
      </c>
      <c r="DG150" s="48" t="e">
        <f t="shared" si="200"/>
        <v>#DIV/0!</v>
      </c>
      <c r="DH150" s="48">
        <f>SUMIF(FCR!$BZ$4:$DB$500,DG150,FCR!$DE$4:$EG$500)</f>
        <v>0</v>
      </c>
      <c r="DI150" s="48" t="e">
        <f t="shared" si="201"/>
        <v>#DIV/0!</v>
      </c>
      <c r="DJ150" s="48">
        <f>SUMIF(FCR!$BZ$4:$DB$142,DI150,FCR!$DE$4:$EG$142)</f>
        <v>0</v>
      </c>
      <c r="DK150" s="48" t="e">
        <f t="shared" si="202"/>
        <v>#DIV/0!</v>
      </c>
      <c r="DL150" s="55" t="e">
        <f t="shared" si="203"/>
        <v>#DIV/0!</v>
      </c>
      <c r="DM150" s="48" t="e">
        <f t="shared" si="204"/>
        <v>#DIV/0!</v>
      </c>
      <c r="DN150" s="48">
        <f>SUMIF(FCR!$BZ$4:$DB$142,DM150,FCR!$DE$4:$EG$142)</f>
        <v>0</v>
      </c>
      <c r="DO150" s="53" t="e">
        <f t="shared" si="205"/>
        <v>#DIV/0!</v>
      </c>
      <c r="DP150" s="55" t="e">
        <f t="shared" si="206"/>
        <v>#DIV/0!</v>
      </c>
      <c r="DQ150" s="55" t="e">
        <f t="shared" si="207"/>
        <v>#DIV/0!</v>
      </c>
      <c r="DR150" s="55"/>
      <c r="DS150" s="55" t="e">
        <f t="shared" si="208"/>
        <v>#DIV/0!</v>
      </c>
      <c r="DT150" s="55" t="e">
        <f t="shared" si="209"/>
        <v>#DIV/0!</v>
      </c>
      <c r="DU150" s="53">
        <f t="shared" si="210"/>
        <v>0</v>
      </c>
      <c r="DV150" s="59" t="e">
        <f t="shared" si="211"/>
        <v>#DIV/0!</v>
      </c>
    </row>
    <row r="151" spans="30:126">
      <c r="AD151" s="49" t="s">
        <v>411</v>
      </c>
      <c r="AE151" s="49">
        <f t="shared" si="157"/>
        <v>0</v>
      </c>
      <c r="AF151" s="49">
        <f t="shared" si="158"/>
        <v>0</v>
      </c>
      <c r="AG151" s="114">
        <f t="shared" si="159"/>
        <v>0</v>
      </c>
      <c r="AH151" s="104">
        <f t="shared" si="160"/>
        <v>0</v>
      </c>
      <c r="AI151" s="104">
        <f t="shared" si="161"/>
        <v>0</v>
      </c>
      <c r="AJ151" s="104">
        <f t="shared" si="162"/>
        <v>0</v>
      </c>
      <c r="AK151" s="104">
        <f t="shared" si="163"/>
        <v>0</v>
      </c>
      <c r="AL151" s="104">
        <f t="shared" si="164"/>
        <v>0</v>
      </c>
      <c r="AM151" s="104">
        <f t="shared" si="165"/>
        <v>0</v>
      </c>
      <c r="AN151" s="104">
        <f t="shared" si="166"/>
        <v>0</v>
      </c>
      <c r="AO151" s="104">
        <f t="shared" si="167"/>
        <v>0</v>
      </c>
      <c r="AP151" s="104">
        <f t="shared" si="168"/>
        <v>0</v>
      </c>
      <c r="AQ151" s="49">
        <f t="shared" si="169"/>
        <v>0</v>
      </c>
      <c r="AR151" s="104">
        <f t="shared" si="170"/>
        <v>0</v>
      </c>
      <c r="AS151" s="104">
        <f t="shared" si="171"/>
        <v>0</v>
      </c>
      <c r="AT151" s="104">
        <f t="shared" si="172"/>
        <v>0</v>
      </c>
      <c r="AU151" s="104">
        <f t="shared" si="173"/>
        <v>0</v>
      </c>
      <c r="BF151" s="49">
        <f t="shared" si="174"/>
        <v>0</v>
      </c>
      <c r="BG151" s="49">
        <f t="shared" si="175"/>
        <v>0</v>
      </c>
      <c r="BH151" s="54" t="e">
        <f t="shared" si="176"/>
        <v>#DIV/0!</v>
      </c>
      <c r="BI151" s="112" t="e">
        <f t="shared" si="177"/>
        <v>#DIV/0!</v>
      </c>
      <c r="BK151" s="55" t="e">
        <f t="shared" si="178"/>
        <v>#DIV/0!</v>
      </c>
      <c r="BL151" s="55" t="e">
        <f t="shared" si="179"/>
        <v>#DIV/0!</v>
      </c>
      <c r="BM151" s="55" t="e">
        <f t="shared" si="180"/>
        <v>#DIV/0!</v>
      </c>
      <c r="BN151" s="53">
        <f t="shared" si="181"/>
        <v>0</v>
      </c>
      <c r="BO151" s="112" t="e">
        <f t="shared" si="182"/>
        <v>#DIV/0!</v>
      </c>
      <c r="BR151" s="53" t="e">
        <f t="shared" si="183"/>
        <v>#DIV/0!</v>
      </c>
      <c r="BS151" s="53">
        <f t="shared" si="184"/>
        <v>0</v>
      </c>
      <c r="BT151" s="53">
        <f t="shared" si="185"/>
        <v>0</v>
      </c>
      <c r="BU151" s="56" t="e">
        <f t="shared" si="186"/>
        <v>#DIV/0!</v>
      </c>
      <c r="BX151" s="60"/>
      <c r="BY151" s="60"/>
      <c r="BZ151" s="60"/>
      <c r="CA151" s="60"/>
      <c r="CB151" s="60"/>
      <c r="CC151" s="60"/>
      <c r="CD151" s="60"/>
      <c r="CE151" s="60"/>
      <c r="CF151" s="60"/>
      <c r="CG151" s="60"/>
      <c r="CH151" s="60"/>
      <c r="CI151" s="60"/>
      <c r="CJ151" s="60"/>
      <c r="CK151" s="60"/>
      <c r="CL151" s="60"/>
      <c r="CM151" s="60"/>
      <c r="CN151" s="60"/>
      <c r="CO151" s="60"/>
      <c r="CP151" s="60"/>
      <c r="CQ151" s="60"/>
      <c r="CR151" s="60"/>
      <c r="CS151" s="60"/>
      <c r="CT151" s="57">
        <f t="shared" si="187"/>
        <v>0</v>
      </c>
      <c r="CU151" s="57">
        <f t="shared" si="188"/>
        <v>0</v>
      </c>
      <c r="CV151" s="53">
        <f t="shared" si="189"/>
        <v>0</v>
      </c>
      <c r="CW151" s="53">
        <f t="shared" si="190"/>
        <v>0</v>
      </c>
      <c r="CX151" s="58" t="e">
        <f t="shared" si="191"/>
        <v>#DIV/0!</v>
      </c>
      <c r="CY151" s="53">
        <f t="shared" si="192"/>
        <v>0</v>
      </c>
      <c r="CZ151" s="53">
        <f t="shared" si="193"/>
        <v>0</v>
      </c>
      <c r="DA151" s="58" t="e">
        <f t="shared" si="194"/>
        <v>#DIV/0!</v>
      </c>
      <c r="DB151" s="48" t="e">
        <f t="shared" si="195"/>
        <v>#DIV/0!</v>
      </c>
      <c r="DC151" s="48" t="e">
        <f t="shared" si="196"/>
        <v>#DIV/0!</v>
      </c>
      <c r="DD151" s="48" t="e">
        <f t="shared" si="197"/>
        <v>#DIV/0!</v>
      </c>
      <c r="DE151" s="48" t="e">
        <f t="shared" si="198"/>
        <v>#DIV/0!</v>
      </c>
      <c r="DF151" s="48" t="e">
        <f t="shared" si="199"/>
        <v>#DIV/0!</v>
      </c>
      <c r="DG151" s="48" t="e">
        <f t="shared" si="200"/>
        <v>#DIV/0!</v>
      </c>
      <c r="DH151" s="48">
        <f>SUMIF(FCR!$BZ$4:$DB$500,DG151,FCR!$DE$4:$EG$500)</f>
        <v>0</v>
      </c>
      <c r="DI151" s="48" t="e">
        <f t="shared" si="201"/>
        <v>#DIV/0!</v>
      </c>
      <c r="DJ151" s="48">
        <f>SUMIF(FCR!$BZ$4:$DB$142,DI151,FCR!$DE$4:$EG$142)</f>
        <v>0</v>
      </c>
      <c r="DK151" s="48" t="e">
        <f t="shared" si="202"/>
        <v>#DIV/0!</v>
      </c>
      <c r="DL151" s="55" t="e">
        <f t="shared" si="203"/>
        <v>#DIV/0!</v>
      </c>
      <c r="DM151" s="48" t="e">
        <f t="shared" si="204"/>
        <v>#DIV/0!</v>
      </c>
      <c r="DN151" s="48">
        <f>SUMIF(FCR!$BZ$4:$DB$142,DM151,FCR!$DE$4:$EG$142)</f>
        <v>0</v>
      </c>
      <c r="DO151" s="53" t="e">
        <f t="shared" si="205"/>
        <v>#DIV/0!</v>
      </c>
      <c r="DP151" s="55" t="e">
        <f t="shared" si="206"/>
        <v>#DIV/0!</v>
      </c>
      <c r="DQ151" s="55" t="e">
        <f t="shared" si="207"/>
        <v>#DIV/0!</v>
      </c>
      <c r="DR151" s="55"/>
      <c r="DS151" s="55" t="e">
        <f t="shared" si="208"/>
        <v>#DIV/0!</v>
      </c>
      <c r="DT151" s="55" t="e">
        <f t="shared" si="209"/>
        <v>#DIV/0!</v>
      </c>
      <c r="DU151" s="53">
        <f t="shared" si="210"/>
        <v>0</v>
      </c>
      <c r="DV151" s="59" t="e">
        <f t="shared" si="211"/>
        <v>#DIV/0!</v>
      </c>
    </row>
    <row r="152" spans="30:126">
      <c r="AD152" s="49" t="s">
        <v>411</v>
      </c>
      <c r="AE152" s="49">
        <f t="shared" si="157"/>
        <v>0</v>
      </c>
      <c r="AF152" s="49">
        <f t="shared" si="158"/>
        <v>0</v>
      </c>
      <c r="AG152" s="114">
        <f t="shared" si="159"/>
        <v>0</v>
      </c>
      <c r="AH152" s="104">
        <f t="shared" si="160"/>
        <v>0</v>
      </c>
      <c r="AI152" s="104">
        <f t="shared" si="161"/>
        <v>0</v>
      </c>
      <c r="AJ152" s="104">
        <f t="shared" si="162"/>
        <v>0</v>
      </c>
      <c r="AK152" s="104">
        <f t="shared" si="163"/>
        <v>0</v>
      </c>
      <c r="AL152" s="104">
        <f t="shared" si="164"/>
        <v>0</v>
      </c>
      <c r="AM152" s="104">
        <f t="shared" si="165"/>
        <v>0</v>
      </c>
      <c r="AN152" s="104">
        <f t="shared" si="166"/>
        <v>0</v>
      </c>
      <c r="AO152" s="104">
        <f t="shared" si="167"/>
        <v>0</v>
      </c>
      <c r="AP152" s="104">
        <f t="shared" si="168"/>
        <v>0</v>
      </c>
      <c r="AQ152" s="49">
        <f t="shared" si="169"/>
        <v>0</v>
      </c>
      <c r="AR152" s="104">
        <f t="shared" si="170"/>
        <v>0</v>
      </c>
      <c r="AS152" s="104">
        <f t="shared" si="171"/>
        <v>0</v>
      </c>
      <c r="AT152" s="104">
        <f t="shared" si="172"/>
        <v>0</v>
      </c>
      <c r="AU152" s="104">
        <f t="shared" si="173"/>
        <v>0</v>
      </c>
      <c r="BF152" s="49">
        <f t="shared" si="174"/>
        <v>0</v>
      </c>
      <c r="BG152" s="49">
        <f t="shared" si="175"/>
        <v>0</v>
      </c>
      <c r="BH152" s="54" t="e">
        <f t="shared" si="176"/>
        <v>#DIV/0!</v>
      </c>
      <c r="BI152" s="112" t="e">
        <f t="shared" si="177"/>
        <v>#DIV/0!</v>
      </c>
      <c r="BK152" s="55" t="e">
        <f t="shared" si="178"/>
        <v>#DIV/0!</v>
      </c>
      <c r="BL152" s="55" t="e">
        <f t="shared" si="179"/>
        <v>#DIV/0!</v>
      </c>
      <c r="BM152" s="55" t="e">
        <f t="shared" si="180"/>
        <v>#DIV/0!</v>
      </c>
      <c r="BN152" s="53">
        <f t="shared" si="181"/>
        <v>0</v>
      </c>
      <c r="BO152" s="112" t="e">
        <f t="shared" si="182"/>
        <v>#DIV/0!</v>
      </c>
      <c r="BR152" s="53" t="e">
        <f t="shared" si="183"/>
        <v>#DIV/0!</v>
      </c>
      <c r="BS152" s="53">
        <f t="shared" si="184"/>
        <v>0</v>
      </c>
      <c r="BT152" s="53">
        <f t="shared" si="185"/>
        <v>0</v>
      </c>
      <c r="BU152" s="56" t="e">
        <f t="shared" si="186"/>
        <v>#DIV/0!</v>
      </c>
      <c r="BX152" s="60"/>
      <c r="BY152" s="60"/>
      <c r="BZ152" s="60"/>
      <c r="CA152" s="60"/>
      <c r="CB152" s="60"/>
      <c r="CC152" s="60"/>
      <c r="CD152" s="60"/>
      <c r="CE152" s="60"/>
      <c r="CF152" s="60"/>
      <c r="CG152" s="60"/>
      <c r="CH152" s="60"/>
      <c r="CI152" s="60"/>
      <c r="CJ152" s="60"/>
      <c r="CK152" s="60"/>
      <c r="CL152" s="60"/>
      <c r="CM152" s="60"/>
      <c r="CN152" s="60"/>
      <c r="CO152" s="60"/>
      <c r="CP152" s="60"/>
      <c r="CQ152" s="60"/>
      <c r="CR152" s="60"/>
      <c r="CS152" s="60"/>
      <c r="CT152" s="57">
        <f t="shared" si="187"/>
        <v>0</v>
      </c>
      <c r="CU152" s="57">
        <f t="shared" si="188"/>
        <v>0</v>
      </c>
      <c r="CV152" s="53">
        <f t="shared" si="189"/>
        <v>0</v>
      </c>
      <c r="CW152" s="53">
        <f t="shared" si="190"/>
        <v>0</v>
      </c>
      <c r="CX152" s="58" t="e">
        <f t="shared" si="191"/>
        <v>#DIV/0!</v>
      </c>
      <c r="CY152" s="53">
        <f t="shared" si="192"/>
        <v>0</v>
      </c>
      <c r="CZ152" s="53">
        <f t="shared" si="193"/>
        <v>0</v>
      </c>
      <c r="DA152" s="58" t="e">
        <f t="shared" si="194"/>
        <v>#DIV/0!</v>
      </c>
      <c r="DB152" s="48" t="e">
        <f t="shared" si="195"/>
        <v>#DIV/0!</v>
      </c>
      <c r="DC152" s="48" t="e">
        <f t="shared" si="196"/>
        <v>#DIV/0!</v>
      </c>
      <c r="DD152" s="48" t="e">
        <f t="shared" si="197"/>
        <v>#DIV/0!</v>
      </c>
      <c r="DE152" s="48" t="e">
        <f t="shared" si="198"/>
        <v>#DIV/0!</v>
      </c>
      <c r="DF152" s="48" t="e">
        <f t="shared" si="199"/>
        <v>#DIV/0!</v>
      </c>
      <c r="DG152" s="48" t="e">
        <f t="shared" si="200"/>
        <v>#DIV/0!</v>
      </c>
      <c r="DH152" s="48">
        <f>SUMIF(FCR!$BZ$4:$DB$500,DG152,FCR!$DE$4:$EG$500)</f>
        <v>0</v>
      </c>
      <c r="DI152" s="48" t="e">
        <f t="shared" si="201"/>
        <v>#DIV/0!</v>
      </c>
      <c r="DJ152" s="48">
        <f>SUMIF(FCR!$BZ$4:$DB$142,DI152,FCR!$DE$4:$EG$142)</f>
        <v>0</v>
      </c>
      <c r="DK152" s="48" t="e">
        <f t="shared" si="202"/>
        <v>#DIV/0!</v>
      </c>
      <c r="DL152" s="55" t="e">
        <f t="shared" si="203"/>
        <v>#DIV/0!</v>
      </c>
      <c r="DM152" s="48" t="e">
        <f t="shared" si="204"/>
        <v>#DIV/0!</v>
      </c>
      <c r="DN152" s="48">
        <f>SUMIF(FCR!$BZ$4:$DB$142,DM152,FCR!$DE$4:$EG$142)</f>
        <v>0</v>
      </c>
      <c r="DO152" s="53" t="e">
        <f t="shared" si="205"/>
        <v>#DIV/0!</v>
      </c>
      <c r="DP152" s="55" t="e">
        <f t="shared" si="206"/>
        <v>#DIV/0!</v>
      </c>
      <c r="DQ152" s="55" t="e">
        <f t="shared" si="207"/>
        <v>#DIV/0!</v>
      </c>
      <c r="DR152" s="55"/>
      <c r="DS152" s="55" t="e">
        <f t="shared" si="208"/>
        <v>#DIV/0!</v>
      </c>
      <c r="DT152" s="55" t="e">
        <f t="shared" si="209"/>
        <v>#DIV/0!</v>
      </c>
      <c r="DU152" s="53">
        <f t="shared" si="210"/>
        <v>0</v>
      </c>
      <c r="DV152" s="59" t="e">
        <f t="shared" si="211"/>
        <v>#DIV/0!</v>
      </c>
    </row>
    <row r="153" spans="30:126">
      <c r="AD153" s="49" t="s">
        <v>411</v>
      </c>
      <c r="AE153" s="49">
        <f t="shared" si="157"/>
        <v>0</v>
      </c>
      <c r="AF153" s="49">
        <f t="shared" si="158"/>
        <v>0</v>
      </c>
      <c r="AG153" s="114">
        <f t="shared" si="159"/>
        <v>0</v>
      </c>
      <c r="AH153" s="104">
        <f t="shared" si="160"/>
        <v>0</v>
      </c>
      <c r="AI153" s="104">
        <f t="shared" si="161"/>
        <v>0</v>
      </c>
      <c r="AJ153" s="104">
        <f t="shared" si="162"/>
        <v>0</v>
      </c>
      <c r="AK153" s="104">
        <f t="shared" si="163"/>
        <v>0</v>
      </c>
      <c r="AL153" s="104">
        <f t="shared" si="164"/>
        <v>0</v>
      </c>
      <c r="AM153" s="104">
        <f t="shared" si="165"/>
        <v>0</v>
      </c>
      <c r="AN153" s="104">
        <f t="shared" si="166"/>
        <v>0</v>
      </c>
      <c r="AO153" s="104">
        <f t="shared" si="167"/>
        <v>0</v>
      </c>
      <c r="AP153" s="104">
        <f t="shared" si="168"/>
        <v>0</v>
      </c>
      <c r="AQ153" s="49">
        <f t="shared" si="169"/>
        <v>0</v>
      </c>
      <c r="AR153" s="104">
        <f t="shared" si="170"/>
        <v>0</v>
      </c>
      <c r="AS153" s="104">
        <f t="shared" si="171"/>
        <v>0</v>
      </c>
      <c r="AT153" s="104">
        <f t="shared" si="172"/>
        <v>0</v>
      </c>
      <c r="AU153" s="104">
        <f t="shared" si="173"/>
        <v>0</v>
      </c>
      <c r="BF153" s="49">
        <f t="shared" si="174"/>
        <v>0</v>
      </c>
      <c r="BG153" s="49">
        <f t="shared" si="175"/>
        <v>0</v>
      </c>
      <c r="BH153" s="54" t="e">
        <f t="shared" si="176"/>
        <v>#DIV/0!</v>
      </c>
      <c r="BI153" s="112" t="e">
        <f t="shared" si="177"/>
        <v>#DIV/0!</v>
      </c>
      <c r="BK153" s="55" t="e">
        <f t="shared" si="178"/>
        <v>#DIV/0!</v>
      </c>
      <c r="BL153" s="55" t="e">
        <f t="shared" si="179"/>
        <v>#DIV/0!</v>
      </c>
      <c r="BM153" s="55" t="e">
        <f t="shared" si="180"/>
        <v>#DIV/0!</v>
      </c>
      <c r="BN153" s="53">
        <f t="shared" si="181"/>
        <v>0</v>
      </c>
      <c r="BO153" s="112" t="e">
        <f t="shared" si="182"/>
        <v>#DIV/0!</v>
      </c>
      <c r="BR153" s="53" t="e">
        <f t="shared" si="183"/>
        <v>#DIV/0!</v>
      </c>
      <c r="BS153" s="53">
        <f t="shared" si="184"/>
        <v>0</v>
      </c>
      <c r="BT153" s="53">
        <f t="shared" si="185"/>
        <v>0</v>
      </c>
      <c r="BU153" s="56" t="e">
        <f t="shared" si="186"/>
        <v>#DIV/0!</v>
      </c>
      <c r="BX153" s="60"/>
      <c r="BY153" s="60"/>
      <c r="BZ153" s="60"/>
      <c r="CA153" s="60"/>
      <c r="CB153" s="60"/>
      <c r="CC153" s="60"/>
      <c r="CD153" s="60"/>
      <c r="CE153" s="60"/>
      <c r="CF153" s="60"/>
      <c r="CG153" s="60"/>
      <c r="CH153" s="60"/>
      <c r="CI153" s="60"/>
      <c r="CJ153" s="60"/>
      <c r="CK153" s="60"/>
      <c r="CL153" s="60"/>
      <c r="CM153" s="60"/>
      <c r="CN153" s="60"/>
      <c r="CO153" s="60"/>
      <c r="CP153" s="60"/>
      <c r="CQ153" s="60"/>
      <c r="CR153" s="60"/>
      <c r="CS153" s="60"/>
      <c r="CT153" s="57">
        <f t="shared" si="187"/>
        <v>0</v>
      </c>
      <c r="CU153" s="57">
        <f t="shared" si="188"/>
        <v>0</v>
      </c>
      <c r="CV153" s="53">
        <f t="shared" si="189"/>
        <v>0</v>
      </c>
      <c r="CW153" s="53">
        <f t="shared" si="190"/>
        <v>0</v>
      </c>
      <c r="CX153" s="58" t="e">
        <f t="shared" si="191"/>
        <v>#DIV/0!</v>
      </c>
      <c r="CY153" s="53">
        <f t="shared" si="192"/>
        <v>0</v>
      </c>
      <c r="CZ153" s="53">
        <f t="shared" si="193"/>
        <v>0</v>
      </c>
      <c r="DA153" s="58" t="e">
        <f t="shared" si="194"/>
        <v>#DIV/0!</v>
      </c>
      <c r="DB153" s="48" t="e">
        <f t="shared" si="195"/>
        <v>#DIV/0!</v>
      </c>
      <c r="DC153" s="48" t="e">
        <f t="shared" si="196"/>
        <v>#DIV/0!</v>
      </c>
      <c r="DD153" s="48" t="e">
        <f t="shared" si="197"/>
        <v>#DIV/0!</v>
      </c>
      <c r="DE153" s="48" t="e">
        <f t="shared" si="198"/>
        <v>#DIV/0!</v>
      </c>
      <c r="DF153" s="48" t="e">
        <f t="shared" si="199"/>
        <v>#DIV/0!</v>
      </c>
      <c r="DG153" s="48" t="e">
        <f t="shared" si="200"/>
        <v>#DIV/0!</v>
      </c>
      <c r="DH153" s="48">
        <f>SUMIF(FCR!$BZ$4:$DB$500,DG153,FCR!$DE$4:$EG$500)</f>
        <v>0</v>
      </c>
      <c r="DI153" s="48" t="e">
        <f t="shared" si="201"/>
        <v>#DIV/0!</v>
      </c>
      <c r="DJ153" s="48">
        <f>SUMIF(FCR!$BZ$4:$DB$142,DI153,FCR!$DE$4:$EG$142)</f>
        <v>0</v>
      </c>
      <c r="DK153" s="48" t="e">
        <f t="shared" si="202"/>
        <v>#DIV/0!</v>
      </c>
      <c r="DL153" s="55" t="e">
        <f t="shared" si="203"/>
        <v>#DIV/0!</v>
      </c>
      <c r="DM153" s="48" t="e">
        <f t="shared" si="204"/>
        <v>#DIV/0!</v>
      </c>
      <c r="DN153" s="48">
        <f>SUMIF(FCR!$BZ$4:$DB$142,DM153,FCR!$DE$4:$EG$142)</f>
        <v>0</v>
      </c>
      <c r="DO153" s="53" t="e">
        <f t="shared" si="205"/>
        <v>#DIV/0!</v>
      </c>
      <c r="DP153" s="55" t="e">
        <f t="shared" si="206"/>
        <v>#DIV/0!</v>
      </c>
      <c r="DQ153" s="55" t="e">
        <f t="shared" si="207"/>
        <v>#DIV/0!</v>
      </c>
      <c r="DR153" s="55"/>
      <c r="DS153" s="55" t="e">
        <f t="shared" si="208"/>
        <v>#DIV/0!</v>
      </c>
      <c r="DT153" s="55" t="e">
        <f t="shared" si="209"/>
        <v>#DIV/0!</v>
      </c>
      <c r="DU153" s="53">
        <f t="shared" si="210"/>
        <v>0</v>
      </c>
      <c r="DV153" s="59" t="e">
        <f t="shared" si="211"/>
        <v>#DIV/0!</v>
      </c>
    </row>
    <row r="154" spans="30:126">
      <c r="AD154" s="49" t="s">
        <v>411</v>
      </c>
      <c r="AE154" s="49">
        <f t="shared" si="157"/>
        <v>0</v>
      </c>
      <c r="AF154" s="49">
        <f t="shared" si="158"/>
        <v>0</v>
      </c>
      <c r="AG154" s="114">
        <f t="shared" si="159"/>
        <v>0</v>
      </c>
      <c r="AH154" s="104">
        <f t="shared" si="160"/>
        <v>0</v>
      </c>
      <c r="AI154" s="104">
        <f t="shared" si="161"/>
        <v>0</v>
      </c>
      <c r="AJ154" s="104">
        <f t="shared" si="162"/>
        <v>0</v>
      </c>
      <c r="AK154" s="104">
        <f t="shared" si="163"/>
        <v>0</v>
      </c>
      <c r="AL154" s="104">
        <f t="shared" si="164"/>
        <v>0</v>
      </c>
      <c r="AM154" s="104">
        <f t="shared" si="165"/>
        <v>0</v>
      </c>
      <c r="AN154" s="104">
        <f t="shared" si="166"/>
        <v>0</v>
      </c>
      <c r="AO154" s="104">
        <f t="shared" si="167"/>
        <v>0</v>
      </c>
      <c r="AP154" s="104">
        <f t="shared" si="168"/>
        <v>0</v>
      </c>
      <c r="AQ154" s="49">
        <f t="shared" si="169"/>
        <v>0</v>
      </c>
      <c r="AR154" s="104">
        <f t="shared" si="170"/>
        <v>0</v>
      </c>
      <c r="AS154" s="104">
        <f t="shared" si="171"/>
        <v>0</v>
      </c>
      <c r="AT154" s="104">
        <f t="shared" si="172"/>
        <v>0</v>
      </c>
      <c r="AU154" s="104">
        <f t="shared" si="173"/>
        <v>0</v>
      </c>
      <c r="BF154" s="49">
        <f t="shared" si="174"/>
        <v>0</v>
      </c>
      <c r="BG154" s="49">
        <f t="shared" si="175"/>
        <v>0</v>
      </c>
      <c r="BH154" s="54" t="e">
        <f t="shared" si="176"/>
        <v>#DIV/0!</v>
      </c>
      <c r="BI154" s="112" t="e">
        <f t="shared" si="177"/>
        <v>#DIV/0!</v>
      </c>
      <c r="BK154" s="55" t="e">
        <f t="shared" si="178"/>
        <v>#DIV/0!</v>
      </c>
      <c r="BL154" s="55" t="e">
        <f t="shared" si="179"/>
        <v>#DIV/0!</v>
      </c>
      <c r="BM154" s="55" t="e">
        <f t="shared" si="180"/>
        <v>#DIV/0!</v>
      </c>
      <c r="BN154" s="53">
        <f t="shared" si="181"/>
        <v>0</v>
      </c>
      <c r="BO154" s="112" t="e">
        <f t="shared" si="182"/>
        <v>#DIV/0!</v>
      </c>
      <c r="BR154" s="53" t="e">
        <f t="shared" si="183"/>
        <v>#DIV/0!</v>
      </c>
      <c r="BS154" s="53">
        <f t="shared" si="184"/>
        <v>0</v>
      </c>
      <c r="BT154" s="53">
        <f t="shared" si="185"/>
        <v>0</v>
      </c>
      <c r="BU154" s="56" t="e">
        <f t="shared" si="186"/>
        <v>#DIV/0!</v>
      </c>
      <c r="BX154" s="60"/>
      <c r="BY154" s="60"/>
      <c r="BZ154" s="60"/>
      <c r="CA154" s="60"/>
      <c r="CB154" s="60"/>
      <c r="CC154" s="60"/>
      <c r="CD154" s="60"/>
      <c r="CE154" s="60"/>
      <c r="CF154" s="60"/>
      <c r="CG154" s="60"/>
      <c r="CH154" s="60"/>
      <c r="CI154" s="60"/>
      <c r="CJ154" s="60"/>
      <c r="CK154" s="60"/>
      <c r="CL154" s="60"/>
      <c r="CM154" s="60"/>
      <c r="CN154" s="60"/>
      <c r="CO154" s="60"/>
      <c r="CP154" s="60"/>
      <c r="CQ154" s="60"/>
      <c r="CR154" s="60"/>
      <c r="CS154" s="60"/>
      <c r="CT154" s="57">
        <f t="shared" si="187"/>
        <v>0</v>
      </c>
      <c r="CU154" s="57">
        <f t="shared" si="188"/>
        <v>0</v>
      </c>
      <c r="CV154" s="53">
        <f t="shared" si="189"/>
        <v>0</v>
      </c>
      <c r="CW154" s="53">
        <f t="shared" si="190"/>
        <v>0</v>
      </c>
      <c r="CX154" s="58" t="e">
        <f t="shared" si="191"/>
        <v>#DIV/0!</v>
      </c>
      <c r="CY154" s="53">
        <f t="shared" si="192"/>
        <v>0</v>
      </c>
      <c r="CZ154" s="53">
        <f t="shared" si="193"/>
        <v>0</v>
      </c>
      <c r="DA154" s="58" t="e">
        <f t="shared" si="194"/>
        <v>#DIV/0!</v>
      </c>
      <c r="DB154" s="48" t="e">
        <f t="shared" si="195"/>
        <v>#DIV/0!</v>
      </c>
      <c r="DC154" s="48" t="e">
        <f t="shared" si="196"/>
        <v>#DIV/0!</v>
      </c>
      <c r="DD154" s="48" t="e">
        <f t="shared" si="197"/>
        <v>#DIV/0!</v>
      </c>
      <c r="DE154" s="48" t="e">
        <f t="shared" si="198"/>
        <v>#DIV/0!</v>
      </c>
      <c r="DF154" s="48" t="e">
        <f t="shared" si="199"/>
        <v>#DIV/0!</v>
      </c>
      <c r="DG154" s="48" t="e">
        <f t="shared" si="200"/>
        <v>#DIV/0!</v>
      </c>
      <c r="DH154" s="48">
        <f>SUMIF(FCR!$BZ$4:$DB$500,DG154,FCR!$DE$4:$EG$500)</f>
        <v>0</v>
      </c>
      <c r="DI154" s="48" t="e">
        <f t="shared" si="201"/>
        <v>#DIV/0!</v>
      </c>
      <c r="DJ154" s="48">
        <f>SUMIF(FCR!$BZ$4:$DB$142,DI154,FCR!$DE$4:$EG$142)</f>
        <v>0</v>
      </c>
      <c r="DK154" s="48" t="e">
        <f t="shared" si="202"/>
        <v>#DIV/0!</v>
      </c>
      <c r="DL154" s="55" t="e">
        <f t="shared" si="203"/>
        <v>#DIV/0!</v>
      </c>
      <c r="DM154" s="48" t="e">
        <f t="shared" si="204"/>
        <v>#DIV/0!</v>
      </c>
      <c r="DN154" s="48">
        <f>SUMIF(FCR!$BZ$4:$DB$142,DM154,FCR!$DE$4:$EG$142)</f>
        <v>0</v>
      </c>
      <c r="DO154" s="53" t="e">
        <f t="shared" si="205"/>
        <v>#DIV/0!</v>
      </c>
      <c r="DP154" s="55" t="e">
        <f t="shared" si="206"/>
        <v>#DIV/0!</v>
      </c>
      <c r="DQ154" s="55" t="e">
        <f t="shared" si="207"/>
        <v>#DIV/0!</v>
      </c>
      <c r="DR154" s="55"/>
      <c r="DS154" s="55" t="e">
        <f t="shared" si="208"/>
        <v>#DIV/0!</v>
      </c>
      <c r="DT154" s="55" t="e">
        <f t="shared" si="209"/>
        <v>#DIV/0!</v>
      </c>
      <c r="DU154" s="53">
        <f t="shared" si="210"/>
        <v>0</v>
      </c>
      <c r="DV154" s="59" t="e">
        <f t="shared" si="211"/>
        <v>#DIV/0!</v>
      </c>
    </row>
    <row r="155" spans="30:126">
      <c r="AD155" s="49" t="s">
        <v>411</v>
      </c>
      <c r="AE155" s="49">
        <f t="shared" si="157"/>
        <v>0</v>
      </c>
      <c r="AF155" s="49">
        <f t="shared" si="158"/>
        <v>0</v>
      </c>
      <c r="AG155" s="114">
        <f t="shared" si="159"/>
        <v>0</v>
      </c>
      <c r="AH155" s="104">
        <f t="shared" si="160"/>
        <v>0</v>
      </c>
      <c r="AI155" s="104">
        <f t="shared" si="161"/>
        <v>0</v>
      </c>
      <c r="AJ155" s="104">
        <f t="shared" si="162"/>
        <v>0</v>
      </c>
      <c r="AK155" s="104">
        <f t="shared" si="163"/>
        <v>0</v>
      </c>
      <c r="AL155" s="104">
        <f t="shared" si="164"/>
        <v>0</v>
      </c>
      <c r="AM155" s="104">
        <f t="shared" si="165"/>
        <v>0</v>
      </c>
      <c r="AN155" s="104">
        <f t="shared" si="166"/>
        <v>0</v>
      </c>
      <c r="AO155" s="104">
        <f t="shared" si="167"/>
        <v>0</v>
      </c>
      <c r="AP155" s="104">
        <f t="shared" si="168"/>
        <v>0</v>
      </c>
      <c r="AQ155" s="49">
        <f t="shared" si="169"/>
        <v>0</v>
      </c>
      <c r="AR155" s="104">
        <f t="shared" si="170"/>
        <v>0</v>
      </c>
      <c r="AS155" s="104">
        <f t="shared" si="171"/>
        <v>0</v>
      </c>
      <c r="AT155" s="104">
        <f t="shared" si="172"/>
        <v>0</v>
      </c>
      <c r="AU155" s="104">
        <f t="shared" si="173"/>
        <v>0</v>
      </c>
      <c r="BF155" s="49">
        <f t="shared" si="174"/>
        <v>0</v>
      </c>
      <c r="BG155" s="49">
        <f t="shared" si="175"/>
        <v>0</v>
      </c>
      <c r="BH155" s="54" t="e">
        <f t="shared" si="176"/>
        <v>#DIV/0!</v>
      </c>
      <c r="BI155" s="112" t="e">
        <f t="shared" si="177"/>
        <v>#DIV/0!</v>
      </c>
      <c r="BK155" s="55" t="e">
        <f t="shared" si="178"/>
        <v>#DIV/0!</v>
      </c>
      <c r="BL155" s="55" t="e">
        <f t="shared" si="179"/>
        <v>#DIV/0!</v>
      </c>
      <c r="BM155" s="55" t="e">
        <f t="shared" si="180"/>
        <v>#DIV/0!</v>
      </c>
      <c r="BN155" s="53">
        <f t="shared" si="181"/>
        <v>0</v>
      </c>
      <c r="BO155" s="112" t="e">
        <f t="shared" si="182"/>
        <v>#DIV/0!</v>
      </c>
      <c r="BR155" s="53" t="e">
        <f t="shared" si="183"/>
        <v>#DIV/0!</v>
      </c>
      <c r="BS155" s="53">
        <f t="shared" si="184"/>
        <v>0</v>
      </c>
      <c r="BT155" s="53">
        <f t="shared" si="185"/>
        <v>0</v>
      </c>
      <c r="BU155" s="56" t="e">
        <f t="shared" si="186"/>
        <v>#DIV/0!</v>
      </c>
      <c r="BX155" s="60"/>
      <c r="BY155" s="60"/>
      <c r="BZ155" s="60"/>
      <c r="CA155" s="60"/>
      <c r="CB155" s="60"/>
      <c r="CC155" s="60"/>
      <c r="CD155" s="60"/>
      <c r="CE155" s="60"/>
      <c r="CF155" s="60"/>
      <c r="CG155" s="60"/>
      <c r="CH155" s="60"/>
      <c r="CI155" s="60"/>
      <c r="CJ155" s="60"/>
      <c r="CK155" s="60"/>
      <c r="CL155" s="60"/>
      <c r="CM155" s="60"/>
      <c r="CN155" s="60"/>
      <c r="CO155" s="60"/>
      <c r="CP155" s="60"/>
      <c r="CQ155" s="60"/>
      <c r="CR155" s="60"/>
      <c r="CS155" s="60"/>
      <c r="CT155" s="57">
        <f t="shared" si="187"/>
        <v>0</v>
      </c>
      <c r="CU155" s="57">
        <f t="shared" si="188"/>
        <v>0</v>
      </c>
      <c r="CV155" s="53">
        <f t="shared" si="189"/>
        <v>0</v>
      </c>
      <c r="CW155" s="53">
        <f t="shared" si="190"/>
        <v>0</v>
      </c>
      <c r="CX155" s="58" t="e">
        <f t="shared" si="191"/>
        <v>#DIV/0!</v>
      </c>
      <c r="CY155" s="53">
        <f t="shared" si="192"/>
        <v>0</v>
      </c>
      <c r="CZ155" s="53">
        <f t="shared" si="193"/>
        <v>0</v>
      </c>
      <c r="DA155" s="58" t="e">
        <f t="shared" si="194"/>
        <v>#DIV/0!</v>
      </c>
      <c r="DB155" s="48" t="e">
        <f t="shared" si="195"/>
        <v>#DIV/0!</v>
      </c>
      <c r="DC155" s="48" t="e">
        <f t="shared" si="196"/>
        <v>#DIV/0!</v>
      </c>
      <c r="DD155" s="48" t="e">
        <f t="shared" si="197"/>
        <v>#DIV/0!</v>
      </c>
      <c r="DE155" s="48" t="e">
        <f t="shared" si="198"/>
        <v>#DIV/0!</v>
      </c>
      <c r="DF155" s="48" t="e">
        <f t="shared" si="199"/>
        <v>#DIV/0!</v>
      </c>
      <c r="DG155" s="48" t="e">
        <f t="shared" si="200"/>
        <v>#DIV/0!</v>
      </c>
      <c r="DH155" s="48">
        <f>SUMIF(FCR!$BZ$4:$DB$500,DG155,FCR!$DE$4:$EG$500)</f>
        <v>0</v>
      </c>
      <c r="DI155" s="48" t="e">
        <f t="shared" si="201"/>
        <v>#DIV/0!</v>
      </c>
      <c r="DJ155" s="48">
        <f>SUMIF(FCR!$BZ$4:$DB$142,DI155,FCR!$DE$4:$EG$142)</f>
        <v>0</v>
      </c>
      <c r="DK155" s="48" t="e">
        <f t="shared" si="202"/>
        <v>#DIV/0!</v>
      </c>
      <c r="DL155" s="55" t="e">
        <f t="shared" si="203"/>
        <v>#DIV/0!</v>
      </c>
      <c r="DM155" s="48" t="e">
        <f t="shared" si="204"/>
        <v>#DIV/0!</v>
      </c>
      <c r="DN155" s="48">
        <f>SUMIF(FCR!$BZ$4:$DB$142,DM155,FCR!$DE$4:$EG$142)</f>
        <v>0</v>
      </c>
      <c r="DO155" s="53" t="e">
        <f t="shared" si="205"/>
        <v>#DIV/0!</v>
      </c>
      <c r="DP155" s="55" t="e">
        <f t="shared" si="206"/>
        <v>#DIV/0!</v>
      </c>
      <c r="DQ155" s="55" t="e">
        <f t="shared" si="207"/>
        <v>#DIV/0!</v>
      </c>
      <c r="DR155" s="55"/>
      <c r="DS155" s="55" t="e">
        <f t="shared" si="208"/>
        <v>#DIV/0!</v>
      </c>
      <c r="DT155" s="55" t="e">
        <f t="shared" si="209"/>
        <v>#DIV/0!</v>
      </c>
      <c r="DU155" s="53">
        <f t="shared" si="210"/>
        <v>0</v>
      </c>
      <c r="DV155" s="59" t="e">
        <f t="shared" si="211"/>
        <v>#DIV/0!</v>
      </c>
    </row>
    <row r="156" spans="30:126">
      <c r="AD156" s="49" t="s">
        <v>411</v>
      </c>
      <c r="AE156" s="49">
        <f t="shared" si="157"/>
        <v>0</v>
      </c>
      <c r="AF156" s="49">
        <f t="shared" si="158"/>
        <v>0</v>
      </c>
      <c r="AG156" s="114">
        <f t="shared" si="159"/>
        <v>0</v>
      </c>
      <c r="AH156" s="104">
        <f t="shared" si="160"/>
        <v>0</v>
      </c>
      <c r="AI156" s="104">
        <f t="shared" si="161"/>
        <v>0</v>
      </c>
      <c r="AJ156" s="104">
        <f t="shared" si="162"/>
        <v>0</v>
      </c>
      <c r="AK156" s="104">
        <f t="shared" si="163"/>
        <v>0</v>
      </c>
      <c r="AL156" s="104">
        <f t="shared" si="164"/>
        <v>0</v>
      </c>
      <c r="AM156" s="104">
        <f t="shared" si="165"/>
        <v>0</v>
      </c>
      <c r="AN156" s="104">
        <f t="shared" si="166"/>
        <v>0</v>
      </c>
      <c r="AO156" s="104">
        <f t="shared" si="167"/>
        <v>0</v>
      </c>
      <c r="AP156" s="104">
        <f t="shared" si="168"/>
        <v>0</v>
      </c>
      <c r="AQ156" s="49">
        <f t="shared" si="169"/>
        <v>0</v>
      </c>
      <c r="AR156" s="104">
        <f t="shared" si="170"/>
        <v>0</v>
      </c>
      <c r="AS156" s="104">
        <f t="shared" si="171"/>
        <v>0</v>
      </c>
      <c r="AT156" s="104">
        <f t="shared" si="172"/>
        <v>0</v>
      </c>
      <c r="AU156" s="104">
        <f t="shared" si="173"/>
        <v>0</v>
      </c>
      <c r="BF156" s="49">
        <f t="shared" si="174"/>
        <v>0</v>
      </c>
      <c r="BG156" s="49">
        <f t="shared" si="175"/>
        <v>0</v>
      </c>
      <c r="BH156" s="54" t="e">
        <f t="shared" si="176"/>
        <v>#DIV/0!</v>
      </c>
      <c r="BI156" s="112" t="e">
        <f t="shared" si="177"/>
        <v>#DIV/0!</v>
      </c>
      <c r="BK156" s="55" t="e">
        <f t="shared" si="178"/>
        <v>#DIV/0!</v>
      </c>
      <c r="BL156" s="55" t="e">
        <f t="shared" si="179"/>
        <v>#DIV/0!</v>
      </c>
      <c r="BM156" s="55" t="e">
        <f t="shared" si="180"/>
        <v>#DIV/0!</v>
      </c>
      <c r="BN156" s="53">
        <f t="shared" si="181"/>
        <v>0</v>
      </c>
      <c r="BO156" s="112" t="e">
        <f t="shared" si="182"/>
        <v>#DIV/0!</v>
      </c>
      <c r="BR156" s="53" t="e">
        <f t="shared" si="183"/>
        <v>#DIV/0!</v>
      </c>
      <c r="BS156" s="53">
        <f t="shared" si="184"/>
        <v>0</v>
      </c>
      <c r="BT156" s="53">
        <f t="shared" si="185"/>
        <v>0</v>
      </c>
      <c r="BU156" s="56" t="e">
        <f t="shared" si="186"/>
        <v>#DIV/0!</v>
      </c>
      <c r="BX156" s="60"/>
      <c r="BY156" s="60"/>
      <c r="BZ156" s="60"/>
      <c r="CA156" s="60"/>
      <c r="CB156" s="60"/>
      <c r="CC156" s="60"/>
      <c r="CD156" s="60"/>
      <c r="CE156" s="60"/>
      <c r="CF156" s="60"/>
      <c r="CG156" s="60"/>
      <c r="CH156" s="60"/>
      <c r="CI156" s="60"/>
      <c r="CJ156" s="60"/>
      <c r="CK156" s="60"/>
      <c r="CL156" s="60"/>
      <c r="CM156" s="60"/>
      <c r="CN156" s="60"/>
      <c r="CO156" s="60"/>
      <c r="CP156" s="60"/>
      <c r="CQ156" s="60"/>
      <c r="CR156" s="60"/>
      <c r="CS156" s="60"/>
      <c r="CT156" s="57">
        <f t="shared" si="187"/>
        <v>0</v>
      </c>
      <c r="CU156" s="57">
        <f t="shared" si="188"/>
        <v>0</v>
      </c>
      <c r="CV156" s="53">
        <f t="shared" si="189"/>
        <v>0</v>
      </c>
      <c r="CW156" s="53">
        <f t="shared" si="190"/>
        <v>0</v>
      </c>
      <c r="CX156" s="58" t="e">
        <f t="shared" si="191"/>
        <v>#DIV/0!</v>
      </c>
      <c r="CY156" s="53">
        <f t="shared" si="192"/>
        <v>0</v>
      </c>
      <c r="CZ156" s="53">
        <f t="shared" si="193"/>
        <v>0</v>
      </c>
      <c r="DA156" s="58" t="e">
        <f t="shared" si="194"/>
        <v>#DIV/0!</v>
      </c>
      <c r="DB156" s="48" t="e">
        <f t="shared" si="195"/>
        <v>#DIV/0!</v>
      </c>
      <c r="DC156" s="48" t="e">
        <f t="shared" si="196"/>
        <v>#DIV/0!</v>
      </c>
      <c r="DD156" s="48" t="e">
        <f t="shared" si="197"/>
        <v>#DIV/0!</v>
      </c>
      <c r="DE156" s="48" t="e">
        <f t="shared" si="198"/>
        <v>#DIV/0!</v>
      </c>
      <c r="DF156" s="48" t="e">
        <f t="shared" si="199"/>
        <v>#DIV/0!</v>
      </c>
      <c r="DG156" s="48" t="e">
        <f t="shared" si="200"/>
        <v>#DIV/0!</v>
      </c>
      <c r="DH156" s="48">
        <f>SUMIF(FCR!$BZ$4:$DB$500,DG156,FCR!$DE$4:$EG$500)</f>
        <v>0</v>
      </c>
      <c r="DI156" s="48" t="e">
        <f t="shared" si="201"/>
        <v>#DIV/0!</v>
      </c>
      <c r="DJ156" s="48">
        <f>SUMIF(FCR!$BZ$4:$DB$142,DI156,FCR!$DE$4:$EG$142)</f>
        <v>0</v>
      </c>
      <c r="DK156" s="48" t="e">
        <f t="shared" si="202"/>
        <v>#DIV/0!</v>
      </c>
      <c r="DL156" s="55" t="e">
        <f t="shared" si="203"/>
        <v>#DIV/0!</v>
      </c>
      <c r="DM156" s="48" t="e">
        <f t="shared" si="204"/>
        <v>#DIV/0!</v>
      </c>
      <c r="DN156" s="48">
        <f>SUMIF(FCR!$BZ$4:$DB$142,DM156,FCR!$DE$4:$EG$142)</f>
        <v>0</v>
      </c>
      <c r="DO156" s="53" t="e">
        <f t="shared" si="205"/>
        <v>#DIV/0!</v>
      </c>
      <c r="DP156" s="55" t="e">
        <f t="shared" si="206"/>
        <v>#DIV/0!</v>
      </c>
      <c r="DQ156" s="55" t="e">
        <f t="shared" si="207"/>
        <v>#DIV/0!</v>
      </c>
      <c r="DR156" s="55"/>
      <c r="DS156" s="55" t="e">
        <f t="shared" si="208"/>
        <v>#DIV/0!</v>
      </c>
      <c r="DT156" s="55" t="e">
        <f t="shared" si="209"/>
        <v>#DIV/0!</v>
      </c>
      <c r="DU156" s="53">
        <f t="shared" si="210"/>
        <v>0</v>
      </c>
      <c r="DV156" s="59" t="e">
        <f t="shared" si="211"/>
        <v>#DIV/0!</v>
      </c>
    </row>
    <row r="157" spans="30:126">
      <c r="AD157" s="49" t="s">
        <v>411</v>
      </c>
      <c r="AE157" s="49">
        <f t="shared" si="157"/>
        <v>0</v>
      </c>
      <c r="AF157" s="49">
        <f t="shared" si="158"/>
        <v>0</v>
      </c>
      <c r="AG157" s="114">
        <f t="shared" si="159"/>
        <v>0</v>
      </c>
      <c r="AH157" s="104">
        <f t="shared" si="160"/>
        <v>0</v>
      </c>
      <c r="AI157" s="104">
        <f t="shared" si="161"/>
        <v>0</v>
      </c>
      <c r="AJ157" s="104">
        <f t="shared" si="162"/>
        <v>0</v>
      </c>
      <c r="AK157" s="104">
        <f t="shared" si="163"/>
        <v>0</v>
      </c>
      <c r="AL157" s="104">
        <f t="shared" si="164"/>
        <v>0</v>
      </c>
      <c r="AM157" s="104">
        <f t="shared" si="165"/>
        <v>0</v>
      </c>
      <c r="AN157" s="104">
        <f t="shared" si="166"/>
        <v>0</v>
      </c>
      <c r="AO157" s="104">
        <f t="shared" si="167"/>
        <v>0</v>
      </c>
      <c r="AP157" s="104">
        <f t="shared" si="168"/>
        <v>0</v>
      </c>
      <c r="AQ157" s="49">
        <f t="shared" si="169"/>
        <v>0</v>
      </c>
      <c r="AR157" s="104">
        <f t="shared" si="170"/>
        <v>0</v>
      </c>
      <c r="AS157" s="104">
        <f t="shared" si="171"/>
        <v>0</v>
      </c>
      <c r="AT157" s="104">
        <f t="shared" si="172"/>
        <v>0</v>
      </c>
      <c r="AU157" s="104">
        <f t="shared" si="173"/>
        <v>0</v>
      </c>
      <c r="BF157" s="49">
        <f t="shared" si="174"/>
        <v>0</v>
      </c>
      <c r="BG157" s="49">
        <f t="shared" si="175"/>
        <v>0</v>
      </c>
      <c r="BH157" s="54" t="e">
        <f t="shared" si="176"/>
        <v>#DIV/0!</v>
      </c>
      <c r="BI157" s="112" t="e">
        <f t="shared" si="177"/>
        <v>#DIV/0!</v>
      </c>
      <c r="BK157" s="55" t="e">
        <f t="shared" si="178"/>
        <v>#DIV/0!</v>
      </c>
      <c r="BL157" s="55" t="e">
        <f t="shared" si="179"/>
        <v>#DIV/0!</v>
      </c>
      <c r="BM157" s="55" t="e">
        <f t="shared" si="180"/>
        <v>#DIV/0!</v>
      </c>
      <c r="BN157" s="53">
        <f t="shared" si="181"/>
        <v>0</v>
      </c>
      <c r="BO157" s="112" t="e">
        <f t="shared" si="182"/>
        <v>#DIV/0!</v>
      </c>
      <c r="BR157" s="53" t="e">
        <f t="shared" si="183"/>
        <v>#DIV/0!</v>
      </c>
      <c r="BS157" s="53">
        <f t="shared" si="184"/>
        <v>0</v>
      </c>
      <c r="BT157" s="53">
        <f t="shared" si="185"/>
        <v>0</v>
      </c>
      <c r="BU157" s="56" t="e">
        <f t="shared" si="186"/>
        <v>#DIV/0!</v>
      </c>
      <c r="BX157" s="60"/>
      <c r="BY157" s="60"/>
      <c r="BZ157" s="60"/>
      <c r="CA157" s="60"/>
      <c r="CB157" s="60"/>
      <c r="CC157" s="60"/>
      <c r="CD157" s="60"/>
      <c r="CE157" s="60"/>
      <c r="CF157" s="60"/>
      <c r="CG157" s="60"/>
      <c r="CH157" s="60"/>
      <c r="CI157" s="60"/>
      <c r="CJ157" s="60"/>
      <c r="CK157" s="60"/>
      <c r="CL157" s="60"/>
      <c r="CM157" s="60"/>
      <c r="CN157" s="60"/>
      <c r="CO157" s="60"/>
      <c r="CP157" s="60"/>
      <c r="CQ157" s="60"/>
      <c r="CR157" s="60"/>
      <c r="CS157" s="60"/>
      <c r="CT157" s="57">
        <f t="shared" si="187"/>
        <v>0</v>
      </c>
      <c r="CU157" s="57">
        <f t="shared" si="188"/>
        <v>0</v>
      </c>
      <c r="CV157" s="53">
        <f t="shared" si="189"/>
        <v>0</v>
      </c>
      <c r="CW157" s="53">
        <f t="shared" si="190"/>
        <v>0</v>
      </c>
      <c r="CX157" s="58" t="e">
        <f t="shared" si="191"/>
        <v>#DIV/0!</v>
      </c>
      <c r="CY157" s="53">
        <f t="shared" si="192"/>
        <v>0</v>
      </c>
      <c r="CZ157" s="53">
        <f t="shared" si="193"/>
        <v>0</v>
      </c>
      <c r="DA157" s="58" t="e">
        <f t="shared" si="194"/>
        <v>#DIV/0!</v>
      </c>
      <c r="DB157" s="48" t="e">
        <f t="shared" si="195"/>
        <v>#DIV/0!</v>
      </c>
      <c r="DC157" s="48" t="e">
        <f t="shared" si="196"/>
        <v>#DIV/0!</v>
      </c>
      <c r="DD157" s="48" t="e">
        <f t="shared" si="197"/>
        <v>#DIV/0!</v>
      </c>
      <c r="DE157" s="48" t="e">
        <f t="shared" si="198"/>
        <v>#DIV/0!</v>
      </c>
      <c r="DF157" s="48" t="e">
        <f t="shared" si="199"/>
        <v>#DIV/0!</v>
      </c>
      <c r="DG157" s="48" t="e">
        <f t="shared" si="200"/>
        <v>#DIV/0!</v>
      </c>
      <c r="DH157" s="48">
        <f>SUMIF(FCR!$BZ$4:$DB$500,DG157,FCR!$DE$4:$EG$500)</f>
        <v>0</v>
      </c>
      <c r="DI157" s="48" t="e">
        <f t="shared" si="201"/>
        <v>#DIV/0!</v>
      </c>
      <c r="DJ157" s="48">
        <f>SUMIF(FCR!$BZ$4:$DB$142,DI157,FCR!$DE$4:$EG$142)</f>
        <v>0</v>
      </c>
      <c r="DK157" s="48" t="e">
        <f t="shared" si="202"/>
        <v>#DIV/0!</v>
      </c>
      <c r="DL157" s="55" t="e">
        <f t="shared" si="203"/>
        <v>#DIV/0!</v>
      </c>
      <c r="DM157" s="48" t="e">
        <f t="shared" si="204"/>
        <v>#DIV/0!</v>
      </c>
      <c r="DN157" s="48">
        <f>SUMIF(FCR!$BZ$4:$DB$142,DM157,FCR!$DE$4:$EG$142)</f>
        <v>0</v>
      </c>
      <c r="DO157" s="53" t="e">
        <f t="shared" si="205"/>
        <v>#DIV/0!</v>
      </c>
      <c r="DP157" s="55" t="e">
        <f t="shared" si="206"/>
        <v>#DIV/0!</v>
      </c>
      <c r="DQ157" s="55" t="e">
        <f t="shared" si="207"/>
        <v>#DIV/0!</v>
      </c>
      <c r="DR157" s="55"/>
      <c r="DS157" s="55" t="e">
        <f t="shared" si="208"/>
        <v>#DIV/0!</v>
      </c>
      <c r="DT157" s="55" t="e">
        <f t="shared" si="209"/>
        <v>#DIV/0!</v>
      </c>
      <c r="DU157" s="53">
        <f t="shared" si="210"/>
        <v>0</v>
      </c>
      <c r="DV157" s="59" t="e">
        <f t="shared" si="211"/>
        <v>#DIV/0!</v>
      </c>
    </row>
    <row r="158" spans="30:126">
      <c r="AD158" s="49" t="s">
        <v>411</v>
      </c>
      <c r="AE158" s="49">
        <f t="shared" si="157"/>
        <v>0</v>
      </c>
      <c r="AF158" s="49">
        <f t="shared" si="158"/>
        <v>0</v>
      </c>
      <c r="AG158" s="114">
        <f t="shared" si="159"/>
        <v>0</v>
      </c>
      <c r="AH158" s="104">
        <f t="shared" si="160"/>
        <v>0</v>
      </c>
      <c r="AI158" s="104">
        <f t="shared" si="161"/>
        <v>0</v>
      </c>
      <c r="AJ158" s="104">
        <f t="shared" si="162"/>
        <v>0</v>
      </c>
      <c r="AK158" s="104">
        <f t="shared" si="163"/>
        <v>0</v>
      </c>
      <c r="AL158" s="104">
        <f t="shared" si="164"/>
        <v>0</v>
      </c>
      <c r="AM158" s="104">
        <f t="shared" si="165"/>
        <v>0</v>
      </c>
      <c r="AN158" s="104">
        <f t="shared" si="166"/>
        <v>0</v>
      </c>
      <c r="AO158" s="104">
        <f t="shared" si="167"/>
        <v>0</v>
      </c>
      <c r="AP158" s="104">
        <f t="shared" si="168"/>
        <v>0</v>
      </c>
      <c r="AQ158" s="49">
        <f t="shared" si="169"/>
        <v>0</v>
      </c>
      <c r="AR158" s="104">
        <f t="shared" si="170"/>
        <v>0</v>
      </c>
      <c r="AS158" s="104">
        <f t="shared" si="171"/>
        <v>0</v>
      </c>
      <c r="AT158" s="104">
        <f t="shared" si="172"/>
        <v>0</v>
      </c>
      <c r="AU158" s="104">
        <f t="shared" si="173"/>
        <v>0</v>
      </c>
      <c r="BF158" s="49">
        <f t="shared" si="174"/>
        <v>0</v>
      </c>
      <c r="BG158" s="49">
        <f t="shared" si="175"/>
        <v>0</v>
      </c>
      <c r="BH158" s="54" t="e">
        <f t="shared" si="176"/>
        <v>#DIV/0!</v>
      </c>
      <c r="BI158" s="112" t="e">
        <f t="shared" si="177"/>
        <v>#DIV/0!</v>
      </c>
      <c r="BK158" s="55" t="e">
        <f t="shared" si="178"/>
        <v>#DIV/0!</v>
      </c>
      <c r="BL158" s="55" t="e">
        <f t="shared" si="179"/>
        <v>#DIV/0!</v>
      </c>
      <c r="BM158" s="55" t="e">
        <f t="shared" si="180"/>
        <v>#DIV/0!</v>
      </c>
      <c r="BN158" s="53">
        <f t="shared" si="181"/>
        <v>0</v>
      </c>
      <c r="BO158" s="112" t="e">
        <f t="shared" si="182"/>
        <v>#DIV/0!</v>
      </c>
      <c r="BR158" s="53" t="e">
        <f t="shared" si="183"/>
        <v>#DIV/0!</v>
      </c>
      <c r="BS158" s="53">
        <f t="shared" si="184"/>
        <v>0</v>
      </c>
      <c r="BT158" s="53">
        <f t="shared" si="185"/>
        <v>0</v>
      </c>
      <c r="BU158" s="56" t="e">
        <f t="shared" si="186"/>
        <v>#DIV/0!</v>
      </c>
      <c r="BX158" s="60"/>
      <c r="BY158" s="60"/>
      <c r="BZ158" s="60"/>
      <c r="CA158" s="60"/>
      <c r="CB158" s="60"/>
      <c r="CC158" s="60"/>
      <c r="CD158" s="60"/>
      <c r="CE158" s="60"/>
      <c r="CF158" s="60"/>
      <c r="CG158" s="60"/>
      <c r="CH158" s="60"/>
      <c r="CI158" s="60"/>
      <c r="CJ158" s="60"/>
      <c r="CK158" s="60"/>
      <c r="CL158" s="60"/>
      <c r="CM158" s="60"/>
      <c r="CN158" s="60"/>
      <c r="CO158" s="60"/>
      <c r="CP158" s="60"/>
      <c r="CQ158" s="60"/>
      <c r="CR158" s="60"/>
      <c r="CS158" s="60"/>
      <c r="CT158" s="57">
        <f t="shared" si="187"/>
        <v>0</v>
      </c>
      <c r="CU158" s="57">
        <f t="shared" si="188"/>
        <v>0</v>
      </c>
      <c r="CV158" s="53">
        <f t="shared" si="189"/>
        <v>0</v>
      </c>
      <c r="CW158" s="53">
        <f t="shared" si="190"/>
        <v>0</v>
      </c>
      <c r="CX158" s="58" t="e">
        <f t="shared" si="191"/>
        <v>#DIV/0!</v>
      </c>
      <c r="CY158" s="53">
        <f t="shared" si="192"/>
        <v>0</v>
      </c>
      <c r="CZ158" s="53">
        <f t="shared" si="193"/>
        <v>0</v>
      </c>
      <c r="DA158" s="58" t="e">
        <f t="shared" si="194"/>
        <v>#DIV/0!</v>
      </c>
      <c r="DB158" s="48" t="e">
        <f t="shared" si="195"/>
        <v>#DIV/0!</v>
      </c>
      <c r="DC158" s="48" t="e">
        <f t="shared" si="196"/>
        <v>#DIV/0!</v>
      </c>
      <c r="DD158" s="48" t="e">
        <f t="shared" si="197"/>
        <v>#DIV/0!</v>
      </c>
      <c r="DE158" s="48" t="e">
        <f t="shared" si="198"/>
        <v>#DIV/0!</v>
      </c>
      <c r="DF158" s="48" t="e">
        <f t="shared" si="199"/>
        <v>#DIV/0!</v>
      </c>
      <c r="DG158" s="48" t="e">
        <f t="shared" si="200"/>
        <v>#DIV/0!</v>
      </c>
      <c r="DH158" s="48">
        <f>SUMIF(FCR!$BZ$4:$DB$500,DG158,FCR!$DE$4:$EG$500)</f>
        <v>0</v>
      </c>
      <c r="DI158" s="48" t="e">
        <f t="shared" si="201"/>
        <v>#DIV/0!</v>
      </c>
      <c r="DJ158" s="48">
        <f>SUMIF(FCR!$BZ$4:$DB$142,DI158,FCR!$DE$4:$EG$142)</f>
        <v>0</v>
      </c>
      <c r="DK158" s="48" t="e">
        <f t="shared" si="202"/>
        <v>#DIV/0!</v>
      </c>
      <c r="DL158" s="55" t="e">
        <f t="shared" si="203"/>
        <v>#DIV/0!</v>
      </c>
      <c r="DM158" s="48" t="e">
        <f t="shared" si="204"/>
        <v>#DIV/0!</v>
      </c>
      <c r="DN158" s="48">
        <f>SUMIF(FCR!$BZ$4:$DB$142,DM158,FCR!$DE$4:$EG$142)</f>
        <v>0</v>
      </c>
      <c r="DO158" s="53" t="e">
        <f t="shared" si="205"/>
        <v>#DIV/0!</v>
      </c>
      <c r="DP158" s="55" t="e">
        <f t="shared" si="206"/>
        <v>#DIV/0!</v>
      </c>
      <c r="DQ158" s="55" t="e">
        <f t="shared" si="207"/>
        <v>#DIV/0!</v>
      </c>
      <c r="DR158" s="55"/>
      <c r="DS158" s="55" t="e">
        <f t="shared" si="208"/>
        <v>#DIV/0!</v>
      </c>
      <c r="DT158" s="55" t="e">
        <f t="shared" si="209"/>
        <v>#DIV/0!</v>
      </c>
      <c r="DU158" s="53">
        <f t="shared" si="210"/>
        <v>0</v>
      </c>
      <c r="DV158" s="59" t="e">
        <f t="shared" si="211"/>
        <v>#DIV/0!</v>
      </c>
    </row>
    <row r="159" spans="30:126">
      <c r="AD159" s="49" t="s">
        <v>411</v>
      </c>
      <c r="AE159" s="49">
        <f t="shared" si="157"/>
        <v>0</v>
      </c>
      <c r="AF159" s="49">
        <f t="shared" si="158"/>
        <v>0</v>
      </c>
      <c r="AG159" s="114">
        <f t="shared" si="159"/>
        <v>0</v>
      </c>
      <c r="AH159" s="104">
        <f t="shared" si="160"/>
        <v>0</v>
      </c>
      <c r="AI159" s="104">
        <f t="shared" si="161"/>
        <v>0</v>
      </c>
      <c r="AJ159" s="104">
        <f t="shared" si="162"/>
        <v>0</v>
      </c>
      <c r="AK159" s="104">
        <f t="shared" si="163"/>
        <v>0</v>
      </c>
      <c r="AL159" s="104">
        <f t="shared" si="164"/>
        <v>0</v>
      </c>
      <c r="AM159" s="104">
        <f t="shared" si="165"/>
        <v>0</v>
      </c>
      <c r="AN159" s="104">
        <f t="shared" si="166"/>
        <v>0</v>
      </c>
      <c r="AO159" s="104">
        <f t="shared" si="167"/>
        <v>0</v>
      </c>
      <c r="AP159" s="104">
        <f t="shared" si="168"/>
        <v>0</v>
      </c>
      <c r="AQ159" s="49">
        <f t="shared" si="169"/>
        <v>0</v>
      </c>
      <c r="AR159" s="104">
        <f t="shared" si="170"/>
        <v>0</v>
      </c>
      <c r="AS159" s="104">
        <f t="shared" si="171"/>
        <v>0</v>
      </c>
      <c r="AT159" s="104">
        <f t="shared" si="172"/>
        <v>0</v>
      </c>
      <c r="AU159" s="104">
        <f t="shared" si="173"/>
        <v>0</v>
      </c>
      <c r="BF159" s="49">
        <f t="shared" si="174"/>
        <v>0</v>
      </c>
      <c r="BG159" s="49">
        <f t="shared" si="175"/>
        <v>0</v>
      </c>
      <c r="BH159" s="54" t="e">
        <f t="shared" si="176"/>
        <v>#DIV/0!</v>
      </c>
      <c r="BI159" s="112" t="e">
        <f t="shared" si="177"/>
        <v>#DIV/0!</v>
      </c>
      <c r="BK159" s="55" t="e">
        <f t="shared" si="178"/>
        <v>#DIV/0!</v>
      </c>
      <c r="BL159" s="55" t="e">
        <f t="shared" si="179"/>
        <v>#DIV/0!</v>
      </c>
      <c r="BM159" s="55" t="e">
        <f t="shared" si="180"/>
        <v>#DIV/0!</v>
      </c>
      <c r="BN159" s="53">
        <f t="shared" si="181"/>
        <v>0</v>
      </c>
      <c r="BO159" s="112" t="e">
        <f t="shared" si="182"/>
        <v>#DIV/0!</v>
      </c>
      <c r="BR159" s="53" t="e">
        <f t="shared" si="183"/>
        <v>#DIV/0!</v>
      </c>
      <c r="BS159" s="53">
        <f t="shared" si="184"/>
        <v>0</v>
      </c>
      <c r="BT159" s="53">
        <f t="shared" si="185"/>
        <v>0</v>
      </c>
      <c r="BU159" s="56" t="e">
        <f t="shared" si="186"/>
        <v>#DIV/0!</v>
      </c>
      <c r="BX159" s="60"/>
      <c r="BY159" s="60"/>
      <c r="BZ159" s="60"/>
      <c r="CA159" s="60"/>
      <c r="CB159" s="60"/>
      <c r="CC159" s="60"/>
      <c r="CD159" s="60"/>
      <c r="CE159" s="60"/>
      <c r="CF159" s="60"/>
      <c r="CG159" s="60"/>
      <c r="CH159" s="60"/>
      <c r="CI159" s="60"/>
      <c r="CJ159" s="60"/>
      <c r="CK159" s="60"/>
      <c r="CL159" s="60"/>
      <c r="CM159" s="60"/>
      <c r="CN159" s="60"/>
      <c r="CO159" s="60"/>
      <c r="CP159" s="60"/>
      <c r="CQ159" s="60"/>
      <c r="CR159" s="60"/>
      <c r="CS159" s="60"/>
      <c r="CT159" s="57">
        <f t="shared" si="187"/>
        <v>0</v>
      </c>
      <c r="CU159" s="57">
        <f t="shared" si="188"/>
        <v>0</v>
      </c>
      <c r="CV159" s="53">
        <f t="shared" si="189"/>
        <v>0</v>
      </c>
      <c r="CW159" s="53">
        <f t="shared" si="190"/>
        <v>0</v>
      </c>
      <c r="CX159" s="58" t="e">
        <f t="shared" si="191"/>
        <v>#DIV/0!</v>
      </c>
      <c r="CY159" s="53">
        <f t="shared" si="192"/>
        <v>0</v>
      </c>
      <c r="CZ159" s="53">
        <f t="shared" si="193"/>
        <v>0</v>
      </c>
      <c r="DA159" s="58" t="e">
        <f t="shared" si="194"/>
        <v>#DIV/0!</v>
      </c>
      <c r="DB159" s="48" t="e">
        <f t="shared" si="195"/>
        <v>#DIV/0!</v>
      </c>
      <c r="DC159" s="48" t="e">
        <f t="shared" si="196"/>
        <v>#DIV/0!</v>
      </c>
      <c r="DD159" s="48" t="e">
        <f t="shared" si="197"/>
        <v>#DIV/0!</v>
      </c>
      <c r="DE159" s="48" t="e">
        <f t="shared" si="198"/>
        <v>#DIV/0!</v>
      </c>
      <c r="DF159" s="48" t="e">
        <f t="shared" si="199"/>
        <v>#DIV/0!</v>
      </c>
      <c r="DG159" s="48" t="e">
        <f t="shared" si="200"/>
        <v>#DIV/0!</v>
      </c>
      <c r="DH159" s="48">
        <f>SUMIF(FCR!$BZ$4:$DB$500,DG159,FCR!$DE$4:$EG$500)</f>
        <v>0</v>
      </c>
      <c r="DI159" s="48" t="e">
        <f t="shared" si="201"/>
        <v>#DIV/0!</v>
      </c>
      <c r="DJ159" s="48">
        <f>SUMIF(FCR!$BZ$4:$DB$142,DI159,FCR!$DE$4:$EG$142)</f>
        <v>0</v>
      </c>
      <c r="DK159" s="48" t="e">
        <f t="shared" si="202"/>
        <v>#DIV/0!</v>
      </c>
      <c r="DL159" s="55" t="e">
        <f t="shared" si="203"/>
        <v>#DIV/0!</v>
      </c>
      <c r="DM159" s="48" t="e">
        <f t="shared" si="204"/>
        <v>#DIV/0!</v>
      </c>
      <c r="DN159" s="48">
        <f>SUMIF(FCR!$BZ$4:$DB$142,DM159,FCR!$DE$4:$EG$142)</f>
        <v>0</v>
      </c>
      <c r="DO159" s="53" t="e">
        <f t="shared" si="205"/>
        <v>#DIV/0!</v>
      </c>
      <c r="DP159" s="55" t="e">
        <f t="shared" si="206"/>
        <v>#DIV/0!</v>
      </c>
      <c r="DQ159" s="55" t="e">
        <f t="shared" si="207"/>
        <v>#DIV/0!</v>
      </c>
      <c r="DR159" s="55"/>
      <c r="DS159" s="55" t="e">
        <f t="shared" si="208"/>
        <v>#DIV/0!</v>
      </c>
      <c r="DT159" s="55" t="e">
        <f t="shared" si="209"/>
        <v>#DIV/0!</v>
      </c>
      <c r="DU159" s="53">
        <f t="shared" si="210"/>
        <v>0</v>
      </c>
      <c r="DV159" s="59" t="e">
        <f t="shared" si="211"/>
        <v>#DIV/0!</v>
      </c>
    </row>
    <row r="160" spans="30:126">
      <c r="AD160" s="49" t="s">
        <v>411</v>
      </c>
      <c r="AE160" s="49">
        <f t="shared" si="157"/>
        <v>0</v>
      </c>
      <c r="AF160" s="49">
        <f t="shared" si="158"/>
        <v>0</v>
      </c>
      <c r="AG160" s="114">
        <f t="shared" si="159"/>
        <v>0</v>
      </c>
      <c r="AH160" s="104">
        <f t="shared" si="160"/>
        <v>0</v>
      </c>
      <c r="AI160" s="104">
        <f t="shared" si="161"/>
        <v>0</v>
      </c>
      <c r="AJ160" s="104">
        <f t="shared" si="162"/>
        <v>0</v>
      </c>
      <c r="AK160" s="104">
        <f t="shared" si="163"/>
        <v>0</v>
      </c>
      <c r="AL160" s="104">
        <f t="shared" si="164"/>
        <v>0</v>
      </c>
      <c r="AM160" s="104">
        <f t="shared" si="165"/>
        <v>0</v>
      </c>
      <c r="AN160" s="104">
        <f t="shared" si="166"/>
        <v>0</v>
      </c>
      <c r="AO160" s="104">
        <f t="shared" si="167"/>
        <v>0</v>
      </c>
      <c r="AP160" s="104">
        <f t="shared" si="168"/>
        <v>0</v>
      </c>
      <c r="AQ160" s="49">
        <f t="shared" si="169"/>
        <v>0</v>
      </c>
      <c r="AR160" s="104">
        <f t="shared" si="170"/>
        <v>0</v>
      </c>
      <c r="AS160" s="104">
        <f t="shared" si="171"/>
        <v>0</v>
      </c>
      <c r="AT160" s="104">
        <f t="shared" si="172"/>
        <v>0</v>
      </c>
      <c r="AU160" s="104">
        <f t="shared" si="173"/>
        <v>0</v>
      </c>
      <c r="BF160" s="49">
        <f t="shared" si="174"/>
        <v>0</v>
      </c>
      <c r="BG160" s="49">
        <f t="shared" si="175"/>
        <v>0</v>
      </c>
      <c r="BH160" s="54" t="e">
        <f t="shared" si="176"/>
        <v>#DIV/0!</v>
      </c>
      <c r="BI160" s="112" t="e">
        <f t="shared" si="177"/>
        <v>#DIV/0!</v>
      </c>
      <c r="BK160" s="55" t="e">
        <f t="shared" si="178"/>
        <v>#DIV/0!</v>
      </c>
      <c r="BL160" s="55" t="e">
        <f t="shared" si="179"/>
        <v>#DIV/0!</v>
      </c>
      <c r="BM160" s="55" t="e">
        <f t="shared" si="180"/>
        <v>#DIV/0!</v>
      </c>
      <c r="BN160" s="53">
        <f t="shared" si="181"/>
        <v>0</v>
      </c>
      <c r="BO160" s="112" t="e">
        <f t="shared" si="182"/>
        <v>#DIV/0!</v>
      </c>
      <c r="BR160" s="53" t="e">
        <f t="shared" si="183"/>
        <v>#DIV/0!</v>
      </c>
      <c r="BS160" s="53">
        <f t="shared" si="184"/>
        <v>0</v>
      </c>
      <c r="BT160" s="53">
        <f t="shared" si="185"/>
        <v>0</v>
      </c>
      <c r="BU160" s="56" t="e">
        <f t="shared" si="186"/>
        <v>#DIV/0!</v>
      </c>
      <c r="BX160" s="60"/>
      <c r="BY160" s="60"/>
      <c r="BZ160" s="60"/>
      <c r="CA160" s="60"/>
      <c r="CB160" s="60"/>
      <c r="CC160" s="60"/>
      <c r="CD160" s="60"/>
      <c r="CE160" s="60"/>
      <c r="CF160" s="60"/>
      <c r="CG160" s="60"/>
      <c r="CH160" s="60"/>
      <c r="CI160" s="60"/>
      <c r="CJ160" s="60"/>
      <c r="CK160" s="60"/>
      <c r="CL160" s="60"/>
      <c r="CM160" s="60"/>
      <c r="CN160" s="60"/>
      <c r="CO160" s="60"/>
      <c r="CP160" s="60"/>
      <c r="CQ160" s="60"/>
      <c r="CR160" s="60"/>
      <c r="CS160" s="60"/>
      <c r="CT160" s="57">
        <f t="shared" si="187"/>
        <v>0</v>
      </c>
      <c r="CU160" s="57">
        <f t="shared" si="188"/>
        <v>0</v>
      </c>
      <c r="CV160" s="53">
        <f t="shared" si="189"/>
        <v>0</v>
      </c>
      <c r="CW160" s="53">
        <f t="shared" si="190"/>
        <v>0</v>
      </c>
      <c r="CX160" s="58" t="e">
        <f t="shared" si="191"/>
        <v>#DIV/0!</v>
      </c>
      <c r="CY160" s="53">
        <f t="shared" si="192"/>
        <v>0</v>
      </c>
      <c r="CZ160" s="53">
        <f t="shared" si="193"/>
        <v>0</v>
      </c>
      <c r="DA160" s="58" t="e">
        <f t="shared" si="194"/>
        <v>#DIV/0!</v>
      </c>
      <c r="DB160" s="48" t="e">
        <f t="shared" si="195"/>
        <v>#DIV/0!</v>
      </c>
      <c r="DC160" s="48" t="e">
        <f t="shared" si="196"/>
        <v>#DIV/0!</v>
      </c>
      <c r="DD160" s="48" t="e">
        <f t="shared" si="197"/>
        <v>#DIV/0!</v>
      </c>
      <c r="DE160" s="48" t="e">
        <f t="shared" si="198"/>
        <v>#DIV/0!</v>
      </c>
      <c r="DF160" s="48" t="e">
        <f t="shared" si="199"/>
        <v>#DIV/0!</v>
      </c>
      <c r="DG160" s="48" t="e">
        <f t="shared" si="200"/>
        <v>#DIV/0!</v>
      </c>
      <c r="DH160" s="48">
        <f>SUMIF(FCR!$BZ$4:$DB$500,DG160,FCR!$DE$4:$EG$500)</f>
        <v>0</v>
      </c>
      <c r="DI160" s="48" t="e">
        <f t="shared" si="201"/>
        <v>#DIV/0!</v>
      </c>
      <c r="DJ160" s="48">
        <f>SUMIF(FCR!$BZ$4:$DB$142,DI160,FCR!$DE$4:$EG$142)</f>
        <v>0</v>
      </c>
      <c r="DK160" s="48" t="e">
        <f t="shared" si="202"/>
        <v>#DIV/0!</v>
      </c>
      <c r="DL160" s="55" t="e">
        <f t="shared" si="203"/>
        <v>#DIV/0!</v>
      </c>
      <c r="DM160" s="48" t="e">
        <f t="shared" si="204"/>
        <v>#DIV/0!</v>
      </c>
      <c r="DN160" s="48">
        <f>SUMIF(FCR!$BZ$4:$DB$142,DM160,FCR!$DE$4:$EG$142)</f>
        <v>0</v>
      </c>
      <c r="DO160" s="53" t="e">
        <f t="shared" si="205"/>
        <v>#DIV/0!</v>
      </c>
      <c r="DP160" s="55" t="e">
        <f t="shared" si="206"/>
        <v>#DIV/0!</v>
      </c>
      <c r="DQ160" s="55" t="e">
        <f t="shared" si="207"/>
        <v>#DIV/0!</v>
      </c>
      <c r="DR160" s="55"/>
      <c r="DS160" s="55" t="e">
        <f t="shared" si="208"/>
        <v>#DIV/0!</v>
      </c>
      <c r="DT160" s="55" t="e">
        <f t="shared" si="209"/>
        <v>#DIV/0!</v>
      </c>
      <c r="DU160" s="53">
        <f t="shared" si="210"/>
        <v>0</v>
      </c>
      <c r="DV160" s="59" t="e">
        <f t="shared" si="211"/>
        <v>#DIV/0!</v>
      </c>
    </row>
    <row r="161" spans="30:126">
      <c r="AD161" s="49" t="s">
        <v>411</v>
      </c>
      <c r="AE161" s="49">
        <f t="shared" si="157"/>
        <v>0</v>
      </c>
      <c r="AF161" s="49">
        <f t="shared" si="158"/>
        <v>0</v>
      </c>
      <c r="AG161" s="114">
        <f t="shared" si="159"/>
        <v>0</v>
      </c>
      <c r="AH161" s="104">
        <f t="shared" si="160"/>
        <v>0</v>
      </c>
      <c r="AI161" s="104">
        <f t="shared" si="161"/>
        <v>0</v>
      </c>
      <c r="AJ161" s="104">
        <f t="shared" si="162"/>
        <v>0</v>
      </c>
      <c r="AK161" s="104">
        <f t="shared" si="163"/>
        <v>0</v>
      </c>
      <c r="AL161" s="104">
        <f t="shared" si="164"/>
        <v>0</v>
      </c>
      <c r="AM161" s="104">
        <f t="shared" si="165"/>
        <v>0</v>
      </c>
      <c r="AN161" s="104">
        <f t="shared" si="166"/>
        <v>0</v>
      </c>
      <c r="AO161" s="104">
        <f t="shared" si="167"/>
        <v>0</v>
      </c>
      <c r="AP161" s="104">
        <f t="shared" si="168"/>
        <v>0</v>
      </c>
      <c r="AQ161" s="49">
        <f t="shared" si="169"/>
        <v>0</v>
      </c>
      <c r="AR161" s="104">
        <f t="shared" si="170"/>
        <v>0</v>
      </c>
      <c r="AS161" s="104">
        <f t="shared" si="171"/>
        <v>0</v>
      </c>
      <c r="AT161" s="104">
        <f t="shared" si="172"/>
        <v>0</v>
      </c>
      <c r="AU161" s="104">
        <f t="shared" si="173"/>
        <v>0</v>
      </c>
      <c r="BF161" s="49">
        <f t="shared" si="174"/>
        <v>0</v>
      </c>
      <c r="BG161" s="49">
        <f t="shared" si="175"/>
        <v>0</v>
      </c>
      <c r="BH161" s="54" t="e">
        <f t="shared" si="176"/>
        <v>#DIV/0!</v>
      </c>
      <c r="BI161" s="112" t="e">
        <f t="shared" si="177"/>
        <v>#DIV/0!</v>
      </c>
      <c r="BK161" s="55" t="e">
        <f t="shared" si="178"/>
        <v>#DIV/0!</v>
      </c>
      <c r="BL161" s="55" t="e">
        <f t="shared" si="179"/>
        <v>#DIV/0!</v>
      </c>
      <c r="BM161" s="55" t="e">
        <f t="shared" si="180"/>
        <v>#DIV/0!</v>
      </c>
      <c r="BN161" s="53">
        <f t="shared" si="181"/>
        <v>0</v>
      </c>
      <c r="BO161" s="112" t="e">
        <f t="shared" si="182"/>
        <v>#DIV/0!</v>
      </c>
      <c r="BR161" s="53" t="e">
        <f t="shared" si="183"/>
        <v>#DIV/0!</v>
      </c>
      <c r="BS161" s="53">
        <f t="shared" si="184"/>
        <v>0</v>
      </c>
      <c r="BT161" s="53">
        <f t="shared" si="185"/>
        <v>0</v>
      </c>
      <c r="BU161" s="56" t="e">
        <f t="shared" si="186"/>
        <v>#DIV/0!</v>
      </c>
      <c r="BX161" s="60"/>
      <c r="BY161" s="60"/>
      <c r="BZ161" s="60"/>
      <c r="CA161" s="60"/>
      <c r="CB161" s="60"/>
      <c r="CC161" s="60"/>
      <c r="CD161" s="60"/>
      <c r="CE161" s="60"/>
      <c r="CF161" s="60"/>
      <c r="CG161" s="60"/>
      <c r="CH161" s="60"/>
      <c r="CI161" s="60"/>
      <c r="CJ161" s="60"/>
      <c r="CK161" s="60"/>
      <c r="CL161" s="60"/>
      <c r="CM161" s="60"/>
      <c r="CN161" s="60"/>
      <c r="CO161" s="60"/>
      <c r="CP161" s="60"/>
      <c r="CQ161" s="60"/>
      <c r="CR161" s="60"/>
      <c r="CS161" s="60"/>
      <c r="CT161" s="57">
        <f t="shared" si="187"/>
        <v>0</v>
      </c>
      <c r="CU161" s="57">
        <f t="shared" si="188"/>
        <v>0</v>
      </c>
      <c r="CV161" s="53">
        <f t="shared" si="189"/>
        <v>0</v>
      </c>
      <c r="CW161" s="53">
        <f t="shared" si="190"/>
        <v>0</v>
      </c>
      <c r="CX161" s="58" t="e">
        <f t="shared" si="191"/>
        <v>#DIV/0!</v>
      </c>
      <c r="CY161" s="53">
        <f t="shared" si="192"/>
        <v>0</v>
      </c>
      <c r="CZ161" s="53">
        <f t="shared" si="193"/>
        <v>0</v>
      </c>
      <c r="DA161" s="58" t="e">
        <f t="shared" si="194"/>
        <v>#DIV/0!</v>
      </c>
      <c r="DB161" s="48" t="e">
        <f t="shared" si="195"/>
        <v>#DIV/0!</v>
      </c>
      <c r="DC161" s="48" t="e">
        <f t="shared" si="196"/>
        <v>#DIV/0!</v>
      </c>
      <c r="DD161" s="48" t="e">
        <f t="shared" si="197"/>
        <v>#DIV/0!</v>
      </c>
      <c r="DE161" s="48" t="e">
        <f t="shared" si="198"/>
        <v>#DIV/0!</v>
      </c>
      <c r="DF161" s="48" t="e">
        <f t="shared" si="199"/>
        <v>#DIV/0!</v>
      </c>
      <c r="DG161" s="48" t="e">
        <f t="shared" si="200"/>
        <v>#DIV/0!</v>
      </c>
      <c r="DH161" s="48">
        <f>SUMIF(FCR!$BZ$4:$DB$500,DG161,FCR!$DE$4:$EG$500)</f>
        <v>0</v>
      </c>
      <c r="DI161" s="48" t="e">
        <f t="shared" si="201"/>
        <v>#DIV/0!</v>
      </c>
      <c r="DJ161" s="48">
        <f>SUMIF(FCR!$BZ$4:$DB$142,DI161,FCR!$DE$4:$EG$142)</f>
        <v>0</v>
      </c>
      <c r="DK161" s="48" t="e">
        <f t="shared" si="202"/>
        <v>#DIV/0!</v>
      </c>
      <c r="DL161" s="55" t="e">
        <f t="shared" si="203"/>
        <v>#DIV/0!</v>
      </c>
      <c r="DM161" s="48" t="e">
        <f t="shared" si="204"/>
        <v>#DIV/0!</v>
      </c>
      <c r="DN161" s="48">
        <f>SUMIF(FCR!$BZ$4:$DB$142,DM161,FCR!$DE$4:$EG$142)</f>
        <v>0</v>
      </c>
      <c r="DO161" s="53" t="e">
        <f t="shared" si="205"/>
        <v>#DIV/0!</v>
      </c>
      <c r="DP161" s="55" t="e">
        <f t="shared" si="206"/>
        <v>#DIV/0!</v>
      </c>
      <c r="DQ161" s="55" t="e">
        <f t="shared" si="207"/>
        <v>#DIV/0!</v>
      </c>
      <c r="DR161" s="55"/>
      <c r="DS161" s="55" t="e">
        <f t="shared" si="208"/>
        <v>#DIV/0!</v>
      </c>
      <c r="DT161" s="55" t="e">
        <f t="shared" si="209"/>
        <v>#DIV/0!</v>
      </c>
      <c r="DU161" s="53">
        <f t="shared" si="210"/>
        <v>0</v>
      </c>
      <c r="DV161" s="59" t="e">
        <f t="shared" si="211"/>
        <v>#DIV/0!</v>
      </c>
    </row>
    <row r="162" spans="30:126">
      <c r="AD162" s="49" t="s">
        <v>411</v>
      </c>
      <c r="AE162" s="49">
        <f t="shared" si="157"/>
        <v>0</v>
      </c>
      <c r="AF162" s="49">
        <f t="shared" si="158"/>
        <v>0</v>
      </c>
      <c r="AG162" s="114">
        <f t="shared" si="159"/>
        <v>0</v>
      </c>
      <c r="AH162" s="104">
        <f t="shared" si="160"/>
        <v>0</v>
      </c>
      <c r="AI162" s="104">
        <f t="shared" si="161"/>
        <v>0</v>
      </c>
      <c r="AJ162" s="104">
        <f t="shared" si="162"/>
        <v>0</v>
      </c>
      <c r="AK162" s="104">
        <f t="shared" si="163"/>
        <v>0</v>
      </c>
      <c r="AL162" s="104">
        <f t="shared" si="164"/>
        <v>0</v>
      </c>
      <c r="AM162" s="104">
        <f t="shared" si="165"/>
        <v>0</v>
      </c>
      <c r="AN162" s="104">
        <f t="shared" si="166"/>
        <v>0</v>
      </c>
      <c r="AO162" s="104">
        <f t="shared" si="167"/>
        <v>0</v>
      </c>
      <c r="AP162" s="104">
        <f t="shared" si="168"/>
        <v>0</v>
      </c>
      <c r="AQ162" s="49">
        <f t="shared" si="169"/>
        <v>0</v>
      </c>
      <c r="AR162" s="104">
        <f t="shared" si="170"/>
        <v>0</v>
      </c>
      <c r="AS162" s="104">
        <f t="shared" si="171"/>
        <v>0</v>
      </c>
      <c r="AT162" s="104">
        <f t="shared" si="172"/>
        <v>0</v>
      </c>
      <c r="AU162" s="104">
        <f t="shared" si="173"/>
        <v>0</v>
      </c>
      <c r="BF162" s="49">
        <f t="shared" si="174"/>
        <v>0</v>
      </c>
      <c r="BG162" s="49">
        <f t="shared" si="175"/>
        <v>0</v>
      </c>
      <c r="BH162" s="54" t="e">
        <f t="shared" si="176"/>
        <v>#DIV/0!</v>
      </c>
      <c r="BI162" s="112" t="e">
        <f t="shared" si="177"/>
        <v>#DIV/0!</v>
      </c>
      <c r="BK162" s="55" t="e">
        <f t="shared" si="178"/>
        <v>#DIV/0!</v>
      </c>
      <c r="BL162" s="55" t="e">
        <f t="shared" si="179"/>
        <v>#DIV/0!</v>
      </c>
      <c r="BM162" s="55" t="e">
        <f t="shared" si="180"/>
        <v>#DIV/0!</v>
      </c>
      <c r="BN162" s="53">
        <f t="shared" si="181"/>
        <v>0</v>
      </c>
      <c r="BO162" s="112" t="e">
        <f t="shared" si="182"/>
        <v>#DIV/0!</v>
      </c>
      <c r="BR162" s="53" t="e">
        <f t="shared" si="183"/>
        <v>#DIV/0!</v>
      </c>
      <c r="BS162" s="53">
        <f t="shared" si="184"/>
        <v>0</v>
      </c>
      <c r="BT162" s="53">
        <f t="shared" si="185"/>
        <v>0</v>
      </c>
      <c r="BU162" s="56" t="e">
        <f t="shared" si="186"/>
        <v>#DIV/0!</v>
      </c>
      <c r="BX162" s="60"/>
      <c r="BY162" s="60"/>
      <c r="BZ162" s="60"/>
      <c r="CA162" s="60"/>
      <c r="CB162" s="60"/>
      <c r="CC162" s="60"/>
      <c r="CD162" s="60"/>
      <c r="CE162" s="60"/>
      <c r="CF162" s="60"/>
      <c r="CG162" s="60"/>
      <c r="CH162" s="60"/>
      <c r="CI162" s="60"/>
      <c r="CJ162" s="60"/>
      <c r="CK162" s="60"/>
      <c r="CL162" s="60"/>
      <c r="CM162" s="60"/>
      <c r="CN162" s="60"/>
      <c r="CO162" s="60"/>
      <c r="CP162" s="60"/>
      <c r="CQ162" s="60"/>
      <c r="CR162" s="60"/>
      <c r="CS162" s="60"/>
      <c r="CT162" s="57">
        <f t="shared" si="187"/>
        <v>0</v>
      </c>
      <c r="CU162" s="57">
        <f t="shared" si="188"/>
        <v>0</v>
      </c>
      <c r="CV162" s="53">
        <f t="shared" si="189"/>
        <v>0</v>
      </c>
      <c r="CW162" s="53">
        <f t="shared" si="190"/>
        <v>0</v>
      </c>
      <c r="CX162" s="58" t="e">
        <f t="shared" si="191"/>
        <v>#DIV/0!</v>
      </c>
      <c r="CY162" s="53">
        <f t="shared" si="192"/>
        <v>0</v>
      </c>
      <c r="CZ162" s="53">
        <f t="shared" si="193"/>
        <v>0</v>
      </c>
      <c r="DA162" s="58" t="e">
        <f t="shared" si="194"/>
        <v>#DIV/0!</v>
      </c>
      <c r="DB162" s="48" t="e">
        <f t="shared" si="195"/>
        <v>#DIV/0!</v>
      </c>
      <c r="DC162" s="48" t="e">
        <f t="shared" si="196"/>
        <v>#DIV/0!</v>
      </c>
      <c r="DD162" s="48" t="e">
        <f t="shared" si="197"/>
        <v>#DIV/0!</v>
      </c>
      <c r="DE162" s="48" t="e">
        <f t="shared" si="198"/>
        <v>#DIV/0!</v>
      </c>
      <c r="DF162" s="48" t="e">
        <f t="shared" si="199"/>
        <v>#DIV/0!</v>
      </c>
      <c r="DG162" s="48" t="e">
        <f t="shared" si="200"/>
        <v>#DIV/0!</v>
      </c>
      <c r="DH162" s="48">
        <f>SUMIF(FCR!$BZ$4:$DB$500,DG162,FCR!$DE$4:$EG$500)</f>
        <v>0</v>
      </c>
      <c r="DI162" s="48" t="e">
        <f t="shared" si="201"/>
        <v>#DIV/0!</v>
      </c>
      <c r="DJ162" s="48">
        <f>SUMIF(FCR!$BZ$4:$DB$142,DI162,FCR!$DE$4:$EG$142)</f>
        <v>0</v>
      </c>
      <c r="DK162" s="48" t="e">
        <f t="shared" si="202"/>
        <v>#DIV/0!</v>
      </c>
      <c r="DL162" s="55" t="e">
        <f t="shared" si="203"/>
        <v>#DIV/0!</v>
      </c>
      <c r="DM162" s="48" t="e">
        <f t="shared" si="204"/>
        <v>#DIV/0!</v>
      </c>
      <c r="DN162" s="48">
        <f>SUMIF(FCR!$BZ$4:$DB$142,DM162,FCR!$DE$4:$EG$142)</f>
        <v>0</v>
      </c>
      <c r="DO162" s="53" t="e">
        <f t="shared" si="205"/>
        <v>#DIV/0!</v>
      </c>
      <c r="DP162" s="55" t="e">
        <f t="shared" si="206"/>
        <v>#DIV/0!</v>
      </c>
      <c r="DQ162" s="55" t="e">
        <f t="shared" si="207"/>
        <v>#DIV/0!</v>
      </c>
      <c r="DR162" s="55"/>
      <c r="DS162" s="55" t="e">
        <f t="shared" si="208"/>
        <v>#DIV/0!</v>
      </c>
      <c r="DT162" s="55" t="e">
        <f t="shared" si="209"/>
        <v>#DIV/0!</v>
      </c>
      <c r="DU162" s="53">
        <f t="shared" si="210"/>
        <v>0</v>
      </c>
      <c r="DV162" s="59" t="e">
        <f t="shared" si="211"/>
        <v>#DIV/0!</v>
      </c>
    </row>
    <row r="163" spans="30:126">
      <c r="AD163" s="49" t="s">
        <v>411</v>
      </c>
      <c r="AE163" s="49">
        <f t="shared" si="157"/>
        <v>0</v>
      </c>
      <c r="AF163" s="49">
        <f t="shared" si="158"/>
        <v>0</v>
      </c>
      <c r="AG163" s="114">
        <f t="shared" si="159"/>
        <v>0</v>
      </c>
      <c r="AH163" s="104">
        <f t="shared" si="160"/>
        <v>0</v>
      </c>
      <c r="AI163" s="104">
        <f t="shared" si="161"/>
        <v>0</v>
      </c>
      <c r="AJ163" s="104">
        <f t="shared" si="162"/>
        <v>0</v>
      </c>
      <c r="AK163" s="104">
        <f t="shared" si="163"/>
        <v>0</v>
      </c>
      <c r="AL163" s="104">
        <f t="shared" si="164"/>
        <v>0</v>
      </c>
      <c r="AM163" s="104">
        <f t="shared" si="165"/>
        <v>0</v>
      </c>
      <c r="AN163" s="104">
        <f t="shared" si="166"/>
        <v>0</v>
      </c>
      <c r="AO163" s="104">
        <f t="shared" si="167"/>
        <v>0</v>
      </c>
      <c r="AP163" s="104">
        <f t="shared" si="168"/>
        <v>0</v>
      </c>
      <c r="AQ163" s="49">
        <f t="shared" si="169"/>
        <v>0</v>
      </c>
      <c r="AR163" s="104">
        <f t="shared" si="170"/>
        <v>0</v>
      </c>
      <c r="AS163" s="104">
        <f t="shared" si="171"/>
        <v>0</v>
      </c>
      <c r="AT163" s="104">
        <f t="shared" si="172"/>
        <v>0</v>
      </c>
      <c r="AU163" s="104">
        <f t="shared" si="173"/>
        <v>0</v>
      </c>
      <c r="BF163" s="49">
        <f t="shared" si="174"/>
        <v>0</v>
      </c>
      <c r="BG163" s="49">
        <f t="shared" si="175"/>
        <v>0</v>
      </c>
      <c r="BH163" s="54" t="e">
        <f t="shared" si="176"/>
        <v>#DIV/0!</v>
      </c>
      <c r="BI163" s="112" t="e">
        <f t="shared" si="177"/>
        <v>#DIV/0!</v>
      </c>
      <c r="BK163" s="55" t="e">
        <f t="shared" si="178"/>
        <v>#DIV/0!</v>
      </c>
      <c r="BL163" s="55" t="e">
        <f t="shared" si="179"/>
        <v>#DIV/0!</v>
      </c>
      <c r="BM163" s="55" t="e">
        <f t="shared" si="180"/>
        <v>#DIV/0!</v>
      </c>
      <c r="BN163" s="53">
        <f t="shared" si="181"/>
        <v>0</v>
      </c>
      <c r="BO163" s="112" t="e">
        <f t="shared" si="182"/>
        <v>#DIV/0!</v>
      </c>
      <c r="BR163" s="53" t="e">
        <f t="shared" si="183"/>
        <v>#DIV/0!</v>
      </c>
      <c r="BS163" s="53">
        <f t="shared" si="184"/>
        <v>0</v>
      </c>
      <c r="BT163" s="53">
        <f t="shared" si="185"/>
        <v>0</v>
      </c>
      <c r="BU163" s="56" t="e">
        <f t="shared" si="186"/>
        <v>#DIV/0!</v>
      </c>
      <c r="BX163" s="60"/>
      <c r="BY163" s="60"/>
      <c r="BZ163" s="60"/>
      <c r="CA163" s="60"/>
      <c r="CB163" s="60"/>
      <c r="CC163" s="60"/>
      <c r="CD163" s="60"/>
      <c r="CE163" s="60"/>
      <c r="CF163" s="60"/>
      <c r="CG163" s="60"/>
      <c r="CH163" s="60"/>
      <c r="CI163" s="60"/>
      <c r="CJ163" s="60"/>
      <c r="CK163" s="60"/>
      <c r="CL163" s="60"/>
      <c r="CM163" s="60"/>
      <c r="CN163" s="60"/>
      <c r="CO163" s="60"/>
      <c r="CP163" s="60"/>
      <c r="CQ163" s="60"/>
      <c r="CR163" s="60"/>
      <c r="CS163" s="60"/>
      <c r="CT163" s="57">
        <f t="shared" si="187"/>
        <v>0</v>
      </c>
      <c r="CU163" s="57">
        <f t="shared" si="188"/>
        <v>0</v>
      </c>
      <c r="CV163" s="53">
        <f t="shared" si="189"/>
        <v>0</v>
      </c>
      <c r="CW163" s="53">
        <f t="shared" si="190"/>
        <v>0</v>
      </c>
      <c r="CX163" s="58" t="e">
        <f t="shared" si="191"/>
        <v>#DIV/0!</v>
      </c>
      <c r="CY163" s="53">
        <f t="shared" si="192"/>
        <v>0</v>
      </c>
      <c r="CZ163" s="53">
        <f t="shared" si="193"/>
        <v>0</v>
      </c>
      <c r="DA163" s="58" t="e">
        <f t="shared" si="194"/>
        <v>#DIV/0!</v>
      </c>
      <c r="DB163" s="48" t="e">
        <f t="shared" si="195"/>
        <v>#DIV/0!</v>
      </c>
      <c r="DC163" s="48" t="e">
        <f t="shared" si="196"/>
        <v>#DIV/0!</v>
      </c>
      <c r="DD163" s="48" t="e">
        <f t="shared" si="197"/>
        <v>#DIV/0!</v>
      </c>
      <c r="DE163" s="48" t="e">
        <f t="shared" si="198"/>
        <v>#DIV/0!</v>
      </c>
      <c r="DF163" s="48" t="e">
        <f t="shared" si="199"/>
        <v>#DIV/0!</v>
      </c>
      <c r="DG163" s="48" t="e">
        <f t="shared" si="200"/>
        <v>#DIV/0!</v>
      </c>
      <c r="DH163" s="48">
        <f>SUMIF(FCR!$BZ$4:$DB$500,DG163,FCR!$DE$4:$EG$500)</f>
        <v>0</v>
      </c>
      <c r="DI163" s="48" t="e">
        <f t="shared" si="201"/>
        <v>#DIV/0!</v>
      </c>
      <c r="DJ163" s="48">
        <f>SUMIF(FCR!$BZ$4:$DB$142,DI163,FCR!$DE$4:$EG$142)</f>
        <v>0</v>
      </c>
      <c r="DK163" s="48" t="e">
        <f t="shared" si="202"/>
        <v>#DIV/0!</v>
      </c>
      <c r="DL163" s="55" t="e">
        <f t="shared" si="203"/>
        <v>#DIV/0!</v>
      </c>
      <c r="DM163" s="48" t="e">
        <f t="shared" si="204"/>
        <v>#DIV/0!</v>
      </c>
      <c r="DN163" s="48">
        <f>SUMIF(FCR!$BZ$4:$DB$142,DM163,FCR!$DE$4:$EG$142)</f>
        <v>0</v>
      </c>
      <c r="DO163" s="53" t="e">
        <f t="shared" si="205"/>
        <v>#DIV/0!</v>
      </c>
      <c r="DP163" s="55" t="e">
        <f t="shared" si="206"/>
        <v>#DIV/0!</v>
      </c>
      <c r="DQ163" s="55" t="e">
        <f t="shared" si="207"/>
        <v>#DIV/0!</v>
      </c>
      <c r="DR163" s="55"/>
      <c r="DS163" s="55" t="e">
        <f t="shared" si="208"/>
        <v>#DIV/0!</v>
      </c>
      <c r="DT163" s="55" t="e">
        <f t="shared" si="209"/>
        <v>#DIV/0!</v>
      </c>
      <c r="DU163" s="53">
        <f t="shared" si="210"/>
        <v>0</v>
      </c>
      <c r="DV163" s="59" t="e">
        <f t="shared" si="211"/>
        <v>#DIV/0!</v>
      </c>
    </row>
    <row r="164" spans="30:126">
      <c r="AD164" s="49" t="s">
        <v>411</v>
      </c>
      <c r="AE164" s="49">
        <f t="shared" si="157"/>
        <v>0</v>
      </c>
      <c r="AF164" s="49">
        <f t="shared" si="158"/>
        <v>0</v>
      </c>
      <c r="AG164" s="114">
        <f t="shared" si="159"/>
        <v>0</v>
      </c>
      <c r="AH164" s="104">
        <f t="shared" si="160"/>
        <v>0</v>
      </c>
      <c r="AI164" s="104">
        <f t="shared" si="161"/>
        <v>0</v>
      </c>
      <c r="AJ164" s="104">
        <f t="shared" si="162"/>
        <v>0</v>
      </c>
      <c r="AK164" s="104">
        <f t="shared" si="163"/>
        <v>0</v>
      </c>
      <c r="AL164" s="104">
        <f t="shared" si="164"/>
        <v>0</v>
      </c>
      <c r="AM164" s="104">
        <f t="shared" si="165"/>
        <v>0</v>
      </c>
      <c r="AN164" s="104">
        <f t="shared" si="166"/>
        <v>0</v>
      </c>
      <c r="AO164" s="104">
        <f t="shared" si="167"/>
        <v>0</v>
      </c>
      <c r="AP164" s="104">
        <f t="shared" si="168"/>
        <v>0</v>
      </c>
      <c r="AQ164" s="49">
        <f t="shared" si="169"/>
        <v>0</v>
      </c>
      <c r="AR164" s="104">
        <f t="shared" si="170"/>
        <v>0</v>
      </c>
      <c r="AS164" s="104">
        <f t="shared" si="171"/>
        <v>0</v>
      </c>
      <c r="AT164" s="104">
        <f t="shared" si="172"/>
        <v>0</v>
      </c>
      <c r="AU164" s="104">
        <f t="shared" si="173"/>
        <v>0</v>
      </c>
      <c r="BF164" s="49">
        <f t="shared" si="174"/>
        <v>0</v>
      </c>
      <c r="BG164" s="49">
        <f t="shared" si="175"/>
        <v>0</v>
      </c>
      <c r="BH164" s="54" t="e">
        <f t="shared" si="176"/>
        <v>#DIV/0!</v>
      </c>
      <c r="BI164" s="112" t="e">
        <f t="shared" si="177"/>
        <v>#DIV/0!</v>
      </c>
      <c r="BK164" s="55" t="e">
        <f t="shared" si="178"/>
        <v>#DIV/0!</v>
      </c>
      <c r="BL164" s="55" t="e">
        <f t="shared" si="179"/>
        <v>#DIV/0!</v>
      </c>
      <c r="BM164" s="55" t="e">
        <f t="shared" si="180"/>
        <v>#DIV/0!</v>
      </c>
      <c r="BN164" s="53">
        <f t="shared" si="181"/>
        <v>0</v>
      </c>
      <c r="BO164" s="112" t="e">
        <f t="shared" si="182"/>
        <v>#DIV/0!</v>
      </c>
      <c r="BR164" s="53" t="e">
        <f t="shared" si="183"/>
        <v>#DIV/0!</v>
      </c>
      <c r="BS164" s="53">
        <f t="shared" si="184"/>
        <v>0</v>
      </c>
      <c r="BT164" s="53">
        <f t="shared" si="185"/>
        <v>0</v>
      </c>
      <c r="BU164" s="56" t="e">
        <f t="shared" si="186"/>
        <v>#DIV/0!</v>
      </c>
      <c r="BX164" s="60"/>
      <c r="BY164" s="60"/>
      <c r="BZ164" s="60"/>
      <c r="CA164" s="60"/>
      <c r="CB164" s="60"/>
      <c r="CC164" s="60"/>
      <c r="CD164" s="60"/>
      <c r="CE164" s="60"/>
      <c r="CF164" s="60"/>
      <c r="CG164" s="60"/>
      <c r="CH164" s="60"/>
      <c r="CI164" s="60"/>
      <c r="CJ164" s="60"/>
      <c r="CK164" s="60"/>
      <c r="CL164" s="60"/>
      <c r="CM164" s="60"/>
      <c r="CN164" s="60"/>
      <c r="CO164" s="60"/>
      <c r="CP164" s="60"/>
      <c r="CQ164" s="60"/>
      <c r="CR164" s="60"/>
      <c r="CS164" s="60"/>
      <c r="CT164" s="57">
        <f t="shared" si="187"/>
        <v>0</v>
      </c>
      <c r="CU164" s="57">
        <f t="shared" si="188"/>
        <v>0</v>
      </c>
      <c r="CV164" s="53">
        <f t="shared" si="189"/>
        <v>0</v>
      </c>
      <c r="CW164" s="53">
        <f t="shared" si="190"/>
        <v>0</v>
      </c>
      <c r="CX164" s="58" t="e">
        <f t="shared" si="191"/>
        <v>#DIV/0!</v>
      </c>
      <c r="CY164" s="53">
        <f t="shared" si="192"/>
        <v>0</v>
      </c>
      <c r="CZ164" s="53">
        <f t="shared" si="193"/>
        <v>0</v>
      </c>
      <c r="DA164" s="58" t="e">
        <f t="shared" si="194"/>
        <v>#DIV/0!</v>
      </c>
      <c r="DB164" s="48" t="e">
        <f t="shared" si="195"/>
        <v>#DIV/0!</v>
      </c>
      <c r="DC164" s="48" t="e">
        <f t="shared" si="196"/>
        <v>#DIV/0!</v>
      </c>
      <c r="DD164" s="48" t="e">
        <f t="shared" si="197"/>
        <v>#DIV/0!</v>
      </c>
      <c r="DE164" s="48" t="e">
        <f t="shared" si="198"/>
        <v>#DIV/0!</v>
      </c>
      <c r="DF164" s="48" t="e">
        <f t="shared" si="199"/>
        <v>#DIV/0!</v>
      </c>
      <c r="DG164" s="48" t="e">
        <f t="shared" si="200"/>
        <v>#DIV/0!</v>
      </c>
      <c r="DH164" s="48">
        <f>SUMIF(FCR!$BZ$4:$DB$500,DG164,FCR!$DE$4:$EG$500)</f>
        <v>0</v>
      </c>
      <c r="DI164" s="48" t="e">
        <f t="shared" si="201"/>
        <v>#DIV/0!</v>
      </c>
      <c r="DJ164" s="48">
        <f>SUMIF(FCR!$BZ$4:$DB$142,DI164,FCR!$DE$4:$EG$142)</f>
        <v>0</v>
      </c>
      <c r="DK164" s="48" t="e">
        <f t="shared" si="202"/>
        <v>#DIV/0!</v>
      </c>
      <c r="DL164" s="55" t="e">
        <f t="shared" si="203"/>
        <v>#DIV/0!</v>
      </c>
      <c r="DM164" s="48" t="e">
        <f t="shared" si="204"/>
        <v>#DIV/0!</v>
      </c>
      <c r="DN164" s="48">
        <f>SUMIF(FCR!$BZ$4:$DB$142,DM164,FCR!$DE$4:$EG$142)</f>
        <v>0</v>
      </c>
      <c r="DO164" s="53" t="e">
        <f t="shared" si="205"/>
        <v>#DIV/0!</v>
      </c>
      <c r="DP164" s="55" t="e">
        <f t="shared" si="206"/>
        <v>#DIV/0!</v>
      </c>
      <c r="DQ164" s="55" t="e">
        <f t="shared" si="207"/>
        <v>#DIV/0!</v>
      </c>
      <c r="DR164" s="55"/>
      <c r="DS164" s="55" t="e">
        <f t="shared" si="208"/>
        <v>#DIV/0!</v>
      </c>
      <c r="DT164" s="55" t="e">
        <f t="shared" si="209"/>
        <v>#DIV/0!</v>
      </c>
      <c r="DU164" s="53">
        <f t="shared" si="210"/>
        <v>0</v>
      </c>
      <c r="DV164" s="59" t="e">
        <f t="shared" si="211"/>
        <v>#DIV/0!</v>
      </c>
    </row>
    <row r="165" spans="30:126">
      <c r="AD165" s="49" t="s">
        <v>411</v>
      </c>
      <c r="AE165" s="49">
        <f t="shared" si="157"/>
        <v>0</v>
      </c>
      <c r="AF165" s="49">
        <f t="shared" si="158"/>
        <v>0</v>
      </c>
      <c r="AG165" s="114">
        <f t="shared" si="159"/>
        <v>0</v>
      </c>
      <c r="AH165" s="104">
        <f t="shared" si="160"/>
        <v>0</v>
      </c>
      <c r="AI165" s="104">
        <f t="shared" si="161"/>
        <v>0</v>
      </c>
      <c r="AJ165" s="104">
        <f t="shared" si="162"/>
        <v>0</v>
      </c>
      <c r="AK165" s="104">
        <f t="shared" si="163"/>
        <v>0</v>
      </c>
      <c r="AL165" s="104">
        <f t="shared" si="164"/>
        <v>0</v>
      </c>
      <c r="AM165" s="104">
        <f t="shared" si="165"/>
        <v>0</v>
      </c>
      <c r="AN165" s="104">
        <f t="shared" si="166"/>
        <v>0</v>
      </c>
      <c r="AO165" s="104">
        <f t="shared" si="167"/>
        <v>0</v>
      </c>
      <c r="AP165" s="104">
        <f t="shared" si="168"/>
        <v>0</v>
      </c>
      <c r="AQ165" s="49">
        <f t="shared" si="169"/>
        <v>0</v>
      </c>
      <c r="AR165" s="104">
        <f t="shared" si="170"/>
        <v>0</v>
      </c>
      <c r="AS165" s="104">
        <f t="shared" si="171"/>
        <v>0</v>
      </c>
      <c r="AT165" s="104">
        <f t="shared" si="172"/>
        <v>0</v>
      </c>
      <c r="AU165" s="104">
        <f t="shared" si="173"/>
        <v>0</v>
      </c>
      <c r="BF165" s="49">
        <f t="shared" si="174"/>
        <v>0</v>
      </c>
      <c r="BG165" s="49">
        <f t="shared" si="175"/>
        <v>0</v>
      </c>
      <c r="BH165" s="54" t="e">
        <f t="shared" si="176"/>
        <v>#DIV/0!</v>
      </c>
      <c r="BI165" s="112" t="e">
        <f t="shared" si="177"/>
        <v>#DIV/0!</v>
      </c>
      <c r="BK165" s="55" t="e">
        <f t="shared" si="178"/>
        <v>#DIV/0!</v>
      </c>
      <c r="BL165" s="55" t="e">
        <f t="shared" si="179"/>
        <v>#DIV/0!</v>
      </c>
      <c r="BM165" s="55" t="e">
        <f t="shared" si="180"/>
        <v>#DIV/0!</v>
      </c>
      <c r="BN165" s="53">
        <f t="shared" si="181"/>
        <v>0</v>
      </c>
      <c r="BO165" s="112" t="e">
        <f t="shared" si="182"/>
        <v>#DIV/0!</v>
      </c>
      <c r="BR165" s="53" t="e">
        <f t="shared" si="183"/>
        <v>#DIV/0!</v>
      </c>
      <c r="BS165" s="53">
        <f t="shared" si="184"/>
        <v>0</v>
      </c>
      <c r="BT165" s="53">
        <f t="shared" si="185"/>
        <v>0</v>
      </c>
      <c r="BU165" s="56" t="e">
        <f t="shared" si="186"/>
        <v>#DIV/0!</v>
      </c>
      <c r="BX165" s="60"/>
      <c r="BY165" s="60"/>
      <c r="BZ165" s="60"/>
      <c r="CA165" s="60"/>
      <c r="CB165" s="60"/>
      <c r="CC165" s="60"/>
      <c r="CD165" s="60"/>
      <c r="CE165" s="60"/>
      <c r="CF165" s="60"/>
      <c r="CG165" s="60"/>
      <c r="CH165" s="60"/>
      <c r="CI165" s="60"/>
      <c r="CJ165" s="60"/>
      <c r="CK165" s="60"/>
      <c r="CL165" s="60"/>
      <c r="CM165" s="60"/>
      <c r="CN165" s="60"/>
      <c r="CO165" s="60"/>
      <c r="CP165" s="60"/>
      <c r="CQ165" s="60"/>
      <c r="CR165" s="60"/>
      <c r="CS165" s="60"/>
      <c r="CT165" s="57">
        <f t="shared" si="187"/>
        <v>0</v>
      </c>
      <c r="CU165" s="57">
        <f t="shared" si="188"/>
        <v>0</v>
      </c>
      <c r="CV165" s="53">
        <f t="shared" si="189"/>
        <v>0</v>
      </c>
      <c r="CW165" s="53">
        <f t="shared" si="190"/>
        <v>0</v>
      </c>
      <c r="CX165" s="58" t="e">
        <f t="shared" si="191"/>
        <v>#DIV/0!</v>
      </c>
      <c r="CY165" s="53">
        <f t="shared" si="192"/>
        <v>0</v>
      </c>
      <c r="CZ165" s="53">
        <f t="shared" si="193"/>
        <v>0</v>
      </c>
      <c r="DA165" s="58" t="e">
        <f t="shared" si="194"/>
        <v>#DIV/0!</v>
      </c>
      <c r="DB165" s="48" t="e">
        <f t="shared" si="195"/>
        <v>#DIV/0!</v>
      </c>
      <c r="DC165" s="48" t="e">
        <f t="shared" si="196"/>
        <v>#DIV/0!</v>
      </c>
      <c r="DD165" s="48" t="e">
        <f t="shared" si="197"/>
        <v>#DIV/0!</v>
      </c>
      <c r="DE165" s="48" t="e">
        <f t="shared" si="198"/>
        <v>#DIV/0!</v>
      </c>
      <c r="DF165" s="48" t="e">
        <f t="shared" si="199"/>
        <v>#DIV/0!</v>
      </c>
      <c r="DG165" s="48" t="e">
        <f t="shared" si="200"/>
        <v>#DIV/0!</v>
      </c>
      <c r="DH165" s="48">
        <f>SUMIF(FCR!$BZ$4:$DB$500,DG165,FCR!$DE$4:$EG$500)</f>
        <v>0</v>
      </c>
      <c r="DI165" s="48" t="e">
        <f t="shared" si="201"/>
        <v>#DIV/0!</v>
      </c>
      <c r="DJ165" s="48">
        <f>SUMIF(FCR!$BZ$4:$DB$142,DI165,FCR!$DE$4:$EG$142)</f>
        <v>0</v>
      </c>
      <c r="DK165" s="48" t="e">
        <f t="shared" si="202"/>
        <v>#DIV/0!</v>
      </c>
      <c r="DL165" s="55" t="e">
        <f t="shared" si="203"/>
        <v>#DIV/0!</v>
      </c>
      <c r="DM165" s="48" t="e">
        <f t="shared" si="204"/>
        <v>#DIV/0!</v>
      </c>
      <c r="DN165" s="48">
        <f>SUMIF(FCR!$BZ$4:$DB$142,DM165,FCR!$DE$4:$EG$142)</f>
        <v>0</v>
      </c>
      <c r="DO165" s="53" t="e">
        <f t="shared" si="205"/>
        <v>#DIV/0!</v>
      </c>
      <c r="DP165" s="55" t="e">
        <f t="shared" si="206"/>
        <v>#DIV/0!</v>
      </c>
      <c r="DQ165" s="55" t="e">
        <f t="shared" si="207"/>
        <v>#DIV/0!</v>
      </c>
      <c r="DR165" s="55"/>
      <c r="DS165" s="55" t="e">
        <f t="shared" si="208"/>
        <v>#DIV/0!</v>
      </c>
      <c r="DT165" s="55" t="e">
        <f t="shared" si="209"/>
        <v>#DIV/0!</v>
      </c>
      <c r="DU165" s="53">
        <f t="shared" si="210"/>
        <v>0</v>
      </c>
      <c r="DV165" s="59" t="e">
        <f t="shared" si="211"/>
        <v>#DIV/0!</v>
      </c>
    </row>
    <row r="166" spans="30:126">
      <c r="AD166" s="49" t="s">
        <v>411</v>
      </c>
      <c r="AE166" s="49">
        <f t="shared" si="157"/>
        <v>0</v>
      </c>
      <c r="AF166" s="49">
        <f t="shared" si="158"/>
        <v>0</v>
      </c>
      <c r="AG166" s="114">
        <f t="shared" si="159"/>
        <v>0</v>
      </c>
      <c r="AH166" s="104">
        <f t="shared" si="160"/>
        <v>0</v>
      </c>
      <c r="AI166" s="104">
        <f t="shared" si="161"/>
        <v>0</v>
      </c>
      <c r="AJ166" s="104">
        <f t="shared" si="162"/>
        <v>0</v>
      </c>
      <c r="AK166" s="104">
        <f t="shared" si="163"/>
        <v>0</v>
      </c>
      <c r="AL166" s="104">
        <f t="shared" si="164"/>
        <v>0</v>
      </c>
      <c r="AM166" s="104">
        <f t="shared" si="165"/>
        <v>0</v>
      </c>
      <c r="AN166" s="104">
        <f t="shared" si="166"/>
        <v>0</v>
      </c>
      <c r="AO166" s="104">
        <f t="shared" si="167"/>
        <v>0</v>
      </c>
      <c r="AP166" s="104">
        <f t="shared" si="168"/>
        <v>0</v>
      </c>
      <c r="AQ166" s="49">
        <f t="shared" si="169"/>
        <v>0</v>
      </c>
      <c r="AR166" s="104">
        <f t="shared" si="170"/>
        <v>0</v>
      </c>
      <c r="AS166" s="104">
        <f t="shared" si="171"/>
        <v>0</v>
      </c>
      <c r="AT166" s="104">
        <f t="shared" si="172"/>
        <v>0</v>
      </c>
      <c r="AU166" s="104">
        <f t="shared" si="173"/>
        <v>0</v>
      </c>
      <c r="BF166" s="49">
        <f t="shared" si="174"/>
        <v>0</v>
      </c>
      <c r="BG166" s="49">
        <f t="shared" si="175"/>
        <v>0</v>
      </c>
      <c r="BH166" s="54" t="e">
        <f t="shared" si="176"/>
        <v>#DIV/0!</v>
      </c>
      <c r="BI166" s="112" t="e">
        <f t="shared" si="177"/>
        <v>#DIV/0!</v>
      </c>
      <c r="BK166" s="55" t="e">
        <f t="shared" si="178"/>
        <v>#DIV/0!</v>
      </c>
      <c r="BL166" s="55" t="e">
        <f t="shared" si="179"/>
        <v>#DIV/0!</v>
      </c>
      <c r="BM166" s="55" t="e">
        <f t="shared" si="180"/>
        <v>#DIV/0!</v>
      </c>
      <c r="BN166" s="53">
        <f t="shared" si="181"/>
        <v>0</v>
      </c>
      <c r="BO166" s="112" t="e">
        <f t="shared" si="182"/>
        <v>#DIV/0!</v>
      </c>
      <c r="BR166" s="53" t="e">
        <f t="shared" si="183"/>
        <v>#DIV/0!</v>
      </c>
      <c r="BS166" s="53">
        <f t="shared" si="184"/>
        <v>0</v>
      </c>
      <c r="BT166" s="53">
        <f t="shared" si="185"/>
        <v>0</v>
      </c>
      <c r="BU166" s="56" t="e">
        <f t="shared" si="186"/>
        <v>#DIV/0!</v>
      </c>
      <c r="BX166" s="60"/>
      <c r="BY166" s="60"/>
      <c r="BZ166" s="60"/>
      <c r="CA166" s="60"/>
      <c r="CB166" s="60"/>
      <c r="CC166" s="60"/>
      <c r="CD166" s="60"/>
      <c r="CE166" s="60"/>
      <c r="CF166" s="60"/>
      <c r="CG166" s="60"/>
      <c r="CH166" s="60"/>
      <c r="CI166" s="60"/>
      <c r="CJ166" s="60"/>
      <c r="CK166" s="60"/>
      <c r="CL166" s="60"/>
      <c r="CM166" s="60"/>
      <c r="CN166" s="60"/>
      <c r="CO166" s="60"/>
      <c r="CP166" s="60"/>
      <c r="CQ166" s="60"/>
      <c r="CR166" s="60"/>
      <c r="CS166" s="60"/>
      <c r="CT166" s="57">
        <f t="shared" si="187"/>
        <v>0</v>
      </c>
      <c r="CU166" s="57">
        <f t="shared" si="188"/>
        <v>0</v>
      </c>
      <c r="CV166" s="53">
        <f t="shared" si="189"/>
        <v>0</v>
      </c>
      <c r="CW166" s="53">
        <f t="shared" si="190"/>
        <v>0</v>
      </c>
      <c r="CX166" s="58" t="e">
        <f t="shared" si="191"/>
        <v>#DIV/0!</v>
      </c>
      <c r="CY166" s="53">
        <f t="shared" si="192"/>
        <v>0</v>
      </c>
      <c r="CZ166" s="53">
        <f t="shared" si="193"/>
        <v>0</v>
      </c>
      <c r="DA166" s="58" t="e">
        <f t="shared" si="194"/>
        <v>#DIV/0!</v>
      </c>
      <c r="DB166" s="48" t="e">
        <f t="shared" si="195"/>
        <v>#DIV/0!</v>
      </c>
      <c r="DC166" s="48" t="e">
        <f t="shared" si="196"/>
        <v>#DIV/0!</v>
      </c>
      <c r="DD166" s="48" t="e">
        <f t="shared" si="197"/>
        <v>#DIV/0!</v>
      </c>
      <c r="DE166" s="48" t="e">
        <f t="shared" si="198"/>
        <v>#DIV/0!</v>
      </c>
      <c r="DF166" s="48" t="e">
        <f t="shared" si="199"/>
        <v>#DIV/0!</v>
      </c>
      <c r="DG166" s="48" t="e">
        <f t="shared" si="200"/>
        <v>#DIV/0!</v>
      </c>
      <c r="DH166" s="48">
        <f>SUMIF(FCR!$BZ$4:$DB$500,DG166,FCR!$DE$4:$EG$500)</f>
        <v>0</v>
      </c>
      <c r="DI166" s="48" t="e">
        <f t="shared" si="201"/>
        <v>#DIV/0!</v>
      </c>
      <c r="DJ166" s="48">
        <f>SUMIF(FCR!$BZ$4:$DB$142,DI166,FCR!$DE$4:$EG$142)</f>
        <v>0</v>
      </c>
      <c r="DK166" s="48" t="e">
        <f t="shared" si="202"/>
        <v>#DIV/0!</v>
      </c>
      <c r="DL166" s="55" t="e">
        <f t="shared" si="203"/>
        <v>#DIV/0!</v>
      </c>
      <c r="DM166" s="48" t="e">
        <f t="shared" si="204"/>
        <v>#DIV/0!</v>
      </c>
      <c r="DN166" s="48">
        <f>SUMIF(FCR!$BZ$4:$DB$142,DM166,FCR!$DE$4:$EG$142)</f>
        <v>0</v>
      </c>
      <c r="DO166" s="53" t="e">
        <f t="shared" si="205"/>
        <v>#DIV/0!</v>
      </c>
      <c r="DP166" s="55" t="e">
        <f t="shared" si="206"/>
        <v>#DIV/0!</v>
      </c>
      <c r="DQ166" s="55" t="e">
        <f t="shared" si="207"/>
        <v>#DIV/0!</v>
      </c>
      <c r="DR166" s="55"/>
      <c r="DS166" s="55" t="e">
        <f t="shared" si="208"/>
        <v>#DIV/0!</v>
      </c>
      <c r="DT166" s="55" t="e">
        <f t="shared" si="209"/>
        <v>#DIV/0!</v>
      </c>
      <c r="DU166" s="53">
        <f t="shared" si="210"/>
        <v>0</v>
      </c>
      <c r="DV166" s="59" t="e">
        <f t="shared" si="211"/>
        <v>#DIV/0!</v>
      </c>
    </row>
    <row r="167" spans="30:126">
      <c r="AD167" s="49" t="s">
        <v>411</v>
      </c>
      <c r="AE167" s="49">
        <f t="shared" si="157"/>
        <v>0</v>
      </c>
      <c r="AF167" s="49">
        <f t="shared" si="158"/>
        <v>0</v>
      </c>
      <c r="AG167" s="114">
        <f t="shared" si="159"/>
        <v>0</v>
      </c>
      <c r="AH167" s="104">
        <f t="shared" si="160"/>
        <v>0</v>
      </c>
      <c r="AI167" s="104">
        <f t="shared" si="161"/>
        <v>0</v>
      </c>
      <c r="AJ167" s="104">
        <f t="shared" si="162"/>
        <v>0</v>
      </c>
      <c r="AK167" s="104">
        <f t="shared" si="163"/>
        <v>0</v>
      </c>
      <c r="AL167" s="104">
        <f t="shared" si="164"/>
        <v>0</v>
      </c>
      <c r="AM167" s="104">
        <f t="shared" si="165"/>
        <v>0</v>
      </c>
      <c r="AN167" s="104">
        <f t="shared" si="166"/>
        <v>0</v>
      </c>
      <c r="AO167" s="104">
        <f t="shared" si="167"/>
        <v>0</v>
      </c>
      <c r="AP167" s="104">
        <f t="shared" si="168"/>
        <v>0</v>
      </c>
      <c r="AQ167" s="49">
        <f t="shared" si="169"/>
        <v>0</v>
      </c>
      <c r="AR167" s="104">
        <f t="shared" si="170"/>
        <v>0</v>
      </c>
      <c r="AS167" s="104">
        <f t="shared" si="171"/>
        <v>0</v>
      </c>
      <c r="AT167" s="104">
        <f t="shared" si="172"/>
        <v>0</v>
      </c>
      <c r="AU167" s="104">
        <f t="shared" si="173"/>
        <v>0</v>
      </c>
      <c r="BF167" s="49">
        <f t="shared" si="174"/>
        <v>0</v>
      </c>
      <c r="BG167" s="49">
        <f t="shared" si="175"/>
        <v>0</v>
      </c>
      <c r="BH167" s="54" t="e">
        <f t="shared" si="176"/>
        <v>#DIV/0!</v>
      </c>
      <c r="BI167" s="112" t="e">
        <f t="shared" si="177"/>
        <v>#DIV/0!</v>
      </c>
      <c r="BK167" s="55" t="e">
        <f t="shared" si="178"/>
        <v>#DIV/0!</v>
      </c>
      <c r="BL167" s="55" t="e">
        <f t="shared" si="179"/>
        <v>#DIV/0!</v>
      </c>
      <c r="BM167" s="55" t="e">
        <f t="shared" si="180"/>
        <v>#DIV/0!</v>
      </c>
      <c r="BN167" s="53">
        <f t="shared" si="181"/>
        <v>0</v>
      </c>
      <c r="BO167" s="112" t="e">
        <f t="shared" si="182"/>
        <v>#DIV/0!</v>
      </c>
      <c r="BR167" s="53" t="e">
        <f t="shared" si="183"/>
        <v>#DIV/0!</v>
      </c>
      <c r="BS167" s="53">
        <f t="shared" si="184"/>
        <v>0</v>
      </c>
      <c r="BT167" s="53">
        <f t="shared" si="185"/>
        <v>0</v>
      </c>
      <c r="BU167" s="56" t="e">
        <f t="shared" si="186"/>
        <v>#DIV/0!</v>
      </c>
      <c r="BX167" s="60"/>
      <c r="BY167" s="60"/>
      <c r="BZ167" s="60"/>
      <c r="CA167" s="60"/>
      <c r="CB167" s="60"/>
      <c r="CC167" s="60"/>
      <c r="CD167" s="60"/>
      <c r="CE167" s="60"/>
      <c r="CF167" s="60"/>
      <c r="CG167" s="60"/>
      <c r="CH167" s="60"/>
      <c r="CI167" s="60"/>
      <c r="CJ167" s="60"/>
      <c r="CK167" s="60"/>
      <c r="CL167" s="60"/>
      <c r="CM167" s="60"/>
      <c r="CN167" s="60"/>
      <c r="CO167" s="60"/>
      <c r="CP167" s="60"/>
      <c r="CQ167" s="60"/>
      <c r="CR167" s="60"/>
      <c r="CS167" s="60"/>
      <c r="CT167" s="57">
        <f t="shared" si="187"/>
        <v>0</v>
      </c>
      <c r="CU167" s="57">
        <f t="shared" si="188"/>
        <v>0</v>
      </c>
      <c r="CV167" s="53">
        <f t="shared" si="189"/>
        <v>0</v>
      </c>
      <c r="CW167" s="53">
        <f t="shared" si="190"/>
        <v>0</v>
      </c>
      <c r="CX167" s="58" t="e">
        <f t="shared" si="191"/>
        <v>#DIV/0!</v>
      </c>
      <c r="CY167" s="53">
        <f t="shared" si="192"/>
        <v>0</v>
      </c>
      <c r="CZ167" s="53">
        <f t="shared" si="193"/>
        <v>0</v>
      </c>
      <c r="DA167" s="58" t="e">
        <f t="shared" si="194"/>
        <v>#DIV/0!</v>
      </c>
      <c r="DB167" s="48" t="e">
        <f t="shared" si="195"/>
        <v>#DIV/0!</v>
      </c>
      <c r="DC167" s="48" t="e">
        <f t="shared" si="196"/>
        <v>#DIV/0!</v>
      </c>
      <c r="DD167" s="48" t="e">
        <f t="shared" si="197"/>
        <v>#DIV/0!</v>
      </c>
      <c r="DE167" s="48" t="e">
        <f t="shared" si="198"/>
        <v>#DIV/0!</v>
      </c>
      <c r="DF167" s="48" t="e">
        <f t="shared" si="199"/>
        <v>#DIV/0!</v>
      </c>
      <c r="DG167" s="48" t="e">
        <f t="shared" si="200"/>
        <v>#DIV/0!</v>
      </c>
      <c r="DH167" s="48">
        <f>SUMIF(FCR!$BZ$4:$DB$500,DG167,FCR!$DE$4:$EG$500)</f>
        <v>0</v>
      </c>
      <c r="DI167" s="48" t="e">
        <f t="shared" si="201"/>
        <v>#DIV/0!</v>
      </c>
      <c r="DJ167" s="48">
        <f>SUMIF(FCR!$BZ$4:$DB$142,DI167,FCR!$DE$4:$EG$142)</f>
        <v>0</v>
      </c>
      <c r="DK167" s="48" t="e">
        <f t="shared" si="202"/>
        <v>#DIV/0!</v>
      </c>
      <c r="DL167" s="55" t="e">
        <f t="shared" si="203"/>
        <v>#DIV/0!</v>
      </c>
      <c r="DM167" s="48" t="e">
        <f t="shared" si="204"/>
        <v>#DIV/0!</v>
      </c>
      <c r="DN167" s="48">
        <f>SUMIF(FCR!$BZ$4:$DB$142,DM167,FCR!$DE$4:$EG$142)</f>
        <v>0</v>
      </c>
      <c r="DO167" s="53" t="e">
        <f t="shared" si="205"/>
        <v>#DIV/0!</v>
      </c>
      <c r="DP167" s="55" t="e">
        <f t="shared" si="206"/>
        <v>#DIV/0!</v>
      </c>
      <c r="DQ167" s="55" t="e">
        <f t="shared" si="207"/>
        <v>#DIV/0!</v>
      </c>
      <c r="DR167" s="55"/>
      <c r="DS167" s="55" t="e">
        <f t="shared" si="208"/>
        <v>#DIV/0!</v>
      </c>
      <c r="DT167" s="55" t="e">
        <f t="shared" si="209"/>
        <v>#DIV/0!</v>
      </c>
      <c r="DU167" s="53">
        <f t="shared" si="210"/>
        <v>0</v>
      </c>
      <c r="DV167" s="59" t="e">
        <f t="shared" si="211"/>
        <v>#DIV/0!</v>
      </c>
    </row>
    <row r="168" spans="30:126">
      <c r="AD168" s="49" t="s">
        <v>411</v>
      </c>
      <c r="AE168" s="49">
        <f t="shared" si="157"/>
        <v>0</v>
      </c>
      <c r="AF168" s="49">
        <f t="shared" si="158"/>
        <v>0</v>
      </c>
      <c r="AG168" s="114">
        <f t="shared" si="159"/>
        <v>0</v>
      </c>
      <c r="AH168" s="104">
        <f t="shared" si="160"/>
        <v>0</v>
      </c>
      <c r="AI168" s="104">
        <f t="shared" si="161"/>
        <v>0</v>
      </c>
      <c r="AJ168" s="104">
        <f t="shared" si="162"/>
        <v>0</v>
      </c>
      <c r="AK168" s="104">
        <f t="shared" si="163"/>
        <v>0</v>
      </c>
      <c r="AL168" s="104">
        <f t="shared" si="164"/>
        <v>0</v>
      </c>
      <c r="AM168" s="104">
        <f t="shared" si="165"/>
        <v>0</v>
      </c>
      <c r="AN168" s="104">
        <f t="shared" si="166"/>
        <v>0</v>
      </c>
      <c r="AO168" s="104">
        <f t="shared" si="167"/>
        <v>0</v>
      </c>
      <c r="AP168" s="104">
        <f t="shared" si="168"/>
        <v>0</v>
      </c>
      <c r="AQ168" s="49">
        <f t="shared" si="169"/>
        <v>0</v>
      </c>
      <c r="AR168" s="104">
        <f t="shared" si="170"/>
        <v>0</v>
      </c>
      <c r="AS168" s="104">
        <f t="shared" si="171"/>
        <v>0</v>
      </c>
      <c r="AT168" s="104">
        <f t="shared" si="172"/>
        <v>0</v>
      </c>
      <c r="AU168" s="104">
        <f t="shared" si="173"/>
        <v>0</v>
      </c>
      <c r="BF168" s="49">
        <f t="shared" si="174"/>
        <v>0</v>
      </c>
      <c r="BG168" s="49">
        <f t="shared" si="175"/>
        <v>0</v>
      </c>
      <c r="BH168" s="54" t="e">
        <f t="shared" si="176"/>
        <v>#DIV/0!</v>
      </c>
      <c r="BI168" s="112" t="e">
        <f t="shared" si="177"/>
        <v>#DIV/0!</v>
      </c>
      <c r="BK168" s="55" t="e">
        <f t="shared" si="178"/>
        <v>#DIV/0!</v>
      </c>
      <c r="BL168" s="55" t="e">
        <f t="shared" si="179"/>
        <v>#DIV/0!</v>
      </c>
      <c r="BM168" s="55" t="e">
        <f t="shared" si="180"/>
        <v>#DIV/0!</v>
      </c>
      <c r="BN168" s="53">
        <f t="shared" si="181"/>
        <v>0</v>
      </c>
      <c r="BO168" s="112" t="e">
        <f t="shared" si="182"/>
        <v>#DIV/0!</v>
      </c>
      <c r="BR168" s="53" t="e">
        <f t="shared" si="183"/>
        <v>#DIV/0!</v>
      </c>
      <c r="BS168" s="53">
        <f t="shared" si="184"/>
        <v>0</v>
      </c>
      <c r="BT168" s="53">
        <f t="shared" si="185"/>
        <v>0</v>
      </c>
      <c r="BU168" s="56" t="e">
        <f t="shared" si="186"/>
        <v>#DIV/0!</v>
      </c>
      <c r="BX168" s="60"/>
      <c r="BY168" s="60"/>
      <c r="BZ168" s="60"/>
      <c r="CA168" s="60"/>
      <c r="CB168" s="60"/>
      <c r="CC168" s="60"/>
      <c r="CD168" s="60"/>
      <c r="CE168" s="60"/>
      <c r="CF168" s="60"/>
      <c r="CG168" s="60"/>
      <c r="CH168" s="60"/>
      <c r="CI168" s="60"/>
      <c r="CJ168" s="60"/>
      <c r="CK168" s="60"/>
      <c r="CL168" s="60"/>
      <c r="CM168" s="60"/>
      <c r="CN168" s="60"/>
      <c r="CO168" s="60"/>
      <c r="CP168" s="60"/>
      <c r="CQ168" s="60"/>
      <c r="CR168" s="60"/>
      <c r="CS168" s="60"/>
      <c r="CT168" s="57">
        <f t="shared" si="187"/>
        <v>0</v>
      </c>
      <c r="CU168" s="57">
        <f t="shared" si="188"/>
        <v>0</v>
      </c>
      <c r="CV168" s="53">
        <f t="shared" si="189"/>
        <v>0</v>
      </c>
      <c r="CW168" s="53">
        <f t="shared" si="190"/>
        <v>0</v>
      </c>
      <c r="CX168" s="58" t="e">
        <f t="shared" si="191"/>
        <v>#DIV/0!</v>
      </c>
      <c r="CY168" s="53">
        <f t="shared" si="192"/>
        <v>0</v>
      </c>
      <c r="CZ168" s="53">
        <f t="shared" si="193"/>
        <v>0</v>
      </c>
      <c r="DA168" s="58" t="e">
        <f t="shared" si="194"/>
        <v>#DIV/0!</v>
      </c>
      <c r="DB168" s="48" t="e">
        <f t="shared" si="195"/>
        <v>#DIV/0!</v>
      </c>
      <c r="DC168" s="48" t="e">
        <f t="shared" si="196"/>
        <v>#DIV/0!</v>
      </c>
      <c r="DD168" s="48" t="e">
        <f t="shared" si="197"/>
        <v>#DIV/0!</v>
      </c>
      <c r="DE168" s="48" t="e">
        <f t="shared" si="198"/>
        <v>#DIV/0!</v>
      </c>
      <c r="DF168" s="48" t="e">
        <f t="shared" si="199"/>
        <v>#DIV/0!</v>
      </c>
      <c r="DG168" s="48" t="e">
        <f t="shared" si="200"/>
        <v>#DIV/0!</v>
      </c>
      <c r="DH168" s="48">
        <f>SUMIF(FCR!$BZ$4:$DB$500,DG168,FCR!$DE$4:$EG$500)</f>
        <v>0</v>
      </c>
      <c r="DI168" s="48" t="e">
        <f t="shared" si="201"/>
        <v>#DIV/0!</v>
      </c>
      <c r="DJ168" s="48">
        <f>SUMIF(FCR!$BZ$4:$DB$142,DI168,FCR!$DE$4:$EG$142)</f>
        <v>0</v>
      </c>
      <c r="DK168" s="48" t="e">
        <f t="shared" si="202"/>
        <v>#DIV/0!</v>
      </c>
      <c r="DL168" s="55" t="e">
        <f t="shared" si="203"/>
        <v>#DIV/0!</v>
      </c>
      <c r="DM168" s="48" t="e">
        <f t="shared" si="204"/>
        <v>#DIV/0!</v>
      </c>
      <c r="DN168" s="48">
        <f>SUMIF(FCR!$BZ$4:$DB$142,DM168,FCR!$DE$4:$EG$142)</f>
        <v>0</v>
      </c>
      <c r="DO168" s="53" t="e">
        <f t="shared" si="205"/>
        <v>#DIV/0!</v>
      </c>
      <c r="DP168" s="55" t="e">
        <f t="shared" si="206"/>
        <v>#DIV/0!</v>
      </c>
      <c r="DQ168" s="55" t="e">
        <f t="shared" si="207"/>
        <v>#DIV/0!</v>
      </c>
      <c r="DR168" s="55"/>
      <c r="DS168" s="55" t="e">
        <f t="shared" si="208"/>
        <v>#DIV/0!</v>
      </c>
      <c r="DT168" s="55" t="e">
        <f t="shared" si="209"/>
        <v>#DIV/0!</v>
      </c>
      <c r="DU168" s="53">
        <f t="shared" si="210"/>
        <v>0</v>
      </c>
      <c r="DV168" s="59" t="e">
        <f t="shared" si="211"/>
        <v>#DIV/0!</v>
      </c>
    </row>
    <row r="169" spans="30:126">
      <c r="AD169" s="49" t="s">
        <v>411</v>
      </c>
      <c r="AE169" s="49">
        <f t="shared" si="157"/>
        <v>0</v>
      </c>
      <c r="AF169" s="49">
        <f t="shared" si="158"/>
        <v>0</v>
      </c>
      <c r="AG169" s="114">
        <f t="shared" si="159"/>
        <v>0</v>
      </c>
      <c r="AH169" s="104">
        <f t="shared" si="160"/>
        <v>0</v>
      </c>
      <c r="AI169" s="104">
        <f t="shared" si="161"/>
        <v>0</v>
      </c>
      <c r="AJ169" s="104">
        <f t="shared" si="162"/>
        <v>0</v>
      </c>
      <c r="AK169" s="104">
        <f t="shared" si="163"/>
        <v>0</v>
      </c>
      <c r="AL169" s="104">
        <f t="shared" si="164"/>
        <v>0</v>
      </c>
      <c r="AM169" s="104">
        <f t="shared" si="165"/>
        <v>0</v>
      </c>
      <c r="AN169" s="104">
        <f t="shared" si="166"/>
        <v>0</v>
      </c>
      <c r="AO169" s="104">
        <f t="shared" si="167"/>
        <v>0</v>
      </c>
      <c r="AP169" s="104">
        <f t="shared" si="168"/>
        <v>0</v>
      </c>
      <c r="AQ169" s="49">
        <f t="shared" si="169"/>
        <v>0</v>
      </c>
      <c r="AR169" s="104">
        <f t="shared" si="170"/>
        <v>0</v>
      </c>
      <c r="AS169" s="104">
        <f t="shared" si="171"/>
        <v>0</v>
      </c>
      <c r="AT169" s="104">
        <f t="shared" si="172"/>
        <v>0</v>
      </c>
      <c r="AU169" s="104">
        <f t="shared" si="173"/>
        <v>0</v>
      </c>
      <c r="BF169" s="49">
        <f t="shared" si="174"/>
        <v>0</v>
      </c>
      <c r="BG169" s="49">
        <f t="shared" si="175"/>
        <v>0</v>
      </c>
      <c r="BH169" s="54" t="e">
        <f t="shared" si="176"/>
        <v>#DIV/0!</v>
      </c>
      <c r="BI169" s="112" t="e">
        <f t="shared" si="177"/>
        <v>#DIV/0!</v>
      </c>
      <c r="BK169" s="55" t="e">
        <f t="shared" si="178"/>
        <v>#DIV/0!</v>
      </c>
      <c r="BL169" s="55" t="e">
        <f t="shared" si="179"/>
        <v>#DIV/0!</v>
      </c>
      <c r="BM169" s="55" t="e">
        <f t="shared" si="180"/>
        <v>#DIV/0!</v>
      </c>
      <c r="BN169" s="53">
        <f t="shared" si="181"/>
        <v>0</v>
      </c>
      <c r="BO169" s="112" t="e">
        <f t="shared" si="182"/>
        <v>#DIV/0!</v>
      </c>
      <c r="BR169" s="53" t="e">
        <f t="shared" si="183"/>
        <v>#DIV/0!</v>
      </c>
      <c r="BS169" s="53">
        <f t="shared" si="184"/>
        <v>0</v>
      </c>
      <c r="BT169" s="53">
        <f t="shared" si="185"/>
        <v>0</v>
      </c>
      <c r="BU169" s="56" t="e">
        <f t="shared" si="186"/>
        <v>#DIV/0!</v>
      </c>
      <c r="BX169" s="60"/>
      <c r="BY169" s="60"/>
      <c r="BZ169" s="60"/>
      <c r="CA169" s="60"/>
      <c r="CB169" s="60"/>
      <c r="CC169" s="60"/>
      <c r="CD169" s="60"/>
      <c r="CE169" s="60"/>
      <c r="CF169" s="60"/>
      <c r="CG169" s="60"/>
      <c r="CH169" s="60"/>
      <c r="CI169" s="60"/>
      <c r="CJ169" s="60"/>
      <c r="CK169" s="60"/>
      <c r="CL169" s="60"/>
      <c r="CM169" s="60"/>
      <c r="CN169" s="60"/>
      <c r="CO169" s="60"/>
      <c r="CP169" s="60"/>
      <c r="CQ169" s="60"/>
      <c r="CR169" s="60"/>
      <c r="CS169" s="60"/>
      <c r="CT169" s="57">
        <f t="shared" si="187"/>
        <v>0</v>
      </c>
      <c r="CU169" s="57">
        <f t="shared" si="188"/>
        <v>0</v>
      </c>
      <c r="CV169" s="53">
        <f t="shared" si="189"/>
        <v>0</v>
      </c>
      <c r="CW169" s="53">
        <f t="shared" si="190"/>
        <v>0</v>
      </c>
      <c r="CX169" s="58" t="e">
        <f t="shared" si="191"/>
        <v>#DIV/0!</v>
      </c>
      <c r="CY169" s="53">
        <f t="shared" si="192"/>
        <v>0</v>
      </c>
      <c r="CZ169" s="53">
        <f t="shared" si="193"/>
        <v>0</v>
      </c>
      <c r="DA169" s="58" t="e">
        <f t="shared" si="194"/>
        <v>#DIV/0!</v>
      </c>
      <c r="DB169" s="48" t="e">
        <f t="shared" si="195"/>
        <v>#DIV/0!</v>
      </c>
      <c r="DC169" s="48" t="e">
        <f t="shared" si="196"/>
        <v>#DIV/0!</v>
      </c>
      <c r="DD169" s="48" t="e">
        <f t="shared" si="197"/>
        <v>#DIV/0!</v>
      </c>
      <c r="DE169" s="48" t="e">
        <f t="shared" si="198"/>
        <v>#DIV/0!</v>
      </c>
      <c r="DF169" s="48" t="e">
        <f t="shared" si="199"/>
        <v>#DIV/0!</v>
      </c>
      <c r="DG169" s="48" t="e">
        <f t="shared" si="200"/>
        <v>#DIV/0!</v>
      </c>
      <c r="DH169" s="48">
        <f>SUMIF(FCR!$BZ$4:$DB$500,DG169,FCR!$DE$4:$EG$500)</f>
        <v>0</v>
      </c>
      <c r="DI169" s="48" t="e">
        <f t="shared" si="201"/>
        <v>#DIV/0!</v>
      </c>
      <c r="DJ169" s="48">
        <f>SUMIF(FCR!$BZ$4:$DB$142,DI169,FCR!$DE$4:$EG$142)</f>
        <v>0</v>
      </c>
      <c r="DK169" s="48" t="e">
        <f t="shared" si="202"/>
        <v>#DIV/0!</v>
      </c>
      <c r="DL169" s="55" t="e">
        <f t="shared" si="203"/>
        <v>#DIV/0!</v>
      </c>
      <c r="DM169" s="48" t="e">
        <f t="shared" si="204"/>
        <v>#DIV/0!</v>
      </c>
      <c r="DN169" s="48">
        <f>SUMIF(FCR!$BZ$4:$DB$142,DM169,FCR!$DE$4:$EG$142)</f>
        <v>0</v>
      </c>
      <c r="DO169" s="53" t="e">
        <f t="shared" si="205"/>
        <v>#DIV/0!</v>
      </c>
      <c r="DP169" s="55" t="e">
        <f t="shared" si="206"/>
        <v>#DIV/0!</v>
      </c>
      <c r="DQ169" s="55" t="e">
        <f t="shared" si="207"/>
        <v>#DIV/0!</v>
      </c>
      <c r="DR169" s="55"/>
      <c r="DS169" s="55" t="e">
        <f t="shared" si="208"/>
        <v>#DIV/0!</v>
      </c>
      <c r="DT169" s="55" t="e">
        <f t="shared" si="209"/>
        <v>#DIV/0!</v>
      </c>
      <c r="DU169" s="53">
        <f t="shared" si="210"/>
        <v>0</v>
      </c>
      <c r="DV169" s="59" t="e">
        <f t="shared" si="211"/>
        <v>#DIV/0!</v>
      </c>
    </row>
    <row r="170" spans="30:126">
      <c r="AD170" s="49" t="s">
        <v>411</v>
      </c>
      <c r="AE170" s="49">
        <f t="shared" si="157"/>
        <v>0</v>
      </c>
      <c r="AF170" s="49">
        <f t="shared" si="158"/>
        <v>0</v>
      </c>
      <c r="AG170" s="114">
        <f t="shared" si="159"/>
        <v>0</v>
      </c>
      <c r="AH170" s="104">
        <f t="shared" si="160"/>
        <v>0</v>
      </c>
      <c r="AI170" s="104">
        <f t="shared" si="161"/>
        <v>0</v>
      </c>
      <c r="AJ170" s="104">
        <f t="shared" si="162"/>
        <v>0</v>
      </c>
      <c r="AK170" s="104">
        <f t="shared" si="163"/>
        <v>0</v>
      </c>
      <c r="AL170" s="104">
        <f t="shared" si="164"/>
        <v>0</v>
      </c>
      <c r="AM170" s="104">
        <f t="shared" si="165"/>
        <v>0</v>
      </c>
      <c r="AN170" s="104">
        <f t="shared" si="166"/>
        <v>0</v>
      </c>
      <c r="AO170" s="104">
        <f t="shared" si="167"/>
        <v>0</v>
      </c>
      <c r="AP170" s="104">
        <f t="shared" si="168"/>
        <v>0</v>
      </c>
      <c r="AQ170" s="49">
        <f t="shared" si="169"/>
        <v>0</v>
      </c>
      <c r="AR170" s="104">
        <f t="shared" si="170"/>
        <v>0</v>
      </c>
      <c r="AS170" s="104">
        <f t="shared" si="171"/>
        <v>0</v>
      </c>
      <c r="AT170" s="104">
        <f t="shared" si="172"/>
        <v>0</v>
      </c>
      <c r="AU170" s="104">
        <f t="shared" si="173"/>
        <v>0</v>
      </c>
      <c r="BF170" s="49">
        <f t="shared" si="174"/>
        <v>0</v>
      </c>
      <c r="BG170" s="49">
        <f t="shared" si="175"/>
        <v>0</v>
      </c>
      <c r="BH170" s="54" t="e">
        <f t="shared" si="176"/>
        <v>#DIV/0!</v>
      </c>
      <c r="BI170" s="112" t="e">
        <f t="shared" si="177"/>
        <v>#DIV/0!</v>
      </c>
      <c r="BK170" s="55" t="e">
        <f t="shared" si="178"/>
        <v>#DIV/0!</v>
      </c>
      <c r="BL170" s="55" t="e">
        <f t="shared" si="179"/>
        <v>#DIV/0!</v>
      </c>
      <c r="BM170" s="55" t="e">
        <f t="shared" si="180"/>
        <v>#DIV/0!</v>
      </c>
      <c r="BN170" s="53">
        <f t="shared" si="181"/>
        <v>0</v>
      </c>
      <c r="BO170" s="112" t="e">
        <f t="shared" si="182"/>
        <v>#DIV/0!</v>
      </c>
      <c r="BR170" s="53" t="e">
        <f t="shared" si="183"/>
        <v>#DIV/0!</v>
      </c>
      <c r="BS170" s="53">
        <f t="shared" si="184"/>
        <v>0</v>
      </c>
      <c r="BT170" s="53">
        <f t="shared" si="185"/>
        <v>0</v>
      </c>
      <c r="BU170" s="56" t="e">
        <f t="shared" si="186"/>
        <v>#DIV/0!</v>
      </c>
      <c r="BX170" s="60"/>
      <c r="BY170" s="60"/>
      <c r="BZ170" s="60"/>
      <c r="CA170" s="60"/>
      <c r="CB170" s="60"/>
      <c r="CC170" s="60"/>
      <c r="CD170" s="60"/>
      <c r="CE170" s="60"/>
      <c r="CF170" s="60"/>
      <c r="CG170" s="60"/>
      <c r="CH170" s="60"/>
      <c r="CI170" s="60"/>
      <c r="CJ170" s="60"/>
      <c r="CK170" s="60"/>
      <c r="CL170" s="60"/>
      <c r="CM170" s="60"/>
      <c r="CN170" s="60"/>
      <c r="CO170" s="60"/>
      <c r="CP170" s="60"/>
      <c r="CQ170" s="60"/>
      <c r="CR170" s="60"/>
      <c r="CS170" s="60"/>
      <c r="CT170" s="57">
        <f t="shared" si="187"/>
        <v>0</v>
      </c>
      <c r="CU170" s="57">
        <f t="shared" si="188"/>
        <v>0</v>
      </c>
      <c r="CV170" s="53">
        <f t="shared" si="189"/>
        <v>0</v>
      </c>
      <c r="CW170" s="53">
        <f t="shared" si="190"/>
        <v>0</v>
      </c>
      <c r="CX170" s="58" t="e">
        <f t="shared" si="191"/>
        <v>#DIV/0!</v>
      </c>
      <c r="CY170" s="53">
        <f t="shared" si="192"/>
        <v>0</v>
      </c>
      <c r="CZ170" s="53">
        <f t="shared" si="193"/>
        <v>0</v>
      </c>
      <c r="DA170" s="58" t="e">
        <f t="shared" si="194"/>
        <v>#DIV/0!</v>
      </c>
      <c r="DB170" s="48" t="e">
        <f t="shared" si="195"/>
        <v>#DIV/0!</v>
      </c>
      <c r="DC170" s="48" t="e">
        <f t="shared" si="196"/>
        <v>#DIV/0!</v>
      </c>
      <c r="DD170" s="48" t="e">
        <f t="shared" si="197"/>
        <v>#DIV/0!</v>
      </c>
      <c r="DE170" s="48" t="e">
        <f t="shared" si="198"/>
        <v>#DIV/0!</v>
      </c>
      <c r="DF170" s="48" t="e">
        <f t="shared" si="199"/>
        <v>#DIV/0!</v>
      </c>
      <c r="DG170" s="48" t="e">
        <f t="shared" si="200"/>
        <v>#DIV/0!</v>
      </c>
      <c r="DH170" s="48">
        <f>SUMIF(FCR!$BZ$4:$DB$500,DG170,FCR!$DE$4:$EG$500)</f>
        <v>0</v>
      </c>
      <c r="DI170" s="48" t="e">
        <f t="shared" si="201"/>
        <v>#DIV/0!</v>
      </c>
      <c r="DJ170" s="48">
        <f>SUMIF(FCR!$BZ$4:$DB$142,DI170,FCR!$DE$4:$EG$142)</f>
        <v>0</v>
      </c>
      <c r="DK170" s="48" t="e">
        <f t="shared" si="202"/>
        <v>#DIV/0!</v>
      </c>
      <c r="DL170" s="55" t="e">
        <f t="shared" si="203"/>
        <v>#DIV/0!</v>
      </c>
      <c r="DM170" s="48" t="e">
        <f t="shared" si="204"/>
        <v>#DIV/0!</v>
      </c>
      <c r="DN170" s="48">
        <f>SUMIF(FCR!$BZ$4:$DB$142,DM170,FCR!$DE$4:$EG$142)</f>
        <v>0</v>
      </c>
      <c r="DO170" s="53" t="e">
        <f t="shared" si="205"/>
        <v>#DIV/0!</v>
      </c>
      <c r="DP170" s="55" t="e">
        <f t="shared" si="206"/>
        <v>#DIV/0!</v>
      </c>
      <c r="DQ170" s="55" t="e">
        <f t="shared" si="207"/>
        <v>#DIV/0!</v>
      </c>
      <c r="DR170" s="55"/>
      <c r="DS170" s="55" t="e">
        <f t="shared" si="208"/>
        <v>#DIV/0!</v>
      </c>
      <c r="DT170" s="55" t="e">
        <f t="shared" si="209"/>
        <v>#DIV/0!</v>
      </c>
      <c r="DU170" s="53">
        <f t="shared" si="210"/>
        <v>0</v>
      </c>
      <c r="DV170" s="59" t="e">
        <f t="shared" si="211"/>
        <v>#DIV/0!</v>
      </c>
    </row>
    <row r="171" spans="30:126">
      <c r="AD171" s="49" t="s">
        <v>411</v>
      </c>
      <c r="AE171" s="49">
        <f t="shared" si="157"/>
        <v>0</v>
      </c>
      <c r="AF171" s="49">
        <f t="shared" si="158"/>
        <v>0</v>
      </c>
      <c r="AG171" s="114">
        <f t="shared" si="159"/>
        <v>0</v>
      </c>
      <c r="AH171" s="104">
        <f t="shared" si="160"/>
        <v>0</v>
      </c>
      <c r="AI171" s="104">
        <f t="shared" si="161"/>
        <v>0</v>
      </c>
      <c r="AJ171" s="104">
        <f t="shared" si="162"/>
        <v>0</v>
      </c>
      <c r="AK171" s="104">
        <f t="shared" si="163"/>
        <v>0</v>
      </c>
      <c r="AL171" s="104">
        <f t="shared" si="164"/>
        <v>0</v>
      </c>
      <c r="AM171" s="104">
        <f t="shared" si="165"/>
        <v>0</v>
      </c>
      <c r="AN171" s="104">
        <f t="shared" si="166"/>
        <v>0</v>
      </c>
      <c r="AO171" s="104">
        <f t="shared" si="167"/>
        <v>0</v>
      </c>
      <c r="AP171" s="104">
        <f t="shared" si="168"/>
        <v>0</v>
      </c>
      <c r="AQ171" s="49">
        <f t="shared" si="169"/>
        <v>0</v>
      </c>
      <c r="AR171" s="104">
        <f t="shared" si="170"/>
        <v>0</v>
      </c>
      <c r="AS171" s="104">
        <f t="shared" si="171"/>
        <v>0</v>
      </c>
      <c r="AT171" s="104">
        <f t="shared" si="172"/>
        <v>0</v>
      </c>
      <c r="AU171" s="104">
        <f t="shared" si="173"/>
        <v>0</v>
      </c>
      <c r="BF171" s="49">
        <f t="shared" si="174"/>
        <v>0</v>
      </c>
      <c r="BG171" s="49">
        <f t="shared" si="175"/>
        <v>0</v>
      </c>
      <c r="BH171" s="54" t="e">
        <f t="shared" si="176"/>
        <v>#DIV/0!</v>
      </c>
      <c r="BI171" s="112" t="e">
        <f t="shared" si="177"/>
        <v>#DIV/0!</v>
      </c>
      <c r="BK171" s="55" t="e">
        <f t="shared" si="178"/>
        <v>#DIV/0!</v>
      </c>
      <c r="BL171" s="55" t="e">
        <f t="shared" si="179"/>
        <v>#DIV/0!</v>
      </c>
      <c r="BM171" s="55" t="e">
        <f t="shared" si="180"/>
        <v>#DIV/0!</v>
      </c>
      <c r="BN171" s="53">
        <f t="shared" si="181"/>
        <v>0</v>
      </c>
      <c r="BO171" s="112" t="e">
        <f t="shared" si="182"/>
        <v>#DIV/0!</v>
      </c>
      <c r="BR171" s="53" t="e">
        <f t="shared" si="183"/>
        <v>#DIV/0!</v>
      </c>
      <c r="BS171" s="53">
        <f t="shared" si="184"/>
        <v>0</v>
      </c>
      <c r="BT171" s="53">
        <f t="shared" si="185"/>
        <v>0</v>
      </c>
      <c r="BU171" s="56" t="e">
        <f t="shared" si="186"/>
        <v>#DIV/0!</v>
      </c>
      <c r="BX171" s="60"/>
      <c r="BY171" s="60"/>
      <c r="BZ171" s="60"/>
      <c r="CA171" s="60"/>
      <c r="CB171" s="60"/>
      <c r="CC171" s="60"/>
      <c r="CD171" s="60"/>
      <c r="CE171" s="60"/>
      <c r="CF171" s="60"/>
      <c r="CG171" s="60"/>
      <c r="CH171" s="60"/>
      <c r="CI171" s="60"/>
      <c r="CJ171" s="60"/>
      <c r="CK171" s="60"/>
      <c r="CL171" s="60"/>
      <c r="CM171" s="60"/>
      <c r="CN171" s="60"/>
      <c r="CO171" s="60"/>
      <c r="CP171" s="60"/>
      <c r="CQ171" s="60"/>
      <c r="CR171" s="60"/>
      <c r="CS171" s="60"/>
      <c r="CT171" s="57">
        <f t="shared" si="187"/>
        <v>0</v>
      </c>
      <c r="CU171" s="57">
        <f t="shared" si="188"/>
        <v>0</v>
      </c>
      <c r="CV171" s="53">
        <f t="shared" si="189"/>
        <v>0</v>
      </c>
      <c r="CW171" s="53">
        <f t="shared" si="190"/>
        <v>0</v>
      </c>
      <c r="CX171" s="58" t="e">
        <f t="shared" si="191"/>
        <v>#DIV/0!</v>
      </c>
      <c r="CY171" s="53">
        <f t="shared" si="192"/>
        <v>0</v>
      </c>
      <c r="CZ171" s="53">
        <f t="shared" si="193"/>
        <v>0</v>
      </c>
      <c r="DA171" s="58" t="e">
        <f t="shared" si="194"/>
        <v>#DIV/0!</v>
      </c>
      <c r="DB171" s="48" t="e">
        <f t="shared" si="195"/>
        <v>#DIV/0!</v>
      </c>
      <c r="DC171" s="48" t="e">
        <f t="shared" si="196"/>
        <v>#DIV/0!</v>
      </c>
      <c r="DD171" s="48" t="e">
        <f t="shared" si="197"/>
        <v>#DIV/0!</v>
      </c>
      <c r="DE171" s="48" t="e">
        <f t="shared" si="198"/>
        <v>#DIV/0!</v>
      </c>
      <c r="DF171" s="48" t="e">
        <f t="shared" si="199"/>
        <v>#DIV/0!</v>
      </c>
      <c r="DG171" s="48" t="e">
        <f t="shared" si="200"/>
        <v>#DIV/0!</v>
      </c>
      <c r="DH171" s="48">
        <f>SUMIF(FCR!$BZ$4:$DB$500,DG171,FCR!$DE$4:$EG$500)</f>
        <v>0</v>
      </c>
      <c r="DI171" s="48" t="e">
        <f t="shared" si="201"/>
        <v>#DIV/0!</v>
      </c>
      <c r="DJ171" s="48">
        <f>SUMIF(FCR!$BZ$4:$DB$142,DI171,FCR!$DE$4:$EG$142)</f>
        <v>0</v>
      </c>
      <c r="DK171" s="48" t="e">
        <f t="shared" si="202"/>
        <v>#DIV/0!</v>
      </c>
      <c r="DL171" s="55" t="e">
        <f t="shared" si="203"/>
        <v>#DIV/0!</v>
      </c>
      <c r="DM171" s="48" t="e">
        <f t="shared" si="204"/>
        <v>#DIV/0!</v>
      </c>
      <c r="DN171" s="48">
        <f>SUMIF(FCR!$BZ$4:$DB$142,DM171,FCR!$DE$4:$EG$142)</f>
        <v>0</v>
      </c>
      <c r="DO171" s="53" t="e">
        <f t="shared" si="205"/>
        <v>#DIV/0!</v>
      </c>
      <c r="DP171" s="55" t="e">
        <f t="shared" si="206"/>
        <v>#DIV/0!</v>
      </c>
      <c r="DQ171" s="55" t="e">
        <f t="shared" si="207"/>
        <v>#DIV/0!</v>
      </c>
      <c r="DR171" s="55"/>
      <c r="DS171" s="55" t="e">
        <f t="shared" si="208"/>
        <v>#DIV/0!</v>
      </c>
      <c r="DT171" s="55" t="e">
        <f t="shared" si="209"/>
        <v>#DIV/0!</v>
      </c>
      <c r="DU171" s="53">
        <f t="shared" si="210"/>
        <v>0</v>
      </c>
      <c r="DV171" s="59" t="e">
        <f t="shared" si="211"/>
        <v>#DIV/0!</v>
      </c>
    </row>
    <row r="172" spans="30:126">
      <c r="AD172" s="49" t="s">
        <v>411</v>
      </c>
      <c r="AE172" s="49">
        <f t="shared" si="157"/>
        <v>0</v>
      </c>
      <c r="AF172" s="49">
        <f t="shared" si="158"/>
        <v>0</v>
      </c>
      <c r="AG172" s="114">
        <f t="shared" si="159"/>
        <v>0</v>
      </c>
      <c r="AH172" s="104">
        <f t="shared" si="160"/>
        <v>0</v>
      </c>
      <c r="AI172" s="104">
        <f t="shared" si="161"/>
        <v>0</v>
      </c>
      <c r="AJ172" s="104">
        <f t="shared" si="162"/>
        <v>0</v>
      </c>
      <c r="AK172" s="104">
        <f t="shared" si="163"/>
        <v>0</v>
      </c>
      <c r="AL172" s="104">
        <f t="shared" si="164"/>
        <v>0</v>
      </c>
      <c r="AM172" s="104">
        <f t="shared" si="165"/>
        <v>0</v>
      </c>
      <c r="AN172" s="104">
        <f t="shared" si="166"/>
        <v>0</v>
      </c>
      <c r="AO172" s="104">
        <f t="shared" si="167"/>
        <v>0</v>
      </c>
      <c r="AP172" s="104">
        <f t="shared" si="168"/>
        <v>0</v>
      </c>
      <c r="AQ172" s="49">
        <f t="shared" si="169"/>
        <v>0</v>
      </c>
      <c r="AR172" s="104">
        <f t="shared" si="170"/>
        <v>0</v>
      </c>
      <c r="AS172" s="104">
        <f t="shared" si="171"/>
        <v>0</v>
      </c>
      <c r="AT172" s="104">
        <f t="shared" si="172"/>
        <v>0</v>
      </c>
      <c r="AU172" s="104">
        <f t="shared" si="173"/>
        <v>0</v>
      </c>
      <c r="BF172" s="49">
        <f t="shared" si="174"/>
        <v>0</v>
      </c>
      <c r="BG172" s="49">
        <f t="shared" si="175"/>
        <v>0</v>
      </c>
      <c r="BH172" s="54" t="e">
        <f t="shared" si="176"/>
        <v>#DIV/0!</v>
      </c>
      <c r="BI172" s="112" t="e">
        <f t="shared" si="177"/>
        <v>#DIV/0!</v>
      </c>
      <c r="BK172" s="55" t="e">
        <f t="shared" si="178"/>
        <v>#DIV/0!</v>
      </c>
      <c r="BL172" s="55" t="e">
        <f t="shared" si="179"/>
        <v>#DIV/0!</v>
      </c>
      <c r="BM172" s="55" t="e">
        <f t="shared" si="180"/>
        <v>#DIV/0!</v>
      </c>
      <c r="BN172" s="53">
        <f t="shared" si="181"/>
        <v>0</v>
      </c>
      <c r="BO172" s="112" t="e">
        <f t="shared" si="182"/>
        <v>#DIV/0!</v>
      </c>
      <c r="BR172" s="53" t="e">
        <f t="shared" si="183"/>
        <v>#DIV/0!</v>
      </c>
      <c r="BS172" s="53">
        <f t="shared" si="184"/>
        <v>0</v>
      </c>
      <c r="BT172" s="53">
        <f t="shared" si="185"/>
        <v>0</v>
      </c>
      <c r="BU172" s="56" t="e">
        <f t="shared" si="186"/>
        <v>#DIV/0!</v>
      </c>
      <c r="BX172" s="60"/>
      <c r="BY172" s="60"/>
      <c r="BZ172" s="60"/>
      <c r="CA172" s="60"/>
      <c r="CB172" s="60"/>
      <c r="CC172" s="60"/>
      <c r="CD172" s="60"/>
      <c r="CE172" s="60"/>
      <c r="CF172" s="60"/>
      <c r="CG172" s="60"/>
      <c r="CH172" s="60"/>
      <c r="CI172" s="60"/>
      <c r="CJ172" s="60"/>
      <c r="CK172" s="60"/>
      <c r="CL172" s="60"/>
      <c r="CM172" s="60"/>
      <c r="CN172" s="60"/>
      <c r="CO172" s="60"/>
      <c r="CP172" s="60"/>
      <c r="CQ172" s="60"/>
      <c r="CR172" s="60"/>
      <c r="CS172" s="60"/>
      <c r="CT172" s="57">
        <f t="shared" si="187"/>
        <v>0</v>
      </c>
      <c r="CU172" s="57">
        <f t="shared" si="188"/>
        <v>0</v>
      </c>
      <c r="CV172" s="53">
        <f t="shared" si="189"/>
        <v>0</v>
      </c>
      <c r="CW172" s="53">
        <f t="shared" si="190"/>
        <v>0</v>
      </c>
      <c r="CX172" s="58" t="e">
        <f t="shared" si="191"/>
        <v>#DIV/0!</v>
      </c>
      <c r="CY172" s="53">
        <f t="shared" si="192"/>
        <v>0</v>
      </c>
      <c r="CZ172" s="53">
        <f t="shared" si="193"/>
        <v>0</v>
      </c>
      <c r="DA172" s="58" t="e">
        <f t="shared" si="194"/>
        <v>#DIV/0!</v>
      </c>
      <c r="DB172" s="48" t="e">
        <f t="shared" si="195"/>
        <v>#DIV/0!</v>
      </c>
      <c r="DC172" s="48" t="e">
        <f t="shared" si="196"/>
        <v>#DIV/0!</v>
      </c>
      <c r="DD172" s="48" t="e">
        <f t="shared" si="197"/>
        <v>#DIV/0!</v>
      </c>
      <c r="DE172" s="48" t="e">
        <f t="shared" si="198"/>
        <v>#DIV/0!</v>
      </c>
      <c r="DF172" s="48" t="e">
        <f t="shared" si="199"/>
        <v>#DIV/0!</v>
      </c>
      <c r="DG172" s="48" t="e">
        <f t="shared" si="200"/>
        <v>#DIV/0!</v>
      </c>
      <c r="DH172" s="48">
        <f>SUMIF(FCR!$BZ$4:$DB$500,DG172,FCR!$DE$4:$EG$500)</f>
        <v>0</v>
      </c>
      <c r="DI172" s="48" t="e">
        <f t="shared" si="201"/>
        <v>#DIV/0!</v>
      </c>
      <c r="DJ172" s="48">
        <f>SUMIF(FCR!$BZ$4:$DB$142,DI172,FCR!$DE$4:$EG$142)</f>
        <v>0</v>
      </c>
      <c r="DK172" s="48" t="e">
        <f t="shared" si="202"/>
        <v>#DIV/0!</v>
      </c>
      <c r="DL172" s="55" t="e">
        <f t="shared" si="203"/>
        <v>#DIV/0!</v>
      </c>
      <c r="DM172" s="48" t="e">
        <f t="shared" si="204"/>
        <v>#DIV/0!</v>
      </c>
      <c r="DN172" s="48">
        <f>SUMIF(FCR!$BZ$4:$DB$142,DM172,FCR!$DE$4:$EG$142)</f>
        <v>0</v>
      </c>
      <c r="DO172" s="53" t="e">
        <f t="shared" si="205"/>
        <v>#DIV/0!</v>
      </c>
      <c r="DP172" s="55" t="e">
        <f t="shared" si="206"/>
        <v>#DIV/0!</v>
      </c>
      <c r="DQ172" s="55" t="e">
        <f t="shared" si="207"/>
        <v>#DIV/0!</v>
      </c>
      <c r="DR172" s="55"/>
      <c r="DS172" s="55" t="e">
        <f t="shared" si="208"/>
        <v>#DIV/0!</v>
      </c>
      <c r="DT172" s="55" t="e">
        <f t="shared" si="209"/>
        <v>#DIV/0!</v>
      </c>
      <c r="DU172" s="53">
        <f t="shared" si="210"/>
        <v>0</v>
      </c>
      <c r="DV172" s="59" t="e">
        <f t="shared" si="211"/>
        <v>#DIV/0!</v>
      </c>
    </row>
    <row r="173" spans="30:126">
      <c r="AD173" s="49" t="s">
        <v>411</v>
      </c>
      <c r="AE173" s="49">
        <f t="shared" si="157"/>
        <v>0</v>
      </c>
      <c r="AF173" s="49">
        <f t="shared" si="158"/>
        <v>0</v>
      </c>
      <c r="AG173" s="114">
        <f t="shared" si="159"/>
        <v>0</v>
      </c>
      <c r="AH173" s="104">
        <f t="shared" si="160"/>
        <v>0</v>
      </c>
      <c r="AI173" s="104">
        <f t="shared" si="161"/>
        <v>0</v>
      </c>
      <c r="AJ173" s="104">
        <f t="shared" si="162"/>
        <v>0</v>
      </c>
      <c r="AK173" s="104">
        <f t="shared" si="163"/>
        <v>0</v>
      </c>
      <c r="AL173" s="104">
        <f t="shared" si="164"/>
        <v>0</v>
      </c>
      <c r="AM173" s="104">
        <f t="shared" si="165"/>
        <v>0</v>
      </c>
      <c r="AN173" s="104">
        <f t="shared" si="166"/>
        <v>0</v>
      </c>
      <c r="AO173" s="104">
        <f t="shared" si="167"/>
        <v>0</v>
      </c>
      <c r="AP173" s="104">
        <f t="shared" si="168"/>
        <v>0</v>
      </c>
      <c r="AQ173" s="49">
        <f t="shared" si="169"/>
        <v>0</v>
      </c>
      <c r="AR173" s="104">
        <f t="shared" si="170"/>
        <v>0</v>
      </c>
      <c r="AS173" s="104">
        <f t="shared" si="171"/>
        <v>0</v>
      </c>
      <c r="AT173" s="104">
        <f t="shared" si="172"/>
        <v>0</v>
      </c>
      <c r="AU173" s="104">
        <f t="shared" si="173"/>
        <v>0</v>
      </c>
      <c r="BF173" s="49">
        <f t="shared" si="174"/>
        <v>0</v>
      </c>
      <c r="BG173" s="49">
        <f t="shared" si="175"/>
        <v>0</v>
      </c>
      <c r="BH173" s="54" t="e">
        <f t="shared" si="176"/>
        <v>#DIV/0!</v>
      </c>
      <c r="BI173" s="112" t="e">
        <f t="shared" si="177"/>
        <v>#DIV/0!</v>
      </c>
      <c r="BK173" s="55" t="e">
        <f t="shared" si="178"/>
        <v>#DIV/0!</v>
      </c>
      <c r="BL173" s="55" t="e">
        <f t="shared" si="179"/>
        <v>#DIV/0!</v>
      </c>
      <c r="BM173" s="55" t="e">
        <f t="shared" si="180"/>
        <v>#DIV/0!</v>
      </c>
      <c r="BN173" s="53">
        <f t="shared" si="181"/>
        <v>0</v>
      </c>
      <c r="BO173" s="112" t="e">
        <f t="shared" si="182"/>
        <v>#DIV/0!</v>
      </c>
      <c r="BR173" s="53" t="e">
        <f t="shared" si="183"/>
        <v>#DIV/0!</v>
      </c>
      <c r="BS173" s="53">
        <f t="shared" si="184"/>
        <v>0</v>
      </c>
      <c r="BT173" s="53">
        <f t="shared" si="185"/>
        <v>0</v>
      </c>
      <c r="BU173" s="56" t="e">
        <f t="shared" si="186"/>
        <v>#DIV/0!</v>
      </c>
      <c r="BX173" s="60"/>
      <c r="BY173" s="60"/>
      <c r="BZ173" s="60"/>
      <c r="CA173" s="60"/>
      <c r="CB173" s="60"/>
      <c r="CC173" s="60"/>
      <c r="CD173" s="60"/>
      <c r="CE173" s="60"/>
      <c r="CF173" s="60"/>
      <c r="CG173" s="60"/>
      <c r="CH173" s="60"/>
      <c r="CI173" s="60"/>
      <c r="CJ173" s="60"/>
      <c r="CK173" s="60"/>
      <c r="CL173" s="60"/>
      <c r="CM173" s="60"/>
      <c r="CN173" s="60"/>
      <c r="CO173" s="60"/>
      <c r="CP173" s="60"/>
      <c r="CQ173" s="60"/>
      <c r="CR173" s="60"/>
      <c r="CS173" s="60"/>
      <c r="CT173" s="57">
        <f t="shared" si="187"/>
        <v>0</v>
      </c>
      <c r="CU173" s="57">
        <f t="shared" si="188"/>
        <v>0</v>
      </c>
      <c r="CV173" s="53">
        <f t="shared" si="189"/>
        <v>0</v>
      </c>
      <c r="CW173" s="53">
        <f t="shared" si="190"/>
        <v>0</v>
      </c>
      <c r="CX173" s="58" t="e">
        <f t="shared" si="191"/>
        <v>#DIV/0!</v>
      </c>
      <c r="CY173" s="53">
        <f t="shared" si="192"/>
        <v>0</v>
      </c>
      <c r="CZ173" s="53">
        <f t="shared" si="193"/>
        <v>0</v>
      </c>
      <c r="DA173" s="58" t="e">
        <f t="shared" si="194"/>
        <v>#DIV/0!</v>
      </c>
      <c r="DB173" s="48" t="e">
        <f t="shared" si="195"/>
        <v>#DIV/0!</v>
      </c>
      <c r="DC173" s="48" t="e">
        <f t="shared" si="196"/>
        <v>#DIV/0!</v>
      </c>
      <c r="DD173" s="48" t="e">
        <f t="shared" si="197"/>
        <v>#DIV/0!</v>
      </c>
      <c r="DE173" s="48" t="e">
        <f t="shared" si="198"/>
        <v>#DIV/0!</v>
      </c>
      <c r="DF173" s="48" t="e">
        <f t="shared" si="199"/>
        <v>#DIV/0!</v>
      </c>
      <c r="DG173" s="48" t="e">
        <f t="shared" si="200"/>
        <v>#DIV/0!</v>
      </c>
      <c r="DH173" s="48">
        <f>SUMIF(FCR!$BZ$4:$DB$500,DG173,FCR!$DE$4:$EG$500)</f>
        <v>0</v>
      </c>
      <c r="DI173" s="48" t="e">
        <f t="shared" si="201"/>
        <v>#DIV/0!</v>
      </c>
      <c r="DJ173" s="48">
        <f>SUMIF(FCR!$BZ$4:$DB$142,DI173,FCR!$DE$4:$EG$142)</f>
        <v>0</v>
      </c>
      <c r="DK173" s="48" t="e">
        <f t="shared" si="202"/>
        <v>#DIV/0!</v>
      </c>
      <c r="DL173" s="55" t="e">
        <f t="shared" si="203"/>
        <v>#DIV/0!</v>
      </c>
      <c r="DM173" s="48" t="e">
        <f t="shared" si="204"/>
        <v>#DIV/0!</v>
      </c>
      <c r="DN173" s="48">
        <f>SUMIF(FCR!$BZ$4:$DB$142,DM173,FCR!$DE$4:$EG$142)</f>
        <v>0</v>
      </c>
      <c r="DO173" s="53" t="e">
        <f t="shared" si="205"/>
        <v>#DIV/0!</v>
      </c>
      <c r="DP173" s="55" t="e">
        <f t="shared" si="206"/>
        <v>#DIV/0!</v>
      </c>
      <c r="DQ173" s="55" t="e">
        <f t="shared" si="207"/>
        <v>#DIV/0!</v>
      </c>
      <c r="DR173" s="55"/>
      <c r="DS173" s="55" t="e">
        <f t="shared" si="208"/>
        <v>#DIV/0!</v>
      </c>
      <c r="DT173" s="55" t="e">
        <f t="shared" si="209"/>
        <v>#DIV/0!</v>
      </c>
      <c r="DU173" s="53">
        <f t="shared" si="210"/>
        <v>0</v>
      </c>
      <c r="DV173" s="59" t="e">
        <f t="shared" si="211"/>
        <v>#DIV/0!</v>
      </c>
    </row>
    <row r="174" spans="30:126">
      <c r="AD174" s="49" t="s">
        <v>411</v>
      </c>
      <c r="AE174" s="49">
        <f t="shared" si="157"/>
        <v>0</v>
      </c>
      <c r="AF174" s="49">
        <f t="shared" si="158"/>
        <v>0</v>
      </c>
      <c r="AG174" s="114">
        <f t="shared" si="159"/>
        <v>0</v>
      </c>
      <c r="AH174" s="104">
        <f t="shared" si="160"/>
        <v>0</v>
      </c>
      <c r="AI174" s="104">
        <f t="shared" si="161"/>
        <v>0</v>
      </c>
      <c r="AJ174" s="104">
        <f t="shared" si="162"/>
        <v>0</v>
      </c>
      <c r="AK174" s="104">
        <f t="shared" si="163"/>
        <v>0</v>
      </c>
      <c r="AL174" s="104">
        <f t="shared" si="164"/>
        <v>0</v>
      </c>
      <c r="AM174" s="104">
        <f t="shared" si="165"/>
        <v>0</v>
      </c>
      <c r="AN174" s="104">
        <f t="shared" si="166"/>
        <v>0</v>
      </c>
      <c r="AO174" s="104">
        <f t="shared" si="167"/>
        <v>0</v>
      </c>
      <c r="AP174" s="104">
        <f t="shared" si="168"/>
        <v>0</v>
      </c>
      <c r="AQ174" s="49">
        <f t="shared" si="169"/>
        <v>0</v>
      </c>
      <c r="AR174" s="104">
        <f t="shared" si="170"/>
        <v>0</v>
      </c>
      <c r="AS174" s="104">
        <f t="shared" si="171"/>
        <v>0</v>
      </c>
      <c r="AT174" s="104">
        <f t="shared" si="172"/>
        <v>0</v>
      </c>
      <c r="AU174" s="104">
        <f t="shared" si="173"/>
        <v>0</v>
      </c>
      <c r="BF174" s="49">
        <f t="shared" si="174"/>
        <v>0</v>
      </c>
      <c r="BG174" s="49">
        <f t="shared" si="175"/>
        <v>0</v>
      </c>
      <c r="BH174" s="54" t="e">
        <f t="shared" si="176"/>
        <v>#DIV/0!</v>
      </c>
      <c r="BI174" s="112" t="e">
        <f t="shared" si="177"/>
        <v>#DIV/0!</v>
      </c>
      <c r="BK174" s="55" t="e">
        <f t="shared" si="178"/>
        <v>#DIV/0!</v>
      </c>
      <c r="BL174" s="55" t="e">
        <f t="shared" si="179"/>
        <v>#DIV/0!</v>
      </c>
      <c r="BM174" s="55" t="e">
        <f t="shared" si="180"/>
        <v>#DIV/0!</v>
      </c>
      <c r="BN174" s="53">
        <f t="shared" si="181"/>
        <v>0</v>
      </c>
      <c r="BO174" s="112" t="e">
        <f t="shared" si="182"/>
        <v>#DIV/0!</v>
      </c>
      <c r="BR174" s="53" t="e">
        <f t="shared" si="183"/>
        <v>#DIV/0!</v>
      </c>
      <c r="BS174" s="53">
        <f t="shared" si="184"/>
        <v>0</v>
      </c>
      <c r="BT174" s="53">
        <f t="shared" si="185"/>
        <v>0</v>
      </c>
      <c r="BU174" s="56" t="e">
        <f t="shared" si="186"/>
        <v>#DIV/0!</v>
      </c>
      <c r="BX174" s="60"/>
      <c r="BY174" s="60"/>
      <c r="BZ174" s="60"/>
      <c r="CA174" s="60"/>
      <c r="CB174" s="60"/>
      <c r="CC174" s="60"/>
      <c r="CD174" s="60"/>
      <c r="CE174" s="60"/>
      <c r="CF174" s="60"/>
      <c r="CG174" s="60"/>
      <c r="CH174" s="60"/>
      <c r="CI174" s="60"/>
      <c r="CJ174" s="60"/>
      <c r="CK174" s="60"/>
      <c r="CL174" s="60"/>
      <c r="CM174" s="60"/>
      <c r="CN174" s="60"/>
      <c r="CO174" s="60"/>
      <c r="CP174" s="60"/>
      <c r="CQ174" s="60"/>
      <c r="CR174" s="60"/>
      <c r="CS174" s="60"/>
      <c r="CT174" s="57">
        <f t="shared" si="187"/>
        <v>0</v>
      </c>
      <c r="CU174" s="57">
        <f t="shared" si="188"/>
        <v>0</v>
      </c>
      <c r="CV174" s="53">
        <f t="shared" si="189"/>
        <v>0</v>
      </c>
      <c r="CW174" s="53">
        <f t="shared" si="190"/>
        <v>0</v>
      </c>
      <c r="CX174" s="58" t="e">
        <f t="shared" si="191"/>
        <v>#DIV/0!</v>
      </c>
      <c r="CY174" s="53">
        <f t="shared" si="192"/>
        <v>0</v>
      </c>
      <c r="CZ174" s="53">
        <f t="shared" si="193"/>
        <v>0</v>
      </c>
      <c r="DA174" s="58" t="e">
        <f t="shared" si="194"/>
        <v>#DIV/0!</v>
      </c>
      <c r="DB174" s="48" t="e">
        <f t="shared" si="195"/>
        <v>#DIV/0!</v>
      </c>
      <c r="DC174" s="48" t="e">
        <f t="shared" si="196"/>
        <v>#DIV/0!</v>
      </c>
      <c r="DD174" s="48" t="e">
        <f t="shared" si="197"/>
        <v>#DIV/0!</v>
      </c>
      <c r="DE174" s="48" t="e">
        <f t="shared" si="198"/>
        <v>#DIV/0!</v>
      </c>
      <c r="DF174" s="48" t="e">
        <f t="shared" si="199"/>
        <v>#DIV/0!</v>
      </c>
      <c r="DG174" s="48" t="e">
        <f t="shared" si="200"/>
        <v>#DIV/0!</v>
      </c>
      <c r="DH174" s="48">
        <f>SUMIF(FCR!$BZ$4:$DB$500,DG174,FCR!$DE$4:$EG$500)</f>
        <v>0</v>
      </c>
      <c r="DI174" s="48" t="e">
        <f t="shared" si="201"/>
        <v>#DIV/0!</v>
      </c>
      <c r="DJ174" s="48">
        <f>SUMIF(FCR!$BZ$4:$DB$142,DI174,FCR!$DE$4:$EG$142)</f>
        <v>0</v>
      </c>
      <c r="DK174" s="48" t="e">
        <f t="shared" si="202"/>
        <v>#DIV/0!</v>
      </c>
      <c r="DL174" s="55" t="e">
        <f t="shared" si="203"/>
        <v>#DIV/0!</v>
      </c>
      <c r="DM174" s="48" t="e">
        <f t="shared" si="204"/>
        <v>#DIV/0!</v>
      </c>
      <c r="DN174" s="48">
        <f>SUMIF(FCR!$BZ$4:$DB$142,DM174,FCR!$DE$4:$EG$142)</f>
        <v>0</v>
      </c>
      <c r="DO174" s="53" t="e">
        <f t="shared" si="205"/>
        <v>#DIV/0!</v>
      </c>
      <c r="DP174" s="55" t="e">
        <f t="shared" si="206"/>
        <v>#DIV/0!</v>
      </c>
      <c r="DQ174" s="55" t="e">
        <f t="shared" si="207"/>
        <v>#DIV/0!</v>
      </c>
      <c r="DR174" s="55"/>
      <c r="DS174" s="55" t="e">
        <f t="shared" si="208"/>
        <v>#DIV/0!</v>
      </c>
      <c r="DT174" s="55" t="e">
        <f t="shared" si="209"/>
        <v>#DIV/0!</v>
      </c>
      <c r="DU174" s="53">
        <f t="shared" si="210"/>
        <v>0</v>
      </c>
      <c r="DV174" s="59" t="e">
        <f t="shared" si="211"/>
        <v>#DIV/0!</v>
      </c>
    </row>
    <row r="175" spans="30:126">
      <c r="AD175" s="49" t="s">
        <v>411</v>
      </c>
      <c r="AE175" s="49">
        <f t="shared" si="157"/>
        <v>0</v>
      </c>
      <c r="AF175" s="49">
        <f t="shared" si="158"/>
        <v>0</v>
      </c>
      <c r="AG175" s="114">
        <f t="shared" si="159"/>
        <v>0</v>
      </c>
      <c r="AH175" s="104">
        <f t="shared" si="160"/>
        <v>0</v>
      </c>
      <c r="AI175" s="104">
        <f t="shared" si="161"/>
        <v>0</v>
      </c>
      <c r="AJ175" s="104">
        <f t="shared" si="162"/>
        <v>0</v>
      </c>
      <c r="AK175" s="104">
        <f t="shared" si="163"/>
        <v>0</v>
      </c>
      <c r="AL175" s="104">
        <f t="shared" si="164"/>
        <v>0</v>
      </c>
      <c r="AM175" s="104">
        <f t="shared" si="165"/>
        <v>0</v>
      </c>
      <c r="AN175" s="104">
        <f t="shared" si="166"/>
        <v>0</v>
      </c>
      <c r="AO175" s="104">
        <f t="shared" si="167"/>
        <v>0</v>
      </c>
      <c r="AP175" s="104">
        <f t="shared" si="168"/>
        <v>0</v>
      </c>
      <c r="AQ175" s="49">
        <f t="shared" si="169"/>
        <v>0</v>
      </c>
      <c r="AR175" s="104">
        <f t="shared" si="170"/>
        <v>0</v>
      </c>
      <c r="AS175" s="104">
        <f t="shared" si="171"/>
        <v>0</v>
      </c>
      <c r="AT175" s="104">
        <f t="shared" si="172"/>
        <v>0</v>
      </c>
      <c r="AU175" s="104">
        <f t="shared" si="173"/>
        <v>0</v>
      </c>
      <c r="BF175" s="49">
        <f t="shared" si="174"/>
        <v>0</v>
      </c>
      <c r="BG175" s="49">
        <f t="shared" si="175"/>
        <v>0</v>
      </c>
      <c r="BH175" s="54" t="e">
        <f t="shared" si="176"/>
        <v>#DIV/0!</v>
      </c>
      <c r="BI175" s="112" t="e">
        <f t="shared" si="177"/>
        <v>#DIV/0!</v>
      </c>
      <c r="BK175" s="55" t="e">
        <f t="shared" si="178"/>
        <v>#DIV/0!</v>
      </c>
      <c r="BL175" s="55" t="e">
        <f t="shared" si="179"/>
        <v>#DIV/0!</v>
      </c>
      <c r="BM175" s="55" t="e">
        <f t="shared" si="180"/>
        <v>#DIV/0!</v>
      </c>
      <c r="BN175" s="53">
        <f t="shared" si="181"/>
        <v>0</v>
      </c>
      <c r="BO175" s="112" t="e">
        <f t="shared" si="182"/>
        <v>#DIV/0!</v>
      </c>
      <c r="BR175" s="53" t="e">
        <f t="shared" si="183"/>
        <v>#DIV/0!</v>
      </c>
      <c r="BS175" s="53">
        <f t="shared" si="184"/>
        <v>0</v>
      </c>
      <c r="BT175" s="53">
        <f t="shared" si="185"/>
        <v>0</v>
      </c>
      <c r="BU175" s="56" t="e">
        <f t="shared" si="186"/>
        <v>#DIV/0!</v>
      </c>
      <c r="BX175" s="60"/>
      <c r="BY175" s="60"/>
      <c r="BZ175" s="60"/>
      <c r="CA175" s="60"/>
      <c r="CB175" s="60"/>
      <c r="CC175" s="60"/>
      <c r="CD175" s="60"/>
      <c r="CE175" s="60"/>
      <c r="CF175" s="60"/>
      <c r="CG175" s="60"/>
      <c r="CH175" s="60"/>
      <c r="CI175" s="60"/>
      <c r="CJ175" s="60"/>
      <c r="CK175" s="60"/>
      <c r="CL175" s="60"/>
      <c r="CM175" s="60"/>
      <c r="CN175" s="60"/>
      <c r="CO175" s="60"/>
      <c r="CP175" s="60"/>
      <c r="CQ175" s="60"/>
      <c r="CR175" s="60"/>
      <c r="CS175" s="60"/>
      <c r="CT175" s="57">
        <f t="shared" si="187"/>
        <v>0</v>
      </c>
      <c r="CU175" s="57">
        <f t="shared" si="188"/>
        <v>0</v>
      </c>
      <c r="CV175" s="53">
        <f t="shared" si="189"/>
        <v>0</v>
      </c>
      <c r="CW175" s="53">
        <f t="shared" si="190"/>
        <v>0</v>
      </c>
      <c r="CX175" s="58" t="e">
        <f t="shared" si="191"/>
        <v>#DIV/0!</v>
      </c>
      <c r="CY175" s="53">
        <f t="shared" si="192"/>
        <v>0</v>
      </c>
      <c r="CZ175" s="53">
        <f t="shared" si="193"/>
        <v>0</v>
      </c>
      <c r="DA175" s="58" t="e">
        <f t="shared" si="194"/>
        <v>#DIV/0!</v>
      </c>
      <c r="DB175" s="48" t="e">
        <f t="shared" si="195"/>
        <v>#DIV/0!</v>
      </c>
      <c r="DC175" s="48" t="e">
        <f t="shared" si="196"/>
        <v>#DIV/0!</v>
      </c>
      <c r="DD175" s="48" t="e">
        <f t="shared" si="197"/>
        <v>#DIV/0!</v>
      </c>
      <c r="DE175" s="48" t="e">
        <f t="shared" si="198"/>
        <v>#DIV/0!</v>
      </c>
      <c r="DF175" s="48" t="e">
        <f t="shared" si="199"/>
        <v>#DIV/0!</v>
      </c>
      <c r="DG175" s="48" t="e">
        <f t="shared" si="200"/>
        <v>#DIV/0!</v>
      </c>
      <c r="DH175" s="48">
        <f>SUMIF(FCR!$BZ$4:$DB$500,DG175,FCR!$DE$4:$EG$500)</f>
        <v>0</v>
      </c>
      <c r="DI175" s="48" t="e">
        <f t="shared" si="201"/>
        <v>#DIV/0!</v>
      </c>
      <c r="DJ175" s="48">
        <f>SUMIF(FCR!$BZ$4:$DB$142,DI175,FCR!$DE$4:$EG$142)</f>
        <v>0</v>
      </c>
      <c r="DK175" s="48" t="e">
        <f t="shared" si="202"/>
        <v>#DIV/0!</v>
      </c>
      <c r="DL175" s="55" t="e">
        <f t="shared" si="203"/>
        <v>#DIV/0!</v>
      </c>
      <c r="DM175" s="48" t="e">
        <f t="shared" si="204"/>
        <v>#DIV/0!</v>
      </c>
      <c r="DN175" s="48">
        <f>SUMIF(FCR!$BZ$4:$DB$142,DM175,FCR!$DE$4:$EG$142)</f>
        <v>0</v>
      </c>
      <c r="DO175" s="53" t="e">
        <f t="shared" si="205"/>
        <v>#DIV/0!</v>
      </c>
      <c r="DP175" s="55" t="e">
        <f t="shared" si="206"/>
        <v>#DIV/0!</v>
      </c>
      <c r="DQ175" s="55" t="e">
        <f t="shared" si="207"/>
        <v>#DIV/0!</v>
      </c>
      <c r="DR175" s="55"/>
      <c r="DS175" s="55" t="e">
        <f t="shared" si="208"/>
        <v>#DIV/0!</v>
      </c>
      <c r="DT175" s="55" t="e">
        <f t="shared" si="209"/>
        <v>#DIV/0!</v>
      </c>
      <c r="DU175" s="53">
        <f t="shared" si="210"/>
        <v>0</v>
      </c>
      <c r="DV175" s="59" t="e">
        <f t="shared" si="211"/>
        <v>#DIV/0!</v>
      </c>
    </row>
    <row r="176" spans="30:126">
      <c r="AD176" s="49" t="s">
        <v>411</v>
      </c>
      <c r="AE176" s="49">
        <f t="shared" si="157"/>
        <v>0</v>
      </c>
      <c r="AF176" s="49">
        <f t="shared" si="158"/>
        <v>0</v>
      </c>
      <c r="AG176" s="114">
        <f t="shared" si="159"/>
        <v>0</v>
      </c>
      <c r="AH176" s="104">
        <f t="shared" si="160"/>
        <v>0</v>
      </c>
      <c r="AI176" s="104">
        <f t="shared" si="161"/>
        <v>0</v>
      </c>
      <c r="AJ176" s="104">
        <f t="shared" si="162"/>
        <v>0</v>
      </c>
      <c r="AK176" s="104">
        <f t="shared" si="163"/>
        <v>0</v>
      </c>
      <c r="AL176" s="104">
        <f t="shared" si="164"/>
        <v>0</v>
      </c>
      <c r="AM176" s="104">
        <f t="shared" si="165"/>
        <v>0</v>
      </c>
      <c r="AN176" s="104">
        <f t="shared" si="166"/>
        <v>0</v>
      </c>
      <c r="AO176" s="104">
        <f t="shared" si="167"/>
        <v>0</v>
      </c>
      <c r="AP176" s="104">
        <f t="shared" si="168"/>
        <v>0</v>
      </c>
      <c r="AQ176" s="49">
        <f t="shared" si="169"/>
        <v>0</v>
      </c>
      <c r="AR176" s="104">
        <f t="shared" si="170"/>
        <v>0</v>
      </c>
      <c r="AS176" s="104">
        <f t="shared" si="171"/>
        <v>0</v>
      </c>
      <c r="AT176" s="104">
        <f t="shared" si="172"/>
        <v>0</v>
      </c>
      <c r="AU176" s="104">
        <f t="shared" si="173"/>
        <v>0</v>
      </c>
      <c r="BF176" s="49">
        <f t="shared" si="174"/>
        <v>0</v>
      </c>
      <c r="BG176" s="49">
        <f t="shared" si="175"/>
        <v>0</v>
      </c>
      <c r="BH176" s="54" t="e">
        <f t="shared" si="176"/>
        <v>#DIV/0!</v>
      </c>
      <c r="BI176" s="112" t="e">
        <f t="shared" si="177"/>
        <v>#DIV/0!</v>
      </c>
      <c r="BK176" s="55" t="e">
        <f t="shared" si="178"/>
        <v>#DIV/0!</v>
      </c>
      <c r="BL176" s="55" t="e">
        <f t="shared" si="179"/>
        <v>#DIV/0!</v>
      </c>
      <c r="BM176" s="55" t="e">
        <f t="shared" si="180"/>
        <v>#DIV/0!</v>
      </c>
      <c r="BN176" s="53">
        <f t="shared" si="181"/>
        <v>0</v>
      </c>
      <c r="BO176" s="112" t="e">
        <f t="shared" si="182"/>
        <v>#DIV/0!</v>
      </c>
      <c r="BR176" s="53" t="e">
        <f t="shared" si="183"/>
        <v>#DIV/0!</v>
      </c>
      <c r="BS176" s="53">
        <f t="shared" si="184"/>
        <v>0</v>
      </c>
      <c r="BT176" s="53">
        <f t="shared" si="185"/>
        <v>0</v>
      </c>
      <c r="BU176" s="56" t="e">
        <f t="shared" si="186"/>
        <v>#DIV/0!</v>
      </c>
      <c r="BX176" s="60"/>
      <c r="BY176" s="60"/>
      <c r="BZ176" s="60"/>
      <c r="CA176" s="60"/>
      <c r="CB176" s="60"/>
      <c r="CC176" s="60"/>
      <c r="CD176" s="60"/>
      <c r="CE176" s="60"/>
      <c r="CF176" s="60"/>
      <c r="CG176" s="60"/>
      <c r="CH176" s="60"/>
      <c r="CI176" s="60"/>
      <c r="CJ176" s="60"/>
      <c r="CK176" s="60"/>
      <c r="CL176" s="60"/>
      <c r="CM176" s="60"/>
      <c r="CN176" s="60"/>
      <c r="CO176" s="60"/>
      <c r="CP176" s="60"/>
      <c r="CQ176" s="60"/>
      <c r="CR176" s="60"/>
      <c r="CS176" s="60"/>
      <c r="CT176" s="57">
        <f t="shared" si="187"/>
        <v>0</v>
      </c>
      <c r="CU176" s="57">
        <f t="shared" si="188"/>
        <v>0</v>
      </c>
      <c r="CV176" s="53">
        <f t="shared" si="189"/>
        <v>0</v>
      </c>
      <c r="CW176" s="53">
        <f t="shared" si="190"/>
        <v>0</v>
      </c>
      <c r="CX176" s="58" t="e">
        <f t="shared" si="191"/>
        <v>#DIV/0!</v>
      </c>
      <c r="CY176" s="53">
        <f t="shared" si="192"/>
        <v>0</v>
      </c>
      <c r="CZ176" s="53">
        <f t="shared" si="193"/>
        <v>0</v>
      </c>
      <c r="DA176" s="58" t="e">
        <f t="shared" si="194"/>
        <v>#DIV/0!</v>
      </c>
      <c r="DB176" s="48" t="e">
        <f t="shared" si="195"/>
        <v>#DIV/0!</v>
      </c>
      <c r="DC176" s="48" t="e">
        <f t="shared" si="196"/>
        <v>#DIV/0!</v>
      </c>
      <c r="DD176" s="48" t="e">
        <f t="shared" si="197"/>
        <v>#DIV/0!</v>
      </c>
      <c r="DE176" s="48" t="e">
        <f t="shared" si="198"/>
        <v>#DIV/0!</v>
      </c>
      <c r="DF176" s="48" t="e">
        <f t="shared" si="199"/>
        <v>#DIV/0!</v>
      </c>
      <c r="DG176" s="48" t="e">
        <f t="shared" si="200"/>
        <v>#DIV/0!</v>
      </c>
      <c r="DH176" s="48">
        <f>SUMIF(FCR!$BZ$4:$DB$500,DG176,FCR!$DE$4:$EG$500)</f>
        <v>0</v>
      </c>
      <c r="DI176" s="48" t="e">
        <f t="shared" si="201"/>
        <v>#DIV/0!</v>
      </c>
      <c r="DJ176" s="48">
        <f>SUMIF(FCR!$BZ$4:$DB$142,DI176,FCR!$DE$4:$EG$142)</f>
        <v>0</v>
      </c>
      <c r="DK176" s="48" t="e">
        <f t="shared" si="202"/>
        <v>#DIV/0!</v>
      </c>
      <c r="DL176" s="55" t="e">
        <f t="shared" si="203"/>
        <v>#DIV/0!</v>
      </c>
      <c r="DM176" s="48" t="e">
        <f t="shared" si="204"/>
        <v>#DIV/0!</v>
      </c>
      <c r="DN176" s="48">
        <f>SUMIF(FCR!$BZ$4:$DB$142,DM176,FCR!$DE$4:$EG$142)</f>
        <v>0</v>
      </c>
      <c r="DO176" s="53" t="e">
        <f t="shared" si="205"/>
        <v>#DIV/0!</v>
      </c>
      <c r="DP176" s="55" t="e">
        <f t="shared" si="206"/>
        <v>#DIV/0!</v>
      </c>
      <c r="DQ176" s="55" t="e">
        <f t="shared" si="207"/>
        <v>#DIV/0!</v>
      </c>
      <c r="DR176" s="55"/>
      <c r="DS176" s="55" t="e">
        <f t="shared" si="208"/>
        <v>#DIV/0!</v>
      </c>
      <c r="DT176" s="55" t="e">
        <f t="shared" si="209"/>
        <v>#DIV/0!</v>
      </c>
      <c r="DU176" s="53">
        <f t="shared" si="210"/>
        <v>0</v>
      </c>
      <c r="DV176" s="59" t="e">
        <f t="shared" si="211"/>
        <v>#DIV/0!</v>
      </c>
    </row>
    <row r="177" spans="30:126">
      <c r="AD177" s="49" t="s">
        <v>411</v>
      </c>
      <c r="AE177" s="49">
        <f t="shared" si="157"/>
        <v>0</v>
      </c>
      <c r="AF177" s="49">
        <f t="shared" si="158"/>
        <v>0</v>
      </c>
      <c r="AG177" s="114">
        <f t="shared" si="159"/>
        <v>0</v>
      </c>
      <c r="AH177" s="104">
        <f t="shared" si="160"/>
        <v>0</v>
      </c>
      <c r="AI177" s="104">
        <f t="shared" si="161"/>
        <v>0</v>
      </c>
      <c r="AJ177" s="104">
        <f t="shared" si="162"/>
        <v>0</v>
      </c>
      <c r="AK177" s="104">
        <f t="shared" si="163"/>
        <v>0</v>
      </c>
      <c r="AL177" s="104">
        <f t="shared" si="164"/>
        <v>0</v>
      </c>
      <c r="AM177" s="104">
        <f t="shared" si="165"/>
        <v>0</v>
      </c>
      <c r="AN177" s="104">
        <f t="shared" si="166"/>
        <v>0</v>
      </c>
      <c r="AO177" s="104">
        <f t="shared" si="167"/>
        <v>0</v>
      </c>
      <c r="AP177" s="104">
        <f t="shared" si="168"/>
        <v>0</v>
      </c>
      <c r="AQ177" s="49">
        <f t="shared" si="169"/>
        <v>0</v>
      </c>
      <c r="AR177" s="104">
        <f t="shared" si="170"/>
        <v>0</v>
      </c>
      <c r="AS177" s="104">
        <f t="shared" si="171"/>
        <v>0</v>
      </c>
      <c r="AT177" s="104">
        <f t="shared" si="172"/>
        <v>0</v>
      </c>
      <c r="AU177" s="104">
        <f t="shared" si="173"/>
        <v>0</v>
      </c>
      <c r="BF177" s="49">
        <f t="shared" si="174"/>
        <v>0</v>
      </c>
      <c r="BG177" s="49">
        <f t="shared" si="175"/>
        <v>0</v>
      </c>
      <c r="BH177" s="54" t="e">
        <f t="shared" si="176"/>
        <v>#DIV/0!</v>
      </c>
      <c r="BI177" s="112" t="e">
        <f t="shared" si="177"/>
        <v>#DIV/0!</v>
      </c>
      <c r="BK177" s="55" t="e">
        <f t="shared" si="178"/>
        <v>#DIV/0!</v>
      </c>
      <c r="BL177" s="55" t="e">
        <f t="shared" si="179"/>
        <v>#DIV/0!</v>
      </c>
      <c r="BM177" s="55" t="e">
        <f t="shared" si="180"/>
        <v>#DIV/0!</v>
      </c>
      <c r="BN177" s="53">
        <f t="shared" si="181"/>
        <v>0</v>
      </c>
      <c r="BO177" s="112" t="e">
        <f t="shared" si="182"/>
        <v>#DIV/0!</v>
      </c>
      <c r="BR177" s="53" t="e">
        <f t="shared" si="183"/>
        <v>#DIV/0!</v>
      </c>
      <c r="BS177" s="53">
        <f t="shared" si="184"/>
        <v>0</v>
      </c>
      <c r="BT177" s="53">
        <f t="shared" si="185"/>
        <v>0</v>
      </c>
      <c r="BU177" s="56" t="e">
        <f t="shared" si="186"/>
        <v>#DIV/0!</v>
      </c>
      <c r="BX177" s="60"/>
      <c r="BY177" s="60"/>
      <c r="BZ177" s="60"/>
      <c r="CA177" s="60"/>
      <c r="CB177" s="60"/>
      <c r="CC177" s="60"/>
      <c r="CD177" s="60"/>
      <c r="CE177" s="60"/>
      <c r="CF177" s="60"/>
      <c r="CG177" s="60"/>
      <c r="CH177" s="60"/>
      <c r="CI177" s="60"/>
      <c r="CJ177" s="60"/>
      <c r="CK177" s="60"/>
      <c r="CL177" s="60"/>
      <c r="CM177" s="60"/>
      <c r="CN177" s="60"/>
      <c r="CO177" s="60"/>
      <c r="CP177" s="60"/>
      <c r="CQ177" s="60"/>
      <c r="CR177" s="60"/>
      <c r="CS177" s="60"/>
      <c r="CT177" s="57">
        <f t="shared" si="187"/>
        <v>0</v>
      </c>
      <c r="CU177" s="57">
        <f t="shared" si="188"/>
        <v>0</v>
      </c>
      <c r="CV177" s="53">
        <f t="shared" si="189"/>
        <v>0</v>
      </c>
      <c r="CW177" s="53">
        <f t="shared" si="190"/>
        <v>0</v>
      </c>
      <c r="CX177" s="58" t="e">
        <f t="shared" si="191"/>
        <v>#DIV/0!</v>
      </c>
      <c r="CY177" s="53">
        <f t="shared" si="192"/>
        <v>0</v>
      </c>
      <c r="CZ177" s="53">
        <f t="shared" si="193"/>
        <v>0</v>
      </c>
      <c r="DA177" s="58" t="e">
        <f t="shared" si="194"/>
        <v>#DIV/0!</v>
      </c>
      <c r="DB177" s="48" t="e">
        <f t="shared" si="195"/>
        <v>#DIV/0!</v>
      </c>
      <c r="DC177" s="48" t="e">
        <f t="shared" si="196"/>
        <v>#DIV/0!</v>
      </c>
      <c r="DD177" s="48" t="e">
        <f t="shared" si="197"/>
        <v>#DIV/0!</v>
      </c>
      <c r="DE177" s="48" t="e">
        <f t="shared" si="198"/>
        <v>#DIV/0!</v>
      </c>
      <c r="DF177" s="48" t="e">
        <f t="shared" si="199"/>
        <v>#DIV/0!</v>
      </c>
      <c r="DG177" s="48" t="e">
        <f t="shared" si="200"/>
        <v>#DIV/0!</v>
      </c>
      <c r="DH177" s="48">
        <f>SUMIF(FCR!$BZ$4:$DB$500,DG177,FCR!$DE$4:$EG$500)</f>
        <v>0</v>
      </c>
      <c r="DI177" s="48" t="e">
        <f t="shared" si="201"/>
        <v>#DIV/0!</v>
      </c>
      <c r="DJ177" s="48">
        <f>SUMIF(FCR!$BZ$4:$DB$142,DI177,FCR!$DE$4:$EG$142)</f>
        <v>0</v>
      </c>
      <c r="DK177" s="48" t="e">
        <f t="shared" si="202"/>
        <v>#DIV/0!</v>
      </c>
      <c r="DL177" s="55" t="e">
        <f t="shared" si="203"/>
        <v>#DIV/0!</v>
      </c>
      <c r="DM177" s="48" t="e">
        <f t="shared" si="204"/>
        <v>#DIV/0!</v>
      </c>
      <c r="DN177" s="48">
        <f>SUMIF(FCR!$BZ$4:$DB$142,DM177,FCR!$DE$4:$EG$142)</f>
        <v>0</v>
      </c>
      <c r="DO177" s="53" t="e">
        <f t="shared" si="205"/>
        <v>#DIV/0!</v>
      </c>
      <c r="DP177" s="55" t="e">
        <f t="shared" si="206"/>
        <v>#DIV/0!</v>
      </c>
      <c r="DQ177" s="55" t="e">
        <f t="shared" si="207"/>
        <v>#DIV/0!</v>
      </c>
      <c r="DR177" s="55"/>
      <c r="DS177" s="55" t="e">
        <f t="shared" si="208"/>
        <v>#DIV/0!</v>
      </c>
      <c r="DT177" s="55" t="e">
        <f t="shared" si="209"/>
        <v>#DIV/0!</v>
      </c>
      <c r="DU177" s="53">
        <f t="shared" si="210"/>
        <v>0</v>
      </c>
      <c r="DV177" s="59" t="e">
        <f t="shared" si="211"/>
        <v>#DIV/0!</v>
      </c>
    </row>
    <row r="178" spans="30:126">
      <c r="AD178" s="49" t="s">
        <v>411</v>
      </c>
      <c r="AE178" s="49">
        <f t="shared" si="157"/>
        <v>0</v>
      </c>
      <c r="AF178" s="49">
        <f t="shared" si="158"/>
        <v>0</v>
      </c>
      <c r="AG178" s="114">
        <f t="shared" si="159"/>
        <v>0</v>
      </c>
      <c r="AH178" s="104">
        <f t="shared" si="160"/>
        <v>0</v>
      </c>
      <c r="AI178" s="104">
        <f t="shared" si="161"/>
        <v>0</v>
      </c>
      <c r="AJ178" s="104">
        <f t="shared" si="162"/>
        <v>0</v>
      </c>
      <c r="AK178" s="104">
        <f t="shared" si="163"/>
        <v>0</v>
      </c>
      <c r="AL178" s="104">
        <f t="shared" si="164"/>
        <v>0</v>
      </c>
      <c r="AM178" s="104">
        <f t="shared" si="165"/>
        <v>0</v>
      </c>
      <c r="AN178" s="104">
        <f t="shared" si="166"/>
        <v>0</v>
      </c>
      <c r="AO178" s="104">
        <f t="shared" si="167"/>
        <v>0</v>
      </c>
      <c r="AP178" s="104">
        <f t="shared" si="168"/>
        <v>0</v>
      </c>
      <c r="AQ178" s="49">
        <f t="shared" si="169"/>
        <v>0</v>
      </c>
      <c r="AR178" s="104">
        <f t="shared" si="170"/>
        <v>0</v>
      </c>
      <c r="AS178" s="104">
        <f t="shared" si="171"/>
        <v>0</v>
      </c>
      <c r="AT178" s="104">
        <f t="shared" si="172"/>
        <v>0</v>
      </c>
      <c r="AU178" s="104">
        <f t="shared" si="173"/>
        <v>0</v>
      </c>
      <c r="BF178" s="49">
        <f t="shared" si="174"/>
        <v>0</v>
      </c>
      <c r="BG178" s="49">
        <f t="shared" si="175"/>
        <v>0</v>
      </c>
      <c r="BH178" s="54" t="e">
        <f t="shared" si="176"/>
        <v>#DIV/0!</v>
      </c>
      <c r="BI178" s="112" t="e">
        <f t="shared" si="177"/>
        <v>#DIV/0!</v>
      </c>
      <c r="BK178" s="55" t="e">
        <f t="shared" si="178"/>
        <v>#DIV/0!</v>
      </c>
      <c r="BL178" s="55" t="e">
        <f t="shared" si="179"/>
        <v>#DIV/0!</v>
      </c>
      <c r="BM178" s="55" t="e">
        <f t="shared" si="180"/>
        <v>#DIV/0!</v>
      </c>
      <c r="BN178" s="53">
        <f t="shared" si="181"/>
        <v>0</v>
      </c>
      <c r="BO178" s="112" t="e">
        <f t="shared" si="182"/>
        <v>#DIV/0!</v>
      </c>
      <c r="BR178" s="53" t="e">
        <f t="shared" si="183"/>
        <v>#DIV/0!</v>
      </c>
      <c r="BS178" s="53">
        <f t="shared" si="184"/>
        <v>0</v>
      </c>
      <c r="BT178" s="53">
        <f t="shared" si="185"/>
        <v>0</v>
      </c>
      <c r="BU178" s="56" t="e">
        <f t="shared" si="186"/>
        <v>#DIV/0!</v>
      </c>
      <c r="BX178" s="60"/>
      <c r="BY178" s="60"/>
      <c r="BZ178" s="60"/>
      <c r="CA178" s="60"/>
      <c r="CB178" s="60"/>
      <c r="CC178" s="60"/>
      <c r="CD178" s="60"/>
      <c r="CE178" s="60"/>
      <c r="CF178" s="60"/>
      <c r="CG178" s="60"/>
      <c r="CH178" s="60"/>
      <c r="CI178" s="60"/>
      <c r="CJ178" s="60"/>
      <c r="CK178" s="60"/>
      <c r="CL178" s="60"/>
      <c r="CM178" s="60"/>
      <c r="CN178" s="60"/>
      <c r="CO178" s="60"/>
      <c r="CP178" s="60"/>
      <c r="CQ178" s="60"/>
      <c r="CR178" s="60"/>
      <c r="CS178" s="60"/>
      <c r="CT178" s="57">
        <f t="shared" si="187"/>
        <v>0</v>
      </c>
      <c r="CU178" s="57">
        <f t="shared" si="188"/>
        <v>0</v>
      </c>
      <c r="CV178" s="53">
        <f t="shared" si="189"/>
        <v>0</v>
      </c>
      <c r="CW178" s="53">
        <f t="shared" si="190"/>
        <v>0</v>
      </c>
      <c r="CX178" s="58" t="e">
        <f t="shared" si="191"/>
        <v>#DIV/0!</v>
      </c>
      <c r="CY178" s="53">
        <f t="shared" si="192"/>
        <v>0</v>
      </c>
      <c r="CZ178" s="53">
        <f t="shared" si="193"/>
        <v>0</v>
      </c>
      <c r="DA178" s="58" t="e">
        <f t="shared" si="194"/>
        <v>#DIV/0!</v>
      </c>
      <c r="DB178" s="48" t="e">
        <f t="shared" si="195"/>
        <v>#DIV/0!</v>
      </c>
      <c r="DC178" s="48" t="e">
        <f t="shared" si="196"/>
        <v>#DIV/0!</v>
      </c>
      <c r="DD178" s="48" t="e">
        <f t="shared" si="197"/>
        <v>#DIV/0!</v>
      </c>
      <c r="DE178" s="48" t="e">
        <f t="shared" si="198"/>
        <v>#DIV/0!</v>
      </c>
      <c r="DF178" s="48" t="e">
        <f t="shared" si="199"/>
        <v>#DIV/0!</v>
      </c>
      <c r="DG178" s="48" t="e">
        <f t="shared" si="200"/>
        <v>#DIV/0!</v>
      </c>
      <c r="DH178" s="48">
        <f>SUMIF(FCR!$BZ$4:$DB$500,DG178,FCR!$DE$4:$EG$500)</f>
        <v>0</v>
      </c>
      <c r="DI178" s="48" t="e">
        <f t="shared" si="201"/>
        <v>#DIV/0!</v>
      </c>
      <c r="DJ178" s="48">
        <f>SUMIF(FCR!$BZ$4:$DB$142,DI178,FCR!$DE$4:$EG$142)</f>
        <v>0</v>
      </c>
      <c r="DK178" s="48" t="e">
        <f t="shared" si="202"/>
        <v>#DIV/0!</v>
      </c>
      <c r="DL178" s="55" t="e">
        <f t="shared" si="203"/>
        <v>#DIV/0!</v>
      </c>
      <c r="DM178" s="48" t="e">
        <f t="shared" si="204"/>
        <v>#DIV/0!</v>
      </c>
      <c r="DN178" s="48">
        <f>SUMIF(FCR!$BZ$4:$DB$142,DM178,FCR!$DE$4:$EG$142)</f>
        <v>0</v>
      </c>
      <c r="DO178" s="53" t="e">
        <f t="shared" si="205"/>
        <v>#DIV/0!</v>
      </c>
      <c r="DP178" s="55" t="e">
        <f t="shared" si="206"/>
        <v>#DIV/0!</v>
      </c>
      <c r="DQ178" s="55" t="e">
        <f t="shared" si="207"/>
        <v>#DIV/0!</v>
      </c>
      <c r="DR178" s="55"/>
      <c r="DS178" s="55" t="e">
        <f t="shared" si="208"/>
        <v>#DIV/0!</v>
      </c>
      <c r="DT178" s="55" t="e">
        <f t="shared" si="209"/>
        <v>#DIV/0!</v>
      </c>
      <c r="DU178" s="53">
        <f t="shared" si="210"/>
        <v>0</v>
      </c>
      <c r="DV178" s="59" t="e">
        <f t="shared" si="211"/>
        <v>#DIV/0!</v>
      </c>
    </row>
    <row r="179" spans="30:126">
      <c r="AD179" s="49" t="s">
        <v>411</v>
      </c>
      <c r="AE179" s="49">
        <f t="shared" si="157"/>
        <v>0</v>
      </c>
      <c r="AF179" s="49">
        <f t="shared" si="158"/>
        <v>0</v>
      </c>
      <c r="AG179" s="114">
        <f t="shared" si="159"/>
        <v>0</v>
      </c>
      <c r="AH179" s="104">
        <f t="shared" si="160"/>
        <v>0</v>
      </c>
      <c r="AI179" s="104">
        <f t="shared" si="161"/>
        <v>0</v>
      </c>
      <c r="AJ179" s="104">
        <f t="shared" si="162"/>
        <v>0</v>
      </c>
      <c r="AK179" s="104">
        <f t="shared" si="163"/>
        <v>0</v>
      </c>
      <c r="AL179" s="104">
        <f t="shared" si="164"/>
        <v>0</v>
      </c>
      <c r="AM179" s="104">
        <f t="shared" si="165"/>
        <v>0</v>
      </c>
      <c r="AN179" s="104">
        <f t="shared" si="166"/>
        <v>0</v>
      </c>
      <c r="AO179" s="104">
        <f t="shared" si="167"/>
        <v>0</v>
      </c>
      <c r="AP179" s="104">
        <f t="shared" si="168"/>
        <v>0</v>
      </c>
      <c r="AQ179" s="49">
        <f t="shared" si="169"/>
        <v>0</v>
      </c>
      <c r="AR179" s="104">
        <f t="shared" si="170"/>
        <v>0</v>
      </c>
      <c r="AS179" s="104">
        <f t="shared" si="171"/>
        <v>0</v>
      </c>
      <c r="AT179" s="104">
        <f t="shared" si="172"/>
        <v>0</v>
      </c>
      <c r="AU179" s="104">
        <f t="shared" si="173"/>
        <v>0</v>
      </c>
      <c r="BF179" s="49">
        <f t="shared" si="174"/>
        <v>0</v>
      </c>
      <c r="BG179" s="49">
        <f t="shared" si="175"/>
        <v>0</v>
      </c>
      <c r="BH179" s="54" t="e">
        <f t="shared" si="176"/>
        <v>#DIV/0!</v>
      </c>
      <c r="BI179" s="112" t="e">
        <f t="shared" si="177"/>
        <v>#DIV/0!</v>
      </c>
      <c r="BK179" s="55" t="e">
        <f t="shared" si="178"/>
        <v>#DIV/0!</v>
      </c>
      <c r="BL179" s="55" t="e">
        <f t="shared" si="179"/>
        <v>#DIV/0!</v>
      </c>
      <c r="BM179" s="55" t="e">
        <f t="shared" si="180"/>
        <v>#DIV/0!</v>
      </c>
      <c r="BN179" s="53">
        <f t="shared" si="181"/>
        <v>0</v>
      </c>
      <c r="BO179" s="112" t="e">
        <f t="shared" si="182"/>
        <v>#DIV/0!</v>
      </c>
      <c r="BR179" s="53" t="e">
        <f t="shared" si="183"/>
        <v>#DIV/0!</v>
      </c>
      <c r="BS179" s="53">
        <f t="shared" si="184"/>
        <v>0</v>
      </c>
      <c r="BT179" s="53">
        <f t="shared" si="185"/>
        <v>0</v>
      </c>
      <c r="BU179" s="56" t="e">
        <f t="shared" si="186"/>
        <v>#DIV/0!</v>
      </c>
      <c r="BX179" s="60"/>
      <c r="BY179" s="60"/>
      <c r="BZ179" s="60"/>
      <c r="CA179" s="60"/>
      <c r="CB179" s="60"/>
      <c r="CC179" s="60"/>
      <c r="CD179" s="60"/>
      <c r="CE179" s="60"/>
      <c r="CF179" s="60"/>
      <c r="CG179" s="60"/>
      <c r="CH179" s="60"/>
      <c r="CI179" s="60"/>
      <c r="CJ179" s="60"/>
      <c r="CK179" s="60"/>
      <c r="CL179" s="60"/>
      <c r="CM179" s="60"/>
      <c r="CN179" s="60"/>
      <c r="CO179" s="60"/>
      <c r="CP179" s="60"/>
      <c r="CQ179" s="60"/>
      <c r="CR179" s="60"/>
      <c r="CS179" s="60"/>
      <c r="CT179" s="57">
        <f t="shared" si="187"/>
        <v>0</v>
      </c>
      <c r="CU179" s="57">
        <f t="shared" si="188"/>
        <v>0</v>
      </c>
      <c r="CV179" s="53">
        <f t="shared" si="189"/>
        <v>0</v>
      </c>
      <c r="CW179" s="53">
        <f t="shared" si="190"/>
        <v>0</v>
      </c>
      <c r="CX179" s="58" t="e">
        <f t="shared" si="191"/>
        <v>#DIV/0!</v>
      </c>
      <c r="CY179" s="53">
        <f t="shared" si="192"/>
        <v>0</v>
      </c>
      <c r="CZ179" s="53">
        <f t="shared" si="193"/>
        <v>0</v>
      </c>
      <c r="DA179" s="58" t="e">
        <f t="shared" si="194"/>
        <v>#DIV/0!</v>
      </c>
      <c r="DB179" s="48" t="e">
        <f t="shared" si="195"/>
        <v>#DIV/0!</v>
      </c>
      <c r="DC179" s="48" t="e">
        <f t="shared" si="196"/>
        <v>#DIV/0!</v>
      </c>
      <c r="DD179" s="48" t="e">
        <f t="shared" si="197"/>
        <v>#DIV/0!</v>
      </c>
      <c r="DE179" s="48" t="e">
        <f t="shared" si="198"/>
        <v>#DIV/0!</v>
      </c>
      <c r="DF179" s="48" t="e">
        <f t="shared" si="199"/>
        <v>#DIV/0!</v>
      </c>
      <c r="DG179" s="48" t="e">
        <f t="shared" si="200"/>
        <v>#DIV/0!</v>
      </c>
      <c r="DH179" s="48">
        <f>SUMIF(FCR!$BZ$4:$DB$500,DG179,FCR!$DE$4:$EG$500)</f>
        <v>0</v>
      </c>
      <c r="DI179" s="48" t="e">
        <f t="shared" si="201"/>
        <v>#DIV/0!</v>
      </c>
      <c r="DJ179" s="48">
        <f>SUMIF(FCR!$BZ$4:$DB$142,DI179,FCR!$DE$4:$EG$142)</f>
        <v>0</v>
      </c>
      <c r="DK179" s="48" t="e">
        <f t="shared" si="202"/>
        <v>#DIV/0!</v>
      </c>
      <c r="DL179" s="55" t="e">
        <f t="shared" si="203"/>
        <v>#DIV/0!</v>
      </c>
      <c r="DM179" s="48" t="e">
        <f t="shared" si="204"/>
        <v>#DIV/0!</v>
      </c>
      <c r="DN179" s="48">
        <f>SUMIF(FCR!$BZ$4:$DB$142,DM179,FCR!$DE$4:$EG$142)</f>
        <v>0</v>
      </c>
      <c r="DO179" s="53" t="e">
        <f t="shared" si="205"/>
        <v>#DIV/0!</v>
      </c>
      <c r="DP179" s="55" t="e">
        <f t="shared" si="206"/>
        <v>#DIV/0!</v>
      </c>
      <c r="DQ179" s="55" t="e">
        <f t="shared" si="207"/>
        <v>#DIV/0!</v>
      </c>
      <c r="DR179" s="55"/>
      <c r="DS179" s="55" t="e">
        <f t="shared" si="208"/>
        <v>#DIV/0!</v>
      </c>
      <c r="DT179" s="55" t="e">
        <f t="shared" si="209"/>
        <v>#DIV/0!</v>
      </c>
      <c r="DU179" s="53">
        <f t="shared" si="210"/>
        <v>0</v>
      </c>
      <c r="DV179" s="59" t="e">
        <f t="shared" si="211"/>
        <v>#DIV/0!</v>
      </c>
    </row>
    <row r="180" spans="30:126">
      <c r="AD180" s="49" t="s">
        <v>411</v>
      </c>
      <c r="AE180" s="49">
        <f t="shared" si="157"/>
        <v>0</v>
      </c>
      <c r="AF180" s="49">
        <f t="shared" si="158"/>
        <v>0</v>
      </c>
      <c r="AG180" s="114">
        <f t="shared" si="159"/>
        <v>0</v>
      </c>
      <c r="AH180" s="104">
        <f t="shared" si="160"/>
        <v>0</v>
      </c>
      <c r="AI180" s="104">
        <f t="shared" si="161"/>
        <v>0</v>
      </c>
      <c r="AJ180" s="104">
        <f t="shared" si="162"/>
        <v>0</v>
      </c>
      <c r="AK180" s="104">
        <f t="shared" si="163"/>
        <v>0</v>
      </c>
      <c r="AL180" s="104">
        <f t="shared" si="164"/>
        <v>0</v>
      </c>
      <c r="AM180" s="104">
        <f t="shared" si="165"/>
        <v>0</v>
      </c>
      <c r="AN180" s="104">
        <f t="shared" si="166"/>
        <v>0</v>
      </c>
      <c r="AO180" s="104">
        <f t="shared" si="167"/>
        <v>0</v>
      </c>
      <c r="AP180" s="104">
        <f t="shared" si="168"/>
        <v>0</v>
      </c>
      <c r="AQ180" s="49">
        <f t="shared" si="169"/>
        <v>0</v>
      </c>
      <c r="AR180" s="104">
        <f t="shared" si="170"/>
        <v>0</v>
      </c>
      <c r="AS180" s="104">
        <f t="shared" si="171"/>
        <v>0</v>
      </c>
      <c r="AT180" s="104">
        <f t="shared" si="172"/>
        <v>0</v>
      </c>
      <c r="AU180" s="104">
        <f t="shared" si="173"/>
        <v>0</v>
      </c>
      <c r="BF180" s="49">
        <f t="shared" si="174"/>
        <v>0</v>
      </c>
      <c r="BG180" s="49">
        <f t="shared" si="175"/>
        <v>0</v>
      </c>
      <c r="BH180" s="54" t="e">
        <f t="shared" si="176"/>
        <v>#DIV/0!</v>
      </c>
      <c r="BI180" s="112" t="e">
        <f t="shared" si="177"/>
        <v>#DIV/0!</v>
      </c>
      <c r="BK180" s="55" t="e">
        <f t="shared" si="178"/>
        <v>#DIV/0!</v>
      </c>
      <c r="BL180" s="55" t="e">
        <f t="shared" si="179"/>
        <v>#DIV/0!</v>
      </c>
      <c r="BM180" s="55" t="e">
        <f t="shared" si="180"/>
        <v>#DIV/0!</v>
      </c>
      <c r="BN180" s="53">
        <f t="shared" si="181"/>
        <v>0</v>
      </c>
      <c r="BO180" s="112" t="e">
        <f t="shared" si="182"/>
        <v>#DIV/0!</v>
      </c>
      <c r="BR180" s="53" t="e">
        <f t="shared" si="183"/>
        <v>#DIV/0!</v>
      </c>
      <c r="BS180" s="53">
        <f t="shared" si="184"/>
        <v>0</v>
      </c>
      <c r="BT180" s="53">
        <f t="shared" si="185"/>
        <v>0</v>
      </c>
      <c r="BU180" s="56" t="e">
        <f t="shared" si="186"/>
        <v>#DIV/0!</v>
      </c>
      <c r="BX180" s="60"/>
      <c r="BY180" s="60"/>
      <c r="BZ180" s="60"/>
      <c r="CA180" s="60"/>
      <c r="CB180" s="60"/>
      <c r="CC180" s="60"/>
      <c r="CD180" s="60"/>
      <c r="CE180" s="60"/>
      <c r="CF180" s="60"/>
      <c r="CG180" s="60"/>
      <c r="CH180" s="60"/>
      <c r="CI180" s="60"/>
      <c r="CJ180" s="60"/>
      <c r="CK180" s="60"/>
      <c r="CL180" s="60"/>
      <c r="CM180" s="60"/>
      <c r="CN180" s="60"/>
      <c r="CO180" s="60"/>
      <c r="CP180" s="60"/>
      <c r="CQ180" s="60"/>
      <c r="CR180" s="60"/>
      <c r="CS180" s="60"/>
      <c r="CT180" s="57">
        <f t="shared" si="187"/>
        <v>0</v>
      </c>
      <c r="CU180" s="57">
        <f t="shared" si="188"/>
        <v>0</v>
      </c>
      <c r="CV180" s="53">
        <f t="shared" si="189"/>
        <v>0</v>
      </c>
      <c r="CW180" s="53">
        <f t="shared" si="190"/>
        <v>0</v>
      </c>
      <c r="CX180" s="58" t="e">
        <f t="shared" si="191"/>
        <v>#DIV/0!</v>
      </c>
      <c r="CY180" s="53">
        <f t="shared" si="192"/>
        <v>0</v>
      </c>
      <c r="CZ180" s="53">
        <f t="shared" si="193"/>
        <v>0</v>
      </c>
      <c r="DA180" s="58" t="e">
        <f t="shared" si="194"/>
        <v>#DIV/0!</v>
      </c>
      <c r="DB180" s="48" t="e">
        <f t="shared" si="195"/>
        <v>#DIV/0!</v>
      </c>
      <c r="DC180" s="48" t="e">
        <f t="shared" si="196"/>
        <v>#DIV/0!</v>
      </c>
      <c r="DD180" s="48" t="e">
        <f t="shared" si="197"/>
        <v>#DIV/0!</v>
      </c>
      <c r="DE180" s="48" t="e">
        <f t="shared" si="198"/>
        <v>#DIV/0!</v>
      </c>
      <c r="DF180" s="48" t="e">
        <f t="shared" si="199"/>
        <v>#DIV/0!</v>
      </c>
      <c r="DG180" s="48" t="e">
        <f t="shared" si="200"/>
        <v>#DIV/0!</v>
      </c>
      <c r="DH180" s="48">
        <f>SUMIF(FCR!$BZ$4:$DB$500,DG180,FCR!$DE$4:$EG$500)</f>
        <v>0</v>
      </c>
      <c r="DI180" s="48" t="e">
        <f t="shared" si="201"/>
        <v>#DIV/0!</v>
      </c>
      <c r="DJ180" s="48">
        <f>SUMIF(FCR!$BZ$4:$DB$142,DI180,FCR!$DE$4:$EG$142)</f>
        <v>0</v>
      </c>
      <c r="DK180" s="48" t="e">
        <f t="shared" si="202"/>
        <v>#DIV/0!</v>
      </c>
      <c r="DL180" s="55" t="e">
        <f t="shared" si="203"/>
        <v>#DIV/0!</v>
      </c>
      <c r="DM180" s="48" t="e">
        <f t="shared" si="204"/>
        <v>#DIV/0!</v>
      </c>
      <c r="DN180" s="48">
        <f>SUMIF(FCR!$BZ$4:$DB$142,DM180,FCR!$DE$4:$EG$142)</f>
        <v>0</v>
      </c>
      <c r="DO180" s="53" t="e">
        <f t="shared" si="205"/>
        <v>#DIV/0!</v>
      </c>
      <c r="DP180" s="55" t="e">
        <f t="shared" si="206"/>
        <v>#DIV/0!</v>
      </c>
      <c r="DQ180" s="55" t="e">
        <f t="shared" si="207"/>
        <v>#DIV/0!</v>
      </c>
      <c r="DR180" s="55"/>
      <c r="DS180" s="55" t="e">
        <f t="shared" si="208"/>
        <v>#DIV/0!</v>
      </c>
      <c r="DT180" s="55" t="e">
        <f t="shared" si="209"/>
        <v>#DIV/0!</v>
      </c>
      <c r="DU180" s="53">
        <f t="shared" si="210"/>
        <v>0</v>
      </c>
      <c r="DV180" s="59" t="e">
        <f t="shared" si="211"/>
        <v>#DIV/0!</v>
      </c>
    </row>
    <row r="181" spans="30:126">
      <c r="AD181" s="49" t="s">
        <v>411</v>
      </c>
      <c r="AE181" s="49">
        <f t="shared" si="157"/>
        <v>0</v>
      </c>
      <c r="AF181" s="49">
        <f t="shared" si="158"/>
        <v>0</v>
      </c>
      <c r="AG181" s="114">
        <f t="shared" si="159"/>
        <v>0</v>
      </c>
      <c r="AH181" s="104">
        <f t="shared" si="160"/>
        <v>0</v>
      </c>
      <c r="AI181" s="104">
        <f t="shared" si="161"/>
        <v>0</v>
      </c>
      <c r="AJ181" s="104">
        <f t="shared" si="162"/>
        <v>0</v>
      </c>
      <c r="AK181" s="104">
        <f t="shared" si="163"/>
        <v>0</v>
      </c>
      <c r="AL181" s="104">
        <f t="shared" si="164"/>
        <v>0</v>
      </c>
      <c r="AM181" s="104">
        <f t="shared" si="165"/>
        <v>0</v>
      </c>
      <c r="AN181" s="104">
        <f t="shared" si="166"/>
        <v>0</v>
      </c>
      <c r="AO181" s="104">
        <f t="shared" si="167"/>
        <v>0</v>
      </c>
      <c r="AP181" s="104">
        <f t="shared" si="168"/>
        <v>0</v>
      </c>
      <c r="AQ181" s="49">
        <f t="shared" si="169"/>
        <v>0</v>
      </c>
      <c r="AR181" s="104">
        <f t="shared" si="170"/>
        <v>0</v>
      </c>
      <c r="AS181" s="104">
        <f t="shared" si="171"/>
        <v>0</v>
      </c>
      <c r="AT181" s="104">
        <f t="shared" si="172"/>
        <v>0</v>
      </c>
      <c r="AU181" s="104">
        <f t="shared" si="173"/>
        <v>0</v>
      </c>
      <c r="BF181" s="49">
        <f t="shared" si="174"/>
        <v>0</v>
      </c>
      <c r="BG181" s="49">
        <f t="shared" si="175"/>
        <v>0</v>
      </c>
      <c r="BH181" s="54" t="e">
        <f t="shared" si="176"/>
        <v>#DIV/0!</v>
      </c>
      <c r="BI181" s="112" t="e">
        <f t="shared" si="177"/>
        <v>#DIV/0!</v>
      </c>
      <c r="BK181" s="55" t="e">
        <f t="shared" si="178"/>
        <v>#DIV/0!</v>
      </c>
      <c r="BL181" s="55" t="e">
        <f t="shared" si="179"/>
        <v>#DIV/0!</v>
      </c>
      <c r="BM181" s="55" t="e">
        <f t="shared" si="180"/>
        <v>#DIV/0!</v>
      </c>
      <c r="BN181" s="53">
        <f t="shared" si="181"/>
        <v>0</v>
      </c>
      <c r="BO181" s="112" t="e">
        <f t="shared" si="182"/>
        <v>#DIV/0!</v>
      </c>
      <c r="BR181" s="53" t="e">
        <f t="shared" si="183"/>
        <v>#DIV/0!</v>
      </c>
      <c r="BS181" s="53">
        <f t="shared" si="184"/>
        <v>0</v>
      </c>
      <c r="BT181" s="53">
        <f t="shared" si="185"/>
        <v>0</v>
      </c>
      <c r="BU181" s="56" t="e">
        <f t="shared" si="186"/>
        <v>#DIV/0!</v>
      </c>
      <c r="BX181" s="60"/>
      <c r="BY181" s="60"/>
      <c r="BZ181" s="60"/>
      <c r="CA181" s="60"/>
      <c r="CB181" s="60"/>
      <c r="CC181" s="60"/>
      <c r="CD181" s="60"/>
      <c r="CE181" s="60"/>
      <c r="CF181" s="60"/>
      <c r="CG181" s="60"/>
      <c r="CH181" s="60"/>
      <c r="CI181" s="60"/>
      <c r="CJ181" s="60"/>
      <c r="CK181" s="60"/>
      <c r="CL181" s="60"/>
      <c r="CM181" s="60"/>
      <c r="CN181" s="60"/>
      <c r="CO181" s="60"/>
      <c r="CP181" s="60"/>
      <c r="CQ181" s="60"/>
      <c r="CR181" s="60"/>
      <c r="CS181" s="60"/>
      <c r="CT181" s="57">
        <f t="shared" si="187"/>
        <v>0</v>
      </c>
      <c r="CU181" s="57">
        <f t="shared" si="188"/>
        <v>0</v>
      </c>
      <c r="CV181" s="53">
        <f t="shared" si="189"/>
        <v>0</v>
      </c>
      <c r="CW181" s="53">
        <f t="shared" si="190"/>
        <v>0</v>
      </c>
      <c r="CX181" s="58" t="e">
        <f t="shared" si="191"/>
        <v>#DIV/0!</v>
      </c>
      <c r="CY181" s="53">
        <f t="shared" si="192"/>
        <v>0</v>
      </c>
      <c r="CZ181" s="53">
        <f t="shared" si="193"/>
        <v>0</v>
      </c>
      <c r="DA181" s="58" t="e">
        <f t="shared" si="194"/>
        <v>#DIV/0!</v>
      </c>
      <c r="DB181" s="48" t="e">
        <f t="shared" si="195"/>
        <v>#DIV/0!</v>
      </c>
      <c r="DC181" s="48" t="e">
        <f t="shared" si="196"/>
        <v>#DIV/0!</v>
      </c>
      <c r="DD181" s="48" t="e">
        <f t="shared" si="197"/>
        <v>#DIV/0!</v>
      </c>
      <c r="DE181" s="48" t="e">
        <f t="shared" si="198"/>
        <v>#DIV/0!</v>
      </c>
      <c r="DF181" s="48" t="e">
        <f t="shared" si="199"/>
        <v>#DIV/0!</v>
      </c>
      <c r="DG181" s="48" t="e">
        <f t="shared" si="200"/>
        <v>#DIV/0!</v>
      </c>
      <c r="DH181" s="48">
        <f>SUMIF(FCR!$BZ$4:$DB$500,DG181,FCR!$DE$4:$EG$500)</f>
        <v>0</v>
      </c>
      <c r="DI181" s="48" t="e">
        <f t="shared" si="201"/>
        <v>#DIV/0!</v>
      </c>
      <c r="DJ181" s="48">
        <f>SUMIF(FCR!$BZ$4:$DB$142,DI181,FCR!$DE$4:$EG$142)</f>
        <v>0</v>
      </c>
      <c r="DK181" s="48" t="e">
        <f t="shared" si="202"/>
        <v>#DIV/0!</v>
      </c>
      <c r="DL181" s="55" t="e">
        <f t="shared" si="203"/>
        <v>#DIV/0!</v>
      </c>
      <c r="DM181" s="48" t="e">
        <f t="shared" si="204"/>
        <v>#DIV/0!</v>
      </c>
      <c r="DN181" s="48">
        <f>SUMIF(FCR!$BZ$4:$DB$142,DM181,FCR!$DE$4:$EG$142)</f>
        <v>0</v>
      </c>
      <c r="DO181" s="53" t="e">
        <f t="shared" si="205"/>
        <v>#DIV/0!</v>
      </c>
      <c r="DP181" s="55" t="e">
        <f t="shared" si="206"/>
        <v>#DIV/0!</v>
      </c>
      <c r="DQ181" s="55" t="e">
        <f t="shared" si="207"/>
        <v>#DIV/0!</v>
      </c>
      <c r="DR181" s="55"/>
      <c r="DS181" s="55" t="e">
        <f t="shared" si="208"/>
        <v>#DIV/0!</v>
      </c>
      <c r="DT181" s="55" t="e">
        <f t="shared" si="209"/>
        <v>#DIV/0!</v>
      </c>
      <c r="DU181" s="53">
        <f t="shared" si="210"/>
        <v>0</v>
      </c>
      <c r="DV181" s="59" t="e">
        <f t="shared" si="211"/>
        <v>#DIV/0!</v>
      </c>
    </row>
    <row r="182" spans="30:126">
      <c r="AD182" s="49" t="s">
        <v>411</v>
      </c>
      <c r="AE182" s="49">
        <f t="shared" si="157"/>
        <v>0</v>
      </c>
      <c r="AF182" s="49">
        <f t="shared" si="158"/>
        <v>0</v>
      </c>
      <c r="AG182" s="114">
        <f t="shared" si="159"/>
        <v>0</v>
      </c>
      <c r="AH182" s="104">
        <f t="shared" si="160"/>
        <v>0</v>
      </c>
      <c r="AI182" s="104">
        <f t="shared" si="161"/>
        <v>0</v>
      </c>
      <c r="AJ182" s="104">
        <f t="shared" si="162"/>
        <v>0</v>
      </c>
      <c r="AK182" s="104">
        <f t="shared" si="163"/>
        <v>0</v>
      </c>
      <c r="AL182" s="104">
        <f t="shared" si="164"/>
        <v>0</v>
      </c>
      <c r="AM182" s="104">
        <f t="shared" si="165"/>
        <v>0</v>
      </c>
      <c r="AN182" s="104">
        <f t="shared" si="166"/>
        <v>0</v>
      </c>
      <c r="AO182" s="104">
        <f t="shared" si="167"/>
        <v>0</v>
      </c>
      <c r="AP182" s="104">
        <f t="shared" si="168"/>
        <v>0</v>
      </c>
      <c r="AQ182" s="49">
        <f t="shared" si="169"/>
        <v>0</v>
      </c>
      <c r="AR182" s="104">
        <f t="shared" si="170"/>
        <v>0</v>
      </c>
      <c r="AS182" s="104">
        <f t="shared" si="171"/>
        <v>0</v>
      </c>
      <c r="AT182" s="104">
        <f t="shared" si="172"/>
        <v>0</v>
      </c>
      <c r="AU182" s="104">
        <f t="shared" si="173"/>
        <v>0</v>
      </c>
      <c r="BF182" s="49">
        <f t="shared" si="174"/>
        <v>0</v>
      </c>
      <c r="BG182" s="49">
        <f t="shared" si="175"/>
        <v>0</v>
      </c>
      <c r="BH182" s="54" t="e">
        <f t="shared" si="176"/>
        <v>#DIV/0!</v>
      </c>
      <c r="BI182" s="112" t="e">
        <f t="shared" si="177"/>
        <v>#DIV/0!</v>
      </c>
      <c r="BK182" s="55" t="e">
        <f t="shared" si="178"/>
        <v>#DIV/0!</v>
      </c>
      <c r="BL182" s="55" t="e">
        <f t="shared" si="179"/>
        <v>#DIV/0!</v>
      </c>
      <c r="BM182" s="55" t="e">
        <f t="shared" si="180"/>
        <v>#DIV/0!</v>
      </c>
      <c r="BN182" s="53">
        <f t="shared" si="181"/>
        <v>0</v>
      </c>
      <c r="BO182" s="112" t="e">
        <f t="shared" si="182"/>
        <v>#DIV/0!</v>
      </c>
      <c r="BR182" s="53" t="e">
        <f t="shared" si="183"/>
        <v>#DIV/0!</v>
      </c>
      <c r="BS182" s="53">
        <f t="shared" si="184"/>
        <v>0</v>
      </c>
      <c r="BT182" s="53">
        <f t="shared" si="185"/>
        <v>0</v>
      </c>
      <c r="BU182" s="56" t="e">
        <f t="shared" si="186"/>
        <v>#DIV/0!</v>
      </c>
      <c r="BX182" s="60"/>
      <c r="BY182" s="60"/>
      <c r="BZ182" s="60"/>
      <c r="CA182" s="60"/>
      <c r="CB182" s="60"/>
      <c r="CC182" s="60"/>
      <c r="CD182" s="60"/>
      <c r="CE182" s="60"/>
      <c r="CF182" s="60"/>
      <c r="CG182" s="60"/>
      <c r="CH182" s="60"/>
      <c r="CI182" s="60"/>
      <c r="CJ182" s="60"/>
      <c r="CK182" s="60"/>
      <c r="CL182" s="60"/>
      <c r="CM182" s="60"/>
      <c r="CN182" s="60"/>
      <c r="CO182" s="60"/>
      <c r="CP182" s="60"/>
      <c r="CQ182" s="60"/>
      <c r="CR182" s="60"/>
      <c r="CS182" s="60"/>
      <c r="CT182" s="57">
        <f t="shared" si="187"/>
        <v>0</v>
      </c>
      <c r="CU182" s="57">
        <f t="shared" si="188"/>
        <v>0</v>
      </c>
      <c r="CV182" s="53">
        <f t="shared" si="189"/>
        <v>0</v>
      </c>
      <c r="CW182" s="53">
        <f t="shared" si="190"/>
        <v>0</v>
      </c>
      <c r="CX182" s="58" t="e">
        <f t="shared" si="191"/>
        <v>#DIV/0!</v>
      </c>
      <c r="CY182" s="53">
        <f t="shared" si="192"/>
        <v>0</v>
      </c>
      <c r="CZ182" s="53">
        <f t="shared" si="193"/>
        <v>0</v>
      </c>
      <c r="DA182" s="58" t="e">
        <f t="shared" si="194"/>
        <v>#DIV/0!</v>
      </c>
      <c r="DB182" s="48" t="e">
        <f t="shared" si="195"/>
        <v>#DIV/0!</v>
      </c>
      <c r="DC182" s="48" t="e">
        <f t="shared" si="196"/>
        <v>#DIV/0!</v>
      </c>
      <c r="DD182" s="48" t="e">
        <f t="shared" si="197"/>
        <v>#DIV/0!</v>
      </c>
      <c r="DE182" s="48" t="e">
        <f t="shared" si="198"/>
        <v>#DIV/0!</v>
      </c>
      <c r="DF182" s="48" t="e">
        <f t="shared" si="199"/>
        <v>#DIV/0!</v>
      </c>
      <c r="DG182" s="48" t="e">
        <f t="shared" si="200"/>
        <v>#DIV/0!</v>
      </c>
      <c r="DH182" s="48">
        <f>SUMIF(FCR!$BZ$4:$DB$500,DG182,FCR!$DE$4:$EG$500)</f>
        <v>0</v>
      </c>
      <c r="DI182" s="48" t="e">
        <f t="shared" si="201"/>
        <v>#DIV/0!</v>
      </c>
      <c r="DJ182" s="48">
        <f>SUMIF(FCR!$BZ$4:$DB$142,DI182,FCR!$DE$4:$EG$142)</f>
        <v>0</v>
      </c>
      <c r="DK182" s="48" t="e">
        <f t="shared" si="202"/>
        <v>#DIV/0!</v>
      </c>
      <c r="DL182" s="55" t="e">
        <f t="shared" si="203"/>
        <v>#DIV/0!</v>
      </c>
      <c r="DM182" s="48" t="e">
        <f t="shared" si="204"/>
        <v>#DIV/0!</v>
      </c>
      <c r="DN182" s="48">
        <f>SUMIF(FCR!$BZ$4:$DB$142,DM182,FCR!$DE$4:$EG$142)</f>
        <v>0</v>
      </c>
      <c r="DO182" s="53" t="e">
        <f t="shared" si="205"/>
        <v>#DIV/0!</v>
      </c>
      <c r="DP182" s="55" t="e">
        <f t="shared" si="206"/>
        <v>#DIV/0!</v>
      </c>
      <c r="DQ182" s="55" t="e">
        <f t="shared" si="207"/>
        <v>#DIV/0!</v>
      </c>
      <c r="DR182" s="55"/>
      <c r="DS182" s="55" t="e">
        <f t="shared" si="208"/>
        <v>#DIV/0!</v>
      </c>
      <c r="DT182" s="55" t="e">
        <f t="shared" si="209"/>
        <v>#DIV/0!</v>
      </c>
      <c r="DU182" s="53">
        <f t="shared" si="210"/>
        <v>0</v>
      </c>
      <c r="DV182" s="59" t="e">
        <f t="shared" si="211"/>
        <v>#DIV/0!</v>
      </c>
    </row>
    <row r="183" spans="30:126">
      <c r="AD183" s="49" t="s">
        <v>411</v>
      </c>
      <c r="AE183" s="49">
        <f t="shared" si="157"/>
        <v>0</v>
      </c>
      <c r="AF183" s="49">
        <f t="shared" si="158"/>
        <v>0</v>
      </c>
      <c r="AG183" s="114">
        <f t="shared" si="159"/>
        <v>0</v>
      </c>
      <c r="AH183" s="104">
        <f t="shared" si="160"/>
        <v>0</v>
      </c>
      <c r="AI183" s="104">
        <f t="shared" si="161"/>
        <v>0</v>
      </c>
      <c r="AJ183" s="104">
        <f t="shared" si="162"/>
        <v>0</v>
      </c>
      <c r="AK183" s="104">
        <f t="shared" si="163"/>
        <v>0</v>
      </c>
      <c r="AL183" s="104">
        <f t="shared" si="164"/>
        <v>0</v>
      </c>
      <c r="AM183" s="104">
        <f t="shared" si="165"/>
        <v>0</v>
      </c>
      <c r="AN183" s="104">
        <f t="shared" si="166"/>
        <v>0</v>
      </c>
      <c r="AO183" s="104">
        <f t="shared" si="167"/>
        <v>0</v>
      </c>
      <c r="AP183" s="104">
        <f t="shared" si="168"/>
        <v>0</v>
      </c>
      <c r="AQ183" s="49">
        <f t="shared" si="169"/>
        <v>0</v>
      </c>
      <c r="AR183" s="104">
        <f t="shared" si="170"/>
        <v>0</v>
      </c>
      <c r="AS183" s="104">
        <f t="shared" si="171"/>
        <v>0</v>
      </c>
      <c r="AT183" s="104">
        <f t="shared" si="172"/>
        <v>0</v>
      </c>
      <c r="AU183" s="104">
        <f t="shared" si="173"/>
        <v>0</v>
      </c>
      <c r="BF183" s="49">
        <f t="shared" si="174"/>
        <v>0</v>
      </c>
      <c r="BG183" s="49">
        <f t="shared" si="175"/>
        <v>0</v>
      </c>
      <c r="BH183" s="54" t="e">
        <f t="shared" si="176"/>
        <v>#DIV/0!</v>
      </c>
      <c r="BI183" s="112" t="e">
        <f t="shared" si="177"/>
        <v>#DIV/0!</v>
      </c>
      <c r="BK183" s="55" t="e">
        <f t="shared" si="178"/>
        <v>#DIV/0!</v>
      </c>
      <c r="BL183" s="55" t="e">
        <f t="shared" si="179"/>
        <v>#DIV/0!</v>
      </c>
      <c r="BM183" s="55" t="e">
        <f t="shared" si="180"/>
        <v>#DIV/0!</v>
      </c>
      <c r="BN183" s="53">
        <f t="shared" si="181"/>
        <v>0</v>
      </c>
      <c r="BO183" s="112" t="e">
        <f t="shared" si="182"/>
        <v>#DIV/0!</v>
      </c>
      <c r="BR183" s="53" t="e">
        <f t="shared" si="183"/>
        <v>#DIV/0!</v>
      </c>
      <c r="BS183" s="53">
        <f t="shared" si="184"/>
        <v>0</v>
      </c>
      <c r="BT183" s="53">
        <f t="shared" si="185"/>
        <v>0</v>
      </c>
      <c r="BU183" s="56" t="e">
        <f t="shared" si="186"/>
        <v>#DIV/0!</v>
      </c>
      <c r="BX183" s="60"/>
      <c r="BY183" s="60"/>
      <c r="BZ183" s="60"/>
      <c r="CA183" s="60"/>
      <c r="CB183" s="60"/>
      <c r="CC183" s="60"/>
      <c r="CD183" s="60"/>
      <c r="CE183" s="60"/>
      <c r="CF183" s="60"/>
      <c r="CG183" s="60"/>
      <c r="CH183" s="60"/>
      <c r="CI183" s="60"/>
      <c r="CJ183" s="60"/>
      <c r="CK183" s="60"/>
      <c r="CL183" s="60"/>
      <c r="CM183" s="60"/>
      <c r="CN183" s="60"/>
      <c r="CO183" s="60"/>
      <c r="CP183" s="60"/>
      <c r="CQ183" s="60"/>
      <c r="CR183" s="60"/>
      <c r="CS183" s="60"/>
      <c r="CT183" s="57">
        <f t="shared" si="187"/>
        <v>0</v>
      </c>
      <c r="CU183" s="57">
        <f t="shared" si="188"/>
        <v>0</v>
      </c>
      <c r="CV183" s="53">
        <f t="shared" si="189"/>
        <v>0</v>
      </c>
      <c r="CW183" s="53">
        <f t="shared" si="190"/>
        <v>0</v>
      </c>
      <c r="CX183" s="58" t="e">
        <f t="shared" si="191"/>
        <v>#DIV/0!</v>
      </c>
      <c r="CY183" s="53">
        <f t="shared" si="192"/>
        <v>0</v>
      </c>
      <c r="CZ183" s="53">
        <f t="shared" si="193"/>
        <v>0</v>
      </c>
      <c r="DA183" s="58" t="e">
        <f t="shared" si="194"/>
        <v>#DIV/0!</v>
      </c>
      <c r="DB183" s="48" t="e">
        <f t="shared" si="195"/>
        <v>#DIV/0!</v>
      </c>
      <c r="DC183" s="48" t="e">
        <f t="shared" si="196"/>
        <v>#DIV/0!</v>
      </c>
      <c r="DD183" s="48" t="e">
        <f t="shared" si="197"/>
        <v>#DIV/0!</v>
      </c>
      <c r="DE183" s="48" t="e">
        <f t="shared" si="198"/>
        <v>#DIV/0!</v>
      </c>
      <c r="DF183" s="48" t="e">
        <f t="shared" si="199"/>
        <v>#DIV/0!</v>
      </c>
      <c r="DG183" s="48" t="e">
        <f t="shared" si="200"/>
        <v>#DIV/0!</v>
      </c>
      <c r="DH183" s="48">
        <f>SUMIF(FCR!$BZ$4:$DB$500,DG183,FCR!$DE$4:$EG$500)</f>
        <v>0</v>
      </c>
      <c r="DI183" s="48" t="e">
        <f t="shared" si="201"/>
        <v>#DIV/0!</v>
      </c>
      <c r="DJ183" s="48">
        <f>SUMIF(FCR!$BZ$4:$DB$142,DI183,FCR!$DE$4:$EG$142)</f>
        <v>0</v>
      </c>
      <c r="DK183" s="48" t="e">
        <f t="shared" si="202"/>
        <v>#DIV/0!</v>
      </c>
      <c r="DL183" s="55" t="e">
        <f t="shared" si="203"/>
        <v>#DIV/0!</v>
      </c>
      <c r="DM183" s="48" t="e">
        <f t="shared" si="204"/>
        <v>#DIV/0!</v>
      </c>
      <c r="DN183" s="48">
        <f>SUMIF(FCR!$BZ$4:$DB$142,DM183,FCR!$DE$4:$EG$142)</f>
        <v>0</v>
      </c>
      <c r="DO183" s="53" t="e">
        <f t="shared" si="205"/>
        <v>#DIV/0!</v>
      </c>
      <c r="DP183" s="55" t="e">
        <f t="shared" si="206"/>
        <v>#DIV/0!</v>
      </c>
      <c r="DQ183" s="55" t="e">
        <f t="shared" si="207"/>
        <v>#DIV/0!</v>
      </c>
      <c r="DR183" s="55"/>
      <c r="DS183" s="55" t="e">
        <f t="shared" si="208"/>
        <v>#DIV/0!</v>
      </c>
      <c r="DT183" s="55" t="e">
        <f t="shared" si="209"/>
        <v>#DIV/0!</v>
      </c>
      <c r="DU183" s="53">
        <f t="shared" si="210"/>
        <v>0</v>
      </c>
      <c r="DV183" s="59" t="e">
        <f t="shared" si="211"/>
        <v>#DIV/0!</v>
      </c>
    </row>
    <row r="184" spans="30:126">
      <c r="AD184" s="49" t="s">
        <v>411</v>
      </c>
      <c r="AE184" s="49">
        <f t="shared" si="157"/>
        <v>0</v>
      </c>
      <c r="AF184" s="49">
        <f t="shared" si="158"/>
        <v>0</v>
      </c>
      <c r="AG184" s="114">
        <f t="shared" si="159"/>
        <v>0</v>
      </c>
      <c r="AH184" s="104">
        <f t="shared" si="160"/>
        <v>0</v>
      </c>
      <c r="AI184" s="104">
        <f t="shared" si="161"/>
        <v>0</v>
      </c>
      <c r="AJ184" s="104">
        <f t="shared" si="162"/>
        <v>0</v>
      </c>
      <c r="AK184" s="104">
        <f t="shared" si="163"/>
        <v>0</v>
      </c>
      <c r="AL184" s="104">
        <f t="shared" si="164"/>
        <v>0</v>
      </c>
      <c r="AM184" s="104">
        <f t="shared" si="165"/>
        <v>0</v>
      </c>
      <c r="AN184" s="104">
        <f t="shared" si="166"/>
        <v>0</v>
      </c>
      <c r="AO184" s="104">
        <f t="shared" si="167"/>
        <v>0</v>
      </c>
      <c r="AP184" s="104">
        <f t="shared" si="168"/>
        <v>0</v>
      </c>
      <c r="AQ184" s="49">
        <f t="shared" si="169"/>
        <v>0</v>
      </c>
      <c r="AR184" s="104">
        <f t="shared" si="170"/>
        <v>0</v>
      </c>
      <c r="AS184" s="104">
        <f t="shared" si="171"/>
        <v>0</v>
      </c>
      <c r="AT184" s="104">
        <f t="shared" si="172"/>
        <v>0</v>
      </c>
      <c r="AU184" s="104">
        <f t="shared" si="173"/>
        <v>0</v>
      </c>
      <c r="BF184" s="49">
        <f t="shared" si="174"/>
        <v>0</v>
      </c>
      <c r="BG184" s="49">
        <f t="shared" si="175"/>
        <v>0</v>
      </c>
      <c r="BH184" s="54" t="e">
        <f t="shared" si="176"/>
        <v>#DIV/0!</v>
      </c>
      <c r="BI184" s="112" t="e">
        <f t="shared" si="177"/>
        <v>#DIV/0!</v>
      </c>
      <c r="BK184" s="55" t="e">
        <f t="shared" si="178"/>
        <v>#DIV/0!</v>
      </c>
      <c r="BL184" s="55" t="e">
        <f t="shared" si="179"/>
        <v>#DIV/0!</v>
      </c>
      <c r="BM184" s="55" t="e">
        <f t="shared" si="180"/>
        <v>#DIV/0!</v>
      </c>
      <c r="BN184" s="53">
        <f t="shared" si="181"/>
        <v>0</v>
      </c>
      <c r="BO184" s="112" t="e">
        <f t="shared" si="182"/>
        <v>#DIV/0!</v>
      </c>
      <c r="BR184" s="53" t="e">
        <f t="shared" si="183"/>
        <v>#DIV/0!</v>
      </c>
      <c r="BS184" s="53">
        <f t="shared" si="184"/>
        <v>0</v>
      </c>
      <c r="BT184" s="53">
        <f t="shared" si="185"/>
        <v>0</v>
      </c>
      <c r="BU184" s="56" t="e">
        <f t="shared" si="186"/>
        <v>#DIV/0!</v>
      </c>
      <c r="BX184" s="60"/>
      <c r="BY184" s="60"/>
      <c r="BZ184" s="60"/>
      <c r="CA184" s="60"/>
      <c r="CB184" s="60"/>
      <c r="CC184" s="60"/>
      <c r="CD184" s="60"/>
      <c r="CE184" s="60"/>
      <c r="CF184" s="60"/>
      <c r="CG184" s="60"/>
      <c r="CH184" s="60"/>
      <c r="CI184" s="60"/>
      <c r="CJ184" s="60"/>
      <c r="CK184" s="60"/>
      <c r="CL184" s="60"/>
      <c r="CM184" s="60"/>
      <c r="CN184" s="60"/>
      <c r="CO184" s="60"/>
      <c r="CP184" s="60"/>
      <c r="CQ184" s="60"/>
      <c r="CR184" s="60"/>
      <c r="CS184" s="60"/>
      <c r="CT184" s="57">
        <f t="shared" si="187"/>
        <v>0</v>
      </c>
      <c r="CU184" s="57">
        <f t="shared" si="188"/>
        <v>0</v>
      </c>
      <c r="CV184" s="53">
        <f t="shared" si="189"/>
        <v>0</v>
      </c>
      <c r="CW184" s="53">
        <f t="shared" si="190"/>
        <v>0</v>
      </c>
      <c r="CX184" s="58" t="e">
        <f t="shared" si="191"/>
        <v>#DIV/0!</v>
      </c>
      <c r="CY184" s="53">
        <f t="shared" si="192"/>
        <v>0</v>
      </c>
      <c r="CZ184" s="53">
        <f t="shared" si="193"/>
        <v>0</v>
      </c>
      <c r="DA184" s="58" t="e">
        <f t="shared" si="194"/>
        <v>#DIV/0!</v>
      </c>
      <c r="DB184" s="48" t="e">
        <f t="shared" si="195"/>
        <v>#DIV/0!</v>
      </c>
      <c r="DC184" s="48" t="e">
        <f t="shared" si="196"/>
        <v>#DIV/0!</v>
      </c>
      <c r="DD184" s="48" t="e">
        <f t="shared" si="197"/>
        <v>#DIV/0!</v>
      </c>
      <c r="DE184" s="48" t="e">
        <f t="shared" si="198"/>
        <v>#DIV/0!</v>
      </c>
      <c r="DF184" s="48" t="e">
        <f t="shared" si="199"/>
        <v>#DIV/0!</v>
      </c>
      <c r="DG184" s="48" t="e">
        <f t="shared" si="200"/>
        <v>#DIV/0!</v>
      </c>
      <c r="DH184" s="48">
        <f>SUMIF(FCR!$BZ$4:$DB$500,DG184,FCR!$DE$4:$EG$500)</f>
        <v>0</v>
      </c>
      <c r="DI184" s="48" t="e">
        <f t="shared" si="201"/>
        <v>#DIV/0!</v>
      </c>
      <c r="DJ184" s="48">
        <f>SUMIF(FCR!$BZ$4:$DB$142,DI184,FCR!$DE$4:$EG$142)</f>
        <v>0</v>
      </c>
      <c r="DK184" s="48" t="e">
        <f t="shared" si="202"/>
        <v>#DIV/0!</v>
      </c>
      <c r="DL184" s="55" t="e">
        <f t="shared" si="203"/>
        <v>#DIV/0!</v>
      </c>
      <c r="DM184" s="48" t="e">
        <f t="shared" si="204"/>
        <v>#DIV/0!</v>
      </c>
      <c r="DN184" s="48">
        <f>SUMIF(FCR!$BZ$4:$DB$142,DM184,FCR!$DE$4:$EG$142)</f>
        <v>0</v>
      </c>
      <c r="DO184" s="53" t="e">
        <f t="shared" si="205"/>
        <v>#DIV/0!</v>
      </c>
      <c r="DP184" s="55" t="e">
        <f t="shared" si="206"/>
        <v>#DIV/0!</v>
      </c>
      <c r="DQ184" s="55" t="e">
        <f t="shared" si="207"/>
        <v>#DIV/0!</v>
      </c>
      <c r="DR184" s="55"/>
      <c r="DS184" s="55" t="e">
        <f t="shared" si="208"/>
        <v>#DIV/0!</v>
      </c>
      <c r="DT184" s="55" t="e">
        <f t="shared" si="209"/>
        <v>#DIV/0!</v>
      </c>
      <c r="DU184" s="53">
        <f t="shared" si="210"/>
        <v>0</v>
      </c>
      <c r="DV184" s="59" t="e">
        <f t="shared" si="211"/>
        <v>#DIV/0!</v>
      </c>
    </row>
    <row r="185" spans="30:126">
      <c r="AD185" s="49" t="s">
        <v>411</v>
      </c>
      <c r="AE185" s="49">
        <f t="shared" si="157"/>
        <v>0</v>
      </c>
      <c r="AF185" s="49">
        <f t="shared" si="158"/>
        <v>0</v>
      </c>
      <c r="AG185" s="114">
        <f t="shared" si="159"/>
        <v>0</v>
      </c>
      <c r="AH185" s="104">
        <f t="shared" si="160"/>
        <v>0</v>
      </c>
      <c r="AI185" s="104">
        <f t="shared" si="161"/>
        <v>0</v>
      </c>
      <c r="AJ185" s="104">
        <f t="shared" si="162"/>
        <v>0</v>
      </c>
      <c r="AK185" s="104">
        <f t="shared" si="163"/>
        <v>0</v>
      </c>
      <c r="AL185" s="104">
        <f t="shared" si="164"/>
        <v>0</v>
      </c>
      <c r="AM185" s="104">
        <f t="shared" si="165"/>
        <v>0</v>
      </c>
      <c r="AN185" s="104">
        <f t="shared" si="166"/>
        <v>0</v>
      </c>
      <c r="AO185" s="104">
        <f t="shared" si="167"/>
        <v>0</v>
      </c>
      <c r="AP185" s="104">
        <f t="shared" si="168"/>
        <v>0</v>
      </c>
      <c r="AQ185" s="49">
        <f t="shared" si="169"/>
        <v>0</v>
      </c>
      <c r="AR185" s="104">
        <f t="shared" si="170"/>
        <v>0</v>
      </c>
      <c r="AS185" s="104">
        <f t="shared" si="171"/>
        <v>0</v>
      </c>
      <c r="AT185" s="104">
        <f t="shared" si="172"/>
        <v>0</v>
      </c>
      <c r="AU185" s="104">
        <f t="shared" si="173"/>
        <v>0</v>
      </c>
      <c r="BF185" s="49">
        <f t="shared" si="174"/>
        <v>0</v>
      </c>
      <c r="BG185" s="49">
        <f t="shared" si="175"/>
        <v>0</v>
      </c>
      <c r="BH185" s="54" t="e">
        <f t="shared" si="176"/>
        <v>#DIV/0!</v>
      </c>
      <c r="BI185" s="112" t="e">
        <f t="shared" si="177"/>
        <v>#DIV/0!</v>
      </c>
      <c r="BK185" s="55" t="e">
        <f t="shared" si="178"/>
        <v>#DIV/0!</v>
      </c>
      <c r="BL185" s="55" t="e">
        <f t="shared" si="179"/>
        <v>#DIV/0!</v>
      </c>
      <c r="BM185" s="55" t="e">
        <f t="shared" si="180"/>
        <v>#DIV/0!</v>
      </c>
      <c r="BN185" s="53">
        <f t="shared" si="181"/>
        <v>0</v>
      </c>
      <c r="BO185" s="112" t="e">
        <f t="shared" si="182"/>
        <v>#DIV/0!</v>
      </c>
      <c r="BR185" s="53" t="e">
        <f t="shared" si="183"/>
        <v>#DIV/0!</v>
      </c>
      <c r="BS185" s="53">
        <f t="shared" si="184"/>
        <v>0</v>
      </c>
      <c r="BT185" s="53">
        <f t="shared" si="185"/>
        <v>0</v>
      </c>
      <c r="BU185" s="56" t="e">
        <f t="shared" si="186"/>
        <v>#DIV/0!</v>
      </c>
      <c r="BX185" s="60"/>
      <c r="BY185" s="60"/>
      <c r="BZ185" s="60"/>
      <c r="CA185" s="60"/>
      <c r="CB185" s="60"/>
      <c r="CC185" s="60"/>
      <c r="CD185" s="60"/>
      <c r="CE185" s="60"/>
      <c r="CF185" s="60"/>
      <c r="CG185" s="60"/>
      <c r="CH185" s="60"/>
      <c r="CI185" s="60"/>
      <c r="CJ185" s="60"/>
      <c r="CK185" s="60"/>
      <c r="CL185" s="60"/>
      <c r="CM185" s="60"/>
      <c r="CN185" s="60"/>
      <c r="CO185" s="60"/>
      <c r="CP185" s="60"/>
      <c r="CQ185" s="60"/>
      <c r="CR185" s="60"/>
      <c r="CS185" s="60"/>
      <c r="CT185" s="57">
        <f t="shared" si="187"/>
        <v>0</v>
      </c>
      <c r="CU185" s="57">
        <f t="shared" si="188"/>
        <v>0</v>
      </c>
      <c r="CV185" s="53">
        <f t="shared" si="189"/>
        <v>0</v>
      </c>
      <c r="CW185" s="53">
        <f t="shared" si="190"/>
        <v>0</v>
      </c>
      <c r="CX185" s="58" t="e">
        <f t="shared" si="191"/>
        <v>#DIV/0!</v>
      </c>
      <c r="CY185" s="53">
        <f t="shared" si="192"/>
        <v>0</v>
      </c>
      <c r="CZ185" s="53">
        <f t="shared" si="193"/>
        <v>0</v>
      </c>
      <c r="DA185" s="58" t="e">
        <f t="shared" si="194"/>
        <v>#DIV/0!</v>
      </c>
      <c r="DB185" s="48" t="e">
        <f t="shared" si="195"/>
        <v>#DIV/0!</v>
      </c>
      <c r="DC185" s="48" t="e">
        <f t="shared" si="196"/>
        <v>#DIV/0!</v>
      </c>
      <c r="DD185" s="48" t="e">
        <f t="shared" si="197"/>
        <v>#DIV/0!</v>
      </c>
      <c r="DE185" s="48" t="e">
        <f t="shared" si="198"/>
        <v>#DIV/0!</v>
      </c>
      <c r="DF185" s="48" t="e">
        <f t="shared" si="199"/>
        <v>#DIV/0!</v>
      </c>
      <c r="DG185" s="48" t="e">
        <f t="shared" si="200"/>
        <v>#DIV/0!</v>
      </c>
      <c r="DH185" s="48">
        <f>SUMIF(FCR!$BZ$4:$DB$500,DG185,FCR!$DE$4:$EG$500)</f>
        <v>0</v>
      </c>
      <c r="DI185" s="48" t="e">
        <f t="shared" si="201"/>
        <v>#DIV/0!</v>
      </c>
      <c r="DJ185" s="48">
        <f>SUMIF(FCR!$BZ$4:$DB$142,DI185,FCR!$DE$4:$EG$142)</f>
        <v>0</v>
      </c>
      <c r="DK185" s="48" t="e">
        <f t="shared" si="202"/>
        <v>#DIV/0!</v>
      </c>
      <c r="DL185" s="55" t="e">
        <f t="shared" si="203"/>
        <v>#DIV/0!</v>
      </c>
      <c r="DM185" s="48" t="e">
        <f t="shared" si="204"/>
        <v>#DIV/0!</v>
      </c>
      <c r="DN185" s="48">
        <f>SUMIF(FCR!$BZ$4:$DB$142,DM185,FCR!$DE$4:$EG$142)</f>
        <v>0</v>
      </c>
      <c r="DO185" s="53" t="e">
        <f t="shared" si="205"/>
        <v>#DIV/0!</v>
      </c>
      <c r="DP185" s="55" t="e">
        <f t="shared" si="206"/>
        <v>#DIV/0!</v>
      </c>
      <c r="DQ185" s="55" t="e">
        <f t="shared" si="207"/>
        <v>#DIV/0!</v>
      </c>
      <c r="DR185" s="55"/>
      <c r="DS185" s="55" t="e">
        <f t="shared" si="208"/>
        <v>#DIV/0!</v>
      </c>
      <c r="DT185" s="55" t="e">
        <f t="shared" si="209"/>
        <v>#DIV/0!</v>
      </c>
      <c r="DU185" s="53">
        <f t="shared" si="210"/>
        <v>0</v>
      </c>
      <c r="DV185" s="59" t="e">
        <f t="shared" si="211"/>
        <v>#DIV/0!</v>
      </c>
    </row>
    <row r="186" spans="30:126">
      <c r="AD186" s="49" t="s">
        <v>411</v>
      </c>
      <c r="AE186" s="49">
        <f t="shared" si="157"/>
        <v>0</v>
      </c>
      <c r="AF186" s="49">
        <f t="shared" si="158"/>
        <v>0</v>
      </c>
      <c r="AG186" s="114">
        <f t="shared" si="159"/>
        <v>0</v>
      </c>
      <c r="AH186" s="104">
        <f t="shared" si="160"/>
        <v>0</v>
      </c>
      <c r="AI186" s="104">
        <f t="shared" si="161"/>
        <v>0</v>
      </c>
      <c r="AJ186" s="104">
        <f t="shared" si="162"/>
        <v>0</v>
      </c>
      <c r="AK186" s="104">
        <f t="shared" si="163"/>
        <v>0</v>
      </c>
      <c r="AL186" s="104">
        <f t="shared" si="164"/>
        <v>0</v>
      </c>
      <c r="AM186" s="104">
        <f t="shared" si="165"/>
        <v>0</v>
      </c>
      <c r="AN186" s="104">
        <f t="shared" si="166"/>
        <v>0</v>
      </c>
      <c r="AO186" s="104">
        <f t="shared" si="167"/>
        <v>0</v>
      </c>
      <c r="AP186" s="104">
        <f t="shared" si="168"/>
        <v>0</v>
      </c>
      <c r="AQ186" s="49">
        <f t="shared" si="169"/>
        <v>0</v>
      </c>
      <c r="AR186" s="104">
        <f t="shared" si="170"/>
        <v>0</v>
      </c>
      <c r="AS186" s="104">
        <f t="shared" si="171"/>
        <v>0</v>
      </c>
      <c r="AT186" s="104">
        <f t="shared" si="172"/>
        <v>0</v>
      </c>
      <c r="AU186" s="104">
        <f t="shared" si="173"/>
        <v>0</v>
      </c>
      <c r="BF186" s="49">
        <f t="shared" si="174"/>
        <v>0</v>
      </c>
      <c r="BG186" s="49">
        <f t="shared" si="175"/>
        <v>0</v>
      </c>
      <c r="BH186" s="54" t="e">
        <f t="shared" si="176"/>
        <v>#DIV/0!</v>
      </c>
      <c r="BI186" s="112" t="e">
        <f t="shared" si="177"/>
        <v>#DIV/0!</v>
      </c>
      <c r="BK186" s="55" t="e">
        <f t="shared" si="178"/>
        <v>#DIV/0!</v>
      </c>
      <c r="BL186" s="55" t="e">
        <f t="shared" si="179"/>
        <v>#DIV/0!</v>
      </c>
      <c r="BM186" s="55" t="e">
        <f t="shared" si="180"/>
        <v>#DIV/0!</v>
      </c>
      <c r="BN186" s="53">
        <f t="shared" si="181"/>
        <v>0</v>
      </c>
      <c r="BO186" s="112" t="e">
        <f t="shared" si="182"/>
        <v>#DIV/0!</v>
      </c>
      <c r="BR186" s="53" t="e">
        <f t="shared" si="183"/>
        <v>#DIV/0!</v>
      </c>
      <c r="BS186" s="53">
        <f t="shared" si="184"/>
        <v>0</v>
      </c>
      <c r="BT186" s="53">
        <f t="shared" si="185"/>
        <v>0</v>
      </c>
      <c r="BU186" s="56" t="e">
        <f t="shared" si="186"/>
        <v>#DIV/0!</v>
      </c>
      <c r="BX186" s="60"/>
      <c r="BY186" s="60"/>
      <c r="BZ186" s="60"/>
      <c r="CA186" s="60"/>
      <c r="CB186" s="60"/>
      <c r="CC186" s="60"/>
      <c r="CD186" s="60"/>
      <c r="CE186" s="60"/>
      <c r="CF186" s="60"/>
      <c r="CG186" s="60"/>
      <c r="CH186" s="60"/>
      <c r="CI186" s="60"/>
      <c r="CJ186" s="60"/>
      <c r="CK186" s="60"/>
      <c r="CL186" s="60"/>
      <c r="CM186" s="60"/>
      <c r="CN186" s="60"/>
      <c r="CO186" s="60"/>
      <c r="CP186" s="60"/>
      <c r="CQ186" s="60"/>
      <c r="CR186" s="60"/>
      <c r="CS186" s="60"/>
      <c r="CT186" s="57">
        <f t="shared" si="187"/>
        <v>0</v>
      </c>
      <c r="CU186" s="57">
        <f t="shared" si="188"/>
        <v>0</v>
      </c>
      <c r="CV186" s="53">
        <f t="shared" si="189"/>
        <v>0</v>
      </c>
      <c r="CW186" s="53">
        <f t="shared" si="190"/>
        <v>0</v>
      </c>
      <c r="CX186" s="58" t="e">
        <f t="shared" si="191"/>
        <v>#DIV/0!</v>
      </c>
      <c r="CY186" s="53">
        <f t="shared" si="192"/>
        <v>0</v>
      </c>
      <c r="CZ186" s="53">
        <f t="shared" si="193"/>
        <v>0</v>
      </c>
      <c r="DA186" s="58" t="e">
        <f t="shared" si="194"/>
        <v>#DIV/0!</v>
      </c>
      <c r="DB186" s="48" t="e">
        <f t="shared" si="195"/>
        <v>#DIV/0!</v>
      </c>
      <c r="DC186" s="48" t="e">
        <f t="shared" si="196"/>
        <v>#DIV/0!</v>
      </c>
      <c r="DD186" s="48" t="e">
        <f t="shared" si="197"/>
        <v>#DIV/0!</v>
      </c>
      <c r="DE186" s="48" t="e">
        <f t="shared" si="198"/>
        <v>#DIV/0!</v>
      </c>
      <c r="DF186" s="48" t="e">
        <f t="shared" si="199"/>
        <v>#DIV/0!</v>
      </c>
      <c r="DG186" s="48" t="e">
        <f t="shared" si="200"/>
        <v>#DIV/0!</v>
      </c>
      <c r="DH186" s="48">
        <f>SUMIF(FCR!$BZ$4:$DB$500,DG186,FCR!$DE$4:$EG$500)</f>
        <v>0</v>
      </c>
      <c r="DI186" s="48" t="e">
        <f t="shared" si="201"/>
        <v>#DIV/0!</v>
      </c>
      <c r="DJ186" s="48">
        <f>SUMIF(FCR!$BZ$4:$DB$142,DI186,FCR!$DE$4:$EG$142)</f>
        <v>0</v>
      </c>
      <c r="DK186" s="48" t="e">
        <f t="shared" si="202"/>
        <v>#DIV/0!</v>
      </c>
      <c r="DL186" s="55" t="e">
        <f t="shared" si="203"/>
        <v>#DIV/0!</v>
      </c>
      <c r="DM186" s="48" t="e">
        <f t="shared" si="204"/>
        <v>#DIV/0!</v>
      </c>
      <c r="DN186" s="48">
        <f>SUMIF(FCR!$BZ$4:$DB$142,DM186,FCR!$DE$4:$EG$142)</f>
        <v>0</v>
      </c>
      <c r="DO186" s="53" t="e">
        <f t="shared" si="205"/>
        <v>#DIV/0!</v>
      </c>
      <c r="DP186" s="55" t="e">
        <f t="shared" si="206"/>
        <v>#DIV/0!</v>
      </c>
      <c r="DQ186" s="55" t="e">
        <f t="shared" si="207"/>
        <v>#DIV/0!</v>
      </c>
      <c r="DR186" s="55"/>
      <c r="DS186" s="55" t="e">
        <f t="shared" si="208"/>
        <v>#DIV/0!</v>
      </c>
      <c r="DT186" s="55" t="e">
        <f t="shared" si="209"/>
        <v>#DIV/0!</v>
      </c>
      <c r="DU186" s="53">
        <f t="shared" si="210"/>
        <v>0</v>
      </c>
      <c r="DV186" s="59" t="e">
        <f t="shared" si="211"/>
        <v>#DIV/0!</v>
      </c>
    </row>
    <row r="187" spans="30:126">
      <c r="AD187" s="49" t="s">
        <v>411</v>
      </c>
      <c r="AE187" s="49">
        <f t="shared" si="157"/>
        <v>0</v>
      </c>
      <c r="AF187" s="49">
        <f t="shared" si="158"/>
        <v>0</v>
      </c>
      <c r="AG187" s="114">
        <f t="shared" si="159"/>
        <v>0</v>
      </c>
      <c r="AH187" s="104">
        <f t="shared" si="160"/>
        <v>0</v>
      </c>
      <c r="AI187" s="104">
        <f t="shared" si="161"/>
        <v>0</v>
      </c>
      <c r="AJ187" s="104">
        <f t="shared" si="162"/>
        <v>0</v>
      </c>
      <c r="AK187" s="104">
        <f t="shared" si="163"/>
        <v>0</v>
      </c>
      <c r="AL187" s="104">
        <f t="shared" si="164"/>
        <v>0</v>
      </c>
      <c r="AM187" s="104">
        <f t="shared" si="165"/>
        <v>0</v>
      </c>
      <c r="AN187" s="104">
        <f t="shared" si="166"/>
        <v>0</v>
      </c>
      <c r="AO187" s="104">
        <f t="shared" si="167"/>
        <v>0</v>
      </c>
      <c r="AP187" s="104">
        <f t="shared" si="168"/>
        <v>0</v>
      </c>
      <c r="AQ187" s="49">
        <f t="shared" si="169"/>
        <v>0</v>
      </c>
      <c r="AR187" s="104">
        <f t="shared" si="170"/>
        <v>0</v>
      </c>
      <c r="AS187" s="104">
        <f t="shared" si="171"/>
        <v>0</v>
      </c>
      <c r="AT187" s="104">
        <f t="shared" si="172"/>
        <v>0</v>
      </c>
      <c r="AU187" s="104">
        <f t="shared" si="173"/>
        <v>0</v>
      </c>
      <c r="BF187" s="49">
        <f t="shared" si="174"/>
        <v>0</v>
      </c>
      <c r="BG187" s="49">
        <f t="shared" si="175"/>
        <v>0</v>
      </c>
      <c r="BH187" s="54" t="e">
        <f t="shared" si="176"/>
        <v>#DIV/0!</v>
      </c>
      <c r="BI187" s="112" t="e">
        <f t="shared" si="177"/>
        <v>#DIV/0!</v>
      </c>
      <c r="BK187" s="55" t="e">
        <f t="shared" si="178"/>
        <v>#DIV/0!</v>
      </c>
      <c r="BL187" s="55" t="e">
        <f t="shared" si="179"/>
        <v>#DIV/0!</v>
      </c>
      <c r="BM187" s="55" t="e">
        <f t="shared" si="180"/>
        <v>#DIV/0!</v>
      </c>
      <c r="BN187" s="53">
        <f t="shared" si="181"/>
        <v>0</v>
      </c>
      <c r="BO187" s="112" t="e">
        <f t="shared" si="182"/>
        <v>#DIV/0!</v>
      </c>
      <c r="BR187" s="53" t="e">
        <f t="shared" si="183"/>
        <v>#DIV/0!</v>
      </c>
      <c r="BS187" s="53">
        <f t="shared" si="184"/>
        <v>0</v>
      </c>
      <c r="BT187" s="53">
        <f t="shared" si="185"/>
        <v>0</v>
      </c>
      <c r="BU187" s="56" t="e">
        <f t="shared" si="186"/>
        <v>#DIV/0!</v>
      </c>
      <c r="BX187" s="60"/>
      <c r="BY187" s="60"/>
      <c r="BZ187" s="60"/>
      <c r="CA187" s="60"/>
      <c r="CB187" s="60"/>
      <c r="CC187" s="60"/>
      <c r="CD187" s="60"/>
      <c r="CE187" s="60"/>
      <c r="CF187" s="60"/>
      <c r="CG187" s="60"/>
      <c r="CH187" s="60"/>
      <c r="CI187" s="60"/>
      <c r="CJ187" s="60"/>
      <c r="CK187" s="60"/>
      <c r="CL187" s="60"/>
      <c r="CM187" s="60"/>
      <c r="CN187" s="60"/>
      <c r="CO187" s="60"/>
      <c r="CP187" s="60"/>
      <c r="CQ187" s="60"/>
      <c r="CR187" s="60"/>
      <c r="CS187" s="60"/>
      <c r="CT187" s="57">
        <f t="shared" si="187"/>
        <v>0</v>
      </c>
      <c r="CU187" s="57">
        <f t="shared" si="188"/>
        <v>0</v>
      </c>
      <c r="CV187" s="53">
        <f t="shared" si="189"/>
        <v>0</v>
      </c>
      <c r="CW187" s="53">
        <f t="shared" si="190"/>
        <v>0</v>
      </c>
      <c r="CX187" s="58" t="e">
        <f t="shared" si="191"/>
        <v>#DIV/0!</v>
      </c>
      <c r="CY187" s="53">
        <f t="shared" si="192"/>
        <v>0</v>
      </c>
      <c r="CZ187" s="53">
        <f t="shared" si="193"/>
        <v>0</v>
      </c>
      <c r="DA187" s="58" t="e">
        <f t="shared" si="194"/>
        <v>#DIV/0!</v>
      </c>
      <c r="DB187" s="48" t="e">
        <f t="shared" si="195"/>
        <v>#DIV/0!</v>
      </c>
      <c r="DC187" s="48" t="e">
        <f t="shared" si="196"/>
        <v>#DIV/0!</v>
      </c>
      <c r="DD187" s="48" t="e">
        <f t="shared" si="197"/>
        <v>#DIV/0!</v>
      </c>
      <c r="DE187" s="48" t="e">
        <f t="shared" si="198"/>
        <v>#DIV/0!</v>
      </c>
      <c r="DF187" s="48" t="e">
        <f t="shared" si="199"/>
        <v>#DIV/0!</v>
      </c>
      <c r="DG187" s="48" t="e">
        <f t="shared" si="200"/>
        <v>#DIV/0!</v>
      </c>
      <c r="DH187" s="48">
        <f>SUMIF(FCR!$BZ$4:$DB$500,DG187,FCR!$DE$4:$EG$500)</f>
        <v>0</v>
      </c>
      <c r="DI187" s="48" t="e">
        <f t="shared" si="201"/>
        <v>#DIV/0!</v>
      </c>
      <c r="DJ187" s="48">
        <f>SUMIF(FCR!$BZ$4:$DB$142,DI187,FCR!$DE$4:$EG$142)</f>
        <v>0</v>
      </c>
      <c r="DK187" s="48" t="e">
        <f t="shared" si="202"/>
        <v>#DIV/0!</v>
      </c>
      <c r="DL187" s="55" t="e">
        <f t="shared" si="203"/>
        <v>#DIV/0!</v>
      </c>
      <c r="DM187" s="48" t="e">
        <f t="shared" si="204"/>
        <v>#DIV/0!</v>
      </c>
      <c r="DN187" s="48">
        <f>SUMIF(FCR!$BZ$4:$DB$142,DM187,FCR!$DE$4:$EG$142)</f>
        <v>0</v>
      </c>
      <c r="DO187" s="53" t="e">
        <f t="shared" si="205"/>
        <v>#DIV/0!</v>
      </c>
      <c r="DP187" s="55" t="e">
        <f t="shared" si="206"/>
        <v>#DIV/0!</v>
      </c>
      <c r="DQ187" s="55" t="e">
        <f t="shared" si="207"/>
        <v>#DIV/0!</v>
      </c>
      <c r="DR187" s="55"/>
      <c r="DS187" s="55" t="e">
        <f t="shared" si="208"/>
        <v>#DIV/0!</v>
      </c>
      <c r="DT187" s="55" t="e">
        <f t="shared" si="209"/>
        <v>#DIV/0!</v>
      </c>
      <c r="DU187" s="53">
        <f t="shared" si="210"/>
        <v>0</v>
      </c>
      <c r="DV187" s="59" t="e">
        <f t="shared" si="211"/>
        <v>#DIV/0!</v>
      </c>
    </row>
    <row r="188" spans="30:126">
      <c r="AD188" s="49" t="s">
        <v>411</v>
      </c>
      <c r="AE188" s="49">
        <f t="shared" si="157"/>
        <v>0</v>
      </c>
      <c r="AF188" s="49">
        <f t="shared" si="158"/>
        <v>0</v>
      </c>
      <c r="AG188" s="114">
        <f t="shared" si="159"/>
        <v>0</v>
      </c>
      <c r="AH188" s="104">
        <f t="shared" si="160"/>
        <v>0</v>
      </c>
      <c r="AI188" s="104">
        <f t="shared" si="161"/>
        <v>0</v>
      </c>
      <c r="AJ188" s="104">
        <f t="shared" si="162"/>
        <v>0</v>
      </c>
      <c r="AK188" s="104">
        <f t="shared" si="163"/>
        <v>0</v>
      </c>
      <c r="AL188" s="104">
        <f t="shared" si="164"/>
        <v>0</v>
      </c>
      <c r="AM188" s="104">
        <f t="shared" si="165"/>
        <v>0</v>
      </c>
      <c r="AN188" s="104">
        <f t="shared" si="166"/>
        <v>0</v>
      </c>
      <c r="AO188" s="104">
        <f t="shared" si="167"/>
        <v>0</v>
      </c>
      <c r="AP188" s="104">
        <f t="shared" si="168"/>
        <v>0</v>
      </c>
      <c r="AQ188" s="49">
        <f t="shared" si="169"/>
        <v>0</v>
      </c>
      <c r="AR188" s="104">
        <f t="shared" si="170"/>
        <v>0</v>
      </c>
      <c r="AS188" s="104">
        <f t="shared" si="171"/>
        <v>0</v>
      </c>
      <c r="AT188" s="104">
        <f t="shared" si="172"/>
        <v>0</v>
      </c>
      <c r="AU188" s="104">
        <f t="shared" si="173"/>
        <v>0</v>
      </c>
      <c r="BF188" s="49">
        <f t="shared" si="174"/>
        <v>0</v>
      </c>
      <c r="BG188" s="49">
        <f t="shared" si="175"/>
        <v>0</v>
      </c>
      <c r="BH188" s="54" t="e">
        <f t="shared" si="176"/>
        <v>#DIV/0!</v>
      </c>
      <c r="BI188" s="112" t="e">
        <f t="shared" si="177"/>
        <v>#DIV/0!</v>
      </c>
      <c r="BK188" s="55" t="e">
        <f t="shared" si="178"/>
        <v>#DIV/0!</v>
      </c>
      <c r="BL188" s="55" t="e">
        <f t="shared" si="179"/>
        <v>#DIV/0!</v>
      </c>
      <c r="BM188" s="55" t="e">
        <f t="shared" si="180"/>
        <v>#DIV/0!</v>
      </c>
      <c r="BN188" s="53">
        <f t="shared" si="181"/>
        <v>0</v>
      </c>
      <c r="BO188" s="112" t="e">
        <f t="shared" si="182"/>
        <v>#DIV/0!</v>
      </c>
      <c r="BR188" s="53" t="e">
        <f t="shared" si="183"/>
        <v>#DIV/0!</v>
      </c>
      <c r="BS188" s="53">
        <f t="shared" si="184"/>
        <v>0</v>
      </c>
      <c r="BT188" s="53">
        <f t="shared" si="185"/>
        <v>0</v>
      </c>
      <c r="BU188" s="56" t="e">
        <f t="shared" si="186"/>
        <v>#DIV/0!</v>
      </c>
      <c r="BX188" s="60"/>
      <c r="BY188" s="60"/>
      <c r="BZ188" s="60"/>
      <c r="CA188" s="60"/>
      <c r="CB188" s="60"/>
      <c r="CC188" s="60"/>
      <c r="CD188" s="60"/>
      <c r="CE188" s="60"/>
      <c r="CF188" s="60"/>
      <c r="CG188" s="60"/>
      <c r="CH188" s="60"/>
      <c r="CI188" s="60"/>
      <c r="CJ188" s="60"/>
      <c r="CK188" s="60"/>
      <c r="CL188" s="60"/>
      <c r="CM188" s="60"/>
      <c r="CN188" s="60"/>
      <c r="CO188" s="60"/>
      <c r="CP188" s="60"/>
      <c r="CQ188" s="60"/>
      <c r="CR188" s="60"/>
      <c r="CS188" s="60"/>
      <c r="CT188" s="57">
        <f t="shared" si="187"/>
        <v>0</v>
      </c>
      <c r="CU188" s="57">
        <f t="shared" si="188"/>
        <v>0</v>
      </c>
      <c r="CV188" s="53">
        <f t="shared" si="189"/>
        <v>0</v>
      </c>
      <c r="CW188" s="53">
        <f t="shared" si="190"/>
        <v>0</v>
      </c>
      <c r="CX188" s="58" t="e">
        <f t="shared" si="191"/>
        <v>#DIV/0!</v>
      </c>
      <c r="CY188" s="53">
        <f t="shared" si="192"/>
        <v>0</v>
      </c>
      <c r="CZ188" s="53">
        <f t="shared" si="193"/>
        <v>0</v>
      </c>
      <c r="DA188" s="58" t="e">
        <f t="shared" si="194"/>
        <v>#DIV/0!</v>
      </c>
      <c r="DB188" s="48" t="e">
        <f t="shared" si="195"/>
        <v>#DIV/0!</v>
      </c>
      <c r="DC188" s="48" t="e">
        <f t="shared" si="196"/>
        <v>#DIV/0!</v>
      </c>
      <c r="DD188" s="48" t="e">
        <f t="shared" si="197"/>
        <v>#DIV/0!</v>
      </c>
      <c r="DE188" s="48" t="e">
        <f t="shared" si="198"/>
        <v>#DIV/0!</v>
      </c>
      <c r="DF188" s="48" t="e">
        <f t="shared" si="199"/>
        <v>#DIV/0!</v>
      </c>
      <c r="DG188" s="48" t="e">
        <f t="shared" si="200"/>
        <v>#DIV/0!</v>
      </c>
      <c r="DH188" s="48">
        <f>SUMIF(FCR!$BZ$4:$DB$500,DG188,FCR!$DE$4:$EG$500)</f>
        <v>0</v>
      </c>
      <c r="DI188" s="48" t="e">
        <f t="shared" si="201"/>
        <v>#DIV/0!</v>
      </c>
      <c r="DJ188" s="48">
        <f>SUMIF(FCR!$BZ$4:$DB$142,DI188,FCR!$DE$4:$EG$142)</f>
        <v>0</v>
      </c>
      <c r="DK188" s="48" t="e">
        <f t="shared" si="202"/>
        <v>#DIV/0!</v>
      </c>
      <c r="DL188" s="55" t="e">
        <f t="shared" si="203"/>
        <v>#DIV/0!</v>
      </c>
      <c r="DM188" s="48" t="e">
        <f t="shared" si="204"/>
        <v>#DIV/0!</v>
      </c>
      <c r="DN188" s="48">
        <f>SUMIF(FCR!$BZ$4:$DB$142,DM188,FCR!$DE$4:$EG$142)</f>
        <v>0</v>
      </c>
      <c r="DO188" s="53" t="e">
        <f t="shared" si="205"/>
        <v>#DIV/0!</v>
      </c>
      <c r="DP188" s="55" t="e">
        <f t="shared" si="206"/>
        <v>#DIV/0!</v>
      </c>
      <c r="DQ188" s="55" t="e">
        <f t="shared" si="207"/>
        <v>#DIV/0!</v>
      </c>
      <c r="DR188" s="55"/>
      <c r="DS188" s="55" t="e">
        <f t="shared" si="208"/>
        <v>#DIV/0!</v>
      </c>
      <c r="DT188" s="55" t="e">
        <f t="shared" si="209"/>
        <v>#DIV/0!</v>
      </c>
      <c r="DU188" s="53">
        <f t="shared" si="210"/>
        <v>0</v>
      </c>
      <c r="DV188" s="59" t="e">
        <f t="shared" si="211"/>
        <v>#DIV/0!</v>
      </c>
    </row>
    <row r="189" spans="30:126">
      <c r="AD189" s="49" t="s">
        <v>411</v>
      </c>
      <c r="AE189" s="49">
        <f t="shared" si="157"/>
        <v>0</v>
      </c>
      <c r="AF189" s="49">
        <f t="shared" si="158"/>
        <v>0</v>
      </c>
      <c r="AG189" s="114">
        <f t="shared" si="159"/>
        <v>0</v>
      </c>
      <c r="AH189" s="104">
        <f t="shared" si="160"/>
        <v>0</v>
      </c>
      <c r="AI189" s="104">
        <f t="shared" si="161"/>
        <v>0</v>
      </c>
      <c r="AJ189" s="104">
        <f t="shared" si="162"/>
        <v>0</v>
      </c>
      <c r="AK189" s="104">
        <f t="shared" si="163"/>
        <v>0</v>
      </c>
      <c r="AL189" s="104">
        <f t="shared" si="164"/>
        <v>0</v>
      </c>
      <c r="AM189" s="104">
        <f t="shared" si="165"/>
        <v>0</v>
      </c>
      <c r="AN189" s="104">
        <f t="shared" si="166"/>
        <v>0</v>
      </c>
      <c r="AO189" s="104">
        <f t="shared" si="167"/>
        <v>0</v>
      </c>
      <c r="AP189" s="104">
        <f t="shared" si="168"/>
        <v>0</v>
      </c>
      <c r="AQ189" s="49">
        <f t="shared" si="169"/>
        <v>0</v>
      </c>
      <c r="AR189" s="104">
        <f t="shared" si="170"/>
        <v>0</v>
      </c>
      <c r="AS189" s="104">
        <f t="shared" si="171"/>
        <v>0</v>
      </c>
      <c r="AT189" s="104">
        <f t="shared" si="172"/>
        <v>0</v>
      </c>
      <c r="AU189" s="104">
        <f t="shared" si="173"/>
        <v>0</v>
      </c>
      <c r="BF189" s="49">
        <f t="shared" si="174"/>
        <v>0</v>
      </c>
      <c r="BG189" s="49">
        <f t="shared" si="175"/>
        <v>0</v>
      </c>
      <c r="BH189" s="54" t="e">
        <f t="shared" si="176"/>
        <v>#DIV/0!</v>
      </c>
      <c r="BI189" s="112" t="e">
        <f t="shared" si="177"/>
        <v>#DIV/0!</v>
      </c>
      <c r="BK189" s="55" t="e">
        <f t="shared" si="178"/>
        <v>#DIV/0!</v>
      </c>
      <c r="BL189" s="55" t="e">
        <f t="shared" si="179"/>
        <v>#DIV/0!</v>
      </c>
      <c r="BM189" s="55" t="e">
        <f t="shared" si="180"/>
        <v>#DIV/0!</v>
      </c>
      <c r="BN189" s="53">
        <f t="shared" si="181"/>
        <v>0</v>
      </c>
      <c r="BO189" s="112" t="e">
        <f t="shared" si="182"/>
        <v>#DIV/0!</v>
      </c>
      <c r="BR189" s="53" t="e">
        <f t="shared" si="183"/>
        <v>#DIV/0!</v>
      </c>
      <c r="BS189" s="53">
        <f t="shared" si="184"/>
        <v>0</v>
      </c>
      <c r="BT189" s="53">
        <f t="shared" si="185"/>
        <v>0</v>
      </c>
      <c r="BU189" s="56" t="e">
        <f t="shared" si="186"/>
        <v>#DIV/0!</v>
      </c>
      <c r="BX189" s="60"/>
      <c r="BY189" s="60"/>
      <c r="BZ189" s="60"/>
      <c r="CA189" s="60"/>
      <c r="CB189" s="60"/>
      <c r="CC189" s="60"/>
      <c r="CD189" s="60"/>
      <c r="CE189" s="60"/>
      <c r="CF189" s="60"/>
      <c r="CG189" s="60"/>
      <c r="CH189" s="60"/>
      <c r="CI189" s="60"/>
      <c r="CJ189" s="60"/>
      <c r="CK189" s="60"/>
      <c r="CL189" s="60"/>
      <c r="CM189" s="60"/>
      <c r="CN189" s="60"/>
      <c r="CO189" s="60"/>
      <c r="CP189" s="60"/>
      <c r="CQ189" s="60"/>
      <c r="CR189" s="60"/>
      <c r="CS189" s="60"/>
      <c r="CT189" s="57">
        <f t="shared" si="187"/>
        <v>0</v>
      </c>
      <c r="CU189" s="57">
        <f t="shared" si="188"/>
        <v>0</v>
      </c>
      <c r="CV189" s="53">
        <f t="shared" si="189"/>
        <v>0</v>
      </c>
      <c r="CW189" s="53">
        <f t="shared" si="190"/>
        <v>0</v>
      </c>
      <c r="CX189" s="58" t="e">
        <f t="shared" si="191"/>
        <v>#DIV/0!</v>
      </c>
      <c r="CY189" s="53">
        <f t="shared" si="192"/>
        <v>0</v>
      </c>
      <c r="CZ189" s="53">
        <f t="shared" si="193"/>
        <v>0</v>
      </c>
      <c r="DA189" s="58" t="e">
        <f t="shared" si="194"/>
        <v>#DIV/0!</v>
      </c>
      <c r="DB189" s="48" t="e">
        <f t="shared" si="195"/>
        <v>#DIV/0!</v>
      </c>
      <c r="DC189" s="48" t="e">
        <f t="shared" si="196"/>
        <v>#DIV/0!</v>
      </c>
      <c r="DD189" s="48" t="e">
        <f t="shared" si="197"/>
        <v>#DIV/0!</v>
      </c>
      <c r="DE189" s="48" t="e">
        <f t="shared" si="198"/>
        <v>#DIV/0!</v>
      </c>
      <c r="DF189" s="48" t="e">
        <f t="shared" si="199"/>
        <v>#DIV/0!</v>
      </c>
      <c r="DG189" s="48" t="e">
        <f t="shared" si="200"/>
        <v>#DIV/0!</v>
      </c>
      <c r="DH189" s="48">
        <f>SUMIF(FCR!$BZ$4:$DB$500,DG189,FCR!$DE$4:$EG$500)</f>
        <v>0</v>
      </c>
      <c r="DI189" s="48" t="e">
        <f t="shared" si="201"/>
        <v>#DIV/0!</v>
      </c>
      <c r="DJ189" s="48">
        <f>SUMIF(FCR!$BZ$4:$DB$142,DI189,FCR!$DE$4:$EG$142)</f>
        <v>0</v>
      </c>
      <c r="DK189" s="48" t="e">
        <f t="shared" si="202"/>
        <v>#DIV/0!</v>
      </c>
      <c r="DL189" s="55" t="e">
        <f t="shared" si="203"/>
        <v>#DIV/0!</v>
      </c>
      <c r="DM189" s="48" t="e">
        <f t="shared" si="204"/>
        <v>#DIV/0!</v>
      </c>
      <c r="DN189" s="48">
        <f>SUMIF(FCR!$BZ$4:$DB$142,DM189,FCR!$DE$4:$EG$142)</f>
        <v>0</v>
      </c>
      <c r="DO189" s="53" t="e">
        <f t="shared" si="205"/>
        <v>#DIV/0!</v>
      </c>
      <c r="DP189" s="55" t="e">
        <f t="shared" si="206"/>
        <v>#DIV/0!</v>
      </c>
      <c r="DQ189" s="55" t="e">
        <f t="shared" si="207"/>
        <v>#DIV/0!</v>
      </c>
      <c r="DR189" s="55"/>
      <c r="DS189" s="55" t="e">
        <f t="shared" si="208"/>
        <v>#DIV/0!</v>
      </c>
      <c r="DT189" s="55" t="e">
        <f t="shared" si="209"/>
        <v>#DIV/0!</v>
      </c>
      <c r="DU189" s="53">
        <f t="shared" si="210"/>
        <v>0</v>
      </c>
      <c r="DV189" s="59" t="e">
        <f t="shared" si="211"/>
        <v>#DIV/0!</v>
      </c>
    </row>
    <row r="190" spans="30:126">
      <c r="AD190" s="49" t="s">
        <v>411</v>
      </c>
      <c r="AE190" s="49">
        <f t="shared" si="157"/>
        <v>0</v>
      </c>
      <c r="AF190" s="49">
        <f t="shared" si="158"/>
        <v>0</v>
      </c>
      <c r="AG190" s="114">
        <f t="shared" si="159"/>
        <v>0</v>
      </c>
      <c r="AH190" s="104">
        <f t="shared" si="160"/>
        <v>0</v>
      </c>
      <c r="AI190" s="104">
        <f t="shared" si="161"/>
        <v>0</v>
      </c>
      <c r="AJ190" s="104">
        <f t="shared" si="162"/>
        <v>0</v>
      </c>
      <c r="AK190" s="104">
        <f t="shared" si="163"/>
        <v>0</v>
      </c>
      <c r="AL190" s="104">
        <f t="shared" si="164"/>
        <v>0</v>
      </c>
      <c r="AM190" s="104">
        <f t="shared" si="165"/>
        <v>0</v>
      </c>
      <c r="AN190" s="104">
        <f t="shared" si="166"/>
        <v>0</v>
      </c>
      <c r="AO190" s="104">
        <f t="shared" si="167"/>
        <v>0</v>
      </c>
      <c r="AP190" s="104">
        <f t="shared" si="168"/>
        <v>0</v>
      </c>
      <c r="AQ190" s="49">
        <f t="shared" si="169"/>
        <v>0</v>
      </c>
      <c r="AR190" s="104">
        <f t="shared" si="170"/>
        <v>0</v>
      </c>
      <c r="AS190" s="104">
        <f t="shared" si="171"/>
        <v>0</v>
      </c>
      <c r="AT190" s="104">
        <f t="shared" si="172"/>
        <v>0</v>
      </c>
      <c r="AU190" s="104">
        <f t="shared" si="173"/>
        <v>0</v>
      </c>
      <c r="BF190" s="49">
        <f t="shared" si="174"/>
        <v>0</v>
      </c>
      <c r="BG190" s="49">
        <f t="shared" si="175"/>
        <v>0</v>
      </c>
      <c r="BH190" s="54" t="e">
        <f t="shared" si="176"/>
        <v>#DIV/0!</v>
      </c>
      <c r="BI190" s="112" t="e">
        <f t="shared" si="177"/>
        <v>#DIV/0!</v>
      </c>
      <c r="BK190" s="55" t="e">
        <f t="shared" si="178"/>
        <v>#DIV/0!</v>
      </c>
      <c r="BL190" s="55" t="e">
        <f t="shared" si="179"/>
        <v>#DIV/0!</v>
      </c>
      <c r="BM190" s="55" t="e">
        <f t="shared" si="180"/>
        <v>#DIV/0!</v>
      </c>
      <c r="BN190" s="53">
        <f t="shared" si="181"/>
        <v>0</v>
      </c>
      <c r="BO190" s="112" t="e">
        <f t="shared" si="182"/>
        <v>#DIV/0!</v>
      </c>
      <c r="BR190" s="53" t="e">
        <f t="shared" si="183"/>
        <v>#DIV/0!</v>
      </c>
      <c r="BS190" s="53">
        <f t="shared" si="184"/>
        <v>0</v>
      </c>
      <c r="BT190" s="53">
        <f t="shared" si="185"/>
        <v>0</v>
      </c>
      <c r="BU190" s="56" t="e">
        <f t="shared" si="186"/>
        <v>#DIV/0!</v>
      </c>
      <c r="BX190" s="60"/>
      <c r="BY190" s="60"/>
      <c r="BZ190" s="60"/>
      <c r="CA190" s="60"/>
      <c r="CB190" s="60"/>
      <c r="CC190" s="60"/>
      <c r="CD190" s="60"/>
      <c r="CE190" s="60"/>
      <c r="CF190" s="60"/>
      <c r="CG190" s="60"/>
      <c r="CH190" s="60"/>
      <c r="CI190" s="60"/>
      <c r="CJ190" s="60"/>
      <c r="CK190" s="60"/>
      <c r="CL190" s="60"/>
      <c r="CM190" s="60"/>
      <c r="CN190" s="60"/>
      <c r="CO190" s="60"/>
      <c r="CP190" s="60"/>
      <c r="CQ190" s="60"/>
      <c r="CR190" s="60"/>
      <c r="CS190" s="60"/>
      <c r="CT190" s="57">
        <f t="shared" si="187"/>
        <v>0</v>
      </c>
      <c r="CU190" s="57">
        <f t="shared" si="188"/>
        <v>0</v>
      </c>
      <c r="CV190" s="53">
        <f t="shared" si="189"/>
        <v>0</v>
      </c>
      <c r="CW190" s="53">
        <f t="shared" si="190"/>
        <v>0</v>
      </c>
      <c r="CX190" s="58" t="e">
        <f t="shared" si="191"/>
        <v>#DIV/0!</v>
      </c>
      <c r="CY190" s="53">
        <f t="shared" si="192"/>
        <v>0</v>
      </c>
      <c r="CZ190" s="53">
        <f t="shared" si="193"/>
        <v>0</v>
      </c>
      <c r="DA190" s="58" t="e">
        <f t="shared" si="194"/>
        <v>#DIV/0!</v>
      </c>
      <c r="DB190" s="48" t="e">
        <f t="shared" si="195"/>
        <v>#DIV/0!</v>
      </c>
      <c r="DC190" s="48" t="e">
        <f t="shared" si="196"/>
        <v>#DIV/0!</v>
      </c>
      <c r="DD190" s="48" t="e">
        <f t="shared" si="197"/>
        <v>#DIV/0!</v>
      </c>
      <c r="DE190" s="48" t="e">
        <f t="shared" si="198"/>
        <v>#DIV/0!</v>
      </c>
      <c r="DF190" s="48" t="e">
        <f t="shared" si="199"/>
        <v>#DIV/0!</v>
      </c>
      <c r="DG190" s="48" t="e">
        <f t="shared" si="200"/>
        <v>#DIV/0!</v>
      </c>
      <c r="DH190" s="48">
        <f>SUMIF(FCR!$BZ$4:$DB$500,DG190,FCR!$DE$4:$EG$500)</f>
        <v>0</v>
      </c>
      <c r="DI190" s="48" t="e">
        <f t="shared" si="201"/>
        <v>#DIV/0!</v>
      </c>
      <c r="DJ190" s="48">
        <f>SUMIF(FCR!$BZ$4:$DB$142,DI190,FCR!$DE$4:$EG$142)</f>
        <v>0</v>
      </c>
      <c r="DK190" s="48" t="e">
        <f t="shared" si="202"/>
        <v>#DIV/0!</v>
      </c>
      <c r="DL190" s="55" t="e">
        <f t="shared" si="203"/>
        <v>#DIV/0!</v>
      </c>
      <c r="DM190" s="48" t="e">
        <f t="shared" si="204"/>
        <v>#DIV/0!</v>
      </c>
      <c r="DN190" s="48">
        <f>SUMIF(FCR!$BZ$4:$DB$142,DM190,FCR!$DE$4:$EG$142)</f>
        <v>0</v>
      </c>
      <c r="DO190" s="53" t="e">
        <f t="shared" si="205"/>
        <v>#DIV/0!</v>
      </c>
      <c r="DP190" s="55" t="e">
        <f t="shared" si="206"/>
        <v>#DIV/0!</v>
      </c>
      <c r="DQ190" s="55" t="e">
        <f t="shared" si="207"/>
        <v>#DIV/0!</v>
      </c>
      <c r="DR190" s="55"/>
      <c r="DS190" s="55" t="e">
        <f t="shared" si="208"/>
        <v>#DIV/0!</v>
      </c>
      <c r="DT190" s="55" t="e">
        <f t="shared" si="209"/>
        <v>#DIV/0!</v>
      </c>
      <c r="DU190" s="53">
        <f t="shared" si="210"/>
        <v>0</v>
      </c>
      <c r="DV190" s="59" t="e">
        <f t="shared" si="211"/>
        <v>#DIV/0!</v>
      </c>
    </row>
    <row r="191" spans="30:126">
      <c r="AD191" s="49" t="s">
        <v>411</v>
      </c>
      <c r="AE191" s="49">
        <f t="shared" si="157"/>
        <v>0</v>
      </c>
      <c r="AF191" s="49">
        <f t="shared" si="158"/>
        <v>0</v>
      </c>
      <c r="AG191" s="114">
        <f t="shared" si="159"/>
        <v>0</v>
      </c>
      <c r="AH191" s="104">
        <f t="shared" si="160"/>
        <v>0</v>
      </c>
      <c r="AI191" s="104">
        <f t="shared" si="161"/>
        <v>0</v>
      </c>
      <c r="AJ191" s="104">
        <f t="shared" si="162"/>
        <v>0</v>
      </c>
      <c r="AK191" s="104">
        <f t="shared" si="163"/>
        <v>0</v>
      </c>
      <c r="AL191" s="104">
        <f t="shared" si="164"/>
        <v>0</v>
      </c>
      <c r="AM191" s="104">
        <f t="shared" si="165"/>
        <v>0</v>
      </c>
      <c r="AN191" s="104">
        <f t="shared" si="166"/>
        <v>0</v>
      </c>
      <c r="AO191" s="104">
        <f t="shared" si="167"/>
        <v>0</v>
      </c>
      <c r="AP191" s="104">
        <f t="shared" si="168"/>
        <v>0</v>
      </c>
      <c r="AQ191" s="49">
        <f t="shared" si="169"/>
        <v>0</v>
      </c>
      <c r="AR191" s="104">
        <f t="shared" si="170"/>
        <v>0</v>
      </c>
      <c r="AS191" s="104">
        <f t="shared" si="171"/>
        <v>0</v>
      </c>
      <c r="AT191" s="104">
        <f t="shared" si="172"/>
        <v>0</v>
      </c>
      <c r="AU191" s="104">
        <f t="shared" si="173"/>
        <v>0</v>
      </c>
      <c r="BF191" s="49">
        <f t="shared" si="174"/>
        <v>0</v>
      </c>
      <c r="BG191" s="49">
        <f t="shared" si="175"/>
        <v>0</v>
      </c>
      <c r="BH191" s="54" t="e">
        <f t="shared" si="176"/>
        <v>#DIV/0!</v>
      </c>
      <c r="BI191" s="112" t="e">
        <f t="shared" si="177"/>
        <v>#DIV/0!</v>
      </c>
      <c r="BK191" s="55" t="e">
        <f t="shared" si="178"/>
        <v>#DIV/0!</v>
      </c>
      <c r="BL191" s="55" t="e">
        <f t="shared" si="179"/>
        <v>#DIV/0!</v>
      </c>
      <c r="BM191" s="55" t="e">
        <f t="shared" si="180"/>
        <v>#DIV/0!</v>
      </c>
      <c r="BN191" s="53">
        <f t="shared" si="181"/>
        <v>0</v>
      </c>
      <c r="BO191" s="112" t="e">
        <f t="shared" si="182"/>
        <v>#DIV/0!</v>
      </c>
      <c r="BR191" s="53" t="e">
        <f t="shared" si="183"/>
        <v>#DIV/0!</v>
      </c>
      <c r="BS191" s="53">
        <f t="shared" si="184"/>
        <v>0</v>
      </c>
      <c r="BT191" s="53">
        <f t="shared" si="185"/>
        <v>0</v>
      </c>
      <c r="BU191" s="56" t="e">
        <f t="shared" si="186"/>
        <v>#DIV/0!</v>
      </c>
      <c r="BX191" s="60"/>
      <c r="BY191" s="60"/>
      <c r="BZ191" s="60"/>
      <c r="CA191" s="60"/>
      <c r="CB191" s="60"/>
      <c r="CC191" s="60"/>
      <c r="CD191" s="60"/>
      <c r="CE191" s="60"/>
      <c r="CF191" s="60"/>
      <c r="CG191" s="60"/>
      <c r="CH191" s="60"/>
      <c r="CI191" s="60"/>
      <c r="CJ191" s="60"/>
      <c r="CK191" s="60"/>
      <c r="CL191" s="60"/>
      <c r="CM191" s="60"/>
      <c r="CN191" s="60"/>
      <c r="CO191" s="60"/>
      <c r="CP191" s="60"/>
      <c r="CQ191" s="60"/>
      <c r="CR191" s="60"/>
      <c r="CS191" s="60"/>
      <c r="CT191" s="57">
        <f t="shared" si="187"/>
        <v>0</v>
      </c>
      <c r="CU191" s="57">
        <f t="shared" si="188"/>
        <v>0</v>
      </c>
      <c r="CV191" s="53">
        <f t="shared" si="189"/>
        <v>0</v>
      </c>
      <c r="CW191" s="53">
        <f t="shared" si="190"/>
        <v>0</v>
      </c>
      <c r="CX191" s="58" t="e">
        <f t="shared" si="191"/>
        <v>#DIV/0!</v>
      </c>
      <c r="CY191" s="53">
        <f t="shared" si="192"/>
        <v>0</v>
      </c>
      <c r="CZ191" s="53">
        <f t="shared" si="193"/>
        <v>0</v>
      </c>
      <c r="DA191" s="58" t="e">
        <f t="shared" si="194"/>
        <v>#DIV/0!</v>
      </c>
      <c r="DB191" s="48" t="e">
        <f t="shared" si="195"/>
        <v>#DIV/0!</v>
      </c>
      <c r="DC191" s="48" t="e">
        <f t="shared" si="196"/>
        <v>#DIV/0!</v>
      </c>
      <c r="DD191" s="48" t="e">
        <f t="shared" si="197"/>
        <v>#DIV/0!</v>
      </c>
      <c r="DE191" s="48" t="e">
        <f t="shared" si="198"/>
        <v>#DIV/0!</v>
      </c>
      <c r="DF191" s="48" t="e">
        <f t="shared" si="199"/>
        <v>#DIV/0!</v>
      </c>
      <c r="DG191" s="48" t="e">
        <f t="shared" si="200"/>
        <v>#DIV/0!</v>
      </c>
      <c r="DH191" s="48">
        <f>SUMIF(FCR!$BZ$4:$DB$500,DG191,FCR!$DE$4:$EG$500)</f>
        <v>0</v>
      </c>
      <c r="DI191" s="48" t="e">
        <f t="shared" si="201"/>
        <v>#DIV/0!</v>
      </c>
      <c r="DJ191" s="48">
        <f>SUMIF(FCR!$BZ$4:$DB$142,DI191,FCR!$DE$4:$EG$142)</f>
        <v>0</v>
      </c>
      <c r="DK191" s="48" t="e">
        <f t="shared" si="202"/>
        <v>#DIV/0!</v>
      </c>
      <c r="DL191" s="55" t="e">
        <f t="shared" si="203"/>
        <v>#DIV/0!</v>
      </c>
      <c r="DM191" s="48" t="e">
        <f t="shared" si="204"/>
        <v>#DIV/0!</v>
      </c>
      <c r="DN191" s="48">
        <f>SUMIF(FCR!$BZ$4:$DB$142,DM191,FCR!$DE$4:$EG$142)</f>
        <v>0</v>
      </c>
      <c r="DO191" s="53" t="e">
        <f t="shared" si="205"/>
        <v>#DIV/0!</v>
      </c>
      <c r="DP191" s="55" t="e">
        <f t="shared" si="206"/>
        <v>#DIV/0!</v>
      </c>
      <c r="DQ191" s="55" t="e">
        <f t="shared" si="207"/>
        <v>#DIV/0!</v>
      </c>
      <c r="DR191" s="55"/>
      <c r="DS191" s="55" t="e">
        <f t="shared" si="208"/>
        <v>#DIV/0!</v>
      </c>
      <c r="DT191" s="55" t="e">
        <f t="shared" si="209"/>
        <v>#DIV/0!</v>
      </c>
      <c r="DU191" s="53">
        <f t="shared" si="210"/>
        <v>0</v>
      </c>
      <c r="DV191" s="59" t="e">
        <f t="shared" si="211"/>
        <v>#DIV/0!</v>
      </c>
    </row>
    <row r="192" spans="30:126">
      <c r="AD192" s="49" t="s">
        <v>411</v>
      </c>
      <c r="AE192" s="49">
        <f t="shared" si="157"/>
        <v>0</v>
      </c>
      <c r="AF192" s="49">
        <f t="shared" si="158"/>
        <v>0</v>
      </c>
      <c r="AG192" s="114">
        <f t="shared" si="159"/>
        <v>0</v>
      </c>
      <c r="AH192" s="104">
        <f t="shared" si="160"/>
        <v>0</v>
      </c>
      <c r="AI192" s="104">
        <f t="shared" si="161"/>
        <v>0</v>
      </c>
      <c r="AJ192" s="104">
        <f t="shared" si="162"/>
        <v>0</v>
      </c>
      <c r="AK192" s="104">
        <f t="shared" si="163"/>
        <v>0</v>
      </c>
      <c r="AL192" s="104">
        <f t="shared" si="164"/>
        <v>0</v>
      </c>
      <c r="AM192" s="104">
        <f t="shared" si="165"/>
        <v>0</v>
      </c>
      <c r="AN192" s="104">
        <f t="shared" si="166"/>
        <v>0</v>
      </c>
      <c r="AO192" s="104">
        <f t="shared" si="167"/>
        <v>0</v>
      </c>
      <c r="AP192" s="104">
        <f t="shared" si="168"/>
        <v>0</v>
      </c>
      <c r="AQ192" s="49">
        <f t="shared" si="169"/>
        <v>0</v>
      </c>
      <c r="AR192" s="104">
        <f t="shared" si="170"/>
        <v>0</v>
      </c>
      <c r="AS192" s="104">
        <f t="shared" si="171"/>
        <v>0</v>
      </c>
      <c r="AT192" s="104">
        <f t="shared" si="172"/>
        <v>0</v>
      </c>
      <c r="AU192" s="104">
        <f t="shared" si="173"/>
        <v>0</v>
      </c>
      <c r="BF192" s="49">
        <f t="shared" si="174"/>
        <v>0</v>
      </c>
      <c r="BG192" s="49">
        <f t="shared" si="175"/>
        <v>0</v>
      </c>
      <c r="BH192" s="54" t="e">
        <f t="shared" si="176"/>
        <v>#DIV/0!</v>
      </c>
      <c r="BI192" s="112" t="e">
        <f t="shared" si="177"/>
        <v>#DIV/0!</v>
      </c>
      <c r="BK192" s="55" t="e">
        <f t="shared" si="178"/>
        <v>#DIV/0!</v>
      </c>
      <c r="BL192" s="55" t="e">
        <f t="shared" si="179"/>
        <v>#DIV/0!</v>
      </c>
      <c r="BM192" s="55" t="e">
        <f t="shared" si="180"/>
        <v>#DIV/0!</v>
      </c>
      <c r="BN192" s="53">
        <f t="shared" si="181"/>
        <v>0</v>
      </c>
      <c r="BO192" s="112" t="e">
        <f t="shared" si="182"/>
        <v>#DIV/0!</v>
      </c>
      <c r="BR192" s="53" t="e">
        <f t="shared" si="183"/>
        <v>#DIV/0!</v>
      </c>
      <c r="BS192" s="53">
        <f t="shared" si="184"/>
        <v>0</v>
      </c>
      <c r="BT192" s="53">
        <f t="shared" si="185"/>
        <v>0</v>
      </c>
      <c r="BU192" s="56" t="e">
        <f t="shared" si="186"/>
        <v>#DIV/0!</v>
      </c>
      <c r="BX192" s="60"/>
      <c r="BY192" s="60"/>
      <c r="BZ192" s="60"/>
      <c r="CA192" s="60"/>
      <c r="CB192" s="60"/>
      <c r="CC192" s="60"/>
      <c r="CD192" s="60"/>
      <c r="CE192" s="60"/>
      <c r="CF192" s="60"/>
      <c r="CG192" s="60"/>
      <c r="CH192" s="60"/>
      <c r="CI192" s="60"/>
      <c r="CJ192" s="60"/>
      <c r="CK192" s="60"/>
      <c r="CL192" s="60"/>
      <c r="CM192" s="60"/>
      <c r="CN192" s="60"/>
      <c r="CO192" s="60"/>
      <c r="CP192" s="60"/>
      <c r="CQ192" s="60"/>
      <c r="CR192" s="60"/>
      <c r="CS192" s="60"/>
      <c r="CT192" s="57">
        <f t="shared" si="187"/>
        <v>0</v>
      </c>
      <c r="CU192" s="57">
        <f t="shared" si="188"/>
        <v>0</v>
      </c>
      <c r="CV192" s="53">
        <f t="shared" si="189"/>
        <v>0</v>
      </c>
      <c r="CW192" s="53">
        <f t="shared" si="190"/>
        <v>0</v>
      </c>
      <c r="CX192" s="58" t="e">
        <f t="shared" si="191"/>
        <v>#DIV/0!</v>
      </c>
      <c r="CY192" s="53">
        <f t="shared" si="192"/>
        <v>0</v>
      </c>
      <c r="CZ192" s="53">
        <f t="shared" si="193"/>
        <v>0</v>
      </c>
      <c r="DA192" s="58" t="e">
        <f t="shared" si="194"/>
        <v>#DIV/0!</v>
      </c>
      <c r="DB192" s="48" t="e">
        <f t="shared" si="195"/>
        <v>#DIV/0!</v>
      </c>
      <c r="DC192" s="48" t="e">
        <f t="shared" si="196"/>
        <v>#DIV/0!</v>
      </c>
      <c r="DD192" s="48" t="e">
        <f t="shared" si="197"/>
        <v>#DIV/0!</v>
      </c>
      <c r="DE192" s="48" t="e">
        <f t="shared" si="198"/>
        <v>#DIV/0!</v>
      </c>
      <c r="DF192" s="48" t="e">
        <f t="shared" si="199"/>
        <v>#DIV/0!</v>
      </c>
      <c r="DG192" s="48" t="e">
        <f t="shared" si="200"/>
        <v>#DIV/0!</v>
      </c>
      <c r="DH192" s="48">
        <f>SUMIF(FCR!$BZ$4:$DB$500,DG192,FCR!$DE$4:$EG$500)</f>
        <v>0</v>
      </c>
      <c r="DI192" s="48" t="e">
        <f t="shared" si="201"/>
        <v>#DIV/0!</v>
      </c>
      <c r="DJ192" s="48">
        <f>SUMIF(FCR!$BZ$4:$DB$142,DI192,FCR!$DE$4:$EG$142)</f>
        <v>0</v>
      </c>
      <c r="DK192" s="48" t="e">
        <f t="shared" si="202"/>
        <v>#DIV/0!</v>
      </c>
      <c r="DL192" s="55" t="e">
        <f t="shared" si="203"/>
        <v>#DIV/0!</v>
      </c>
      <c r="DM192" s="48" t="e">
        <f t="shared" si="204"/>
        <v>#DIV/0!</v>
      </c>
      <c r="DN192" s="48">
        <f>SUMIF(FCR!$BZ$4:$DB$142,DM192,FCR!$DE$4:$EG$142)</f>
        <v>0</v>
      </c>
      <c r="DO192" s="53" t="e">
        <f t="shared" si="205"/>
        <v>#DIV/0!</v>
      </c>
      <c r="DP192" s="55" t="e">
        <f t="shared" si="206"/>
        <v>#DIV/0!</v>
      </c>
      <c r="DQ192" s="55" t="e">
        <f t="shared" si="207"/>
        <v>#DIV/0!</v>
      </c>
      <c r="DR192" s="55"/>
      <c r="DS192" s="55" t="e">
        <f t="shared" si="208"/>
        <v>#DIV/0!</v>
      </c>
      <c r="DT192" s="55" t="e">
        <f t="shared" si="209"/>
        <v>#DIV/0!</v>
      </c>
      <c r="DU192" s="53">
        <f t="shared" si="210"/>
        <v>0</v>
      </c>
      <c r="DV192" s="59" t="e">
        <f t="shared" si="211"/>
        <v>#DIV/0!</v>
      </c>
    </row>
    <row r="193" spans="30:126">
      <c r="AD193" s="49" t="s">
        <v>411</v>
      </c>
      <c r="AE193" s="49">
        <f t="shared" si="157"/>
        <v>0</v>
      </c>
      <c r="AF193" s="49">
        <f t="shared" si="158"/>
        <v>0</v>
      </c>
      <c r="AG193" s="114">
        <f t="shared" si="159"/>
        <v>0</v>
      </c>
      <c r="AH193" s="104">
        <f t="shared" si="160"/>
        <v>0</v>
      </c>
      <c r="AI193" s="104">
        <f t="shared" si="161"/>
        <v>0</v>
      </c>
      <c r="AJ193" s="104">
        <f t="shared" si="162"/>
        <v>0</v>
      </c>
      <c r="AK193" s="104">
        <f t="shared" si="163"/>
        <v>0</v>
      </c>
      <c r="AL193" s="104">
        <f t="shared" si="164"/>
        <v>0</v>
      </c>
      <c r="AM193" s="104">
        <f t="shared" si="165"/>
        <v>0</v>
      </c>
      <c r="AN193" s="104">
        <f t="shared" si="166"/>
        <v>0</v>
      </c>
      <c r="AO193" s="104">
        <f t="shared" si="167"/>
        <v>0</v>
      </c>
      <c r="AP193" s="104">
        <f t="shared" si="168"/>
        <v>0</v>
      </c>
      <c r="AQ193" s="49">
        <f t="shared" si="169"/>
        <v>0</v>
      </c>
      <c r="AR193" s="104">
        <f t="shared" si="170"/>
        <v>0</v>
      </c>
      <c r="AS193" s="104">
        <f t="shared" si="171"/>
        <v>0</v>
      </c>
      <c r="AT193" s="104">
        <f t="shared" si="172"/>
        <v>0</v>
      </c>
      <c r="AU193" s="104">
        <f t="shared" si="173"/>
        <v>0</v>
      </c>
      <c r="BF193" s="49">
        <f t="shared" si="174"/>
        <v>0</v>
      </c>
      <c r="BG193" s="49">
        <f t="shared" si="175"/>
        <v>0</v>
      </c>
      <c r="BH193" s="54" t="e">
        <f t="shared" si="176"/>
        <v>#DIV/0!</v>
      </c>
      <c r="BI193" s="112" t="e">
        <f t="shared" si="177"/>
        <v>#DIV/0!</v>
      </c>
      <c r="BK193" s="55" t="e">
        <f t="shared" si="178"/>
        <v>#DIV/0!</v>
      </c>
      <c r="BL193" s="55" t="e">
        <f t="shared" si="179"/>
        <v>#DIV/0!</v>
      </c>
      <c r="BM193" s="55" t="e">
        <f t="shared" si="180"/>
        <v>#DIV/0!</v>
      </c>
      <c r="BN193" s="53">
        <f t="shared" si="181"/>
        <v>0</v>
      </c>
      <c r="BO193" s="112" t="e">
        <f t="shared" si="182"/>
        <v>#DIV/0!</v>
      </c>
      <c r="BR193" s="53" t="e">
        <f t="shared" si="183"/>
        <v>#DIV/0!</v>
      </c>
      <c r="BS193" s="53">
        <f t="shared" si="184"/>
        <v>0</v>
      </c>
      <c r="BT193" s="53">
        <f t="shared" si="185"/>
        <v>0</v>
      </c>
      <c r="BU193" s="56" t="e">
        <f t="shared" si="186"/>
        <v>#DIV/0!</v>
      </c>
      <c r="BX193" s="60"/>
      <c r="BY193" s="60"/>
      <c r="BZ193" s="60"/>
      <c r="CA193" s="60"/>
      <c r="CB193" s="60"/>
      <c r="CC193" s="60"/>
      <c r="CD193" s="60"/>
      <c r="CE193" s="60"/>
      <c r="CF193" s="60"/>
      <c r="CG193" s="60"/>
      <c r="CH193" s="60"/>
      <c r="CI193" s="60"/>
      <c r="CJ193" s="60"/>
      <c r="CK193" s="60"/>
      <c r="CL193" s="60"/>
      <c r="CM193" s="60"/>
      <c r="CN193" s="60"/>
      <c r="CO193" s="60"/>
      <c r="CP193" s="60"/>
      <c r="CQ193" s="60"/>
      <c r="CR193" s="60"/>
      <c r="CS193" s="60"/>
      <c r="CT193" s="57">
        <f t="shared" si="187"/>
        <v>0</v>
      </c>
      <c r="CU193" s="57">
        <f t="shared" si="188"/>
        <v>0</v>
      </c>
      <c r="CV193" s="53">
        <f t="shared" si="189"/>
        <v>0</v>
      </c>
      <c r="CW193" s="53">
        <f t="shared" si="190"/>
        <v>0</v>
      </c>
      <c r="CX193" s="58" t="e">
        <f t="shared" si="191"/>
        <v>#DIV/0!</v>
      </c>
      <c r="CY193" s="53">
        <f t="shared" si="192"/>
        <v>0</v>
      </c>
      <c r="CZ193" s="53">
        <f t="shared" si="193"/>
        <v>0</v>
      </c>
      <c r="DA193" s="58" t="e">
        <f t="shared" si="194"/>
        <v>#DIV/0!</v>
      </c>
      <c r="DB193" s="48" t="e">
        <f t="shared" si="195"/>
        <v>#DIV/0!</v>
      </c>
      <c r="DC193" s="48" t="e">
        <f t="shared" si="196"/>
        <v>#DIV/0!</v>
      </c>
      <c r="DD193" s="48" t="e">
        <f t="shared" si="197"/>
        <v>#DIV/0!</v>
      </c>
      <c r="DE193" s="48" t="e">
        <f t="shared" si="198"/>
        <v>#DIV/0!</v>
      </c>
      <c r="DF193" s="48" t="e">
        <f t="shared" si="199"/>
        <v>#DIV/0!</v>
      </c>
      <c r="DG193" s="48" t="e">
        <f t="shared" si="200"/>
        <v>#DIV/0!</v>
      </c>
      <c r="DH193" s="48">
        <f>SUMIF(FCR!$BZ$4:$DB$500,DG193,FCR!$DE$4:$EG$500)</f>
        <v>0</v>
      </c>
      <c r="DI193" s="48" t="e">
        <f t="shared" si="201"/>
        <v>#DIV/0!</v>
      </c>
      <c r="DJ193" s="48">
        <f>SUMIF(FCR!$BZ$4:$DB$142,DI193,FCR!$DE$4:$EG$142)</f>
        <v>0</v>
      </c>
      <c r="DK193" s="48" t="e">
        <f t="shared" si="202"/>
        <v>#DIV/0!</v>
      </c>
      <c r="DL193" s="55" t="e">
        <f t="shared" si="203"/>
        <v>#DIV/0!</v>
      </c>
      <c r="DM193" s="48" t="e">
        <f t="shared" si="204"/>
        <v>#DIV/0!</v>
      </c>
      <c r="DN193" s="48">
        <f>SUMIF(FCR!$BZ$4:$DB$142,DM193,FCR!$DE$4:$EG$142)</f>
        <v>0</v>
      </c>
      <c r="DO193" s="53" t="e">
        <f t="shared" si="205"/>
        <v>#DIV/0!</v>
      </c>
      <c r="DP193" s="55" t="e">
        <f t="shared" si="206"/>
        <v>#DIV/0!</v>
      </c>
      <c r="DQ193" s="55" t="e">
        <f t="shared" si="207"/>
        <v>#DIV/0!</v>
      </c>
      <c r="DR193" s="55"/>
      <c r="DS193" s="55" t="e">
        <f t="shared" si="208"/>
        <v>#DIV/0!</v>
      </c>
      <c r="DT193" s="55" t="e">
        <f t="shared" si="209"/>
        <v>#DIV/0!</v>
      </c>
      <c r="DU193" s="53">
        <f t="shared" si="210"/>
        <v>0</v>
      </c>
      <c r="DV193" s="59" t="e">
        <f t="shared" si="211"/>
        <v>#DIV/0!</v>
      </c>
    </row>
    <row r="194" spans="30:126">
      <c r="AD194" s="49" t="s">
        <v>411</v>
      </c>
      <c r="AE194" s="49">
        <f t="shared" si="157"/>
        <v>0</v>
      </c>
      <c r="AF194" s="49">
        <f t="shared" si="158"/>
        <v>0</v>
      </c>
      <c r="AG194" s="114">
        <f t="shared" si="159"/>
        <v>0</v>
      </c>
      <c r="AH194" s="104">
        <f t="shared" si="160"/>
        <v>0</v>
      </c>
      <c r="AI194" s="104">
        <f t="shared" si="161"/>
        <v>0</v>
      </c>
      <c r="AJ194" s="104">
        <f t="shared" si="162"/>
        <v>0</v>
      </c>
      <c r="AK194" s="104">
        <f t="shared" si="163"/>
        <v>0</v>
      </c>
      <c r="AL194" s="104">
        <f t="shared" si="164"/>
        <v>0</v>
      </c>
      <c r="AM194" s="104">
        <f t="shared" si="165"/>
        <v>0</v>
      </c>
      <c r="AN194" s="104">
        <f t="shared" si="166"/>
        <v>0</v>
      </c>
      <c r="AO194" s="104">
        <f t="shared" si="167"/>
        <v>0</v>
      </c>
      <c r="AP194" s="104">
        <f t="shared" si="168"/>
        <v>0</v>
      </c>
      <c r="AQ194" s="49">
        <f t="shared" si="169"/>
        <v>0</v>
      </c>
      <c r="AR194" s="104">
        <f t="shared" si="170"/>
        <v>0</v>
      </c>
      <c r="AS194" s="104">
        <f t="shared" si="171"/>
        <v>0</v>
      </c>
      <c r="AT194" s="104">
        <f t="shared" si="172"/>
        <v>0</v>
      </c>
      <c r="AU194" s="104">
        <f t="shared" si="173"/>
        <v>0</v>
      </c>
      <c r="BF194" s="49">
        <f t="shared" si="174"/>
        <v>0</v>
      </c>
      <c r="BG194" s="49">
        <f t="shared" si="175"/>
        <v>0</v>
      </c>
      <c r="BH194" s="54" t="e">
        <f t="shared" si="176"/>
        <v>#DIV/0!</v>
      </c>
      <c r="BI194" s="112" t="e">
        <f t="shared" si="177"/>
        <v>#DIV/0!</v>
      </c>
      <c r="BK194" s="55" t="e">
        <f t="shared" si="178"/>
        <v>#DIV/0!</v>
      </c>
      <c r="BL194" s="55" t="e">
        <f t="shared" si="179"/>
        <v>#DIV/0!</v>
      </c>
      <c r="BM194" s="55" t="e">
        <f t="shared" si="180"/>
        <v>#DIV/0!</v>
      </c>
      <c r="BN194" s="53">
        <f t="shared" si="181"/>
        <v>0</v>
      </c>
      <c r="BO194" s="112" t="e">
        <f t="shared" si="182"/>
        <v>#DIV/0!</v>
      </c>
      <c r="BR194" s="53" t="e">
        <f t="shared" si="183"/>
        <v>#DIV/0!</v>
      </c>
      <c r="BS194" s="53">
        <f t="shared" si="184"/>
        <v>0</v>
      </c>
      <c r="BT194" s="53">
        <f t="shared" si="185"/>
        <v>0</v>
      </c>
      <c r="BU194" s="56" t="e">
        <f t="shared" si="186"/>
        <v>#DIV/0!</v>
      </c>
      <c r="BX194" s="60"/>
      <c r="BY194" s="60"/>
      <c r="BZ194" s="60"/>
      <c r="CA194" s="60"/>
      <c r="CB194" s="60"/>
      <c r="CC194" s="60"/>
      <c r="CD194" s="60"/>
      <c r="CE194" s="60"/>
      <c r="CF194" s="60"/>
      <c r="CG194" s="60"/>
      <c r="CH194" s="60"/>
      <c r="CI194" s="60"/>
      <c r="CJ194" s="60"/>
      <c r="CK194" s="60"/>
      <c r="CL194" s="60"/>
      <c r="CM194" s="60"/>
      <c r="CN194" s="60"/>
      <c r="CO194" s="60"/>
      <c r="CP194" s="60"/>
      <c r="CQ194" s="60"/>
      <c r="CR194" s="60"/>
      <c r="CS194" s="60"/>
      <c r="CT194" s="57">
        <f t="shared" si="187"/>
        <v>0</v>
      </c>
      <c r="CU194" s="57">
        <f t="shared" si="188"/>
        <v>0</v>
      </c>
      <c r="CV194" s="53">
        <f t="shared" si="189"/>
        <v>0</v>
      </c>
      <c r="CW194" s="53">
        <f t="shared" si="190"/>
        <v>0</v>
      </c>
      <c r="CX194" s="58" t="e">
        <f t="shared" si="191"/>
        <v>#DIV/0!</v>
      </c>
      <c r="CY194" s="53">
        <f t="shared" si="192"/>
        <v>0</v>
      </c>
      <c r="CZ194" s="53">
        <f t="shared" si="193"/>
        <v>0</v>
      </c>
      <c r="DA194" s="58" t="e">
        <f t="shared" si="194"/>
        <v>#DIV/0!</v>
      </c>
      <c r="DB194" s="48" t="e">
        <f t="shared" si="195"/>
        <v>#DIV/0!</v>
      </c>
      <c r="DC194" s="48" t="e">
        <f t="shared" si="196"/>
        <v>#DIV/0!</v>
      </c>
      <c r="DD194" s="48" t="e">
        <f t="shared" si="197"/>
        <v>#DIV/0!</v>
      </c>
      <c r="DE194" s="48" t="e">
        <f t="shared" si="198"/>
        <v>#DIV/0!</v>
      </c>
      <c r="DF194" s="48" t="e">
        <f t="shared" si="199"/>
        <v>#DIV/0!</v>
      </c>
      <c r="DG194" s="48" t="e">
        <f t="shared" si="200"/>
        <v>#DIV/0!</v>
      </c>
      <c r="DH194" s="48">
        <f>SUMIF(FCR!$BZ$4:$DB$500,DG194,FCR!$DE$4:$EG$500)</f>
        <v>0</v>
      </c>
      <c r="DI194" s="48" t="e">
        <f t="shared" si="201"/>
        <v>#DIV/0!</v>
      </c>
      <c r="DJ194" s="48">
        <f>SUMIF(FCR!$BZ$4:$DB$142,DI194,FCR!$DE$4:$EG$142)</f>
        <v>0</v>
      </c>
      <c r="DK194" s="48" t="e">
        <f t="shared" si="202"/>
        <v>#DIV/0!</v>
      </c>
      <c r="DL194" s="55" t="e">
        <f t="shared" si="203"/>
        <v>#DIV/0!</v>
      </c>
      <c r="DM194" s="48" t="e">
        <f t="shared" si="204"/>
        <v>#DIV/0!</v>
      </c>
      <c r="DN194" s="48">
        <f>SUMIF(FCR!$BZ$4:$DB$142,DM194,FCR!$DE$4:$EG$142)</f>
        <v>0</v>
      </c>
      <c r="DO194" s="53" t="e">
        <f t="shared" si="205"/>
        <v>#DIV/0!</v>
      </c>
      <c r="DP194" s="55" t="e">
        <f t="shared" si="206"/>
        <v>#DIV/0!</v>
      </c>
      <c r="DQ194" s="55" t="e">
        <f t="shared" si="207"/>
        <v>#DIV/0!</v>
      </c>
      <c r="DR194" s="55"/>
      <c r="DS194" s="55" t="e">
        <f t="shared" si="208"/>
        <v>#DIV/0!</v>
      </c>
      <c r="DT194" s="55" t="e">
        <f t="shared" si="209"/>
        <v>#DIV/0!</v>
      </c>
      <c r="DU194" s="53">
        <f t="shared" si="210"/>
        <v>0</v>
      </c>
      <c r="DV194" s="59" t="e">
        <f t="shared" si="211"/>
        <v>#DIV/0!</v>
      </c>
    </row>
    <row r="195" spans="30:126">
      <c r="AD195" s="49" t="s">
        <v>411</v>
      </c>
      <c r="AE195" s="49">
        <f t="shared" si="157"/>
        <v>0</v>
      </c>
      <c r="AF195" s="49">
        <f t="shared" si="158"/>
        <v>0</v>
      </c>
      <c r="AG195" s="114">
        <f t="shared" si="159"/>
        <v>0</v>
      </c>
      <c r="AH195" s="104">
        <f t="shared" si="160"/>
        <v>0</v>
      </c>
      <c r="AI195" s="104">
        <f t="shared" si="161"/>
        <v>0</v>
      </c>
      <c r="AJ195" s="104">
        <f t="shared" si="162"/>
        <v>0</v>
      </c>
      <c r="AK195" s="104">
        <f t="shared" si="163"/>
        <v>0</v>
      </c>
      <c r="AL195" s="104">
        <f t="shared" si="164"/>
        <v>0</v>
      </c>
      <c r="AM195" s="104">
        <f t="shared" si="165"/>
        <v>0</v>
      </c>
      <c r="AN195" s="104">
        <f t="shared" si="166"/>
        <v>0</v>
      </c>
      <c r="AO195" s="104">
        <f t="shared" si="167"/>
        <v>0</v>
      </c>
      <c r="AP195" s="104">
        <f t="shared" si="168"/>
        <v>0</v>
      </c>
      <c r="AQ195" s="49">
        <f t="shared" si="169"/>
        <v>0</v>
      </c>
      <c r="AR195" s="104">
        <f t="shared" si="170"/>
        <v>0</v>
      </c>
      <c r="AS195" s="104">
        <f t="shared" si="171"/>
        <v>0</v>
      </c>
      <c r="AT195" s="104">
        <f t="shared" si="172"/>
        <v>0</v>
      </c>
      <c r="AU195" s="104">
        <f t="shared" si="173"/>
        <v>0</v>
      </c>
      <c r="BF195" s="49">
        <f t="shared" si="174"/>
        <v>0</v>
      </c>
      <c r="BG195" s="49">
        <f t="shared" si="175"/>
        <v>0</v>
      </c>
      <c r="BH195" s="54" t="e">
        <f t="shared" si="176"/>
        <v>#DIV/0!</v>
      </c>
      <c r="BI195" s="112" t="e">
        <f t="shared" si="177"/>
        <v>#DIV/0!</v>
      </c>
      <c r="BK195" s="55" t="e">
        <f t="shared" si="178"/>
        <v>#DIV/0!</v>
      </c>
      <c r="BL195" s="55" t="e">
        <f t="shared" si="179"/>
        <v>#DIV/0!</v>
      </c>
      <c r="BM195" s="55" t="e">
        <f t="shared" si="180"/>
        <v>#DIV/0!</v>
      </c>
      <c r="BN195" s="53">
        <f t="shared" si="181"/>
        <v>0</v>
      </c>
      <c r="BO195" s="112" t="e">
        <f t="shared" si="182"/>
        <v>#DIV/0!</v>
      </c>
      <c r="BR195" s="53" t="e">
        <f t="shared" si="183"/>
        <v>#DIV/0!</v>
      </c>
      <c r="BS195" s="53">
        <f t="shared" si="184"/>
        <v>0</v>
      </c>
      <c r="BT195" s="53">
        <f t="shared" si="185"/>
        <v>0</v>
      </c>
      <c r="BU195" s="56" t="e">
        <f t="shared" si="186"/>
        <v>#DIV/0!</v>
      </c>
      <c r="BX195" s="60"/>
      <c r="BY195" s="60"/>
      <c r="BZ195" s="60"/>
      <c r="CA195" s="60"/>
      <c r="CB195" s="60"/>
      <c r="CC195" s="60"/>
      <c r="CD195" s="60"/>
      <c r="CE195" s="60"/>
      <c r="CF195" s="60"/>
      <c r="CG195" s="60"/>
      <c r="CH195" s="60"/>
      <c r="CI195" s="60"/>
      <c r="CJ195" s="60"/>
      <c r="CK195" s="60"/>
      <c r="CL195" s="60"/>
      <c r="CM195" s="60"/>
      <c r="CN195" s="60"/>
      <c r="CO195" s="60"/>
      <c r="CP195" s="60"/>
      <c r="CQ195" s="60"/>
      <c r="CR195" s="60"/>
      <c r="CS195" s="60"/>
      <c r="CT195" s="57">
        <f t="shared" si="187"/>
        <v>0</v>
      </c>
      <c r="CU195" s="57">
        <f t="shared" si="188"/>
        <v>0</v>
      </c>
      <c r="CV195" s="53">
        <f t="shared" si="189"/>
        <v>0</v>
      </c>
      <c r="CW195" s="53">
        <f t="shared" si="190"/>
        <v>0</v>
      </c>
      <c r="CX195" s="58" t="e">
        <f t="shared" si="191"/>
        <v>#DIV/0!</v>
      </c>
      <c r="CY195" s="53">
        <f t="shared" si="192"/>
        <v>0</v>
      </c>
      <c r="CZ195" s="53">
        <f t="shared" si="193"/>
        <v>0</v>
      </c>
      <c r="DA195" s="58" t="e">
        <f t="shared" si="194"/>
        <v>#DIV/0!</v>
      </c>
      <c r="DB195" s="48" t="e">
        <f t="shared" si="195"/>
        <v>#DIV/0!</v>
      </c>
      <c r="DC195" s="48" t="e">
        <f t="shared" si="196"/>
        <v>#DIV/0!</v>
      </c>
      <c r="DD195" s="48" t="e">
        <f t="shared" si="197"/>
        <v>#DIV/0!</v>
      </c>
      <c r="DE195" s="48" t="e">
        <f t="shared" si="198"/>
        <v>#DIV/0!</v>
      </c>
      <c r="DF195" s="48" t="e">
        <f t="shared" si="199"/>
        <v>#DIV/0!</v>
      </c>
      <c r="DG195" s="48" t="e">
        <f t="shared" si="200"/>
        <v>#DIV/0!</v>
      </c>
      <c r="DH195" s="48">
        <f>SUMIF(FCR!$BZ$4:$DB$500,DG195,FCR!$DE$4:$EG$500)</f>
        <v>0</v>
      </c>
      <c r="DI195" s="48" t="e">
        <f t="shared" si="201"/>
        <v>#DIV/0!</v>
      </c>
      <c r="DJ195" s="48">
        <f>SUMIF(FCR!$BZ$4:$DB$142,DI195,FCR!$DE$4:$EG$142)</f>
        <v>0</v>
      </c>
      <c r="DK195" s="48" t="e">
        <f t="shared" si="202"/>
        <v>#DIV/0!</v>
      </c>
      <c r="DL195" s="55" t="e">
        <f t="shared" si="203"/>
        <v>#DIV/0!</v>
      </c>
      <c r="DM195" s="48" t="e">
        <f t="shared" si="204"/>
        <v>#DIV/0!</v>
      </c>
      <c r="DN195" s="48">
        <f>SUMIF(FCR!$BZ$4:$DB$142,DM195,FCR!$DE$4:$EG$142)</f>
        <v>0</v>
      </c>
      <c r="DO195" s="53" t="e">
        <f t="shared" si="205"/>
        <v>#DIV/0!</v>
      </c>
      <c r="DP195" s="55" t="e">
        <f t="shared" si="206"/>
        <v>#DIV/0!</v>
      </c>
      <c r="DQ195" s="55" t="e">
        <f t="shared" si="207"/>
        <v>#DIV/0!</v>
      </c>
      <c r="DR195" s="55"/>
      <c r="DS195" s="55" t="e">
        <f t="shared" si="208"/>
        <v>#DIV/0!</v>
      </c>
      <c r="DT195" s="55" t="e">
        <f t="shared" si="209"/>
        <v>#DIV/0!</v>
      </c>
      <c r="DU195" s="53">
        <f t="shared" si="210"/>
        <v>0</v>
      </c>
      <c r="DV195" s="59" t="e">
        <f t="shared" si="211"/>
        <v>#DIV/0!</v>
      </c>
    </row>
    <row r="196" spans="30:126">
      <c r="AD196" s="49" t="s">
        <v>411</v>
      </c>
      <c r="AE196" s="49">
        <f t="shared" si="157"/>
        <v>0</v>
      </c>
      <c r="AF196" s="49">
        <f t="shared" si="158"/>
        <v>0</v>
      </c>
      <c r="AG196" s="114">
        <f t="shared" si="159"/>
        <v>0</v>
      </c>
      <c r="AH196" s="104">
        <f t="shared" si="160"/>
        <v>0</v>
      </c>
      <c r="AI196" s="104">
        <f t="shared" si="161"/>
        <v>0</v>
      </c>
      <c r="AJ196" s="104">
        <f t="shared" si="162"/>
        <v>0</v>
      </c>
      <c r="AK196" s="104">
        <f t="shared" si="163"/>
        <v>0</v>
      </c>
      <c r="AL196" s="104">
        <f t="shared" si="164"/>
        <v>0</v>
      </c>
      <c r="AM196" s="104">
        <f t="shared" si="165"/>
        <v>0</v>
      </c>
      <c r="AN196" s="104">
        <f t="shared" si="166"/>
        <v>0</v>
      </c>
      <c r="AO196" s="104">
        <f t="shared" si="167"/>
        <v>0</v>
      </c>
      <c r="AP196" s="104">
        <f t="shared" si="168"/>
        <v>0</v>
      </c>
      <c r="AQ196" s="49">
        <f t="shared" si="169"/>
        <v>0</v>
      </c>
      <c r="AR196" s="104">
        <f t="shared" si="170"/>
        <v>0</v>
      </c>
      <c r="AS196" s="104">
        <f t="shared" si="171"/>
        <v>0</v>
      </c>
      <c r="AT196" s="104">
        <f t="shared" si="172"/>
        <v>0</v>
      </c>
      <c r="AU196" s="104">
        <f t="shared" si="173"/>
        <v>0</v>
      </c>
      <c r="BF196" s="49">
        <f t="shared" si="174"/>
        <v>0</v>
      </c>
      <c r="BG196" s="49">
        <f t="shared" si="175"/>
        <v>0</v>
      </c>
      <c r="BH196" s="54" t="e">
        <f t="shared" si="176"/>
        <v>#DIV/0!</v>
      </c>
      <c r="BI196" s="112" t="e">
        <f t="shared" si="177"/>
        <v>#DIV/0!</v>
      </c>
      <c r="BK196" s="55" t="e">
        <f t="shared" si="178"/>
        <v>#DIV/0!</v>
      </c>
      <c r="BL196" s="55" t="e">
        <f t="shared" si="179"/>
        <v>#DIV/0!</v>
      </c>
      <c r="BM196" s="55" t="e">
        <f t="shared" si="180"/>
        <v>#DIV/0!</v>
      </c>
      <c r="BN196" s="53">
        <f t="shared" si="181"/>
        <v>0</v>
      </c>
      <c r="BO196" s="112" t="e">
        <f t="shared" si="182"/>
        <v>#DIV/0!</v>
      </c>
      <c r="BR196" s="53" t="e">
        <f t="shared" si="183"/>
        <v>#DIV/0!</v>
      </c>
      <c r="BS196" s="53">
        <f t="shared" si="184"/>
        <v>0</v>
      </c>
      <c r="BT196" s="53">
        <f t="shared" si="185"/>
        <v>0</v>
      </c>
      <c r="BU196" s="56" t="e">
        <f t="shared" si="186"/>
        <v>#DIV/0!</v>
      </c>
      <c r="BX196" s="60"/>
      <c r="BY196" s="60"/>
      <c r="BZ196" s="60"/>
      <c r="CA196" s="60"/>
      <c r="CB196" s="60"/>
      <c r="CC196" s="60"/>
      <c r="CD196" s="60"/>
      <c r="CE196" s="60"/>
      <c r="CF196" s="60"/>
      <c r="CG196" s="60"/>
      <c r="CH196" s="60"/>
      <c r="CI196" s="60"/>
      <c r="CJ196" s="60"/>
      <c r="CK196" s="60"/>
      <c r="CL196" s="60"/>
      <c r="CM196" s="60"/>
      <c r="CN196" s="60"/>
      <c r="CO196" s="60"/>
      <c r="CP196" s="60"/>
      <c r="CQ196" s="60"/>
      <c r="CR196" s="60"/>
      <c r="CS196" s="60"/>
      <c r="CT196" s="57">
        <f t="shared" si="187"/>
        <v>0</v>
      </c>
      <c r="CU196" s="57">
        <f t="shared" si="188"/>
        <v>0</v>
      </c>
      <c r="CV196" s="53">
        <f t="shared" si="189"/>
        <v>0</v>
      </c>
      <c r="CW196" s="53">
        <f t="shared" si="190"/>
        <v>0</v>
      </c>
      <c r="CX196" s="58" t="e">
        <f t="shared" si="191"/>
        <v>#DIV/0!</v>
      </c>
      <c r="CY196" s="53">
        <f t="shared" si="192"/>
        <v>0</v>
      </c>
      <c r="CZ196" s="53">
        <f t="shared" si="193"/>
        <v>0</v>
      </c>
      <c r="DA196" s="58" t="e">
        <f t="shared" si="194"/>
        <v>#DIV/0!</v>
      </c>
      <c r="DB196" s="48" t="e">
        <f t="shared" si="195"/>
        <v>#DIV/0!</v>
      </c>
      <c r="DC196" s="48" t="e">
        <f t="shared" si="196"/>
        <v>#DIV/0!</v>
      </c>
      <c r="DD196" s="48" t="e">
        <f t="shared" si="197"/>
        <v>#DIV/0!</v>
      </c>
      <c r="DE196" s="48" t="e">
        <f t="shared" si="198"/>
        <v>#DIV/0!</v>
      </c>
      <c r="DF196" s="48" t="e">
        <f t="shared" si="199"/>
        <v>#DIV/0!</v>
      </c>
      <c r="DG196" s="48" t="e">
        <f t="shared" si="200"/>
        <v>#DIV/0!</v>
      </c>
      <c r="DH196" s="48">
        <f>SUMIF(FCR!$BZ$4:$DB$500,DG196,FCR!$DE$4:$EG$500)</f>
        <v>0</v>
      </c>
      <c r="DI196" s="48" t="e">
        <f t="shared" si="201"/>
        <v>#DIV/0!</v>
      </c>
      <c r="DJ196" s="48">
        <f>SUMIF(FCR!$BZ$4:$DB$142,DI196,FCR!$DE$4:$EG$142)</f>
        <v>0</v>
      </c>
      <c r="DK196" s="48" t="e">
        <f t="shared" si="202"/>
        <v>#DIV/0!</v>
      </c>
      <c r="DL196" s="55" t="e">
        <f t="shared" si="203"/>
        <v>#DIV/0!</v>
      </c>
      <c r="DM196" s="48" t="e">
        <f t="shared" si="204"/>
        <v>#DIV/0!</v>
      </c>
      <c r="DN196" s="48">
        <f>SUMIF(FCR!$BZ$4:$DB$142,DM196,FCR!$DE$4:$EG$142)</f>
        <v>0</v>
      </c>
      <c r="DO196" s="53" t="e">
        <f t="shared" si="205"/>
        <v>#DIV/0!</v>
      </c>
      <c r="DP196" s="55" t="e">
        <f t="shared" si="206"/>
        <v>#DIV/0!</v>
      </c>
      <c r="DQ196" s="55" t="e">
        <f t="shared" si="207"/>
        <v>#DIV/0!</v>
      </c>
      <c r="DR196" s="55"/>
      <c r="DS196" s="55" t="e">
        <f t="shared" si="208"/>
        <v>#DIV/0!</v>
      </c>
      <c r="DT196" s="55" t="e">
        <f t="shared" si="209"/>
        <v>#DIV/0!</v>
      </c>
      <c r="DU196" s="53">
        <f t="shared" si="210"/>
        <v>0</v>
      </c>
      <c r="DV196" s="59" t="e">
        <f t="shared" si="211"/>
        <v>#DIV/0!</v>
      </c>
    </row>
    <row r="197" spans="30:126">
      <c r="AD197" s="49" t="s">
        <v>411</v>
      </c>
      <c r="AE197" s="49">
        <f t="shared" si="157"/>
        <v>0</v>
      </c>
      <c r="AF197" s="49">
        <f t="shared" si="158"/>
        <v>0</v>
      </c>
      <c r="AG197" s="114">
        <f t="shared" si="159"/>
        <v>0</v>
      </c>
      <c r="AH197" s="104">
        <f t="shared" si="160"/>
        <v>0</v>
      </c>
      <c r="AI197" s="104">
        <f t="shared" si="161"/>
        <v>0</v>
      </c>
      <c r="AJ197" s="104">
        <f t="shared" si="162"/>
        <v>0</v>
      </c>
      <c r="AK197" s="104">
        <f t="shared" si="163"/>
        <v>0</v>
      </c>
      <c r="AL197" s="104">
        <f t="shared" si="164"/>
        <v>0</v>
      </c>
      <c r="AM197" s="104">
        <f t="shared" si="165"/>
        <v>0</v>
      </c>
      <c r="AN197" s="104">
        <f t="shared" si="166"/>
        <v>0</v>
      </c>
      <c r="AO197" s="104">
        <f t="shared" si="167"/>
        <v>0</v>
      </c>
      <c r="AP197" s="104">
        <f t="shared" si="168"/>
        <v>0</v>
      </c>
      <c r="AQ197" s="49">
        <f t="shared" si="169"/>
        <v>0</v>
      </c>
      <c r="AR197" s="104">
        <f t="shared" si="170"/>
        <v>0</v>
      </c>
      <c r="AS197" s="104">
        <f t="shared" si="171"/>
        <v>0</v>
      </c>
      <c r="AT197" s="104">
        <f t="shared" si="172"/>
        <v>0</v>
      </c>
      <c r="AU197" s="104">
        <f t="shared" si="173"/>
        <v>0</v>
      </c>
      <c r="BF197" s="49">
        <f t="shared" si="174"/>
        <v>0</v>
      </c>
      <c r="BG197" s="49">
        <f t="shared" si="175"/>
        <v>0</v>
      </c>
      <c r="BH197" s="54" t="e">
        <f t="shared" si="176"/>
        <v>#DIV/0!</v>
      </c>
      <c r="BI197" s="112" t="e">
        <f t="shared" si="177"/>
        <v>#DIV/0!</v>
      </c>
      <c r="BK197" s="55" t="e">
        <f t="shared" si="178"/>
        <v>#DIV/0!</v>
      </c>
      <c r="BL197" s="55" t="e">
        <f t="shared" si="179"/>
        <v>#DIV/0!</v>
      </c>
      <c r="BM197" s="55" t="e">
        <f t="shared" si="180"/>
        <v>#DIV/0!</v>
      </c>
      <c r="BN197" s="53">
        <f t="shared" si="181"/>
        <v>0</v>
      </c>
      <c r="BO197" s="112" t="e">
        <f t="shared" si="182"/>
        <v>#DIV/0!</v>
      </c>
      <c r="BR197" s="53" t="e">
        <f t="shared" si="183"/>
        <v>#DIV/0!</v>
      </c>
      <c r="BS197" s="53">
        <f t="shared" si="184"/>
        <v>0</v>
      </c>
      <c r="BT197" s="53">
        <f t="shared" si="185"/>
        <v>0</v>
      </c>
      <c r="BU197" s="56" t="e">
        <f t="shared" si="186"/>
        <v>#DIV/0!</v>
      </c>
      <c r="BX197" s="60"/>
      <c r="BY197" s="60"/>
      <c r="BZ197" s="60"/>
      <c r="CA197" s="60"/>
      <c r="CB197" s="60"/>
      <c r="CC197" s="60"/>
      <c r="CD197" s="60"/>
      <c r="CE197" s="60"/>
      <c r="CF197" s="60"/>
      <c r="CG197" s="60"/>
      <c r="CH197" s="60"/>
      <c r="CI197" s="60"/>
      <c r="CJ197" s="60"/>
      <c r="CK197" s="60"/>
      <c r="CL197" s="60"/>
      <c r="CM197" s="60"/>
      <c r="CN197" s="60"/>
      <c r="CO197" s="60"/>
      <c r="CP197" s="60"/>
      <c r="CQ197" s="60"/>
      <c r="CR197" s="60"/>
      <c r="CS197" s="60"/>
      <c r="CT197" s="57">
        <f t="shared" si="187"/>
        <v>0</v>
      </c>
      <c r="CU197" s="57">
        <f t="shared" si="188"/>
        <v>0</v>
      </c>
      <c r="CV197" s="53">
        <f t="shared" si="189"/>
        <v>0</v>
      </c>
      <c r="CW197" s="53">
        <f t="shared" si="190"/>
        <v>0</v>
      </c>
      <c r="CX197" s="58" t="e">
        <f t="shared" si="191"/>
        <v>#DIV/0!</v>
      </c>
      <c r="CY197" s="53">
        <f t="shared" si="192"/>
        <v>0</v>
      </c>
      <c r="CZ197" s="53">
        <f t="shared" si="193"/>
        <v>0</v>
      </c>
      <c r="DA197" s="58" t="e">
        <f t="shared" si="194"/>
        <v>#DIV/0!</v>
      </c>
      <c r="DB197" s="48" t="e">
        <f t="shared" si="195"/>
        <v>#DIV/0!</v>
      </c>
      <c r="DC197" s="48" t="e">
        <f t="shared" si="196"/>
        <v>#DIV/0!</v>
      </c>
      <c r="DD197" s="48" t="e">
        <f t="shared" si="197"/>
        <v>#DIV/0!</v>
      </c>
      <c r="DE197" s="48" t="e">
        <f t="shared" si="198"/>
        <v>#DIV/0!</v>
      </c>
      <c r="DF197" s="48" t="e">
        <f t="shared" si="199"/>
        <v>#DIV/0!</v>
      </c>
      <c r="DG197" s="48" t="e">
        <f t="shared" si="200"/>
        <v>#DIV/0!</v>
      </c>
      <c r="DH197" s="48">
        <f>SUMIF(FCR!$BZ$4:$DB$500,DG197,FCR!$DE$4:$EG$500)</f>
        <v>0</v>
      </c>
      <c r="DI197" s="48" t="e">
        <f t="shared" si="201"/>
        <v>#DIV/0!</v>
      </c>
      <c r="DJ197" s="48">
        <f>SUMIF(FCR!$BZ$4:$DB$142,DI197,FCR!$DE$4:$EG$142)</f>
        <v>0</v>
      </c>
      <c r="DK197" s="48" t="e">
        <f t="shared" si="202"/>
        <v>#DIV/0!</v>
      </c>
      <c r="DL197" s="55" t="e">
        <f t="shared" si="203"/>
        <v>#DIV/0!</v>
      </c>
      <c r="DM197" s="48" t="e">
        <f t="shared" si="204"/>
        <v>#DIV/0!</v>
      </c>
      <c r="DN197" s="48">
        <f>SUMIF(FCR!$BZ$4:$DB$142,DM197,FCR!$DE$4:$EG$142)</f>
        <v>0</v>
      </c>
      <c r="DO197" s="53" t="e">
        <f t="shared" si="205"/>
        <v>#DIV/0!</v>
      </c>
      <c r="DP197" s="55" t="e">
        <f t="shared" si="206"/>
        <v>#DIV/0!</v>
      </c>
      <c r="DQ197" s="55" t="e">
        <f t="shared" si="207"/>
        <v>#DIV/0!</v>
      </c>
      <c r="DR197" s="55"/>
      <c r="DS197" s="55" t="e">
        <f t="shared" si="208"/>
        <v>#DIV/0!</v>
      </c>
      <c r="DT197" s="55" t="e">
        <f t="shared" si="209"/>
        <v>#DIV/0!</v>
      </c>
      <c r="DU197" s="53">
        <f t="shared" si="210"/>
        <v>0</v>
      </c>
      <c r="DV197" s="59" t="e">
        <f t="shared" si="211"/>
        <v>#DIV/0!</v>
      </c>
    </row>
    <row r="198" spans="30:126">
      <c r="AD198" s="49" t="s">
        <v>411</v>
      </c>
      <c r="AE198" s="49">
        <f t="shared" ref="AE198:AE200" si="212">+A198</f>
        <v>0</v>
      </c>
      <c r="AF198" s="49">
        <f t="shared" si="158"/>
        <v>0</v>
      </c>
      <c r="AG198" s="114">
        <f t="shared" si="159"/>
        <v>0</v>
      </c>
      <c r="AH198" s="104">
        <f t="shared" si="160"/>
        <v>0</v>
      </c>
      <c r="AI198" s="104">
        <f t="shared" si="161"/>
        <v>0</v>
      </c>
      <c r="AJ198" s="104">
        <f t="shared" si="162"/>
        <v>0</v>
      </c>
      <c r="AK198" s="104">
        <f t="shared" si="163"/>
        <v>0</v>
      </c>
      <c r="AL198" s="104">
        <f t="shared" si="164"/>
        <v>0</v>
      </c>
      <c r="AM198" s="104">
        <f t="shared" si="165"/>
        <v>0</v>
      </c>
      <c r="AN198" s="104">
        <f t="shared" si="166"/>
        <v>0</v>
      </c>
      <c r="AO198" s="104">
        <f t="shared" si="167"/>
        <v>0</v>
      </c>
      <c r="AP198" s="104">
        <f t="shared" si="168"/>
        <v>0</v>
      </c>
      <c r="AQ198" s="49">
        <f t="shared" si="169"/>
        <v>0</v>
      </c>
      <c r="AR198" s="104">
        <f t="shared" si="170"/>
        <v>0</v>
      </c>
      <c r="AS198" s="104">
        <f t="shared" si="171"/>
        <v>0</v>
      </c>
      <c r="AT198" s="104">
        <f t="shared" si="172"/>
        <v>0</v>
      </c>
      <c r="AU198" s="104">
        <f t="shared" si="173"/>
        <v>0</v>
      </c>
      <c r="BF198" s="49">
        <f t="shared" si="174"/>
        <v>0</v>
      </c>
      <c r="BG198" s="49">
        <f t="shared" si="175"/>
        <v>0</v>
      </c>
      <c r="BH198" s="54" t="e">
        <f t="shared" si="176"/>
        <v>#DIV/0!</v>
      </c>
      <c r="BI198" s="112" t="e">
        <f t="shared" si="177"/>
        <v>#DIV/0!</v>
      </c>
      <c r="BK198" s="55" t="e">
        <f t="shared" si="178"/>
        <v>#DIV/0!</v>
      </c>
      <c r="BL198" s="55" t="e">
        <f t="shared" si="179"/>
        <v>#DIV/0!</v>
      </c>
      <c r="BM198" s="55" t="e">
        <f t="shared" si="180"/>
        <v>#DIV/0!</v>
      </c>
      <c r="BN198" s="53">
        <f t="shared" si="181"/>
        <v>0</v>
      </c>
      <c r="BO198" s="112" t="e">
        <f t="shared" si="182"/>
        <v>#DIV/0!</v>
      </c>
      <c r="BR198" s="53" t="e">
        <f t="shared" si="183"/>
        <v>#DIV/0!</v>
      </c>
      <c r="BS198" s="53">
        <f t="shared" si="184"/>
        <v>0</v>
      </c>
      <c r="BT198" s="53">
        <f t="shared" si="185"/>
        <v>0</v>
      </c>
      <c r="BU198" s="56" t="e">
        <f t="shared" si="186"/>
        <v>#DIV/0!</v>
      </c>
      <c r="BX198" s="60"/>
      <c r="BY198" s="60"/>
      <c r="BZ198" s="60"/>
      <c r="CA198" s="60"/>
      <c r="CB198" s="60"/>
      <c r="CC198" s="60"/>
      <c r="CD198" s="60"/>
      <c r="CE198" s="60"/>
      <c r="CF198" s="60"/>
      <c r="CG198" s="60"/>
      <c r="CH198" s="60"/>
      <c r="CI198" s="60"/>
      <c r="CJ198" s="60"/>
      <c r="CK198" s="60"/>
      <c r="CL198" s="60"/>
      <c r="CM198" s="60"/>
      <c r="CN198" s="60"/>
      <c r="CO198" s="60"/>
      <c r="CP198" s="60"/>
      <c r="CQ198" s="60"/>
      <c r="CR198" s="60"/>
      <c r="CS198" s="60"/>
      <c r="CT198" s="57">
        <f t="shared" si="187"/>
        <v>0</v>
      </c>
      <c r="CU198" s="57">
        <f t="shared" si="188"/>
        <v>0</v>
      </c>
      <c r="CV198" s="53">
        <f t="shared" si="189"/>
        <v>0</v>
      </c>
      <c r="CW198" s="53">
        <f t="shared" si="190"/>
        <v>0</v>
      </c>
      <c r="CX198" s="58" t="e">
        <f t="shared" si="191"/>
        <v>#DIV/0!</v>
      </c>
      <c r="CY198" s="53">
        <f t="shared" si="192"/>
        <v>0</v>
      </c>
      <c r="CZ198" s="53">
        <f t="shared" si="193"/>
        <v>0</v>
      </c>
      <c r="DA198" s="58" t="e">
        <f t="shared" si="194"/>
        <v>#DIV/0!</v>
      </c>
      <c r="DB198" s="48" t="e">
        <f t="shared" si="195"/>
        <v>#DIV/0!</v>
      </c>
      <c r="DC198" s="48" t="e">
        <f t="shared" si="196"/>
        <v>#DIV/0!</v>
      </c>
      <c r="DD198" s="48" t="e">
        <f t="shared" si="197"/>
        <v>#DIV/0!</v>
      </c>
      <c r="DE198" s="48" t="e">
        <f t="shared" si="198"/>
        <v>#DIV/0!</v>
      </c>
      <c r="DF198" s="48" t="e">
        <f t="shared" si="199"/>
        <v>#DIV/0!</v>
      </c>
      <c r="DG198" s="48" t="e">
        <f t="shared" si="200"/>
        <v>#DIV/0!</v>
      </c>
      <c r="DH198" s="48">
        <f>SUMIF(FCR!$BZ$4:$DB$500,DG198,FCR!$DE$4:$EG$500)</f>
        <v>0</v>
      </c>
      <c r="DI198" s="48" t="e">
        <f t="shared" si="201"/>
        <v>#DIV/0!</v>
      </c>
      <c r="DJ198" s="48">
        <f>SUMIF(FCR!$BZ$4:$DB$142,DI198,FCR!$DE$4:$EG$142)</f>
        <v>0</v>
      </c>
      <c r="DK198" s="48" t="e">
        <f t="shared" si="202"/>
        <v>#DIV/0!</v>
      </c>
      <c r="DL198" s="55" t="e">
        <f t="shared" si="203"/>
        <v>#DIV/0!</v>
      </c>
      <c r="DM198" s="48" t="e">
        <f t="shared" si="204"/>
        <v>#DIV/0!</v>
      </c>
      <c r="DN198" s="48">
        <f>SUMIF(FCR!$BZ$4:$DB$142,DM198,FCR!$DE$4:$EG$142)</f>
        <v>0</v>
      </c>
      <c r="DO198" s="53" t="e">
        <f t="shared" si="205"/>
        <v>#DIV/0!</v>
      </c>
      <c r="DP198" s="55" t="e">
        <f t="shared" si="206"/>
        <v>#DIV/0!</v>
      </c>
      <c r="DQ198" s="55" t="e">
        <f t="shared" si="207"/>
        <v>#DIV/0!</v>
      </c>
      <c r="DR198" s="55"/>
      <c r="DS198" s="55" t="e">
        <f t="shared" si="208"/>
        <v>#DIV/0!</v>
      </c>
      <c r="DT198" s="55" t="e">
        <f t="shared" si="209"/>
        <v>#DIV/0!</v>
      </c>
      <c r="DU198" s="53">
        <f t="shared" si="210"/>
        <v>0</v>
      </c>
      <c r="DV198" s="59" t="e">
        <f t="shared" si="211"/>
        <v>#DIV/0!</v>
      </c>
    </row>
    <row r="199" spans="30:126">
      <c r="AD199" s="49" t="s">
        <v>411</v>
      </c>
      <c r="AE199" s="49">
        <f t="shared" si="212"/>
        <v>0</v>
      </c>
      <c r="AF199" s="49">
        <f t="shared" si="158"/>
        <v>0</v>
      </c>
      <c r="AG199" s="114">
        <f t="shared" si="159"/>
        <v>0</v>
      </c>
      <c r="AH199" s="104">
        <f t="shared" si="160"/>
        <v>0</v>
      </c>
      <c r="AI199" s="104">
        <f t="shared" si="161"/>
        <v>0</v>
      </c>
      <c r="AJ199" s="104">
        <f t="shared" si="162"/>
        <v>0</v>
      </c>
      <c r="AK199" s="104">
        <f t="shared" si="163"/>
        <v>0</v>
      </c>
      <c r="AL199" s="104">
        <f t="shared" si="164"/>
        <v>0</v>
      </c>
      <c r="AM199" s="104">
        <f t="shared" si="165"/>
        <v>0</v>
      </c>
      <c r="AN199" s="104">
        <f t="shared" si="166"/>
        <v>0</v>
      </c>
      <c r="AO199" s="104">
        <f t="shared" si="167"/>
        <v>0</v>
      </c>
      <c r="AP199" s="104">
        <f t="shared" si="168"/>
        <v>0</v>
      </c>
      <c r="AQ199" s="49">
        <f t="shared" si="169"/>
        <v>0</v>
      </c>
      <c r="AR199" s="104">
        <f t="shared" si="170"/>
        <v>0</v>
      </c>
      <c r="AS199" s="104">
        <f t="shared" si="171"/>
        <v>0</v>
      </c>
      <c r="AT199" s="104">
        <f t="shared" si="172"/>
        <v>0</v>
      </c>
      <c r="AU199" s="104">
        <f t="shared" si="173"/>
        <v>0</v>
      </c>
      <c r="BF199" s="49">
        <f t="shared" si="174"/>
        <v>0</v>
      </c>
      <c r="BG199" s="49">
        <f t="shared" si="175"/>
        <v>0</v>
      </c>
      <c r="BH199" s="54" t="e">
        <f t="shared" si="176"/>
        <v>#DIV/0!</v>
      </c>
      <c r="BI199" s="112" t="e">
        <f t="shared" si="177"/>
        <v>#DIV/0!</v>
      </c>
      <c r="BK199" s="55" t="e">
        <f t="shared" si="178"/>
        <v>#DIV/0!</v>
      </c>
      <c r="BL199" s="55" t="e">
        <f t="shared" si="179"/>
        <v>#DIV/0!</v>
      </c>
      <c r="BM199" s="55" t="e">
        <f t="shared" si="180"/>
        <v>#DIV/0!</v>
      </c>
      <c r="BN199" s="53">
        <f t="shared" si="181"/>
        <v>0</v>
      </c>
      <c r="BO199" s="112" t="e">
        <f t="shared" si="182"/>
        <v>#DIV/0!</v>
      </c>
      <c r="BR199" s="53" t="e">
        <f t="shared" si="183"/>
        <v>#DIV/0!</v>
      </c>
      <c r="BS199" s="53">
        <f t="shared" si="184"/>
        <v>0</v>
      </c>
      <c r="BT199" s="53">
        <f t="shared" si="185"/>
        <v>0</v>
      </c>
      <c r="BU199" s="56" t="e">
        <f t="shared" si="186"/>
        <v>#DIV/0!</v>
      </c>
      <c r="BX199" s="60"/>
      <c r="BY199" s="60"/>
      <c r="BZ199" s="60"/>
      <c r="CA199" s="60"/>
      <c r="CB199" s="60"/>
      <c r="CC199" s="60"/>
      <c r="CD199" s="60"/>
      <c r="CE199" s="60"/>
      <c r="CF199" s="60"/>
      <c r="CG199" s="60"/>
      <c r="CH199" s="60"/>
      <c r="CI199" s="60"/>
      <c r="CJ199" s="60"/>
      <c r="CK199" s="60"/>
      <c r="CL199" s="60"/>
      <c r="CM199" s="60"/>
      <c r="CN199" s="60"/>
      <c r="CO199" s="60"/>
      <c r="CP199" s="60"/>
      <c r="CQ199" s="60"/>
      <c r="CR199" s="60"/>
      <c r="CS199" s="60"/>
      <c r="CT199" s="57">
        <f t="shared" si="187"/>
        <v>0</v>
      </c>
      <c r="CU199" s="57">
        <f t="shared" si="188"/>
        <v>0</v>
      </c>
      <c r="CV199" s="53">
        <f t="shared" si="189"/>
        <v>0</v>
      </c>
      <c r="CW199" s="53">
        <f t="shared" si="190"/>
        <v>0</v>
      </c>
      <c r="CX199" s="58" t="e">
        <f t="shared" si="191"/>
        <v>#DIV/0!</v>
      </c>
      <c r="CY199" s="53">
        <f t="shared" si="192"/>
        <v>0</v>
      </c>
      <c r="CZ199" s="53">
        <f t="shared" si="193"/>
        <v>0</v>
      </c>
      <c r="DA199" s="58" t="e">
        <f t="shared" si="194"/>
        <v>#DIV/0!</v>
      </c>
      <c r="DB199" s="48" t="e">
        <f t="shared" si="195"/>
        <v>#DIV/0!</v>
      </c>
      <c r="DC199" s="48" t="e">
        <f t="shared" si="196"/>
        <v>#DIV/0!</v>
      </c>
      <c r="DD199" s="48" t="e">
        <f t="shared" si="197"/>
        <v>#DIV/0!</v>
      </c>
      <c r="DE199" s="48" t="e">
        <f t="shared" si="198"/>
        <v>#DIV/0!</v>
      </c>
      <c r="DF199" s="48" t="e">
        <f t="shared" si="199"/>
        <v>#DIV/0!</v>
      </c>
      <c r="DG199" s="48" t="e">
        <f t="shared" si="200"/>
        <v>#DIV/0!</v>
      </c>
      <c r="DH199" s="48">
        <f>SUMIF(FCR!$BZ$4:$DB$500,DG199,FCR!$DE$4:$EG$500)</f>
        <v>0</v>
      </c>
      <c r="DI199" s="48" t="e">
        <f t="shared" si="201"/>
        <v>#DIV/0!</v>
      </c>
      <c r="DJ199" s="48">
        <f>SUMIF(FCR!$BZ$4:$DB$142,DI199,FCR!$DE$4:$EG$142)</f>
        <v>0</v>
      </c>
      <c r="DK199" s="48" t="e">
        <f t="shared" si="202"/>
        <v>#DIV/0!</v>
      </c>
      <c r="DL199" s="55" t="e">
        <f t="shared" si="203"/>
        <v>#DIV/0!</v>
      </c>
      <c r="DM199" s="48" t="e">
        <f t="shared" si="204"/>
        <v>#DIV/0!</v>
      </c>
      <c r="DN199" s="48">
        <f>SUMIF(FCR!$BZ$4:$DB$142,DM199,FCR!$DE$4:$EG$142)</f>
        <v>0</v>
      </c>
      <c r="DO199" s="53" t="e">
        <f t="shared" si="205"/>
        <v>#DIV/0!</v>
      </c>
      <c r="DP199" s="55" t="e">
        <f t="shared" si="206"/>
        <v>#DIV/0!</v>
      </c>
      <c r="DQ199" s="55" t="e">
        <f t="shared" si="207"/>
        <v>#DIV/0!</v>
      </c>
      <c r="DR199" s="55"/>
      <c r="DS199" s="55" t="e">
        <f t="shared" si="208"/>
        <v>#DIV/0!</v>
      </c>
      <c r="DT199" s="55" t="e">
        <f t="shared" si="209"/>
        <v>#DIV/0!</v>
      </c>
      <c r="DU199" s="53">
        <f t="shared" si="210"/>
        <v>0</v>
      </c>
      <c r="DV199" s="59" t="e">
        <f t="shared" si="211"/>
        <v>#DIV/0!</v>
      </c>
    </row>
    <row r="200" spans="30:126">
      <c r="AD200" s="49" t="s">
        <v>411</v>
      </c>
      <c r="AE200" s="49">
        <f t="shared" si="212"/>
        <v>0</v>
      </c>
      <c r="AF200" s="49">
        <f t="shared" si="158"/>
        <v>0</v>
      </c>
      <c r="AG200" s="114">
        <f t="shared" si="159"/>
        <v>0</v>
      </c>
      <c r="AH200" s="104">
        <f t="shared" si="160"/>
        <v>0</v>
      </c>
      <c r="AI200" s="104">
        <f t="shared" si="161"/>
        <v>0</v>
      </c>
      <c r="AJ200" s="104">
        <f t="shared" si="162"/>
        <v>0</v>
      </c>
      <c r="AK200" s="104">
        <f t="shared" si="163"/>
        <v>0</v>
      </c>
      <c r="AL200" s="104">
        <f t="shared" si="164"/>
        <v>0</v>
      </c>
      <c r="AM200" s="104">
        <f t="shared" si="165"/>
        <v>0</v>
      </c>
      <c r="AN200" s="104">
        <f t="shared" si="166"/>
        <v>0</v>
      </c>
      <c r="AO200" s="104">
        <f t="shared" si="167"/>
        <v>0</v>
      </c>
      <c r="AP200" s="104">
        <f t="shared" si="168"/>
        <v>0</v>
      </c>
      <c r="AQ200" s="49">
        <f t="shared" si="169"/>
        <v>0</v>
      </c>
      <c r="AR200" s="104">
        <f t="shared" si="170"/>
        <v>0</v>
      </c>
      <c r="AS200" s="104">
        <f t="shared" si="171"/>
        <v>0</v>
      </c>
      <c r="AT200" s="104">
        <f t="shared" si="172"/>
        <v>0</v>
      </c>
      <c r="AU200" s="104">
        <f t="shared" si="173"/>
        <v>0</v>
      </c>
      <c r="BF200" s="49">
        <f t="shared" si="174"/>
        <v>0</v>
      </c>
      <c r="BG200" s="49">
        <f t="shared" si="175"/>
        <v>0</v>
      </c>
      <c r="BH200" s="54" t="e">
        <f t="shared" si="176"/>
        <v>#DIV/0!</v>
      </c>
      <c r="BI200" s="112" t="e">
        <f t="shared" si="177"/>
        <v>#DIV/0!</v>
      </c>
      <c r="BK200" s="55" t="e">
        <f t="shared" si="178"/>
        <v>#DIV/0!</v>
      </c>
      <c r="BL200" s="55" t="e">
        <f t="shared" si="179"/>
        <v>#DIV/0!</v>
      </c>
      <c r="BM200" s="55" t="e">
        <f t="shared" si="180"/>
        <v>#DIV/0!</v>
      </c>
      <c r="BN200" s="53">
        <f t="shared" si="181"/>
        <v>0</v>
      </c>
      <c r="BO200" s="112" t="e">
        <f t="shared" si="182"/>
        <v>#DIV/0!</v>
      </c>
      <c r="BR200" s="53" t="e">
        <f t="shared" si="183"/>
        <v>#DIV/0!</v>
      </c>
      <c r="BS200" s="53">
        <f t="shared" si="184"/>
        <v>0</v>
      </c>
      <c r="BT200" s="53">
        <f t="shared" si="185"/>
        <v>0</v>
      </c>
      <c r="BU200" s="56" t="e">
        <f t="shared" si="186"/>
        <v>#DIV/0!</v>
      </c>
      <c r="BX200" s="60"/>
      <c r="BY200" s="60"/>
      <c r="BZ200" s="60"/>
      <c r="CA200" s="60"/>
      <c r="CB200" s="60"/>
      <c r="CC200" s="60"/>
      <c r="CD200" s="60"/>
      <c r="CE200" s="60"/>
      <c r="CF200" s="60"/>
      <c r="CG200" s="60"/>
      <c r="CH200" s="60"/>
      <c r="CI200" s="60"/>
      <c r="CJ200" s="60"/>
      <c r="CK200" s="60"/>
      <c r="CL200" s="60"/>
      <c r="CM200" s="60"/>
      <c r="CN200" s="60"/>
      <c r="CO200" s="60"/>
      <c r="CP200" s="60"/>
      <c r="CQ200" s="60"/>
      <c r="CR200" s="60"/>
      <c r="CS200" s="60"/>
      <c r="CT200" s="57">
        <f t="shared" si="187"/>
        <v>0</v>
      </c>
      <c r="CU200" s="57">
        <f t="shared" si="188"/>
        <v>0</v>
      </c>
      <c r="CV200" s="53">
        <f t="shared" si="189"/>
        <v>0</v>
      </c>
      <c r="CW200" s="53">
        <f t="shared" si="190"/>
        <v>0</v>
      </c>
      <c r="CX200" s="58" t="e">
        <f t="shared" si="191"/>
        <v>#DIV/0!</v>
      </c>
      <c r="CY200" s="53">
        <f t="shared" si="192"/>
        <v>0</v>
      </c>
      <c r="CZ200" s="53">
        <f t="shared" si="193"/>
        <v>0</v>
      </c>
      <c r="DA200" s="58" t="e">
        <f t="shared" si="194"/>
        <v>#DIV/0!</v>
      </c>
      <c r="DB200" s="48" t="e">
        <f t="shared" si="195"/>
        <v>#DIV/0!</v>
      </c>
      <c r="DC200" s="48" t="e">
        <f t="shared" si="196"/>
        <v>#DIV/0!</v>
      </c>
      <c r="DD200" s="48" t="e">
        <f t="shared" si="197"/>
        <v>#DIV/0!</v>
      </c>
      <c r="DE200" s="48" t="e">
        <f t="shared" si="198"/>
        <v>#DIV/0!</v>
      </c>
      <c r="DF200" s="48" t="e">
        <f t="shared" si="199"/>
        <v>#DIV/0!</v>
      </c>
      <c r="DG200" s="48" t="e">
        <f t="shared" si="200"/>
        <v>#DIV/0!</v>
      </c>
      <c r="DH200" s="48">
        <f>SUMIF(FCR!$BZ$4:$DB$500,DG200,FCR!$DE$4:$EG$500)</f>
        <v>0</v>
      </c>
      <c r="DI200" s="48" t="e">
        <f t="shared" si="201"/>
        <v>#DIV/0!</v>
      </c>
      <c r="DJ200" s="48">
        <f>SUMIF(FCR!$BZ$4:$DB$142,DI200,FCR!$DE$4:$EG$142)</f>
        <v>0</v>
      </c>
      <c r="DK200" s="48" t="e">
        <f t="shared" si="202"/>
        <v>#DIV/0!</v>
      </c>
      <c r="DL200" s="55" t="e">
        <f t="shared" si="203"/>
        <v>#DIV/0!</v>
      </c>
      <c r="DM200" s="48" t="e">
        <f t="shared" si="204"/>
        <v>#DIV/0!</v>
      </c>
      <c r="DN200" s="48">
        <f>SUMIF(FCR!$BZ$4:$DB$142,DM200,FCR!$DE$4:$EG$142)</f>
        <v>0</v>
      </c>
      <c r="DO200" s="53" t="e">
        <f t="shared" si="205"/>
        <v>#DIV/0!</v>
      </c>
      <c r="DP200" s="55" t="e">
        <f t="shared" si="206"/>
        <v>#DIV/0!</v>
      </c>
      <c r="DQ200" s="55" t="e">
        <f t="shared" si="207"/>
        <v>#DIV/0!</v>
      </c>
      <c r="DR200" s="55"/>
      <c r="DS200" s="55" t="e">
        <f t="shared" si="208"/>
        <v>#DIV/0!</v>
      </c>
      <c r="DT200" s="55" t="e">
        <f t="shared" si="209"/>
        <v>#DIV/0!</v>
      </c>
      <c r="DU200" s="53">
        <f t="shared" si="210"/>
        <v>0</v>
      </c>
      <c r="DV200" s="59" t="e">
        <f t="shared" si="211"/>
        <v>#DIV/0!</v>
      </c>
    </row>
  </sheetData>
  <mergeCells count="32">
    <mergeCell ref="DD1:DF1"/>
    <mergeCell ref="BX2:BY2"/>
    <mergeCell ref="BZ2:CA2"/>
    <mergeCell ref="CB2:CC2"/>
    <mergeCell ref="CD2:CE2"/>
    <mergeCell ref="CR2:CS2"/>
    <mergeCell ref="CT2:CU2"/>
    <mergeCell ref="A1:A2"/>
    <mergeCell ref="CF2:CG2"/>
    <mergeCell ref="CH2:CI2"/>
    <mergeCell ref="CJ2:CK2"/>
    <mergeCell ref="CL2:CM2"/>
    <mergeCell ref="BT1:BT2"/>
    <mergeCell ref="BU1:BU2"/>
    <mergeCell ref="BV1:BV2"/>
    <mergeCell ref="BW1:BW2"/>
    <mergeCell ref="BX1:CU1"/>
    <mergeCell ref="E1:E2"/>
    <mergeCell ref="BF1:BJ1"/>
    <mergeCell ref="BK1:BP1"/>
    <mergeCell ref="BQ1:BQ2"/>
    <mergeCell ref="BR1:BR2"/>
    <mergeCell ref="BS1:BS2"/>
    <mergeCell ref="B1:B2"/>
    <mergeCell ref="C1:C2"/>
    <mergeCell ref="D1:D2"/>
    <mergeCell ref="CN2:CO2"/>
    <mergeCell ref="CP2:CQ2"/>
    <mergeCell ref="L2:L3"/>
    <mergeCell ref="M2:M3"/>
    <mergeCell ref="N2:N3"/>
    <mergeCell ref="O2:O3"/>
  </mergeCells>
  <pageMargins left="0" right="0.05" top="0" bottom="0" header="0.31496062992126" footer="0.31496062992126"/>
  <pageSetup paperSize="9" scale="80" orientation="landscape" r:id="rId1"/>
  <headerFooter alignWithMargins="0">
    <oddFooter>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>
    <tabColor indexed="33"/>
  </sheetPr>
  <dimension ref="A1:DH21"/>
  <sheetViews>
    <sheetView zoomScaleNormal="100" zoomScaleSheetLayoutView="100" workbookViewId="0">
      <selection activeCell="E28" sqref="E28"/>
    </sheetView>
  </sheetViews>
  <sheetFormatPr defaultRowHeight="11.25"/>
  <cols>
    <col min="1" max="2" width="12.28515625" style="115" customWidth="1"/>
    <col min="3" max="4" width="19.140625" style="114" customWidth="1"/>
    <col min="5" max="5" width="8.42578125" style="49" customWidth="1"/>
    <col min="6" max="19" width="10.42578125" style="49" customWidth="1"/>
    <col min="20" max="21" width="8.42578125" style="49" customWidth="1"/>
    <col min="22" max="22" width="11.28515625" style="49" customWidth="1"/>
    <col min="23" max="27" width="8.42578125" style="49" customWidth="1"/>
    <col min="28" max="28" width="11.5703125" style="49" customWidth="1"/>
    <col min="29" max="38" width="8.42578125" style="49" customWidth="1"/>
    <col min="39" max="39" width="11.140625" style="49" customWidth="1"/>
    <col min="40" max="43" width="8.42578125" style="49" customWidth="1"/>
    <col min="44" max="44" width="9.5703125" style="49" customWidth="1"/>
    <col min="45" max="45" width="11.140625" style="49" customWidth="1"/>
    <col min="46" max="46" width="10.7109375" style="54" customWidth="1"/>
    <col min="47" max="47" width="15.28515625" style="112" customWidth="1"/>
    <col min="48" max="48" width="16.140625" style="113" customWidth="1"/>
    <col min="49" max="49" width="8.42578125" style="53" customWidth="1"/>
    <col min="50" max="50" width="9.28515625" style="53" customWidth="1"/>
    <col min="51" max="51" width="10.42578125" style="53" customWidth="1"/>
    <col min="52" max="52" width="12.85546875" style="53" customWidth="1"/>
    <col min="53" max="53" width="9.7109375" style="112" customWidth="1"/>
    <col min="54" max="54" width="15.140625" style="112" customWidth="1"/>
    <col min="55" max="55" width="16.28515625" style="49" customWidth="1"/>
    <col min="56" max="56" width="8.5703125" style="53" customWidth="1"/>
    <col min="57" max="57" width="9.85546875" style="53" customWidth="1"/>
    <col min="58" max="58" width="15" style="54" customWidth="1"/>
    <col min="59" max="59" width="10.7109375" style="56" customWidth="1"/>
    <col min="60" max="60" width="9.28515625" style="53" customWidth="1"/>
    <col min="61" max="61" width="15.42578125" style="53" customWidth="1"/>
    <col min="62" max="62" width="11.42578125" style="49" customWidth="1"/>
    <col min="63" max="63" width="13.7109375" style="49" customWidth="1"/>
    <col min="64" max="70" width="11.42578125" style="49" customWidth="1"/>
    <col min="71" max="71" width="14.42578125" style="49" customWidth="1"/>
    <col min="72" max="72" width="11.42578125" style="49" customWidth="1"/>
    <col min="73" max="73" width="12.85546875" style="49" customWidth="1"/>
    <col min="74" max="83" width="11.42578125" style="49" customWidth="1"/>
    <col min="84" max="84" width="11.42578125" style="57" customWidth="1"/>
    <col min="85" max="85" width="12.85546875" style="57" customWidth="1"/>
    <col min="86" max="112" width="19.28515625" style="53" customWidth="1"/>
    <col min="113" max="16384" width="9.140625" style="53"/>
  </cols>
  <sheetData>
    <row r="1" spans="1:112" s="20" customFormat="1" ht="45.75" customHeight="1">
      <c r="A1" s="144" t="s">
        <v>14</v>
      </c>
      <c r="B1" s="149" t="s">
        <v>15</v>
      </c>
      <c r="C1" s="150" t="s">
        <v>16</v>
      </c>
      <c r="D1" s="152" t="s">
        <v>321</v>
      </c>
      <c r="E1" s="107"/>
      <c r="F1" s="107"/>
      <c r="G1" s="107"/>
      <c r="H1" s="107"/>
      <c r="I1" s="107"/>
      <c r="J1" s="107"/>
      <c r="K1" s="107"/>
      <c r="L1" s="107"/>
      <c r="M1" s="107"/>
      <c r="N1" s="107"/>
      <c r="O1" s="107"/>
      <c r="P1" s="107"/>
      <c r="Q1" s="107"/>
      <c r="R1" s="107"/>
      <c r="S1" s="107"/>
      <c r="T1" s="19"/>
      <c r="U1" s="19"/>
      <c r="V1" s="19"/>
      <c r="W1" s="19"/>
      <c r="X1" s="19"/>
      <c r="Y1" s="19"/>
      <c r="Z1" s="19"/>
      <c r="AA1" s="19"/>
      <c r="AB1" s="19"/>
      <c r="AC1" s="19"/>
      <c r="AD1" s="19"/>
      <c r="AE1" s="19"/>
      <c r="AF1" s="19"/>
      <c r="AG1" s="19"/>
      <c r="AH1" s="19"/>
      <c r="AI1" s="19"/>
      <c r="AJ1" s="19"/>
      <c r="AK1" s="19"/>
      <c r="AL1" s="19"/>
      <c r="AM1" s="19"/>
      <c r="AN1" s="19"/>
      <c r="AO1" s="19"/>
      <c r="AP1" s="19"/>
      <c r="AQ1" s="19"/>
      <c r="AR1" s="140" t="s">
        <v>21</v>
      </c>
      <c r="AS1" s="140"/>
      <c r="AT1" s="140"/>
      <c r="AU1" s="140"/>
      <c r="AV1" s="140"/>
      <c r="AW1" s="140" t="s">
        <v>22</v>
      </c>
      <c r="AX1" s="140"/>
      <c r="AY1" s="140"/>
      <c r="AZ1" s="140"/>
      <c r="BA1" s="140"/>
      <c r="BB1" s="140"/>
      <c r="BC1" s="141" t="s">
        <v>23</v>
      </c>
      <c r="BD1" s="140" t="s">
        <v>24</v>
      </c>
      <c r="BE1" s="140" t="s">
        <v>25</v>
      </c>
      <c r="BF1" s="147" t="s">
        <v>26</v>
      </c>
      <c r="BG1" s="148" t="s">
        <v>27</v>
      </c>
      <c r="BH1" s="140" t="s">
        <v>28</v>
      </c>
      <c r="BI1" s="140" t="s">
        <v>29</v>
      </c>
      <c r="BJ1" s="140" t="s">
        <v>30</v>
      </c>
      <c r="BK1" s="140"/>
      <c r="BL1" s="140"/>
      <c r="BM1" s="140"/>
      <c r="BN1" s="140"/>
      <c r="BO1" s="140"/>
      <c r="BP1" s="140"/>
      <c r="BQ1" s="140"/>
      <c r="BR1" s="140"/>
      <c r="BS1" s="140"/>
      <c r="BT1" s="140"/>
      <c r="BU1" s="140"/>
      <c r="BV1" s="140"/>
      <c r="BW1" s="140"/>
      <c r="BX1" s="140"/>
      <c r="BY1" s="140"/>
      <c r="BZ1" s="140"/>
      <c r="CA1" s="140"/>
      <c r="CB1" s="140"/>
      <c r="CC1" s="140"/>
      <c r="CD1" s="140"/>
      <c r="CE1" s="140"/>
      <c r="CF1" s="140"/>
      <c r="CG1" s="140"/>
      <c r="CH1" s="20" t="s">
        <v>31</v>
      </c>
      <c r="CI1" s="20" t="s">
        <v>32</v>
      </c>
      <c r="CJ1" s="21" t="s">
        <v>33</v>
      </c>
      <c r="CK1" s="20" t="s">
        <v>34</v>
      </c>
      <c r="CL1" s="20" t="s">
        <v>35</v>
      </c>
      <c r="CM1" s="21" t="s">
        <v>36</v>
      </c>
      <c r="CN1" s="22" t="s">
        <v>37</v>
      </c>
      <c r="CO1" s="22" t="s">
        <v>38</v>
      </c>
      <c r="CP1" s="146" t="s">
        <v>39</v>
      </c>
      <c r="CQ1" s="146"/>
      <c r="CR1" s="146"/>
      <c r="CS1" s="22" t="s">
        <v>40</v>
      </c>
      <c r="CT1" s="22" t="s">
        <v>41</v>
      </c>
      <c r="CU1" s="22" t="s">
        <v>42</v>
      </c>
      <c r="CV1" s="22" t="s">
        <v>43</v>
      </c>
      <c r="CW1" s="22" t="s">
        <v>44</v>
      </c>
      <c r="CX1" s="23" t="s">
        <v>45</v>
      </c>
      <c r="CY1" s="22" t="s">
        <v>46</v>
      </c>
      <c r="CZ1" s="22" t="s">
        <v>47</v>
      </c>
      <c r="DA1" s="24" t="s">
        <v>48</v>
      </c>
      <c r="DB1" s="23" t="s">
        <v>49</v>
      </c>
      <c r="DC1" s="23" t="s">
        <v>50</v>
      </c>
      <c r="DD1" s="23" t="s">
        <v>51</v>
      </c>
      <c r="DE1" s="23" t="s">
        <v>52</v>
      </c>
      <c r="DF1" s="23" t="s">
        <v>53</v>
      </c>
      <c r="DG1" s="20" t="s">
        <v>54</v>
      </c>
      <c r="DH1" s="25" t="s">
        <v>55</v>
      </c>
    </row>
    <row r="2" spans="1:112" s="20" customFormat="1" ht="54" customHeight="1">
      <c r="A2" s="144"/>
      <c r="B2" s="149"/>
      <c r="C2" s="150"/>
      <c r="D2" s="152"/>
      <c r="E2" s="107" t="s">
        <v>56</v>
      </c>
      <c r="F2" s="106" t="s">
        <v>319</v>
      </c>
      <c r="G2" s="107" t="s">
        <v>316</v>
      </c>
      <c r="H2" s="107" t="s">
        <v>317</v>
      </c>
      <c r="I2" s="107" t="s">
        <v>318</v>
      </c>
      <c r="J2" s="107" t="s">
        <v>320</v>
      </c>
      <c r="K2" s="145" t="s">
        <v>18</v>
      </c>
      <c r="L2" s="145" t="s">
        <v>19</v>
      </c>
      <c r="M2" s="141" t="s">
        <v>17</v>
      </c>
      <c r="N2" s="140" t="s">
        <v>20</v>
      </c>
      <c r="O2" s="107"/>
      <c r="P2" s="107"/>
      <c r="Q2" s="107"/>
      <c r="R2" s="107"/>
      <c r="S2" s="107"/>
      <c r="T2" s="19" t="s">
        <v>56</v>
      </c>
      <c r="U2" s="19" t="s">
        <v>57</v>
      </c>
      <c r="V2" s="19" t="s">
        <v>58</v>
      </c>
      <c r="W2" s="19" t="s">
        <v>59</v>
      </c>
      <c r="X2" s="19" t="s">
        <v>60</v>
      </c>
      <c r="Y2" s="19" t="s">
        <v>61</v>
      </c>
      <c r="Z2" s="19" t="s">
        <v>62</v>
      </c>
      <c r="AA2" s="19" t="s">
        <v>63</v>
      </c>
      <c r="AB2" s="19" t="s">
        <v>64</v>
      </c>
      <c r="AC2" s="19" t="s">
        <v>65</v>
      </c>
      <c r="AD2" s="19" t="s">
        <v>66</v>
      </c>
      <c r="AE2" s="19" t="s">
        <v>67</v>
      </c>
      <c r="AF2" s="19" t="s">
        <v>68</v>
      </c>
      <c r="AG2" s="19" t="s">
        <v>69</v>
      </c>
      <c r="AH2" s="19" t="s">
        <v>70</v>
      </c>
      <c r="AI2" s="19" t="s">
        <v>71</v>
      </c>
      <c r="AJ2" s="19" t="s">
        <v>72</v>
      </c>
      <c r="AK2" s="19" t="s">
        <v>73</v>
      </c>
      <c r="AL2" s="19" t="s">
        <v>74</v>
      </c>
      <c r="AM2" s="116" t="s">
        <v>327</v>
      </c>
      <c r="AN2" s="19"/>
      <c r="AO2" s="19"/>
      <c r="AP2" s="19"/>
      <c r="AQ2" s="19"/>
      <c r="AR2" s="19" t="s">
        <v>75</v>
      </c>
      <c r="AS2" s="19" t="s">
        <v>76</v>
      </c>
      <c r="AT2" s="24" t="s">
        <v>77</v>
      </c>
      <c r="AU2" s="108" t="s">
        <v>78</v>
      </c>
      <c r="AV2" s="109" t="s">
        <v>79</v>
      </c>
      <c r="AW2" s="20" t="s">
        <v>80</v>
      </c>
      <c r="AX2" s="20" t="s">
        <v>81</v>
      </c>
      <c r="AY2" s="20" t="s">
        <v>82</v>
      </c>
      <c r="AZ2" s="20" t="s">
        <v>83</v>
      </c>
      <c r="BA2" s="108" t="s">
        <v>84</v>
      </c>
      <c r="BB2" s="108" t="s">
        <v>85</v>
      </c>
      <c r="BC2" s="141"/>
      <c r="BD2" s="140"/>
      <c r="BE2" s="140"/>
      <c r="BF2" s="147"/>
      <c r="BG2" s="148"/>
      <c r="BH2" s="140"/>
      <c r="BI2" s="140"/>
      <c r="BJ2" s="141" t="s">
        <v>86</v>
      </c>
      <c r="BK2" s="141"/>
      <c r="BL2" s="141" t="s">
        <v>87</v>
      </c>
      <c r="BM2" s="141"/>
      <c r="BN2" s="141" t="s">
        <v>88</v>
      </c>
      <c r="BO2" s="141"/>
      <c r="BP2" s="141" t="s">
        <v>89</v>
      </c>
      <c r="BQ2" s="141"/>
      <c r="BR2" s="141" t="s">
        <v>90</v>
      </c>
      <c r="BS2" s="141"/>
      <c r="BT2" s="142" t="s">
        <v>91</v>
      </c>
      <c r="BU2" s="141"/>
      <c r="BV2" s="142" t="s">
        <v>92</v>
      </c>
      <c r="BW2" s="141"/>
      <c r="BX2" s="142">
        <v>962</v>
      </c>
      <c r="BY2" s="141"/>
      <c r="BZ2" s="141">
        <v>972</v>
      </c>
      <c r="CA2" s="141"/>
      <c r="CB2" s="141">
        <v>972</v>
      </c>
      <c r="CC2" s="141"/>
      <c r="CD2" s="141">
        <v>982</v>
      </c>
      <c r="CE2" s="141"/>
      <c r="CF2" s="143" t="s">
        <v>93</v>
      </c>
      <c r="CG2" s="143"/>
      <c r="CJ2" s="21"/>
      <c r="CM2" s="21"/>
      <c r="CN2" s="22" t="s">
        <v>94</v>
      </c>
      <c r="CO2" s="22" t="s">
        <v>95</v>
      </c>
      <c r="CP2" s="22"/>
      <c r="CQ2" s="22" t="s">
        <v>96</v>
      </c>
      <c r="CR2" s="22" t="s">
        <v>97</v>
      </c>
      <c r="CS2" s="22"/>
      <c r="CT2" s="22"/>
      <c r="CU2" s="22"/>
      <c r="CV2" s="22"/>
      <c r="CW2" s="22"/>
      <c r="CX2" s="23"/>
      <c r="CY2" s="22"/>
      <c r="CZ2" s="22"/>
      <c r="DA2" s="24"/>
      <c r="DB2" s="23"/>
      <c r="DC2" s="23"/>
      <c r="DD2" s="23"/>
      <c r="DE2" s="23"/>
      <c r="DF2" s="23"/>
      <c r="DH2" s="25"/>
    </row>
    <row r="3" spans="1:112" s="26" customFormat="1" ht="24" customHeight="1">
      <c r="B3" s="121"/>
      <c r="C3" s="27"/>
      <c r="D3" s="27"/>
      <c r="E3" s="27"/>
      <c r="F3" s="27"/>
      <c r="G3" s="27"/>
      <c r="H3" s="27"/>
      <c r="I3" s="27"/>
      <c r="J3" s="27"/>
      <c r="K3" s="145"/>
      <c r="L3" s="145"/>
      <c r="M3" s="141"/>
      <c r="N3" s="140"/>
      <c r="O3" s="27"/>
      <c r="P3" s="27"/>
      <c r="Q3" s="27"/>
      <c r="R3" s="27"/>
      <c r="S3" s="27"/>
      <c r="T3" s="27"/>
      <c r="U3" s="27"/>
      <c r="V3" s="27"/>
      <c r="W3" s="27"/>
      <c r="X3" s="27"/>
      <c r="Y3" s="27"/>
      <c r="Z3" s="27"/>
      <c r="AA3" s="27"/>
      <c r="AB3" s="27"/>
      <c r="AC3" s="27"/>
      <c r="AD3" s="27"/>
      <c r="AE3" s="27"/>
      <c r="AF3" s="27"/>
      <c r="AG3" s="27"/>
      <c r="AH3" s="27"/>
      <c r="AI3" s="27"/>
      <c r="AJ3" s="27"/>
      <c r="AK3" s="27"/>
      <c r="AL3" s="27"/>
      <c r="AM3" s="27"/>
      <c r="AN3" s="27"/>
      <c r="AO3" s="27"/>
      <c r="AP3" s="27"/>
      <c r="AQ3" s="27"/>
      <c r="AR3" s="29"/>
      <c r="AS3" s="29"/>
      <c r="AT3" s="30"/>
      <c r="AU3" s="110"/>
      <c r="AV3" s="111"/>
      <c r="AZ3" s="28"/>
      <c r="BA3" s="110"/>
      <c r="BB3" s="110"/>
      <c r="BC3" s="29"/>
      <c r="BD3" s="28"/>
      <c r="BE3" s="28"/>
      <c r="BF3" s="30"/>
      <c r="BG3" s="31"/>
      <c r="BH3" s="28"/>
      <c r="BI3" s="28"/>
      <c r="BJ3" s="27" t="s">
        <v>98</v>
      </c>
      <c r="BK3" s="27" t="s">
        <v>99</v>
      </c>
      <c r="BL3" s="27" t="s">
        <v>98</v>
      </c>
      <c r="BM3" s="27" t="s">
        <v>99</v>
      </c>
      <c r="BN3" s="27" t="s">
        <v>98</v>
      </c>
      <c r="BO3" s="27" t="s">
        <v>99</v>
      </c>
      <c r="BP3" s="27" t="s">
        <v>98</v>
      </c>
      <c r="BQ3" s="27" t="s">
        <v>99</v>
      </c>
      <c r="BR3" s="27" t="s">
        <v>98</v>
      </c>
      <c r="BS3" s="27" t="s">
        <v>99</v>
      </c>
      <c r="BT3" s="27" t="s">
        <v>98</v>
      </c>
      <c r="BU3" s="27" t="s">
        <v>99</v>
      </c>
      <c r="BV3" s="27" t="s">
        <v>98</v>
      </c>
      <c r="BW3" s="27" t="s">
        <v>99</v>
      </c>
      <c r="BX3" s="27" t="s">
        <v>98</v>
      </c>
      <c r="BY3" s="27" t="s">
        <v>99</v>
      </c>
      <c r="BZ3" s="27" t="s">
        <v>98</v>
      </c>
      <c r="CA3" s="27" t="s">
        <v>99</v>
      </c>
      <c r="CB3" s="27" t="s">
        <v>98</v>
      </c>
      <c r="CC3" s="27" t="s">
        <v>99</v>
      </c>
      <c r="CD3" s="27" t="s">
        <v>98</v>
      </c>
      <c r="CE3" s="27" t="s">
        <v>99</v>
      </c>
      <c r="CF3" s="32" t="s">
        <v>98</v>
      </c>
      <c r="CG3" s="32" t="s">
        <v>99</v>
      </c>
      <c r="CJ3" s="33"/>
      <c r="CM3" s="33"/>
      <c r="CN3" s="34"/>
      <c r="CO3" s="34"/>
      <c r="CP3" s="34"/>
      <c r="CQ3" s="34"/>
      <c r="CR3" s="34"/>
      <c r="CS3" s="34"/>
      <c r="CT3" s="34"/>
      <c r="CU3" s="34"/>
      <c r="CV3" s="34"/>
      <c r="CW3" s="34"/>
      <c r="CX3" s="35"/>
      <c r="CY3" s="34"/>
      <c r="CZ3" s="34"/>
      <c r="DA3" s="30"/>
      <c r="DB3" s="35"/>
      <c r="DC3" s="35"/>
      <c r="DD3" s="35"/>
      <c r="DE3" s="35"/>
      <c r="DF3" s="35"/>
      <c r="DH3" s="36"/>
    </row>
    <row r="4" spans="1:112" s="37" customFormat="1" ht="24" customHeight="1">
      <c r="B4" s="122"/>
      <c r="C4" s="38"/>
      <c r="D4" s="38"/>
      <c r="E4" s="38"/>
      <c r="F4" s="38"/>
      <c r="G4" s="38"/>
      <c r="H4" s="38"/>
      <c r="I4" s="38"/>
      <c r="J4" s="38"/>
      <c r="K4" s="38"/>
      <c r="L4" s="38"/>
      <c r="M4" s="38"/>
      <c r="N4" s="38"/>
      <c r="O4" s="38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F4" s="38"/>
      <c r="AG4" s="38"/>
      <c r="AH4" s="38"/>
      <c r="AI4" s="38"/>
      <c r="AJ4" s="38"/>
      <c r="AK4" s="38"/>
      <c r="AL4" s="38"/>
      <c r="AM4" s="38"/>
      <c r="AN4" s="38"/>
      <c r="AO4" s="38"/>
      <c r="AP4" s="38"/>
      <c r="AQ4" s="38"/>
      <c r="AR4" s="40"/>
      <c r="AS4" s="40"/>
      <c r="AT4" s="41"/>
      <c r="AU4" s="110"/>
      <c r="AV4" s="111"/>
      <c r="AZ4" s="39"/>
      <c r="BA4" s="110"/>
      <c r="BB4" s="110"/>
      <c r="BC4" s="40"/>
      <c r="BD4" s="39"/>
      <c r="BE4" s="39"/>
      <c r="BF4" s="41"/>
      <c r="BG4" s="42"/>
      <c r="BH4" s="39"/>
      <c r="BI4" s="39"/>
      <c r="BJ4" s="38"/>
      <c r="BK4" s="38"/>
      <c r="BL4" s="38"/>
      <c r="BM4" s="38"/>
      <c r="BN4" s="38"/>
      <c r="BO4" s="38"/>
      <c r="BP4" s="38"/>
      <c r="BQ4" s="38"/>
      <c r="BR4" s="38"/>
      <c r="BS4" s="38"/>
      <c r="BT4" s="38"/>
      <c r="BU4" s="38"/>
      <c r="BV4" s="38"/>
      <c r="BW4" s="38"/>
      <c r="BX4" s="38"/>
      <c r="BY4" s="38"/>
      <c r="BZ4" s="38"/>
      <c r="CA4" s="38"/>
      <c r="CB4" s="38"/>
      <c r="CC4" s="38"/>
      <c r="CD4" s="38"/>
      <c r="CE4" s="38"/>
      <c r="CF4" s="43"/>
      <c r="CG4" s="43"/>
      <c r="CJ4" s="44"/>
      <c r="CM4" s="44"/>
      <c r="CN4" s="45"/>
      <c r="CO4" s="45"/>
      <c r="CP4" s="45"/>
      <c r="CQ4" s="45"/>
      <c r="CR4" s="45"/>
      <c r="CS4" s="45"/>
      <c r="CT4" s="45"/>
      <c r="CU4" s="45"/>
      <c r="CV4" s="45"/>
      <c r="CW4" s="45"/>
      <c r="CX4" s="46"/>
      <c r="CY4" s="45"/>
      <c r="CZ4" s="45"/>
      <c r="DA4" s="41"/>
      <c r="DB4" s="46"/>
      <c r="DC4" s="46"/>
      <c r="DD4" s="46"/>
      <c r="DE4" s="46"/>
      <c r="DF4" s="46"/>
      <c r="DH4" s="47"/>
    </row>
    <row r="5" spans="1:112" s="28" customFormat="1" ht="33" customHeight="1">
      <c r="A5" s="115" t="s">
        <v>322</v>
      </c>
      <c r="B5" s="123" t="s">
        <v>100</v>
      </c>
      <c r="C5" s="114" t="s">
        <v>324</v>
      </c>
      <c r="D5" s="114" t="s">
        <v>308</v>
      </c>
      <c r="E5" s="49">
        <v>1000</v>
      </c>
      <c r="F5" s="49">
        <v>6500</v>
      </c>
      <c r="G5" s="49">
        <v>247935.72000000093</v>
      </c>
      <c r="H5" s="49">
        <v>18</v>
      </c>
      <c r="I5" s="49">
        <v>982</v>
      </c>
      <c r="J5" s="52">
        <v>112930</v>
      </c>
      <c r="K5" s="52">
        <v>43931</v>
      </c>
      <c r="L5" s="52" t="s">
        <v>328</v>
      </c>
      <c r="M5" s="49"/>
      <c r="N5" s="49"/>
      <c r="O5" s="49"/>
      <c r="P5" s="49"/>
      <c r="Q5" s="49" t="str">
        <f>A5</f>
        <v>103</v>
      </c>
      <c r="R5" s="49" t="str">
        <f>+B5</f>
        <v>Gia bình</v>
      </c>
      <c r="S5" s="49" t="str">
        <f>+C5</f>
        <v>4</v>
      </c>
      <c r="T5" s="49">
        <f>+AR5</f>
        <v>1000</v>
      </c>
      <c r="U5" s="49">
        <f>+AT5</f>
        <v>6.5</v>
      </c>
      <c r="V5" s="49">
        <f>+AS5</f>
        <v>6500</v>
      </c>
      <c r="W5" s="49">
        <f>+DG5</f>
        <v>18</v>
      </c>
      <c r="X5" s="50">
        <f>+DH5</f>
        <v>1.8</v>
      </c>
      <c r="Y5" s="49">
        <f>+BE5</f>
        <v>982</v>
      </c>
      <c r="Z5" s="49">
        <f>+CM5</f>
        <v>115</v>
      </c>
      <c r="AA5" s="49">
        <f>+BF5</f>
        <v>112930</v>
      </c>
      <c r="AB5" s="49">
        <f>+AA5-V5</f>
        <v>106430</v>
      </c>
      <c r="AC5" s="49">
        <f>+AZ5</f>
        <v>247935.72000000093</v>
      </c>
      <c r="AD5" s="51">
        <f>+AC5/Y5</f>
        <v>252.48036659877894</v>
      </c>
      <c r="AE5" s="51">
        <f>+AW5</f>
        <v>2.3295660997839045</v>
      </c>
      <c r="AF5" s="51">
        <f>+AX5</f>
        <v>2.4409999999999998</v>
      </c>
      <c r="AG5" s="51">
        <f>+AY5</f>
        <v>-0.11143390021609534</v>
      </c>
      <c r="AH5" s="49"/>
      <c r="AI5" s="49"/>
      <c r="AJ5" s="49"/>
      <c r="AK5" s="49"/>
      <c r="AL5" s="49"/>
      <c r="AM5" s="49"/>
      <c r="AN5" s="49"/>
      <c r="AO5" s="49"/>
      <c r="AP5" s="49"/>
      <c r="AQ5" s="49"/>
      <c r="AR5" s="49">
        <f>+E5</f>
        <v>1000</v>
      </c>
      <c r="AS5" s="49">
        <f>+F5</f>
        <v>6500</v>
      </c>
      <c r="AT5" s="54">
        <f t="shared" ref="AT5" si="0">AS5/AR5</f>
        <v>6.5</v>
      </c>
      <c r="AU5" s="112">
        <f>AV5/AR5</f>
        <v>0</v>
      </c>
      <c r="AV5" s="113"/>
      <c r="AW5" s="55">
        <f>AZ5/(BF5-AS5)</f>
        <v>2.3295660997839045</v>
      </c>
      <c r="AX5" s="55">
        <f t="shared" ref="AX5" si="1">DE5</f>
        <v>2.4409999999999998</v>
      </c>
      <c r="AY5" s="55">
        <f>AW5-AX5</f>
        <v>-0.11143390021609534</v>
      </c>
      <c r="AZ5" s="53">
        <f>+G5</f>
        <v>247935.72000000093</v>
      </c>
      <c r="BA5" s="112">
        <f t="shared" ref="BA5" si="2">BB5/AZ5</f>
        <v>0</v>
      </c>
      <c r="BB5" s="112"/>
      <c r="BC5" s="49"/>
      <c r="BD5" s="53">
        <f>BC5/BF5</f>
        <v>0</v>
      </c>
      <c r="BE5" s="53">
        <f>+I5</f>
        <v>982</v>
      </c>
      <c r="BF5" s="53">
        <f>+J5</f>
        <v>112930</v>
      </c>
      <c r="BG5" s="56">
        <f>BF5/BE5</f>
        <v>115</v>
      </c>
      <c r="BH5" s="53"/>
      <c r="BI5" s="53"/>
      <c r="BJ5" s="60"/>
      <c r="BK5" s="60"/>
      <c r="BL5" s="60"/>
      <c r="BM5" s="60"/>
      <c r="BN5" s="60"/>
      <c r="BO5" s="60"/>
      <c r="BP5" s="60"/>
      <c r="BQ5" s="60"/>
      <c r="BR5" s="60"/>
      <c r="BS5" s="60"/>
      <c r="BT5" s="60"/>
      <c r="BU5" s="60"/>
      <c r="BV5" s="60"/>
      <c r="BW5" s="60"/>
      <c r="BX5" s="60"/>
      <c r="BY5" s="60"/>
      <c r="BZ5" s="60"/>
      <c r="CA5" s="60"/>
      <c r="CB5" s="60"/>
      <c r="CC5" s="60"/>
      <c r="CD5" s="60"/>
      <c r="CE5" s="60"/>
      <c r="CF5" s="57">
        <f t="shared" ref="CF5:CG5" si="3">BX5+BV5+BT5+BR5+BP5+BN5+BL5+BJ5+BZ5+CB5+CD5</f>
        <v>0</v>
      </c>
      <c r="CG5" s="57">
        <f t="shared" si="3"/>
        <v>0</v>
      </c>
      <c r="CH5" s="53">
        <f t="shared" ref="CH5:CI5" si="4">AR5</f>
        <v>1000</v>
      </c>
      <c r="CI5" s="53">
        <f t="shared" si="4"/>
        <v>6500</v>
      </c>
      <c r="CJ5" s="58">
        <f t="shared" ref="CJ5" si="5">ROUND(AT5,2)</f>
        <v>6.5</v>
      </c>
      <c r="CK5" s="53">
        <f>BE5</f>
        <v>982</v>
      </c>
      <c r="CL5" s="53">
        <f>BF5</f>
        <v>112930</v>
      </c>
      <c r="CM5" s="58">
        <f>ROUND(BG5,2)</f>
        <v>115</v>
      </c>
      <c r="CN5" s="48" t="str">
        <f t="shared" ref="CN5" si="6">IF(CM5&lt;100,(LEFT(CM5,2)),IF(CM5&gt;100,(LEFT(CM5,3))))</f>
        <v>115</v>
      </c>
      <c r="CO5" s="48">
        <f t="shared" ref="CO5" si="7">+CN5+1</f>
        <v>116</v>
      </c>
      <c r="CP5" s="48" t="str">
        <f t="shared" ref="CP5" si="8">LEFT(CJ5,2)</f>
        <v>6.</v>
      </c>
      <c r="CQ5" s="48">
        <f t="shared" ref="CQ5" si="9">ROUND(CP5,0)</f>
        <v>6</v>
      </c>
      <c r="CR5" s="48">
        <f t="shared" ref="CR5" si="10">+CP5+1</f>
        <v>7</v>
      </c>
      <c r="CS5" s="48" t="str">
        <f t="shared" ref="CS5" si="11">CQ5&amp;CN5</f>
        <v>6115</v>
      </c>
      <c r="CT5" s="48">
        <f>SUMIF(FCR!$BZ$4:$DB$500,CS5,FCR!$DE$4:$EG$500)</f>
        <v>2.4359999999999999</v>
      </c>
      <c r="CU5" s="48" t="str">
        <f t="shared" ref="CU5" si="12">CR5&amp;CN5</f>
        <v>7115</v>
      </c>
      <c r="CV5" s="48">
        <f>SUMIF(FCR!$BZ$4:$DB$142,CU5,FCR!$DE$4:$EG$142)</f>
        <v>2.4540000000000002</v>
      </c>
      <c r="CW5" s="48">
        <f t="shared" ref="CW5" si="13">(CJ5-CQ5)*100</f>
        <v>50</v>
      </c>
      <c r="CX5" s="55">
        <f t="shared" ref="CX5" si="14">ROUND(CT5+(CV5-CT5)/100*CW5,3)</f>
        <v>2.4449999999999998</v>
      </c>
      <c r="CY5" s="48" t="str">
        <f t="shared" ref="CY5" si="15">CQ5&amp;CO5</f>
        <v>6116</v>
      </c>
      <c r="CZ5" s="48">
        <f>SUMIF(FCR!$BZ$4:$DB$142,CY5,FCR!$DE$4:$EG$142)</f>
        <v>2.4430000000000001</v>
      </c>
      <c r="DA5" s="53">
        <f t="shared" ref="DA5" si="16">(CM5-CN5)*100</f>
        <v>0</v>
      </c>
      <c r="DB5" s="55">
        <f t="shared" ref="DB5" si="17">ROUND(CT5+(CZ5-CT5)/100*DA5,3)</f>
        <v>2.4359999999999999</v>
      </c>
      <c r="DC5" s="55">
        <f t="shared" ref="DC5" si="18">ROUND((DB5+CX5)/2,3)</f>
        <v>2.4409999999999998</v>
      </c>
      <c r="DD5" s="55"/>
      <c r="DE5" s="55">
        <f t="shared" ref="DE5" si="19">DD5+DC5</f>
        <v>2.4409999999999998</v>
      </c>
      <c r="DF5" s="55">
        <f>+DC5-AX5</f>
        <v>0</v>
      </c>
      <c r="DG5" s="53">
        <f>CH5-CK5</f>
        <v>18</v>
      </c>
      <c r="DH5" s="59">
        <f t="shared" ref="DH5" si="20">ROUND(DG5/CH5*100,2)</f>
        <v>1.8</v>
      </c>
    </row>
    <row r="6" spans="1:112">
      <c r="A6" s="115" t="s">
        <v>322</v>
      </c>
      <c r="B6" s="123" t="s">
        <v>101</v>
      </c>
      <c r="C6" s="114" t="s">
        <v>324</v>
      </c>
      <c r="D6" s="114" t="s">
        <v>308</v>
      </c>
      <c r="E6" s="49">
        <v>2000</v>
      </c>
      <c r="F6" s="49">
        <v>13000</v>
      </c>
      <c r="G6" s="49">
        <v>511780.90999999904</v>
      </c>
      <c r="H6" s="49">
        <v>30</v>
      </c>
      <c r="I6" s="49">
        <v>1970</v>
      </c>
      <c r="J6" s="52">
        <v>226550</v>
      </c>
      <c r="K6" s="52">
        <v>43931</v>
      </c>
      <c r="L6" s="52" t="s">
        <v>328</v>
      </c>
      <c r="Q6" s="49" t="str">
        <f t="shared" ref="Q6:Q7" si="21">A6</f>
        <v>103</v>
      </c>
      <c r="R6" s="49" t="str">
        <f t="shared" ref="R6:R7" si="22">+B6</f>
        <v>Lương Tài</v>
      </c>
      <c r="S6" s="49" t="str">
        <f t="shared" ref="S6:S7" si="23">+C6</f>
        <v>4</v>
      </c>
      <c r="T6" s="49">
        <f t="shared" ref="T6:T21" si="24">+AR6</f>
        <v>2000</v>
      </c>
      <c r="U6" s="49">
        <f t="shared" ref="U6:U21" si="25">+AT6</f>
        <v>6.5</v>
      </c>
      <c r="V6" s="49">
        <f t="shared" ref="V6:V21" si="26">+AS6</f>
        <v>13000</v>
      </c>
      <c r="W6" s="49">
        <f t="shared" ref="W6:W21" si="27">+DG6</f>
        <v>30</v>
      </c>
      <c r="X6" s="50">
        <f t="shared" ref="X6:X21" si="28">+DH6</f>
        <v>1.5</v>
      </c>
      <c r="Y6" s="49">
        <f t="shared" ref="Y6:Y21" si="29">+BE6</f>
        <v>1970</v>
      </c>
      <c r="Z6" s="49">
        <f t="shared" ref="Z6:Z21" si="30">+CM6</f>
        <v>115</v>
      </c>
      <c r="AA6" s="49">
        <f t="shared" ref="AA6:AA21" si="31">+BF6</f>
        <v>226550</v>
      </c>
      <c r="AB6" s="49">
        <f t="shared" ref="AB6:AB21" si="32">+AA6-V6</f>
        <v>213550</v>
      </c>
      <c r="AC6" s="49">
        <f t="shared" ref="AC6:AC21" si="33">+AZ6</f>
        <v>511780.90999999904</v>
      </c>
      <c r="AD6" s="51">
        <f t="shared" ref="AD6:AD21" si="34">+AC6/Y6</f>
        <v>259.78726395939037</v>
      </c>
      <c r="AE6" s="51">
        <f t="shared" ref="AE6:AE21" si="35">+AW6</f>
        <v>2.3965390306719692</v>
      </c>
      <c r="AF6" s="51">
        <f t="shared" ref="AF6:AF21" si="36">+AX6</f>
        <v>2.4409999999999998</v>
      </c>
      <c r="AG6" s="51">
        <f t="shared" ref="AG6:AG21" si="37">+AY6</f>
        <v>-4.4460969328030675E-2</v>
      </c>
      <c r="AR6" s="49">
        <f t="shared" ref="AR6:AR21" si="38">+E6</f>
        <v>2000</v>
      </c>
      <c r="AS6" s="49">
        <f t="shared" ref="AS6:AS21" si="39">+F6</f>
        <v>13000</v>
      </c>
      <c r="AT6" s="54">
        <f t="shared" ref="AT6:AT21" si="40">AS6/AR6</f>
        <v>6.5</v>
      </c>
      <c r="AU6" s="112">
        <f t="shared" ref="AU6:AU21" si="41">AV6/AR6</f>
        <v>0</v>
      </c>
      <c r="AW6" s="55">
        <f t="shared" ref="AW6:AW21" si="42">AZ6/(BF6-AS6)</f>
        <v>2.3965390306719692</v>
      </c>
      <c r="AX6" s="55">
        <f t="shared" ref="AX6:AX21" si="43">DE6</f>
        <v>2.4409999999999998</v>
      </c>
      <c r="AY6" s="55">
        <f t="shared" ref="AY6:AY21" si="44">AW6-AX6</f>
        <v>-4.4460969328030675E-2</v>
      </c>
      <c r="AZ6" s="53">
        <f t="shared" ref="AZ6:AZ21" si="45">+G6</f>
        <v>511780.90999999904</v>
      </c>
      <c r="BA6" s="112">
        <f t="shared" ref="BA6:BA21" si="46">BB6/AZ6</f>
        <v>0</v>
      </c>
      <c r="BD6" s="53">
        <f t="shared" ref="BD6:BD21" si="47">BC6/BF6</f>
        <v>0</v>
      </c>
      <c r="BE6" s="53">
        <f t="shared" ref="BE6:BE21" si="48">+I6</f>
        <v>1970</v>
      </c>
      <c r="BF6" s="53">
        <f t="shared" ref="BF6:BF21" si="49">+J6</f>
        <v>226550</v>
      </c>
      <c r="BG6" s="56">
        <f t="shared" ref="BG6:BG21" si="50">BF6/BE6</f>
        <v>115</v>
      </c>
      <c r="BJ6" s="60"/>
      <c r="BK6" s="60"/>
      <c r="BL6" s="60"/>
      <c r="BM6" s="60"/>
      <c r="BN6" s="60"/>
      <c r="BO6" s="60"/>
      <c r="BP6" s="60"/>
      <c r="BQ6" s="60"/>
      <c r="BR6" s="60"/>
      <c r="BS6" s="60"/>
      <c r="BT6" s="60"/>
      <c r="BU6" s="60"/>
      <c r="BV6" s="60"/>
      <c r="BW6" s="60"/>
      <c r="BX6" s="60"/>
      <c r="BY6" s="60"/>
      <c r="BZ6" s="60"/>
      <c r="CA6" s="60"/>
      <c r="CB6" s="60"/>
      <c r="CC6" s="60"/>
      <c r="CD6" s="60"/>
      <c r="CE6" s="60"/>
      <c r="CF6" s="57">
        <f t="shared" ref="CF6:CF21" si="51">BX6+BV6+BT6+BR6+BP6+BN6+BL6+BJ6+BZ6+CB6+CD6</f>
        <v>0</v>
      </c>
      <c r="CG6" s="57">
        <f t="shared" ref="CG6:CG21" si="52">BY6+BW6+BU6+BS6+BQ6+BO6+BM6+BK6+CA6+CC6+CE6</f>
        <v>0</v>
      </c>
      <c r="CH6" s="53">
        <f t="shared" ref="CH6:CH21" si="53">AR6</f>
        <v>2000</v>
      </c>
      <c r="CI6" s="53">
        <f t="shared" ref="CI6:CI21" si="54">AS6</f>
        <v>13000</v>
      </c>
      <c r="CJ6" s="58">
        <f t="shared" ref="CJ6:CJ21" si="55">ROUND(AT6,2)</f>
        <v>6.5</v>
      </c>
      <c r="CK6" s="53">
        <f t="shared" ref="CK6:CK21" si="56">BE6</f>
        <v>1970</v>
      </c>
      <c r="CL6" s="53">
        <f t="shared" ref="CL6:CL21" si="57">BF6</f>
        <v>226550</v>
      </c>
      <c r="CM6" s="58">
        <f t="shared" ref="CM6:CM21" si="58">ROUND(BG6,2)</f>
        <v>115</v>
      </c>
      <c r="CN6" s="48" t="str">
        <f t="shared" ref="CN6:CN21" si="59">IF(CM6&lt;100,(LEFT(CM6,2)),IF(CM6&gt;100,(LEFT(CM6,3))))</f>
        <v>115</v>
      </c>
      <c r="CO6" s="48">
        <f t="shared" ref="CO6:CO21" si="60">+CN6+1</f>
        <v>116</v>
      </c>
      <c r="CP6" s="48" t="str">
        <f t="shared" ref="CP6:CP21" si="61">LEFT(CJ6,2)</f>
        <v>6.</v>
      </c>
      <c r="CQ6" s="48">
        <f t="shared" ref="CQ6:CQ21" si="62">ROUND(CP6,0)</f>
        <v>6</v>
      </c>
      <c r="CR6" s="48">
        <f t="shared" ref="CR6:CR21" si="63">+CP6+1</f>
        <v>7</v>
      </c>
      <c r="CS6" s="48" t="str">
        <f t="shared" ref="CS6:CS21" si="64">CQ6&amp;CN6</f>
        <v>6115</v>
      </c>
      <c r="CT6" s="48">
        <f>SUMIF(FCR!$BZ$4:$DB$500,CS6,FCR!$DE$4:$EG$500)</f>
        <v>2.4359999999999999</v>
      </c>
      <c r="CU6" s="48" t="str">
        <f t="shared" ref="CU6:CU21" si="65">CR6&amp;CN6</f>
        <v>7115</v>
      </c>
      <c r="CV6" s="48">
        <f>SUMIF(FCR!$BZ$4:$DB$142,CU6,FCR!$DE$4:$EG$142)</f>
        <v>2.4540000000000002</v>
      </c>
      <c r="CW6" s="48">
        <f t="shared" ref="CW6:CW21" si="66">(CJ6-CQ6)*100</f>
        <v>50</v>
      </c>
      <c r="CX6" s="55">
        <f t="shared" ref="CX6:CX21" si="67">ROUND(CT6+(CV6-CT6)/100*CW6,3)</f>
        <v>2.4449999999999998</v>
      </c>
      <c r="CY6" s="48" t="str">
        <f t="shared" ref="CY6:CY21" si="68">CQ6&amp;CO6</f>
        <v>6116</v>
      </c>
      <c r="CZ6" s="48">
        <f>SUMIF(FCR!$BZ$4:$DB$142,CY6,FCR!$DE$4:$EG$142)</f>
        <v>2.4430000000000001</v>
      </c>
      <c r="DA6" s="53">
        <f t="shared" ref="DA6:DA21" si="69">(CM6-CN6)*100</f>
        <v>0</v>
      </c>
      <c r="DB6" s="55">
        <f t="shared" ref="DB6:DB21" si="70">ROUND(CT6+(CZ6-CT6)/100*DA6,3)</f>
        <v>2.4359999999999999</v>
      </c>
      <c r="DC6" s="55">
        <f t="shared" ref="DC6:DC21" si="71">ROUND((DB6+CX6)/2,3)</f>
        <v>2.4409999999999998</v>
      </c>
      <c r="DD6" s="55"/>
      <c r="DE6" s="55">
        <f t="shared" ref="DE6:DE21" si="72">DD6+DC6</f>
        <v>2.4409999999999998</v>
      </c>
      <c r="DF6" s="55">
        <f t="shared" ref="DF6:DF21" si="73">+DC6-AX6</f>
        <v>0</v>
      </c>
      <c r="DG6" s="53">
        <f t="shared" ref="DG6:DG21" si="74">CH6-CK6</f>
        <v>30</v>
      </c>
      <c r="DH6" s="59">
        <f t="shared" ref="DH6:DH21" si="75">ROUND(DG6/CH6*100,2)</f>
        <v>1.5</v>
      </c>
    </row>
    <row r="7" spans="1:112">
      <c r="B7" s="123"/>
      <c r="K7" s="52"/>
      <c r="L7" s="52"/>
      <c r="Q7" s="49">
        <f t="shared" si="21"/>
        <v>0</v>
      </c>
      <c r="R7" s="49">
        <f t="shared" si="22"/>
        <v>0</v>
      </c>
      <c r="S7" s="49">
        <f t="shared" si="23"/>
        <v>0</v>
      </c>
      <c r="T7" s="49">
        <f t="shared" si="24"/>
        <v>0</v>
      </c>
      <c r="U7" s="49" t="e">
        <f t="shared" si="25"/>
        <v>#DIV/0!</v>
      </c>
      <c r="V7" s="49">
        <f t="shared" si="26"/>
        <v>0</v>
      </c>
      <c r="W7" s="49">
        <f t="shared" si="27"/>
        <v>0</v>
      </c>
      <c r="X7" s="50" t="e">
        <f t="shared" si="28"/>
        <v>#DIV/0!</v>
      </c>
      <c r="Y7" s="49">
        <f t="shared" si="29"/>
        <v>0</v>
      </c>
      <c r="Z7" s="49" t="e">
        <f t="shared" si="30"/>
        <v>#DIV/0!</v>
      </c>
      <c r="AA7" s="49">
        <f t="shared" si="31"/>
        <v>0</v>
      </c>
      <c r="AB7" s="49">
        <f t="shared" si="32"/>
        <v>0</v>
      </c>
      <c r="AC7" s="49">
        <f t="shared" si="33"/>
        <v>0</v>
      </c>
      <c r="AD7" s="51" t="e">
        <f t="shared" si="34"/>
        <v>#DIV/0!</v>
      </c>
      <c r="AE7" s="51" t="e">
        <f t="shared" si="35"/>
        <v>#DIV/0!</v>
      </c>
      <c r="AF7" s="51" t="e">
        <f t="shared" si="36"/>
        <v>#DIV/0!</v>
      </c>
      <c r="AG7" s="51" t="e">
        <f t="shared" si="37"/>
        <v>#DIV/0!</v>
      </c>
      <c r="AR7" s="49">
        <f t="shared" si="38"/>
        <v>0</v>
      </c>
      <c r="AS7" s="49">
        <f t="shared" si="39"/>
        <v>0</v>
      </c>
      <c r="AT7" s="54" t="e">
        <f t="shared" si="40"/>
        <v>#DIV/0!</v>
      </c>
      <c r="AU7" s="112" t="e">
        <f t="shared" si="41"/>
        <v>#DIV/0!</v>
      </c>
      <c r="AW7" s="55" t="e">
        <f t="shared" si="42"/>
        <v>#DIV/0!</v>
      </c>
      <c r="AX7" s="55" t="e">
        <f t="shared" si="43"/>
        <v>#DIV/0!</v>
      </c>
      <c r="AY7" s="55" t="e">
        <f t="shared" si="44"/>
        <v>#DIV/0!</v>
      </c>
      <c r="AZ7" s="53">
        <f t="shared" si="45"/>
        <v>0</v>
      </c>
      <c r="BA7" s="112" t="e">
        <f t="shared" si="46"/>
        <v>#DIV/0!</v>
      </c>
      <c r="BD7" s="53" t="e">
        <f t="shared" si="47"/>
        <v>#DIV/0!</v>
      </c>
      <c r="BE7" s="53">
        <f t="shared" si="48"/>
        <v>0</v>
      </c>
      <c r="BF7" s="53">
        <f t="shared" si="49"/>
        <v>0</v>
      </c>
      <c r="BG7" s="56" t="e">
        <f t="shared" si="50"/>
        <v>#DIV/0!</v>
      </c>
      <c r="BJ7" s="60"/>
      <c r="BK7" s="60"/>
      <c r="BL7" s="60"/>
      <c r="BM7" s="60"/>
      <c r="BN7" s="60"/>
      <c r="BO7" s="60"/>
      <c r="BP7" s="60"/>
      <c r="BQ7" s="60"/>
      <c r="BR7" s="60"/>
      <c r="BS7" s="60"/>
      <c r="BT7" s="60"/>
      <c r="BU7" s="60"/>
      <c r="BV7" s="60"/>
      <c r="BW7" s="60"/>
      <c r="BX7" s="60"/>
      <c r="BY7" s="60"/>
      <c r="BZ7" s="60"/>
      <c r="CA7" s="60"/>
      <c r="CB7" s="60"/>
      <c r="CC7" s="60"/>
      <c r="CD7" s="60"/>
      <c r="CE7" s="60"/>
      <c r="CF7" s="57">
        <f t="shared" si="51"/>
        <v>0</v>
      </c>
      <c r="CG7" s="57">
        <f t="shared" si="52"/>
        <v>0</v>
      </c>
      <c r="CH7" s="53">
        <f t="shared" si="53"/>
        <v>0</v>
      </c>
      <c r="CI7" s="53">
        <f t="shared" si="54"/>
        <v>0</v>
      </c>
      <c r="CJ7" s="58" t="e">
        <f t="shared" si="55"/>
        <v>#DIV/0!</v>
      </c>
      <c r="CK7" s="53">
        <f t="shared" si="56"/>
        <v>0</v>
      </c>
      <c r="CL7" s="53">
        <f t="shared" si="57"/>
        <v>0</v>
      </c>
      <c r="CM7" s="58" t="e">
        <f t="shared" si="58"/>
        <v>#DIV/0!</v>
      </c>
      <c r="CN7" s="48" t="e">
        <f t="shared" si="59"/>
        <v>#DIV/0!</v>
      </c>
      <c r="CO7" s="48" t="e">
        <f t="shared" si="60"/>
        <v>#DIV/0!</v>
      </c>
      <c r="CP7" s="48" t="e">
        <f t="shared" si="61"/>
        <v>#DIV/0!</v>
      </c>
      <c r="CQ7" s="48" t="e">
        <f t="shared" si="62"/>
        <v>#DIV/0!</v>
      </c>
      <c r="CR7" s="48" t="e">
        <f t="shared" si="63"/>
        <v>#DIV/0!</v>
      </c>
      <c r="CS7" s="48" t="e">
        <f t="shared" si="64"/>
        <v>#DIV/0!</v>
      </c>
      <c r="CT7" s="48">
        <f>SUMIF(FCR!$BZ$4:$DB$500,CS7,FCR!$DE$4:$EG$500)</f>
        <v>0</v>
      </c>
      <c r="CU7" s="48" t="e">
        <f t="shared" si="65"/>
        <v>#DIV/0!</v>
      </c>
      <c r="CV7" s="48">
        <f>SUMIF(FCR!$BZ$4:$DB$142,CU7,FCR!$DE$4:$EG$142)</f>
        <v>0</v>
      </c>
      <c r="CW7" s="48" t="e">
        <f t="shared" si="66"/>
        <v>#DIV/0!</v>
      </c>
      <c r="CX7" s="55" t="e">
        <f t="shared" si="67"/>
        <v>#DIV/0!</v>
      </c>
      <c r="CY7" s="48" t="e">
        <f t="shared" si="68"/>
        <v>#DIV/0!</v>
      </c>
      <c r="CZ7" s="48">
        <f>SUMIF(FCR!$BZ$4:$DB$142,CY7,FCR!$DE$4:$EG$142)</f>
        <v>0</v>
      </c>
      <c r="DA7" s="53" t="e">
        <f t="shared" si="69"/>
        <v>#DIV/0!</v>
      </c>
      <c r="DB7" s="55" t="e">
        <f t="shared" si="70"/>
        <v>#DIV/0!</v>
      </c>
      <c r="DC7" s="55" t="e">
        <f t="shared" si="71"/>
        <v>#DIV/0!</v>
      </c>
      <c r="DD7" s="55"/>
      <c r="DE7" s="55" t="e">
        <f t="shared" si="72"/>
        <v>#DIV/0!</v>
      </c>
      <c r="DF7" s="55" t="e">
        <f t="shared" si="73"/>
        <v>#DIV/0!</v>
      </c>
      <c r="DG7" s="53">
        <f t="shared" si="74"/>
        <v>0</v>
      </c>
      <c r="DH7" s="59" t="e">
        <f t="shared" si="75"/>
        <v>#DIV/0!</v>
      </c>
    </row>
    <row r="8" spans="1:112">
      <c r="B8" s="123"/>
      <c r="K8" s="52"/>
      <c r="L8" s="52"/>
      <c r="Q8" s="49">
        <f t="shared" ref="Q8:Q14" si="76">A8</f>
        <v>0</v>
      </c>
      <c r="R8" s="49">
        <f t="shared" ref="R8:R14" si="77">+B8</f>
        <v>0</v>
      </c>
      <c r="S8" s="49">
        <f t="shared" ref="S8:S14" si="78">+C8</f>
        <v>0</v>
      </c>
      <c r="T8" s="49">
        <f t="shared" si="24"/>
        <v>0</v>
      </c>
      <c r="U8" s="49" t="e">
        <f t="shared" si="25"/>
        <v>#DIV/0!</v>
      </c>
      <c r="V8" s="49">
        <f t="shared" si="26"/>
        <v>0</v>
      </c>
      <c r="W8" s="49">
        <f t="shared" si="27"/>
        <v>0</v>
      </c>
      <c r="X8" s="50" t="e">
        <f t="shared" si="28"/>
        <v>#DIV/0!</v>
      </c>
      <c r="Y8" s="49">
        <f t="shared" si="29"/>
        <v>0</v>
      </c>
      <c r="Z8" s="49" t="e">
        <f t="shared" si="30"/>
        <v>#DIV/0!</v>
      </c>
      <c r="AA8" s="49">
        <f t="shared" si="31"/>
        <v>0</v>
      </c>
      <c r="AB8" s="49">
        <f t="shared" si="32"/>
        <v>0</v>
      </c>
      <c r="AC8" s="49">
        <f t="shared" si="33"/>
        <v>0</v>
      </c>
      <c r="AD8" s="51" t="e">
        <f t="shared" si="34"/>
        <v>#DIV/0!</v>
      </c>
      <c r="AE8" s="51" t="e">
        <f t="shared" si="35"/>
        <v>#DIV/0!</v>
      </c>
      <c r="AF8" s="51" t="e">
        <f t="shared" si="36"/>
        <v>#DIV/0!</v>
      </c>
      <c r="AG8" s="51" t="e">
        <f t="shared" si="37"/>
        <v>#DIV/0!</v>
      </c>
      <c r="AR8" s="49">
        <f t="shared" si="38"/>
        <v>0</v>
      </c>
      <c r="AS8" s="49">
        <f t="shared" si="39"/>
        <v>0</v>
      </c>
      <c r="AT8" s="54" t="e">
        <f t="shared" si="40"/>
        <v>#DIV/0!</v>
      </c>
      <c r="AU8" s="112" t="e">
        <f t="shared" si="41"/>
        <v>#DIV/0!</v>
      </c>
      <c r="AW8" s="55" t="e">
        <f t="shared" si="42"/>
        <v>#DIV/0!</v>
      </c>
      <c r="AX8" s="55" t="e">
        <f t="shared" si="43"/>
        <v>#DIV/0!</v>
      </c>
      <c r="AY8" s="55" t="e">
        <f t="shared" si="44"/>
        <v>#DIV/0!</v>
      </c>
      <c r="AZ8" s="53">
        <f t="shared" si="45"/>
        <v>0</v>
      </c>
      <c r="BA8" s="112" t="e">
        <f t="shared" si="46"/>
        <v>#DIV/0!</v>
      </c>
      <c r="BD8" s="53" t="e">
        <f t="shared" si="47"/>
        <v>#DIV/0!</v>
      </c>
      <c r="BE8" s="53">
        <f t="shared" si="48"/>
        <v>0</v>
      </c>
      <c r="BF8" s="53">
        <f t="shared" si="49"/>
        <v>0</v>
      </c>
      <c r="BG8" s="56" t="e">
        <f t="shared" si="50"/>
        <v>#DIV/0!</v>
      </c>
      <c r="BJ8" s="60"/>
      <c r="BK8" s="60"/>
      <c r="BL8" s="60"/>
      <c r="BM8" s="60"/>
      <c r="BN8" s="60"/>
      <c r="BO8" s="60"/>
      <c r="BP8" s="60"/>
      <c r="BQ8" s="60"/>
      <c r="BR8" s="60"/>
      <c r="BS8" s="60"/>
      <c r="BT8" s="60"/>
      <c r="BU8" s="60"/>
      <c r="BV8" s="60"/>
      <c r="BW8" s="60"/>
      <c r="BX8" s="60"/>
      <c r="BY8" s="60"/>
      <c r="BZ8" s="60"/>
      <c r="CA8" s="60"/>
      <c r="CB8" s="60"/>
      <c r="CC8" s="60"/>
      <c r="CD8" s="60"/>
      <c r="CE8" s="60"/>
      <c r="CF8" s="57">
        <f t="shared" si="51"/>
        <v>0</v>
      </c>
      <c r="CG8" s="57">
        <f t="shared" si="52"/>
        <v>0</v>
      </c>
      <c r="CH8" s="53">
        <f t="shared" si="53"/>
        <v>0</v>
      </c>
      <c r="CI8" s="53">
        <f t="shared" si="54"/>
        <v>0</v>
      </c>
      <c r="CJ8" s="58" t="e">
        <f t="shared" si="55"/>
        <v>#DIV/0!</v>
      </c>
      <c r="CK8" s="53">
        <f t="shared" si="56"/>
        <v>0</v>
      </c>
      <c r="CL8" s="53">
        <f t="shared" si="57"/>
        <v>0</v>
      </c>
      <c r="CM8" s="58" t="e">
        <f t="shared" si="58"/>
        <v>#DIV/0!</v>
      </c>
      <c r="CN8" s="48" t="e">
        <f t="shared" si="59"/>
        <v>#DIV/0!</v>
      </c>
      <c r="CO8" s="48" t="e">
        <f t="shared" si="60"/>
        <v>#DIV/0!</v>
      </c>
      <c r="CP8" s="48" t="e">
        <f t="shared" si="61"/>
        <v>#DIV/0!</v>
      </c>
      <c r="CQ8" s="48" t="e">
        <f t="shared" si="62"/>
        <v>#DIV/0!</v>
      </c>
      <c r="CR8" s="48" t="e">
        <f t="shared" si="63"/>
        <v>#DIV/0!</v>
      </c>
      <c r="CS8" s="48" t="e">
        <f t="shared" si="64"/>
        <v>#DIV/0!</v>
      </c>
      <c r="CT8" s="48">
        <f>SUMIF(FCR!$BZ$4:$DB$500,CS8,FCR!$DE$4:$EG$500)</f>
        <v>0</v>
      </c>
      <c r="CU8" s="48" t="e">
        <f t="shared" si="65"/>
        <v>#DIV/0!</v>
      </c>
      <c r="CV8" s="48">
        <f>SUMIF(FCR!$BZ$4:$DB$142,CU8,FCR!$DE$4:$EG$142)</f>
        <v>0</v>
      </c>
      <c r="CW8" s="48" t="e">
        <f t="shared" si="66"/>
        <v>#DIV/0!</v>
      </c>
      <c r="CX8" s="55" t="e">
        <f t="shared" si="67"/>
        <v>#DIV/0!</v>
      </c>
      <c r="CY8" s="48" t="e">
        <f t="shared" si="68"/>
        <v>#DIV/0!</v>
      </c>
      <c r="CZ8" s="48">
        <f>SUMIF(FCR!$BZ$4:$DB$142,CY8,FCR!$DE$4:$EG$142)</f>
        <v>0</v>
      </c>
      <c r="DA8" s="53" t="e">
        <f t="shared" si="69"/>
        <v>#DIV/0!</v>
      </c>
      <c r="DB8" s="55" t="e">
        <f t="shared" si="70"/>
        <v>#DIV/0!</v>
      </c>
      <c r="DC8" s="55" t="e">
        <f t="shared" si="71"/>
        <v>#DIV/0!</v>
      </c>
      <c r="DD8" s="55"/>
      <c r="DE8" s="55" t="e">
        <f t="shared" si="72"/>
        <v>#DIV/0!</v>
      </c>
      <c r="DF8" s="55" t="e">
        <f t="shared" si="73"/>
        <v>#DIV/0!</v>
      </c>
      <c r="DG8" s="53">
        <f t="shared" si="74"/>
        <v>0</v>
      </c>
      <c r="DH8" s="59" t="e">
        <f t="shared" si="75"/>
        <v>#DIV/0!</v>
      </c>
    </row>
    <row r="9" spans="1:112">
      <c r="B9" s="123"/>
      <c r="K9" s="52"/>
      <c r="L9" s="52"/>
      <c r="Q9" s="49">
        <f t="shared" si="76"/>
        <v>0</v>
      </c>
      <c r="R9" s="49">
        <f t="shared" si="77"/>
        <v>0</v>
      </c>
      <c r="S9" s="49">
        <f t="shared" si="78"/>
        <v>0</v>
      </c>
      <c r="T9" s="49">
        <f t="shared" si="24"/>
        <v>0</v>
      </c>
      <c r="U9" s="49" t="e">
        <f t="shared" si="25"/>
        <v>#DIV/0!</v>
      </c>
      <c r="V9" s="49">
        <f t="shared" si="26"/>
        <v>0</v>
      </c>
      <c r="W9" s="49">
        <f t="shared" si="27"/>
        <v>0</v>
      </c>
      <c r="X9" s="50" t="e">
        <f t="shared" si="28"/>
        <v>#DIV/0!</v>
      </c>
      <c r="Y9" s="49">
        <f t="shared" si="29"/>
        <v>0</v>
      </c>
      <c r="Z9" s="49" t="e">
        <f t="shared" si="30"/>
        <v>#DIV/0!</v>
      </c>
      <c r="AA9" s="49">
        <f t="shared" si="31"/>
        <v>0</v>
      </c>
      <c r="AB9" s="49">
        <f t="shared" si="32"/>
        <v>0</v>
      </c>
      <c r="AC9" s="49">
        <f t="shared" si="33"/>
        <v>0</v>
      </c>
      <c r="AD9" s="51" t="e">
        <f t="shared" si="34"/>
        <v>#DIV/0!</v>
      </c>
      <c r="AE9" s="51" t="e">
        <f t="shared" si="35"/>
        <v>#DIV/0!</v>
      </c>
      <c r="AF9" s="51" t="e">
        <f t="shared" si="36"/>
        <v>#DIV/0!</v>
      </c>
      <c r="AG9" s="51" t="e">
        <f t="shared" si="37"/>
        <v>#DIV/0!</v>
      </c>
      <c r="AR9" s="49">
        <f t="shared" si="38"/>
        <v>0</v>
      </c>
      <c r="AS9" s="49">
        <f t="shared" si="39"/>
        <v>0</v>
      </c>
      <c r="AT9" s="54" t="e">
        <f t="shared" si="40"/>
        <v>#DIV/0!</v>
      </c>
      <c r="AU9" s="112" t="e">
        <f t="shared" si="41"/>
        <v>#DIV/0!</v>
      </c>
      <c r="AW9" s="55" t="e">
        <f t="shared" si="42"/>
        <v>#DIV/0!</v>
      </c>
      <c r="AX9" s="55" t="e">
        <f t="shared" si="43"/>
        <v>#DIV/0!</v>
      </c>
      <c r="AY9" s="55" t="e">
        <f t="shared" si="44"/>
        <v>#DIV/0!</v>
      </c>
      <c r="AZ9" s="53">
        <f t="shared" si="45"/>
        <v>0</v>
      </c>
      <c r="BA9" s="112" t="e">
        <f t="shared" si="46"/>
        <v>#DIV/0!</v>
      </c>
      <c r="BD9" s="53" t="e">
        <f t="shared" si="47"/>
        <v>#DIV/0!</v>
      </c>
      <c r="BE9" s="53">
        <f t="shared" si="48"/>
        <v>0</v>
      </c>
      <c r="BF9" s="53">
        <f t="shared" si="49"/>
        <v>0</v>
      </c>
      <c r="BG9" s="56" t="e">
        <f t="shared" si="50"/>
        <v>#DIV/0!</v>
      </c>
      <c r="BJ9" s="60"/>
      <c r="BK9" s="60"/>
      <c r="BL9" s="60"/>
      <c r="BM9" s="60"/>
      <c r="BN9" s="60"/>
      <c r="BO9" s="60"/>
      <c r="BP9" s="60"/>
      <c r="BQ9" s="60"/>
      <c r="BR9" s="60"/>
      <c r="BS9" s="60"/>
      <c r="BT9" s="60"/>
      <c r="BU9" s="60"/>
      <c r="BV9" s="60"/>
      <c r="BW9" s="60"/>
      <c r="BX9" s="60"/>
      <c r="BY9" s="60"/>
      <c r="BZ9" s="60"/>
      <c r="CA9" s="60"/>
      <c r="CB9" s="60"/>
      <c r="CC9" s="60"/>
      <c r="CD9" s="60"/>
      <c r="CE9" s="60"/>
      <c r="CF9" s="57">
        <f t="shared" si="51"/>
        <v>0</v>
      </c>
      <c r="CG9" s="57">
        <f t="shared" si="52"/>
        <v>0</v>
      </c>
      <c r="CH9" s="53">
        <f t="shared" si="53"/>
        <v>0</v>
      </c>
      <c r="CI9" s="53">
        <f t="shared" si="54"/>
        <v>0</v>
      </c>
      <c r="CJ9" s="58" t="e">
        <f t="shared" si="55"/>
        <v>#DIV/0!</v>
      </c>
      <c r="CK9" s="53">
        <f t="shared" si="56"/>
        <v>0</v>
      </c>
      <c r="CL9" s="53">
        <f t="shared" si="57"/>
        <v>0</v>
      </c>
      <c r="CM9" s="58" t="e">
        <f t="shared" si="58"/>
        <v>#DIV/0!</v>
      </c>
      <c r="CN9" s="48" t="e">
        <f t="shared" si="59"/>
        <v>#DIV/0!</v>
      </c>
      <c r="CO9" s="48" t="e">
        <f t="shared" si="60"/>
        <v>#DIV/0!</v>
      </c>
      <c r="CP9" s="48" t="e">
        <f t="shared" si="61"/>
        <v>#DIV/0!</v>
      </c>
      <c r="CQ9" s="48" t="e">
        <f t="shared" si="62"/>
        <v>#DIV/0!</v>
      </c>
      <c r="CR9" s="48" t="e">
        <f t="shared" si="63"/>
        <v>#DIV/0!</v>
      </c>
      <c r="CS9" s="48" t="e">
        <f t="shared" si="64"/>
        <v>#DIV/0!</v>
      </c>
      <c r="CT9" s="48">
        <f>SUMIF(FCR!$BZ$4:$DB$500,CS9,FCR!$DE$4:$EG$500)</f>
        <v>0</v>
      </c>
      <c r="CU9" s="48" t="e">
        <f t="shared" si="65"/>
        <v>#DIV/0!</v>
      </c>
      <c r="CV9" s="48">
        <f>SUMIF(FCR!$BZ$4:$DB$142,CU9,FCR!$DE$4:$EG$142)</f>
        <v>0</v>
      </c>
      <c r="CW9" s="48" t="e">
        <f t="shared" si="66"/>
        <v>#DIV/0!</v>
      </c>
      <c r="CX9" s="55" t="e">
        <f t="shared" si="67"/>
        <v>#DIV/0!</v>
      </c>
      <c r="CY9" s="48" t="e">
        <f t="shared" si="68"/>
        <v>#DIV/0!</v>
      </c>
      <c r="CZ9" s="48">
        <f>SUMIF(FCR!$BZ$4:$DB$142,CY9,FCR!$DE$4:$EG$142)</f>
        <v>0</v>
      </c>
      <c r="DA9" s="53" t="e">
        <f t="shared" si="69"/>
        <v>#DIV/0!</v>
      </c>
      <c r="DB9" s="55" t="e">
        <f t="shared" si="70"/>
        <v>#DIV/0!</v>
      </c>
      <c r="DC9" s="55" t="e">
        <f t="shared" si="71"/>
        <v>#DIV/0!</v>
      </c>
      <c r="DD9" s="55"/>
      <c r="DE9" s="55" t="e">
        <f t="shared" si="72"/>
        <v>#DIV/0!</v>
      </c>
      <c r="DF9" s="55" t="e">
        <f t="shared" si="73"/>
        <v>#DIV/0!</v>
      </c>
      <c r="DG9" s="53">
        <f t="shared" si="74"/>
        <v>0</v>
      </c>
      <c r="DH9" s="59" t="e">
        <f t="shared" si="75"/>
        <v>#DIV/0!</v>
      </c>
    </row>
    <row r="10" spans="1:112">
      <c r="B10" s="123"/>
      <c r="K10" s="52"/>
      <c r="L10" s="52"/>
      <c r="Q10" s="49">
        <f t="shared" si="76"/>
        <v>0</v>
      </c>
      <c r="R10" s="49">
        <f t="shared" si="77"/>
        <v>0</v>
      </c>
      <c r="S10" s="49">
        <f t="shared" si="78"/>
        <v>0</v>
      </c>
      <c r="T10" s="49">
        <f t="shared" si="24"/>
        <v>0</v>
      </c>
      <c r="U10" s="49" t="e">
        <f t="shared" si="25"/>
        <v>#DIV/0!</v>
      </c>
      <c r="V10" s="49">
        <f t="shared" si="26"/>
        <v>0</v>
      </c>
      <c r="W10" s="49">
        <f t="shared" si="27"/>
        <v>0</v>
      </c>
      <c r="X10" s="50" t="e">
        <f t="shared" si="28"/>
        <v>#DIV/0!</v>
      </c>
      <c r="Y10" s="49">
        <f t="shared" si="29"/>
        <v>0</v>
      </c>
      <c r="Z10" s="49" t="e">
        <f t="shared" si="30"/>
        <v>#DIV/0!</v>
      </c>
      <c r="AA10" s="49">
        <f t="shared" si="31"/>
        <v>0</v>
      </c>
      <c r="AB10" s="49">
        <f t="shared" si="32"/>
        <v>0</v>
      </c>
      <c r="AC10" s="49">
        <f t="shared" si="33"/>
        <v>0</v>
      </c>
      <c r="AD10" s="51" t="e">
        <f t="shared" si="34"/>
        <v>#DIV/0!</v>
      </c>
      <c r="AE10" s="51" t="e">
        <f t="shared" si="35"/>
        <v>#DIV/0!</v>
      </c>
      <c r="AF10" s="51" t="e">
        <f t="shared" si="36"/>
        <v>#DIV/0!</v>
      </c>
      <c r="AG10" s="51" t="e">
        <f t="shared" si="37"/>
        <v>#DIV/0!</v>
      </c>
      <c r="AR10" s="49">
        <f t="shared" si="38"/>
        <v>0</v>
      </c>
      <c r="AS10" s="49">
        <f t="shared" si="39"/>
        <v>0</v>
      </c>
      <c r="AT10" s="54" t="e">
        <f t="shared" si="40"/>
        <v>#DIV/0!</v>
      </c>
      <c r="AU10" s="112" t="e">
        <f t="shared" si="41"/>
        <v>#DIV/0!</v>
      </c>
      <c r="AW10" s="55" t="e">
        <f t="shared" si="42"/>
        <v>#DIV/0!</v>
      </c>
      <c r="AX10" s="55" t="e">
        <f t="shared" si="43"/>
        <v>#DIV/0!</v>
      </c>
      <c r="AY10" s="55" t="e">
        <f t="shared" si="44"/>
        <v>#DIV/0!</v>
      </c>
      <c r="AZ10" s="53">
        <f t="shared" si="45"/>
        <v>0</v>
      </c>
      <c r="BA10" s="112" t="e">
        <f t="shared" si="46"/>
        <v>#DIV/0!</v>
      </c>
      <c r="BD10" s="53" t="e">
        <f t="shared" si="47"/>
        <v>#DIV/0!</v>
      </c>
      <c r="BE10" s="53">
        <f t="shared" si="48"/>
        <v>0</v>
      </c>
      <c r="BF10" s="53">
        <f t="shared" si="49"/>
        <v>0</v>
      </c>
      <c r="BG10" s="56" t="e">
        <f t="shared" si="50"/>
        <v>#DIV/0!</v>
      </c>
      <c r="BJ10" s="60"/>
      <c r="BK10" s="60"/>
      <c r="BL10" s="60"/>
      <c r="BM10" s="60"/>
      <c r="BN10" s="60"/>
      <c r="BO10" s="60"/>
      <c r="BP10" s="60"/>
      <c r="BQ10" s="60"/>
      <c r="BR10" s="60"/>
      <c r="BS10" s="60"/>
      <c r="BT10" s="60"/>
      <c r="BU10" s="60"/>
      <c r="BV10" s="60"/>
      <c r="BW10" s="60"/>
      <c r="BX10" s="60"/>
      <c r="BY10" s="60"/>
      <c r="BZ10" s="60"/>
      <c r="CA10" s="60"/>
      <c r="CB10" s="60"/>
      <c r="CC10" s="60"/>
      <c r="CD10" s="60"/>
      <c r="CE10" s="60"/>
      <c r="CF10" s="57">
        <f t="shared" si="51"/>
        <v>0</v>
      </c>
      <c r="CG10" s="57">
        <f t="shared" si="52"/>
        <v>0</v>
      </c>
      <c r="CH10" s="53">
        <f t="shared" si="53"/>
        <v>0</v>
      </c>
      <c r="CI10" s="53">
        <f t="shared" si="54"/>
        <v>0</v>
      </c>
      <c r="CJ10" s="58" t="e">
        <f t="shared" si="55"/>
        <v>#DIV/0!</v>
      </c>
      <c r="CK10" s="53">
        <f t="shared" si="56"/>
        <v>0</v>
      </c>
      <c r="CL10" s="53">
        <f t="shared" si="57"/>
        <v>0</v>
      </c>
      <c r="CM10" s="58" t="e">
        <f t="shared" si="58"/>
        <v>#DIV/0!</v>
      </c>
      <c r="CN10" s="48" t="e">
        <f t="shared" si="59"/>
        <v>#DIV/0!</v>
      </c>
      <c r="CO10" s="48" t="e">
        <f t="shared" si="60"/>
        <v>#DIV/0!</v>
      </c>
      <c r="CP10" s="48" t="e">
        <f t="shared" si="61"/>
        <v>#DIV/0!</v>
      </c>
      <c r="CQ10" s="48" t="e">
        <f t="shared" si="62"/>
        <v>#DIV/0!</v>
      </c>
      <c r="CR10" s="48" t="e">
        <f t="shared" si="63"/>
        <v>#DIV/0!</v>
      </c>
      <c r="CS10" s="48" t="e">
        <f t="shared" si="64"/>
        <v>#DIV/0!</v>
      </c>
      <c r="CT10" s="48">
        <f>SUMIF(FCR!$BZ$4:$DB$500,CS10,FCR!$DE$4:$EG$500)</f>
        <v>0</v>
      </c>
      <c r="CU10" s="48" t="e">
        <f t="shared" si="65"/>
        <v>#DIV/0!</v>
      </c>
      <c r="CV10" s="48">
        <f>SUMIF(FCR!$BZ$4:$DB$142,CU10,FCR!$DE$4:$EG$142)</f>
        <v>0</v>
      </c>
      <c r="CW10" s="48" t="e">
        <f t="shared" si="66"/>
        <v>#DIV/0!</v>
      </c>
      <c r="CX10" s="55" t="e">
        <f t="shared" si="67"/>
        <v>#DIV/0!</v>
      </c>
      <c r="CY10" s="48" t="e">
        <f t="shared" si="68"/>
        <v>#DIV/0!</v>
      </c>
      <c r="CZ10" s="48">
        <f>SUMIF(FCR!$BZ$4:$DB$142,CY10,FCR!$DE$4:$EG$142)</f>
        <v>0</v>
      </c>
      <c r="DA10" s="53" t="e">
        <f t="shared" si="69"/>
        <v>#DIV/0!</v>
      </c>
      <c r="DB10" s="55" t="e">
        <f t="shared" si="70"/>
        <v>#DIV/0!</v>
      </c>
      <c r="DC10" s="55" t="e">
        <f t="shared" si="71"/>
        <v>#DIV/0!</v>
      </c>
      <c r="DD10" s="55"/>
      <c r="DE10" s="55" t="e">
        <f t="shared" si="72"/>
        <v>#DIV/0!</v>
      </c>
      <c r="DF10" s="55" t="e">
        <f t="shared" si="73"/>
        <v>#DIV/0!</v>
      </c>
      <c r="DG10" s="53">
        <f t="shared" si="74"/>
        <v>0</v>
      </c>
      <c r="DH10" s="59" t="e">
        <f t="shared" si="75"/>
        <v>#DIV/0!</v>
      </c>
    </row>
    <row r="11" spans="1:112">
      <c r="B11" s="123"/>
      <c r="K11" s="52"/>
      <c r="L11" s="52"/>
      <c r="Q11" s="49">
        <f t="shared" si="76"/>
        <v>0</v>
      </c>
      <c r="R11" s="49">
        <f t="shared" si="77"/>
        <v>0</v>
      </c>
      <c r="S11" s="49">
        <f t="shared" si="78"/>
        <v>0</v>
      </c>
      <c r="T11" s="49">
        <f t="shared" si="24"/>
        <v>0</v>
      </c>
      <c r="U11" s="49" t="e">
        <f t="shared" si="25"/>
        <v>#DIV/0!</v>
      </c>
      <c r="V11" s="49">
        <f t="shared" si="26"/>
        <v>0</v>
      </c>
      <c r="W11" s="49">
        <f t="shared" si="27"/>
        <v>0</v>
      </c>
      <c r="X11" s="50" t="e">
        <f t="shared" si="28"/>
        <v>#DIV/0!</v>
      </c>
      <c r="Y11" s="49">
        <f t="shared" si="29"/>
        <v>0</v>
      </c>
      <c r="Z11" s="49" t="e">
        <f t="shared" si="30"/>
        <v>#DIV/0!</v>
      </c>
      <c r="AA11" s="49">
        <f t="shared" si="31"/>
        <v>0</v>
      </c>
      <c r="AB11" s="49">
        <f t="shared" si="32"/>
        <v>0</v>
      </c>
      <c r="AC11" s="49">
        <f t="shared" si="33"/>
        <v>0</v>
      </c>
      <c r="AD11" s="51" t="e">
        <f t="shared" si="34"/>
        <v>#DIV/0!</v>
      </c>
      <c r="AE11" s="51" t="e">
        <f t="shared" si="35"/>
        <v>#DIV/0!</v>
      </c>
      <c r="AF11" s="51" t="e">
        <f t="shared" si="36"/>
        <v>#DIV/0!</v>
      </c>
      <c r="AG11" s="51" t="e">
        <f t="shared" si="37"/>
        <v>#DIV/0!</v>
      </c>
      <c r="AR11" s="49">
        <f t="shared" si="38"/>
        <v>0</v>
      </c>
      <c r="AS11" s="49">
        <f t="shared" si="39"/>
        <v>0</v>
      </c>
      <c r="AT11" s="54" t="e">
        <f t="shared" si="40"/>
        <v>#DIV/0!</v>
      </c>
      <c r="AU11" s="112" t="e">
        <f t="shared" si="41"/>
        <v>#DIV/0!</v>
      </c>
      <c r="AW11" s="55" t="e">
        <f t="shared" si="42"/>
        <v>#DIV/0!</v>
      </c>
      <c r="AX11" s="55" t="e">
        <f t="shared" si="43"/>
        <v>#DIV/0!</v>
      </c>
      <c r="AY11" s="55" t="e">
        <f t="shared" si="44"/>
        <v>#DIV/0!</v>
      </c>
      <c r="AZ11" s="53">
        <f t="shared" si="45"/>
        <v>0</v>
      </c>
      <c r="BA11" s="112" t="e">
        <f t="shared" si="46"/>
        <v>#DIV/0!</v>
      </c>
      <c r="BD11" s="53" t="e">
        <f t="shared" si="47"/>
        <v>#DIV/0!</v>
      </c>
      <c r="BE11" s="53">
        <f t="shared" si="48"/>
        <v>0</v>
      </c>
      <c r="BF11" s="53">
        <f t="shared" si="49"/>
        <v>0</v>
      </c>
      <c r="BG11" s="56" t="e">
        <f t="shared" si="50"/>
        <v>#DIV/0!</v>
      </c>
      <c r="BJ11" s="60"/>
      <c r="BK11" s="60"/>
      <c r="BL11" s="60"/>
      <c r="BM11" s="60"/>
      <c r="BN11" s="60"/>
      <c r="BO11" s="60"/>
      <c r="BP11" s="60"/>
      <c r="BQ11" s="60"/>
      <c r="BR11" s="60"/>
      <c r="BS11" s="60"/>
      <c r="BT11" s="60"/>
      <c r="BU11" s="60"/>
      <c r="BV11" s="60"/>
      <c r="BW11" s="60"/>
      <c r="BX11" s="60"/>
      <c r="BY11" s="60"/>
      <c r="BZ11" s="60"/>
      <c r="CA11" s="60"/>
      <c r="CB11" s="60"/>
      <c r="CC11" s="60"/>
      <c r="CD11" s="60"/>
      <c r="CE11" s="60"/>
      <c r="CF11" s="57">
        <f t="shared" si="51"/>
        <v>0</v>
      </c>
      <c r="CG11" s="57">
        <f t="shared" si="52"/>
        <v>0</v>
      </c>
      <c r="CH11" s="53">
        <f t="shared" si="53"/>
        <v>0</v>
      </c>
      <c r="CI11" s="53">
        <f t="shared" si="54"/>
        <v>0</v>
      </c>
      <c r="CJ11" s="58" t="e">
        <f t="shared" si="55"/>
        <v>#DIV/0!</v>
      </c>
      <c r="CK11" s="53">
        <f t="shared" si="56"/>
        <v>0</v>
      </c>
      <c r="CL11" s="53">
        <f t="shared" si="57"/>
        <v>0</v>
      </c>
      <c r="CM11" s="58" t="e">
        <f t="shared" si="58"/>
        <v>#DIV/0!</v>
      </c>
      <c r="CN11" s="48" t="e">
        <f t="shared" si="59"/>
        <v>#DIV/0!</v>
      </c>
      <c r="CO11" s="48" t="e">
        <f t="shared" si="60"/>
        <v>#DIV/0!</v>
      </c>
      <c r="CP11" s="48" t="e">
        <f t="shared" si="61"/>
        <v>#DIV/0!</v>
      </c>
      <c r="CQ11" s="48" t="e">
        <f t="shared" si="62"/>
        <v>#DIV/0!</v>
      </c>
      <c r="CR11" s="48" t="e">
        <f t="shared" si="63"/>
        <v>#DIV/0!</v>
      </c>
      <c r="CS11" s="48" t="e">
        <f t="shared" si="64"/>
        <v>#DIV/0!</v>
      </c>
      <c r="CT11" s="48">
        <f>SUMIF(FCR!$BZ$4:$DB$500,CS11,FCR!$DE$4:$EG$500)</f>
        <v>0</v>
      </c>
      <c r="CU11" s="48" t="e">
        <f t="shared" si="65"/>
        <v>#DIV/0!</v>
      </c>
      <c r="CV11" s="48">
        <f>SUMIF(FCR!$BZ$4:$DB$142,CU11,FCR!$DE$4:$EG$142)</f>
        <v>0</v>
      </c>
      <c r="CW11" s="48" t="e">
        <f t="shared" si="66"/>
        <v>#DIV/0!</v>
      </c>
      <c r="CX11" s="55" t="e">
        <f t="shared" si="67"/>
        <v>#DIV/0!</v>
      </c>
      <c r="CY11" s="48" t="e">
        <f t="shared" si="68"/>
        <v>#DIV/0!</v>
      </c>
      <c r="CZ11" s="48">
        <f>SUMIF(FCR!$BZ$4:$DB$142,CY11,FCR!$DE$4:$EG$142)</f>
        <v>0</v>
      </c>
      <c r="DA11" s="53" t="e">
        <f t="shared" si="69"/>
        <v>#DIV/0!</v>
      </c>
      <c r="DB11" s="55" t="e">
        <f t="shared" si="70"/>
        <v>#DIV/0!</v>
      </c>
      <c r="DC11" s="55" t="e">
        <f t="shared" si="71"/>
        <v>#DIV/0!</v>
      </c>
      <c r="DD11" s="55"/>
      <c r="DE11" s="55" t="e">
        <f t="shared" si="72"/>
        <v>#DIV/0!</v>
      </c>
      <c r="DF11" s="55" t="e">
        <f t="shared" si="73"/>
        <v>#DIV/0!</v>
      </c>
      <c r="DG11" s="53">
        <f t="shared" si="74"/>
        <v>0</v>
      </c>
      <c r="DH11" s="59" t="e">
        <f t="shared" si="75"/>
        <v>#DIV/0!</v>
      </c>
    </row>
    <row r="12" spans="1:112">
      <c r="B12" s="123"/>
      <c r="K12" s="52"/>
      <c r="L12" s="52"/>
      <c r="Q12" s="49">
        <f t="shared" si="76"/>
        <v>0</v>
      </c>
      <c r="R12" s="49">
        <f t="shared" si="77"/>
        <v>0</v>
      </c>
      <c r="S12" s="49">
        <f t="shared" si="78"/>
        <v>0</v>
      </c>
      <c r="T12" s="49">
        <f t="shared" si="24"/>
        <v>0</v>
      </c>
      <c r="U12" s="49" t="e">
        <f t="shared" si="25"/>
        <v>#DIV/0!</v>
      </c>
      <c r="V12" s="49">
        <f t="shared" si="26"/>
        <v>0</v>
      </c>
      <c r="W12" s="49">
        <f t="shared" si="27"/>
        <v>0</v>
      </c>
      <c r="X12" s="50" t="e">
        <f t="shared" si="28"/>
        <v>#DIV/0!</v>
      </c>
      <c r="Y12" s="49">
        <f t="shared" si="29"/>
        <v>0</v>
      </c>
      <c r="Z12" s="49" t="e">
        <f t="shared" si="30"/>
        <v>#DIV/0!</v>
      </c>
      <c r="AA12" s="49">
        <f t="shared" si="31"/>
        <v>0</v>
      </c>
      <c r="AB12" s="49">
        <f t="shared" si="32"/>
        <v>0</v>
      </c>
      <c r="AC12" s="49">
        <f t="shared" si="33"/>
        <v>0</v>
      </c>
      <c r="AD12" s="51" t="e">
        <f t="shared" si="34"/>
        <v>#DIV/0!</v>
      </c>
      <c r="AE12" s="51" t="e">
        <f t="shared" si="35"/>
        <v>#DIV/0!</v>
      </c>
      <c r="AF12" s="51" t="e">
        <f t="shared" si="36"/>
        <v>#DIV/0!</v>
      </c>
      <c r="AG12" s="51" t="e">
        <f t="shared" si="37"/>
        <v>#DIV/0!</v>
      </c>
      <c r="AR12" s="49">
        <f t="shared" si="38"/>
        <v>0</v>
      </c>
      <c r="AS12" s="49">
        <f t="shared" si="39"/>
        <v>0</v>
      </c>
      <c r="AT12" s="54" t="e">
        <f t="shared" si="40"/>
        <v>#DIV/0!</v>
      </c>
      <c r="AU12" s="112" t="e">
        <f t="shared" si="41"/>
        <v>#DIV/0!</v>
      </c>
      <c r="AW12" s="55" t="e">
        <f t="shared" si="42"/>
        <v>#DIV/0!</v>
      </c>
      <c r="AX12" s="55" t="e">
        <f t="shared" si="43"/>
        <v>#DIV/0!</v>
      </c>
      <c r="AY12" s="55" t="e">
        <f t="shared" si="44"/>
        <v>#DIV/0!</v>
      </c>
      <c r="AZ12" s="53">
        <f t="shared" si="45"/>
        <v>0</v>
      </c>
      <c r="BA12" s="112" t="e">
        <f t="shared" si="46"/>
        <v>#DIV/0!</v>
      </c>
      <c r="BD12" s="53" t="e">
        <f t="shared" si="47"/>
        <v>#DIV/0!</v>
      </c>
      <c r="BE12" s="53">
        <f t="shared" si="48"/>
        <v>0</v>
      </c>
      <c r="BF12" s="53">
        <f t="shared" si="49"/>
        <v>0</v>
      </c>
      <c r="BG12" s="56" t="e">
        <f t="shared" si="50"/>
        <v>#DIV/0!</v>
      </c>
      <c r="BJ12" s="60"/>
      <c r="BK12" s="60"/>
      <c r="BL12" s="60"/>
      <c r="BM12" s="60"/>
      <c r="BN12" s="60"/>
      <c r="BO12" s="60"/>
      <c r="BP12" s="60"/>
      <c r="BQ12" s="60"/>
      <c r="BR12" s="60"/>
      <c r="BS12" s="60"/>
      <c r="BT12" s="60"/>
      <c r="BU12" s="60"/>
      <c r="BV12" s="60"/>
      <c r="BW12" s="60"/>
      <c r="BX12" s="60"/>
      <c r="BY12" s="60"/>
      <c r="BZ12" s="60"/>
      <c r="CA12" s="60"/>
      <c r="CB12" s="60"/>
      <c r="CC12" s="60"/>
      <c r="CD12" s="60"/>
      <c r="CE12" s="60"/>
      <c r="CF12" s="57">
        <f t="shared" si="51"/>
        <v>0</v>
      </c>
      <c r="CG12" s="57">
        <f t="shared" si="52"/>
        <v>0</v>
      </c>
      <c r="CH12" s="53">
        <f t="shared" si="53"/>
        <v>0</v>
      </c>
      <c r="CI12" s="53">
        <f t="shared" si="54"/>
        <v>0</v>
      </c>
      <c r="CJ12" s="58" t="e">
        <f t="shared" si="55"/>
        <v>#DIV/0!</v>
      </c>
      <c r="CK12" s="53">
        <f t="shared" si="56"/>
        <v>0</v>
      </c>
      <c r="CL12" s="53">
        <f t="shared" si="57"/>
        <v>0</v>
      </c>
      <c r="CM12" s="58" t="e">
        <f t="shared" si="58"/>
        <v>#DIV/0!</v>
      </c>
      <c r="CN12" s="48" t="e">
        <f t="shared" si="59"/>
        <v>#DIV/0!</v>
      </c>
      <c r="CO12" s="48" t="e">
        <f t="shared" si="60"/>
        <v>#DIV/0!</v>
      </c>
      <c r="CP12" s="48" t="e">
        <f t="shared" si="61"/>
        <v>#DIV/0!</v>
      </c>
      <c r="CQ12" s="48" t="e">
        <f t="shared" si="62"/>
        <v>#DIV/0!</v>
      </c>
      <c r="CR12" s="48" t="e">
        <f t="shared" si="63"/>
        <v>#DIV/0!</v>
      </c>
      <c r="CS12" s="48" t="e">
        <f t="shared" si="64"/>
        <v>#DIV/0!</v>
      </c>
      <c r="CT12" s="48">
        <f>SUMIF(FCR!$BZ$4:$DB$500,CS12,FCR!$DE$4:$EG$500)</f>
        <v>0</v>
      </c>
      <c r="CU12" s="48" t="e">
        <f t="shared" si="65"/>
        <v>#DIV/0!</v>
      </c>
      <c r="CV12" s="48">
        <f>SUMIF(FCR!$BZ$4:$DB$142,CU12,FCR!$DE$4:$EG$142)</f>
        <v>0</v>
      </c>
      <c r="CW12" s="48" t="e">
        <f t="shared" si="66"/>
        <v>#DIV/0!</v>
      </c>
      <c r="CX12" s="55" t="e">
        <f t="shared" si="67"/>
        <v>#DIV/0!</v>
      </c>
      <c r="CY12" s="48" t="e">
        <f t="shared" si="68"/>
        <v>#DIV/0!</v>
      </c>
      <c r="CZ12" s="48">
        <f>SUMIF(FCR!$BZ$4:$DB$142,CY12,FCR!$DE$4:$EG$142)</f>
        <v>0</v>
      </c>
      <c r="DA12" s="53" t="e">
        <f t="shared" si="69"/>
        <v>#DIV/0!</v>
      </c>
      <c r="DB12" s="55" t="e">
        <f t="shared" si="70"/>
        <v>#DIV/0!</v>
      </c>
      <c r="DC12" s="55" t="e">
        <f t="shared" si="71"/>
        <v>#DIV/0!</v>
      </c>
      <c r="DD12" s="55"/>
      <c r="DE12" s="55" t="e">
        <f t="shared" si="72"/>
        <v>#DIV/0!</v>
      </c>
      <c r="DF12" s="55" t="e">
        <f t="shared" si="73"/>
        <v>#DIV/0!</v>
      </c>
      <c r="DG12" s="53">
        <f t="shared" si="74"/>
        <v>0</v>
      </c>
      <c r="DH12" s="59" t="e">
        <f t="shared" si="75"/>
        <v>#DIV/0!</v>
      </c>
    </row>
    <row r="13" spans="1:112">
      <c r="B13" s="123"/>
      <c r="K13" s="52"/>
      <c r="L13" s="52"/>
      <c r="Q13" s="49">
        <f t="shared" si="76"/>
        <v>0</v>
      </c>
      <c r="R13" s="49">
        <f t="shared" si="77"/>
        <v>0</v>
      </c>
      <c r="S13" s="49">
        <f t="shared" si="78"/>
        <v>0</v>
      </c>
      <c r="T13" s="49">
        <f t="shared" si="24"/>
        <v>0</v>
      </c>
      <c r="U13" s="49" t="e">
        <f t="shared" si="25"/>
        <v>#DIV/0!</v>
      </c>
      <c r="V13" s="49">
        <f t="shared" si="26"/>
        <v>0</v>
      </c>
      <c r="W13" s="49">
        <f t="shared" si="27"/>
        <v>0</v>
      </c>
      <c r="X13" s="50" t="e">
        <f t="shared" si="28"/>
        <v>#DIV/0!</v>
      </c>
      <c r="Y13" s="49">
        <f t="shared" si="29"/>
        <v>0</v>
      </c>
      <c r="Z13" s="49" t="e">
        <f t="shared" si="30"/>
        <v>#DIV/0!</v>
      </c>
      <c r="AA13" s="49">
        <f t="shared" si="31"/>
        <v>0</v>
      </c>
      <c r="AB13" s="49">
        <f t="shared" si="32"/>
        <v>0</v>
      </c>
      <c r="AC13" s="49">
        <f t="shared" si="33"/>
        <v>0</v>
      </c>
      <c r="AD13" s="51" t="e">
        <f t="shared" si="34"/>
        <v>#DIV/0!</v>
      </c>
      <c r="AE13" s="51" t="e">
        <f t="shared" si="35"/>
        <v>#DIV/0!</v>
      </c>
      <c r="AF13" s="51" t="e">
        <f t="shared" si="36"/>
        <v>#DIV/0!</v>
      </c>
      <c r="AG13" s="51" t="e">
        <f t="shared" si="37"/>
        <v>#DIV/0!</v>
      </c>
      <c r="AR13" s="49">
        <f t="shared" si="38"/>
        <v>0</v>
      </c>
      <c r="AS13" s="49">
        <f t="shared" si="39"/>
        <v>0</v>
      </c>
      <c r="AT13" s="54" t="e">
        <f t="shared" si="40"/>
        <v>#DIV/0!</v>
      </c>
      <c r="AU13" s="112" t="e">
        <f t="shared" si="41"/>
        <v>#DIV/0!</v>
      </c>
      <c r="AW13" s="55" t="e">
        <f t="shared" si="42"/>
        <v>#DIV/0!</v>
      </c>
      <c r="AX13" s="55" t="e">
        <f t="shared" si="43"/>
        <v>#DIV/0!</v>
      </c>
      <c r="AY13" s="55" t="e">
        <f t="shared" si="44"/>
        <v>#DIV/0!</v>
      </c>
      <c r="AZ13" s="53">
        <f t="shared" si="45"/>
        <v>0</v>
      </c>
      <c r="BA13" s="112" t="e">
        <f t="shared" si="46"/>
        <v>#DIV/0!</v>
      </c>
      <c r="BD13" s="53" t="e">
        <f t="shared" si="47"/>
        <v>#DIV/0!</v>
      </c>
      <c r="BE13" s="53">
        <f t="shared" si="48"/>
        <v>0</v>
      </c>
      <c r="BF13" s="53">
        <f t="shared" si="49"/>
        <v>0</v>
      </c>
      <c r="BG13" s="56" t="e">
        <f t="shared" si="50"/>
        <v>#DIV/0!</v>
      </c>
      <c r="BJ13" s="60"/>
      <c r="BK13" s="60"/>
      <c r="BL13" s="60"/>
      <c r="BM13" s="60"/>
      <c r="BN13" s="60"/>
      <c r="BO13" s="60"/>
      <c r="BP13" s="60"/>
      <c r="BQ13" s="60"/>
      <c r="BR13" s="60"/>
      <c r="BS13" s="60"/>
      <c r="BT13" s="60"/>
      <c r="BU13" s="60"/>
      <c r="BV13" s="60"/>
      <c r="BW13" s="60"/>
      <c r="BX13" s="60"/>
      <c r="BY13" s="60"/>
      <c r="BZ13" s="60"/>
      <c r="CA13" s="60"/>
      <c r="CB13" s="60"/>
      <c r="CC13" s="60"/>
      <c r="CD13" s="60"/>
      <c r="CE13" s="60"/>
      <c r="CF13" s="57">
        <f t="shared" si="51"/>
        <v>0</v>
      </c>
      <c r="CG13" s="57">
        <f t="shared" si="52"/>
        <v>0</v>
      </c>
      <c r="CH13" s="53">
        <f t="shared" si="53"/>
        <v>0</v>
      </c>
      <c r="CI13" s="53">
        <f t="shared" si="54"/>
        <v>0</v>
      </c>
      <c r="CJ13" s="58" t="e">
        <f t="shared" si="55"/>
        <v>#DIV/0!</v>
      </c>
      <c r="CK13" s="53">
        <f t="shared" si="56"/>
        <v>0</v>
      </c>
      <c r="CL13" s="53">
        <f t="shared" si="57"/>
        <v>0</v>
      </c>
      <c r="CM13" s="58" t="e">
        <f t="shared" si="58"/>
        <v>#DIV/0!</v>
      </c>
      <c r="CN13" s="48" t="e">
        <f t="shared" si="59"/>
        <v>#DIV/0!</v>
      </c>
      <c r="CO13" s="48" t="e">
        <f t="shared" si="60"/>
        <v>#DIV/0!</v>
      </c>
      <c r="CP13" s="48" t="e">
        <f t="shared" si="61"/>
        <v>#DIV/0!</v>
      </c>
      <c r="CQ13" s="48" t="e">
        <f t="shared" si="62"/>
        <v>#DIV/0!</v>
      </c>
      <c r="CR13" s="48" t="e">
        <f t="shared" si="63"/>
        <v>#DIV/0!</v>
      </c>
      <c r="CS13" s="48" t="e">
        <f t="shared" si="64"/>
        <v>#DIV/0!</v>
      </c>
      <c r="CT13" s="48">
        <f>SUMIF(FCR!$BZ$4:$DB$500,CS13,FCR!$DE$4:$EG$500)</f>
        <v>0</v>
      </c>
      <c r="CU13" s="48" t="e">
        <f t="shared" si="65"/>
        <v>#DIV/0!</v>
      </c>
      <c r="CV13" s="48">
        <f>SUMIF(FCR!$BZ$4:$DB$142,CU13,FCR!$DE$4:$EG$142)</f>
        <v>0</v>
      </c>
      <c r="CW13" s="48" t="e">
        <f t="shared" si="66"/>
        <v>#DIV/0!</v>
      </c>
      <c r="CX13" s="55" t="e">
        <f t="shared" si="67"/>
        <v>#DIV/0!</v>
      </c>
      <c r="CY13" s="48" t="e">
        <f t="shared" si="68"/>
        <v>#DIV/0!</v>
      </c>
      <c r="CZ13" s="48">
        <f>SUMIF(FCR!$BZ$4:$DB$142,CY13,FCR!$DE$4:$EG$142)</f>
        <v>0</v>
      </c>
      <c r="DA13" s="53" t="e">
        <f t="shared" si="69"/>
        <v>#DIV/0!</v>
      </c>
      <c r="DB13" s="55" t="e">
        <f t="shared" si="70"/>
        <v>#DIV/0!</v>
      </c>
      <c r="DC13" s="55" t="e">
        <f t="shared" si="71"/>
        <v>#DIV/0!</v>
      </c>
      <c r="DD13" s="55"/>
      <c r="DE13" s="55" t="e">
        <f t="shared" si="72"/>
        <v>#DIV/0!</v>
      </c>
      <c r="DF13" s="55" t="e">
        <f t="shared" si="73"/>
        <v>#DIV/0!</v>
      </c>
      <c r="DG13" s="53">
        <f t="shared" si="74"/>
        <v>0</v>
      </c>
      <c r="DH13" s="59" t="e">
        <f t="shared" si="75"/>
        <v>#DIV/0!</v>
      </c>
    </row>
    <row r="14" spans="1:112">
      <c r="B14" s="123"/>
      <c r="K14" s="52"/>
      <c r="L14" s="52"/>
      <c r="Q14" s="49">
        <f t="shared" si="76"/>
        <v>0</v>
      </c>
      <c r="R14" s="49">
        <f t="shared" si="77"/>
        <v>0</v>
      </c>
      <c r="S14" s="49">
        <f t="shared" si="78"/>
        <v>0</v>
      </c>
      <c r="T14" s="49">
        <f t="shared" si="24"/>
        <v>0</v>
      </c>
      <c r="U14" s="49" t="e">
        <f t="shared" si="25"/>
        <v>#DIV/0!</v>
      </c>
      <c r="V14" s="49">
        <f t="shared" si="26"/>
        <v>0</v>
      </c>
      <c r="W14" s="49">
        <f t="shared" si="27"/>
        <v>0</v>
      </c>
      <c r="X14" s="50" t="e">
        <f t="shared" si="28"/>
        <v>#DIV/0!</v>
      </c>
      <c r="Y14" s="49">
        <f t="shared" si="29"/>
        <v>0</v>
      </c>
      <c r="Z14" s="49" t="e">
        <f t="shared" si="30"/>
        <v>#DIV/0!</v>
      </c>
      <c r="AA14" s="49">
        <f t="shared" si="31"/>
        <v>0</v>
      </c>
      <c r="AB14" s="49">
        <f t="shared" si="32"/>
        <v>0</v>
      </c>
      <c r="AC14" s="49">
        <f t="shared" si="33"/>
        <v>0</v>
      </c>
      <c r="AD14" s="51" t="e">
        <f t="shared" si="34"/>
        <v>#DIV/0!</v>
      </c>
      <c r="AE14" s="51" t="e">
        <f t="shared" si="35"/>
        <v>#DIV/0!</v>
      </c>
      <c r="AF14" s="51" t="e">
        <f t="shared" si="36"/>
        <v>#DIV/0!</v>
      </c>
      <c r="AG14" s="51" t="e">
        <f t="shared" si="37"/>
        <v>#DIV/0!</v>
      </c>
      <c r="AR14" s="49">
        <f t="shared" si="38"/>
        <v>0</v>
      </c>
      <c r="AS14" s="49">
        <f t="shared" si="39"/>
        <v>0</v>
      </c>
      <c r="AT14" s="54" t="e">
        <f t="shared" si="40"/>
        <v>#DIV/0!</v>
      </c>
      <c r="AU14" s="112" t="e">
        <f t="shared" si="41"/>
        <v>#DIV/0!</v>
      </c>
      <c r="AW14" s="55" t="e">
        <f t="shared" si="42"/>
        <v>#DIV/0!</v>
      </c>
      <c r="AX14" s="55" t="e">
        <f t="shared" si="43"/>
        <v>#DIV/0!</v>
      </c>
      <c r="AY14" s="55" t="e">
        <f t="shared" si="44"/>
        <v>#DIV/0!</v>
      </c>
      <c r="AZ14" s="53">
        <f t="shared" si="45"/>
        <v>0</v>
      </c>
      <c r="BA14" s="112" t="e">
        <f t="shared" si="46"/>
        <v>#DIV/0!</v>
      </c>
      <c r="BD14" s="53" t="e">
        <f t="shared" si="47"/>
        <v>#DIV/0!</v>
      </c>
      <c r="BE14" s="53">
        <f t="shared" si="48"/>
        <v>0</v>
      </c>
      <c r="BF14" s="53">
        <f t="shared" si="49"/>
        <v>0</v>
      </c>
      <c r="BG14" s="56" t="e">
        <f t="shared" si="50"/>
        <v>#DIV/0!</v>
      </c>
      <c r="BJ14" s="60"/>
      <c r="BK14" s="60"/>
      <c r="BL14" s="60"/>
      <c r="BM14" s="60"/>
      <c r="BN14" s="60"/>
      <c r="BO14" s="60"/>
      <c r="BP14" s="60"/>
      <c r="BQ14" s="60"/>
      <c r="BR14" s="60"/>
      <c r="BS14" s="60"/>
      <c r="BT14" s="60"/>
      <c r="BU14" s="60"/>
      <c r="BV14" s="60"/>
      <c r="BW14" s="60"/>
      <c r="BX14" s="60"/>
      <c r="BY14" s="60"/>
      <c r="BZ14" s="60"/>
      <c r="CA14" s="60"/>
      <c r="CB14" s="60"/>
      <c r="CC14" s="60"/>
      <c r="CD14" s="60"/>
      <c r="CE14" s="60"/>
      <c r="CF14" s="57">
        <f t="shared" si="51"/>
        <v>0</v>
      </c>
      <c r="CG14" s="57">
        <f t="shared" si="52"/>
        <v>0</v>
      </c>
      <c r="CH14" s="53">
        <f t="shared" si="53"/>
        <v>0</v>
      </c>
      <c r="CI14" s="53">
        <f t="shared" si="54"/>
        <v>0</v>
      </c>
      <c r="CJ14" s="58" t="e">
        <f t="shared" si="55"/>
        <v>#DIV/0!</v>
      </c>
      <c r="CK14" s="53">
        <f t="shared" si="56"/>
        <v>0</v>
      </c>
      <c r="CL14" s="53">
        <f t="shared" si="57"/>
        <v>0</v>
      </c>
      <c r="CM14" s="58" t="e">
        <f t="shared" si="58"/>
        <v>#DIV/0!</v>
      </c>
      <c r="CN14" s="48" t="e">
        <f t="shared" si="59"/>
        <v>#DIV/0!</v>
      </c>
      <c r="CO14" s="48" t="e">
        <f t="shared" si="60"/>
        <v>#DIV/0!</v>
      </c>
      <c r="CP14" s="48" t="e">
        <f t="shared" si="61"/>
        <v>#DIV/0!</v>
      </c>
      <c r="CQ14" s="48" t="e">
        <f t="shared" si="62"/>
        <v>#DIV/0!</v>
      </c>
      <c r="CR14" s="48" t="e">
        <f t="shared" si="63"/>
        <v>#DIV/0!</v>
      </c>
      <c r="CS14" s="48" t="e">
        <f t="shared" si="64"/>
        <v>#DIV/0!</v>
      </c>
      <c r="CT14" s="48">
        <f>SUMIF(FCR!$BZ$4:$DB$500,CS14,FCR!$DE$4:$EG$500)</f>
        <v>0</v>
      </c>
      <c r="CU14" s="48" t="e">
        <f t="shared" si="65"/>
        <v>#DIV/0!</v>
      </c>
      <c r="CV14" s="48">
        <f>SUMIF(FCR!$BZ$4:$DB$142,CU14,FCR!$DE$4:$EG$142)</f>
        <v>0</v>
      </c>
      <c r="CW14" s="48" t="e">
        <f t="shared" si="66"/>
        <v>#DIV/0!</v>
      </c>
      <c r="CX14" s="55" t="e">
        <f t="shared" si="67"/>
        <v>#DIV/0!</v>
      </c>
      <c r="CY14" s="48" t="e">
        <f t="shared" si="68"/>
        <v>#DIV/0!</v>
      </c>
      <c r="CZ14" s="48">
        <f>SUMIF(FCR!$BZ$4:$DB$142,CY14,FCR!$DE$4:$EG$142)</f>
        <v>0</v>
      </c>
      <c r="DA14" s="53" t="e">
        <f t="shared" si="69"/>
        <v>#DIV/0!</v>
      </c>
      <c r="DB14" s="55" t="e">
        <f t="shared" si="70"/>
        <v>#DIV/0!</v>
      </c>
      <c r="DC14" s="55" t="e">
        <f t="shared" si="71"/>
        <v>#DIV/0!</v>
      </c>
      <c r="DD14" s="55"/>
      <c r="DE14" s="55" t="e">
        <f t="shared" si="72"/>
        <v>#DIV/0!</v>
      </c>
      <c r="DF14" s="55" t="e">
        <f t="shared" si="73"/>
        <v>#DIV/0!</v>
      </c>
      <c r="DG14" s="53">
        <f t="shared" si="74"/>
        <v>0</v>
      </c>
      <c r="DH14" s="59" t="e">
        <f t="shared" si="75"/>
        <v>#DIV/0!</v>
      </c>
    </row>
    <row r="15" spans="1:112">
      <c r="B15" s="123"/>
      <c r="T15" s="49">
        <f t="shared" si="24"/>
        <v>0</v>
      </c>
      <c r="U15" s="49" t="e">
        <f t="shared" si="25"/>
        <v>#DIV/0!</v>
      </c>
      <c r="V15" s="49">
        <f t="shared" si="26"/>
        <v>0</v>
      </c>
      <c r="W15" s="49">
        <f t="shared" si="27"/>
        <v>0</v>
      </c>
      <c r="X15" s="50" t="e">
        <f t="shared" si="28"/>
        <v>#DIV/0!</v>
      </c>
      <c r="Y15" s="49">
        <f t="shared" si="29"/>
        <v>0</v>
      </c>
      <c r="Z15" s="49" t="e">
        <f t="shared" si="30"/>
        <v>#DIV/0!</v>
      </c>
      <c r="AA15" s="49">
        <f t="shared" si="31"/>
        <v>0</v>
      </c>
      <c r="AB15" s="49">
        <f t="shared" si="32"/>
        <v>0</v>
      </c>
      <c r="AC15" s="49">
        <f t="shared" si="33"/>
        <v>0</v>
      </c>
      <c r="AD15" s="51" t="e">
        <f t="shared" si="34"/>
        <v>#DIV/0!</v>
      </c>
      <c r="AE15" s="51" t="e">
        <f t="shared" si="35"/>
        <v>#DIV/0!</v>
      </c>
      <c r="AF15" s="51" t="e">
        <f t="shared" si="36"/>
        <v>#DIV/0!</v>
      </c>
      <c r="AG15" s="51" t="e">
        <f t="shared" si="37"/>
        <v>#DIV/0!</v>
      </c>
      <c r="AR15" s="49">
        <f t="shared" si="38"/>
        <v>0</v>
      </c>
      <c r="AS15" s="49">
        <f t="shared" si="39"/>
        <v>0</v>
      </c>
      <c r="AT15" s="54" t="e">
        <f t="shared" si="40"/>
        <v>#DIV/0!</v>
      </c>
      <c r="AU15" s="112" t="e">
        <f t="shared" si="41"/>
        <v>#DIV/0!</v>
      </c>
      <c r="AW15" s="55" t="e">
        <f t="shared" si="42"/>
        <v>#DIV/0!</v>
      </c>
      <c r="AX15" s="55" t="e">
        <f t="shared" si="43"/>
        <v>#DIV/0!</v>
      </c>
      <c r="AY15" s="55" t="e">
        <f t="shared" si="44"/>
        <v>#DIV/0!</v>
      </c>
      <c r="AZ15" s="53">
        <f t="shared" si="45"/>
        <v>0</v>
      </c>
      <c r="BA15" s="112" t="e">
        <f t="shared" si="46"/>
        <v>#DIV/0!</v>
      </c>
      <c r="BD15" s="53" t="e">
        <f t="shared" si="47"/>
        <v>#DIV/0!</v>
      </c>
      <c r="BE15" s="53">
        <f t="shared" si="48"/>
        <v>0</v>
      </c>
      <c r="BF15" s="53">
        <f t="shared" si="49"/>
        <v>0</v>
      </c>
      <c r="BG15" s="56" t="e">
        <f t="shared" si="50"/>
        <v>#DIV/0!</v>
      </c>
      <c r="BJ15" s="60"/>
      <c r="BK15" s="60"/>
      <c r="BL15" s="60"/>
      <c r="BM15" s="60"/>
      <c r="BN15" s="60"/>
      <c r="BO15" s="60"/>
      <c r="BP15" s="60"/>
      <c r="BQ15" s="60"/>
      <c r="BR15" s="60"/>
      <c r="BS15" s="60"/>
      <c r="BT15" s="60"/>
      <c r="BU15" s="60"/>
      <c r="BV15" s="60"/>
      <c r="BW15" s="60"/>
      <c r="BX15" s="60"/>
      <c r="BY15" s="60"/>
      <c r="BZ15" s="60"/>
      <c r="CA15" s="60"/>
      <c r="CB15" s="60"/>
      <c r="CC15" s="60"/>
      <c r="CD15" s="60"/>
      <c r="CE15" s="60"/>
      <c r="CF15" s="57">
        <f t="shared" si="51"/>
        <v>0</v>
      </c>
      <c r="CG15" s="57">
        <f t="shared" si="52"/>
        <v>0</v>
      </c>
      <c r="CH15" s="53">
        <f t="shared" si="53"/>
        <v>0</v>
      </c>
      <c r="CI15" s="53">
        <f t="shared" si="54"/>
        <v>0</v>
      </c>
      <c r="CJ15" s="58" t="e">
        <f t="shared" si="55"/>
        <v>#DIV/0!</v>
      </c>
      <c r="CK15" s="53">
        <f t="shared" si="56"/>
        <v>0</v>
      </c>
      <c r="CL15" s="53">
        <f t="shared" si="57"/>
        <v>0</v>
      </c>
      <c r="CM15" s="58" t="e">
        <f t="shared" si="58"/>
        <v>#DIV/0!</v>
      </c>
      <c r="CN15" s="48" t="e">
        <f t="shared" si="59"/>
        <v>#DIV/0!</v>
      </c>
      <c r="CO15" s="48" t="e">
        <f t="shared" si="60"/>
        <v>#DIV/0!</v>
      </c>
      <c r="CP15" s="48" t="e">
        <f t="shared" si="61"/>
        <v>#DIV/0!</v>
      </c>
      <c r="CQ15" s="48" t="e">
        <f t="shared" si="62"/>
        <v>#DIV/0!</v>
      </c>
      <c r="CR15" s="48" t="e">
        <f t="shared" si="63"/>
        <v>#DIV/0!</v>
      </c>
      <c r="CS15" s="48" t="e">
        <f t="shared" si="64"/>
        <v>#DIV/0!</v>
      </c>
      <c r="CT15" s="48">
        <f>SUMIF(FCR!$BZ$4:$DB$500,CS15,FCR!$DE$4:$EG$500)</f>
        <v>0</v>
      </c>
      <c r="CU15" s="48" t="e">
        <f t="shared" si="65"/>
        <v>#DIV/0!</v>
      </c>
      <c r="CV15" s="48">
        <f>SUMIF(FCR!$BZ$4:$DB$142,CU15,FCR!$DE$4:$EG$142)</f>
        <v>0</v>
      </c>
      <c r="CW15" s="48" t="e">
        <f t="shared" si="66"/>
        <v>#DIV/0!</v>
      </c>
      <c r="CX15" s="55" t="e">
        <f t="shared" si="67"/>
        <v>#DIV/0!</v>
      </c>
      <c r="CY15" s="48" t="e">
        <f t="shared" si="68"/>
        <v>#DIV/0!</v>
      </c>
      <c r="CZ15" s="48">
        <f>SUMIF(FCR!$BZ$4:$DB$142,CY15,FCR!$DE$4:$EG$142)</f>
        <v>0</v>
      </c>
      <c r="DA15" s="53" t="e">
        <f t="shared" si="69"/>
        <v>#DIV/0!</v>
      </c>
      <c r="DB15" s="55" t="e">
        <f t="shared" si="70"/>
        <v>#DIV/0!</v>
      </c>
      <c r="DC15" s="55" t="e">
        <f t="shared" si="71"/>
        <v>#DIV/0!</v>
      </c>
      <c r="DD15" s="55"/>
      <c r="DE15" s="55" t="e">
        <f t="shared" si="72"/>
        <v>#DIV/0!</v>
      </c>
      <c r="DF15" s="55" t="e">
        <f t="shared" si="73"/>
        <v>#DIV/0!</v>
      </c>
      <c r="DG15" s="53">
        <f t="shared" si="74"/>
        <v>0</v>
      </c>
      <c r="DH15" s="59" t="e">
        <f t="shared" si="75"/>
        <v>#DIV/0!</v>
      </c>
    </row>
    <row r="16" spans="1:112">
      <c r="B16" s="123"/>
      <c r="T16" s="49">
        <f t="shared" si="24"/>
        <v>0</v>
      </c>
      <c r="U16" s="49" t="e">
        <f t="shared" si="25"/>
        <v>#DIV/0!</v>
      </c>
      <c r="V16" s="49">
        <f t="shared" si="26"/>
        <v>0</v>
      </c>
      <c r="W16" s="49">
        <f t="shared" si="27"/>
        <v>0</v>
      </c>
      <c r="X16" s="50" t="e">
        <f t="shared" si="28"/>
        <v>#DIV/0!</v>
      </c>
      <c r="Y16" s="49">
        <f t="shared" si="29"/>
        <v>0</v>
      </c>
      <c r="Z16" s="49" t="e">
        <f t="shared" si="30"/>
        <v>#DIV/0!</v>
      </c>
      <c r="AA16" s="49">
        <f t="shared" si="31"/>
        <v>0</v>
      </c>
      <c r="AB16" s="49">
        <f t="shared" si="32"/>
        <v>0</v>
      </c>
      <c r="AC16" s="49">
        <f t="shared" si="33"/>
        <v>0</v>
      </c>
      <c r="AD16" s="51" t="e">
        <f t="shared" si="34"/>
        <v>#DIV/0!</v>
      </c>
      <c r="AE16" s="51" t="e">
        <f t="shared" si="35"/>
        <v>#DIV/0!</v>
      </c>
      <c r="AF16" s="51" t="e">
        <f t="shared" si="36"/>
        <v>#DIV/0!</v>
      </c>
      <c r="AG16" s="51" t="e">
        <f t="shared" si="37"/>
        <v>#DIV/0!</v>
      </c>
      <c r="AR16" s="49">
        <f t="shared" si="38"/>
        <v>0</v>
      </c>
      <c r="AS16" s="49">
        <f t="shared" si="39"/>
        <v>0</v>
      </c>
      <c r="AT16" s="54" t="e">
        <f t="shared" si="40"/>
        <v>#DIV/0!</v>
      </c>
      <c r="AU16" s="112" t="e">
        <f t="shared" si="41"/>
        <v>#DIV/0!</v>
      </c>
      <c r="AW16" s="55" t="e">
        <f t="shared" si="42"/>
        <v>#DIV/0!</v>
      </c>
      <c r="AX16" s="55" t="e">
        <f t="shared" si="43"/>
        <v>#DIV/0!</v>
      </c>
      <c r="AY16" s="55" t="e">
        <f t="shared" si="44"/>
        <v>#DIV/0!</v>
      </c>
      <c r="AZ16" s="53">
        <f t="shared" si="45"/>
        <v>0</v>
      </c>
      <c r="BA16" s="112" t="e">
        <f t="shared" si="46"/>
        <v>#DIV/0!</v>
      </c>
      <c r="BD16" s="53" t="e">
        <f t="shared" si="47"/>
        <v>#DIV/0!</v>
      </c>
      <c r="BE16" s="53">
        <f t="shared" si="48"/>
        <v>0</v>
      </c>
      <c r="BF16" s="53">
        <f t="shared" si="49"/>
        <v>0</v>
      </c>
      <c r="BG16" s="56" t="e">
        <f t="shared" si="50"/>
        <v>#DIV/0!</v>
      </c>
      <c r="BJ16" s="60"/>
      <c r="BK16" s="60"/>
      <c r="BL16" s="60"/>
      <c r="BM16" s="60"/>
      <c r="BN16" s="60"/>
      <c r="BO16" s="60"/>
      <c r="BP16" s="60"/>
      <c r="BQ16" s="60"/>
      <c r="BR16" s="60"/>
      <c r="BS16" s="60"/>
      <c r="BT16" s="60"/>
      <c r="BU16" s="60"/>
      <c r="BV16" s="60"/>
      <c r="BW16" s="60"/>
      <c r="BX16" s="60"/>
      <c r="BY16" s="60"/>
      <c r="BZ16" s="60"/>
      <c r="CA16" s="60"/>
      <c r="CB16" s="60"/>
      <c r="CC16" s="60"/>
      <c r="CD16" s="60"/>
      <c r="CE16" s="60"/>
      <c r="CF16" s="57">
        <f t="shared" si="51"/>
        <v>0</v>
      </c>
      <c r="CG16" s="57">
        <f t="shared" si="52"/>
        <v>0</v>
      </c>
      <c r="CH16" s="53">
        <f t="shared" si="53"/>
        <v>0</v>
      </c>
      <c r="CI16" s="53">
        <f t="shared" si="54"/>
        <v>0</v>
      </c>
      <c r="CJ16" s="58" t="e">
        <f t="shared" si="55"/>
        <v>#DIV/0!</v>
      </c>
      <c r="CK16" s="53">
        <f t="shared" si="56"/>
        <v>0</v>
      </c>
      <c r="CL16" s="53">
        <f t="shared" si="57"/>
        <v>0</v>
      </c>
      <c r="CM16" s="58" t="e">
        <f t="shared" si="58"/>
        <v>#DIV/0!</v>
      </c>
      <c r="CN16" s="48" t="e">
        <f t="shared" si="59"/>
        <v>#DIV/0!</v>
      </c>
      <c r="CO16" s="48" t="e">
        <f t="shared" si="60"/>
        <v>#DIV/0!</v>
      </c>
      <c r="CP16" s="48" t="e">
        <f t="shared" si="61"/>
        <v>#DIV/0!</v>
      </c>
      <c r="CQ16" s="48" t="e">
        <f t="shared" si="62"/>
        <v>#DIV/0!</v>
      </c>
      <c r="CR16" s="48" t="e">
        <f t="shared" si="63"/>
        <v>#DIV/0!</v>
      </c>
      <c r="CS16" s="48" t="e">
        <f t="shared" si="64"/>
        <v>#DIV/0!</v>
      </c>
      <c r="CT16" s="48">
        <f>SUMIF(FCR!$BZ$4:$DB$500,CS16,FCR!$DE$4:$EG$500)</f>
        <v>0</v>
      </c>
      <c r="CU16" s="48" t="e">
        <f t="shared" si="65"/>
        <v>#DIV/0!</v>
      </c>
      <c r="CV16" s="48">
        <f>SUMIF(FCR!$BZ$4:$DB$142,CU16,FCR!$DE$4:$EG$142)</f>
        <v>0</v>
      </c>
      <c r="CW16" s="48" t="e">
        <f t="shared" si="66"/>
        <v>#DIV/0!</v>
      </c>
      <c r="CX16" s="55" t="e">
        <f t="shared" si="67"/>
        <v>#DIV/0!</v>
      </c>
      <c r="CY16" s="48" t="e">
        <f t="shared" si="68"/>
        <v>#DIV/0!</v>
      </c>
      <c r="CZ16" s="48">
        <f>SUMIF(FCR!$BZ$4:$DB$142,CY16,FCR!$DE$4:$EG$142)</f>
        <v>0</v>
      </c>
      <c r="DA16" s="53" t="e">
        <f t="shared" si="69"/>
        <v>#DIV/0!</v>
      </c>
      <c r="DB16" s="55" t="e">
        <f t="shared" si="70"/>
        <v>#DIV/0!</v>
      </c>
      <c r="DC16" s="55" t="e">
        <f t="shared" si="71"/>
        <v>#DIV/0!</v>
      </c>
      <c r="DD16" s="55"/>
      <c r="DE16" s="55" t="e">
        <f t="shared" si="72"/>
        <v>#DIV/0!</v>
      </c>
      <c r="DF16" s="55" t="e">
        <f t="shared" si="73"/>
        <v>#DIV/0!</v>
      </c>
      <c r="DG16" s="53">
        <f t="shared" si="74"/>
        <v>0</v>
      </c>
      <c r="DH16" s="59" t="e">
        <f t="shared" si="75"/>
        <v>#DIV/0!</v>
      </c>
    </row>
    <row r="17" spans="20:112">
      <c r="T17" s="49">
        <f t="shared" si="24"/>
        <v>0</v>
      </c>
      <c r="U17" s="49" t="e">
        <f t="shared" si="25"/>
        <v>#DIV/0!</v>
      </c>
      <c r="V17" s="49">
        <f t="shared" si="26"/>
        <v>0</v>
      </c>
      <c r="W17" s="49">
        <f t="shared" si="27"/>
        <v>0</v>
      </c>
      <c r="X17" s="50" t="e">
        <f t="shared" si="28"/>
        <v>#DIV/0!</v>
      </c>
      <c r="Y17" s="49">
        <f t="shared" si="29"/>
        <v>0</v>
      </c>
      <c r="Z17" s="49" t="e">
        <f t="shared" si="30"/>
        <v>#DIV/0!</v>
      </c>
      <c r="AA17" s="49">
        <f t="shared" si="31"/>
        <v>0</v>
      </c>
      <c r="AB17" s="49">
        <f t="shared" si="32"/>
        <v>0</v>
      </c>
      <c r="AC17" s="49">
        <f t="shared" si="33"/>
        <v>0</v>
      </c>
      <c r="AD17" s="51" t="e">
        <f t="shared" si="34"/>
        <v>#DIV/0!</v>
      </c>
      <c r="AE17" s="51" t="e">
        <f t="shared" si="35"/>
        <v>#DIV/0!</v>
      </c>
      <c r="AF17" s="51" t="e">
        <f t="shared" si="36"/>
        <v>#DIV/0!</v>
      </c>
      <c r="AG17" s="51" t="e">
        <f t="shared" si="37"/>
        <v>#DIV/0!</v>
      </c>
      <c r="AR17" s="49">
        <f t="shared" si="38"/>
        <v>0</v>
      </c>
      <c r="AS17" s="49">
        <f t="shared" si="39"/>
        <v>0</v>
      </c>
      <c r="AT17" s="54" t="e">
        <f t="shared" si="40"/>
        <v>#DIV/0!</v>
      </c>
      <c r="AU17" s="112" t="e">
        <f t="shared" si="41"/>
        <v>#DIV/0!</v>
      </c>
      <c r="AW17" s="55" t="e">
        <f t="shared" si="42"/>
        <v>#DIV/0!</v>
      </c>
      <c r="AX17" s="55" t="e">
        <f t="shared" si="43"/>
        <v>#DIV/0!</v>
      </c>
      <c r="AY17" s="55" t="e">
        <f t="shared" si="44"/>
        <v>#DIV/0!</v>
      </c>
      <c r="AZ17" s="53">
        <f t="shared" si="45"/>
        <v>0</v>
      </c>
      <c r="BA17" s="112" t="e">
        <f t="shared" si="46"/>
        <v>#DIV/0!</v>
      </c>
      <c r="BD17" s="53" t="e">
        <f t="shared" si="47"/>
        <v>#DIV/0!</v>
      </c>
      <c r="BE17" s="53">
        <f t="shared" si="48"/>
        <v>0</v>
      </c>
      <c r="BF17" s="53">
        <f t="shared" si="49"/>
        <v>0</v>
      </c>
      <c r="BG17" s="56" t="e">
        <f t="shared" si="50"/>
        <v>#DIV/0!</v>
      </c>
      <c r="BJ17" s="60"/>
      <c r="BK17" s="60"/>
      <c r="BL17" s="60"/>
      <c r="BM17" s="60"/>
      <c r="BN17" s="60"/>
      <c r="BO17" s="60"/>
      <c r="BP17" s="60"/>
      <c r="BQ17" s="60"/>
      <c r="BR17" s="60"/>
      <c r="BS17" s="60"/>
      <c r="BT17" s="60"/>
      <c r="BU17" s="60"/>
      <c r="BV17" s="60"/>
      <c r="BW17" s="60"/>
      <c r="BX17" s="60"/>
      <c r="BY17" s="60"/>
      <c r="BZ17" s="60"/>
      <c r="CA17" s="60"/>
      <c r="CB17" s="60"/>
      <c r="CC17" s="60"/>
      <c r="CD17" s="60"/>
      <c r="CE17" s="60"/>
      <c r="CF17" s="57">
        <f t="shared" si="51"/>
        <v>0</v>
      </c>
      <c r="CG17" s="57">
        <f t="shared" si="52"/>
        <v>0</v>
      </c>
      <c r="CH17" s="53">
        <f t="shared" si="53"/>
        <v>0</v>
      </c>
      <c r="CI17" s="53">
        <f t="shared" si="54"/>
        <v>0</v>
      </c>
      <c r="CJ17" s="58" t="e">
        <f t="shared" si="55"/>
        <v>#DIV/0!</v>
      </c>
      <c r="CK17" s="53">
        <f t="shared" si="56"/>
        <v>0</v>
      </c>
      <c r="CL17" s="53">
        <f t="shared" si="57"/>
        <v>0</v>
      </c>
      <c r="CM17" s="58" t="e">
        <f t="shared" si="58"/>
        <v>#DIV/0!</v>
      </c>
      <c r="CN17" s="48" t="e">
        <f t="shared" si="59"/>
        <v>#DIV/0!</v>
      </c>
      <c r="CO17" s="48" t="e">
        <f t="shared" si="60"/>
        <v>#DIV/0!</v>
      </c>
      <c r="CP17" s="48" t="e">
        <f t="shared" si="61"/>
        <v>#DIV/0!</v>
      </c>
      <c r="CQ17" s="48" t="e">
        <f t="shared" si="62"/>
        <v>#DIV/0!</v>
      </c>
      <c r="CR17" s="48" t="e">
        <f t="shared" si="63"/>
        <v>#DIV/0!</v>
      </c>
      <c r="CS17" s="48" t="e">
        <f t="shared" si="64"/>
        <v>#DIV/0!</v>
      </c>
      <c r="CT17" s="48">
        <f>SUMIF(FCR!$BZ$4:$DB$500,CS17,FCR!$DE$4:$EG$500)</f>
        <v>0</v>
      </c>
      <c r="CU17" s="48" t="e">
        <f t="shared" si="65"/>
        <v>#DIV/0!</v>
      </c>
      <c r="CV17" s="48">
        <f>SUMIF(FCR!$BZ$4:$DB$142,CU17,FCR!$DE$4:$EG$142)</f>
        <v>0</v>
      </c>
      <c r="CW17" s="48" t="e">
        <f t="shared" si="66"/>
        <v>#DIV/0!</v>
      </c>
      <c r="CX17" s="55" t="e">
        <f t="shared" si="67"/>
        <v>#DIV/0!</v>
      </c>
      <c r="CY17" s="48" t="e">
        <f t="shared" si="68"/>
        <v>#DIV/0!</v>
      </c>
      <c r="CZ17" s="48">
        <f>SUMIF(FCR!$BZ$4:$DB$142,CY17,FCR!$DE$4:$EG$142)</f>
        <v>0</v>
      </c>
      <c r="DA17" s="53" t="e">
        <f t="shared" si="69"/>
        <v>#DIV/0!</v>
      </c>
      <c r="DB17" s="55" t="e">
        <f t="shared" si="70"/>
        <v>#DIV/0!</v>
      </c>
      <c r="DC17" s="55" t="e">
        <f t="shared" si="71"/>
        <v>#DIV/0!</v>
      </c>
      <c r="DD17" s="55"/>
      <c r="DE17" s="55" t="e">
        <f t="shared" si="72"/>
        <v>#DIV/0!</v>
      </c>
      <c r="DF17" s="55" t="e">
        <f t="shared" si="73"/>
        <v>#DIV/0!</v>
      </c>
      <c r="DG17" s="53">
        <f t="shared" si="74"/>
        <v>0</v>
      </c>
      <c r="DH17" s="59" t="e">
        <f t="shared" si="75"/>
        <v>#DIV/0!</v>
      </c>
    </row>
    <row r="18" spans="20:112">
      <c r="T18" s="49">
        <f t="shared" si="24"/>
        <v>0</v>
      </c>
      <c r="U18" s="49" t="e">
        <f t="shared" si="25"/>
        <v>#DIV/0!</v>
      </c>
      <c r="V18" s="49">
        <f t="shared" si="26"/>
        <v>0</v>
      </c>
      <c r="W18" s="49">
        <f t="shared" si="27"/>
        <v>0</v>
      </c>
      <c r="X18" s="50" t="e">
        <f t="shared" si="28"/>
        <v>#DIV/0!</v>
      </c>
      <c r="Y18" s="49">
        <f t="shared" si="29"/>
        <v>0</v>
      </c>
      <c r="Z18" s="49" t="e">
        <f t="shared" si="30"/>
        <v>#DIV/0!</v>
      </c>
      <c r="AA18" s="49">
        <f t="shared" si="31"/>
        <v>0</v>
      </c>
      <c r="AB18" s="49">
        <f t="shared" si="32"/>
        <v>0</v>
      </c>
      <c r="AC18" s="49">
        <f t="shared" si="33"/>
        <v>0</v>
      </c>
      <c r="AD18" s="51" t="e">
        <f t="shared" si="34"/>
        <v>#DIV/0!</v>
      </c>
      <c r="AE18" s="51" t="e">
        <f t="shared" si="35"/>
        <v>#DIV/0!</v>
      </c>
      <c r="AF18" s="51" t="e">
        <f t="shared" si="36"/>
        <v>#DIV/0!</v>
      </c>
      <c r="AG18" s="51" t="e">
        <f t="shared" si="37"/>
        <v>#DIV/0!</v>
      </c>
      <c r="AR18" s="49">
        <f t="shared" si="38"/>
        <v>0</v>
      </c>
      <c r="AS18" s="49">
        <f t="shared" si="39"/>
        <v>0</v>
      </c>
      <c r="AT18" s="54" t="e">
        <f t="shared" si="40"/>
        <v>#DIV/0!</v>
      </c>
      <c r="AU18" s="112" t="e">
        <f t="shared" si="41"/>
        <v>#DIV/0!</v>
      </c>
      <c r="AW18" s="55" t="e">
        <f t="shared" si="42"/>
        <v>#DIV/0!</v>
      </c>
      <c r="AX18" s="55" t="e">
        <f t="shared" si="43"/>
        <v>#DIV/0!</v>
      </c>
      <c r="AY18" s="55" t="e">
        <f t="shared" si="44"/>
        <v>#DIV/0!</v>
      </c>
      <c r="AZ18" s="53">
        <f t="shared" si="45"/>
        <v>0</v>
      </c>
      <c r="BA18" s="112" t="e">
        <f t="shared" si="46"/>
        <v>#DIV/0!</v>
      </c>
      <c r="BD18" s="53" t="e">
        <f t="shared" si="47"/>
        <v>#DIV/0!</v>
      </c>
      <c r="BE18" s="53">
        <f t="shared" si="48"/>
        <v>0</v>
      </c>
      <c r="BF18" s="53">
        <f t="shared" si="49"/>
        <v>0</v>
      </c>
      <c r="BG18" s="56" t="e">
        <f t="shared" si="50"/>
        <v>#DIV/0!</v>
      </c>
      <c r="BJ18" s="60"/>
      <c r="BK18" s="60"/>
      <c r="BL18" s="60"/>
      <c r="BM18" s="60"/>
      <c r="BN18" s="60"/>
      <c r="BO18" s="60"/>
      <c r="BP18" s="60"/>
      <c r="BQ18" s="60"/>
      <c r="BR18" s="60"/>
      <c r="BS18" s="60"/>
      <c r="BT18" s="60"/>
      <c r="BU18" s="60"/>
      <c r="BV18" s="60"/>
      <c r="BW18" s="60"/>
      <c r="BX18" s="60"/>
      <c r="BY18" s="60"/>
      <c r="BZ18" s="60"/>
      <c r="CA18" s="60"/>
      <c r="CB18" s="60"/>
      <c r="CC18" s="60"/>
      <c r="CD18" s="60"/>
      <c r="CE18" s="60"/>
      <c r="CF18" s="57">
        <f t="shared" si="51"/>
        <v>0</v>
      </c>
      <c r="CG18" s="57">
        <f t="shared" si="52"/>
        <v>0</v>
      </c>
      <c r="CH18" s="53">
        <f t="shared" si="53"/>
        <v>0</v>
      </c>
      <c r="CI18" s="53">
        <f t="shared" si="54"/>
        <v>0</v>
      </c>
      <c r="CJ18" s="58" t="e">
        <f t="shared" si="55"/>
        <v>#DIV/0!</v>
      </c>
      <c r="CK18" s="53">
        <f t="shared" si="56"/>
        <v>0</v>
      </c>
      <c r="CL18" s="53">
        <f t="shared" si="57"/>
        <v>0</v>
      </c>
      <c r="CM18" s="58" t="e">
        <f t="shared" si="58"/>
        <v>#DIV/0!</v>
      </c>
      <c r="CN18" s="48" t="e">
        <f t="shared" si="59"/>
        <v>#DIV/0!</v>
      </c>
      <c r="CO18" s="48" t="e">
        <f t="shared" si="60"/>
        <v>#DIV/0!</v>
      </c>
      <c r="CP18" s="48" t="e">
        <f t="shared" si="61"/>
        <v>#DIV/0!</v>
      </c>
      <c r="CQ18" s="48" t="e">
        <f t="shared" si="62"/>
        <v>#DIV/0!</v>
      </c>
      <c r="CR18" s="48" t="e">
        <f t="shared" si="63"/>
        <v>#DIV/0!</v>
      </c>
      <c r="CS18" s="48" t="e">
        <f t="shared" si="64"/>
        <v>#DIV/0!</v>
      </c>
      <c r="CT18" s="48">
        <f>SUMIF(FCR!$BZ$4:$DB$500,CS18,FCR!$DE$4:$EG$500)</f>
        <v>0</v>
      </c>
      <c r="CU18" s="48" t="e">
        <f t="shared" si="65"/>
        <v>#DIV/0!</v>
      </c>
      <c r="CV18" s="48">
        <f>SUMIF(FCR!$BZ$4:$DB$142,CU18,FCR!$DE$4:$EG$142)</f>
        <v>0</v>
      </c>
      <c r="CW18" s="48" t="e">
        <f t="shared" si="66"/>
        <v>#DIV/0!</v>
      </c>
      <c r="CX18" s="55" t="e">
        <f t="shared" si="67"/>
        <v>#DIV/0!</v>
      </c>
      <c r="CY18" s="48" t="e">
        <f t="shared" si="68"/>
        <v>#DIV/0!</v>
      </c>
      <c r="CZ18" s="48">
        <f>SUMIF(FCR!$BZ$4:$DB$142,CY18,FCR!$DE$4:$EG$142)</f>
        <v>0</v>
      </c>
      <c r="DA18" s="53" t="e">
        <f t="shared" si="69"/>
        <v>#DIV/0!</v>
      </c>
      <c r="DB18" s="55" t="e">
        <f t="shared" si="70"/>
        <v>#DIV/0!</v>
      </c>
      <c r="DC18" s="55" t="e">
        <f t="shared" si="71"/>
        <v>#DIV/0!</v>
      </c>
      <c r="DD18" s="55"/>
      <c r="DE18" s="55" t="e">
        <f t="shared" si="72"/>
        <v>#DIV/0!</v>
      </c>
      <c r="DF18" s="55" t="e">
        <f t="shared" si="73"/>
        <v>#DIV/0!</v>
      </c>
      <c r="DG18" s="53">
        <f t="shared" si="74"/>
        <v>0</v>
      </c>
      <c r="DH18" s="59" t="e">
        <f t="shared" si="75"/>
        <v>#DIV/0!</v>
      </c>
    </row>
    <row r="19" spans="20:112">
      <c r="T19" s="49">
        <f t="shared" si="24"/>
        <v>0</v>
      </c>
      <c r="U19" s="49" t="e">
        <f t="shared" si="25"/>
        <v>#DIV/0!</v>
      </c>
      <c r="V19" s="49">
        <f t="shared" si="26"/>
        <v>0</v>
      </c>
      <c r="W19" s="49">
        <f t="shared" si="27"/>
        <v>0</v>
      </c>
      <c r="X19" s="50" t="e">
        <f t="shared" si="28"/>
        <v>#DIV/0!</v>
      </c>
      <c r="Y19" s="49">
        <f t="shared" si="29"/>
        <v>0</v>
      </c>
      <c r="Z19" s="49" t="e">
        <f t="shared" si="30"/>
        <v>#DIV/0!</v>
      </c>
      <c r="AA19" s="49">
        <f t="shared" si="31"/>
        <v>0</v>
      </c>
      <c r="AB19" s="49">
        <f t="shared" si="32"/>
        <v>0</v>
      </c>
      <c r="AC19" s="49">
        <f t="shared" si="33"/>
        <v>0</v>
      </c>
      <c r="AD19" s="51" t="e">
        <f t="shared" si="34"/>
        <v>#DIV/0!</v>
      </c>
      <c r="AE19" s="51" t="e">
        <f t="shared" si="35"/>
        <v>#DIV/0!</v>
      </c>
      <c r="AF19" s="51" t="e">
        <f t="shared" si="36"/>
        <v>#DIV/0!</v>
      </c>
      <c r="AG19" s="51" t="e">
        <f t="shared" si="37"/>
        <v>#DIV/0!</v>
      </c>
      <c r="AR19" s="49">
        <f t="shared" si="38"/>
        <v>0</v>
      </c>
      <c r="AS19" s="49">
        <f t="shared" si="39"/>
        <v>0</v>
      </c>
      <c r="AT19" s="54" t="e">
        <f t="shared" si="40"/>
        <v>#DIV/0!</v>
      </c>
      <c r="AU19" s="112" t="e">
        <f t="shared" si="41"/>
        <v>#DIV/0!</v>
      </c>
      <c r="AW19" s="55" t="e">
        <f t="shared" si="42"/>
        <v>#DIV/0!</v>
      </c>
      <c r="AX19" s="55" t="e">
        <f t="shared" si="43"/>
        <v>#DIV/0!</v>
      </c>
      <c r="AY19" s="55" t="e">
        <f t="shared" si="44"/>
        <v>#DIV/0!</v>
      </c>
      <c r="AZ19" s="53">
        <f t="shared" si="45"/>
        <v>0</v>
      </c>
      <c r="BA19" s="112" t="e">
        <f t="shared" si="46"/>
        <v>#DIV/0!</v>
      </c>
      <c r="BD19" s="53" t="e">
        <f t="shared" si="47"/>
        <v>#DIV/0!</v>
      </c>
      <c r="BE19" s="53">
        <f t="shared" si="48"/>
        <v>0</v>
      </c>
      <c r="BF19" s="53">
        <f t="shared" si="49"/>
        <v>0</v>
      </c>
      <c r="BG19" s="56" t="e">
        <f t="shared" si="50"/>
        <v>#DIV/0!</v>
      </c>
      <c r="BJ19" s="60"/>
      <c r="BK19" s="60"/>
      <c r="BL19" s="60"/>
      <c r="BM19" s="60"/>
      <c r="BN19" s="60"/>
      <c r="BO19" s="60"/>
      <c r="BP19" s="60"/>
      <c r="BQ19" s="60"/>
      <c r="BR19" s="60"/>
      <c r="BS19" s="60"/>
      <c r="BT19" s="60"/>
      <c r="BU19" s="60"/>
      <c r="BV19" s="60"/>
      <c r="BW19" s="60"/>
      <c r="BX19" s="60"/>
      <c r="BY19" s="60"/>
      <c r="BZ19" s="60"/>
      <c r="CA19" s="60"/>
      <c r="CB19" s="60"/>
      <c r="CC19" s="60"/>
      <c r="CD19" s="60"/>
      <c r="CE19" s="60"/>
      <c r="CF19" s="57">
        <f t="shared" si="51"/>
        <v>0</v>
      </c>
      <c r="CG19" s="57">
        <f t="shared" si="52"/>
        <v>0</v>
      </c>
      <c r="CH19" s="53">
        <f t="shared" si="53"/>
        <v>0</v>
      </c>
      <c r="CI19" s="53">
        <f t="shared" si="54"/>
        <v>0</v>
      </c>
      <c r="CJ19" s="58" t="e">
        <f t="shared" si="55"/>
        <v>#DIV/0!</v>
      </c>
      <c r="CK19" s="53">
        <f t="shared" si="56"/>
        <v>0</v>
      </c>
      <c r="CL19" s="53">
        <f t="shared" si="57"/>
        <v>0</v>
      </c>
      <c r="CM19" s="58" t="e">
        <f t="shared" si="58"/>
        <v>#DIV/0!</v>
      </c>
      <c r="CN19" s="48" t="e">
        <f t="shared" si="59"/>
        <v>#DIV/0!</v>
      </c>
      <c r="CO19" s="48" t="e">
        <f t="shared" si="60"/>
        <v>#DIV/0!</v>
      </c>
      <c r="CP19" s="48" t="e">
        <f t="shared" si="61"/>
        <v>#DIV/0!</v>
      </c>
      <c r="CQ19" s="48" t="e">
        <f t="shared" si="62"/>
        <v>#DIV/0!</v>
      </c>
      <c r="CR19" s="48" t="e">
        <f t="shared" si="63"/>
        <v>#DIV/0!</v>
      </c>
      <c r="CS19" s="48" t="e">
        <f t="shared" si="64"/>
        <v>#DIV/0!</v>
      </c>
      <c r="CT19" s="48">
        <f>SUMIF(FCR!$BZ$4:$DB$500,CS19,FCR!$DE$4:$EG$500)</f>
        <v>0</v>
      </c>
      <c r="CU19" s="48" t="e">
        <f t="shared" si="65"/>
        <v>#DIV/0!</v>
      </c>
      <c r="CV19" s="48">
        <f>SUMIF(FCR!$BZ$4:$DB$142,CU19,FCR!$DE$4:$EG$142)</f>
        <v>0</v>
      </c>
      <c r="CW19" s="48" t="e">
        <f t="shared" si="66"/>
        <v>#DIV/0!</v>
      </c>
      <c r="CX19" s="55" t="e">
        <f t="shared" si="67"/>
        <v>#DIV/0!</v>
      </c>
      <c r="CY19" s="48" t="e">
        <f t="shared" si="68"/>
        <v>#DIV/0!</v>
      </c>
      <c r="CZ19" s="48">
        <f>SUMIF(FCR!$BZ$4:$DB$142,CY19,FCR!$DE$4:$EG$142)</f>
        <v>0</v>
      </c>
      <c r="DA19" s="53" t="e">
        <f t="shared" si="69"/>
        <v>#DIV/0!</v>
      </c>
      <c r="DB19" s="55" t="e">
        <f t="shared" si="70"/>
        <v>#DIV/0!</v>
      </c>
      <c r="DC19" s="55" t="e">
        <f t="shared" si="71"/>
        <v>#DIV/0!</v>
      </c>
      <c r="DD19" s="55"/>
      <c r="DE19" s="55" t="e">
        <f t="shared" si="72"/>
        <v>#DIV/0!</v>
      </c>
      <c r="DF19" s="55" t="e">
        <f t="shared" si="73"/>
        <v>#DIV/0!</v>
      </c>
      <c r="DG19" s="53">
        <f t="shared" si="74"/>
        <v>0</v>
      </c>
      <c r="DH19" s="59" t="e">
        <f t="shared" si="75"/>
        <v>#DIV/0!</v>
      </c>
    </row>
    <row r="20" spans="20:112">
      <c r="T20" s="49">
        <f t="shared" si="24"/>
        <v>0</v>
      </c>
      <c r="U20" s="49" t="e">
        <f t="shared" si="25"/>
        <v>#DIV/0!</v>
      </c>
      <c r="V20" s="49">
        <f t="shared" si="26"/>
        <v>0</v>
      </c>
      <c r="W20" s="49">
        <f t="shared" si="27"/>
        <v>0</v>
      </c>
      <c r="X20" s="50" t="e">
        <f t="shared" si="28"/>
        <v>#DIV/0!</v>
      </c>
      <c r="Y20" s="49">
        <f t="shared" si="29"/>
        <v>0</v>
      </c>
      <c r="Z20" s="49" t="e">
        <f t="shared" si="30"/>
        <v>#DIV/0!</v>
      </c>
      <c r="AA20" s="49">
        <f t="shared" si="31"/>
        <v>0</v>
      </c>
      <c r="AB20" s="49">
        <f t="shared" si="32"/>
        <v>0</v>
      </c>
      <c r="AC20" s="49">
        <f t="shared" si="33"/>
        <v>0</v>
      </c>
      <c r="AD20" s="51" t="e">
        <f t="shared" si="34"/>
        <v>#DIV/0!</v>
      </c>
      <c r="AE20" s="51" t="e">
        <f t="shared" si="35"/>
        <v>#DIV/0!</v>
      </c>
      <c r="AF20" s="51" t="e">
        <f t="shared" si="36"/>
        <v>#DIV/0!</v>
      </c>
      <c r="AG20" s="51" t="e">
        <f t="shared" si="37"/>
        <v>#DIV/0!</v>
      </c>
      <c r="AR20" s="49">
        <f t="shared" si="38"/>
        <v>0</v>
      </c>
      <c r="AS20" s="49">
        <f t="shared" si="39"/>
        <v>0</v>
      </c>
      <c r="AT20" s="54" t="e">
        <f t="shared" si="40"/>
        <v>#DIV/0!</v>
      </c>
      <c r="AU20" s="112" t="e">
        <f t="shared" si="41"/>
        <v>#DIV/0!</v>
      </c>
      <c r="AW20" s="55" t="e">
        <f t="shared" si="42"/>
        <v>#DIV/0!</v>
      </c>
      <c r="AX20" s="55" t="e">
        <f t="shared" si="43"/>
        <v>#DIV/0!</v>
      </c>
      <c r="AY20" s="55" t="e">
        <f t="shared" si="44"/>
        <v>#DIV/0!</v>
      </c>
      <c r="AZ20" s="53">
        <f t="shared" si="45"/>
        <v>0</v>
      </c>
      <c r="BA20" s="112" t="e">
        <f t="shared" si="46"/>
        <v>#DIV/0!</v>
      </c>
      <c r="BD20" s="53" t="e">
        <f t="shared" si="47"/>
        <v>#DIV/0!</v>
      </c>
      <c r="BE20" s="53">
        <f t="shared" si="48"/>
        <v>0</v>
      </c>
      <c r="BF20" s="53">
        <f t="shared" si="49"/>
        <v>0</v>
      </c>
      <c r="BG20" s="56" t="e">
        <f t="shared" si="50"/>
        <v>#DIV/0!</v>
      </c>
      <c r="BJ20" s="60"/>
      <c r="BK20" s="60"/>
      <c r="BL20" s="60"/>
      <c r="BM20" s="60"/>
      <c r="BN20" s="60"/>
      <c r="BO20" s="60"/>
      <c r="BP20" s="60"/>
      <c r="BQ20" s="60"/>
      <c r="BR20" s="60"/>
      <c r="BS20" s="60"/>
      <c r="BT20" s="60"/>
      <c r="BU20" s="60"/>
      <c r="BV20" s="60"/>
      <c r="BW20" s="60"/>
      <c r="BX20" s="60"/>
      <c r="BY20" s="60"/>
      <c r="BZ20" s="60"/>
      <c r="CA20" s="60"/>
      <c r="CB20" s="60"/>
      <c r="CC20" s="60"/>
      <c r="CD20" s="60"/>
      <c r="CE20" s="60"/>
      <c r="CF20" s="57">
        <f t="shared" si="51"/>
        <v>0</v>
      </c>
      <c r="CG20" s="57">
        <f t="shared" si="52"/>
        <v>0</v>
      </c>
      <c r="CH20" s="53">
        <f t="shared" si="53"/>
        <v>0</v>
      </c>
      <c r="CI20" s="53">
        <f t="shared" si="54"/>
        <v>0</v>
      </c>
      <c r="CJ20" s="58" t="e">
        <f t="shared" si="55"/>
        <v>#DIV/0!</v>
      </c>
      <c r="CK20" s="53">
        <f t="shared" si="56"/>
        <v>0</v>
      </c>
      <c r="CL20" s="53">
        <f t="shared" si="57"/>
        <v>0</v>
      </c>
      <c r="CM20" s="58" t="e">
        <f t="shared" si="58"/>
        <v>#DIV/0!</v>
      </c>
      <c r="CN20" s="48" t="e">
        <f t="shared" si="59"/>
        <v>#DIV/0!</v>
      </c>
      <c r="CO20" s="48" t="e">
        <f t="shared" si="60"/>
        <v>#DIV/0!</v>
      </c>
      <c r="CP20" s="48" t="e">
        <f t="shared" si="61"/>
        <v>#DIV/0!</v>
      </c>
      <c r="CQ20" s="48" t="e">
        <f t="shared" si="62"/>
        <v>#DIV/0!</v>
      </c>
      <c r="CR20" s="48" t="e">
        <f t="shared" si="63"/>
        <v>#DIV/0!</v>
      </c>
      <c r="CS20" s="48" t="e">
        <f t="shared" si="64"/>
        <v>#DIV/0!</v>
      </c>
      <c r="CT20" s="48">
        <f>SUMIF(FCR!$BZ$4:$DB$500,CS20,FCR!$DE$4:$EG$500)</f>
        <v>0</v>
      </c>
      <c r="CU20" s="48" t="e">
        <f t="shared" si="65"/>
        <v>#DIV/0!</v>
      </c>
      <c r="CV20" s="48">
        <f>SUMIF(FCR!$BZ$4:$DB$142,CU20,FCR!$DE$4:$EG$142)</f>
        <v>0</v>
      </c>
      <c r="CW20" s="48" t="e">
        <f t="shared" si="66"/>
        <v>#DIV/0!</v>
      </c>
      <c r="CX20" s="55" t="e">
        <f t="shared" si="67"/>
        <v>#DIV/0!</v>
      </c>
      <c r="CY20" s="48" t="e">
        <f t="shared" si="68"/>
        <v>#DIV/0!</v>
      </c>
      <c r="CZ20" s="48">
        <f>SUMIF(FCR!$BZ$4:$DB$142,CY20,FCR!$DE$4:$EG$142)</f>
        <v>0</v>
      </c>
      <c r="DA20" s="53" t="e">
        <f t="shared" si="69"/>
        <v>#DIV/0!</v>
      </c>
      <c r="DB20" s="55" t="e">
        <f t="shared" si="70"/>
        <v>#DIV/0!</v>
      </c>
      <c r="DC20" s="55" t="e">
        <f t="shared" si="71"/>
        <v>#DIV/0!</v>
      </c>
      <c r="DD20" s="55"/>
      <c r="DE20" s="55" t="e">
        <f t="shared" si="72"/>
        <v>#DIV/0!</v>
      </c>
      <c r="DF20" s="55" t="e">
        <f t="shared" si="73"/>
        <v>#DIV/0!</v>
      </c>
      <c r="DG20" s="53">
        <f t="shared" si="74"/>
        <v>0</v>
      </c>
      <c r="DH20" s="59" t="e">
        <f t="shared" si="75"/>
        <v>#DIV/0!</v>
      </c>
    </row>
    <row r="21" spans="20:112">
      <c r="T21" s="49">
        <f t="shared" si="24"/>
        <v>0</v>
      </c>
      <c r="U21" s="49" t="e">
        <f t="shared" si="25"/>
        <v>#DIV/0!</v>
      </c>
      <c r="V21" s="49">
        <f t="shared" si="26"/>
        <v>0</v>
      </c>
      <c r="W21" s="49">
        <f t="shared" si="27"/>
        <v>0</v>
      </c>
      <c r="X21" s="50" t="e">
        <f t="shared" si="28"/>
        <v>#DIV/0!</v>
      </c>
      <c r="Y21" s="49">
        <f t="shared" si="29"/>
        <v>0</v>
      </c>
      <c r="Z21" s="49" t="e">
        <f t="shared" si="30"/>
        <v>#DIV/0!</v>
      </c>
      <c r="AA21" s="49">
        <f t="shared" si="31"/>
        <v>0</v>
      </c>
      <c r="AB21" s="49">
        <f t="shared" si="32"/>
        <v>0</v>
      </c>
      <c r="AC21" s="49">
        <f t="shared" si="33"/>
        <v>0</v>
      </c>
      <c r="AD21" s="51" t="e">
        <f t="shared" si="34"/>
        <v>#DIV/0!</v>
      </c>
      <c r="AE21" s="51" t="e">
        <f t="shared" si="35"/>
        <v>#DIV/0!</v>
      </c>
      <c r="AF21" s="51" t="e">
        <f t="shared" si="36"/>
        <v>#DIV/0!</v>
      </c>
      <c r="AG21" s="51" t="e">
        <f t="shared" si="37"/>
        <v>#DIV/0!</v>
      </c>
      <c r="AR21" s="49">
        <f t="shared" si="38"/>
        <v>0</v>
      </c>
      <c r="AS21" s="49">
        <f t="shared" si="39"/>
        <v>0</v>
      </c>
      <c r="AT21" s="54" t="e">
        <f t="shared" si="40"/>
        <v>#DIV/0!</v>
      </c>
      <c r="AU21" s="112" t="e">
        <f t="shared" si="41"/>
        <v>#DIV/0!</v>
      </c>
      <c r="AW21" s="55" t="e">
        <f t="shared" si="42"/>
        <v>#DIV/0!</v>
      </c>
      <c r="AX21" s="55" t="e">
        <f t="shared" si="43"/>
        <v>#DIV/0!</v>
      </c>
      <c r="AY21" s="55" t="e">
        <f t="shared" si="44"/>
        <v>#DIV/0!</v>
      </c>
      <c r="AZ21" s="53">
        <f t="shared" si="45"/>
        <v>0</v>
      </c>
      <c r="BA21" s="112" t="e">
        <f t="shared" si="46"/>
        <v>#DIV/0!</v>
      </c>
      <c r="BD21" s="53" t="e">
        <f t="shared" si="47"/>
        <v>#DIV/0!</v>
      </c>
      <c r="BE21" s="53">
        <f t="shared" si="48"/>
        <v>0</v>
      </c>
      <c r="BF21" s="53">
        <f t="shared" si="49"/>
        <v>0</v>
      </c>
      <c r="BG21" s="56" t="e">
        <f t="shared" si="50"/>
        <v>#DIV/0!</v>
      </c>
      <c r="BJ21" s="60"/>
      <c r="BK21" s="60"/>
      <c r="BL21" s="60"/>
      <c r="BM21" s="60"/>
      <c r="BN21" s="60"/>
      <c r="BO21" s="60"/>
      <c r="BP21" s="60"/>
      <c r="BQ21" s="60"/>
      <c r="BR21" s="60"/>
      <c r="BS21" s="60"/>
      <c r="BT21" s="60"/>
      <c r="BU21" s="60"/>
      <c r="BV21" s="60"/>
      <c r="BW21" s="60"/>
      <c r="BX21" s="60"/>
      <c r="BY21" s="60"/>
      <c r="BZ21" s="60"/>
      <c r="CA21" s="60"/>
      <c r="CB21" s="60"/>
      <c r="CC21" s="60"/>
      <c r="CD21" s="60"/>
      <c r="CE21" s="60"/>
      <c r="CF21" s="57">
        <f t="shared" si="51"/>
        <v>0</v>
      </c>
      <c r="CG21" s="57">
        <f t="shared" si="52"/>
        <v>0</v>
      </c>
      <c r="CH21" s="53">
        <f t="shared" si="53"/>
        <v>0</v>
      </c>
      <c r="CI21" s="53">
        <f t="shared" si="54"/>
        <v>0</v>
      </c>
      <c r="CJ21" s="58" t="e">
        <f t="shared" si="55"/>
        <v>#DIV/0!</v>
      </c>
      <c r="CK21" s="53">
        <f t="shared" si="56"/>
        <v>0</v>
      </c>
      <c r="CL21" s="53">
        <f t="shared" si="57"/>
        <v>0</v>
      </c>
      <c r="CM21" s="58" t="e">
        <f t="shared" si="58"/>
        <v>#DIV/0!</v>
      </c>
      <c r="CN21" s="48" t="e">
        <f t="shared" si="59"/>
        <v>#DIV/0!</v>
      </c>
      <c r="CO21" s="48" t="e">
        <f t="shared" si="60"/>
        <v>#DIV/0!</v>
      </c>
      <c r="CP21" s="48" t="e">
        <f t="shared" si="61"/>
        <v>#DIV/0!</v>
      </c>
      <c r="CQ21" s="48" t="e">
        <f t="shared" si="62"/>
        <v>#DIV/0!</v>
      </c>
      <c r="CR21" s="48" t="e">
        <f t="shared" si="63"/>
        <v>#DIV/0!</v>
      </c>
      <c r="CS21" s="48" t="e">
        <f t="shared" si="64"/>
        <v>#DIV/0!</v>
      </c>
      <c r="CT21" s="48">
        <f>SUMIF(FCR!$BZ$4:$DB$500,CS21,FCR!$DE$4:$EG$500)</f>
        <v>0</v>
      </c>
      <c r="CU21" s="48" t="e">
        <f t="shared" si="65"/>
        <v>#DIV/0!</v>
      </c>
      <c r="CV21" s="48">
        <f>SUMIF(FCR!$BZ$4:$DB$142,CU21,FCR!$DE$4:$EG$142)</f>
        <v>0</v>
      </c>
      <c r="CW21" s="48" t="e">
        <f t="shared" si="66"/>
        <v>#DIV/0!</v>
      </c>
      <c r="CX21" s="55" t="e">
        <f t="shared" si="67"/>
        <v>#DIV/0!</v>
      </c>
      <c r="CY21" s="48" t="e">
        <f t="shared" si="68"/>
        <v>#DIV/0!</v>
      </c>
      <c r="CZ21" s="48">
        <f>SUMIF(FCR!$BZ$4:$DB$142,CY21,FCR!$DE$4:$EG$142)</f>
        <v>0</v>
      </c>
      <c r="DA21" s="53" t="e">
        <f t="shared" si="69"/>
        <v>#DIV/0!</v>
      </c>
      <c r="DB21" s="55" t="e">
        <f t="shared" si="70"/>
        <v>#DIV/0!</v>
      </c>
      <c r="DC21" s="55" t="e">
        <f t="shared" si="71"/>
        <v>#DIV/0!</v>
      </c>
      <c r="DD21" s="55"/>
      <c r="DE21" s="55" t="e">
        <f t="shared" si="72"/>
        <v>#DIV/0!</v>
      </c>
      <c r="DF21" s="55" t="e">
        <f t="shared" si="73"/>
        <v>#DIV/0!</v>
      </c>
      <c r="DG21" s="53">
        <f t="shared" si="74"/>
        <v>0</v>
      </c>
      <c r="DH21" s="59" t="e">
        <f t="shared" si="75"/>
        <v>#DIV/0!</v>
      </c>
    </row>
  </sheetData>
  <mergeCells count="31">
    <mergeCell ref="BE1:BE2"/>
    <mergeCell ref="BI1:BI2"/>
    <mergeCell ref="BH1:BH2"/>
    <mergeCell ref="A1:A2"/>
    <mergeCell ref="B1:B2"/>
    <mergeCell ref="C1:C2"/>
    <mergeCell ref="AR1:AV1"/>
    <mergeCell ref="AW1:BB1"/>
    <mergeCell ref="BC1:BC2"/>
    <mergeCell ref="BD1:BD2"/>
    <mergeCell ref="K2:K3"/>
    <mergeCell ref="L2:L3"/>
    <mergeCell ref="M2:M3"/>
    <mergeCell ref="N2:N3"/>
    <mergeCell ref="D1:D2"/>
    <mergeCell ref="BG1:BG2"/>
    <mergeCell ref="BF1:BF2"/>
    <mergeCell ref="CF2:CG2"/>
    <mergeCell ref="BJ1:CG1"/>
    <mergeCell ref="CP1:CR1"/>
    <mergeCell ref="BJ2:BK2"/>
    <mergeCell ref="BL2:BM2"/>
    <mergeCell ref="BN2:BO2"/>
    <mergeCell ref="BP2:BQ2"/>
    <mergeCell ref="BR2:BS2"/>
    <mergeCell ref="BT2:BU2"/>
    <mergeCell ref="BV2:BW2"/>
    <mergeCell ref="BX2:BY2"/>
    <mergeCell ref="BZ2:CA2"/>
    <mergeCell ref="CB2:CC2"/>
    <mergeCell ref="CD2:CE2"/>
  </mergeCells>
  <pageMargins left="0" right="0.05" top="0" bottom="0" header="0.31496062992126" footer="0.31496062992126"/>
  <pageSetup paperSize="9" scale="80" orientation="landscape" r:id="rId1"/>
  <headerFooter alignWithMargins="0">
    <oddFooter>Page 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6"/>
  <dimension ref="A1:EL197"/>
  <sheetViews>
    <sheetView zoomScaleNormal="100" workbookViewId="0">
      <pane xSplit="1" ySplit="3" topLeftCell="B4" activePane="bottomRight" state="frozen"/>
      <selection activeCell="AJ1" sqref="AJ1:AK1048576"/>
      <selection pane="topRight" activeCell="AJ1" sqref="AJ1:AK1048576"/>
      <selection pane="bottomLeft" activeCell="AJ1" sqref="AJ1:AK1048576"/>
      <selection pane="bottomRight" activeCell="AJ1" sqref="AJ1:AK1048576"/>
    </sheetView>
  </sheetViews>
  <sheetFormatPr defaultRowHeight="12.75"/>
  <cols>
    <col min="1" max="1" width="10.42578125" style="63" customWidth="1"/>
    <col min="2" max="45" width="6.28515625" style="63" customWidth="1"/>
    <col min="46" max="76" width="9.28515625" style="63" customWidth="1"/>
    <col min="77" max="77" width="9.140625" style="63"/>
    <col min="78" max="106" width="12.5703125" style="63" customWidth="1"/>
    <col min="107" max="140" width="9.140625" style="63"/>
    <col min="141" max="141" width="14.28515625" style="63" customWidth="1"/>
    <col min="142" max="145" width="9.140625" style="63"/>
    <col min="146" max="146" width="14.42578125" style="63" customWidth="1"/>
    <col min="147" max="16384" width="9.140625" style="63"/>
  </cols>
  <sheetData>
    <row r="1" spans="1:142" ht="16.5" customHeight="1">
      <c r="A1" s="61" t="s">
        <v>102</v>
      </c>
      <c r="B1" s="62"/>
      <c r="C1" s="62"/>
      <c r="D1" s="62"/>
      <c r="E1" s="62"/>
      <c r="F1" s="62"/>
      <c r="G1" s="62"/>
      <c r="H1" s="62"/>
      <c r="I1" s="62"/>
      <c r="J1" s="62">
        <f>2.41+2.419</f>
        <v>4.8290000000000006</v>
      </c>
      <c r="K1" s="62">
        <f>+J1/2</f>
        <v>2.4145000000000003</v>
      </c>
      <c r="L1" s="62">
        <f>+K1*69</f>
        <v>166.60050000000001</v>
      </c>
      <c r="M1" s="62"/>
      <c r="N1" s="62"/>
      <c r="O1" s="62"/>
      <c r="P1" s="62"/>
      <c r="Q1" s="62"/>
      <c r="R1" s="62"/>
      <c r="S1" s="62"/>
      <c r="T1" s="62"/>
      <c r="U1" s="62"/>
      <c r="V1" s="62"/>
      <c r="W1" s="62"/>
      <c r="X1" s="62"/>
      <c r="Y1" s="62"/>
      <c r="Z1" s="62"/>
      <c r="AA1" s="62"/>
      <c r="AB1" s="62"/>
      <c r="AD1" s="64" t="s">
        <v>103</v>
      </c>
      <c r="AE1" s="64"/>
      <c r="AF1" s="64"/>
      <c r="AG1" s="64"/>
      <c r="AH1" s="64"/>
      <c r="AI1" s="64"/>
      <c r="AJ1" s="64"/>
      <c r="AK1" s="64"/>
      <c r="AL1" s="64"/>
      <c r="AM1" s="64"/>
      <c r="AN1" s="64"/>
      <c r="AO1" s="64"/>
      <c r="AP1" s="64"/>
      <c r="AQ1" s="64"/>
      <c r="AR1" s="64"/>
      <c r="AS1" s="64"/>
    </row>
    <row r="2" spans="1:142" ht="16.5" customHeight="1">
      <c r="A2" s="153" t="s">
        <v>104</v>
      </c>
      <c r="B2" s="153"/>
      <c r="C2" s="153"/>
      <c r="D2" s="153"/>
      <c r="E2" s="153"/>
      <c r="F2" s="153"/>
      <c r="G2" s="153"/>
      <c r="H2" s="153"/>
      <c r="I2" s="153"/>
      <c r="J2" s="153"/>
      <c r="K2" s="153"/>
      <c r="L2" s="153"/>
      <c r="M2" s="153"/>
      <c r="N2" s="65"/>
      <c r="O2" s="65"/>
      <c r="P2" s="65"/>
      <c r="Q2" s="65"/>
      <c r="R2" s="65"/>
      <c r="S2" s="65"/>
      <c r="T2" s="65"/>
      <c r="U2" s="65"/>
      <c r="V2" s="65"/>
      <c r="W2" s="65"/>
      <c r="X2" s="65"/>
      <c r="Y2" s="65"/>
      <c r="Z2" s="65"/>
      <c r="AA2" s="65"/>
      <c r="AB2" s="65"/>
      <c r="AC2" s="65"/>
      <c r="AD2" s="65"/>
      <c r="AE2" s="66"/>
      <c r="AF2" s="66"/>
      <c r="AG2" s="66"/>
      <c r="AH2" s="66"/>
      <c r="AI2" s="66"/>
      <c r="AJ2" s="66"/>
      <c r="AK2" s="66"/>
      <c r="AL2" s="66"/>
      <c r="AM2" s="66"/>
      <c r="AN2" s="66"/>
      <c r="AO2" s="66"/>
      <c r="AP2" s="66"/>
      <c r="AQ2" s="66"/>
      <c r="AR2" s="66"/>
      <c r="AS2" s="66"/>
      <c r="BZ2" s="154" t="s">
        <v>105</v>
      </c>
      <c r="CA2" s="154"/>
      <c r="CB2" s="154"/>
      <c r="CC2" s="154"/>
      <c r="CD2" s="154"/>
      <c r="CE2" s="154"/>
      <c r="CF2" s="154"/>
      <c r="CG2" s="154"/>
      <c r="CH2" s="154"/>
      <c r="CI2" s="154"/>
      <c r="CJ2" s="154"/>
      <c r="CK2" s="154"/>
      <c r="CL2" s="154"/>
      <c r="CM2" s="154"/>
      <c r="CN2" s="154"/>
      <c r="CO2" s="154"/>
      <c r="CP2" s="154"/>
      <c r="CQ2" s="154"/>
      <c r="CR2" s="154"/>
      <c r="CS2" s="154"/>
      <c r="CT2" s="154"/>
      <c r="CU2" s="154"/>
      <c r="CV2" s="154"/>
      <c r="CW2" s="154"/>
      <c r="CX2" s="154"/>
      <c r="CY2" s="154"/>
      <c r="CZ2" s="154"/>
      <c r="DA2" s="154"/>
      <c r="DB2" s="154"/>
    </row>
    <row r="3" spans="1:142" ht="12.6" customHeight="1">
      <c r="A3" s="67"/>
      <c r="B3" s="68">
        <v>4</v>
      </c>
      <c r="C3" s="68">
        <v>5</v>
      </c>
      <c r="D3" s="68">
        <v>6</v>
      </c>
      <c r="E3" s="68">
        <v>7</v>
      </c>
      <c r="F3" s="68">
        <v>8</v>
      </c>
      <c r="G3" s="68">
        <v>9</v>
      </c>
      <c r="H3" s="68">
        <v>10</v>
      </c>
      <c r="I3" s="68">
        <v>11</v>
      </c>
      <c r="J3" s="68">
        <v>12</v>
      </c>
      <c r="K3" s="68">
        <v>13</v>
      </c>
      <c r="L3" s="68">
        <v>14</v>
      </c>
      <c r="M3" s="68">
        <v>15</v>
      </c>
      <c r="N3" s="68">
        <v>16</v>
      </c>
      <c r="O3" s="68">
        <v>17</v>
      </c>
      <c r="P3" s="68">
        <v>18</v>
      </c>
      <c r="Q3" s="68">
        <v>19</v>
      </c>
      <c r="R3" s="68">
        <v>20</v>
      </c>
      <c r="S3" s="68">
        <v>21</v>
      </c>
      <c r="T3" s="68">
        <v>22</v>
      </c>
      <c r="U3" s="68">
        <v>23</v>
      </c>
      <c r="V3" s="68">
        <v>24</v>
      </c>
      <c r="W3" s="68">
        <v>25</v>
      </c>
      <c r="X3" s="68">
        <v>26</v>
      </c>
      <c r="Y3" s="68">
        <v>27</v>
      </c>
      <c r="Z3" s="68">
        <v>28</v>
      </c>
      <c r="AA3" s="68">
        <v>29</v>
      </c>
      <c r="AB3" s="68">
        <v>30</v>
      </c>
      <c r="AC3" s="68">
        <v>31</v>
      </c>
      <c r="AD3" s="69">
        <v>32</v>
      </c>
      <c r="AE3" s="70">
        <f>+AD3+1</f>
        <v>33</v>
      </c>
      <c r="AF3" s="70">
        <f t="shared" ref="AF3:BV3" si="0">+AE3+1</f>
        <v>34</v>
      </c>
      <c r="AG3" s="70">
        <f t="shared" si="0"/>
        <v>35</v>
      </c>
      <c r="AH3" s="70">
        <f t="shared" si="0"/>
        <v>36</v>
      </c>
      <c r="AI3" s="70">
        <f t="shared" si="0"/>
        <v>37</v>
      </c>
      <c r="AJ3" s="70">
        <f t="shared" si="0"/>
        <v>38</v>
      </c>
      <c r="AK3" s="70">
        <f t="shared" si="0"/>
        <v>39</v>
      </c>
      <c r="AL3" s="70">
        <f t="shared" si="0"/>
        <v>40</v>
      </c>
      <c r="AM3" s="70">
        <f t="shared" si="0"/>
        <v>41</v>
      </c>
      <c r="AN3" s="70">
        <f t="shared" si="0"/>
        <v>42</v>
      </c>
      <c r="AO3" s="70">
        <f t="shared" si="0"/>
        <v>43</v>
      </c>
      <c r="AP3" s="70">
        <f t="shared" si="0"/>
        <v>44</v>
      </c>
      <c r="AQ3" s="70">
        <f t="shared" si="0"/>
        <v>45</v>
      </c>
      <c r="AR3" s="70">
        <f t="shared" si="0"/>
        <v>46</v>
      </c>
      <c r="AS3" s="70">
        <f t="shared" si="0"/>
        <v>47</v>
      </c>
      <c r="AT3" s="70">
        <f t="shared" si="0"/>
        <v>48</v>
      </c>
      <c r="AU3" s="70">
        <f t="shared" si="0"/>
        <v>49</v>
      </c>
      <c r="AV3" s="70">
        <f t="shared" si="0"/>
        <v>50</v>
      </c>
      <c r="AW3" s="70">
        <f t="shared" si="0"/>
        <v>51</v>
      </c>
      <c r="AX3" s="70">
        <f t="shared" si="0"/>
        <v>52</v>
      </c>
      <c r="AY3" s="70">
        <f t="shared" si="0"/>
        <v>53</v>
      </c>
      <c r="AZ3" s="70">
        <f t="shared" si="0"/>
        <v>54</v>
      </c>
      <c r="BA3" s="70">
        <f t="shared" si="0"/>
        <v>55</v>
      </c>
      <c r="BB3" s="70">
        <f t="shared" si="0"/>
        <v>56</v>
      </c>
      <c r="BC3" s="70">
        <f t="shared" si="0"/>
        <v>57</v>
      </c>
      <c r="BD3" s="70">
        <f t="shared" si="0"/>
        <v>58</v>
      </c>
      <c r="BE3" s="70">
        <f t="shared" si="0"/>
        <v>59</v>
      </c>
      <c r="BF3" s="70">
        <f t="shared" si="0"/>
        <v>60</v>
      </c>
      <c r="BG3" s="70">
        <f t="shared" si="0"/>
        <v>61</v>
      </c>
      <c r="BH3" s="70">
        <f t="shared" si="0"/>
        <v>62</v>
      </c>
      <c r="BI3" s="70">
        <f t="shared" si="0"/>
        <v>63</v>
      </c>
      <c r="BJ3" s="70">
        <f t="shared" si="0"/>
        <v>64</v>
      </c>
      <c r="BK3" s="70">
        <f t="shared" si="0"/>
        <v>65</v>
      </c>
      <c r="BL3" s="70">
        <f t="shared" si="0"/>
        <v>66</v>
      </c>
      <c r="BM3" s="70">
        <f t="shared" si="0"/>
        <v>67</v>
      </c>
      <c r="BN3" s="70">
        <f t="shared" si="0"/>
        <v>68</v>
      </c>
      <c r="BO3" s="70">
        <f t="shared" si="0"/>
        <v>69</v>
      </c>
      <c r="BP3" s="70">
        <f t="shared" si="0"/>
        <v>70</v>
      </c>
      <c r="BQ3" s="70">
        <f t="shared" si="0"/>
        <v>71</v>
      </c>
      <c r="BR3" s="70">
        <f t="shared" si="0"/>
        <v>72</v>
      </c>
      <c r="BS3" s="70">
        <f t="shared" si="0"/>
        <v>73</v>
      </c>
      <c r="BT3" s="70">
        <f t="shared" si="0"/>
        <v>74</v>
      </c>
      <c r="BU3" s="70">
        <f t="shared" si="0"/>
        <v>75</v>
      </c>
      <c r="BV3" s="70">
        <f t="shared" si="0"/>
        <v>76</v>
      </c>
      <c r="BW3" s="70"/>
      <c r="BX3" s="70"/>
      <c r="DD3" s="71"/>
      <c r="DE3" s="72">
        <v>4</v>
      </c>
      <c r="DF3" s="72">
        <v>5</v>
      </c>
      <c r="DG3" s="72" t="s">
        <v>106</v>
      </c>
      <c r="DH3" s="72" t="s">
        <v>107</v>
      </c>
      <c r="DI3" s="72" t="s">
        <v>108</v>
      </c>
      <c r="DJ3" s="72" t="s">
        <v>109</v>
      </c>
      <c r="DK3" s="72" t="s">
        <v>110</v>
      </c>
      <c r="DL3" s="72" t="s">
        <v>111</v>
      </c>
      <c r="DM3" s="72" t="s">
        <v>112</v>
      </c>
      <c r="DN3" s="72" t="s">
        <v>113</v>
      </c>
      <c r="DO3" s="72" t="s">
        <v>114</v>
      </c>
      <c r="DP3" s="72" t="s">
        <v>115</v>
      </c>
      <c r="DQ3" s="72" t="s">
        <v>116</v>
      </c>
      <c r="DR3" s="72" t="s">
        <v>117</v>
      </c>
      <c r="DS3" s="72" t="s">
        <v>118</v>
      </c>
      <c r="DT3" s="72" t="s">
        <v>119</v>
      </c>
      <c r="DU3" s="72" t="s">
        <v>120</v>
      </c>
      <c r="DV3" s="72" t="s">
        <v>121</v>
      </c>
      <c r="DW3" s="72" t="s">
        <v>122</v>
      </c>
      <c r="DX3" s="72" t="s">
        <v>123</v>
      </c>
      <c r="DY3" s="72" t="s">
        <v>124</v>
      </c>
      <c r="DZ3" s="72" t="s">
        <v>125</v>
      </c>
      <c r="EA3" s="72" t="s">
        <v>126</v>
      </c>
      <c r="EB3" s="72" t="s">
        <v>127</v>
      </c>
      <c r="EC3" s="72" t="s">
        <v>128</v>
      </c>
      <c r="ED3" s="72" t="s">
        <v>129</v>
      </c>
      <c r="EE3" s="72" t="s">
        <v>130</v>
      </c>
      <c r="EF3" s="72" t="s">
        <v>131</v>
      </c>
      <c r="EG3" s="72" t="s">
        <v>132</v>
      </c>
    </row>
    <row r="4" spans="1:142" ht="12.6" customHeight="1">
      <c r="A4" s="73">
        <v>4</v>
      </c>
      <c r="B4" s="74">
        <v>0</v>
      </c>
      <c r="C4" s="74"/>
      <c r="D4" s="74"/>
      <c r="E4" s="74"/>
      <c r="F4" s="74"/>
      <c r="G4" s="74"/>
      <c r="H4" s="74"/>
      <c r="I4" s="74"/>
      <c r="J4" s="74"/>
      <c r="K4" s="74"/>
      <c r="L4" s="74"/>
      <c r="M4" s="74"/>
      <c r="N4" s="74"/>
      <c r="O4" s="74"/>
      <c r="P4" s="74"/>
      <c r="Q4" s="74"/>
      <c r="R4" s="74"/>
      <c r="S4" s="74"/>
      <c r="T4" s="74"/>
      <c r="U4" s="74"/>
      <c r="V4" s="74"/>
      <c r="W4" s="74"/>
      <c r="X4" s="74"/>
      <c r="Y4" s="74"/>
      <c r="Z4" s="74"/>
      <c r="AA4" s="74"/>
      <c r="AB4" s="74"/>
      <c r="AC4" s="74"/>
      <c r="AD4" s="75"/>
      <c r="AE4" s="76"/>
      <c r="AF4" s="76"/>
      <c r="AG4" s="76"/>
      <c r="AH4" s="76"/>
      <c r="AI4" s="76"/>
      <c r="AJ4" s="76"/>
      <c r="AK4" s="76"/>
      <c r="AL4" s="76"/>
      <c r="AM4" s="76"/>
      <c r="AN4" s="76"/>
      <c r="AO4" s="76"/>
      <c r="AP4" s="76"/>
      <c r="AQ4" s="76"/>
      <c r="AR4" s="76"/>
      <c r="AS4" s="76"/>
      <c r="BZ4" s="63" t="str">
        <f>$B$3&amp;A4</f>
        <v>44</v>
      </c>
      <c r="CA4" s="63" t="str">
        <f t="shared" ref="CA4:CA67" si="1">$C$3&amp;A4</f>
        <v>54</v>
      </c>
      <c r="CB4" s="63" t="str">
        <f>$D$3&amp;A4</f>
        <v>64</v>
      </c>
      <c r="CC4" s="63" t="str">
        <f>$E$3&amp;A4</f>
        <v>74</v>
      </c>
      <c r="CD4" s="63" t="str">
        <f>$F$3&amp;A4</f>
        <v>84</v>
      </c>
      <c r="CE4" s="63" t="str">
        <f>$G$3&amp;A4</f>
        <v>94</v>
      </c>
      <c r="CF4" s="63" t="str">
        <f>$H$3&amp;A4</f>
        <v>104</v>
      </c>
      <c r="CG4" s="63" t="str">
        <f>$I$3&amp;A4</f>
        <v>114</v>
      </c>
      <c r="CH4" s="63" t="str">
        <f>$J$3&amp;A4</f>
        <v>124</v>
      </c>
      <c r="CI4" s="63" t="str">
        <f>$K$3&amp;A4</f>
        <v>134</v>
      </c>
      <c r="CJ4" s="63" t="str">
        <f>$L$3&amp;A4</f>
        <v>144</v>
      </c>
      <c r="CK4" s="63" t="str">
        <f>$M$3&amp;A4</f>
        <v>154</v>
      </c>
      <c r="CL4" s="63" t="str">
        <f>$N$3&amp;A4</f>
        <v>164</v>
      </c>
      <c r="CM4" s="63" t="str">
        <f>$O$3&amp;A4</f>
        <v>174</v>
      </c>
      <c r="CN4" s="63" t="str">
        <f>$P$3&amp;A4</f>
        <v>184</v>
      </c>
      <c r="CO4" s="63" t="str">
        <f>$Q$3&amp;A4</f>
        <v>194</v>
      </c>
      <c r="CP4" s="63" t="str">
        <f>$R$3&amp;A4</f>
        <v>204</v>
      </c>
      <c r="CQ4" s="63" t="str">
        <f>$S$3&amp;A4</f>
        <v>214</v>
      </c>
      <c r="CR4" s="63" t="str">
        <f>$T$3&amp;A4</f>
        <v>224</v>
      </c>
      <c r="CS4" s="63" t="str">
        <f>$U$3&amp;A4</f>
        <v>234</v>
      </c>
      <c r="CT4" s="63" t="str">
        <f>$V$3&amp;A4</f>
        <v>244</v>
      </c>
      <c r="CU4" s="63" t="str">
        <f>$W$3&amp;A4</f>
        <v>254</v>
      </c>
      <c r="CV4" s="63" t="str">
        <f>$X$3&amp;A4</f>
        <v>264</v>
      </c>
      <c r="CW4" s="63" t="str">
        <f>$Y$3&amp;A4</f>
        <v>274</v>
      </c>
      <c r="CX4" s="63" t="str">
        <f>$Z$3&amp;A4</f>
        <v>284</v>
      </c>
      <c r="CY4" s="63" t="str">
        <f>$AA$3&amp;A4</f>
        <v>294</v>
      </c>
      <c r="CZ4" s="63" t="str">
        <f>$AB$3&amp;A4</f>
        <v>304</v>
      </c>
      <c r="DA4" s="63" t="str">
        <f>$AC$3&amp;A4</f>
        <v>314</v>
      </c>
      <c r="DB4" s="63" t="str">
        <f>$AD$3&amp;A4</f>
        <v>324</v>
      </c>
      <c r="DD4" s="72" t="s">
        <v>133</v>
      </c>
      <c r="DE4" s="77">
        <f>ROUND(B4,3)</f>
        <v>0</v>
      </c>
      <c r="DF4" s="77">
        <f t="shared" ref="DF4:DU19" si="2">ROUND(C4,3)</f>
        <v>0</v>
      </c>
      <c r="DG4" s="77">
        <f t="shared" si="2"/>
        <v>0</v>
      </c>
      <c r="DH4" s="77">
        <f t="shared" si="2"/>
        <v>0</v>
      </c>
      <c r="DI4" s="77">
        <f t="shared" si="2"/>
        <v>0</v>
      </c>
      <c r="DJ4" s="77">
        <f t="shared" si="2"/>
        <v>0</v>
      </c>
      <c r="DK4" s="77">
        <f t="shared" si="2"/>
        <v>0</v>
      </c>
      <c r="DL4" s="77">
        <f t="shared" si="2"/>
        <v>0</v>
      </c>
      <c r="DM4" s="77">
        <f t="shared" si="2"/>
        <v>0</v>
      </c>
      <c r="DN4" s="77">
        <f t="shared" si="2"/>
        <v>0</v>
      </c>
      <c r="DO4" s="77">
        <f t="shared" si="2"/>
        <v>0</v>
      </c>
      <c r="DP4" s="77">
        <f t="shared" si="2"/>
        <v>0</v>
      </c>
      <c r="DQ4" s="77">
        <f t="shared" si="2"/>
        <v>0</v>
      </c>
      <c r="DR4" s="77">
        <f t="shared" si="2"/>
        <v>0</v>
      </c>
      <c r="DS4" s="77">
        <f t="shared" si="2"/>
        <v>0</v>
      </c>
      <c r="DT4" s="77">
        <f t="shared" si="2"/>
        <v>0</v>
      </c>
      <c r="DU4" s="77">
        <f t="shared" si="2"/>
        <v>0</v>
      </c>
      <c r="DV4" s="77">
        <f t="shared" ref="DV4:EG25" si="3">ROUND(S4,3)</f>
        <v>0</v>
      </c>
      <c r="DW4" s="77">
        <f t="shared" si="3"/>
        <v>0</v>
      </c>
      <c r="DX4" s="77">
        <f t="shared" si="3"/>
        <v>0</v>
      </c>
      <c r="DY4" s="77">
        <f t="shared" si="3"/>
        <v>0</v>
      </c>
      <c r="DZ4" s="77">
        <f t="shared" si="3"/>
        <v>0</v>
      </c>
      <c r="EA4" s="77">
        <f t="shared" si="3"/>
        <v>0</v>
      </c>
      <c r="EB4" s="77">
        <f t="shared" si="3"/>
        <v>0</v>
      </c>
      <c r="EC4" s="77">
        <f t="shared" si="3"/>
        <v>0</v>
      </c>
      <c r="ED4" s="77">
        <f t="shared" si="3"/>
        <v>0</v>
      </c>
      <c r="EE4" s="77">
        <f t="shared" si="3"/>
        <v>0</v>
      </c>
      <c r="EF4" s="77">
        <f t="shared" si="3"/>
        <v>0</v>
      </c>
      <c r="EG4" s="77">
        <f t="shared" si="3"/>
        <v>0</v>
      </c>
    </row>
    <row r="5" spans="1:142" ht="12.6" customHeight="1">
      <c r="A5" s="73">
        <v>5</v>
      </c>
      <c r="B5" s="74">
        <v>0.54699999999999993</v>
      </c>
      <c r="C5" s="74">
        <v>0</v>
      </c>
      <c r="D5" s="74"/>
      <c r="E5" s="74"/>
      <c r="F5" s="74"/>
      <c r="G5" s="74"/>
      <c r="H5" s="74"/>
      <c r="I5" s="74"/>
      <c r="J5" s="74"/>
      <c r="K5" s="74"/>
      <c r="L5" s="74"/>
      <c r="M5" s="74"/>
      <c r="N5" s="74"/>
      <c r="O5" s="74"/>
      <c r="P5" s="74"/>
      <c r="Q5" s="74"/>
      <c r="R5" s="74"/>
      <c r="S5" s="74"/>
      <c r="T5" s="74"/>
      <c r="U5" s="74"/>
      <c r="V5" s="74"/>
      <c r="W5" s="74"/>
      <c r="X5" s="74"/>
      <c r="Y5" s="74"/>
      <c r="Z5" s="74"/>
      <c r="AA5" s="74"/>
      <c r="AB5" s="74"/>
      <c r="AC5" s="74"/>
      <c r="AD5" s="75"/>
      <c r="AE5" s="76"/>
      <c r="AF5" s="76"/>
      <c r="AG5" s="76"/>
      <c r="AH5" s="76"/>
      <c r="AI5" s="76"/>
      <c r="AJ5" s="76"/>
      <c r="AK5" s="76"/>
      <c r="AL5" s="76"/>
      <c r="AM5" s="76"/>
      <c r="AN5" s="76"/>
      <c r="AO5" s="76"/>
      <c r="AP5" s="76"/>
      <c r="AQ5" s="76"/>
      <c r="AR5" s="76"/>
      <c r="AS5" s="76"/>
      <c r="BZ5" s="63" t="str">
        <f t="shared" ref="BZ5:BZ68" si="4">$B$3&amp;A5</f>
        <v>45</v>
      </c>
      <c r="CA5" s="63" t="str">
        <f t="shared" si="1"/>
        <v>55</v>
      </c>
      <c r="CB5" s="63" t="str">
        <f t="shared" ref="CB5:CB68" si="5">$D$3&amp;A5</f>
        <v>65</v>
      </c>
      <c r="CC5" s="63" t="str">
        <f t="shared" ref="CC5:CC68" si="6">$E$3&amp;A5</f>
        <v>75</v>
      </c>
      <c r="CD5" s="63" t="str">
        <f t="shared" ref="CD5:CD68" si="7">$F$3&amp;A5</f>
        <v>85</v>
      </c>
      <c r="CE5" s="63" t="str">
        <f t="shared" ref="CE5:CE68" si="8">$G$3&amp;A5</f>
        <v>95</v>
      </c>
      <c r="CF5" s="63" t="str">
        <f t="shared" ref="CF5:CF68" si="9">$H$3&amp;A5</f>
        <v>105</v>
      </c>
      <c r="CG5" s="63" t="str">
        <f t="shared" ref="CG5:CG68" si="10">$I$3&amp;A5</f>
        <v>115</v>
      </c>
      <c r="CH5" s="63" t="str">
        <f t="shared" ref="CH5:CH68" si="11">$J$3&amp;A5</f>
        <v>125</v>
      </c>
      <c r="CI5" s="63" t="str">
        <f t="shared" ref="CI5:CI68" si="12">$K$3&amp;A5</f>
        <v>135</v>
      </c>
      <c r="CJ5" s="63" t="str">
        <f t="shared" ref="CJ5:CJ68" si="13">$L$3&amp;A5</f>
        <v>145</v>
      </c>
      <c r="CK5" s="63" t="str">
        <f t="shared" ref="CK5:CK68" si="14">$M$3&amp;A5</f>
        <v>155</v>
      </c>
      <c r="CL5" s="63" t="str">
        <f t="shared" ref="CL5:CL68" si="15">$N$3&amp;A5</f>
        <v>165</v>
      </c>
      <c r="CM5" s="63" t="str">
        <f t="shared" ref="CM5:CM68" si="16">$O$3&amp;A5</f>
        <v>175</v>
      </c>
      <c r="CN5" s="63" t="str">
        <f t="shared" ref="CN5:CN68" si="17">$P$3&amp;A5</f>
        <v>185</v>
      </c>
      <c r="CO5" s="63" t="str">
        <f t="shared" ref="CO5:CO68" si="18">$Q$3&amp;A5</f>
        <v>195</v>
      </c>
      <c r="CP5" s="63" t="str">
        <f t="shared" ref="CP5:CP68" si="19">$R$3&amp;A5</f>
        <v>205</v>
      </c>
      <c r="CQ5" s="63" t="str">
        <f t="shared" ref="CQ5:CQ68" si="20">$S$3&amp;A5</f>
        <v>215</v>
      </c>
      <c r="CR5" s="63" t="str">
        <f t="shared" ref="CR5:CR68" si="21">$T$3&amp;A5</f>
        <v>225</v>
      </c>
      <c r="CS5" s="63" t="str">
        <f t="shared" ref="CS5:CS68" si="22">$U$3&amp;A5</f>
        <v>235</v>
      </c>
      <c r="CT5" s="63" t="str">
        <f t="shared" ref="CT5:CT68" si="23">$V$3&amp;A5</f>
        <v>245</v>
      </c>
      <c r="CU5" s="63" t="str">
        <f t="shared" ref="CU5:CU68" si="24">$W$3&amp;A5</f>
        <v>255</v>
      </c>
      <c r="CV5" s="63" t="str">
        <f t="shared" ref="CV5:CV68" si="25">$X$3&amp;A5</f>
        <v>265</v>
      </c>
      <c r="CW5" s="63" t="str">
        <f t="shared" ref="CW5:CW68" si="26">$Y$3&amp;A5</f>
        <v>275</v>
      </c>
      <c r="CX5" s="63" t="str">
        <f t="shared" ref="CX5:CX68" si="27">$Z$3&amp;A5</f>
        <v>285</v>
      </c>
      <c r="CY5" s="63" t="str">
        <f t="shared" ref="CY5:CY68" si="28">$AA$3&amp;A5</f>
        <v>295</v>
      </c>
      <c r="CZ5" s="63" t="str">
        <f t="shared" ref="CZ5:CZ68" si="29">$AB$3&amp;A5</f>
        <v>305</v>
      </c>
      <c r="DA5" s="63" t="str">
        <f t="shared" ref="DA5:DA68" si="30">$AC$3&amp;A5</f>
        <v>315</v>
      </c>
      <c r="DB5" s="63" t="str">
        <f t="shared" ref="DB5:DB68" si="31">$AD$3&amp;A5</f>
        <v>325</v>
      </c>
      <c r="DD5" s="72" t="s">
        <v>134</v>
      </c>
      <c r="DE5" s="77">
        <f>ROUND(B5,3)</f>
        <v>0.54700000000000004</v>
      </c>
      <c r="DF5" s="77">
        <f t="shared" si="2"/>
        <v>0</v>
      </c>
      <c r="DG5" s="77">
        <f t="shared" si="2"/>
        <v>0</v>
      </c>
      <c r="DH5" s="77">
        <f t="shared" si="2"/>
        <v>0</v>
      </c>
      <c r="DI5" s="77">
        <f t="shared" si="2"/>
        <v>0</v>
      </c>
      <c r="DJ5" s="77">
        <f t="shared" si="2"/>
        <v>0</v>
      </c>
      <c r="DK5" s="77">
        <f t="shared" si="2"/>
        <v>0</v>
      </c>
      <c r="DL5" s="77">
        <f t="shared" si="2"/>
        <v>0</v>
      </c>
      <c r="DM5" s="77">
        <f t="shared" si="2"/>
        <v>0</v>
      </c>
      <c r="DN5" s="77">
        <f t="shared" si="2"/>
        <v>0</v>
      </c>
      <c r="DO5" s="77">
        <f t="shared" si="2"/>
        <v>0</v>
      </c>
      <c r="DP5" s="77">
        <f t="shared" si="2"/>
        <v>0</v>
      </c>
      <c r="DQ5" s="77">
        <f t="shared" si="2"/>
        <v>0</v>
      </c>
      <c r="DR5" s="77">
        <f t="shared" si="2"/>
        <v>0</v>
      </c>
      <c r="DS5" s="77">
        <f t="shared" si="2"/>
        <v>0</v>
      </c>
      <c r="DT5" s="77">
        <f t="shared" si="2"/>
        <v>0</v>
      </c>
      <c r="DU5" s="77">
        <f t="shared" si="2"/>
        <v>0</v>
      </c>
      <c r="DV5" s="77">
        <f t="shared" si="3"/>
        <v>0</v>
      </c>
      <c r="DW5" s="77">
        <f t="shared" si="3"/>
        <v>0</v>
      </c>
      <c r="DX5" s="77">
        <f t="shared" si="3"/>
        <v>0</v>
      </c>
      <c r="DY5" s="77">
        <f t="shared" si="3"/>
        <v>0</v>
      </c>
      <c r="DZ5" s="77">
        <f t="shared" si="3"/>
        <v>0</v>
      </c>
      <c r="EA5" s="77">
        <f t="shared" si="3"/>
        <v>0</v>
      </c>
      <c r="EB5" s="77">
        <f t="shared" si="3"/>
        <v>0</v>
      </c>
      <c r="EC5" s="77">
        <f t="shared" si="3"/>
        <v>0</v>
      </c>
      <c r="ED5" s="77">
        <f t="shared" si="3"/>
        <v>0</v>
      </c>
      <c r="EE5" s="77">
        <f t="shared" si="3"/>
        <v>0</v>
      </c>
      <c r="EF5" s="77">
        <f t="shared" si="3"/>
        <v>0</v>
      </c>
      <c r="EG5" s="77">
        <f t="shared" si="3"/>
        <v>0</v>
      </c>
    </row>
    <row r="6" spans="1:142" ht="12.6" customHeight="1">
      <c r="A6" s="73">
        <v>6</v>
      </c>
      <c r="B6" s="74">
        <v>0.61699999999999999</v>
      </c>
      <c r="C6" s="74">
        <v>0.67299999999999993</v>
      </c>
      <c r="D6" s="74">
        <v>0</v>
      </c>
      <c r="E6" s="74"/>
      <c r="F6" s="74"/>
      <c r="G6" s="74"/>
      <c r="H6" s="74"/>
      <c r="I6" s="74"/>
      <c r="J6" s="74"/>
      <c r="K6" s="74"/>
      <c r="L6" s="74"/>
      <c r="M6" s="74"/>
      <c r="N6" s="74"/>
      <c r="O6" s="74"/>
      <c r="P6" s="74"/>
      <c r="Q6" s="74"/>
      <c r="R6" s="74"/>
      <c r="S6" s="74"/>
      <c r="T6" s="74"/>
      <c r="U6" s="74"/>
      <c r="V6" s="74"/>
      <c r="W6" s="74"/>
      <c r="X6" s="74"/>
      <c r="Y6" s="74"/>
      <c r="Z6" s="74"/>
      <c r="AA6" s="74"/>
      <c r="AB6" s="74"/>
      <c r="AC6" s="74"/>
      <c r="AD6" s="75"/>
      <c r="AE6" s="76"/>
      <c r="AF6" s="76"/>
      <c r="AG6" s="76"/>
      <c r="AH6" s="76"/>
      <c r="AI6" s="76"/>
      <c r="AJ6" s="76"/>
      <c r="AK6" s="76"/>
      <c r="AL6" s="76"/>
      <c r="AM6" s="76"/>
      <c r="AN6" s="76"/>
      <c r="AO6" s="76"/>
      <c r="AP6" s="76"/>
      <c r="AQ6" s="76"/>
      <c r="AR6" s="76"/>
      <c r="AS6" s="76"/>
      <c r="BZ6" s="63" t="str">
        <f t="shared" si="4"/>
        <v>46</v>
      </c>
      <c r="CA6" s="63" t="str">
        <f t="shared" si="1"/>
        <v>56</v>
      </c>
      <c r="CB6" s="63" t="str">
        <f t="shared" si="5"/>
        <v>66</v>
      </c>
      <c r="CC6" s="63" t="str">
        <f t="shared" si="6"/>
        <v>76</v>
      </c>
      <c r="CD6" s="63" t="str">
        <f t="shared" si="7"/>
        <v>86</v>
      </c>
      <c r="CE6" s="63" t="str">
        <f t="shared" si="8"/>
        <v>96</v>
      </c>
      <c r="CF6" s="63" t="str">
        <f t="shared" si="9"/>
        <v>106</v>
      </c>
      <c r="CG6" s="63" t="str">
        <f t="shared" si="10"/>
        <v>116</v>
      </c>
      <c r="CH6" s="63" t="str">
        <f t="shared" si="11"/>
        <v>126</v>
      </c>
      <c r="CI6" s="63" t="str">
        <f t="shared" si="12"/>
        <v>136</v>
      </c>
      <c r="CJ6" s="63" t="str">
        <f t="shared" si="13"/>
        <v>146</v>
      </c>
      <c r="CK6" s="63" t="str">
        <f t="shared" si="14"/>
        <v>156</v>
      </c>
      <c r="CL6" s="63" t="str">
        <f t="shared" si="15"/>
        <v>166</v>
      </c>
      <c r="CM6" s="63" t="str">
        <f t="shared" si="16"/>
        <v>176</v>
      </c>
      <c r="CN6" s="63" t="str">
        <f t="shared" si="17"/>
        <v>186</v>
      </c>
      <c r="CO6" s="63" t="str">
        <f t="shared" si="18"/>
        <v>196</v>
      </c>
      <c r="CP6" s="63" t="str">
        <f t="shared" si="19"/>
        <v>206</v>
      </c>
      <c r="CQ6" s="63" t="str">
        <f t="shared" si="20"/>
        <v>216</v>
      </c>
      <c r="CR6" s="63" t="str">
        <f t="shared" si="21"/>
        <v>226</v>
      </c>
      <c r="CS6" s="63" t="str">
        <f t="shared" si="22"/>
        <v>236</v>
      </c>
      <c r="CT6" s="63" t="str">
        <f t="shared" si="23"/>
        <v>246</v>
      </c>
      <c r="CU6" s="63" t="str">
        <f t="shared" si="24"/>
        <v>256</v>
      </c>
      <c r="CV6" s="63" t="str">
        <f t="shared" si="25"/>
        <v>266</v>
      </c>
      <c r="CW6" s="63" t="str">
        <f t="shared" si="26"/>
        <v>276</v>
      </c>
      <c r="CX6" s="63" t="str">
        <f t="shared" si="27"/>
        <v>286</v>
      </c>
      <c r="CY6" s="63" t="str">
        <f t="shared" si="28"/>
        <v>296</v>
      </c>
      <c r="CZ6" s="63" t="str">
        <f t="shared" si="29"/>
        <v>306</v>
      </c>
      <c r="DA6" s="63" t="str">
        <f t="shared" si="30"/>
        <v>316</v>
      </c>
      <c r="DB6" s="63" t="str">
        <f t="shared" si="31"/>
        <v>326</v>
      </c>
      <c r="DD6" s="72" t="s">
        <v>135</v>
      </c>
      <c r="DE6" s="77">
        <f t="shared" ref="DE6:DT35" si="32">ROUND(B6,3)</f>
        <v>0.61699999999999999</v>
      </c>
      <c r="DF6" s="77">
        <f t="shared" si="2"/>
        <v>0.67300000000000004</v>
      </c>
      <c r="DG6" s="77">
        <f t="shared" si="2"/>
        <v>0</v>
      </c>
      <c r="DH6" s="77">
        <f t="shared" si="2"/>
        <v>0</v>
      </c>
      <c r="DI6" s="77">
        <f t="shared" si="2"/>
        <v>0</v>
      </c>
      <c r="DJ6" s="77">
        <f t="shared" si="2"/>
        <v>0</v>
      </c>
      <c r="DK6" s="77">
        <f t="shared" si="2"/>
        <v>0</v>
      </c>
      <c r="DL6" s="77">
        <f t="shared" si="2"/>
        <v>0</v>
      </c>
      <c r="DM6" s="77">
        <f t="shared" si="2"/>
        <v>0</v>
      </c>
      <c r="DN6" s="77">
        <f t="shared" si="2"/>
        <v>0</v>
      </c>
      <c r="DO6" s="77">
        <f t="shared" si="2"/>
        <v>0</v>
      </c>
      <c r="DP6" s="77">
        <f t="shared" si="2"/>
        <v>0</v>
      </c>
      <c r="DQ6" s="77">
        <f t="shared" si="2"/>
        <v>0</v>
      </c>
      <c r="DR6" s="77">
        <f t="shared" si="2"/>
        <v>0</v>
      </c>
      <c r="DS6" s="77">
        <f t="shared" si="2"/>
        <v>0</v>
      </c>
      <c r="DT6" s="77">
        <f t="shared" si="2"/>
        <v>0</v>
      </c>
      <c r="DU6" s="77">
        <f t="shared" si="2"/>
        <v>0</v>
      </c>
      <c r="DV6" s="77">
        <f t="shared" si="3"/>
        <v>0</v>
      </c>
      <c r="DW6" s="77">
        <f t="shared" si="3"/>
        <v>0</v>
      </c>
      <c r="DX6" s="77">
        <f t="shared" si="3"/>
        <v>0</v>
      </c>
      <c r="DY6" s="77">
        <f t="shared" si="3"/>
        <v>0</v>
      </c>
      <c r="DZ6" s="77">
        <f t="shared" si="3"/>
        <v>0</v>
      </c>
      <c r="EA6" s="77">
        <f t="shared" si="3"/>
        <v>0</v>
      </c>
      <c r="EB6" s="77">
        <f t="shared" si="3"/>
        <v>0</v>
      </c>
      <c r="EC6" s="77">
        <f t="shared" si="3"/>
        <v>0</v>
      </c>
      <c r="ED6" s="77">
        <f t="shared" si="3"/>
        <v>0</v>
      </c>
      <c r="EE6" s="77">
        <f t="shared" si="3"/>
        <v>0</v>
      </c>
      <c r="EF6" s="77">
        <f t="shared" si="3"/>
        <v>0</v>
      </c>
      <c r="EG6" s="77">
        <f t="shared" si="3"/>
        <v>0</v>
      </c>
    </row>
    <row r="7" spans="1:142" ht="12.6" customHeight="1">
      <c r="A7" s="73">
        <v>7</v>
      </c>
      <c r="B7" s="74">
        <v>0.67299999999999993</v>
      </c>
      <c r="C7" s="74">
        <v>0.73099999999999998</v>
      </c>
      <c r="D7" s="74">
        <v>0.78900000000000003</v>
      </c>
      <c r="E7" s="74">
        <v>0</v>
      </c>
      <c r="F7" s="74"/>
      <c r="G7" s="74"/>
      <c r="H7" s="74"/>
      <c r="I7" s="74"/>
      <c r="J7" s="74"/>
      <c r="K7" s="74"/>
      <c r="L7" s="74"/>
      <c r="M7" s="74"/>
      <c r="N7" s="74"/>
      <c r="O7" s="74"/>
      <c r="P7" s="74"/>
      <c r="Q7" s="74"/>
      <c r="R7" s="74"/>
      <c r="S7" s="74"/>
      <c r="T7" s="74"/>
      <c r="U7" s="74"/>
      <c r="V7" s="74"/>
      <c r="W7" s="74"/>
      <c r="X7" s="74"/>
      <c r="Y7" s="74"/>
      <c r="Z7" s="74"/>
      <c r="AA7" s="74"/>
      <c r="AB7" s="74"/>
      <c r="AC7" s="74"/>
      <c r="AD7" s="75"/>
      <c r="AE7" s="76"/>
      <c r="AF7" s="76"/>
      <c r="AG7" s="76"/>
      <c r="AH7" s="76"/>
      <c r="AI7" s="76"/>
      <c r="AJ7" s="76"/>
      <c r="AK7" s="76"/>
      <c r="AL7" s="76"/>
      <c r="AM7" s="76"/>
      <c r="AN7" s="76"/>
      <c r="AO7" s="76"/>
      <c r="AP7" s="76"/>
      <c r="AQ7" s="76"/>
      <c r="AR7" s="76"/>
      <c r="AS7" s="76"/>
      <c r="BZ7" s="63" t="str">
        <f t="shared" si="4"/>
        <v>47</v>
      </c>
      <c r="CA7" s="63" t="str">
        <f t="shared" si="1"/>
        <v>57</v>
      </c>
      <c r="CB7" s="63" t="str">
        <f t="shared" si="5"/>
        <v>67</v>
      </c>
      <c r="CC7" s="63" t="str">
        <f t="shared" si="6"/>
        <v>77</v>
      </c>
      <c r="CD7" s="63" t="str">
        <f t="shared" si="7"/>
        <v>87</v>
      </c>
      <c r="CE7" s="63" t="str">
        <f t="shared" si="8"/>
        <v>97</v>
      </c>
      <c r="CF7" s="63" t="str">
        <f t="shared" si="9"/>
        <v>107</v>
      </c>
      <c r="CG7" s="63" t="str">
        <f t="shared" si="10"/>
        <v>117</v>
      </c>
      <c r="CH7" s="63" t="str">
        <f t="shared" si="11"/>
        <v>127</v>
      </c>
      <c r="CI7" s="63" t="str">
        <f t="shared" si="12"/>
        <v>137</v>
      </c>
      <c r="CJ7" s="63" t="str">
        <f t="shared" si="13"/>
        <v>147</v>
      </c>
      <c r="CK7" s="63" t="str">
        <f t="shared" si="14"/>
        <v>157</v>
      </c>
      <c r="CL7" s="63" t="str">
        <f t="shared" si="15"/>
        <v>167</v>
      </c>
      <c r="CM7" s="63" t="str">
        <f t="shared" si="16"/>
        <v>177</v>
      </c>
      <c r="CN7" s="63" t="str">
        <f t="shared" si="17"/>
        <v>187</v>
      </c>
      <c r="CO7" s="63" t="str">
        <f t="shared" si="18"/>
        <v>197</v>
      </c>
      <c r="CP7" s="63" t="str">
        <f t="shared" si="19"/>
        <v>207</v>
      </c>
      <c r="CQ7" s="63" t="str">
        <f t="shared" si="20"/>
        <v>217</v>
      </c>
      <c r="CR7" s="63" t="str">
        <f t="shared" si="21"/>
        <v>227</v>
      </c>
      <c r="CS7" s="63" t="str">
        <f t="shared" si="22"/>
        <v>237</v>
      </c>
      <c r="CT7" s="63" t="str">
        <f t="shared" si="23"/>
        <v>247</v>
      </c>
      <c r="CU7" s="63" t="str">
        <f t="shared" si="24"/>
        <v>257</v>
      </c>
      <c r="CV7" s="63" t="str">
        <f t="shared" si="25"/>
        <v>267</v>
      </c>
      <c r="CW7" s="63" t="str">
        <f t="shared" si="26"/>
        <v>277</v>
      </c>
      <c r="CX7" s="63" t="str">
        <f t="shared" si="27"/>
        <v>287</v>
      </c>
      <c r="CY7" s="63" t="str">
        <f t="shared" si="28"/>
        <v>297</v>
      </c>
      <c r="CZ7" s="63" t="str">
        <f t="shared" si="29"/>
        <v>307</v>
      </c>
      <c r="DA7" s="63" t="str">
        <f t="shared" si="30"/>
        <v>317</v>
      </c>
      <c r="DB7" s="63" t="str">
        <f t="shared" si="31"/>
        <v>327</v>
      </c>
      <c r="DD7" s="72" t="s">
        <v>136</v>
      </c>
      <c r="DE7" s="77">
        <f t="shared" si="32"/>
        <v>0.67300000000000004</v>
      </c>
      <c r="DF7" s="77">
        <f t="shared" si="2"/>
        <v>0.73099999999999998</v>
      </c>
      <c r="DG7" s="77">
        <f t="shared" si="2"/>
        <v>0.78900000000000003</v>
      </c>
      <c r="DH7" s="77">
        <f t="shared" si="2"/>
        <v>0</v>
      </c>
      <c r="DI7" s="77">
        <f t="shared" si="2"/>
        <v>0</v>
      </c>
      <c r="DJ7" s="77">
        <f t="shared" si="2"/>
        <v>0</v>
      </c>
      <c r="DK7" s="77">
        <f t="shared" si="2"/>
        <v>0</v>
      </c>
      <c r="DL7" s="77">
        <f t="shared" si="2"/>
        <v>0</v>
      </c>
      <c r="DM7" s="77">
        <f t="shared" si="2"/>
        <v>0</v>
      </c>
      <c r="DN7" s="77">
        <f t="shared" si="2"/>
        <v>0</v>
      </c>
      <c r="DO7" s="77">
        <f t="shared" si="2"/>
        <v>0</v>
      </c>
      <c r="DP7" s="77">
        <f t="shared" si="2"/>
        <v>0</v>
      </c>
      <c r="DQ7" s="77">
        <f t="shared" si="2"/>
        <v>0</v>
      </c>
      <c r="DR7" s="77">
        <f t="shared" si="2"/>
        <v>0</v>
      </c>
      <c r="DS7" s="77">
        <f t="shared" si="2"/>
        <v>0</v>
      </c>
      <c r="DT7" s="77">
        <f t="shared" si="2"/>
        <v>0</v>
      </c>
      <c r="DU7" s="77">
        <f t="shared" si="2"/>
        <v>0</v>
      </c>
      <c r="DV7" s="77">
        <f t="shared" si="3"/>
        <v>0</v>
      </c>
      <c r="DW7" s="77">
        <f t="shared" si="3"/>
        <v>0</v>
      </c>
      <c r="DX7" s="77">
        <f t="shared" si="3"/>
        <v>0</v>
      </c>
      <c r="DY7" s="77">
        <f t="shared" si="3"/>
        <v>0</v>
      </c>
      <c r="DZ7" s="77">
        <f t="shared" si="3"/>
        <v>0</v>
      </c>
      <c r="EA7" s="77">
        <f t="shared" si="3"/>
        <v>0</v>
      </c>
      <c r="EB7" s="77">
        <f t="shared" si="3"/>
        <v>0</v>
      </c>
      <c r="EC7" s="77">
        <f t="shared" si="3"/>
        <v>0</v>
      </c>
      <c r="ED7" s="77">
        <f t="shared" si="3"/>
        <v>0</v>
      </c>
      <c r="EE7" s="77">
        <f t="shared" si="3"/>
        <v>0</v>
      </c>
      <c r="EF7" s="77">
        <f t="shared" si="3"/>
        <v>0</v>
      </c>
      <c r="EG7" s="77">
        <f t="shared" si="3"/>
        <v>0</v>
      </c>
    </row>
    <row r="8" spans="1:142" ht="12.6" customHeight="1">
      <c r="A8" s="73">
        <v>8</v>
      </c>
      <c r="B8" s="74">
        <v>0.72899999999999998</v>
      </c>
      <c r="C8" s="74">
        <v>0.79999999999999993</v>
      </c>
      <c r="D8" s="74">
        <v>0.86399999999999999</v>
      </c>
      <c r="E8" s="74">
        <v>0.93899999999999995</v>
      </c>
      <c r="F8" s="74">
        <v>0</v>
      </c>
      <c r="G8" s="74"/>
      <c r="H8" s="74"/>
      <c r="I8" s="74"/>
      <c r="J8" s="74"/>
      <c r="K8" s="74"/>
      <c r="L8" s="74"/>
      <c r="M8" s="74"/>
      <c r="N8" s="74"/>
      <c r="O8" s="74"/>
      <c r="P8" s="74"/>
      <c r="Q8" s="74"/>
      <c r="R8" s="74"/>
      <c r="S8" s="74"/>
      <c r="T8" s="74"/>
      <c r="U8" s="74"/>
      <c r="V8" s="74"/>
      <c r="W8" s="74"/>
      <c r="X8" s="74"/>
      <c r="Y8" s="74"/>
      <c r="Z8" s="74"/>
      <c r="AA8" s="74"/>
      <c r="AB8" s="74"/>
      <c r="AC8" s="74"/>
      <c r="AD8" s="75"/>
      <c r="AE8" s="76"/>
      <c r="AF8" s="76"/>
      <c r="AG8" s="76"/>
      <c r="AH8" s="76"/>
      <c r="AI8" s="76"/>
      <c r="AJ8" s="76"/>
      <c r="AK8" s="76"/>
      <c r="AL8" s="76"/>
      <c r="AM8" s="76"/>
      <c r="AN8" s="76"/>
      <c r="AO8" s="76"/>
      <c r="AP8" s="76"/>
      <c r="AQ8" s="76"/>
      <c r="AR8" s="76"/>
      <c r="AS8" s="76"/>
      <c r="BZ8" s="63" t="str">
        <f t="shared" si="4"/>
        <v>48</v>
      </c>
      <c r="CA8" s="63" t="str">
        <f t="shared" si="1"/>
        <v>58</v>
      </c>
      <c r="CB8" s="63" t="str">
        <f t="shared" si="5"/>
        <v>68</v>
      </c>
      <c r="CC8" s="63" t="str">
        <f t="shared" si="6"/>
        <v>78</v>
      </c>
      <c r="CD8" s="63" t="str">
        <f t="shared" si="7"/>
        <v>88</v>
      </c>
      <c r="CE8" s="63" t="str">
        <f t="shared" si="8"/>
        <v>98</v>
      </c>
      <c r="CF8" s="63" t="str">
        <f t="shared" si="9"/>
        <v>108</v>
      </c>
      <c r="CG8" s="63" t="str">
        <f t="shared" si="10"/>
        <v>118</v>
      </c>
      <c r="CH8" s="63" t="str">
        <f t="shared" si="11"/>
        <v>128</v>
      </c>
      <c r="CI8" s="63" t="str">
        <f t="shared" si="12"/>
        <v>138</v>
      </c>
      <c r="CJ8" s="63" t="str">
        <f t="shared" si="13"/>
        <v>148</v>
      </c>
      <c r="CK8" s="63" t="str">
        <f t="shared" si="14"/>
        <v>158</v>
      </c>
      <c r="CL8" s="63" t="str">
        <f t="shared" si="15"/>
        <v>168</v>
      </c>
      <c r="CM8" s="63" t="str">
        <f t="shared" si="16"/>
        <v>178</v>
      </c>
      <c r="CN8" s="63" t="str">
        <f t="shared" si="17"/>
        <v>188</v>
      </c>
      <c r="CO8" s="63" t="str">
        <f t="shared" si="18"/>
        <v>198</v>
      </c>
      <c r="CP8" s="63" t="str">
        <f t="shared" si="19"/>
        <v>208</v>
      </c>
      <c r="CQ8" s="63" t="str">
        <f t="shared" si="20"/>
        <v>218</v>
      </c>
      <c r="CR8" s="63" t="str">
        <f t="shared" si="21"/>
        <v>228</v>
      </c>
      <c r="CS8" s="63" t="str">
        <f t="shared" si="22"/>
        <v>238</v>
      </c>
      <c r="CT8" s="63" t="str">
        <f t="shared" si="23"/>
        <v>248</v>
      </c>
      <c r="CU8" s="63" t="str">
        <f t="shared" si="24"/>
        <v>258</v>
      </c>
      <c r="CV8" s="63" t="str">
        <f t="shared" si="25"/>
        <v>268</v>
      </c>
      <c r="CW8" s="63" t="str">
        <f t="shared" si="26"/>
        <v>278</v>
      </c>
      <c r="CX8" s="63" t="str">
        <f t="shared" si="27"/>
        <v>288</v>
      </c>
      <c r="CY8" s="63" t="str">
        <f t="shared" si="28"/>
        <v>298</v>
      </c>
      <c r="CZ8" s="63" t="str">
        <f t="shared" si="29"/>
        <v>308</v>
      </c>
      <c r="DA8" s="63" t="str">
        <f t="shared" si="30"/>
        <v>318</v>
      </c>
      <c r="DB8" s="63" t="str">
        <f t="shared" si="31"/>
        <v>328</v>
      </c>
      <c r="DD8" s="72" t="s">
        <v>137</v>
      </c>
      <c r="DE8" s="77">
        <f t="shared" si="32"/>
        <v>0.72899999999999998</v>
      </c>
      <c r="DF8" s="77">
        <f t="shared" si="2"/>
        <v>0.8</v>
      </c>
      <c r="DG8" s="77">
        <f t="shared" si="2"/>
        <v>0.86399999999999999</v>
      </c>
      <c r="DH8" s="77">
        <f t="shared" si="2"/>
        <v>0.93899999999999995</v>
      </c>
      <c r="DI8" s="77">
        <f t="shared" si="2"/>
        <v>0</v>
      </c>
      <c r="DJ8" s="77">
        <f t="shared" si="2"/>
        <v>0</v>
      </c>
      <c r="DK8" s="77">
        <f t="shared" si="2"/>
        <v>0</v>
      </c>
      <c r="DL8" s="77">
        <f t="shared" si="2"/>
        <v>0</v>
      </c>
      <c r="DM8" s="77">
        <f t="shared" si="2"/>
        <v>0</v>
      </c>
      <c r="DN8" s="77">
        <f t="shared" si="2"/>
        <v>0</v>
      </c>
      <c r="DO8" s="77">
        <f t="shared" si="2"/>
        <v>0</v>
      </c>
      <c r="DP8" s="77">
        <f t="shared" si="2"/>
        <v>0</v>
      </c>
      <c r="DQ8" s="77">
        <f t="shared" si="2"/>
        <v>0</v>
      </c>
      <c r="DR8" s="77">
        <f t="shared" si="2"/>
        <v>0</v>
      </c>
      <c r="DS8" s="77">
        <f t="shared" si="2"/>
        <v>0</v>
      </c>
      <c r="DT8" s="77">
        <f t="shared" si="2"/>
        <v>0</v>
      </c>
      <c r="DU8" s="77">
        <f t="shared" si="2"/>
        <v>0</v>
      </c>
      <c r="DV8" s="77">
        <f t="shared" si="3"/>
        <v>0</v>
      </c>
      <c r="DW8" s="77">
        <f t="shared" si="3"/>
        <v>0</v>
      </c>
      <c r="DX8" s="77">
        <f t="shared" si="3"/>
        <v>0</v>
      </c>
      <c r="DY8" s="77">
        <f t="shared" si="3"/>
        <v>0</v>
      </c>
      <c r="DZ8" s="77">
        <f t="shared" si="3"/>
        <v>0</v>
      </c>
      <c r="EA8" s="77">
        <f t="shared" si="3"/>
        <v>0</v>
      </c>
      <c r="EB8" s="77">
        <f t="shared" si="3"/>
        <v>0</v>
      </c>
      <c r="EC8" s="77">
        <f t="shared" si="3"/>
        <v>0</v>
      </c>
      <c r="ED8" s="77">
        <f t="shared" si="3"/>
        <v>0</v>
      </c>
      <c r="EE8" s="77">
        <f t="shared" si="3"/>
        <v>0</v>
      </c>
      <c r="EF8" s="77">
        <f t="shared" si="3"/>
        <v>0</v>
      </c>
      <c r="EG8" s="77">
        <f t="shared" si="3"/>
        <v>0</v>
      </c>
      <c r="EK8" s="63">
        <v>20100</v>
      </c>
      <c r="EL8" s="78">
        <f>SUMIF(BZ4:DB142,EK8,DE4:EG142)</f>
        <v>2.532</v>
      </c>
    </row>
    <row r="9" spans="1:142" ht="12.6" customHeight="1">
      <c r="A9" s="73">
        <v>9</v>
      </c>
      <c r="B9" s="74">
        <v>0.79699999999999993</v>
      </c>
      <c r="C9" s="74">
        <v>0.86599999999999999</v>
      </c>
      <c r="D9" s="74">
        <v>0.92999999999999994</v>
      </c>
      <c r="E9" s="74">
        <v>1.0010000000000001</v>
      </c>
      <c r="F9" s="74">
        <v>1.0630000000000002</v>
      </c>
      <c r="G9" s="74">
        <v>0</v>
      </c>
      <c r="H9" s="74"/>
      <c r="I9" s="74"/>
      <c r="J9" s="74"/>
      <c r="K9" s="74"/>
      <c r="L9" s="74"/>
      <c r="M9" s="74"/>
      <c r="N9" s="74"/>
      <c r="O9" s="74"/>
      <c r="P9" s="74"/>
      <c r="Q9" s="74"/>
      <c r="R9" s="74"/>
      <c r="S9" s="74"/>
      <c r="T9" s="74"/>
      <c r="U9" s="74"/>
      <c r="V9" s="74"/>
      <c r="W9" s="74"/>
      <c r="X9" s="74"/>
      <c r="Y9" s="74"/>
      <c r="Z9" s="74"/>
      <c r="AA9" s="74"/>
      <c r="AB9" s="74"/>
      <c r="AC9" s="74"/>
      <c r="AD9" s="75"/>
      <c r="AE9" s="76"/>
      <c r="AF9" s="76"/>
      <c r="AG9" s="76"/>
      <c r="AH9" s="76"/>
      <c r="AI9" s="76"/>
      <c r="AJ9" s="76"/>
      <c r="AK9" s="76"/>
      <c r="AL9" s="76"/>
      <c r="AM9" s="76"/>
      <c r="AN9" s="76"/>
      <c r="AO9" s="76"/>
      <c r="AP9" s="76"/>
      <c r="AQ9" s="76"/>
      <c r="AR9" s="76"/>
      <c r="AS9" s="76"/>
      <c r="BZ9" s="63" t="str">
        <f t="shared" si="4"/>
        <v>49</v>
      </c>
      <c r="CA9" s="63" t="str">
        <f t="shared" si="1"/>
        <v>59</v>
      </c>
      <c r="CB9" s="63" t="str">
        <f t="shared" si="5"/>
        <v>69</v>
      </c>
      <c r="CC9" s="63" t="str">
        <f t="shared" si="6"/>
        <v>79</v>
      </c>
      <c r="CD9" s="63" t="str">
        <f t="shared" si="7"/>
        <v>89</v>
      </c>
      <c r="CE9" s="63" t="str">
        <f t="shared" si="8"/>
        <v>99</v>
      </c>
      <c r="CF9" s="63" t="str">
        <f t="shared" si="9"/>
        <v>109</v>
      </c>
      <c r="CG9" s="63" t="str">
        <f t="shared" si="10"/>
        <v>119</v>
      </c>
      <c r="CH9" s="63" t="str">
        <f t="shared" si="11"/>
        <v>129</v>
      </c>
      <c r="CI9" s="63" t="str">
        <f t="shared" si="12"/>
        <v>139</v>
      </c>
      <c r="CJ9" s="63" t="str">
        <f t="shared" si="13"/>
        <v>149</v>
      </c>
      <c r="CK9" s="63" t="str">
        <f t="shared" si="14"/>
        <v>159</v>
      </c>
      <c r="CL9" s="63" t="str">
        <f t="shared" si="15"/>
        <v>169</v>
      </c>
      <c r="CM9" s="63" t="str">
        <f t="shared" si="16"/>
        <v>179</v>
      </c>
      <c r="CN9" s="63" t="str">
        <f t="shared" si="17"/>
        <v>189</v>
      </c>
      <c r="CO9" s="63" t="str">
        <f t="shared" si="18"/>
        <v>199</v>
      </c>
      <c r="CP9" s="63" t="str">
        <f t="shared" si="19"/>
        <v>209</v>
      </c>
      <c r="CQ9" s="63" t="str">
        <f t="shared" si="20"/>
        <v>219</v>
      </c>
      <c r="CR9" s="63" t="str">
        <f t="shared" si="21"/>
        <v>229</v>
      </c>
      <c r="CS9" s="63" t="str">
        <f t="shared" si="22"/>
        <v>239</v>
      </c>
      <c r="CT9" s="63" t="str">
        <f t="shared" si="23"/>
        <v>249</v>
      </c>
      <c r="CU9" s="63" t="str">
        <f t="shared" si="24"/>
        <v>259</v>
      </c>
      <c r="CV9" s="63" t="str">
        <f t="shared" si="25"/>
        <v>269</v>
      </c>
      <c r="CW9" s="63" t="str">
        <f t="shared" si="26"/>
        <v>279</v>
      </c>
      <c r="CX9" s="63" t="str">
        <f t="shared" si="27"/>
        <v>289</v>
      </c>
      <c r="CY9" s="63" t="str">
        <f t="shared" si="28"/>
        <v>299</v>
      </c>
      <c r="CZ9" s="63" t="str">
        <f t="shared" si="29"/>
        <v>309</v>
      </c>
      <c r="DA9" s="63" t="str">
        <f t="shared" si="30"/>
        <v>319</v>
      </c>
      <c r="DB9" s="63" t="str">
        <f t="shared" si="31"/>
        <v>329</v>
      </c>
      <c r="DD9" s="72" t="s">
        <v>138</v>
      </c>
      <c r="DE9" s="77">
        <f t="shared" si="32"/>
        <v>0.79700000000000004</v>
      </c>
      <c r="DF9" s="77">
        <f t="shared" si="2"/>
        <v>0.86599999999999999</v>
      </c>
      <c r="DG9" s="77">
        <f t="shared" si="2"/>
        <v>0.93</v>
      </c>
      <c r="DH9" s="77">
        <f t="shared" si="2"/>
        <v>1.0009999999999999</v>
      </c>
      <c r="DI9" s="77">
        <f t="shared" si="2"/>
        <v>1.0629999999999999</v>
      </c>
      <c r="DJ9" s="77">
        <f t="shared" si="2"/>
        <v>0</v>
      </c>
      <c r="DK9" s="77">
        <f t="shared" si="2"/>
        <v>0</v>
      </c>
      <c r="DL9" s="77">
        <f t="shared" si="2"/>
        <v>0</v>
      </c>
      <c r="DM9" s="77">
        <f t="shared" si="2"/>
        <v>0</v>
      </c>
      <c r="DN9" s="77">
        <f t="shared" si="2"/>
        <v>0</v>
      </c>
      <c r="DO9" s="77">
        <f t="shared" si="2"/>
        <v>0</v>
      </c>
      <c r="DP9" s="77">
        <f t="shared" si="2"/>
        <v>0</v>
      </c>
      <c r="DQ9" s="77">
        <f t="shared" si="2"/>
        <v>0</v>
      </c>
      <c r="DR9" s="77">
        <f t="shared" si="2"/>
        <v>0</v>
      </c>
      <c r="DS9" s="77">
        <f t="shared" si="2"/>
        <v>0</v>
      </c>
      <c r="DT9" s="77">
        <f t="shared" si="2"/>
        <v>0</v>
      </c>
      <c r="DU9" s="77">
        <f t="shared" si="2"/>
        <v>0</v>
      </c>
      <c r="DV9" s="77">
        <f t="shared" si="3"/>
        <v>0</v>
      </c>
      <c r="DW9" s="77">
        <f t="shared" si="3"/>
        <v>0</v>
      </c>
      <c r="DX9" s="77">
        <f t="shared" si="3"/>
        <v>0</v>
      </c>
      <c r="DY9" s="77">
        <f t="shared" si="3"/>
        <v>0</v>
      </c>
      <c r="DZ9" s="77">
        <f t="shared" si="3"/>
        <v>0</v>
      </c>
      <c r="EA9" s="77">
        <f t="shared" si="3"/>
        <v>0</v>
      </c>
      <c r="EB9" s="77">
        <f t="shared" si="3"/>
        <v>0</v>
      </c>
      <c r="EC9" s="77">
        <f t="shared" si="3"/>
        <v>0</v>
      </c>
      <c r="ED9" s="77">
        <f t="shared" si="3"/>
        <v>0</v>
      </c>
      <c r="EE9" s="77">
        <f t="shared" si="3"/>
        <v>0</v>
      </c>
      <c r="EF9" s="77">
        <f t="shared" si="3"/>
        <v>0</v>
      </c>
      <c r="EG9" s="77">
        <f t="shared" si="3"/>
        <v>0</v>
      </c>
    </row>
    <row r="10" spans="1:142" ht="12.6" customHeight="1">
      <c r="A10" s="73">
        <v>10</v>
      </c>
      <c r="B10" s="74">
        <v>0.85899999999999999</v>
      </c>
      <c r="C10" s="74">
        <v>0.92399999999999993</v>
      </c>
      <c r="D10" s="74">
        <v>0.98699999999999999</v>
      </c>
      <c r="E10" s="74">
        <v>1.0530000000000002</v>
      </c>
      <c r="F10" s="74">
        <v>1.1100000000000001</v>
      </c>
      <c r="G10" s="74">
        <v>1.1580000000000001</v>
      </c>
      <c r="H10" s="74">
        <v>0</v>
      </c>
      <c r="I10" s="74"/>
      <c r="J10" s="74"/>
      <c r="K10" s="74"/>
      <c r="L10" s="74"/>
      <c r="M10" s="74"/>
      <c r="N10" s="74"/>
      <c r="O10" s="74"/>
      <c r="P10" s="74"/>
      <c r="Q10" s="74"/>
      <c r="R10" s="74"/>
      <c r="S10" s="74"/>
      <c r="T10" s="74"/>
      <c r="U10" s="74"/>
      <c r="V10" s="74"/>
      <c r="W10" s="74"/>
      <c r="X10" s="74"/>
      <c r="Y10" s="74"/>
      <c r="Z10" s="74"/>
      <c r="AA10" s="74"/>
      <c r="AB10" s="74"/>
      <c r="AC10" s="74"/>
      <c r="AD10" s="75"/>
      <c r="AE10" s="76"/>
      <c r="AF10" s="76"/>
      <c r="AG10" s="76"/>
      <c r="AH10" s="76"/>
      <c r="AI10" s="76"/>
      <c r="AJ10" s="76"/>
      <c r="AK10" s="76"/>
      <c r="AL10" s="76"/>
      <c r="AM10" s="76"/>
      <c r="AN10" s="76"/>
      <c r="AO10" s="76"/>
      <c r="AP10" s="76"/>
      <c r="AQ10" s="76"/>
      <c r="AR10" s="76"/>
      <c r="AS10" s="76"/>
      <c r="BZ10" s="63" t="str">
        <f t="shared" si="4"/>
        <v>410</v>
      </c>
      <c r="CA10" s="63" t="str">
        <f t="shared" si="1"/>
        <v>510</v>
      </c>
      <c r="CB10" s="63" t="str">
        <f t="shared" si="5"/>
        <v>610</v>
      </c>
      <c r="CC10" s="63" t="str">
        <f t="shared" si="6"/>
        <v>710</v>
      </c>
      <c r="CD10" s="63" t="str">
        <f t="shared" si="7"/>
        <v>810</v>
      </c>
      <c r="CE10" s="63" t="str">
        <f t="shared" si="8"/>
        <v>910</v>
      </c>
      <c r="CF10" s="63" t="str">
        <f t="shared" si="9"/>
        <v>1010</v>
      </c>
      <c r="CG10" s="63" t="str">
        <f t="shared" si="10"/>
        <v>1110</v>
      </c>
      <c r="CH10" s="63" t="str">
        <f t="shared" si="11"/>
        <v>1210</v>
      </c>
      <c r="CI10" s="63" t="str">
        <f t="shared" si="12"/>
        <v>1310</v>
      </c>
      <c r="CJ10" s="63" t="str">
        <f t="shared" si="13"/>
        <v>1410</v>
      </c>
      <c r="CK10" s="63" t="str">
        <f t="shared" si="14"/>
        <v>1510</v>
      </c>
      <c r="CL10" s="63" t="str">
        <f t="shared" si="15"/>
        <v>1610</v>
      </c>
      <c r="CM10" s="63" t="str">
        <f t="shared" si="16"/>
        <v>1710</v>
      </c>
      <c r="CN10" s="63" t="str">
        <f t="shared" si="17"/>
        <v>1810</v>
      </c>
      <c r="CO10" s="63" t="str">
        <f t="shared" si="18"/>
        <v>1910</v>
      </c>
      <c r="CP10" s="63" t="str">
        <f t="shared" si="19"/>
        <v>2010</v>
      </c>
      <c r="CQ10" s="63" t="str">
        <f t="shared" si="20"/>
        <v>2110</v>
      </c>
      <c r="CR10" s="63" t="str">
        <f t="shared" si="21"/>
        <v>2210</v>
      </c>
      <c r="CS10" s="63" t="str">
        <f t="shared" si="22"/>
        <v>2310</v>
      </c>
      <c r="CT10" s="63" t="str">
        <f t="shared" si="23"/>
        <v>2410</v>
      </c>
      <c r="CU10" s="63" t="str">
        <f t="shared" si="24"/>
        <v>2510</v>
      </c>
      <c r="CV10" s="63" t="str">
        <f t="shared" si="25"/>
        <v>2610</v>
      </c>
      <c r="CW10" s="63" t="str">
        <f t="shared" si="26"/>
        <v>2710</v>
      </c>
      <c r="CX10" s="63" t="str">
        <f t="shared" si="27"/>
        <v>2810</v>
      </c>
      <c r="CY10" s="63" t="str">
        <f t="shared" si="28"/>
        <v>2910</v>
      </c>
      <c r="CZ10" s="63" t="str">
        <f t="shared" si="29"/>
        <v>3010</v>
      </c>
      <c r="DA10" s="63" t="str">
        <f t="shared" si="30"/>
        <v>3110</v>
      </c>
      <c r="DB10" s="63" t="str">
        <f t="shared" si="31"/>
        <v>3210</v>
      </c>
      <c r="DD10" s="72" t="s">
        <v>139</v>
      </c>
      <c r="DE10" s="77">
        <f t="shared" si="32"/>
        <v>0.85899999999999999</v>
      </c>
      <c r="DF10" s="77">
        <f t="shared" si="2"/>
        <v>0.92400000000000004</v>
      </c>
      <c r="DG10" s="77">
        <f t="shared" si="2"/>
        <v>0.98699999999999999</v>
      </c>
      <c r="DH10" s="77">
        <f t="shared" si="2"/>
        <v>1.0529999999999999</v>
      </c>
      <c r="DI10" s="77">
        <f t="shared" si="2"/>
        <v>1.1100000000000001</v>
      </c>
      <c r="DJ10" s="77">
        <f t="shared" si="2"/>
        <v>1.1579999999999999</v>
      </c>
      <c r="DK10" s="77">
        <f t="shared" si="2"/>
        <v>0</v>
      </c>
      <c r="DL10" s="77">
        <f t="shared" si="2"/>
        <v>0</v>
      </c>
      <c r="DM10" s="77">
        <f t="shared" si="2"/>
        <v>0</v>
      </c>
      <c r="DN10" s="77">
        <f t="shared" si="2"/>
        <v>0</v>
      </c>
      <c r="DO10" s="77">
        <f t="shared" si="2"/>
        <v>0</v>
      </c>
      <c r="DP10" s="77">
        <f t="shared" si="2"/>
        <v>0</v>
      </c>
      <c r="DQ10" s="77">
        <f t="shared" si="2"/>
        <v>0</v>
      </c>
      <c r="DR10" s="77">
        <f t="shared" si="2"/>
        <v>0</v>
      </c>
      <c r="DS10" s="77">
        <f t="shared" si="2"/>
        <v>0</v>
      </c>
      <c r="DT10" s="77">
        <f t="shared" si="2"/>
        <v>0</v>
      </c>
      <c r="DU10" s="77">
        <f t="shared" si="2"/>
        <v>0</v>
      </c>
      <c r="DV10" s="77">
        <f t="shared" si="3"/>
        <v>0</v>
      </c>
      <c r="DW10" s="77">
        <f t="shared" si="3"/>
        <v>0</v>
      </c>
      <c r="DX10" s="77">
        <f t="shared" si="3"/>
        <v>0</v>
      </c>
      <c r="DY10" s="77">
        <f t="shared" si="3"/>
        <v>0</v>
      </c>
      <c r="DZ10" s="77">
        <f t="shared" si="3"/>
        <v>0</v>
      </c>
      <c r="EA10" s="77">
        <f t="shared" si="3"/>
        <v>0</v>
      </c>
      <c r="EB10" s="77">
        <f t="shared" si="3"/>
        <v>0</v>
      </c>
      <c r="EC10" s="77">
        <f t="shared" si="3"/>
        <v>0</v>
      </c>
      <c r="ED10" s="77">
        <f t="shared" si="3"/>
        <v>0</v>
      </c>
      <c r="EE10" s="77">
        <f t="shared" si="3"/>
        <v>0</v>
      </c>
      <c r="EF10" s="77">
        <f t="shared" si="3"/>
        <v>0</v>
      </c>
      <c r="EG10" s="77">
        <f t="shared" si="3"/>
        <v>0</v>
      </c>
    </row>
    <row r="11" spans="1:142" ht="12.6" customHeight="1">
      <c r="A11" s="73">
        <v>11</v>
      </c>
      <c r="B11" s="74">
        <v>0.89629999999999999</v>
      </c>
      <c r="C11" s="74">
        <v>0.95729999999999993</v>
      </c>
      <c r="D11" s="74">
        <v>1.0183</v>
      </c>
      <c r="E11" s="74">
        <v>1.0812999999999999</v>
      </c>
      <c r="F11" s="74">
        <v>1.1362999999999999</v>
      </c>
      <c r="G11" s="74">
        <v>1.1852999999999998</v>
      </c>
      <c r="H11" s="74">
        <v>1.2343</v>
      </c>
      <c r="I11" s="74">
        <v>0</v>
      </c>
      <c r="J11" s="74"/>
      <c r="K11" s="74"/>
      <c r="L11" s="74"/>
      <c r="M11" s="74"/>
      <c r="N11" s="74"/>
      <c r="O11" s="74"/>
      <c r="P11" s="74"/>
      <c r="Q11" s="74"/>
      <c r="R11" s="74"/>
      <c r="S11" s="74"/>
      <c r="T11" s="74"/>
      <c r="U11" s="74"/>
      <c r="V11" s="74"/>
      <c r="W11" s="74"/>
      <c r="X11" s="74"/>
      <c r="Y11" s="74"/>
      <c r="Z11" s="74"/>
      <c r="AA11" s="74"/>
      <c r="AB11" s="74"/>
      <c r="AC11" s="74"/>
      <c r="AD11" s="75"/>
      <c r="AE11" s="76"/>
      <c r="AF11" s="76"/>
      <c r="AG11" s="76"/>
      <c r="AH11" s="76"/>
      <c r="AI11" s="76"/>
      <c r="AJ11" s="76"/>
      <c r="AK11" s="76"/>
      <c r="AL11" s="76"/>
      <c r="AM11" s="76"/>
      <c r="AN11" s="76"/>
      <c r="AO11" s="76"/>
      <c r="AP11" s="76"/>
      <c r="AQ11" s="76"/>
      <c r="AR11" s="76"/>
      <c r="AS11" s="76"/>
      <c r="BZ11" s="63" t="str">
        <f t="shared" si="4"/>
        <v>411</v>
      </c>
      <c r="CA11" s="63" t="str">
        <f t="shared" si="1"/>
        <v>511</v>
      </c>
      <c r="CB11" s="63" t="str">
        <f t="shared" si="5"/>
        <v>611</v>
      </c>
      <c r="CC11" s="63" t="str">
        <f t="shared" si="6"/>
        <v>711</v>
      </c>
      <c r="CD11" s="63" t="str">
        <f t="shared" si="7"/>
        <v>811</v>
      </c>
      <c r="CE11" s="63" t="str">
        <f t="shared" si="8"/>
        <v>911</v>
      </c>
      <c r="CF11" s="63" t="str">
        <f t="shared" si="9"/>
        <v>1011</v>
      </c>
      <c r="CG11" s="63" t="str">
        <f t="shared" si="10"/>
        <v>1111</v>
      </c>
      <c r="CH11" s="63" t="str">
        <f t="shared" si="11"/>
        <v>1211</v>
      </c>
      <c r="CI11" s="63" t="str">
        <f t="shared" si="12"/>
        <v>1311</v>
      </c>
      <c r="CJ11" s="63" t="str">
        <f t="shared" si="13"/>
        <v>1411</v>
      </c>
      <c r="CK11" s="63" t="str">
        <f t="shared" si="14"/>
        <v>1511</v>
      </c>
      <c r="CL11" s="63" t="str">
        <f t="shared" si="15"/>
        <v>1611</v>
      </c>
      <c r="CM11" s="63" t="str">
        <f t="shared" si="16"/>
        <v>1711</v>
      </c>
      <c r="CN11" s="63" t="str">
        <f t="shared" si="17"/>
        <v>1811</v>
      </c>
      <c r="CO11" s="63" t="str">
        <f t="shared" si="18"/>
        <v>1911</v>
      </c>
      <c r="CP11" s="63" t="str">
        <f t="shared" si="19"/>
        <v>2011</v>
      </c>
      <c r="CQ11" s="63" t="str">
        <f t="shared" si="20"/>
        <v>2111</v>
      </c>
      <c r="CR11" s="63" t="str">
        <f t="shared" si="21"/>
        <v>2211</v>
      </c>
      <c r="CS11" s="63" t="str">
        <f t="shared" si="22"/>
        <v>2311</v>
      </c>
      <c r="CT11" s="63" t="str">
        <f t="shared" si="23"/>
        <v>2411</v>
      </c>
      <c r="CU11" s="63" t="str">
        <f t="shared" si="24"/>
        <v>2511</v>
      </c>
      <c r="CV11" s="63" t="str">
        <f t="shared" si="25"/>
        <v>2611</v>
      </c>
      <c r="CW11" s="63" t="str">
        <f t="shared" si="26"/>
        <v>2711</v>
      </c>
      <c r="CX11" s="63" t="str">
        <f t="shared" si="27"/>
        <v>2811</v>
      </c>
      <c r="CY11" s="63" t="str">
        <f t="shared" si="28"/>
        <v>2911</v>
      </c>
      <c r="CZ11" s="63" t="str">
        <f t="shared" si="29"/>
        <v>3011</v>
      </c>
      <c r="DA11" s="63" t="str">
        <f t="shared" si="30"/>
        <v>3111</v>
      </c>
      <c r="DB11" s="63" t="str">
        <f>$AD$3&amp;A11</f>
        <v>3211</v>
      </c>
      <c r="DD11" s="72" t="s">
        <v>140</v>
      </c>
      <c r="DE11" s="77">
        <f t="shared" si="32"/>
        <v>0.89600000000000002</v>
      </c>
      <c r="DF11" s="77">
        <f t="shared" si="2"/>
        <v>0.95699999999999996</v>
      </c>
      <c r="DG11" s="77">
        <f t="shared" si="2"/>
        <v>1.018</v>
      </c>
      <c r="DH11" s="77">
        <f t="shared" si="2"/>
        <v>1.081</v>
      </c>
      <c r="DI11" s="77">
        <f t="shared" si="2"/>
        <v>1.1359999999999999</v>
      </c>
      <c r="DJ11" s="77">
        <f t="shared" si="2"/>
        <v>1.1850000000000001</v>
      </c>
      <c r="DK11" s="77">
        <f t="shared" si="2"/>
        <v>1.234</v>
      </c>
      <c r="DL11" s="77">
        <f t="shared" si="2"/>
        <v>0</v>
      </c>
      <c r="DM11" s="77">
        <f t="shared" si="2"/>
        <v>0</v>
      </c>
      <c r="DN11" s="77">
        <f t="shared" si="2"/>
        <v>0</v>
      </c>
      <c r="DO11" s="77">
        <f t="shared" si="2"/>
        <v>0</v>
      </c>
      <c r="DP11" s="77">
        <f t="shared" si="2"/>
        <v>0</v>
      </c>
      <c r="DQ11" s="77">
        <f t="shared" si="2"/>
        <v>0</v>
      </c>
      <c r="DR11" s="77">
        <f t="shared" si="2"/>
        <v>0</v>
      </c>
      <c r="DS11" s="77">
        <f t="shared" si="2"/>
        <v>0</v>
      </c>
      <c r="DT11" s="77">
        <f t="shared" si="2"/>
        <v>0</v>
      </c>
      <c r="DU11" s="77">
        <f t="shared" si="2"/>
        <v>0</v>
      </c>
      <c r="DV11" s="77">
        <f t="shared" si="3"/>
        <v>0</v>
      </c>
      <c r="DW11" s="77">
        <f t="shared" si="3"/>
        <v>0</v>
      </c>
      <c r="DX11" s="77">
        <f t="shared" si="3"/>
        <v>0</v>
      </c>
      <c r="DY11" s="77">
        <f t="shared" si="3"/>
        <v>0</v>
      </c>
      <c r="DZ11" s="77">
        <f t="shared" si="3"/>
        <v>0</v>
      </c>
      <c r="EA11" s="77">
        <f t="shared" si="3"/>
        <v>0</v>
      </c>
      <c r="EB11" s="77">
        <f t="shared" si="3"/>
        <v>0</v>
      </c>
      <c r="EC11" s="77">
        <f t="shared" si="3"/>
        <v>0</v>
      </c>
      <c r="ED11" s="77">
        <f t="shared" si="3"/>
        <v>0</v>
      </c>
      <c r="EE11" s="77">
        <f t="shared" si="3"/>
        <v>0</v>
      </c>
      <c r="EF11" s="77">
        <f t="shared" si="3"/>
        <v>0</v>
      </c>
      <c r="EG11" s="77">
        <f t="shared" si="3"/>
        <v>0</v>
      </c>
    </row>
    <row r="12" spans="1:142" ht="12.6" customHeight="1">
      <c r="A12" s="73">
        <v>12</v>
      </c>
      <c r="B12" s="74">
        <v>0.94729999999999992</v>
      </c>
      <c r="C12" s="74">
        <v>1.0072999999999999</v>
      </c>
      <c r="D12" s="74">
        <v>1.0672999999999999</v>
      </c>
      <c r="E12" s="74">
        <v>1.1273</v>
      </c>
      <c r="F12" s="74">
        <v>1.1802999999999999</v>
      </c>
      <c r="G12" s="74">
        <v>1.2262999999999999</v>
      </c>
      <c r="H12" s="74">
        <v>1.2723</v>
      </c>
      <c r="I12" s="74">
        <v>1.3092999999999999</v>
      </c>
      <c r="J12" s="74">
        <v>0</v>
      </c>
      <c r="K12" s="74"/>
      <c r="L12" s="74"/>
      <c r="M12" s="74"/>
      <c r="N12" s="74"/>
      <c r="O12" s="74"/>
      <c r="P12" s="74"/>
      <c r="Q12" s="74"/>
      <c r="R12" s="74"/>
      <c r="S12" s="74"/>
      <c r="T12" s="74"/>
      <c r="U12" s="74"/>
      <c r="V12" s="74"/>
      <c r="W12" s="74"/>
      <c r="X12" s="74"/>
      <c r="Y12" s="74"/>
      <c r="Z12" s="74"/>
      <c r="AA12" s="74"/>
      <c r="AB12" s="74"/>
      <c r="AC12" s="74"/>
      <c r="AD12" s="75"/>
      <c r="AE12" s="76"/>
      <c r="AF12" s="76"/>
      <c r="AG12" s="76"/>
      <c r="AH12" s="76"/>
      <c r="AI12" s="76"/>
      <c r="AJ12" s="76"/>
      <c r="AK12" s="76"/>
      <c r="AL12" s="76"/>
      <c r="AM12" s="76"/>
      <c r="AN12" s="76"/>
      <c r="AO12" s="76"/>
      <c r="AP12" s="76"/>
      <c r="AQ12" s="76"/>
      <c r="AR12" s="76"/>
      <c r="AS12" s="76"/>
      <c r="BZ12" s="63" t="str">
        <f t="shared" si="4"/>
        <v>412</v>
      </c>
      <c r="CA12" s="63" t="str">
        <f t="shared" si="1"/>
        <v>512</v>
      </c>
      <c r="CB12" s="63" t="str">
        <f t="shared" si="5"/>
        <v>612</v>
      </c>
      <c r="CC12" s="63" t="str">
        <f t="shared" si="6"/>
        <v>712</v>
      </c>
      <c r="CD12" s="63" t="str">
        <f t="shared" si="7"/>
        <v>812</v>
      </c>
      <c r="CE12" s="63" t="str">
        <f t="shared" si="8"/>
        <v>912</v>
      </c>
      <c r="CF12" s="63" t="str">
        <f t="shared" si="9"/>
        <v>1012</v>
      </c>
      <c r="CG12" s="63" t="str">
        <f t="shared" si="10"/>
        <v>1112</v>
      </c>
      <c r="CH12" s="63" t="str">
        <f t="shared" si="11"/>
        <v>1212</v>
      </c>
      <c r="CI12" s="63" t="str">
        <f t="shared" si="12"/>
        <v>1312</v>
      </c>
      <c r="CJ12" s="63" t="str">
        <f t="shared" si="13"/>
        <v>1412</v>
      </c>
      <c r="CK12" s="63" t="str">
        <f t="shared" si="14"/>
        <v>1512</v>
      </c>
      <c r="CL12" s="63" t="str">
        <f t="shared" si="15"/>
        <v>1612</v>
      </c>
      <c r="CM12" s="63" t="str">
        <f t="shared" si="16"/>
        <v>1712</v>
      </c>
      <c r="CN12" s="63" t="str">
        <f t="shared" si="17"/>
        <v>1812</v>
      </c>
      <c r="CO12" s="63" t="str">
        <f t="shared" si="18"/>
        <v>1912</v>
      </c>
      <c r="CP12" s="63" t="str">
        <f t="shared" si="19"/>
        <v>2012</v>
      </c>
      <c r="CQ12" s="63" t="str">
        <f t="shared" si="20"/>
        <v>2112</v>
      </c>
      <c r="CR12" s="63" t="str">
        <f t="shared" si="21"/>
        <v>2212</v>
      </c>
      <c r="CS12" s="63" t="str">
        <f t="shared" si="22"/>
        <v>2312</v>
      </c>
      <c r="CT12" s="63" t="str">
        <f t="shared" si="23"/>
        <v>2412</v>
      </c>
      <c r="CU12" s="63" t="str">
        <f t="shared" si="24"/>
        <v>2512</v>
      </c>
      <c r="CV12" s="63" t="str">
        <f t="shared" si="25"/>
        <v>2612</v>
      </c>
      <c r="CW12" s="63" t="str">
        <f t="shared" si="26"/>
        <v>2712</v>
      </c>
      <c r="CX12" s="63" t="str">
        <f t="shared" si="27"/>
        <v>2812</v>
      </c>
      <c r="CY12" s="63" t="str">
        <f t="shared" si="28"/>
        <v>2912</v>
      </c>
      <c r="CZ12" s="63" t="str">
        <f t="shared" si="29"/>
        <v>3012</v>
      </c>
      <c r="DA12" s="63" t="str">
        <f t="shared" si="30"/>
        <v>3112</v>
      </c>
      <c r="DB12" s="63" t="str">
        <f t="shared" si="31"/>
        <v>3212</v>
      </c>
      <c r="DD12" s="72" t="s">
        <v>141</v>
      </c>
      <c r="DE12" s="77">
        <f t="shared" si="32"/>
        <v>0.94699999999999995</v>
      </c>
      <c r="DF12" s="77">
        <f t="shared" si="2"/>
        <v>1.0069999999999999</v>
      </c>
      <c r="DG12" s="77">
        <f t="shared" si="2"/>
        <v>1.0669999999999999</v>
      </c>
      <c r="DH12" s="77">
        <f t="shared" si="2"/>
        <v>1.127</v>
      </c>
      <c r="DI12" s="77">
        <f t="shared" si="2"/>
        <v>1.18</v>
      </c>
      <c r="DJ12" s="77">
        <f t="shared" si="2"/>
        <v>1.226</v>
      </c>
      <c r="DK12" s="77">
        <f t="shared" si="2"/>
        <v>1.272</v>
      </c>
      <c r="DL12" s="77">
        <f t="shared" si="2"/>
        <v>1.3089999999999999</v>
      </c>
      <c r="DM12" s="77">
        <f t="shared" si="2"/>
        <v>0</v>
      </c>
      <c r="DN12" s="77">
        <f t="shared" si="2"/>
        <v>0</v>
      </c>
      <c r="DO12" s="77">
        <f t="shared" si="2"/>
        <v>0</v>
      </c>
      <c r="DP12" s="77">
        <f t="shared" si="2"/>
        <v>0</v>
      </c>
      <c r="DQ12" s="77">
        <f t="shared" si="2"/>
        <v>0</v>
      </c>
      <c r="DR12" s="77">
        <f t="shared" si="2"/>
        <v>0</v>
      </c>
      <c r="DS12" s="77">
        <f t="shared" si="2"/>
        <v>0</v>
      </c>
      <c r="DT12" s="77">
        <f t="shared" si="2"/>
        <v>0</v>
      </c>
      <c r="DU12" s="77">
        <f t="shared" si="2"/>
        <v>0</v>
      </c>
      <c r="DV12" s="77">
        <f t="shared" si="3"/>
        <v>0</v>
      </c>
      <c r="DW12" s="77">
        <f t="shared" si="3"/>
        <v>0</v>
      </c>
      <c r="DX12" s="77">
        <f t="shared" si="3"/>
        <v>0</v>
      </c>
      <c r="DY12" s="77">
        <f t="shared" si="3"/>
        <v>0</v>
      </c>
      <c r="DZ12" s="77">
        <f t="shared" si="3"/>
        <v>0</v>
      </c>
      <c r="EA12" s="77">
        <f t="shared" si="3"/>
        <v>0</v>
      </c>
      <c r="EB12" s="77">
        <f t="shared" si="3"/>
        <v>0</v>
      </c>
      <c r="EC12" s="77">
        <f t="shared" si="3"/>
        <v>0</v>
      </c>
      <c r="ED12" s="77">
        <f t="shared" si="3"/>
        <v>0</v>
      </c>
      <c r="EE12" s="77">
        <f t="shared" si="3"/>
        <v>0</v>
      </c>
      <c r="EF12" s="77">
        <f t="shared" si="3"/>
        <v>0</v>
      </c>
      <c r="EG12" s="77">
        <f t="shared" si="3"/>
        <v>0</v>
      </c>
    </row>
    <row r="13" spans="1:142" ht="12.6" customHeight="1">
      <c r="A13" s="73">
        <v>13</v>
      </c>
      <c r="B13" s="74">
        <v>0.99499999999999988</v>
      </c>
      <c r="C13" s="74">
        <v>1.0529999999999999</v>
      </c>
      <c r="D13" s="74">
        <v>1.111</v>
      </c>
      <c r="E13" s="74">
        <v>1.169</v>
      </c>
      <c r="F13" s="74">
        <v>1.2209999999999999</v>
      </c>
      <c r="G13" s="74">
        <v>1.2669999999999999</v>
      </c>
      <c r="H13" s="74">
        <v>1.3029999999999999</v>
      </c>
      <c r="I13" s="74">
        <v>1.3439999999999999</v>
      </c>
      <c r="J13" s="74">
        <v>1.3919999999999999</v>
      </c>
      <c r="K13" s="74">
        <v>0</v>
      </c>
      <c r="L13" s="74"/>
      <c r="M13" s="74"/>
      <c r="N13" s="74"/>
      <c r="O13" s="74"/>
      <c r="P13" s="74"/>
      <c r="Q13" s="74"/>
      <c r="R13" s="74"/>
      <c r="S13" s="74"/>
      <c r="T13" s="74"/>
      <c r="U13" s="74"/>
      <c r="V13" s="74"/>
      <c r="W13" s="74"/>
      <c r="X13" s="74"/>
      <c r="Y13" s="74"/>
      <c r="Z13" s="74"/>
      <c r="AA13" s="74"/>
      <c r="AB13" s="74"/>
      <c r="AC13" s="74"/>
      <c r="AD13" s="75"/>
      <c r="AE13" s="76"/>
      <c r="AF13" s="76"/>
      <c r="AG13" s="76"/>
      <c r="AH13" s="76"/>
      <c r="AI13" s="76"/>
      <c r="AJ13" s="76"/>
      <c r="AK13" s="76"/>
      <c r="AL13" s="76"/>
      <c r="AM13" s="76"/>
      <c r="AN13" s="76"/>
      <c r="AO13" s="76"/>
      <c r="AP13" s="76"/>
      <c r="AQ13" s="76"/>
      <c r="AR13" s="76"/>
      <c r="AS13" s="76"/>
      <c r="BZ13" s="63" t="str">
        <f t="shared" si="4"/>
        <v>413</v>
      </c>
      <c r="CA13" s="63" t="str">
        <f t="shared" si="1"/>
        <v>513</v>
      </c>
      <c r="CB13" s="63" t="str">
        <f t="shared" si="5"/>
        <v>613</v>
      </c>
      <c r="CC13" s="63" t="str">
        <f t="shared" si="6"/>
        <v>713</v>
      </c>
      <c r="CD13" s="63" t="str">
        <f t="shared" si="7"/>
        <v>813</v>
      </c>
      <c r="CE13" s="63" t="str">
        <f t="shared" si="8"/>
        <v>913</v>
      </c>
      <c r="CF13" s="63" t="str">
        <f t="shared" si="9"/>
        <v>1013</v>
      </c>
      <c r="CG13" s="63" t="str">
        <f t="shared" si="10"/>
        <v>1113</v>
      </c>
      <c r="CH13" s="63" t="str">
        <f t="shared" si="11"/>
        <v>1213</v>
      </c>
      <c r="CI13" s="63" t="str">
        <f t="shared" si="12"/>
        <v>1313</v>
      </c>
      <c r="CJ13" s="63" t="str">
        <f t="shared" si="13"/>
        <v>1413</v>
      </c>
      <c r="CK13" s="63" t="str">
        <f t="shared" si="14"/>
        <v>1513</v>
      </c>
      <c r="CL13" s="63" t="str">
        <f t="shared" si="15"/>
        <v>1613</v>
      </c>
      <c r="CM13" s="63" t="str">
        <f t="shared" si="16"/>
        <v>1713</v>
      </c>
      <c r="CN13" s="63" t="str">
        <f t="shared" si="17"/>
        <v>1813</v>
      </c>
      <c r="CO13" s="63" t="str">
        <f t="shared" si="18"/>
        <v>1913</v>
      </c>
      <c r="CP13" s="63" t="str">
        <f t="shared" si="19"/>
        <v>2013</v>
      </c>
      <c r="CQ13" s="63" t="str">
        <f t="shared" si="20"/>
        <v>2113</v>
      </c>
      <c r="CR13" s="63" t="str">
        <f t="shared" si="21"/>
        <v>2213</v>
      </c>
      <c r="CS13" s="63" t="str">
        <f t="shared" si="22"/>
        <v>2313</v>
      </c>
      <c r="CT13" s="63" t="str">
        <f t="shared" si="23"/>
        <v>2413</v>
      </c>
      <c r="CU13" s="63" t="str">
        <f t="shared" si="24"/>
        <v>2513</v>
      </c>
      <c r="CV13" s="63" t="str">
        <f t="shared" si="25"/>
        <v>2613</v>
      </c>
      <c r="CW13" s="63" t="str">
        <f t="shared" si="26"/>
        <v>2713</v>
      </c>
      <c r="CX13" s="63" t="str">
        <f t="shared" si="27"/>
        <v>2813</v>
      </c>
      <c r="CY13" s="63" t="str">
        <f t="shared" si="28"/>
        <v>2913</v>
      </c>
      <c r="CZ13" s="63" t="str">
        <f t="shared" si="29"/>
        <v>3013</v>
      </c>
      <c r="DA13" s="63" t="str">
        <f t="shared" si="30"/>
        <v>3113</v>
      </c>
      <c r="DB13" s="63" t="str">
        <f t="shared" si="31"/>
        <v>3213</v>
      </c>
      <c r="DD13" s="72" t="s">
        <v>142</v>
      </c>
      <c r="DE13" s="77">
        <f t="shared" si="32"/>
        <v>0.995</v>
      </c>
      <c r="DF13" s="77">
        <f t="shared" si="2"/>
        <v>1.0529999999999999</v>
      </c>
      <c r="DG13" s="77">
        <f t="shared" si="2"/>
        <v>1.111</v>
      </c>
      <c r="DH13" s="77">
        <f t="shared" si="2"/>
        <v>1.169</v>
      </c>
      <c r="DI13" s="77">
        <f t="shared" si="2"/>
        <v>1.2210000000000001</v>
      </c>
      <c r="DJ13" s="77">
        <f t="shared" si="2"/>
        <v>1.2669999999999999</v>
      </c>
      <c r="DK13" s="77">
        <f t="shared" si="2"/>
        <v>1.3029999999999999</v>
      </c>
      <c r="DL13" s="77">
        <f t="shared" si="2"/>
        <v>1.3440000000000001</v>
      </c>
      <c r="DM13" s="77">
        <f t="shared" si="2"/>
        <v>1.3919999999999999</v>
      </c>
      <c r="DN13" s="77">
        <f t="shared" si="2"/>
        <v>0</v>
      </c>
      <c r="DO13" s="77">
        <f t="shared" si="2"/>
        <v>0</v>
      </c>
      <c r="DP13" s="77">
        <f t="shared" si="2"/>
        <v>0</v>
      </c>
      <c r="DQ13" s="77">
        <f t="shared" si="2"/>
        <v>0</v>
      </c>
      <c r="DR13" s="77">
        <f t="shared" si="2"/>
        <v>0</v>
      </c>
      <c r="DS13" s="77">
        <f t="shared" si="2"/>
        <v>0</v>
      </c>
      <c r="DT13" s="77">
        <f t="shared" si="2"/>
        <v>0</v>
      </c>
      <c r="DU13" s="77">
        <f t="shared" si="2"/>
        <v>0</v>
      </c>
      <c r="DV13" s="77">
        <f t="shared" si="3"/>
        <v>0</v>
      </c>
      <c r="DW13" s="77">
        <f t="shared" si="3"/>
        <v>0</v>
      </c>
      <c r="DX13" s="77">
        <f t="shared" si="3"/>
        <v>0</v>
      </c>
      <c r="DY13" s="77">
        <f t="shared" si="3"/>
        <v>0</v>
      </c>
      <c r="DZ13" s="77">
        <f t="shared" si="3"/>
        <v>0</v>
      </c>
      <c r="EA13" s="77">
        <f t="shared" si="3"/>
        <v>0</v>
      </c>
      <c r="EB13" s="77">
        <f t="shared" si="3"/>
        <v>0</v>
      </c>
      <c r="EC13" s="77">
        <f t="shared" si="3"/>
        <v>0</v>
      </c>
      <c r="ED13" s="77">
        <f t="shared" si="3"/>
        <v>0</v>
      </c>
      <c r="EE13" s="77">
        <f t="shared" si="3"/>
        <v>0</v>
      </c>
      <c r="EF13" s="77">
        <f t="shared" si="3"/>
        <v>0</v>
      </c>
      <c r="EG13" s="77">
        <f t="shared" si="3"/>
        <v>0</v>
      </c>
    </row>
    <row r="14" spans="1:142" ht="12.6" customHeight="1">
      <c r="A14" s="73">
        <v>14</v>
      </c>
      <c r="B14" s="74">
        <v>1.004</v>
      </c>
      <c r="C14" s="74">
        <v>1.0599999999999998</v>
      </c>
      <c r="D14" s="74">
        <v>1.117</v>
      </c>
      <c r="E14" s="74">
        <v>1.1729999999999998</v>
      </c>
      <c r="F14" s="74">
        <v>1.2229999999999999</v>
      </c>
      <c r="G14" s="74">
        <v>1.2689999999999999</v>
      </c>
      <c r="H14" s="74">
        <v>1.3129999999999999</v>
      </c>
      <c r="I14" s="74">
        <v>1.3539999999999999</v>
      </c>
      <c r="J14" s="74">
        <v>1.3989999999999998</v>
      </c>
      <c r="K14" s="74">
        <v>1.4349999999999998</v>
      </c>
      <c r="L14" s="74">
        <v>0</v>
      </c>
      <c r="M14" s="74"/>
      <c r="N14" s="74"/>
      <c r="O14" s="74"/>
      <c r="P14" s="74"/>
      <c r="Q14" s="74"/>
      <c r="R14" s="74"/>
      <c r="S14" s="74"/>
      <c r="T14" s="74"/>
      <c r="U14" s="74"/>
      <c r="V14" s="74"/>
      <c r="W14" s="74"/>
      <c r="X14" s="74"/>
      <c r="Y14" s="74"/>
      <c r="Z14" s="74"/>
      <c r="AA14" s="74"/>
      <c r="AB14" s="74"/>
      <c r="AC14" s="74"/>
      <c r="AD14" s="75"/>
      <c r="AE14" s="76"/>
      <c r="AF14" s="76"/>
      <c r="AG14" s="76"/>
      <c r="AH14" s="76"/>
      <c r="AI14" s="76"/>
      <c r="AJ14" s="76"/>
      <c r="AK14" s="76"/>
      <c r="AL14" s="76"/>
      <c r="AM14" s="76"/>
      <c r="AN14" s="76"/>
      <c r="AO14" s="76"/>
      <c r="AP14" s="76"/>
      <c r="AQ14" s="76"/>
      <c r="AR14" s="76"/>
      <c r="AS14" s="76"/>
      <c r="BZ14" s="63" t="str">
        <f t="shared" si="4"/>
        <v>414</v>
      </c>
      <c r="CA14" s="63" t="str">
        <f t="shared" si="1"/>
        <v>514</v>
      </c>
      <c r="CB14" s="63" t="str">
        <f t="shared" si="5"/>
        <v>614</v>
      </c>
      <c r="CC14" s="63" t="str">
        <f t="shared" si="6"/>
        <v>714</v>
      </c>
      <c r="CD14" s="63" t="str">
        <f t="shared" si="7"/>
        <v>814</v>
      </c>
      <c r="CE14" s="63" t="str">
        <f t="shared" si="8"/>
        <v>914</v>
      </c>
      <c r="CF14" s="63" t="str">
        <f t="shared" si="9"/>
        <v>1014</v>
      </c>
      <c r="CG14" s="63" t="str">
        <f t="shared" si="10"/>
        <v>1114</v>
      </c>
      <c r="CH14" s="63" t="str">
        <f t="shared" si="11"/>
        <v>1214</v>
      </c>
      <c r="CI14" s="63" t="str">
        <f t="shared" si="12"/>
        <v>1314</v>
      </c>
      <c r="CJ14" s="63" t="str">
        <f t="shared" si="13"/>
        <v>1414</v>
      </c>
      <c r="CK14" s="63" t="str">
        <f t="shared" si="14"/>
        <v>1514</v>
      </c>
      <c r="CL14" s="63" t="str">
        <f t="shared" si="15"/>
        <v>1614</v>
      </c>
      <c r="CM14" s="63" t="str">
        <f t="shared" si="16"/>
        <v>1714</v>
      </c>
      <c r="CN14" s="63" t="str">
        <f t="shared" si="17"/>
        <v>1814</v>
      </c>
      <c r="CO14" s="63" t="str">
        <f t="shared" si="18"/>
        <v>1914</v>
      </c>
      <c r="CP14" s="63" t="str">
        <f t="shared" si="19"/>
        <v>2014</v>
      </c>
      <c r="CQ14" s="63" t="str">
        <f t="shared" si="20"/>
        <v>2114</v>
      </c>
      <c r="CR14" s="63" t="str">
        <f t="shared" si="21"/>
        <v>2214</v>
      </c>
      <c r="CS14" s="63" t="str">
        <f t="shared" si="22"/>
        <v>2314</v>
      </c>
      <c r="CT14" s="63" t="str">
        <f t="shared" si="23"/>
        <v>2414</v>
      </c>
      <c r="CU14" s="63" t="str">
        <f t="shared" si="24"/>
        <v>2514</v>
      </c>
      <c r="CV14" s="63" t="str">
        <f t="shared" si="25"/>
        <v>2614</v>
      </c>
      <c r="CW14" s="63" t="str">
        <f t="shared" si="26"/>
        <v>2714</v>
      </c>
      <c r="CX14" s="63" t="str">
        <f t="shared" si="27"/>
        <v>2814</v>
      </c>
      <c r="CY14" s="63" t="str">
        <f t="shared" si="28"/>
        <v>2914</v>
      </c>
      <c r="CZ14" s="63" t="str">
        <f t="shared" si="29"/>
        <v>3014</v>
      </c>
      <c r="DA14" s="63" t="str">
        <f t="shared" si="30"/>
        <v>3114</v>
      </c>
      <c r="DB14" s="63" t="str">
        <f t="shared" si="31"/>
        <v>3214</v>
      </c>
      <c r="DD14" s="72" t="s">
        <v>143</v>
      </c>
      <c r="DE14" s="77">
        <f t="shared" si="32"/>
        <v>1.004</v>
      </c>
      <c r="DF14" s="77">
        <f t="shared" si="2"/>
        <v>1.06</v>
      </c>
      <c r="DG14" s="77">
        <f t="shared" si="2"/>
        <v>1.117</v>
      </c>
      <c r="DH14" s="77">
        <f t="shared" si="2"/>
        <v>1.173</v>
      </c>
      <c r="DI14" s="77">
        <f t="shared" si="2"/>
        <v>1.2230000000000001</v>
      </c>
      <c r="DJ14" s="77">
        <f t="shared" si="2"/>
        <v>1.2689999999999999</v>
      </c>
      <c r="DK14" s="77">
        <f t="shared" si="2"/>
        <v>1.3129999999999999</v>
      </c>
      <c r="DL14" s="77">
        <f t="shared" si="2"/>
        <v>1.3540000000000001</v>
      </c>
      <c r="DM14" s="77">
        <f t="shared" si="2"/>
        <v>1.399</v>
      </c>
      <c r="DN14" s="77">
        <f t="shared" si="2"/>
        <v>1.4350000000000001</v>
      </c>
      <c r="DO14" s="77">
        <f t="shared" si="2"/>
        <v>0</v>
      </c>
      <c r="DP14" s="77">
        <f t="shared" si="2"/>
        <v>0</v>
      </c>
      <c r="DQ14" s="77">
        <f t="shared" si="2"/>
        <v>0</v>
      </c>
      <c r="DR14" s="77">
        <f t="shared" si="2"/>
        <v>0</v>
      </c>
      <c r="DS14" s="77">
        <f t="shared" si="2"/>
        <v>0</v>
      </c>
      <c r="DT14" s="77">
        <f t="shared" si="2"/>
        <v>0</v>
      </c>
      <c r="DU14" s="77">
        <f t="shared" si="2"/>
        <v>0</v>
      </c>
      <c r="DV14" s="77">
        <f t="shared" si="3"/>
        <v>0</v>
      </c>
      <c r="DW14" s="77">
        <f t="shared" si="3"/>
        <v>0</v>
      </c>
      <c r="DX14" s="77">
        <f t="shared" si="3"/>
        <v>0</v>
      </c>
      <c r="DY14" s="77">
        <f t="shared" si="3"/>
        <v>0</v>
      </c>
      <c r="DZ14" s="77">
        <f t="shared" si="3"/>
        <v>0</v>
      </c>
      <c r="EA14" s="77">
        <f t="shared" si="3"/>
        <v>0</v>
      </c>
      <c r="EB14" s="77">
        <f t="shared" si="3"/>
        <v>0</v>
      </c>
      <c r="EC14" s="77">
        <f t="shared" si="3"/>
        <v>0</v>
      </c>
      <c r="ED14" s="77">
        <f t="shared" si="3"/>
        <v>0</v>
      </c>
      <c r="EE14" s="77">
        <f t="shared" si="3"/>
        <v>0</v>
      </c>
      <c r="EF14" s="77">
        <f t="shared" si="3"/>
        <v>0</v>
      </c>
      <c r="EG14" s="77">
        <f t="shared" si="3"/>
        <v>0</v>
      </c>
    </row>
    <row r="15" spans="1:142" ht="12.6" customHeight="1">
      <c r="A15" s="73">
        <v>15</v>
      </c>
      <c r="B15" s="74">
        <v>1.0379999999999998</v>
      </c>
      <c r="C15" s="74">
        <v>1.0919999999999999</v>
      </c>
      <c r="D15" s="74">
        <v>1.1469999999999998</v>
      </c>
      <c r="E15" s="74">
        <v>1.2009999999999998</v>
      </c>
      <c r="F15" s="74">
        <v>1.25</v>
      </c>
      <c r="G15" s="74">
        <v>1.2939999999999998</v>
      </c>
      <c r="H15" s="74">
        <v>1.3359999999999999</v>
      </c>
      <c r="I15" s="74">
        <v>1.375</v>
      </c>
      <c r="J15" s="74">
        <v>1.4149999999999998</v>
      </c>
      <c r="K15" s="74">
        <v>1.4369999999999998</v>
      </c>
      <c r="L15" s="74">
        <v>1.4689999999999999</v>
      </c>
      <c r="M15" s="74">
        <v>0</v>
      </c>
      <c r="N15" s="74"/>
      <c r="O15" s="74"/>
      <c r="P15" s="74"/>
      <c r="Q15" s="74"/>
      <c r="R15" s="74"/>
      <c r="S15" s="74"/>
      <c r="T15" s="74"/>
      <c r="U15" s="74"/>
      <c r="V15" s="74"/>
      <c r="W15" s="74"/>
      <c r="X15" s="74"/>
      <c r="Y15" s="74"/>
      <c r="Z15" s="74"/>
      <c r="AA15" s="74"/>
      <c r="AB15" s="74"/>
      <c r="AC15" s="74"/>
      <c r="AD15" s="75"/>
      <c r="AE15" s="76"/>
      <c r="AF15" s="76"/>
      <c r="AG15" s="76"/>
      <c r="AH15" s="76"/>
      <c r="AI15" s="76"/>
      <c r="AJ15" s="76"/>
      <c r="AK15" s="76"/>
      <c r="AL15" s="76"/>
      <c r="AM15" s="76"/>
      <c r="AN15" s="76"/>
      <c r="AO15" s="76"/>
      <c r="AP15" s="76"/>
      <c r="AQ15" s="76"/>
      <c r="AR15" s="76"/>
      <c r="AS15" s="76"/>
      <c r="BZ15" s="63" t="str">
        <f t="shared" si="4"/>
        <v>415</v>
      </c>
      <c r="CA15" s="63" t="str">
        <f t="shared" si="1"/>
        <v>515</v>
      </c>
      <c r="CB15" s="63" t="str">
        <f t="shared" si="5"/>
        <v>615</v>
      </c>
      <c r="CC15" s="63" t="str">
        <f t="shared" si="6"/>
        <v>715</v>
      </c>
      <c r="CD15" s="63" t="str">
        <f t="shared" si="7"/>
        <v>815</v>
      </c>
      <c r="CE15" s="63" t="str">
        <f t="shared" si="8"/>
        <v>915</v>
      </c>
      <c r="CF15" s="63" t="str">
        <f t="shared" si="9"/>
        <v>1015</v>
      </c>
      <c r="CG15" s="63" t="str">
        <f t="shared" si="10"/>
        <v>1115</v>
      </c>
      <c r="CH15" s="63" t="str">
        <f t="shared" si="11"/>
        <v>1215</v>
      </c>
      <c r="CI15" s="63" t="str">
        <f t="shared" si="12"/>
        <v>1315</v>
      </c>
      <c r="CJ15" s="63" t="str">
        <f t="shared" si="13"/>
        <v>1415</v>
      </c>
      <c r="CK15" s="63" t="str">
        <f t="shared" si="14"/>
        <v>1515</v>
      </c>
      <c r="CL15" s="63" t="str">
        <f t="shared" si="15"/>
        <v>1615</v>
      </c>
      <c r="CM15" s="63" t="str">
        <f t="shared" si="16"/>
        <v>1715</v>
      </c>
      <c r="CN15" s="63" t="str">
        <f t="shared" si="17"/>
        <v>1815</v>
      </c>
      <c r="CO15" s="63" t="str">
        <f t="shared" si="18"/>
        <v>1915</v>
      </c>
      <c r="CP15" s="63" t="str">
        <f t="shared" si="19"/>
        <v>2015</v>
      </c>
      <c r="CQ15" s="63" t="str">
        <f t="shared" si="20"/>
        <v>2115</v>
      </c>
      <c r="CR15" s="63" t="str">
        <f t="shared" si="21"/>
        <v>2215</v>
      </c>
      <c r="CS15" s="63" t="str">
        <f t="shared" si="22"/>
        <v>2315</v>
      </c>
      <c r="CT15" s="63" t="str">
        <f t="shared" si="23"/>
        <v>2415</v>
      </c>
      <c r="CU15" s="63" t="str">
        <f t="shared" si="24"/>
        <v>2515</v>
      </c>
      <c r="CV15" s="63" t="str">
        <f t="shared" si="25"/>
        <v>2615</v>
      </c>
      <c r="CW15" s="63" t="str">
        <f t="shared" si="26"/>
        <v>2715</v>
      </c>
      <c r="CX15" s="63" t="str">
        <f t="shared" si="27"/>
        <v>2815</v>
      </c>
      <c r="CY15" s="63" t="str">
        <f t="shared" si="28"/>
        <v>2915</v>
      </c>
      <c r="CZ15" s="63" t="str">
        <f t="shared" si="29"/>
        <v>3015</v>
      </c>
      <c r="DA15" s="63" t="str">
        <f t="shared" si="30"/>
        <v>3115</v>
      </c>
      <c r="DB15" s="63" t="str">
        <f t="shared" si="31"/>
        <v>3215</v>
      </c>
      <c r="DD15" s="72" t="s">
        <v>144</v>
      </c>
      <c r="DE15" s="77">
        <f t="shared" si="32"/>
        <v>1.038</v>
      </c>
      <c r="DF15" s="77">
        <f t="shared" si="2"/>
        <v>1.0920000000000001</v>
      </c>
      <c r="DG15" s="77">
        <f t="shared" si="2"/>
        <v>1.147</v>
      </c>
      <c r="DH15" s="77">
        <f t="shared" si="2"/>
        <v>1.2010000000000001</v>
      </c>
      <c r="DI15" s="77">
        <f t="shared" si="2"/>
        <v>1.25</v>
      </c>
      <c r="DJ15" s="77">
        <f t="shared" si="2"/>
        <v>1.294</v>
      </c>
      <c r="DK15" s="77">
        <f t="shared" si="2"/>
        <v>1.3360000000000001</v>
      </c>
      <c r="DL15" s="77">
        <f t="shared" si="2"/>
        <v>1.375</v>
      </c>
      <c r="DM15" s="77">
        <f t="shared" si="2"/>
        <v>1.415</v>
      </c>
      <c r="DN15" s="77">
        <f t="shared" si="2"/>
        <v>1.4370000000000001</v>
      </c>
      <c r="DO15" s="77">
        <f t="shared" si="2"/>
        <v>1.4690000000000001</v>
      </c>
      <c r="DP15" s="77">
        <f t="shared" si="2"/>
        <v>0</v>
      </c>
      <c r="DQ15" s="77">
        <f t="shared" si="2"/>
        <v>0</v>
      </c>
      <c r="DR15" s="77">
        <f t="shared" si="2"/>
        <v>0</v>
      </c>
      <c r="DS15" s="77">
        <f t="shared" si="2"/>
        <v>0</v>
      </c>
      <c r="DT15" s="77">
        <f t="shared" si="2"/>
        <v>0</v>
      </c>
      <c r="DU15" s="77">
        <f t="shared" si="2"/>
        <v>0</v>
      </c>
      <c r="DV15" s="77">
        <f t="shared" si="3"/>
        <v>0</v>
      </c>
      <c r="DW15" s="77">
        <f t="shared" si="3"/>
        <v>0</v>
      </c>
      <c r="DX15" s="77">
        <f t="shared" si="3"/>
        <v>0</v>
      </c>
      <c r="DY15" s="77">
        <f t="shared" si="3"/>
        <v>0</v>
      </c>
      <c r="DZ15" s="77">
        <f t="shared" si="3"/>
        <v>0</v>
      </c>
      <c r="EA15" s="77">
        <f t="shared" si="3"/>
        <v>0</v>
      </c>
      <c r="EB15" s="77">
        <f t="shared" si="3"/>
        <v>0</v>
      </c>
      <c r="EC15" s="77">
        <f t="shared" si="3"/>
        <v>0</v>
      </c>
      <c r="ED15" s="77">
        <f t="shared" si="3"/>
        <v>0</v>
      </c>
      <c r="EE15" s="77">
        <f t="shared" si="3"/>
        <v>0</v>
      </c>
      <c r="EF15" s="77">
        <f t="shared" si="3"/>
        <v>0</v>
      </c>
      <c r="EG15" s="77">
        <f t="shared" si="3"/>
        <v>0</v>
      </c>
    </row>
    <row r="16" spans="1:142" ht="12.6" customHeight="1">
      <c r="A16" s="73">
        <v>16</v>
      </c>
      <c r="B16" s="74">
        <v>1.081</v>
      </c>
      <c r="C16" s="74">
        <v>1.123</v>
      </c>
      <c r="D16" s="74">
        <v>1.1759999999999999</v>
      </c>
      <c r="E16" s="74">
        <v>1.2269999999999999</v>
      </c>
      <c r="F16" s="74">
        <v>1.2729999999999999</v>
      </c>
      <c r="G16" s="74">
        <v>1.3139999999999998</v>
      </c>
      <c r="H16" s="74">
        <v>1.353</v>
      </c>
      <c r="I16" s="74">
        <v>1.3869999999999998</v>
      </c>
      <c r="J16" s="74">
        <v>1.42</v>
      </c>
      <c r="K16" s="74">
        <v>1.4429999999999998</v>
      </c>
      <c r="L16" s="74">
        <v>1.452</v>
      </c>
      <c r="M16" s="74">
        <v>1.4349999999999998</v>
      </c>
      <c r="N16" s="74">
        <v>0</v>
      </c>
      <c r="O16" s="74"/>
      <c r="P16" s="74"/>
      <c r="Q16" s="74"/>
      <c r="R16" s="74"/>
      <c r="S16" s="74"/>
      <c r="T16" s="74"/>
      <c r="U16" s="74"/>
      <c r="V16" s="74"/>
      <c r="W16" s="74"/>
      <c r="X16" s="74"/>
      <c r="Y16" s="74"/>
      <c r="Z16" s="74"/>
      <c r="AA16" s="74"/>
      <c r="AB16" s="74"/>
      <c r="AC16" s="74"/>
      <c r="AD16" s="75"/>
      <c r="AE16" s="76"/>
      <c r="AF16" s="76"/>
      <c r="AG16" s="76"/>
      <c r="AH16" s="76"/>
      <c r="AI16" s="76"/>
      <c r="AJ16" s="76"/>
      <c r="AK16" s="76"/>
      <c r="AL16" s="76"/>
      <c r="AM16" s="76"/>
      <c r="AN16" s="76"/>
      <c r="AO16" s="76"/>
      <c r="AP16" s="76"/>
      <c r="AQ16" s="76"/>
      <c r="AR16" s="76"/>
      <c r="AS16" s="76"/>
      <c r="BZ16" s="63" t="str">
        <f t="shared" si="4"/>
        <v>416</v>
      </c>
      <c r="CA16" s="63" t="str">
        <f t="shared" si="1"/>
        <v>516</v>
      </c>
      <c r="CB16" s="63" t="str">
        <f t="shared" si="5"/>
        <v>616</v>
      </c>
      <c r="CC16" s="63" t="str">
        <f t="shared" si="6"/>
        <v>716</v>
      </c>
      <c r="CD16" s="63" t="str">
        <f t="shared" si="7"/>
        <v>816</v>
      </c>
      <c r="CE16" s="63" t="str">
        <f t="shared" si="8"/>
        <v>916</v>
      </c>
      <c r="CF16" s="63" t="str">
        <f t="shared" si="9"/>
        <v>1016</v>
      </c>
      <c r="CG16" s="63" t="str">
        <f t="shared" si="10"/>
        <v>1116</v>
      </c>
      <c r="CH16" s="63" t="str">
        <f t="shared" si="11"/>
        <v>1216</v>
      </c>
      <c r="CI16" s="63" t="str">
        <f t="shared" si="12"/>
        <v>1316</v>
      </c>
      <c r="CJ16" s="63" t="str">
        <f t="shared" si="13"/>
        <v>1416</v>
      </c>
      <c r="CK16" s="63" t="str">
        <f t="shared" si="14"/>
        <v>1516</v>
      </c>
      <c r="CL16" s="63" t="str">
        <f t="shared" si="15"/>
        <v>1616</v>
      </c>
      <c r="CM16" s="63" t="str">
        <f t="shared" si="16"/>
        <v>1716</v>
      </c>
      <c r="CN16" s="63" t="str">
        <f t="shared" si="17"/>
        <v>1816</v>
      </c>
      <c r="CO16" s="63" t="str">
        <f t="shared" si="18"/>
        <v>1916</v>
      </c>
      <c r="CP16" s="63" t="str">
        <f t="shared" si="19"/>
        <v>2016</v>
      </c>
      <c r="CQ16" s="63" t="str">
        <f t="shared" si="20"/>
        <v>2116</v>
      </c>
      <c r="CR16" s="63" t="str">
        <f t="shared" si="21"/>
        <v>2216</v>
      </c>
      <c r="CS16" s="63" t="str">
        <f t="shared" si="22"/>
        <v>2316</v>
      </c>
      <c r="CT16" s="63" t="str">
        <f t="shared" si="23"/>
        <v>2416</v>
      </c>
      <c r="CU16" s="63" t="str">
        <f t="shared" si="24"/>
        <v>2516</v>
      </c>
      <c r="CV16" s="63" t="str">
        <f t="shared" si="25"/>
        <v>2616</v>
      </c>
      <c r="CW16" s="63" t="str">
        <f t="shared" si="26"/>
        <v>2716</v>
      </c>
      <c r="CX16" s="63" t="str">
        <f t="shared" si="27"/>
        <v>2816</v>
      </c>
      <c r="CY16" s="63" t="str">
        <f t="shared" si="28"/>
        <v>2916</v>
      </c>
      <c r="CZ16" s="63" t="str">
        <f t="shared" si="29"/>
        <v>3016</v>
      </c>
      <c r="DA16" s="63" t="str">
        <f t="shared" si="30"/>
        <v>3116</v>
      </c>
      <c r="DB16" s="63" t="str">
        <f t="shared" si="31"/>
        <v>3216</v>
      </c>
      <c r="DD16" s="72" t="s">
        <v>145</v>
      </c>
      <c r="DE16" s="77">
        <f t="shared" si="32"/>
        <v>1.081</v>
      </c>
      <c r="DF16" s="77">
        <f t="shared" si="2"/>
        <v>1.123</v>
      </c>
      <c r="DG16" s="77">
        <f t="shared" si="2"/>
        <v>1.1759999999999999</v>
      </c>
      <c r="DH16" s="77">
        <f t="shared" si="2"/>
        <v>1.2270000000000001</v>
      </c>
      <c r="DI16" s="77">
        <f t="shared" si="2"/>
        <v>1.2729999999999999</v>
      </c>
      <c r="DJ16" s="77">
        <f t="shared" si="2"/>
        <v>1.3140000000000001</v>
      </c>
      <c r="DK16" s="77">
        <f t="shared" si="2"/>
        <v>1.353</v>
      </c>
      <c r="DL16" s="77">
        <f t="shared" si="2"/>
        <v>1.387</v>
      </c>
      <c r="DM16" s="77">
        <f t="shared" si="2"/>
        <v>1.42</v>
      </c>
      <c r="DN16" s="77">
        <f t="shared" si="2"/>
        <v>1.4430000000000001</v>
      </c>
      <c r="DO16" s="77">
        <f t="shared" si="2"/>
        <v>1.452</v>
      </c>
      <c r="DP16" s="77">
        <f t="shared" si="2"/>
        <v>1.4350000000000001</v>
      </c>
      <c r="DQ16" s="77">
        <f t="shared" si="2"/>
        <v>0</v>
      </c>
      <c r="DR16" s="77">
        <f t="shared" si="2"/>
        <v>0</v>
      </c>
      <c r="DS16" s="77">
        <f t="shared" si="2"/>
        <v>0</v>
      </c>
      <c r="DT16" s="77">
        <f t="shared" si="2"/>
        <v>0</v>
      </c>
      <c r="DU16" s="77">
        <f t="shared" si="2"/>
        <v>0</v>
      </c>
      <c r="DV16" s="77">
        <f t="shared" si="3"/>
        <v>0</v>
      </c>
      <c r="DW16" s="77">
        <f t="shared" si="3"/>
        <v>0</v>
      </c>
      <c r="DX16" s="77">
        <f t="shared" si="3"/>
        <v>0</v>
      </c>
      <c r="DY16" s="77">
        <f t="shared" si="3"/>
        <v>0</v>
      </c>
      <c r="DZ16" s="77">
        <f t="shared" si="3"/>
        <v>0</v>
      </c>
      <c r="EA16" s="77">
        <f t="shared" si="3"/>
        <v>0</v>
      </c>
      <c r="EB16" s="77">
        <f t="shared" si="3"/>
        <v>0</v>
      </c>
      <c r="EC16" s="77">
        <f t="shared" si="3"/>
        <v>0</v>
      </c>
      <c r="ED16" s="77">
        <f t="shared" si="3"/>
        <v>0</v>
      </c>
      <c r="EE16" s="77">
        <f t="shared" si="3"/>
        <v>0</v>
      </c>
      <c r="EF16" s="77">
        <f t="shared" si="3"/>
        <v>0</v>
      </c>
      <c r="EG16" s="77">
        <f t="shared" si="3"/>
        <v>0</v>
      </c>
    </row>
    <row r="17" spans="1:137" ht="12.6" customHeight="1">
      <c r="A17" s="73">
        <v>17</v>
      </c>
      <c r="B17" s="74">
        <v>1.117</v>
      </c>
      <c r="C17" s="74">
        <v>1.1659999999999999</v>
      </c>
      <c r="D17" s="74">
        <v>1.2169999999999999</v>
      </c>
      <c r="E17" s="74">
        <v>1.2649999999999999</v>
      </c>
      <c r="F17" s="74">
        <v>1.3069999999999999</v>
      </c>
      <c r="G17" s="74">
        <v>1.345</v>
      </c>
      <c r="H17" s="74">
        <v>1.38</v>
      </c>
      <c r="I17" s="74">
        <v>1.41</v>
      </c>
      <c r="J17" s="74">
        <v>1.4369999999999998</v>
      </c>
      <c r="K17" s="74">
        <v>1.4529999999999998</v>
      </c>
      <c r="L17" s="74">
        <v>1.456</v>
      </c>
      <c r="M17" s="74">
        <v>1.4389999999999998</v>
      </c>
      <c r="N17" s="74">
        <v>1.4229999999999998</v>
      </c>
      <c r="O17" s="74">
        <v>0</v>
      </c>
      <c r="P17" s="74"/>
      <c r="Q17" s="74"/>
      <c r="R17" s="74"/>
      <c r="S17" s="74"/>
      <c r="T17" s="74"/>
      <c r="U17" s="74"/>
      <c r="V17" s="74"/>
      <c r="W17" s="74"/>
      <c r="X17" s="74"/>
      <c r="Y17" s="74"/>
      <c r="Z17" s="74"/>
      <c r="AA17" s="74"/>
      <c r="AB17" s="74"/>
      <c r="AC17" s="74"/>
      <c r="AD17" s="75"/>
      <c r="AE17" s="76"/>
      <c r="AF17" s="76"/>
      <c r="AG17" s="76"/>
      <c r="AH17" s="76"/>
      <c r="AI17" s="76"/>
      <c r="AJ17" s="76"/>
      <c r="AK17" s="76"/>
      <c r="AL17" s="76"/>
      <c r="AM17" s="76"/>
      <c r="AN17" s="76"/>
      <c r="AO17" s="76"/>
      <c r="AP17" s="76"/>
      <c r="AQ17" s="76"/>
      <c r="AR17" s="76"/>
      <c r="AS17" s="76"/>
      <c r="BZ17" s="63" t="str">
        <f t="shared" si="4"/>
        <v>417</v>
      </c>
      <c r="CA17" s="63" t="str">
        <f t="shared" si="1"/>
        <v>517</v>
      </c>
      <c r="CB17" s="63" t="str">
        <f t="shared" si="5"/>
        <v>617</v>
      </c>
      <c r="CC17" s="63" t="str">
        <f t="shared" si="6"/>
        <v>717</v>
      </c>
      <c r="CD17" s="63" t="str">
        <f t="shared" si="7"/>
        <v>817</v>
      </c>
      <c r="CE17" s="63" t="str">
        <f t="shared" si="8"/>
        <v>917</v>
      </c>
      <c r="CF17" s="63" t="str">
        <f t="shared" si="9"/>
        <v>1017</v>
      </c>
      <c r="CG17" s="63" t="str">
        <f t="shared" si="10"/>
        <v>1117</v>
      </c>
      <c r="CH17" s="63" t="str">
        <f t="shared" si="11"/>
        <v>1217</v>
      </c>
      <c r="CI17" s="63" t="str">
        <f t="shared" si="12"/>
        <v>1317</v>
      </c>
      <c r="CJ17" s="63" t="str">
        <f t="shared" si="13"/>
        <v>1417</v>
      </c>
      <c r="CK17" s="63" t="str">
        <f t="shared" si="14"/>
        <v>1517</v>
      </c>
      <c r="CL17" s="63" t="str">
        <f t="shared" si="15"/>
        <v>1617</v>
      </c>
      <c r="CM17" s="63" t="str">
        <f t="shared" si="16"/>
        <v>1717</v>
      </c>
      <c r="CN17" s="63" t="str">
        <f t="shared" si="17"/>
        <v>1817</v>
      </c>
      <c r="CO17" s="63" t="str">
        <f t="shared" si="18"/>
        <v>1917</v>
      </c>
      <c r="CP17" s="63" t="str">
        <f t="shared" si="19"/>
        <v>2017</v>
      </c>
      <c r="CQ17" s="63" t="str">
        <f t="shared" si="20"/>
        <v>2117</v>
      </c>
      <c r="CR17" s="63" t="str">
        <f t="shared" si="21"/>
        <v>2217</v>
      </c>
      <c r="CS17" s="63" t="str">
        <f t="shared" si="22"/>
        <v>2317</v>
      </c>
      <c r="CT17" s="63" t="str">
        <f t="shared" si="23"/>
        <v>2417</v>
      </c>
      <c r="CU17" s="63" t="str">
        <f t="shared" si="24"/>
        <v>2517</v>
      </c>
      <c r="CV17" s="63" t="str">
        <f t="shared" si="25"/>
        <v>2617</v>
      </c>
      <c r="CW17" s="63" t="str">
        <f t="shared" si="26"/>
        <v>2717</v>
      </c>
      <c r="CX17" s="63" t="str">
        <f t="shared" si="27"/>
        <v>2817</v>
      </c>
      <c r="CY17" s="63" t="str">
        <f t="shared" si="28"/>
        <v>2917</v>
      </c>
      <c r="CZ17" s="63" t="str">
        <f t="shared" si="29"/>
        <v>3017</v>
      </c>
      <c r="DA17" s="63" t="str">
        <f t="shared" si="30"/>
        <v>3117</v>
      </c>
      <c r="DB17" s="63" t="str">
        <f t="shared" si="31"/>
        <v>3217</v>
      </c>
      <c r="DD17" s="72" t="s">
        <v>146</v>
      </c>
      <c r="DE17" s="77">
        <f t="shared" si="32"/>
        <v>1.117</v>
      </c>
      <c r="DF17" s="77">
        <f t="shared" si="2"/>
        <v>1.1659999999999999</v>
      </c>
      <c r="DG17" s="77">
        <f t="shared" si="2"/>
        <v>1.2170000000000001</v>
      </c>
      <c r="DH17" s="77">
        <f t="shared" si="2"/>
        <v>1.2649999999999999</v>
      </c>
      <c r="DI17" s="77">
        <f t="shared" si="2"/>
        <v>1.3069999999999999</v>
      </c>
      <c r="DJ17" s="77">
        <f t="shared" si="2"/>
        <v>1.345</v>
      </c>
      <c r="DK17" s="77">
        <f t="shared" si="2"/>
        <v>1.38</v>
      </c>
      <c r="DL17" s="77">
        <f t="shared" si="2"/>
        <v>1.41</v>
      </c>
      <c r="DM17" s="77">
        <f t="shared" si="2"/>
        <v>1.4370000000000001</v>
      </c>
      <c r="DN17" s="77">
        <f t="shared" si="2"/>
        <v>1.4530000000000001</v>
      </c>
      <c r="DO17" s="77">
        <f t="shared" si="2"/>
        <v>1.456</v>
      </c>
      <c r="DP17" s="77">
        <f t="shared" si="2"/>
        <v>1.4390000000000001</v>
      </c>
      <c r="DQ17" s="77">
        <f t="shared" si="2"/>
        <v>1.423</v>
      </c>
      <c r="DR17" s="77">
        <f t="shared" si="2"/>
        <v>0</v>
      </c>
      <c r="DS17" s="77">
        <f t="shared" si="2"/>
        <v>0</v>
      </c>
      <c r="DT17" s="77">
        <f t="shared" si="2"/>
        <v>0</v>
      </c>
      <c r="DU17" s="77">
        <f t="shared" si="2"/>
        <v>0</v>
      </c>
      <c r="DV17" s="77">
        <f t="shared" si="3"/>
        <v>0</v>
      </c>
      <c r="DW17" s="77">
        <f t="shared" si="3"/>
        <v>0</v>
      </c>
      <c r="DX17" s="77">
        <f t="shared" si="3"/>
        <v>0</v>
      </c>
      <c r="DY17" s="77">
        <f t="shared" si="3"/>
        <v>0</v>
      </c>
      <c r="DZ17" s="77">
        <f t="shared" si="3"/>
        <v>0</v>
      </c>
      <c r="EA17" s="77">
        <f t="shared" si="3"/>
        <v>0</v>
      </c>
      <c r="EB17" s="77">
        <f t="shared" si="3"/>
        <v>0</v>
      </c>
      <c r="EC17" s="77">
        <f t="shared" si="3"/>
        <v>0</v>
      </c>
      <c r="ED17" s="77">
        <f t="shared" si="3"/>
        <v>0</v>
      </c>
      <c r="EE17" s="77">
        <f t="shared" si="3"/>
        <v>0</v>
      </c>
      <c r="EF17" s="77">
        <f t="shared" si="3"/>
        <v>0</v>
      </c>
      <c r="EG17" s="77">
        <f t="shared" si="3"/>
        <v>0</v>
      </c>
    </row>
    <row r="18" spans="1:137" ht="12.6" customHeight="1">
      <c r="A18" s="73">
        <v>18</v>
      </c>
      <c r="B18" s="74">
        <v>1.1579999999999999</v>
      </c>
      <c r="C18" s="74">
        <v>1.204</v>
      </c>
      <c r="D18" s="74">
        <v>1.2509999999999999</v>
      </c>
      <c r="E18" s="74">
        <v>1.2969999999999999</v>
      </c>
      <c r="F18" s="74">
        <v>1.3359999999999999</v>
      </c>
      <c r="G18" s="74">
        <v>1.371</v>
      </c>
      <c r="H18" s="74">
        <v>1.4019999999999999</v>
      </c>
      <c r="I18" s="74">
        <v>1.4279999999999999</v>
      </c>
      <c r="J18" s="74">
        <v>1.45</v>
      </c>
      <c r="K18" s="74">
        <v>1.4609999999999999</v>
      </c>
      <c r="L18" s="74">
        <v>1.46</v>
      </c>
      <c r="M18" s="74">
        <v>1.4419999999999999</v>
      </c>
      <c r="N18" s="74">
        <v>1.4289999999999998</v>
      </c>
      <c r="O18" s="74">
        <v>1.415</v>
      </c>
      <c r="P18" s="74">
        <v>0</v>
      </c>
      <c r="Q18" s="74"/>
      <c r="R18" s="74"/>
      <c r="S18" s="74"/>
      <c r="T18" s="74"/>
      <c r="U18" s="74"/>
      <c r="V18" s="74"/>
      <c r="W18" s="74"/>
      <c r="X18" s="74"/>
      <c r="Y18" s="74"/>
      <c r="Z18" s="74"/>
      <c r="AA18" s="74"/>
      <c r="AB18" s="74"/>
      <c r="AC18" s="74"/>
      <c r="AD18" s="75"/>
      <c r="AE18" s="76"/>
      <c r="AF18" s="76"/>
      <c r="AG18" s="76"/>
      <c r="AH18" s="76"/>
      <c r="AI18" s="76"/>
      <c r="AJ18" s="76"/>
      <c r="AK18" s="76"/>
      <c r="AL18" s="76"/>
      <c r="AM18" s="76"/>
      <c r="AN18" s="76"/>
      <c r="AO18" s="76"/>
      <c r="AP18" s="76"/>
      <c r="AQ18" s="76"/>
      <c r="AR18" s="76"/>
      <c r="AS18" s="76"/>
      <c r="BZ18" s="63" t="str">
        <f t="shared" si="4"/>
        <v>418</v>
      </c>
      <c r="CA18" s="63" t="str">
        <f t="shared" si="1"/>
        <v>518</v>
      </c>
      <c r="CB18" s="63" t="str">
        <f t="shared" si="5"/>
        <v>618</v>
      </c>
      <c r="CC18" s="63" t="str">
        <f t="shared" si="6"/>
        <v>718</v>
      </c>
      <c r="CD18" s="63" t="str">
        <f t="shared" si="7"/>
        <v>818</v>
      </c>
      <c r="CE18" s="63" t="str">
        <f t="shared" si="8"/>
        <v>918</v>
      </c>
      <c r="CF18" s="63" t="str">
        <f t="shared" si="9"/>
        <v>1018</v>
      </c>
      <c r="CG18" s="63" t="str">
        <f t="shared" si="10"/>
        <v>1118</v>
      </c>
      <c r="CH18" s="63" t="str">
        <f t="shared" si="11"/>
        <v>1218</v>
      </c>
      <c r="CI18" s="63" t="str">
        <f t="shared" si="12"/>
        <v>1318</v>
      </c>
      <c r="CJ18" s="63" t="str">
        <f t="shared" si="13"/>
        <v>1418</v>
      </c>
      <c r="CK18" s="63" t="str">
        <f t="shared" si="14"/>
        <v>1518</v>
      </c>
      <c r="CL18" s="63" t="str">
        <f t="shared" si="15"/>
        <v>1618</v>
      </c>
      <c r="CM18" s="63" t="str">
        <f t="shared" si="16"/>
        <v>1718</v>
      </c>
      <c r="CN18" s="63" t="str">
        <f t="shared" si="17"/>
        <v>1818</v>
      </c>
      <c r="CO18" s="63" t="str">
        <f t="shared" si="18"/>
        <v>1918</v>
      </c>
      <c r="CP18" s="63" t="str">
        <f t="shared" si="19"/>
        <v>2018</v>
      </c>
      <c r="CQ18" s="63" t="str">
        <f t="shared" si="20"/>
        <v>2118</v>
      </c>
      <c r="CR18" s="63" t="str">
        <f t="shared" si="21"/>
        <v>2218</v>
      </c>
      <c r="CS18" s="63" t="str">
        <f t="shared" si="22"/>
        <v>2318</v>
      </c>
      <c r="CT18" s="63" t="str">
        <f t="shared" si="23"/>
        <v>2418</v>
      </c>
      <c r="CU18" s="63" t="str">
        <f t="shared" si="24"/>
        <v>2518</v>
      </c>
      <c r="CV18" s="63" t="str">
        <f t="shared" si="25"/>
        <v>2618</v>
      </c>
      <c r="CW18" s="63" t="str">
        <f t="shared" si="26"/>
        <v>2718</v>
      </c>
      <c r="CX18" s="63" t="str">
        <f t="shared" si="27"/>
        <v>2818</v>
      </c>
      <c r="CY18" s="63" t="str">
        <f t="shared" si="28"/>
        <v>2918</v>
      </c>
      <c r="CZ18" s="63" t="str">
        <f t="shared" si="29"/>
        <v>3018</v>
      </c>
      <c r="DA18" s="63" t="str">
        <f t="shared" si="30"/>
        <v>3118</v>
      </c>
      <c r="DB18" s="63" t="str">
        <f t="shared" si="31"/>
        <v>3218</v>
      </c>
      <c r="DD18" s="72" t="s">
        <v>147</v>
      </c>
      <c r="DE18" s="77">
        <f t="shared" si="32"/>
        <v>1.1579999999999999</v>
      </c>
      <c r="DF18" s="77">
        <f t="shared" si="2"/>
        <v>1.204</v>
      </c>
      <c r="DG18" s="77">
        <f t="shared" si="2"/>
        <v>1.2509999999999999</v>
      </c>
      <c r="DH18" s="77">
        <f t="shared" si="2"/>
        <v>1.2969999999999999</v>
      </c>
      <c r="DI18" s="77">
        <f t="shared" si="2"/>
        <v>1.3360000000000001</v>
      </c>
      <c r="DJ18" s="77">
        <f t="shared" si="2"/>
        <v>1.371</v>
      </c>
      <c r="DK18" s="77">
        <f t="shared" si="2"/>
        <v>1.4019999999999999</v>
      </c>
      <c r="DL18" s="77">
        <f t="shared" si="2"/>
        <v>1.4279999999999999</v>
      </c>
      <c r="DM18" s="77">
        <f t="shared" si="2"/>
        <v>1.45</v>
      </c>
      <c r="DN18" s="77">
        <f t="shared" si="2"/>
        <v>1.4610000000000001</v>
      </c>
      <c r="DO18" s="77">
        <f t="shared" si="2"/>
        <v>1.46</v>
      </c>
      <c r="DP18" s="77">
        <f t="shared" si="2"/>
        <v>1.4419999999999999</v>
      </c>
      <c r="DQ18" s="77">
        <f t="shared" si="2"/>
        <v>1.429</v>
      </c>
      <c r="DR18" s="77">
        <f t="shared" si="2"/>
        <v>1.415</v>
      </c>
      <c r="DS18" s="77">
        <f t="shared" si="2"/>
        <v>0</v>
      </c>
      <c r="DT18" s="77">
        <f t="shared" si="2"/>
        <v>0</v>
      </c>
      <c r="DU18" s="77">
        <f t="shared" si="2"/>
        <v>0</v>
      </c>
      <c r="DV18" s="77">
        <f t="shared" si="3"/>
        <v>0</v>
      </c>
      <c r="DW18" s="77">
        <f t="shared" si="3"/>
        <v>0</v>
      </c>
      <c r="DX18" s="77">
        <f t="shared" si="3"/>
        <v>0</v>
      </c>
      <c r="DY18" s="77">
        <f t="shared" si="3"/>
        <v>0</v>
      </c>
      <c r="DZ18" s="77">
        <f t="shared" si="3"/>
        <v>0</v>
      </c>
      <c r="EA18" s="77">
        <f t="shared" si="3"/>
        <v>0</v>
      </c>
      <c r="EB18" s="77">
        <f t="shared" si="3"/>
        <v>0</v>
      </c>
      <c r="EC18" s="77">
        <f t="shared" si="3"/>
        <v>0</v>
      </c>
      <c r="ED18" s="77">
        <f t="shared" si="3"/>
        <v>0</v>
      </c>
      <c r="EE18" s="77">
        <f t="shared" si="3"/>
        <v>0</v>
      </c>
      <c r="EF18" s="77">
        <f t="shared" si="3"/>
        <v>0</v>
      </c>
      <c r="EG18" s="77">
        <f t="shared" si="3"/>
        <v>0</v>
      </c>
    </row>
    <row r="19" spans="1:137" ht="12.6" customHeight="1">
      <c r="A19" s="73">
        <v>19</v>
      </c>
      <c r="B19" s="74">
        <v>1.1789999999999998</v>
      </c>
      <c r="C19" s="74">
        <v>1.2229999999999999</v>
      </c>
      <c r="D19" s="74">
        <v>1.268</v>
      </c>
      <c r="E19" s="74">
        <v>1.3109999999999999</v>
      </c>
      <c r="F19" s="74">
        <v>1.3479999999999999</v>
      </c>
      <c r="G19" s="74">
        <v>1.38</v>
      </c>
      <c r="H19" s="74">
        <v>1.409</v>
      </c>
      <c r="I19" s="74">
        <v>1.4329999999999998</v>
      </c>
      <c r="J19" s="74">
        <v>1.452</v>
      </c>
      <c r="K19" s="74">
        <v>1.462</v>
      </c>
      <c r="L19" s="74">
        <v>1.462</v>
      </c>
      <c r="M19" s="74">
        <v>1.45</v>
      </c>
      <c r="N19" s="74">
        <v>1.4409999999999998</v>
      </c>
      <c r="O19" s="74">
        <v>1.44</v>
      </c>
      <c r="P19" s="74">
        <v>1.466</v>
      </c>
      <c r="Q19" s="74">
        <v>0</v>
      </c>
      <c r="R19" s="74"/>
      <c r="S19" s="74"/>
      <c r="T19" s="74"/>
      <c r="U19" s="74"/>
      <c r="V19" s="74"/>
      <c r="W19" s="74"/>
      <c r="X19" s="74"/>
      <c r="Y19" s="74"/>
      <c r="Z19" s="74"/>
      <c r="AA19" s="74"/>
      <c r="AB19" s="74"/>
      <c r="AC19" s="74"/>
      <c r="AD19" s="75"/>
      <c r="AE19" s="76"/>
      <c r="AF19" s="76"/>
      <c r="AG19" s="76"/>
      <c r="AH19" s="76"/>
      <c r="AI19" s="76"/>
      <c r="AJ19" s="76"/>
      <c r="AK19" s="76"/>
      <c r="AL19" s="76"/>
      <c r="AM19" s="76"/>
      <c r="AN19" s="76"/>
      <c r="AO19" s="76"/>
      <c r="AP19" s="76"/>
      <c r="AQ19" s="76"/>
      <c r="AR19" s="76"/>
      <c r="AS19" s="76"/>
      <c r="BZ19" s="63" t="str">
        <f t="shared" si="4"/>
        <v>419</v>
      </c>
      <c r="CA19" s="63" t="str">
        <f t="shared" si="1"/>
        <v>519</v>
      </c>
      <c r="CB19" s="63" t="str">
        <f t="shared" si="5"/>
        <v>619</v>
      </c>
      <c r="CC19" s="63" t="str">
        <f t="shared" si="6"/>
        <v>719</v>
      </c>
      <c r="CD19" s="63" t="str">
        <f t="shared" si="7"/>
        <v>819</v>
      </c>
      <c r="CE19" s="63" t="str">
        <f t="shared" si="8"/>
        <v>919</v>
      </c>
      <c r="CF19" s="63" t="str">
        <f t="shared" si="9"/>
        <v>1019</v>
      </c>
      <c r="CG19" s="63" t="str">
        <f t="shared" si="10"/>
        <v>1119</v>
      </c>
      <c r="CH19" s="63" t="str">
        <f t="shared" si="11"/>
        <v>1219</v>
      </c>
      <c r="CI19" s="63" t="str">
        <f t="shared" si="12"/>
        <v>1319</v>
      </c>
      <c r="CJ19" s="63" t="str">
        <f t="shared" si="13"/>
        <v>1419</v>
      </c>
      <c r="CK19" s="63" t="str">
        <f t="shared" si="14"/>
        <v>1519</v>
      </c>
      <c r="CL19" s="63" t="str">
        <f t="shared" si="15"/>
        <v>1619</v>
      </c>
      <c r="CM19" s="63" t="str">
        <f t="shared" si="16"/>
        <v>1719</v>
      </c>
      <c r="CN19" s="63" t="str">
        <f t="shared" si="17"/>
        <v>1819</v>
      </c>
      <c r="CO19" s="63" t="str">
        <f t="shared" si="18"/>
        <v>1919</v>
      </c>
      <c r="CP19" s="63" t="str">
        <f t="shared" si="19"/>
        <v>2019</v>
      </c>
      <c r="CQ19" s="63" t="str">
        <f t="shared" si="20"/>
        <v>2119</v>
      </c>
      <c r="CR19" s="63" t="str">
        <f t="shared" si="21"/>
        <v>2219</v>
      </c>
      <c r="CS19" s="63" t="str">
        <f t="shared" si="22"/>
        <v>2319</v>
      </c>
      <c r="CT19" s="63" t="str">
        <f t="shared" si="23"/>
        <v>2419</v>
      </c>
      <c r="CU19" s="63" t="str">
        <f t="shared" si="24"/>
        <v>2519</v>
      </c>
      <c r="CV19" s="63" t="str">
        <f t="shared" si="25"/>
        <v>2619</v>
      </c>
      <c r="CW19" s="63" t="str">
        <f t="shared" si="26"/>
        <v>2719</v>
      </c>
      <c r="CX19" s="63" t="str">
        <f t="shared" si="27"/>
        <v>2819</v>
      </c>
      <c r="CY19" s="63" t="str">
        <f t="shared" si="28"/>
        <v>2919</v>
      </c>
      <c r="CZ19" s="63" t="str">
        <f t="shared" si="29"/>
        <v>3019</v>
      </c>
      <c r="DA19" s="63" t="str">
        <f t="shared" si="30"/>
        <v>3119</v>
      </c>
      <c r="DB19" s="63" t="str">
        <f t="shared" si="31"/>
        <v>3219</v>
      </c>
      <c r="DD19" s="72" t="s">
        <v>148</v>
      </c>
      <c r="DE19" s="77">
        <f t="shared" si="32"/>
        <v>1.179</v>
      </c>
      <c r="DF19" s="77">
        <f t="shared" si="2"/>
        <v>1.2230000000000001</v>
      </c>
      <c r="DG19" s="77">
        <f t="shared" si="2"/>
        <v>1.268</v>
      </c>
      <c r="DH19" s="77">
        <f t="shared" si="2"/>
        <v>1.3109999999999999</v>
      </c>
      <c r="DI19" s="77">
        <f t="shared" si="2"/>
        <v>1.3480000000000001</v>
      </c>
      <c r="DJ19" s="77">
        <f t="shared" si="2"/>
        <v>1.38</v>
      </c>
      <c r="DK19" s="77">
        <f t="shared" si="2"/>
        <v>1.409</v>
      </c>
      <c r="DL19" s="77">
        <f t="shared" si="2"/>
        <v>1.4330000000000001</v>
      </c>
      <c r="DM19" s="77">
        <f t="shared" si="2"/>
        <v>1.452</v>
      </c>
      <c r="DN19" s="77">
        <f t="shared" si="2"/>
        <v>1.462</v>
      </c>
      <c r="DO19" s="77">
        <f t="shared" si="2"/>
        <v>1.462</v>
      </c>
      <c r="DP19" s="77">
        <f t="shared" si="2"/>
        <v>1.45</v>
      </c>
      <c r="DQ19" s="77">
        <f t="shared" si="2"/>
        <v>1.4410000000000001</v>
      </c>
      <c r="DR19" s="77">
        <f t="shared" si="2"/>
        <v>1.44</v>
      </c>
      <c r="DS19" s="77">
        <f t="shared" si="2"/>
        <v>1.466</v>
      </c>
      <c r="DT19" s="77">
        <f t="shared" si="2"/>
        <v>0</v>
      </c>
      <c r="DU19" s="77">
        <f t="shared" ref="DU19:EA73" si="33">ROUND(R19,3)</f>
        <v>0</v>
      </c>
      <c r="DV19" s="77">
        <f t="shared" si="3"/>
        <v>0</v>
      </c>
      <c r="DW19" s="77">
        <f t="shared" si="3"/>
        <v>0</v>
      </c>
      <c r="DX19" s="77">
        <f t="shared" si="3"/>
        <v>0</v>
      </c>
      <c r="DY19" s="77">
        <f t="shared" si="3"/>
        <v>0</v>
      </c>
      <c r="DZ19" s="77">
        <f t="shared" si="3"/>
        <v>0</v>
      </c>
      <c r="EA19" s="77">
        <f t="shared" si="3"/>
        <v>0</v>
      </c>
      <c r="EB19" s="77">
        <f t="shared" si="3"/>
        <v>0</v>
      </c>
      <c r="EC19" s="77">
        <f t="shared" si="3"/>
        <v>0</v>
      </c>
      <c r="ED19" s="77">
        <f t="shared" si="3"/>
        <v>0</v>
      </c>
      <c r="EE19" s="77">
        <f t="shared" si="3"/>
        <v>0</v>
      </c>
      <c r="EF19" s="77">
        <f t="shared" si="3"/>
        <v>0</v>
      </c>
      <c r="EG19" s="77">
        <f t="shared" si="3"/>
        <v>0</v>
      </c>
    </row>
    <row r="20" spans="1:137" ht="12.6" customHeight="1">
      <c r="A20" s="73">
        <v>20</v>
      </c>
      <c r="B20" s="74">
        <v>1.1969999999999998</v>
      </c>
      <c r="C20" s="74">
        <v>1.2389999999999999</v>
      </c>
      <c r="D20" s="74">
        <v>1.2829999999999999</v>
      </c>
      <c r="E20" s="74">
        <v>1.3239999999999998</v>
      </c>
      <c r="F20" s="74">
        <v>1.3599999999999999</v>
      </c>
      <c r="G20" s="74">
        <v>1.39</v>
      </c>
      <c r="H20" s="74">
        <v>1.4179999999999999</v>
      </c>
      <c r="I20" s="74">
        <v>1.44</v>
      </c>
      <c r="J20" s="74">
        <v>1.458</v>
      </c>
      <c r="K20" s="74">
        <v>1.468</v>
      </c>
      <c r="L20" s="74">
        <v>1.47</v>
      </c>
      <c r="M20" s="74">
        <v>1.4629999999999999</v>
      </c>
      <c r="N20" s="74">
        <v>1.4609999999999999</v>
      </c>
      <c r="O20" s="74">
        <v>1.468</v>
      </c>
      <c r="P20" s="74">
        <v>1.496</v>
      </c>
      <c r="Q20" s="74">
        <v>1.4309999999999998</v>
      </c>
      <c r="R20" s="74">
        <v>0</v>
      </c>
      <c r="S20" s="74"/>
      <c r="T20" s="74"/>
      <c r="U20" s="74"/>
      <c r="V20" s="74"/>
      <c r="W20" s="74"/>
      <c r="X20" s="74"/>
      <c r="Y20" s="74"/>
      <c r="Z20" s="74"/>
      <c r="AA20" s="74"/>
      <c r="AB20" s="74"/>
      <c r="AC20" s="74"/>
      <c r="AD20" s="75"/>
      <c r="AE20" s="76"/>
      <c r="AF20" s="76"/>
      <c r="AG20" s="76"/>
      <c r="AH20" s="76"/>
      <c r="AI20" s="76"/>
      <c r="AJ20" s="76"/>
      <c r="AK20" s="76"/>
      <c r="AL20" s="76"/>
      <c r="AM20" s="76"/>
      <c r="AN20" s="76"/>
      <c r="AO20" s="76"/>
      <c r="AP20" s="76"/>
      <c r="AQ20" s="76"/>
      <c r="AR20" s="76"/>
      <c r="AS20" s="76"/>
      <c r="BZ20" s="63" t="str">
        <f t="shared" si="4"/>
        <v>420</v>
      </c>
      <c r="CA20" s="63" t="str">
        <f t="shared" si="1"/>
        <v>520</v>
      </c>
      <c r="CB20" s="63" t="str">
        <f t="shared" si="5"/>
        <v>620</v>
      </c>
      <c r="CC20" s="63" t="str">
        <f t="shared" si="6"/>
        <v>720</v>
      </c>
      <c r="CD20" s="63" t="str">
        <f t="shared" si="7"/>
        <v>820</v>
      </c>
      <c r="CE20" s="63" t="str">
        <f t="shared" si="8"/>
        <v>920</v>
      </c>
      <c r="CF20" s="63" t="str">
        <f t="shared" si="9"/>
        <v>1020</v>
      </c>
      <c r="CG20" s="63" t="str">
        <f t="shared" si="10"/>
        <v>1120</v>
      </c>
      <c r="CH20" s="63" t="str">
        <f t="shared" si="11"/>
        <v>1220</v>
      </c>
      <c r="CI20" s="63" t="str">
        <f t="shared" si="12"/>
        <v>1320</v>
      </c>
      <c r="CJ20" s="63" t="str">
        <f t="shared" si="13"/>
        <v>1420</v>
      </c>
      <c r="CK20" s="63" t="str">
        <f t="shared" si="14"/>
        <v>1520</v>
      </c>
      <c r="CL20" s="63" t="str">
        <f t="shared" si="15"/>
        <v>1620</v>
      </c>
      <c r="CM20" s="63" t="str">
        <f t="shared" si="16"/>
        <v>1720</v>
      </c>
      <c r="CN20" s="63" t="str">
        <f t="shared" si="17"/>
        <v>1820</v>
      </c>
      <c r="CO20" s="63" t="str">
        <f t="shared" si="18"/>
        <v>1920</v>
      </c>
      <c r="CP20" s="63" t="str">
        <f t="shared" si="19"/>
        <v>2020</v>
      </c>
      <c r="CQ20" s="63" t="str">
        <f t="shared" si="20"/>
        <v>2120</v>
      </c>
      <c r="CR20" s="63" t="str">
        <f t="shared" si="21"/>
        <v>2220</v>
      </c>
      <c r="CS20" s="63" t="str">
        <f t="shared" si="22"/>
        <v>2320</v>
      </c>
      <c r="CT20" s="63" t="str">
        <f t="shared" si="23"/>
        <v>2420</v>
      </c>
      <c r="CU20" s="63" t="str">
        <f t="shared" si="24"/>
        <v>2520</v>
      </c>
      <c r="CV20" s="63" t="str">
        <f t="shared" si="25"/>
        <v>2620</v>
      </c>
      <c r="CW20" s="63" t="str">
        <f t="shared" si="26"/>
        <v>2720</v>
      </c>
      <c r="CX20" s="63" t="str">
        <f t="shared" si="27"/>
        <v>2820</v>
      </c>
      <c r="CY20" s="63" t="str">
        <f t="shared" si="28"/>
        <v>2920</v>
      </c>
      <c r="CZ20" s="63" t="str">
        <f t="shared" si="29"/>
        <v>3020</v>
      </c>
      <c r="DA20" s="63" t="str">
        <f t="shared" si="30"/>
        <v>3120</v>
      </c>
      <c r="DB20" s="63" t="str">
        <f t="shared" si="31"/>
        <v>3220</v>
      </c>
      <c r="DD20" s="72" t="s">
        <v>149</v>
      </c>
      <c r="DE20" s="77">
        <f t="shared" si="32"/>
        <v>1.1970000000000001</v>
      </c>
      <c r="DF20" s="77">
        <f t="shared" si="32"/>
        <v>1.2390000000000001</v>
      </c>
      <c r="DG20" s="77">
        <f t="shared" si="32"/>
        <v>1.2829999999999999</v>
      </c>
      <c r="DH20" s="77">
        <f t="shared" si="32"/>
        <v>1.3240000000000001</v>
      </c>
      <c r="DI20" s="77">
        <f t="shared" si="32"/>
        <v>1.36</v>
      </c>
      <c r="DJ20" s="77">
        <f t="shared" si="32"/>
        <v>1.39</v>
      </c>
      <c r="DK20" s="77">
        <f t="shared" si="32"/>
        <v>1.4179999999999999</v>
      </c>
      <c r="DL20" s="77">
        <f t="shared" si="32"/>
        <v>1.44</v>
      </c>
      <c r="DM20" s="77">
        <f t="shared" si="32"/>
        <v>1.458</v>
      </c>
      <c r="DN20" s="77">
        <f t="shared" si="32"/>
        <v>1.468</v>
      </c>
      <c r="DO20" s="77">
        <f t="shared" si="32"/>
        <v>1.47</v>
      </c>
      <c r="DP20" s="77">
        <f t="shared" si="32"/>
        <v>1.4630000000000001</v>
      </c>
      <c r="DQ20" s="77">
        <f t="shared" si="32"/>
        <v>1.4610000000000001</v>
      </c>
      <c r="DR20" s="77">
        <f t="shared" si="32"/>
        <v>1.468</v>
      </c>
      <c r="DS20" s="77">
        <f t="shared" si="32"/>
        <v>1.496</v>
      </c>
      <c r="DT20" s="77">
        <f t="shared" si="32"/>
        <v>1.431</v>
      </c>
      <c r="DU20" s="77">
        <f t="shared" si="33"/>
        <v>0</v>
      </c>
      <c r="DV20" s="77">
        <f t="shared" si="3"/>
        <v>0</v>
      </c>
      <c r="DW20" s="77">
        <f t="shared" si="3"/>
        <v>0</v>
      </c>
      <c r="DX20" s="77">
        <f t="shared" si="3"/>
        <v>0</v>
      </c>
      <c r="DY20" s="77">
        <f t="shared" si="3"/>
        <v>0</v>
      </c>
      <c r="DZ20" s="77">
        <f t="shared" si="3"/>
        <v>0</v>
      </c>
      <c r="EA20" s="77">
        <f t="shared" si="3"/>
        <v>0</v>
      </c>
      <c r="EB20" s="77">
        <f t="shared" si="3"/>
        <v>0</v>
      </c>
      <c r="EC20" s="77">
        <f t="shared" si="3"/>
        <v>0</v>
      </c>
      <c r="ED20" s="77">
        <f t="shared" si="3"/>
        <v>0</v>
      </c>
      <c r="EE20" s="77">
        <f t="shared" si="3"/>
        <v>0</v>
      </c>
      <c r="EF20" s="77">
        <f t="shared" si="3"/>
        <v>0</v>
      </c>
      <c r="EG20" s="77">
        <f t="shared" si="3"/>
        <v>0</v>
      </c>
    </row>
    <row r="21" spans="1:137" ht="12.6" customHeight="1">
      <c r="A21" s="73">
        <v>21</v>
      </c>
      <c r="B21" s="74">
        <v>1.2076</v>
      </c>
      <c r="C21" s="74">
        <v>1.2476</v>
      </c>
      <c r="D21" s="74">
        <v>1.2895999999999999</v>
      </c>
      <c r="E21" s="74">
        <v>1.3286</v>
      </c>
      <c r="F21" s="74">
        <v>1.3635999999999999</v>
      </c>
      <c r="G21" s="74">
        <v>1.3926000000000001</v>
      </c>
      <c r="H21" s="74">
        <v>1.4196</v>
      </c>
      <c r="I21" s="74">
        <v>1.4405999999999999</v>
      </c>
      <c r="J21" s="74">
        <v>1.4596</v>
      </c>
      <c r="K21" s="74">
        <v>1.4696</v>
      </c>
      <c r="L21" s="74">
        <v>1.4736</v>
      </c>
      <c r="M21" s="74">
        <v>1.4705999999999999</v>
      </c>
      <c r="N21" s="74">
        <v>1.4736</v>
      </c>
      <c r="O21" s="74">
        <v>1.4856</v>
      </c>
      <c r="P21" s="74">
        <v>1.5145999999999999</v>
      </c>
      <c r="Q21" s="74">
        <v>1.5486</v>
      </c>
      <c r="R21" s="74">
        <v>1.5806</v>
      </c>
      <c r="S21" s="74">
        <v>0</v>
      </c>
      <c r="T21" s="74"/>
      <c r="U21" s="74"/>
      <c r="V21" s="74"/>
      <c r="W21" s="74"/>
      <c r="X21" s="74"/>
      <c r="Y21" s="74"/>
      <c r="Z21" s="74"/>
      <c r="AA21" s="74"/>
      <c r="AB21" s="74"/>
      <c r="AC21" s="74"/>
      <c r="AD21" s="75"/>
      <c r="AE21" s="76"/>
      <c r="AF21" s="76"/>
      <c r="AG21" s="76"/>
      <c r="AH21" s="76"/>
      <c r="AI21" s="76"/>
      <c r="AJ21" s="76"/>
      <c r="AK21" s="76"/>
      <c r="AL21" s="76"/>
      <c r="AM21" s="76"/>
      <c r="AN21" s="76"/>
      <c r="AO21" s="76"/>
      <c r="AP21" s="76"/>
      <c r="AQ21" s="76"/>
      <c r="AR21" s="76"/>
      <c r="AS21" s="76"/>
      <c r="BZ21" s="63" t="str">
        <f t="shared" si="4"/>
        <v>421</v>
      </c>
      <c r="CA21" s="63" t="str">
        <f t="shared" si="1"/>
        <v>521</v>
      </c>
      <c r="CB21" s="63" t="str">
        <f t="shared" si="5"/>
        <v>621</v>
      </c>
      <c r="CC21" s="63" t="str">
        <f t="shared" si="6"/>
        <v>721</v>
      </c>
      <c r="CD21" s="63" t="str">
        <f t="shared" si="7"/>
        <v>821</v>
      </c>
      <c r="CE21" s="63" t="str">
        <f t="shared" si="8"/>
        <v>921</v>
      </c>
      <c r="CF21" s="63" t="str">
        <f t="shared" si="9"/>
        <v>1021</v>
      </c>
      <c r="CG21" s="63" t="str">
        <f t="shared" si="10"/>
        <v>1121</v>
      </c>
      <c r="CH21" s="63" t="str">
        <f t="shared" si="11"/>
        <v>1221</v>
      </c>
      <c r="CI21" s="63" t="str">
        <f t="shared" si="12"/>
        <v>1321</v>
      </c>
      <c r="CJ21" s="63" t="str">
        <f t="shared" si="13"/>
        <v>1421</v>
      </c>
      <c r="CK21" s="63" t="str">
        <f t="shared" si="14"/>
        <v>1521</v>
      </c>
      <c r="CL21" s="63" t="str">
        <f t="shared" si="15"/>
        <v>1621</v>
      </c>
      <c r="CM21" s="63" t="str">
        <f t="shared" si="16"/>
        <v>1721</v>
      </c>
      <c r="CN21" s="63" t="str">
        <f t="shared" si="17"/>
        <v>1821</v>
      </c>
      <c r="CO21" s="63" t="str">
        <f t="shared" si="18"/>
        <v>1921</v>
      </c>
      <c r="CP21" s="63" t="str">
        <f t="shared" si="19"/>
        <v>2021</v>
      </c>
      <c r="CQ21" s="63" t="str">
        <f t="shared" si="20"/>
        <v>2121</v>
      </c>
      <c r="CR21" s="63" t="str">
        <f t="shared" si="21"/>
        <v>2221</v>
      </c>
      <c r="CS21" s="63" t="str">
        <f t="shared" si="22"/>
        <v>2321</v>
      </c>
      <c r="CT21" s="63" t="str">
        <f t="shared" si="23"/>
        <v>2421</v>
      </c>
      <c r="CU21" s="63" t="str">
        <f t="shared" si="24"/>
        <v>2521</v>
      </c>
      <c r="CV21" s="63" t="str">
        <f t="shared" si="25"/>
        <v>2621</v>
      </c>
      <c r="CW21" s="63" t="str">
        <f t="shared" si="26"/>
        <v>2721</v>
      </c>
      <c r="CX21" s="63" t="str">
        <f t="shared" si="27"/>
        <v>2821</v>
      </c>
      <c r="CY21" s="63" t="str">
        <f t="shared" si="28"/>
        <v>2921</v>
      </c>
      <c r="CZ21" s="63" t="str">
        <f t="shared" si="29"/>
        <v>3021</v>
      </c>
      <c r="DA21" s="63" t="str">
        <f t="shared" si="30"/>
        <v>3121</v>
      </c>
      <c r="DB21" s="63" t="str">
        <f t="shared" si="31"/>
        <v>3221</v>
      </c>
      <c r="DD21" s="72" t="s">
        <v>150</v>
      </c>
      <c r="DE21" s="77">
        <f t="shared" si="32"/>
        <v>1.208</v>
      </c>
      <c r="DF21" s="77">
        <f t="shared" si="32"/>
        <v>1.248</v>
      </c>
      <c r="DG21" s="77">
        <f t="shared" si="32"/>
        <v>1.29</v>
      </c>
      <c r="DH21" s="77">
        <f t="shared" si="32"/>
        <v>1.329</v>
      </c>
      <c r="DI21" s="77">
        <f t="shared" si="32"/>
        <v>1.3640000000000001</v>
      </c>
      <c r="DJ21" s="77">
        <f t="shared" si="32"/>
        <v>1.393</v>
      </c>
      <c r="DK21" s="77">
        <f t="shared" si="32"/>
        <v>1.42</v>
      </c>
      <c r="DL21" s="77">
        <f t="shared" si="32"/>
        <v>1.4410000000000001</v>
      </c>
      <c r="DM21" s="77">
        <f t="shared" si="32"/>
        <v>1.46</v>
      </c>
      <c r="DN21" s="77">
        <f t="shared" si="32"/>
        <v>1.47</v>
      </c>
      <c r="DO21" s="77">
        <f t="shared" si="32"/>
        <v>1.474</v>
      </c>
      <c r="DP21" s="77">
        <f t="shared" si="32"/>
        <v>1.4710000000000001</v>
      </c>
      <c r="DQ21" s="77">
        <f t="shared" si="32"/>
        <v>1.474</v>
      </c>
      <c r="DR21" s="77">
        <f t="shared" si="32"/>
        <v>1.486</v>
      </c>
      <c r="DS21" s="77">
        <f t="shared" si="32"/>
        <v>1.5149999999999999</v>
      </c>
      <c r="DT21" s="77">
        <f t="shared" si="32"/>
        <v>1.5489999999999999</v>
      </c>
      <c r="DU21" s="77">
        <f t="shared" si="33"/>
        <v>1.581</v>
      </c>
      <c r="DV21" s="77">
        <f t="shared" si="3"/>
        <v>0</v>
      </c>
      <c r="DW21" s="77">
        <f t="shared" si="3"/>
        <v>0</v>
      </c>
      <c r="DX21" s="77">
        <f t="shared" si="3"/>
        <v>0</v>
      </c>
      <c r="DY21" s="77">
        <f t="shared" si="3"/>
        <v>0</v>
      </c>
      <c r="DZ21" s="77">
        <f t="shared" si="3"/>
        <v>0</v>
      </c>
      <c r="EA21" s="77">
        <f t="shared" si="3"/>
        <v>0</v>
      </c>
      <c r="EB21" s="77">
        <f t="shared" si="3"/>
        <v>0</v>
      </c>
      <c r="EC21" s="77">
        <f t="shared" si="3"/>
        <v>0</v>
      </c>
      <c r="ED21" s="77">
        <f t="shared" si="3"/>
        <v>0</v>
      </c>
      <c r="EE21" s="77">
        <f t="shared" si="3"/>
        <v>0</v>
      </c>
      <c r="EF21" s="77">
        <f t="shared" si="3"/>
        <v>0</v>
      </c>
      <c r="EG21" s="77">
        <f t="shared" si="3"/>
        <v>0</v>
      </c>
    </row>
    <row r="22" spans="1:137" ht="12.6" customHeight="1">
      <c r="A22" s="73">
        <v>22</v>
      </c>
      <c r="B22" s="74">
        <v>1.2316</v>
      </c>
      <c r="C22" s="74">
        <v>1.2706</v>
      </c>
      <c r="D22" s="74">
        <v>1.3415999999999999</v>
      </c>
      <c r="E22" s="74">
        <v>1.3495999999999999</v>
      </c>
      <c r="F22" s="74">
        <v>1.3835999999999999</v>
      </c>
      <c r="G22" s="74">
        <v>1.4125999999999999</v>
      </c>
      <c r="H22" s="74">
        <v>1.4376</v>
      </c>
      <c r="I22" s="74">
        <v>1.4596</v>
      </c>
      <c r="J22" s="74">
        <v>1.4776</v>
      </c>
      <c r="K22" s="74">
        <v>1.4896</v>
      </c>
      <c r="L22" s="74">
        <v>1.4945999999999999</v>
      </c>
      <c r="M22" s="74">
        <v>1.4956</v>
      </c>
      <c r="N22" s="74">
        <v>1.5016</v>
      </c>
      <c r="O22" s="74">
        <v>1.5176000000000001</v>
      </c>
      <c r="P22" s="74">
        <v>1.5475999999999999</v>
      </c>
      <c r="Q22" s="74">
        <v>1.5806</v>
      </c>
      <c r="R22" s="74">
        <v>1.6126</v>
      </c>
      <c r="S22" s="74">
        <v>1.6446000000000001</v>
      </c>
      <c r="T22" s="74">
        <v>0</v>
      </c>
      <c r="U22" s="74"/>
      <c r="V22" s="74"/>
      <c r="W22" s="74"/>
      <c r="X22" s="74"/>
      <c r="Y22" s="74"/>
      <c r="Z22" s="74"/>
      <c r="AA22" s="74"/>
      <c r="AB22" s="74"/>
      <c r="AC22" s="74"/>
      <c r="AD22" s="75"/>
      <c r="AE22" s="76"/>
      <c r="AF22" s="76"/>
      <c r="AG22" s="76"/>
      <c r="AH22" s="76"/>
      <c r="AI22" s="76"/>
      <c r="AJ22" s="76"/>
      <c r="AK22" s="76"/>
      <c r="AL22" s="76"/>
      <c r="AM22" s="76"/>
      <c r="AN22" s="76"/>
      <c r="AO22" s="76"/>
      <c r="AP22" s="76"/>
      <c r="AQ22" s="76"/>
      <c r="AR22" s="76"/>
      <c r="AS22" s="76"/>
      <c r="BZ22" s="63" t="str">
        <f t="shared" si="4"/>
        <v>422</v>
      </c>
      <c r="CA22" s="63" t="str">
        <f t="shared" si="1"/>
        <v>522</v>
      </c>
      <c r="CB22" s="63" t="str">
        <f t="shared" si="5"/>
        <v>622</v>
      </c>
      <c r="CC22" s="63" t="str">
        <f t="shared" si="6"/>
        <v>722</v>
      </c>
      <c r="CD22" s="63" t="str">
        <f t="shared" si="7"/>
        <v>822</v>
      </c>
      <c r="CE22" s="63" t="str">
        <f t="shared" si="8"/>
        <v>922</v>
      </c>
      <c r="CF22" s="63" t="str">
        <f t="shared" si="9"/>
        <v>1022</v>
      </c>
      <c r="CG22" s="63" t="str">
        <f t="shared" si="10"/>
        <v>1122</v>
      </c>
      <c r="CH22" s="63" t="str">
        <f t="shared" si="11"/>
        <v>1222</v>
      </c>
      <c r="CI22" s="63" t="str">
        <f t="shared" si="12"/>
        <v>1322</v>
      </c>
      <c r="CJ22" s="63" t="str">
        <f t="shared" si="13"/>
        <v>1422</v>
      </c>
      <c r="CK22" s="63" t="str">
        <f t="shared" si="14"/>
        <v>1522</v>
      </c>
      <c r="CL22" s="63" t="str">
        <f t="shared" si="15"/>
        <v>1622</v>
      </c>
      <c r="CM22" s="63" t="str">
        <f t="shared" si="16"/>
        <v>1722</v>
      </c>
      <c r="CN22" s="63" t="str">
        <f t="shared" si="17"/>
        <v>1822</v>
      </c>
      <c r="CO22" s="63" t="str">
        <f t="shared" si="18"/>
        <v>1922</v>
      </c>
      <c r="CP22" s="63" t="str">
        <f t="shared" si="19"/>
        <v>2022</v>
      </c>
      <c r="CQ22" s="63" t="str">
        <f t="shared" si="20"/>
        <v>2122</v>
      </c>
      <c r="CR22" s="63" t="str">
        <f t="shared" si="21"/>
        <v>2222</v>
      </c>
      <c r="CS22" s="63" t="str">
        <f t="shared" si="22"/>
        <v>2322</v>
      </c>
      <c r="CT22" s="63" t="str">
        <f t="shared" si="23"/>
        <v>2422</v>
      </c>
      <c r="CU22" s="63" t="str">
        <f t="shared" si="24"/>
        <v>2522</v>
      </c>
      <c r="CV22" s="63" t="str">
        <f t="shared" si="25"/>
        <v>2622</v>
      </c>
      <c r="CW22" s="63" t="str">
        <f t="shared" si="26"/>
        <v>2722</v>
      </c>
      <c r="CX22" s="63" t="str">
        <f t="shared" si="27"/>
        <v>2822</v>
      </c>
      <c r="CY22" s="63" t="str">
        <f t="shared" si="28"/>
        <v>2922</v>
      </c>
      <c r="CZ22" s="63" t="str">
        <f t="shared" si="29"/>
        <v>3022</v>
      </c>
      <c r="DA22" s="63" t="str">
        <f t="shared" si="30"/>
        <v>3122</v>
      </c>
      <c r="DB22" s="63" t="str">
        <f t="shared" si="31"/>
        <v>3222</v>
      </c>
      <c r="DD22" s="72" t="s">
        <v>151</v>
      </c>
      <c r="DE22" s="77">
        <f t="shared" si="32"/>
        <v>1.232</v>
      </c>
      <c r="DF22" s="77">
        <f t="shared" si="32"/>
        <v>1.2709999999999999</v>
      </c>
      <c r="DG22" s="77">
        <f t="shared" si="32"/>
        <v>1.3420000000000001</v>
      </c>
      <c r="DH22" s="77">
        <f t="shared" si="32"/>
        <v>1.35</v>
      </c>
      <c r="DI22" s="77">
        <f t="shared" si="32"/>
        <v>1.3839999999999999</v>
      </c>
      <c r="DJ22" s="77">
        <f t="shared" si="32"/>
        <v>1.413</v>
      </c>
      <c r="DK22" s="77">
        <f t="shared" si="32"/>
        <v>1.4379999999999999</v>
      </c>
      <c r="DL22" s="77">
        <f t="shared" si="32"/>
        <v>1.46</v>
      </c>
      <c r="DM22" s="77">
        <f t="shared" si="32"/>
        <v>1.478</v>
      </c>
      <c r="DN22" s="77">
        <f t="shared" si="32"/>
        <v>1.49</v>
      </c>
      <c r="DO22" s="77">
        <f t="shared" si="32"/>
        <v>1.4950000000000001</v>
      </c>
      <c r="DP22" s="77">
        <f t="shared" si="32"/>
        <v>1.496</v>
      </c>
      <c r="DQ22" s="77">
        <f t="shared" si="32"/>
        <v>1.502</v>
      </c>
      <c r="DR22" s="77">
        <f t="shared" si="32"/>
        <v>1.518</v>
      </c>
      <c r="DS22" s="77">
        <f t="shared" si="32"/>
        <v>1.548</v>
      </c>
      <c r="DT22" s="77">
        <f t="shared" si="32"/>
        <v>1.581</v>
      </c>
      <c r="DU22" s="77">
        <f t="shared" si="33"/>
        <v>1.613</v>
      </c>
      <c r="DV22" s="77">
        <f t="shared" si="3"/>
        <v>1.645</v>
      </c>
      <c r="DW22" s="77">
        <f t="shared" si="3"/>
        <v>0</v>
      </c>
      <c r="DX22" s="77">
        <f t="shared" si="3"/>
        <v>0</v>
      </c>
      <c r="DY22" s="77">
        <f t="shared" si="3"/>
        <v>0</v>
      </c>
      <c r="DZ22" s="77">
        <f t="shared" si="3"/>
        <v>0</v>
      </c>
      <c r="EA22" s="77">
        <f t="shared" si="3"/>
        <v>0</v>
      </c>
      <c r="EB22" s="77">
        <f t="shared" si="3"/>
        <v>0</v>
      </c>
      <c r="EC22" s="77">
        <f t="shared" si="3"/>
        <v>0</v>
      </c>
      <c r="ED22" s="77">
        <f t="shared" si="3"/>
        <v>0</v>
      </c>
      <c r="EE22" s="77">
        <f t="shared" si="3"/>
        <v>0</v>
      </c>
      <c r="EF22" s="77">
        <f t="shared" si="3"/>
        <v>0</v>
      </c>
      <c r="EG22" s="77">
        <f t="shared" si="3"/>
        <v>0</v>
      </c>
    </row>
    <row r="23" spans="1:137" ht="12.6" customHeight="1">
      <c r="A23" s="73">
        <v>23</v>
      </c>
      <c r="B23" s="74">
        <v>1.2565999999999999</v>
      </c>
      <c r="C23" s="74">
        <v>1.2955999999999999</v>
      </c>
      <c r="D23" s="74">
        <v>1.3446</v>
      </c>
      <c r="E23" s="74">
        <v>1.3735999999999999</v>
      </c>
      <c r="F23" s="74">
        <v>1.4056</v>
      </c>
      <c r="G23" s="74">
        <v>1.4345999999999999</v>
      </c>
      <c r="H23" s="74">
        <v>1.4596</v>
      </c>
      <c r="I23" s="74">
        <v>1.4816</v>
      </c>
      <c r="J23" s="74">
        <v>1.4996</v>
      </c>
      <c r="K23" s="74">
        <v>1.5125999999999999</v>
      </c>
      <c r="L23" s="74">
        <v>1.5196000000000001</v>
      </c>
      <c r="M23" s="74">
        <v>1.5236000000000001</v>
      </c>
      <c r="N23" s="74">
        <v>1.5326</v>
      </c>
      <c r="O23" s="74">
        <v>1.5506</v>
      </c>
      <c r="P23" s="74">
        <v>1.5815999999999999</v>
      </c>
      <c r="Q23" s="74">
        <v>1.6155999999999999</v>
      </c>
      <c r="R23" s="74">
        <v>1.6486000000000001</v>
      </c>
      <c r="S23" s="74">
        <v>1.6825999999999999</v>
      </c>
      <c r="T23" s="74">
        <v>1.7196</v>
      </c>
      <c r="U23" s="74">
        <v>0</v>
      </c>
      <c r="V23" s="74"/>
      <c r="W23" s="74"/>
      <c r="X23" s="74"/>
      <c r="Y23" s="74"/>
      <c r="Z23" s="74"/>
      <c r="AA23" s="74"/>
      <c r="AB23" s="74"/>
      <c r="AC23" s="74"/>
      <c r="AD23" s="75"/>
      <c r="AE23" s="76"/>
      <c r="AF23" s="76"/>
      <c r="AG23" s="76"/>
      <c r="AH23" s="76"/>
      <c r="AI23" s="76"/>
      <c r="AJ23" s="76"/>
      <c r="AK23" s="76"/>
      <c r="AL23" s="76"/>
      <c r="AM23" s="76"/>
      <c r="AN23" s="76"/>
      <c r="AO23" s="76"/>
      <c r="AP23" s="76"/>
      <c r="AQ23" s="76"/>
      <c r="AR23" s="76"/>
      <c r="AS23" s="76"/>
      <c r="BZ23" s="63" t="str">
        <f t="shared" si="4"/>
        <v>423</v>
      </c>
      <c r="CA23" s="63" t="str">
        <f t="shared" si="1"/>
        <v>523</v>
      </c>
      <c r="CB23" s="63" t="str">
        <f t="shared" si="5"/>
        <v>623</v>
      </c>
      <c r="CC23" s="63" t="str">
        <f t="shared" si="6"/>
        <v>723</v>
      </c>
      <c r="CD23" s="63" t="str">
        <f t="shared" si="7"/>
        <v>823</v>
      </c>
      <c r="CE23" s="63" t="str">
        <f t="shared" si="8"/>
        <v>923</v>
      </c>
      <c r="CF23" s="63" t="str">
        <f t="shared" si="9"/>
        <v>1023</v>
      </c>
      <c r="CG23" s="63" t="str">
        <f t="shared" si="10"/>
        <v>1123</v>
      </c>
      <c r="CH23" s="63" t="str">
        <f t="shared" si="11"/>
        <v>1223</v>
      </c>
      <c r="CI23" s="63" t="str">
        <f t="shared" si="12"/>
        <v>1323</v>
      </c>
      <c r="CJ23" s="63" t="str">
        <f t="shared" si="13"/>
        <v>1423</v>
      </c>
      <c r="CK23" s="63" t="str">
        <f t="shared" si="14"/>
        <v>1523</v>
      </c>
      <c r="CL23" s="63" t="str">
        <f t="shared" si="15"/>
        <v>1623</v>
      </c>
      <c r="CM23" s="63" t="str">
        <f t="shared" si="16"/>
        <v>1723</v>
      </c>
      <c r="CN23" s="63" t="str">
        <f t="shared" si="17"/>
        <v>1823</v>
      </c>
      <c r="CO23" s="63" t="str">
        <f t="shared" si="18"/>
        <v>1923</v>
      </c>
      <c r="CP23" s="63" t="str">
        <f t="shared" si="19"/>
        <v>2023</v>
      </c>
      <c r="CQ23" s="63" t="str">
        <f t="shared" si="20"/>
        <v>2123</v>
      </c>
      <c r="CR23" s="63" t="str">
        <f t="shared" si="21"/>
        <v>2223</v>
      </c>
      <c r="CS23" s="63" t="str">
        <f t="shared" si="22"/>
        <v>2323</v>
      </c>
      <c r="CT23" s="63" t="str">
        <f t="shared" si="23"/>
        <v>2423</v>
      </c>
      <c r="CU23" s="63" t="str">
        <f t="shared" si="24"/>
        <v>2523</v>
      </c>
      <c r="CV23" s="63" t="str">
        <f t="shared" si="25"/>
        <v>2623</v>
      </c>
      <c r="CW23" s="63" t="str">
        <f t="shared" si="26"/>
        <v>2723</v>
      </c>
      <c r="CX23" s="63" t="str">
        <f t="shared" si="27"/>
        <v>2823</v>
      </c>
      <c r="CY23" s="63" t="str">
        <f t="shared" si="28"/>
        <v>2923</v>
      </c>
      <c r="CZ23" s="63" t="str">
        <f t="shared" si="29"/>
        <v>3023</v>
      </c>
      <c r="DA23" s="63" t="str">
        <f t="shared" si="30"/>
        <v>3123</v>
      </c>
      <c r="DB23" s="63" t="str">
        <f t="shared" si="31"/>
        <v>3223</v>
      </c>
      <c r="DD23" s="72" t="s">
        <v>152</v>
      </c>
      <c r="DE23" s="77">
        <f t="shared" si="32"/>
        <v>1.2569999999999999</v>
      </c>
      <c r="DF23" s="77">
        <f t="shared" si="32"/>
        <v>1.296</v>
      </c>
      <c r="DG23" s="77">
        <f t="shared" si="32"/>
        <v>1.345</v>
      </c>
      <c r="DH23" s="77">
        <f t="shared" si="32"/>
        <v>1.3740000000000001</v>
      </c>
      <c r="DI23" s="77">
        <f t="shared" si="32"/>
        <v>1.4059999999999999</v>
      </c>
      <c r="DJ23" s="77">
        <f t="shared" si="32"/>
        <v>1.4350000000000001</v>
      </c>
      <c r="DK23" s="77">
        <f t="shared" si="32"/>
        <v>1.46</v>
      </c>
      <c r="DL23" s="77">
        <f t="shared" si="32"/>
        <v>1.482</v>
      </c>
      <c r="DM23" s="77">
        <f t="shared" si="32"/>
        <v>1.5</v>
      </c>
      <c r="DN23" s="77">
        <f t="shared" si="32"/>
        <v>1.5129999999999999</v>
      </c>
      <c r="DO23" s="77">
        <f t="shared" si="32"/>
        <v>1.52</v>
      </c>
      <c r="DP23" s="77">
        <f t="shared" si="32"/>
        <v>1.524</v>
      </c>
      <c r="DQ23" s="77">
        <f t="shared" si="32"/>
        <v>1.5329999999999999</v>
      </c>
      <c r="DR23" s="77">
        <f t="shared" si="32"/>
        <v>1.5509999999999999</v>
      </c>
      <c r="DS23" s="77">
        <f t="shared" si="32"/>
        <v>1.5820000000000001</v>
      </c>
      <c r="DT23" s="77">
        <f t="shared" si="32"/>
        <v>1.6160000000000001</v>
      </c>
      <c r="DU23" s="77">
        <f t="shared" si="33"/>
        <v>1.649</v>
      </c>
      <c r="DV23" s="77">
        <f t="shared" si="3"/>
        <v>1.6830000000000001</v>
      </c>
      <c r="DW23" s="77">
        <f t="shared" si="3"/>
        <v>1.72</v>
      </c>
      <c r="DX23" s="77">
        <f t="shared" si="3"/>
        <v>0</v>
      </c>
      <c r="DY23" s="77">
        <f t="shared" si="3"/>
        <v>0</v>
      </c>
      <c r="DZ23" s="77">
        <f t="shared" si="3"/>
        <v>0</v>
      </c>
      <c r="EA23" s="77">
        <f t="shared" si="3"/>
        <v>0</v>
      </c>
      <c r="EB23" s="77">
        <f t="shared" si="3"/>
        <v>0</v>
      </c>
      <c r="EC23" s="77">
        <f t="shared" si="3"/>
        <v>0</v>
      </c>
      <c r="ED23" s="77">
        <f t="shared" si="3"/>
        <v>0</v>
      </c>
      <c r="EE23" s="77">
        <f t="shared" si="3"/>
        <v>0</v>
      </c>
      <c r="EF23" s="77">
        <f t="shared" si="3"/>
        <v>0</v>
      </c>
      <c r="EG23" s="77">
        <f t="shared" si="3"/>
        <v>0</v>
      </c>
    </row>
    <row r="24" spans="1:137" ht="12.6" customHeight="1">
      <c r="A24" s="73">
        <v>24</v>
      </c>
      <c r="B24" s="74">
        <v>1.2835999999999999</v>
      </c>
      <c r="C24" s="74">
        <v>1.3215999999999999</v>
      </c>
      <c r="D24" s="74">
        <v>1.3606</v>
      </c>
      <c r="E24" s="74">
        <v>1.3976</v>
      </c>
      <c r="F24" s="74">
        <v>1.4296</v>
      </c>
      <c r="G24" s="74">
        <v>1.4576</v>
      </c>
      <c r="H24" s="74">
        <v>1.4825999999999999</v>
      </c>
      <c r="I24" s="74">
        <v>1.5045999999999999</v>
      </c>
      <c r="J24" s="74">
        <v>1.5236000000000001</v>
      </c>
      <c r="K24" s="74">
        <v>1.5366</v>
      </c>
      <c r="L24" s="74">
        <v>1.5455999999999999</v>
      </c>
      <c r="M24" s="74">
        <v>1.5515999999999999</v>
      </c>
      <c r="N24" s="74">
        <v>1.5635999999999999</v>
      </c>
      <c r="O24" s="74">
        <v>1.569</v>
      </c>
      <c r="P24" s="74">
        <v>1.6146</v>
      </c>
      <c r="Q24" s="74">
        <v>1.6486000000000001</v>
      </c>
      <c r="R24" s="74">
        <v>1.6816</v>
      </c>
      <c r="S24" s="74">
        <v>1.7145999999999999</v>
      </c>
      <c r="T24" s="74">
        <v>1.7496</v>
      </c>
      <c r="U24" s="74">
        <v>1.7795999999999998</v>
      </c>
      <c r="V24" s="74">
        <v>0</v>
      </c>
      <c r="W24" s="74"/>
      <c r="X24" s="74"/>
      <c r="Y24" s="74"/>
      <c r="Z24" s="74"/>
      <c r="AA24" s="74"/>
      <c r="AB24" s="74"/>
      <c r="AC24" s="74"/>
      <c r="AD24" s="75"/>
      <c r="AE24" s="76"/>
      <c r="AF24" s="76"/>
      <c r="AG24" s="76"/>
      <c r="AH24" s="76"/>
      <c r="AI24" s="76"/>
      <c r="AJ24" s="76"/>
      <c r="AK24" s="76"/>
      <c r="AL24" s="76"/>
      <c r="AM24" s="76"/>
      <c r="AN24" s="76"/>
      <c r="AO24" s="76"/>
      <c r="AP24" s="76"/>
      <c r="AQ24" s="76"/>
      <c r="AR24" s="76"/>
      <c r="AS24" s="76"/>
      <c r="BZ24" s="63" t="str">
        <f t="shared" si="4"/>
        <v>424</v>
      </c>
      <c r="CA24" s="63" t="str">
        <f t="shared" si="1"/>
        <v>524</v>
      </c>
      <c r="CB24" s="63" t="str">
        <f t="shared" si="5"/>
        <v>624</v>
      </c>
      <c r="CC24" s="63" t="str">
        <f t="shared" si="6"/>
        <v>724</v>
      </c>
      <c r="CD24" s="63" t="str">
        <f t="shared" si="7"/>
        <v>824</v>
      </c>
      <c r="CE24" s="63" t="str">
        <f t="shared" si="8"/>
        <v>924</v>
      </c>
      <c r="CF24" s="63" t="str">
        <f t="shared" si="9"/>
        <v>1024</v>
      </c>
      <c r="CG24" s="63" t="str">
        <f t="shared" si="10"/>
        <v>1124</v>
      </c>
      <c r="CH24" s="63" t="str">
        <f t="shared" si="11"/>
        <v>1224</v>
      </c>
      <c r="CI24" s="63" t="str">
        <f t="shared" si="12"/>
        <v>1324</v>
      </c>
      <c r="CJ24" s="63" t="str">
        <f t="shared" si="13"/>
        <v>1424</v>
      </c>
      <c r="CK24" s="63" t="str">
        <f t="shared" si="14"/>
        <v>1524</v>
      </c>
      <c r="CL24" s="63" t="str">
        <f t="shared" si="15"/>
        <v>1624</v>
      </c>
      <c r="CM24" s="63" t="str">
        <f t="shared" si="16"/>
        <v>1724</v>
      </c>
      <c r="CN24" s="63" t="str">
        <f t="shared" si="17"/>
        <v>1824</v>
      </c>
      <c r="CO24" s="63" t="str">
        <f t="shared" si="18"/>
        <v>1924</v>
      </c>
      <c r="CP24" s="63" t="str">
        <f t="shared" si="19"/>
        <v>2024</v>
      </c>
      <c r="CQ24" s="63" t="str">
        <f t="shared" si="20"/>
        <v>2124</v>
      </c>
      <c r="CR24" s="63" t="str">
        <f t="shared" si="21"/>
        <v>2224</v>
      </c>
      <c r="CS24" s="63" t="str">
        <f t="shared" si="22"/>
        <v>2324</v>
      </c>
      <c r="CT24" s="63" t="str">
        <f t="shared" si="23"/>
        <v>2424</v>
      </c>
      <c r="CU24" s="63" t="str">
        <f t="shared" si="24"/>
        <v>2524</v>
      </c>
      <c r="CV24" s="63" t="str">
        <f t="shared" si="25"/>
        <v>2624</v>
      </c>
      <c r="CW24" s="63" t="str">
        <f t="shared" si="26"/>
        <v>2724</v>
      </c>
      <c r="CX24" s="63" t="str">
        <f t="shared" si="27"/>
        <v>2824</v>
      </c>
      <c r="CY24" s="63" t="str">
        <f t="shared" si="28"/>
        <v>2924</v>
      </c>
      <c r="CZ24" s="63" t="str">
        <f t="shared" si="29"/>
        <v>3024</v>
      </c>
      <c r="DA24" s="63" t="str">
        <f t="shared" si="30"/>
        <v>3124</v>
      </c>
      <c r="DB24" s="63" t="str">
        <f t="shared" si="31"/>
        <v>3224</v>
      </c>
      <c r="DD24" s="72" t="s">
        <v>153</v>
      </c>
      <c r="DE24" s="77">
        <f t="shared" si="32"/>
        <v>1.284</v>
      </c>
      <c r="DF24" s="77">
        <f t="shared" si="32"/>
        <v>1.3220000000000001</v>
      </c>
      <c r="DG24" s="77">
        <f t="shared" si="32"/>
        <v>1.361</v>
      </c>
      <c r="DH24" s="77">
        <f t="shared" si="32"/>
        <v>1.3979999999999999</v>
      </c>
      <c r="DI24" s="77">
        <f t="shared" si="32"/>
        <v>1.43</v>
      </c>
      <c r="DJ24" s="77">
        <f t="shared" si="32"/>
        <v>1.458</v>
      </c>
      <c r="DK24" s="77">
        <f t="shared" si="32"/>
        <v>1.4830000000000001</v>
      </c>
      <c r="DL24" s="77">
        <f t="shared" si="32"/>
        <v>1.5049999999999999</v>
      </c>
      <c r="DM24" s="77">
        <f t="shared" si="32"/>
        <v>1.524</v>
      </c>
      <c r="DN24" s="77">
        <f t="shared" si="32"/>
        <v>1.5369999999999999</v>
      </c>
      <c r="DO24" s="77">
        <f t="shared" si="32"/>
        <v>1.546</v>
      </c>
      <c r="DP24" s="77">
        <f t="shared" si="32"/>
        <v>1.552</v>
      </c>
      <c r="DQ24" s="77">
        <f t="shared" si="32"/>
        <v>1.5640000000000001</v>
      </c>
      <c r="DR24" s="77">
        <f t="shared" si="32"/>
        <v>1.569</v>
      </c>
      <c r="DS24" s="77">
        <f t="shared" si="32"/>
        <v>1.615</v>
      </c>
      <c r="DT24" s="77">
        <f t="shared" si="32"/>
        <v>1.649</v>
      </c>
      <c r="DU24" s="77">
        <f t="shared" si="33"/>
        <v>1.6819999999999999</v>
      </c>
      <c r="DV24" s="77">
        <f t="shared" si="3"/>
        <v>1.7150000000000001</v>
      </c>
      <c r="DW24" s="77">
        <f t="shared" si="3"/>
        <v>1.75</v>
      </c>
      <c r="DX24" s="77">
        <f t="shared" si="3"/>
        <v>1.78</v>
      </c>
      <c r="DY24" s="77">
        <f t="shared" si="3"/>
        <v>0</v>
      </c>
      <c r="DZ24" s="77">
        <f t="shared" si="3"/>
        <v>0</v>
      </c>
      <c r="EA24" s="77">
        <f t="shared" si="3"/>
        <v>0</v>
      </c>
      <c r="EB24" s="77">
        <f t="shared" si="3"/>
        <v>0</v>
      </c>
      <c r="EC24" s="77">
        <f t="shared" si="3"/>
        <v>0</v>
      </c>
      <c r="ED24" s="77">
        <f t="shared" si="3"/>
        <v>0</v>
      </c>
      <c r="EE24" s="77">
        <f t="shared" si="3"/>
        <v>0</v>
      </c>
      <c r="EF24" s="77">
        <f t="shared" si="3"/>
        <v>0</v>
      </c>
      <c r="EG24" s="77">
        <f t="shared" si="3"/>
        <v>0</v>
      </c>
    </row>
    <row r="25" spans="1:137" ht="12.6" customHeight="1">
      <c r="A25" s="73">
        <v>25</v>
      </c>
      <c r="B25" s="74">
        <v>1.3106</v>
      </c>
      <c r="C25" s="74">
        <v>1.3475999999999999</v>
      </c>
      <c r="D25" s="74">
        <v>1.3855999999999999</v>
      </c>
      <c r="E25" s="74">
        <v>1.4212</v>
      </c>
      <c r="F25" s="74">
        <v>1.4523999999999999</v>
      </c>
      <c r="G25" s="74">
        <v>1.4803999999999999</v>
      </c>
      <c r="H25" s="74">
        <v>1.5053999999999998</v>
      </c>
      <c r="I25" s="74">
        <v>1.5274000000000001</v>
      </c>
      <c r="J25" s="74">
        <v>1.5463999999999998</v>
      </c>
      <c r="K25" s="74">
        <v>1.5615999999999999</v>
      </c>
      <c r="L25" s="74">
        <v>1.5726</v>
      </c>
      <c r="M25" s="74">
        <v>1.5806</v>
      </c>
      <c r="N25" s="74">
        <v>1.5946</v>
      </c>
      <c r="O25" s="74">
        <v>1.6155999999999999</v>
      </c>
      <c r="P25" s="74">
        <v>1.6466000000000001</v>
      </c>
      <c r="Q25" s="74">
        <v>1.6805999999999999</v>
      </c>
      <c r="R25" s="74">
        <v>1.7136</v>
      </c>
      <c r="S25" s="74">
        <v>1.7465999999999999</v>
      </c>
      <c r="T25" s="74">
        <v>1.7795999999999998</v>
      </c>
      <c r="U25" s="74">
        <v>1.8106</v>
      </c>
      <c r="V25" s="74">
        <v>1.8406</v>
      </c>
      <c r="W25" s="74">
        <v>0</v>
      </c>
      <c r="X25" s="74"/>
      <c r="Y25" s="74"/>
      <c r="Z25" s="74"/>
      <c r="AA25" s="74"/>
      <c r="AB25" s="74"/>
      <c r="AC25" s="74"/>
      <c r="AD25" s="75"/>
      <c r="AE25" s="76"/>
      <c r="AF25" s="76"/>
      <c r="AG25" s="76"/>
      <c r="AH25" s="76"/>
      <c r="AI25" s="76"/>
      <c r="AJ25" s="76"/>
      <c r="AK25" s="76"/>
      <c r="AL25" s="76"/>
      <c r="AM25" s="76"/>
      <c r="AN25" s="76"/>
      <c r="AO25" s="76"/>
      <c r="AP25" s="76"/>
      <c r="AQ25" s="76"/>
      <c r="AR25" s="76"/>
      <c r="AS25" s="76"/>
      <c r="BZ25" s="63" t="str">
        <f t="shared" si="4"/>
        <v>425</v>
      </c>
      <c r="CA25" s="63" t="str">
        <f t="shared" si="1"/>
        <v>525</v>
      </c>
      <c r="CB25" s="63" t="str">
        <f t="shared" si="5"/>
        <v>625</v>
      </c>
      <c r="CC25" s="63" t="str">
        <f t="shared" si="6"/>
        <v>725</v>
      </c>
      <c r="CD25" s="63" t="str">
        <f t="shared" si="7"/>
        <v>825</v>
      </c>
      <c r="CE25" s="63" t="str">
        <f t="shared" si="8"/>
        <v>925</v>
      </c>
      <c r="CF25" s="63" t="str">
        <f t="shared" si="9"/>
        <v>1025</v>
      </c>
      <c r="CG25" s="63" t="str">
        <f t="shared" si="10"/>
        <v>1125</v>
      </c>
      <c r="CH25" s="63" t="str">
        <f t="shared" si="11"/>
        <v>1225</v>
      </c>
      <c r="CI25" s="63" t="str">
        <f t="shared" si="12"/>
        <v>1325</v>
      </c>
      <c r="CJ25" s="63" t="str">
        <f t="shared" si="13"/>
        <v>1425</v>
      </c>
      <c r="CK25" s="63" t="str">
        <f t="shared" si="14"/>
        <v>1525</v>
      </c>
      <c r="CL25" s="63" t="str">
        <f t="shared" si="15"/>
        <v>1625</v>
      </c>
      <c r="CM25" s="63" t="str">
        <f t="shared" si="16"/>
        <v>1725</v>
      </c>
      <c r="CN25" s="63" t="str">
        <f t="shared" si="17"/>
        <v>1825</v>
      </c>
      <c r="CO25" s="63" t="str">
        <f t="shared" si="18"/>
        <v>1925</v>
      </c>
      <c r="CP25" s="63" t="str">
        <f t="shared" si="19"/>
        <v>2025</v>
      </c>
      <c r="CQ25" s="63" t="str">
        <f t="shared" si="20"/>
        <v>2125</v>
      </c>
      <c r="CR25" s="63" t="str">
        <f t="shared" si="21"/>
        <v>2225</v>
      </c>
      <c r="CS25" s="63" t="str">
        <f t="shared" si="22"/>
        <v>2325</v>
      </c>
      <c r="CT25" s="63" t="str">
        <f t="shared" si="23"/>
        <v>2425</v>
      </c>
      <c r="CU25" s="63" t="str">
        <f t="shared" si="24"/>
        <v>2525</v>
      </c>
      <c r="CV25" s="63" t="str">
        <f t="shared" si="25"/>
        <v>2625</v>
      </c>
      <c r="CW25" s="63" t="str">
        <f t="shared" si="26"/>
        <v>2725</v>
      </c>
      <c r="CX25" s="63" t="str">
        <f t="shared" si="27"/>
        <v>2825</v>
      </c>
      <c r="CY25" s="63" t="str">
        <f t="shared" si="28"/>
        <v>2925</v>
      </c>
      <c r="CZ25" s="63" t="str">
        <f t="shared" si="29"/>
        <v>3025</v>
      </c>
      <c r="DA25" s="63" t="str">
        <f t="shared" si="30"/>
        <v>3125</v>
      </c>
      <c r="DB25" s="63" t="str">
        <f t="shared" si="31"/>
        <v>3225</v>
      </c>
      <c r="DD25" s="72" t="s">
        <v>154</v>
      </c>
      <c r="DE25" s="77">
        <f t="shared" si="32"/>
        <v>1.3109999999999999</v>
      </c>
      <c r="DF25" s="77">
        <f t="shared" si="32"/>
        <v>1.3480000000000001</v>
      </c>
      <c r="DG25" s="77">
        <f t="shared" si="32"/>
        <v>1.3859999999999999</v>
      </c>
      <c r="DH25" s="77">
        <f t="shared" si="32"/>
        <v>1.421</v>
      </c>
      <c r="DI25" s="77">
        <f t="shared" si="32"/>
        <v>1.452</v>
      </c>
      <c r="DJ25" s="77">
        <f t="shared" si="32"/>
        <v>1.48</v>
      </c>
      <c r="DK25" s="77">
        <f t="shared" si="32"/>
        <v>1.5049999999999999</v>
      </c>
      <c r="DL25" s="77">
        <f t="shared" si="32"/>
        <v>1.5269999999999999</v>
      </c>
      <c r="DM25" s="77">
        <f t="shared" si="32"/>
        <v>1.546</v>
      </c>
      <c r="DN25" s="77">
        <f t="shared" si="32"/>
        <v>1.5620000000000001</v>
      </c>
      <c r="DO25" s="77">
        <f t="shared" si="32"/>
        <v>1.573</v>
      </c>
      <c r="DP25" s="77">
        <f t="shared" si="32"/>
        <v>1.581</v>
      </c>
      <c r="DQ25" s="77">
        <f t="shared" si="32"/>
        <v>1.595</v>
      </c>
      <c r="DR25" s="77">
        <f t="shared" si="32"/>
        <v>1.6160000000000001</v>
      </c>
      <c r="DS25" s="77">
        <f t="shared" si="32"/>
        <v>1.647</v>
      </c>
      <c r="DT25" s="77">
        <f t="shared" si="32"/>
        <v>1.681</v>
      </c>
      <c r="DU25" s="77">
        <f t="shared" si="33"/>
        <v>1.714</v>
      </c>
      <c r="DV25" s="77">
        <f t="shared" si="3"/>
        <v>1.7470000000000001</v>
      </c>
      <c r="DW25" s="77">
        <f t="shared" si="3"/>
        <v>1.78</v>
      </c>
      <c r="DX25" s="77">
        <f t="shared" si="3"/>
        <v>1.8109999999999999</v>
      </c>
      <c r="DY25" s="77">
        <f t="shared" ref="DY25:EG53" si="34">ROUND(V25,3)</f>
        <v>1.841</v>
      </c>
      <c r="DZ25" s="77">
        <f t="shared" si="34"/>
        <v>0</v>
      </c>
      <c r="EA25" s="77">
        <f t="shared" si="34"/>
        <v>0</v>
      </c>
      <c r="EB25" s="77">
        <f t="shared" si="34"/>
        <v>0</v>
      </c>
      <c r="EC25" s="77">
        <f t="shared" si="34"/>
        <v>0</v>
      </c>
      <c r="ED25" s="77">
        <f t="shared" si="34"/>
        <v>0</v>
      </c>
      <c r="EE25" s="77">
        <f t="shared" si="34"/>
        <v>0</v>
      </c>
      <c r="EF25" s="77">
        <f t="shared" si="34"/>
        <v>0</v>
      </c>
      <c r="EG25" s="77">
        <f t="shared" si="34"/>
        <v>0</v>
      </c>
    </row>
    <row r="26" spans="1:137" ht="12.6" customHeight="1">
      <c r="A26" s="73">
        <v>26</v>
      </c>
      <c r="B26" s="74">
        <v>1.3129999999999999</v>
      </c>
      <c r="C26" s="74">
        <v>1.349</v>
      </c>
      <c r="D26" s="74">
        <v>1.387</v>
      </c>
      <c r="E26" s="74">
        <v>1.4219999999999999</v>
      </c>
      <c r="F26" s="74">
        <v>1.4530000000000001</v>
      </c>
      <c r="G26" s="74">
        <v>1.4810000000000001</v>
      </c>
      <c r="H26" s="74">
        <v>1.506</v>
      </c>
      <c r="I26" s="74">
        <v>1.528</v>
      </c>
      <c r="J26" s="74">
        <v>1.548</v>
      </c>
      <c r="K26" s="74">
        <v>1.5629999999999999</v>
      </c>
      <c r="L26" s="74">
        <v>1.575</v>
      </c>
      <c r="M26" s="74">
        <v>1.585</v>
      </c>
      <c r="N26" s="74">
        <v>1.6</v>
      </c>
      <c r="O26" s="74">
        <v>1.623</v>
      </c>
      <c r="P26" s="74">
        <v>1.6539999999999999</v>
      </c>
      <c r="Q26" s="74">
        <v>1.6870000000000001</v>
      </c>
      <c r="R26" s="74">
        <v>1.7190000000000001</v>
      </c>
      <c r="S26" s="74">
        <v>1.752</v>
      </c>
      <c r="T26" s="74">
        <v>1.7849999999999999</v>
      </c>
      <c r="U26" s="74">
        <v>1.8129999999999999</v>
      </c>
      <c r="V26" s="74">
        <v>1.845</v>
      </c>
      <c r="W26" s="74">
        <v>1.8740000000000001</v>
      </c>
      <c r="X26" s="74">
        <v>0</v>
      </c>
      <c r="Y26" s="74"/>
      <c r="Z26" s="74"/>
      <c r="AA26" s="74"/>
      <c r="AB26" s="74"/>
      <c r="AC26" s="74"/>
      <c r="AD26" s="75"/>
      <c r="AE26" s="76"/>
      <c r="AF26" s="76"/>
      <c r="AG26" s="76"/>
      <c r="AH26" s="76"/>
      <c r="AI26" s="76"/>
      <c r="AJ26" s="76"/>
      <c r="AK26" s="76"/>
      <c r="AL26" s="76"/>
      <c r="AM26" s="76"/>
      <c r="AN26" s="76"/>
      <c r="AO26" s="76"/>
      <c r="AP26" s="76"/>
      <c r="AQ26" s="76"/>
      <c r="AR26" s="76"/>
      <c r="AS26" s="76"/>
      <c r="BZ26" s="63" t="str">
        <f t="shared" si="4"/>
        <v>426</v>
      </c>
      <c r="CA26" s="63" t="str">
        <f t="shared" si="1"/>
        <v>526</v>
      </c>
      <c r="CB26" s="63" t="str">
        <f t="shared" si="5"/>
        <v>626</v>
      </c>
      <c r="CC26" s="63" t="str">
        <f t="shared" si="6"/>
        <v>726</v>
      </c>
      <c r="CD26" s="63" t="str">
        <f t="shared" si="7"/>
        <v>826</v>
      </c>
      <c r="CE26" s="63" t="str">
        <f t="shared" si="8"/>
        <v>926</v>
      </c>
      <c r="CF26" s="63" t="str">
        <f t="shared" si="9"/>
        <v>1026</v>
      </c>
      <c r="CG26" s="63" t="str">
        <f t="shared" si="10"/>
        <v>1126</v>
      </c>
      <c r="CH26" s="63" t="str">
        <f t="shared" si="11"/>
        <v>1226</v>
      </c>
      <c r="CI26" s="63" t="str">
        <f t="shared" si="12"/>
        <v>1326</v>
      </c>
      <c r="CJ26" s="63" t="str">
        <f t="shared" si="13"/>
        <v>1426</v>
      </c>
      <c r="CK26" s="63" t="str">
        <f t="shared" si="14"/>
        <v>1526</v>
      </c>
      <c r="CL26" s="63" t="str">
        <f t="shared" si="15"/>
        <v>1626</v>
      </c>
      <c r="CM26" s="63" t="str">
        <f t="shared" si="16"/>
        <v>1726</v>
      </c>
      <c r="CN26" s="63" t="str">
        <f t="shared" si="17"/>
        <v>1826</v>
      </c>
      <c r="CO26" s="63" t="str">
        <f t="shared" si="18"/>
        <v>1926</v>
      </c>
      <c r="CP26" s="63" t="str">
        <f t="shared" si="19"/>
        <v>2026</v>
      </c>
      <c r="CQ26" s="63" t="str">
        <f t="shared" si="20"/>
        <v>2126</v>
      </c>
      <c r="CR26" s="63" t="str">
        <f t="shared" si="21"/>
        <v>2226</v>
      </c>
      <c r="CS26" s="63" t="str">
        <f t="shared" si="22"/>
        <v>2326</v>
      </c>
      <c r="CT26" s="63" t="str">
        <f t="shared" si="23"/>
        <v>2426</v>
      </c>
      <c r="CU26" s="63" t="str">
        <f t="shared" si="24"/>
        <v>2526</v>
      </c>
      <c r="CV26" s="63" t="str">
        <f t="shared" si="25"/>
        <v>2626</v>
      </c>
      <c r="CW26" s="63" t="str">
        <f t="shared" si="26"/>
        <v>2726</v>
      </c>
      <c r="CX26" s="63" t="str">
        <f t="shared" si="27"/>
        <v>2826</v>
      </c>
      <c r="CY26" s="63" t="str">
        <f t="shared" si="28"/>
        <v>2926</v>
      </c>
      <c r="CZ26" s="63" t="str">
        <f t="shared" si="29"/>
        <v>3026</v>
      </c>
      <c r="DA26" s="63" t="str">
        <f t="shared" si="30"/>
        <v>3126</v>
      </c>
      <c r="DB26" s="63" t="str">
        <f t="shared" si="31"/>
        <v>3226</v>
      </c>
      <c r="DD26" s="72" t="s">
        <v>155</v>
      </c>
      <c r="DE26" s="77">
        <f t="shared" si="32"/>
        <v>1.3129999999999999</v>
      </c>
      <c r="DF26" s="77">
        <f t="shared" si="32"/>
        <v>1.349</v>
      </c>
      <c r="DG26" s="77">
        <f t="shared" si="32"/>
        <v>1.387</v>
      </c>
      <c r="DH26" s="77">
        <f t="shared" si="32"/>
        <v>1.4219999999999999</v>
      </c>
      <c r="DI26" s="77">
        <f t="shared" si="32"/>
        <v>1.4530000000000001</v>
      </c>
      <c r="DJ26" s="77">
        <f t="shared" si="32"/>
        <v>1.4810000000000001</v>
      </c>
      <c r="DK26" s="77">
        <f t="shared" si="32"/>
        <v>1.506</v>
      </c>
      <c r="DL26" s="77">
        <f t="shared" si="32"/>
        <v>1.528</v>
      </c>
      <c r="DM26" s="77">
        <f t="shared" si="32"/>
        <v>1.548</v>
      </c>
      <c r="DN26" s="77">
        <f t="shared" si="32"/>
        <v>1.5629999999999999</v>
      </c>
      <c r="DO26" s="77">
        <f t="shared" si="32"/>
        <v>1.575</v>
      </c>
      <c r="DP26" s="77">
        <f t="shared" si="32"/>
        <v>1.585</v>
      </c>
      <c r="DQ26" s="77">
        <f t="shared" si="32"/>
        <v>1.6</v>
      </c>
      <c r="DR26" s="77">
        <f t="shared" si="32"/>
        <v>1.623</v>
      </c>
      <c r="DS26" s="77">
        <f t="shared" si="32"/>
        <v>1.6539999999999999</v>
      </c>
      <c r="DT26" s="77">
        <f t="shared" si="32"/>
        <v>1.6870000000000001</v>
      </c>
      <c r="DU26" s="77">
        <f t="shared" si="33"/>
        <v>1.7190000000000001</v>
      </c>
      <c r="DV26" s="77">
        <f t="shared" si="33"/>
        <v>1.752</v>
      </c>
      <c r="DW26" s="77">
        <f t="shared" si="33"/>
        <v>1.7849999999999999</v>
      </c>
      <c r="DX26" s="77">
        <f t="shared" si="33"/>
        <v>1.8129999999999999</v>
      </c>
      <c r="DY26" s="77">
        <f t="shared" si="34"/>
        <v>1.845</v>
      </c>
      <c r="DZ26" s="77">
        <f t="shared" si="34"/>
        <v>1.8740000000000001</v>
      </c>
      <c r="EA26" s="77">
        <f t="shared" si="34"/>
        <v>0</v>
      </c>
      <c r="EB26" s="77">
        <f t="shared" si="34"/>
        <v>0</v>
      </c>
      <c r="EC26" s="77">
        <f t="shared" si="34"/>
        <v>0</v>
      </c>
      <c r="ED26" s="77">
        <f t="shared" si="34"/>
        <v>0</v>
      </c>
      <c r="EE26" s="77">
        <f t="shared" si="34"/>
        <v>0</v>
      </c>
      <c r="EF26" s="77">
        <f t="shared" si="34"/>
        <v>0</v>
      </c>
      <c r="EG26" s="77">
        <f t="shared" si="34"/>
        <v>0</v>
      </c>
    </row>
    <row r="27" spans="1:137" ht="12.6" customHeight="1">
      <c r="A27" s="73">
        <v>27</v>
      </c>
      <c r="B27" s="74">
        <v>1.323</v>
      </c>
      <c r="C27" s="74">
        <v>1.359</v>
      </c>
      <c r="D27" s="74">
        <v>1.3959999999999999</v>
      </c>
      <c r="E27" s="74">
        <v>1.4309999999999998</v>
      </c>
      <c r="F27" s="74">
        <v>1.462</v>
      </c>
      <c r="G27" s="74">
        <v>1.4899999999999998</v>
      </c>
      <c r="H27" s="74">
        <v>1.5149999999999999</v>
      </c>
      <c r="I27" s="74">
        <v>1.5369999999999999</v>
      </c>
      <c r="J27" s="74">
        <v>1.5569999999999999</v>
      </c>
      <c r="K27" s="74">
        <v>1.573</v>
      </c>
      <c r="L27" s="74">
        <v>1.5860000000000001</v>
      </c>
      <c r="M27" s="74">
        <v>1.5979999999999999</v>
      </c>
      <c r="N27" s="74">
        <v>1.6139999999999999</v>
      </c>
      <c r="O27" s="74">
        <v>1.6379999999999999</v>
      </c>
      <c r="P27" s="74">
        <v>1.6689999999999998</v>
      </c>
      <c r="Q27" s="74">
        <v>1.702</v>
      </c>
      <c r="R27" s="74">
        <v>1.734</v>
      </c>
      <c r="S27" s="74">
        <v>1.7669999999999999</v>
      </c>
      <c r="T27" s="74">
        <v>1.7999999999999998</v>
      </c>
      <c r="U27" s="74">
        <v>1.8299999999999998</v>
      </c>
      <c r="V27" s="74">
        <v>1.8599999999999999</v>
      </c>
      <c r="W27" s="74">
        <v>1.8910000000000002</v>
      </c>
      <c r="X27" s="74">
        <v>1.9259999999999999</v>
      </c>
      <c r="Y27" s="74">
        <v>0</v>
      </c>
      <c r="Z27" s="74"/>
      <c r="AA27" s="74"/>
      <c r="AB27" s="74"/>
      <c r="AC27" s="74"/>
      <c r="AD27" s="75"/>
      <c r="AE27" s="76"/>
      <c r="AF27" s="76"/>
      <c r="AG27" s="76"/>
      <c r="AH27" s="76"/>
      <c r="AI27" s="76"/>
      <c r="AJ27" s="76"/>
      <c r="AK27" s="76"/>
      <c r="AL27" s="76"/>
      <c r="AM27" s="76"/>
      <c r="AN27" s="76"/>
      <c r="AO27" s="76"/>
      <c r="AP27" s="76"/>
      <c r="AQ27" s="76"/>
      <c r="AR27" s="76"/>
      <c r="AS27" s="76"/>
      <c r="BZ27" s="63" t="str">
        <f t="shared" si="4"/>
        <v>427</v>
      </c>
      <c r="CA27" s="63" t="str">
        <f t="shared" si="1"/>
        <v>527</v>
      </c>
      <c r="CB27" s="63" t="str">
        <f t="shared" si="5"/>
        <v>627</v>
      </c>
      <c r="CC27" s="63" t="str">
        <f t="shared" si="6"/>
        <v>727</v>
      </c>
      <c r="CD27" s="63" t="str">
        <f t="shared" si="7"/>
        <v>827</v>
      </c>
      <c r="CE27" s="63" t="str">
        <f t="shared" si="8"/>
        <v>927</v>
      </c>
      <c r="CF27" s="63" t="str">
        <f t="shared" si="9"/>
        <v>1027</v>
      </c>
      <c r="CG27" s="63" t="str">
        <f t="shared" si="10"/>
        <v>1127</v>
      </c>
      <c r="CH27" s="63" t="str">
        <f t="shared" si="11"/>
        <v>1227</v>
      </c>
      <c r="CI27" s="63" t="str">
        <f t="shared" si="12"/>
        <v>1327</v>
      </c>
      <c r="CJ27" s="63" t="str">
        <f t="shared" si="13"/>
        <v>1427</v>
      </c>
      <c r="CK27" s="63" t="str">
        <f t="shared" si="14"/>
        <v>1527</v>
      </c>
      <c r="CL27" s="63" t="str">
        <f t="shared" si="15"/>
        <v>1627</v>
      </c>
      <c r="CM27" s="63" t="str">
        <f t="shared" si="16"/>
        <v>1727</v>
      </c>
      <c r="CN27" s="63" t="str">
        <f t="shared" si="17"/>
        <v>1827</v>
      </c>
      <c r="CO27" s="63" t="str">
        <f t="shared" si="18"/>
        <v>1927</v>
      </c>
      <c r="CP27" s="63" t="str">
        <f t="shared" si="19"/>
        <v>2027</v>
      </c>
      <c r="CQ27" s="63" t="str">
        <f t="shared" si="20"/>
        <v>2127</v>
      </c>
      <c r="CR27" s="63" t="str">
        <f t="shared" si="21"/>
        <v>2227</v>
      </c>
      <c r="CS27" s="63" t="str">
        <f t="shared" si="22"/>
        <v>2327</v>
      </c>
      <c r="CT27" s="63" t="str">
        <f t="shared" si="23"/>
        <v>2427</v>
      </c>
      <c r="CU27" s="63" t="str">
        <f t="shared" si="24"/>
        <v>2527</v>
      </c>
      <c r="CV27" s="63" t="str">
        <f t="shared" si="25"/>
        <v>2627</v>
      </c>
      <c r="CW27" s="63" t="str">
        <f t="shared" si="26"/>
        <v>2727</v>
      </c>
      <c r="CX27" s="63" t="str">
        <f t="shared" si="27"/>
        <v>2827</v>
      </c>
      <c r="CY27" s="63" t="str">
        <f t="shared" si="28"/>
        <v>2927</v>
      </c>
      <c r="CZ27" s="63" t="str">
        <f t="shared" si="29"/>
        <v>3027</v>
      </c>
      <c r="DA27" s="63" t="str">
        <f t="shared" si="30"/>
        <v>3127</v>
      </c>
      <c r="DB27" s="63" t="str">
        <f t="shared" si="31"/>
        <v>3227</v>
      </c>
      <c r="DD27" s="72" t="s">
        <v>156</v>
      </c>
      <c r="DE27" s="77">
        <f t="shared" si="32"/>
        <v>1.323</v>
      </c>
      <c r="DF27" s="77">
        <f t="shared" si="32"/>
        <v>1.359</v>
      </c>
      <c r="DG27" s="77">
        <f t="shared" si="32"/>
        <v>1.3959999999999999</v>
      </c>
      <c r="DH27" s="77">
        <f t="shared" si="32"/>
        <v>1.431</v>
      </c>
      <c r="DI27" s="77">
        <f t="shared" si="32"/>
        <v>1.462</v>
      </c>
      <c r="DJ27" s="77">
        <f t="shared" si="32"/>
        <v>1.49</v>
      </c>
      <c r="DK27" s="77">
        <f t="shared" si="32"/>
        <v>1.5149999999999999</v>
      </c>
      <c r="DL27" s="77">
        <f t="shared" si="32"/>
        <v>1.5369999999999999</v>
      </c>
      <c r="DM27" s="77">
        <f t="shared" si="32"/>
        <v>1.5569999999999999</v>
      </c>
      <c r="DN27" s="77">
        <f t="shared" si="32"/>
        <v>1.573</v>
      </c>
      <c r="DO27" s="77">
        <f t="shared" si="32"/>
        <v>1.5860000000000001</v>
      </c>
      <c r="DP27" s="77">
        <f t="shared" si="32"/>
        <v>1.5980000000000001</v>
      </c>
      <c r="DQ27" s="77">
        <f t="shared" si="32"/>
        <v>1.6140000000000001</v>
      </c>
      <c r="DR27" s="77">
        <f t="shared" si="32"/>
        <v>1.6379999999999999</v>
      </c>
      <c r="DS27" s="77">
        <f t="shared" si="32"/>
        <v>1.669</v>
      </c>
      <c r="DT27" s="77">
        <f t="shared" si="32"/>
        <v>1.702</v>
      </c>
      <c r="DU27" s="77">
        <f t="shared" si="33"/>
        <v>1.734</v>
      </c>
      <c r="DV27" s="77">
        <f t="shared" si="33"/>
        <v>1.7669999999999999</v>
      </c>
      <c r="DW27" s="77">
        <f t="shared" si="33"/>
        <v>1.8</v>
      </c>
      <c r="DX27" s="77">
        <f t="shared" si="33"/>
        <v>1.83</v>
      </c>
      <c r="DY27" s="77">
        <f t="shared" si="34"/>
        <v>1.86</v>
      </c>
      <c r="DZ27" s="77">
        <f t="shared" si="34"/>
        <v>1.891</v>
      </c>
      <c r="EA27" s="77">
        <f t="shared" si="34"/>
        <v>1.9259999999999999</v>
      </c>
      <c r="EB27" s="77">
        <f t="shared" si="34"/>
        <v>0</v>
      </c>
      <c r="EC27" s="77">
        <f t="shared" si="34"/>
        <v>0</v>
      </c>
      <c r="ED27" s="77">
        <f t="shared" si="34"/>
        <v>0</v>
      </c>
      <c r="EE27" s="77">
        <f t="shared" si="34"/>
        <v>0</v>
      </c>
      <c r="EF27" s="77">
        <f t="shared" si="34"/>
        <v>0</v>
      </c>
      <c r="EG27" s="77">
        <f t="shared" si="34"/>
        <v>0</v>
      </c>
    </row>
    <row r="28" spans="1:137" ht="12.6" customHeight="1">
      <c r="A28" s="73">
        <v>28</v>
      </c>
      <c r="B28" s="74">
        <v>1.331</v>
      </c>
      <c r="C28" s="74">
        <v>1.3660000000000001</v>
      </c>
      <c r="D28" s="74">
        <v>1.4020000000000001</v>
      </c>
      <c r="E28" s="74">
        <v>1.4369999999999998</v>
      </c>
      <c r="F28" s="74">
        <v>1.468</v>
      </c>
      <c r="G28" s="74">
        <v>1.4950000000000001</v>
      </c>
      <c r="H28" s="74">
        <v>1.516</v>
      </c>
      <c r="I28" s="74">
        <v>1.5430000000000001</v>
      </c>
      <c r="J28" s="74">
        <v>1.5640000000000001</v>
      </c>
      <c r="K28" s="74">
        <v>1.58</v>
      </c>
      <c r="L28" s="74">
        <v>1.5939999999999999</v>
      </c>
      <c r="M28" s="74">
        <v>1.6069999999999998</v>
      </c>
      <c r="N28" s="74">
        <v>1.625</v>
      </c>
      <c r="O28" s="74">
        <v>1.6480000000000001</v>
      </c>
      <c r="P28" s="74">
        <v>1.6800000000000002</v>
      </c>
      <c r="Q28" s="74">
        <v>1.7120000000000002</v>
      </c>
      <c r="R28" s="74">
        <v>1.7450000000000001</v>
      </c>
      <c r="S28" s="74">
        <v>1.7770000000000001</v>
      </c>
      <c r="T28" s="74">
        <v>1.8090000000000002</v>
      </c>
      <c r="U28" s="74">
        <v>1.839</v>
      </c>
      <c r="V28" s="74">
        <v>1.8689999999999998</v>
      </c>
      <c r="W28" s="74">
        <v>1.9000000000000004</v>
      </c>
      <c r="X28" s="74">
        <v>1.9310000000000005</v>
      </c>
      <c r="Y28" s="74">
        <v>1.9560000000000004</v>
      </c>
      <c r="Z28" s="74">
        <v>0</v>
      </c>
      <c r="AA28" s="74"/>
      <c r="AB28" s="74"/>
      <c r="AC28" s="74"/>
      <c r="AD28" s="75"/>
      <c r="AE28" s="76"/>
      <c r="AF28" s="76"/>
      <c r="AG28" s="76"/>
      <c r="AH28" s="76"/>
      <c r="AI28" s="76"/>
      <c r="AJ28" s="76"/>
      <c r="AK28" s="76"/>
      <c r="AL28" s="76"/>
      <c r="AM28" s="76"/>
      <c r="AN28" s="76"/>
      <c r="AO28" s="76"/>
      <c r="AP28" s="76"/>
      <c r="AQ28" s="76"/>
      <c r="AR28" s="76"/>
      <c r="AS28" s="76"/>
      <c r="BZ28" s="63" t="str">
        <f t="shared" si="4"/>
        <v>428</v>
      </c>
      <c r="CA28" s="63" t="str">
        <f t="shared" si="1"/>
        <v>528</v>
      </c>
      <c r="CB28" s="63" t="str">
        <f t="shared" si="5"/>
        <v>628</v>
      </c>
      <c r="CC28" s="63" t="str">
        <f t="shared" si="6"/>
        <v>728</v>
      </c>
      <c r="CD28" s="63" t="str">
        <f t="shared" si="7"/>
        <v>828</v>
      </c>
      <c r="CE28" s="63" t="str">
        <f t="shared" si="8"/>
        <v>928</v>
      </c>
      <c r="CF28" s="63" t="str">
        <f t="shared" si="9"/>
        <v>1028</v>
      </c>
      <c r="CG28" s="63" t="str">
        <f t="shared" si="10"/>
        <v>1128</v>
      </c>
      <c r="CH28" s="63" t="str">
        <f t="shared" si="11"/>
        <v>1228</v>
      </c>
      <c r="CI28" s="63" t="str">
        <f t="shared" si="12"/>
        <v>1328</v>
      </c>
      <c r="CJ28" s="63" t="str">
        <f t="shared" si="13"/>
        <v>1428</v>
      </c>
      <c r="CK28" s="63" t="str">
        <f t="shared" si="14"/>
        <v>1528</v>
      </c>
      <c r="CL28" s="63" t="str">
        <f t="shared" si="15"/>
        <v>1628</v>
      </c>
      <c r="CM28" s="63" t="str">
        <f t="shared" si="16"/>
        <v>1728</v>
      </c>
      <c r="CN28" s="63" t="str">
        <f t="shared" si="17"/>
        <v>1828</v>
      </c>
      <c r="CO28" s="63" t="str">
        <f t="shared" si="18"/>
        <v>1928</v>
      </c>
      <c r="CP28" s="63" t="str">
        <f t="shared" si="19"/>
        <v>2028</v>
      </c>
      <c r="CQ28" s="63" t="str">
        <f t="shared" si="20"/>
        <v>2128</v>
      </c>
      <c r="CR28" s="63" t="str">
        <f t="shared" si="21"/>
        <v>2228</v>
      </c>
      <c r="CS28" s="63" t="str">
        <f t="shared" si="22"/>
        <v>2328</v>
      </c>
      <c r="CT28" s="63" t="str">
        <f t="shared" si="23"/>
        <v>2428</v>
      </c>
      <c r="CU28" s="63" t="str">
        <f t="shared" si="24"/>
        <v>2528</v>
      </c>
      <c r="CV28" s="63" t="str">
        <f t="shared" si="25"/>
        <v>2628</v>
      </c>
      <c r="CW28" s="63" t="str">
        <f t="shared" si="26"/>
        <v>2728</v>
      </c>
      <c r="CX28" s="63" t="str">
        <f t="shared" si="27"/>
        <v>2828</v>
      </c>
      <c r="CY28" s="63" t="str">
        <f t="shared" si="28"/>
        <v>2928</v>
      </c>
      <c r="CZ28" s="63" t="str">
        <f t="shared" si="29"/>
        <v>3028</v>
      </c>
      <c r="DA28" s="63" t="str">
        <f t="shared" si="30"/>
        <v>3128</v>
      </c>
      <c r="DB28" s="63" t="str">
        <f t="shared" si="31"/>
        <v>3228</v>
      </c>
      <c r="DD28" s="72" t="s">
        <v>157</v>
      </c>
      <c r="DE28" s="77">
        <f t="shared" si="32"/>
        <v>1.331</v>
      </c>
      <c r="DF28" s="77">
        <f t="shared" si="32"/>
        <v>1.3660000000000001</v>
      </c>
      <c r="DG28" s="77">
        <f t="shared" si="32"/>
        <v>1.4019999999999999</v>
      </c>
      <c r="DH28" s="77">
        <f t="shared" si="32"/>
        <v>1.4370000000000001</v>
      </c>
      <c r="DI28" s="77">
        <f t="shared" si="32"/>
        <v>1.468</v>
      </c>
      <c r="DJ28" s="77">
        <f t="shared" si="32"/>
        <v>1.4950000000000001</v>
      </c>
      <c r="DK28" s="77">
        <f t="shared" si="32"/>
        <v>1.516</v>
      </c>
      <c r="DL28" s="77">
        <f t="shared" si="32"/>
        <v>1.5429999999999999</v>
      </c>
      <c r="DM28" s="77">
        <f t="shared" si="32"/>
        <v>1.5640000000000001</v>
      </c>
      <c r="DN28" s="77">
        <f t="shared" si="32"/>
        <v>1.58</v>
      </c>
      <c r="DO28" s="77">
        <f t="shared" si="32"/>
        <v>1.5940000000000001</v>
      </c>
      <c r="DP28" s="77">
        <f t="shared" si="32"/>
        <v>1.607</v>
      </c>
      <c r="DQ28" s="77">
        <f t="shared" si="32"/>
        <v>1.625</v>
      </c>
      <c r="DR28" s="77">
        <f t="shared" si="32"/>
        <v>1.6479999999999999</v>
      </c>
      <c r="DS28" s="77">
        <f t="shared" si="32"/>
        <v>1.68</v>
      </c>
      <c r="DT28" s="77">
        <f t="shared" si="32"/>
        <v>1.712</v>
      </c>
      <c r="DU28" s="77">
        <f t="shared" si="33"/>
        <v>1.7450000000000001</v>
      </c>
      <c r="DV28" s="77">
        <f t="shared" si="33"/>
        <v>1.7769999999999999</v>
      </c>
      <c r="DW28" s="77">
        <f t="shared" si="33"/>
        <v>1.8089999999999999</v>
      </c>
      <c r="DX28" s="77">
        <f t="shared" si="33"/>
        <v>1.839</v>
      </c>
      <c r="DY28" s="77">
        <f t="shared" si="34"/>
        <v>1.869</v>
      </c>
      <c r="DZ28" s="77">
        <f t="shared" si="34"/>
        <v>1.9</v>
      </c>
      <c r="EA28" s="77">
        <f t="shared" si="34"/>
        <v>1.931</v>
      </c>
      <c r="EB28" s="77">
        <f t="shared" si="34"/>
        <v>1.956</v>
      </c>
      <c r="EC28" s="77">
        <f t="shared" si="34"/>
        <v>0</v>
      </c>
      <c r="ED28" s="77">
        <f t="shared" si="34"/>
        <v>0</v>
      </c>
      <c r="EE28" s="77">
        <f t="shared" si="34"/>
        <v>0</v>
      </c>
      <c r="EF28" s="77">
        <f t="shared" si="34"/>
        <v>0</v>
      </c>
      <c r="EG28" s="77">
        <f t="shared" si="34"/>
        <v>0</v>
      </c>
    </row>
    <row r="29" spans="1:137" ht="12.6" customHeight="1">
      <c r="A29" s="73">
        <v>29</v>
      </c>
      <c r="B29" s="74">
        <v>1.3319999999999999</v>
      </c>
      <c r="C29" s="74">
        <v>1.367</v>
      </c>
      <c r="D29" s="74">
        <v>1.4039999999999999</v>
      </c>
      <c r="E29" s="74">
        <v>1.4379999999999999</v>
      </c>
      <c r="F29" s="74">
        <v>1.4689999999999999</v>
      </c>
      <c r="G29" s="74">
        <v>1.496</v>
      </c>
      <c r="H29" s="74">
        <v>1.5209999999999999</v>
      </c>
      <c r="I29" s="74">
        <v>1.544</v>
      </c>
      <c r="J29" s="74">
        <v>1.5649999999999999</v>
      </c>
      <c r="K29" s="74">
        <v>1.5819999999999999</v>
      </c>
      <c r="L29" s="74">
        <v>1.597</v>
      </c>
      <c r="M29" s="74">
        <v>1.611</v>
      </c>
      <c r="N29" s="74">
        <v>1.629</v>
      </c>
      <c r="O29" s="74">
        <v>1.653</v>
      </c>
      <c r="P29" s="74">
        <v>1.6850000000000001</v>
      </c>
      <c r="Q29" s="74">
        <v>1.7169999999999999</v>
      </c>
      <c r="R29" s="74">
        <v>1.7489999999999999</v>
      </c>
      <c r="S29" s="74">
        <v>1.7809999999999999</v>
      </c>
      <c r="T29" s="74">
        <v>1.8129999999999999</v>
      </c>
      <c r="U29" s="74">
        <v>1.8420000000000001</v>
      </c>
      <c r="V29" s="74">
        <v>1.8720000000000001</v>
      </c>
      <c r="W29" s="74">
        <v>1.9020000000000004</v>
      </c>
      <c r="X29" s="74">
        <v>1.9320000000000002</v>
      </c>
      <c r="Y29" s="74">
        <v>1.958</v>
      </c>
      <c r="Z29" s="74">
        <v>1.9840000000000002</v>
      </c>
      <c r="AA29" s="74">
        <v>0</v>
      </c>
      <c r="AB29" s="74"/>
      <c r="AC29" s="74"/>
      <c r="AD29" s="75"/>
      <c r="AE29" s="76"/>
      <c r="AF29" s="76"/>
      <c r="AG29" s="76"/>
      <c r="AH29" s="76"/>
      <c r="AI29" s="76"/>
      <c r="AJ29" s="76"/>
      <c r="AK29" s="76"/>
      <c r="AL29" s="76"/>
      <c r="AM29" s="76"/>
      <c r="AN29" s="76"/>
      <c r="AO29" s="76"/>
      <c r="AP29" s="76"/>
      <c r="AQ29" s="76"/>
      <c r="AR29" s="76"/>
      <c r="AS29" s="76"/>
      <c r="BZ29" s="63" t="str">
        <f t="shared" si="4"/>
        <v>429</v>
      </c>
      <c r="CA29" s="63" t="str">
        <f t="shared" si="1"/>
        <v>529</v>
      </c>
      <c r="CB29" s="63" t="str">
        <f t="shared" si="5"/>
        <v>629</v>
      </c>
      <c r="CC29" s="63" t="str">
        <f t="shared" si="6"/>
        <v>729</v>
      </c>
      <c r="CD29" s="63" t="str">
        <f t="shared" si="7"/>
        <v>829</v>
      </c>
      <c r="CE29" s="63" t="str">
        <f t="shared" si="8"/>
        <v>929</v>
      </c>
      <c r="CF29" s="63" t="str">
        <f t="shared" si="9"/>
        <v>1029</v>
      </c>
      <c r="CG29" s="63" t="str">
        <f t="shared" si="10"/>
        <v>1129</v>
      </c>
      <c r="CH29" s="63" t="str">
        <f t="shared" si="11"/>
        <v>1229</v>
      </c>
      <c r="CI29" s="63" t="str">
        <f t="shared" si="12"/>
        <v>1329</v>
      </c>
      <c r="CJ29" s="63" t="str">
        <f t="shared" si="13"/>
        <v>1429</v>
      </c>
      <c r="CK29" s="63" t="str">
        <f t="shared" si="14"/>
        <v>1529</v>
      </c>
      <c r="CL29" s="63" t="str">
        <f t="shared" si="15"/>
        <v>1629</v>
      </c>
      <c r="CM29" s="63" t="str">
        <f t="shared" si="16"/>
        <v>1729</v>
      </c>
      <c r="CN29" s="63" t="str">
        <f t="shared" si="17"/>
        <v>1829</v>
      </c>
      <c r="CO29" s="63" t="str">
        <f t="shared" si="18"/>
        <v>1929</v>
      </c>
      <c r="CP29" s="63" t="str">
        <f t="shared" si="19"/>
        <v>2029</v>
      </c>
      <c r="CQ29" s="63" t="str">
        <f t="shared" si="20"/>
        <v>2129</v>
      </c>
      <c r="CR29" s="63" t="str">
        <f t="shared" si="21"/>
        <v>2229</v>
      </c>
      <c r="CS29" s="63" t="str">
        <f t="shared" si="22"/>
        <v>2329</v>
      </c>
      <c r="CT29" s="63" t="str">
        <f t="shared" si="23"/>
        <v>2429</v>
      </c>
      <c r="CU29" s="63" t="str">
        <f t="shared" si="24"/>
        <v>2529</v>
      </c>
      <c r="CV29" s="63" t="str">
        <f t="shared" si="25"/>
        <v>2629</v>
      </c>
      <c r="CW29" s="63" t="str">
        <f t="shared" si="26"/>
        <v>2729</v>
      </c>
      <c r="CX29" s="63" t="str">
        <f t="shared" si="27"/>
        <v>2829</v>
      </c>
      <c r="CY29" s="63" t="str">
        <f t="shared" si="28"/>
        <v>2929</v>
      </c>
      <c r="CZ29" s="63" t="str">
        <f t="shared" si="29"/>
        <v>3029</v>
      </c>
      <c r="DA29" s="63" t="str">
        <f t="shared" si="30"/>
        <v>3129</v>
      </c>
      <c r="DB29" s="63" t="str">
        <f t="shared" si="31"/>
        <v>3229</v>
      </c>
      <c r="DD29" s="72" t="s">
        <v>158</v>
      </c>
      <c r="DE29" s="77">
        <f t="shared" si="32"/>
        <v>1.3320000000000001</v>
      </c>
      <c r="DF29" s="77">
        <f t="shared" si="32"/>
        <v>1.367</v>
      </c>
      <c r="DG29" s="77">
        <f t="shared" si="32"/>
        <v>1.4039999999999999</v>
      </c>
      <c r="DH29" s="77">
        <f t="shared" si="32"/>
        <v>1.4379999999999999</v>
      </c>
      <c r="DI29" s="77">
        <f t="shared" si="32"/>
        <v>1.4690000000000001</v>
      </c>
      <c r="DJ29" s="77">
        <f t="shared" si="32"/>
        <v>1.496</v>
      </c>
      <c r="DK29" s="77">
        <f t="shared" si="32"/>
        <v>1.5209999999999999</v>
      </c>
      <c r="DL29" s="77">
        <f t="shared" si="32"/>
        <v>1.544</v>
      </c>
      <c r="DM29" s="77">
        <f t="shared" si="32"/>
        <v>1.5649999999999999</v>
      </c>
      <c r="DN29" s="77">
        <f t="shared" si="32"/>
        <v>1.5820000000000001</v>
      </c>
      <c r="DO29" s="77">
        <f t="shared" si="32"/>
        <v>1.597</v>
      </c>
      <c r="DP29" s="77">
        <f t="shared" si="32"/>
        <v>1.611</v>
      </c>
      <c r="DQ29" s="77">
        <f t="shared" si="32"/>
        <v>1.629</v>
      </c>
      <c r="DR29" s="77">
        <f t="shared" si="32"/>
        <v>1.653</v>
      </c>
      <c r="DS29" s="77">
        <f t="shared" si="32"/>
        <v>1.6850000000000001</v>
      </c>
      <c r="DT29" s="77">
        <f t="shared" si="32"/>
        <v>1.7170000000000001</v>
      </c>
      <c r="DU29" s="77">
        <f t="shared" si="33"/>
        <v>1.7490000000000001</v>
      </c>
      <c r="DV29" s="77">
        <f t="shared" si="33"/>
        <v>1.7809999999999999</v>
      </c>
      <c r="DW29" s="77">
        <f t="shared" si="33"/>
        <v>1.8129999999999999</v>
      </c>
      <c r="DX29" s="77">
        <f t="shared" si="33"/>
        <v>1.8420000000000001</v>
      </c>
      <c r="DY29" s="77">
        <f t="shared" si="34"/>
        <v>1.8720000000000001</v>
      </c>
      <c r="DZ29" s="77">
        <f t="shared" si="34"/>
        <v>1.9019999999999999</v>
      </c>
      <c r="EA29" s="77">
        <f t="shared" si="34"/>
        <v>1.9319999999999999</v>
      </c>
      <c r="EB29" s="77">
        <f t="shared" si="34"/>
        <v>1.958</v>
      </c>
      <c r="EC29" s="77">
        <f t="shared" si="34"/>
        <v>1.984</v>
      </c>
      <c r="ED29" s="77">
        <f t="shared" si="34"/>
        <v>0</v>
      </c>
      <c r="EE29" s="77">
        <f t="shared" si="34"/>
        <v>0</v>
      </c>
      <c r="EF29" s="77">
        <f t="shared" si="34"/>
        <v>0</v>
      </c>
      <c r="EG29" s="77">
        <f t="shared" si="34"/>
        <v>0</v>
      </c>
    </row>
    <row r="30" spans="1:137" ht="12.6" customHeight="1">
      <c r="A30" s="73">
        <v>30</v>
      </c>
      <c r="B30" s="74">
        <v>1.335</v>
      </c>
      <c r="C30" s="74">
        <v>1.37</v>
      </c>
      <c r="D30" s="74">
        <v>1.4060000000000001</v>
      </c>
      <c r="E30" s="74">
        <v>1.44</v>
      </c>
      <c r="F30" s="74">
        <v>1.47</v>
      </c>
      <c r="G30" s="74">
        <v>1.4970000000000001</v>
      </c>
      <c r="H30" s="74">
        <v>1.5230000000000001</v>
      </c>
      <c r="I30" s="74">
        <v>1.5449999999999999</v>
      </c>
      <c r="J30" s="74">
        <v>1.5669999999999999</v>
      </c>
      <c r="K30" s="74">
        <v>1.5840000000000001</v>
      </c>
      <c r="L30" s="74">
        <v>1.6</v>
      </c>
      <c r="M30" s="74">
        <v>1.615</v>
      </c>
      <c r="N30" s="74">
        <v>1.6340000000000001</v>
      </c>
      <c r="O30" s="74">
        <v>1.659</v>
      </c>
      <c r="P30" s="74">
        <v>1.69</v>
      </c>
      <c r="Q30" s="74">
        <v>1.722</v>
      </c>
      <c r="R30" s="74">
        <v>1.754</v>
      </c>
      <c r="S30" s="74">
        <v>1.7850000000000001</v>
      </c>
      <c r="T30" s="74">
        <v>1.8170000000000002</v>
      </c>
      <c r="U30" s="74">
        <v>1.8470000000000002</v>
      </c>
      <c r="V30" s="74">
        <v>1.8770000000000004</v>
      </c>
      <c r="W30" s="74">
        <v>1.9060000000000004</v>
      </c>
      <c r="X30" s="74">
        <v>1.9360000000000002</v>
      </c>
      <c r="Y30" s="74">
        <v>1.9630000000000003</v>
      </c>
      <c r="Z30" s="74">
        <v>1.9910000000000003</v>
      </c>
      <c r="AA30" s="74">
        <v>2.0230000000000001</v>
      </c>
      <c r="AB30" s="74">
        <v>0</v>
      </c>
      <c r="AC30" s="74"/>
      <c r="AD30" s="75"/>
      <c r="AE30" s="76"/>
      <c r="AF30" s="76"/>
      <c r="AG30" s="76"/>
      <c r="AH30" s="76"/>
      <c r="AI30" s="76"/>
      <c r="AJ30" s="76"/>
      <c r="AK30" s="76"/>
      <c r="AL30" s="76"/>
      <c r="AM30" s="76"/>
      <c r="AN30" s="76"/>
      <c r="AO30" s="76"/>
      <c r="AP30" s="76"/>
      <c r="AQ30" s="76"/>
      <c r="AR30" s="76"/>
      <c r="AS30" s="76"/>
      <c r="BZ30" s="63" t="str">
        <f t="shared" si="4"/>
        <v>430</v>
      </c>
      <c r="CA30" s="63" t="str">
        <f t="shared" si="1"/>
        <v>530</v>
      </c>
      <c r="CB30" s="63" t="str">
        <f t="shared" si="5"/>
        <v>630</v>
      </c>
      <c r="CC30" s="63" t="str">
        <f t="shared" si="6"/>
        <v>730</v>
      </c>
      <c r="CD30" s="63" t="str">
        <f t="shared" si="7"/>
        <v>830</v>
      </c>
      <c r="CE30" s="63" t="str">
        <f t="shared" si="8"/>
        <v>930</v>
      </c>
      <c r="CF30" s="63" t="str">
        <f t="shared" si="9"/>
        <v>1030</v>
      </c>
      <c r="CG30" s="63" t="str">
        <f t="shared" si="10"/>
        <v>1130</v>
      </c>
      <c r="CH30" s="63" t="str">
        <f t="shared" si="11"/>
        <v>1230</v>
      </c>
      <c r="CI30" s="63" t="str">
        <f t="shared" si="12"/>
        <v>1330</v>
      </c>
      <c r="CJ30" s="63" t="str">
        <f t="shared" si="13"/>
        <v>1430</v>
      </c>
      <c r="CK30" s="63" t="str">
        <f t="shared" si="14"/>
        <v>1530</v>
      </c>
      <c r="CL30" s="63" t="str">
        <f t="shared" si="15"/>
        <v>1630</v>
      </c>
      <c r="CM30" s="63" t="str">
        <f t="shared" si="16"/>
        <v>1730</v>
      </c>
      <c r="CN30" s="63" t="str">
        <f t="shared" si="17"/>
        <v>1830</v>
      </c>
      <c r="CO30" s="63" t="str">
        <f t="shared" si="18"/>
        <v>1930</v>
      </c>
      <c r="CP30" s="63" t="str">
        <f t="shared" si="19"/>
        <v>2030</v>
      </c>
      <c r="CQ30" s="63" t="str">
        <f t="shared" si="20"/>
        <v>2130</v>
      </c>
      <c r="CR30" s="63" t="str">
        <f t="shared" si="21"/>
        <v>2230</v>
      </c>
      <c r="CS30" s="63" t="str">
        <f t="shared" si="22"/>
        <v>2330</v>
      </c>
      <c r="CT30" s="63" t="str">
        <f t="shared" si="23"/>
        <v>2430</v>
      </c>
      <c r="CU30" s="63" t="str">
        <f t="shared" si="24"/>
        <v>2530</v>
      </c>
      <c r="CV30" s="63" t="str">
        <f t="shared" si="25"/>
        <v>2630</v>
      </c>
      <c r="CW30" s="63" t="str">
        <f t="shared" si="26"/>
        <v>2730</v>
      </c>
      <c r="CX30" s="63" t="str">
        <f t="shared" si="27"/>
        <v>2830</v>
      </c>
      <c r="CY30" s="63" t="str">
        <f t="shared" si="28"/>
        <v>2930</v>
      </c>
      <c r="CZ30" s="63" t="str">
        <f t="shared" si="29"/>
        <v>3030</v>
      </c>
      <c r="DA30" s="63" t="str">
        <f t="shared" si="30"/>
        <v>3130</v>
      </c>
      <c r="DB30" s="63" t="str">
        <f t="shared" si="31"/>
        <v>3230</v>
      </c>
      <c r="DD30" s="72" t="s">
        <v>159</v>
      </c>
      <c r="DE30" s="77">
        <f t="shared" si="32"/>
        <v>1.335</v>
      </c>
      <c r="DF30" s="77">
        <f t="shared" si="32"/>
        <v>1.37</v>
      </c>
      <c r="DG30" s="77">
        <f t="shared" si="32"/>
        <v>1.4059999999999999</v>
      </c>
      <c r="DH30" s="77">
        <f t="shared" si="32"/>
        <v>1.44</v>
      </c>
      <c r="DI30" s="77">
        <f t="shared" si="32"/>
        <v>1.47</v>
      </c>
      <c r="DJ30" s="77">
        <f t="shared" si="32"/>
        <v>1.4970000000000001</v>
      </c>
      <c r="DK30" s="77">
        <f t="shared" si="32"/>
        <v>1.5229999999999999</v>
      </c>
      <c r="DL30" s="77">
        <f t="shared" si="32"/>
        <v>1.5449999999999999</v>
      </c>
      <c r="DM30" s="77">
        <f t="shared" si="32"/>
        <v>1.5669999999999999</v>
      </c>
      <c r="DN30" s="77">
        <f t="shared" si="32"/>
        <v>1.5840000000000001</v>
      </c>
      <c r="DO30" s="77">
        <f t="shared" si="32"/>
        <v>1.6</v>
      </c>
      <c r="DP30" s="77">
        <f t="shared" si="32"/>
        <v>1.615</v>
      </c>
      <c r="DQ30" s="77">
        <f t="shared" si="32"/>
        <v>1.6339999999999999</v>
      </c>
      <c r="DR30" s="77">
        <f t="shared" si="32"/>
        <v>1.659</v>
      </c>
      <c r="DS30" s="77">
        <f t="shared" si="32"/>
        <v>1.69</v>
      </c>
      <c r="DT30" s="77">
        <f t="shared" si="32"/>
        <v>1.722</v>
      </c>
      <c r="DU30" s="77">
        <f t="shared" si="33"/>
        <v>1.754</v>
      </c>
      <c r="DV30" s="77">
        <f t="shared" si="33"/>
        <v>1.7849999999999999</v>
      </c>
      <c r="DW30" s="77">
        <f t="shared" si="33"/>
        <v>1.8169999999999999</v>
      </c>
      <c r="DX30" s="77">
        <f t="shared" si="33"/>
        <v>1.847</v>
      </c>
      <c r="DY30" s="77">
        <f t="shared" si="34"/>
        <v>1.877</v>
      </c>
      <c r="DZ30" s="77">
        <f t="shared" si="34"/>
        <v>1.9059999999999999</v>
      </c>
      <c r="EA30" s="77">
        <f t="shared" si="34"/>
        <v>1.9359999999999999</v>
      </c>
      <c r="EB30" s="77">
        <f t="shared" si="34"/>
        <v>1.9630000000000001</v>
      </c>
      <c r="EC30" s="77">
        <f t="shared" si="34"/>
        <v>1.9910000000000001</v>
      </c>
      <c r="ED30" s="77">
        <f t="shared" si="34"/>
        <v>2.0230000000000001</v>
      </c>
      <c r="EE30" s="77">
        <f t="shared" si="34"/>
        <v>0</v>
      </c>
      <c r="EF30" s="77">
        <f t="shared" si="34"/>
        <v>0</v>
      </c>
      <c r="EG30" s="77">
        <f t="shared" si="34"/>
        <v>0</v>
      </c>
    </row>
    <row r="31" spans="1:137" ht="12.6" customHeight="1">
      <c r="A31" s="73">
        <v>31</v>
      </c>
      <c r="B31" s="74">
        <v>1.341</v>
      </c>
      <c r="C31" s="74">
        <v>1.3760000000000001</v>
      </c>
      <c r="D31" s="74">
        <v>1.4119999999999999</v>
      </c>
      <c r="E31" s="74">
        <v>1.446</v>
      </c>
      <c r="F31" s="74">
        <v>1.476</v>
      </c>
      <c r="G31" s="74">
        <v>1.5030000000000001</v>
      </c>
      <c r="H31" s="74">
        <v>1.5289999999999999</v>
      </c>
      <c r="I31" s="74">
        <v>1.552</v>
      </c>
      <c r="J31" s="74">
        <v>1.573</v>
      </c>
      <c r="K31" s="74">
        <v>1.591</v>
      </c>
      <c r="L31" s="74">
        <v>1.6080000000000001</v>
      </c>
      <c r="M31" s="74">
        <v>1.623</v>
      </c>
      <c r="N31" s="74">
        <v>1.643</v>
      </c>
      <c r="O31" s="74">
        <v>1.6679999999999999</v>
      </c>
      <c r="P31" s="74">
        <v>1.6990000000000001</v>
      </c>
      <c r="Q31" s="74">
        <v>1.7310000000000001</v>
      </c>
      <c r="R31" s="74">
        <v>1.762</v>
      </c>
      <c r="S31" s="74">
        <v>1.794</v>
      </c>
      <c r="T31" s="74">
        <v>1.8250000000000004</v>
      </c>
      <c r="U31" s="74">
        <v>1.8540000000000003</v>
      </c>
      <c r="V31" s="74">
        <v>1.8840000000000001</v>
      </c>
      <c r="W31" s="74">
        <v>1.913</v>
      </c>
      <c r="X31" s="74">
        <v>1.9420000000000004</v>
      </c>
      <c r="Y31" s="74">
        <v>1.9690000000000001</v>
      </c>
      <c r="Z31" s="74">
        <v>1.9960000000000002</v>
      </c>
      <c r="AA31" s="74">
        <v>2.0310000000000001</v>
      </c>
      <c r="AB31" s="74">
        <v>2.0470000000000002</v>
      </c>
      <c r="AC31" s="74">
        <v>0</v>
      </c>
      <c r="AD31" s="75"/>
      <c r="AE31" s="76"/>
      <c r="AF31" s="76"/>
      <c r="AG31" s="76"/>
      <c r="AH31" s="76"/>
      <c r="AI31" s="76"/>
      <c r="AJ31" s="76"/>
      <c r="AK31" s="76"/>
      <c r="AL31" s="76"/>
      <c r="AM31" s="76"/>
      <c r="AN31" s="76"/>
      <c r="AO31" s="76"/>
      <c r="AP31" s="76"/>
      <c r="AQ31" s="76"/>
      <c r="AR31" s="76"/>
      <c r="AS31" s="76"/>
      <c r="BZ31" s="63" t="str">
        <f t="shared" si="4"/>
        <v>431</v>
      </c>
      <c r="CA31" s="63" t="str">
        <f t="shared" si="1"/>
        <v>531</v>
      </c>
      <c r="CB31" s="63" t="str">
        <f t="shared" si="5"/>
        <v>631</v>
      </c>
      <c r="CC31" s="63" t="str">
        <f t="shared" si="6"/>
        <v>731</v>
      </c>
      <c r="CD31" s="63" t="str">
        <f t="shared" si="7"/>
        <v>831</v>
      </c>
      <c r="CE31" s="63" t="str">
        <f t="shared" si="8"/>
        <v>931</v>
      </c>
      <c r="CF31" s="63" t="str">
        <f t="shared" si="9"/>
        <v>1031</v>
      </c>
      <c r="CG31" s="63" t="str">
        <f t="shared" si="10"/>
        <v>1131</v>
      </c>
      <c r="CH31" s="63" t="str">
        <f t="shared" si="11"/>
        <v>1231</v>
      </c>
      <c r="CI31" s="63" t="str">
        <f t="shared" si="12"/>
        <v>1331</v>
      </c>
      <c r="CJ31" s="63" t="str">
        <f t="shared" si="13"/>
        <v>1431</v>
      </c>
      <c r="CK31" s="63" t="str">
        <f t="shared" si="14"/>
        <v>1531</v>
      </c>
      <c r="CL31" s="63" t="str">
        <f t="shared" si="15"/>
        <v>1631</v>
      </c>
      <c r="CM31" s="63" t="str">
        <f t="shared" si="16"/>
        <v>1731</v>
      </c>
      <c r="CN31" s="63" t="str">
        <f t="shared" si="17"/>
        <v>1831</v>
      </c>
      <c r="CO31" s="63" t="str">
        <f t="shared" si="18"/>
        <v>1931</v>
      </c>
      <c r="CP31" s="63" t="str">
        <f t="shared" si="19"/>
        <v>2031</v>
      </c>
      <c r="CQ31" s="63" t="str">
        <f t="shared" si="20"/>
        <v>2131</v>
      </c>
      <c r="CR31" s="63" t="str">
        <f t="shared" si="21"/>
        <v>2231</v>
      </c>
      <c r="CS31" s="63" t="str">
        <f t="shared" si="22"/>
        <v>2331</v>
      </c>
      <c r="CT31" s="63" t="str">
        <f t="shared" si="23"/>
        <v>2431</v>
      </c>
      <c r="CU31" s="63" t="str">
        <f t="shared" si="24"/>
        <v>2531</v>
      </c>
      <c r="CV31" s="63" t="str">
        <f t="shared" si="25"/>
        <v>2631</v>
      </c>
      <c r="CW31" s="63" t="str">
        <f t="shared" si="26"/>
        <v>2731</v>
      </c>
      <c r="CX31" s="63" t="str">
        <f t="shared" si="27"/>
        <v>2831</v>
      </c>
      <c r="CY31" s="63" t="str">
        <f t="shared" si="28"/>
        <v>2931</v>
      </c>
      <c r="CZ31" s="63" t="str">
        <f t="shared" si="29"/>
        <v>3031</v>
      </c>
      <c r="DA31" s="63" t="str">
        <f t="shared" si="30"/>
        <v>3131</v>
      </c>
      <c r="DB31" s="63" t="str">
        <f t="shared" si="31"/>
        <v>3231</v>
      </c>
      <c r="DD31" s="72" t="s">
        <v>160</v>
      </c>
      <c r="DE31" s="77">
        <f t="shared" si="32"/>
        <v>1.341</v>
      </c>
      <c r="DF31" s="77">
        <f t="shared" si="32"/>
        <v>1.3759999999999999</v>
      </c>
      <c r="DG31" s="77">
        <f t="shared" si="32"/>
        <v>1.4119999999999999</v>
      </c>
      <c r="DH31" s="77">
        <f t="shared" si="32"/>
        <v>1.446</v>
      </c>
      <c r="DI31" s="77">
        <f t="shared" si="32"/>
        <v>1.476</v>
      </c>
      <c r="DJ31" s="77">
        <f t="shared" si="32"/>
        <v>1.5029999999999999</v>
      </c>
      <c r="DK31" s="77">
        <f t="shared" si="32"/>
        <v>1.5289999999999999</v>
      </c>
      <c r="DL31" s="77">
        <f t="shared" si="32"/>
        <v>1.552</v>
      </c>
      <c r="DM31" s="77">
        <f t="shared" si="32"/>
        <v>1.573</v>
      </c>
      <c r="DN31" s="77">
        <f t="shared" si="32"/>
        <v>1.591</v>
      </c>
      <c r="DO31" s="77">
        <f t="shared" si="32"/>
        <v>1.6080000000000001</v>
      </c>
      <c r="DP31" s="77">
        <f t="shared" si="32"/>
        <v>1.623</v>
      </c>
      <c r="DQ31" s="77">
        <f t="shared" si="32"/>
        <v>1.643</v>
      </c>
      <c r="DR31" s="77">
        <f t="shared" si="32"/>
        <v>1.6679999999999999</v>
      </c>
      <c r="DS31" s="77">
        <f t="shared" si="32"/>
        <v>1.6990000000000001</v>
      </c>
      <c r="DT31" s="77">
        <f t="shared" si="32"/>
        <v>1.7310000000000001</v>
      </c>
      <c r="DU31" s="77">
        <f t="shared" si="33"/>
        <v>1.762</v>
      </c>
      <c r="DV31" s="77">
        <f t="shared" si="33"/>
        <v>1.794</v>
      </c>
      <c r="DW31" s="77">
        <f t="shared" si="33"/>
        <v>1.825</v>
      </c>
      <c r="DX31" s="77">
        <f t="shared" si="33"/>
        <v>1.8540000000000001</v>
      </c>
      <c r="DY31" s="77">
        <f t="shared" si="34"/>
        <v>1.8839999999999999</v>
      </c>
      <c r="DZ31" s="77">
        <f t="shared" si="34"/>
        <v>1.913</v>
      </c>
      <c r="EA31" s="77">
        <f t="shared" si="34"/>
        <v>1.9419999999999999</v>
      </c>
      <c r="EB31" s="77">
        <f t="shared" si="34"/>
        <v>1.9690000000000001</v>
      </c>
      <c r="EC31" s="77">
        <f t="shared" si="34"/>
        <v>1.996</v>
      </c>
      <c r="ED31" s="77">
        <f t="shared" si="34"/>
        <v>2.0310000000000001</v>
      </c>
      <c r="EE31" s="77">
        <f t="shared" si="34"/>
        <v>2.0470000000000002</v>
      </c>
      <c r="EF31" s="77">
        <f t="shared" si="34"/>
        <v>0</v>
      </c>
      <c r="EG31" s="77">
        <f t="shared" si="34"/>
        <v>0</v>
      </c>
    </row>
    <row r="32" spans="1:137" ht="12.6" customHeight="1">
      <c r="A32" s="73">
        <v>32</v>
      </c>
      <c r="B32" s="74">
        <v>1.359</v>
      </c>
      <c r="C32" s="74">
        <v>1.393</v>
      </c>
      <c r="D32" s="74">
        <v>1.429</v>
      </c>
      <c r="E32" s="74">
        <v>1.462</v>
      </c>
      <c r="F32" s="74">
        <v>1.492</v>
      </c>
      <c r="G32" s="74">
        <v>1.52</v>
      </c>
      <c r="H32" s="74">
        <v>1.5449999999999999</v>
      </c>
      <c r="I32" s="74">
        <v>1.5680000000000001</v>
      </c>
      <c r="J32" s="74">
        <v>1.589</v>
      </c>
      <c r="K32" s="74">
        <v>1.6080000000000001</v>
      </c>
      <c r="L32" s="74">
        <v>1.625</v>
      </c>
      <c r="M32" s="74">
        <v>1.641</v>
      </c>
      <c r="N32" s="74">
        <v>1.6619999999999999</v>
      </c>
      <c r="O32" s="74">
        <v>1.6870000000000001</v>
      </c>
      <c r="P32" s="74">
        <v>1.718</v>
      </c>
      <c r="Q32" s="74">
        <v>1.7689999999999999</v>
      </c>
      <c r="R32" s="74">
        <v>1.7809999999999999</v>
      </c>
      <c r="S32" s="74">
        <v>1.8120000000000003</v>
      </c>
      <c r="T32" s="74">
        <v>1.8420000000000001</v>
      </c>
      <c r="U32" s="74">
        <v>1.8720000000000003</v>
      </c>
      <c r="V32" s="74">
        <v>1.9010000000000002</v>
      </c>
      <c r="W32" s="74">
        <v>1.9300000000000002</v>
      </c>
      <c r="X32" s="74">
        <v>1.9590000000000001</v>
      </c>
      <c r="Y32" s="74">
        <v>1.9850000000000003</v>
      </c>
      <c r="Z32" s="74">
        <v>2.0130000000000003</v>
      </c>
      <c r="AA32" s="74">
        <v>2.0410000000000004</v>
      </c>
      <c r="AB32" s="74">
        <v>2.0640000000000001</v>
      </c>
      <c r="AC32" s="74">
        <v>2.0920000000000001</v>
      </c>
      <c r="AD32" s="75">
        <v>0</v>
      </c>
      <c r="AE32" s="76"/>
      <c r="AF32" s="76"/>
      <c r="AG32" s="76"/>
      <c r="AH32" s="76"/>
      <c r="AI32" s="76"/>
      <c r="AJ32" s="76"/>
      <c r="AK32" s="76"/>
      <c r="AL32" s="76"/>
      <c r="AM32" s="76"/>
      <c r="AN32" s="76"/>
      <c r="AO32" s="76"/>
      <c r="AP32" s="76"/>
      <c r="AQ32" s="76"/>
      <c r="AR32" s="76"/>
      <c r="AS32" s="76"/>
      <c r="BZ32" s="63" t="str">
        <f t="shared" si="4"/>
        <v>432</v>
      </c>
      <c r="CA32" s="63" t="str">
        <f t="shared" si="1"/>
        <v>532</v>
      </c>
      <c r="CB32" s="63" t="str">
        <f t="shared" si="5"/>
        <v>632</v>
      </c>
      <c r="CC32" s="63" t="str">
        <f t="shared" si="6"/>
        <v>732</v>
      </c>
      <c r="CD32" s="63" t="str">
        <f t="shared" si="7"/>
        <v>832</v>
      </c>
      <c r="CE32" s="63" t="str">
        <f t="shared" si="8"/>
        <v>932</v>
      </c>
      <c r="CF32" s="63" t="str">
        <f t="shared" si="9"/>
        <v>1032</v>
      </c>
      <c r="CG32" s="63" t="str">
        <f t="shared" si="10"/>
        <v>1132</v>
      </c>
      <c r="CH32" s="63" t="str">
        <f t="shared" si="11"/>
        <v>1232</v>
      </c>
      <c r="CI32" s="63" t="str">
        <f t="shared" si="12"/>
        <v>1332</v>
      </c>
      <c r="CJ32" s="63" t="str">
        <f t="shared" si="13"/>
        <v>1432</v>
      </c>
      <c r="CK32" s="63" t="str">
        <f t="shared" si="14"/>
        <v>1532</v>
      </c>
      <c r="CL32" s="63" t="str">
        <f t="shared" si="15"/>
        <v>1632</v>
      </c>
      <c r="CM32" s="63" t="str">
        <f t="shared" si="16"/>
        <v>1732</v>
      </c>
      <c r="CN32" s="63" t="str">
        <f t="shared" si="17"/>
        <v>1832</v>
      </c>
      <c r="CO32" s="63" t="str">
        <f t="shared" si="18"/>
        <v>1932</v>
      </c>
      <c r="CP32" s="63" t="str">
        <f t="shared" si="19"/>
        <v>2032</v>
      </c>
      <c r="CQ32" s="63" t="str">
        <f t="shared" si="20"/>
        <v>2132</v>
      </c>
      <c r="CR32" s="63" t="str">
        <f t="shared" si="21"/>
        <v>2232</v>
      </c>
      <c r="CS32" s="63" t="str">
        <f t="shared" si="22"/>
        <v>2332</v>
      </c>
      <c r="CT32" s="63" t="str">
        <f t="shared" si="23"/>
        <v>2432</v>
      </c>
      <c r="CU32" s="63" t="str">
        <f t="shared" si="24"/>
        <v>2532</v>
      </c>
      <c r="CV32" s="63" t="str">
        <f t="shared" si="25"/>
        <v>2632</v>
      </c>
      <c r="CW32" s="63" t="str">
        <f t="shared" si="26"/>
        <v>2732</v>
      </c>
      <c r="CX32" s="63" t="str">
        <f t="shared" si="27"/>
        <v>2832</v>
      </c>
      <c r="CY32" s="63" t="str">
        <f t="shared" si="28"/>
        <v>2932</v>
      </c>
      <c r="CZ32" s="63" t="str">
        <f t="shared" si="29"/>
        <v>3032</v>
      </c>
      <c r="DA32" s="63" t="str">
        <f t="shared" si="30"/>
        <v>3132</v>
      </c>
      <c r="DB32" s="63" t="str">
        <f t="shared" si="31"/>
        <v>3232</v>
      </c>
      <c r="DD32" s="72" t="s">
        <v>161</v>
      </c>
      <c r="DE32" s="77">
        <f t="shared" si="32"/>
        <v>1.359</v>
      </c>
      <c r="DF32" s="77">
        <f t="shared" si="32"/>
        <v>1.393</v>
      </c>
      <c r="DG32" s="77">
        <f t="shared" si="32"/>
        <v>1.429</v>
      </c>
      <c r="DH32" s="77">
        <f t="shared" si="32"/>
        <v>1.462</v>
      </c>
      <c r="DI32" s="77">
        <f t="shared" si="32"/>
        <v>1.492</v>
      </c>
      <c r="DJ32" s="77">
        <f t="shared" si="32"/>
        <v>1.52</v>
      </c>
      <c r="DK32" s="77">
        <f t="shared" si="32"/>
        <v>1.5449999999999999</v>
      </c>
      <c r="DL32" s="77">
        <f t="shared" si="32"/>
        <v>1.5680000000000001</v>
      </c>
      <c r="DM32" s="77">
        <f t="shared" si="32"/>
        <v>1.589</v>
      </c>
      <c r="DN32" s="77">
        <f t="shared" si="32"/>
        <v>1.6080000000000001</v>
      </c>
      <c r="DO32" s="77">
        <f t="shared" si="32"/>
        <v>1.625</v>
      </c>
      <c r="DP32" s="77">
        <f t="shared" si="32"/>
        <v>1.641</v>
      </c>
      <c r="DQ32" s="77">
        <f t="shared" si="32"/>
        <v>1.6619999999999999</v>
      </c>
      <c r="DR32" s="77">
        <f t="shared" si="32"/>
        <v>1.6870000000000001</v>
      </c>
      <c r="DS32" s="77">
        <f t="shared" si="32"/>
        <v>1.718</v>
      </c>
      <c r="DT32" s="77">
        <f t="shared" si="32"/>
        <v>1.7689999999999999</v>
      </c>
      <c r="DU32" s="77">
        <f t="shared" si="33"/>
        <v>1.7809999999999999</v>
      </c>
      <c r="DV32" s="77">
        <f t="shared" si="33"/>
        <v>1.8120000000000001</v>
      </c>
      <c r="DW32" s="77">
        <f t="shared" si="33"/>
        <v>1.8420000000000001</v>
      </c>
      <c r="DX32" s="77">
        <f t="shared" si="33"/>
        <v>1.8720000000000001</v>
      </c>
      <c r="DY32" s="77">
        <f t="shared" si="34"/>
        <v>1.901</v>
      </c>
      <c r="DZ32" s="77">
        <f t="shared" si="34"/>
        <v>1.93</v>
      </c>
      <c r="EA32" s="77">
        <f t="shared" si="34"/>
        <v>1.9590000000000001</v>
      </c>
      <c r="EB32" s="77">
        <f t="shared" si="34"/>
        <v>1.9850000000000001</v>
      </c>
      <c r="EC32" s="77">
        <f t="shared" si="34"/>
        <v>2.0129999999999999</v>
      </c>
      <c r="ED32" s="77">
        <f t="shared" si="34"/>
        <v>2.0409999999999999</v>
      </c>
      <c r="EE32" s="77">
        <f t="shared" si="34"/>
        <v>2.0640000000000001</v>
      </c>
      <c r="EF32" s="77">
        <f t="shared" si="34"/>
        <v>2.0920000000000001</v>
      </c>
      <c r="EG32" s="77">
        <f t="shared" si="34"/>
        <v>0</v>
      </c>
    </row>
    <row r="33" spans="1:137" ht="12.6" customHeight="1">
      <c r="A33" s="73">
        <v>33</v>
      </c>
      <c r="B33" s="74">
        <v>1.393</v>
      </c>
      <c r="C33" s="74">
        <v>1.4239999999999999</v>
      </c>
      <c r="D33" s="74">
        <v>1.4550000000000001</v>
      </c>
      <c r="E33" s="74">
        <v>1.488</v>
      </c>
      <c r="F33" s="74">
        <v>1.518</v>
      </c>
      <c r="G33" s="74">
        <v>1.5449999999999999</v>
      </c>
      <c r="H33" s="74">
        <v>1.57</v>
      </c>
      <c r="I33" s="74">
        <v>1.5940000000000001</v>
      </c>
      <c r="J33" s="74">
        <v>1.615</v>
      </c>
      <c r="K33" s="74">
        <v>1.635</v>
      </c>
      <c r="L33" s="74">
        <v>1.6519999999999999</v>
      </c>
      <c r="M33" s="74">
        <v>1.669</v>
      </c>
      <c r="N33" s="74">
        <v>1.6890000000000001</v>
      </c>
      <c r="O33" s="74">
        <v>1.7150000000000001</v>
      </c>
      <c r="P33" s="74">
        <v>1.746</v>
      </c>
      <c r="Q33" s="74">
        <v>1.7769999999999999</v>
      </c>
      <c r="R33" s="74">
        <v>1.8</v>
      </c>
      <c r="S33" s="74">
        <v>1.8360000000000003</v>
      </c>
      <c r="T33" s="74">
        <v>1.8690000000000002</v>
      </c>
      <c r="U33" s="74">
        <v>1.8980000000000001</v>
      </c>
      <c r="V33" s="74">
        <v>1.927</v>
      </c>
      <c r="W33" s="74">
        <v>1.9560000000000004</v>
      </c>
      <c r="X33" s="74">
        <v>1.9840000000000004</v>
      </c>
      <c r="Y33" s="74">
        <v>2.0100000000000002</v>
      </c>
      <c r="Z33" s="74">
        <v>2.0370000000000004</v>
      </c>
      <c r="AA33" s="74">
        <v>2.0640000000000001</v>
      </c>
      <c r="AB33" s="74">
        <v>2.0880000000000001</v>
      </c>
      <c r="AC33" s="74">
        <v>2.1140000000000003</v>
      </c>
      <c r="AD33" s="75">
        <v>2.1360000000000001</v>
      </c>
      <c r="AE33" s="76">
        <v>0</v>
      </c>
      <c r="AF33" s="76"/>
      <c r="AG33" s="76"/>
      <c r="AH33" s="76"/>
      <c r="AI33" s="76"/>
      <c r="AJ33" s="76"/>
      <c r="AK33" s="76"/>
      <c r="AL33" s="76"/>
      <c r="AM33" s="76"/>
      <c r="AN33" s="76"/>
      <c r="AO33" s="76"/>
      <c r="AP33" s="76"/>
      <c r="AQ33" s="76"/>
      <c r="AR33" s="76"/>
      <c r="AS33" s="76"/>
      <c r="BZ33" s="63" t="str">
        <f t="shared" si="4"/>
        <v>433</v>
      </c>
      <c r="CA33" s="63" t="str">
        <f t="shared" si="1"/>
        <v>533</v>
      </c>
      <c r="CB33" s="63" t="str">
        <f t="shared" si="5"/>
        <v>633</v>
      </c>
      <c r="CC33" s="63" t="str">
        <f t="shared" si="6"/>
        <v>733</v>
      </c>
      <c r="CD33" s="63" t="str">
        <f t="shared" si="7"/>
        <v>833</v>
      </c>
      <c r="CE33" s="63" t="str">
        <f t="shared" si="8"/>
        <v>933</v>
      </c>
      <c r="CF33" s="63" t="str">
        <f t="shared" si="9"/>
        <v>1033</v>
      </c>
      <c r="CG33" s="63" t="str">
        <f t="shared" si="10"/>
        <v>1133</v>
      </c>
      <c r="CH33" s="63" t="str">
        <f t="shared" si="11"/>
        <v>1233</v>
      </c>
      <c r="CI33" s="63" t="str">
        <f t="shared" si="12"/>
        <v>1333</v>
      </c>
      <c r="CJ33" s="63" t="str">
        <f t="shared" si="13"/>
        <v>1433</v>
      </c>
      <c r="CK33" s="63" t="str">
        <f t="shared" si="14"/>
        <v>1533</v>
      </c>
      <c r="CL33" s="63" t="str">
        <f t="shared" si="15"/>
        <v>1633</v>
      </c>
      <c r="CM33" s="63" t="str">
        <f t="shared" si="16"/>
        <v>1733</v>
      </c>
      <c r="CN33" s="63" t="str">
        <f t="shared" si="17"/>
        <v>1833</v>
      </c>
      <c r="CO33" s="63" t="str">
        <f t="shared" si="18"/>
        <v>1933</v>
      </c>
      <c r="CP33" s="63" t="str">
        <f t="shared" si="19"/>
        <v>2033</v>
      </c>
      <c r="CQ33" s="63" t="str">
        <f t="shared" si="20"/>
        <v>2133</v>
      </c>
      <c r="CR33" s="63" t="str">
        <f t="shared" si="21"/>
        <v>2233</v>
      </c>
      <c r="CS33" s="63" t="str">
        <f t="shared" si="22"/>
        <v>2333</v>
      </c>
      <c r="CT33" s="63" t="str">
        <f t="shared" si="23"/>
        <v>2433</v>
      </c>
      <c r="CU33" s="63" t="str">
        <f t="shared" si="24"/>
        <v>2533</v>
      </c>
      <c r="CV33" s="63" t="str">
        <f t="shared" si="25"/>
        <v>2633</v>
      </c>
      <c r="CW33" s="63" t="str">
        <f t="shared" si="26"/>
        <v>2733</v>
      </c>
      <c r="CX33" s="63" t="str">
        <f t="shared" si="27"/>
        <v>2833</v>
      </c>
      <c r="CY33" s="63" t="str">
        <f t="shared" si="28"/>
        <v>2933</v>
      </c>
      <c r="CZ33" s="63" t="str">
        <f t="shared" si="29"/>
        <v>3033</v>
      </c>
      <c r="DA33" s="63" t="str">
        <f t="shared" si="30"/>
        <v>3133</v>
      </c>
      <c r="DB33" s="63" t="str">
        <f t="shared" si="31"/>
        <v>3233</v>
      </c>
      <c r="DD33" s="72" t="s">
        <v>162</v>
      </c>
      <c r="DE33" s="77">
        <f t="shared" si="32"/>
        <v>1.393</v>
      </c>
      <c r="DF33" s="77">
        <f t="shared" si="32"/>
        <v>1.4239999999999999</v>
      </c>
      <c r="DG33" s="77">
        <f t="shared" si="32"/>
        <v>1.4550000000000001</v>
      </c>
      <c r="DH33" s="77">
        <f t="shared" si="32"/>
        <v>1.488</v>
      </c>
      <c r="DI33" s="77">
        <f t="shared" si="32"/>
        <v>1.518</v>
      </c>
      <c r="DJ33" s="77">
        <f t="shared" si="32"/>
        <v>1.5449999999999999</v>
      </c>
      <c r="DK33" s="77">
        <f t="shared" si="32"/>
        <v>1.57</v>
      </c>
      <c r="DL33" s="77">
        <f t="shared" si="32"/>
        <v>1.5940000000000001</v>
      </c>
      <c r="DM33" s="77">
        <f t="shared" si="32"/>
        <v>1.615</v>
      </c>
      <c r="DN33" s="77">
        <f t="shared" si="32"/>
        <v>1.635</v>
      </c>
      <c r="DO33" s="77">
        <f t="shared" si="32"/>
        <v>1.6519999999999999</v>
      </c>
      <c r="DP33" s="77">
        <f t="shared" si="32"/>
        <v>1.669</v>
      </c>
      <c r="DQ33" s="77">
        <f t="shared" si="32"/>
        <v>1.6890000000000001</v>
      </c>
      <c r="DR33" s="77">
        <f t="shared" si="32"/>
        <v>1.7150000000000001</v>
      </c>
      <c r="DS33" s="77">
        <f t="shared" si="32"/>
        <v>1.746</v>
      </c>
      <c r="DT33" s="77">
        <f t="shared" si="32"/>
        <v>1.7769999999999999</v>
      </c>
      <c r="DU33" s="77">
        <f t="shared" si="33"/>
        <v>1.8</v>
      </c>
      <c r="DV33" s="77">
        <f t="shared" si="33"/>
        <v>1.8360000000000001</v>
      </c>
      <c r="DW33" s="77">
        <f t="shared" si="33"/>
        <v>1.869</v>
      </c>
      <c r="DX33" s="77">
        <f t="shared" si="33"/>
        <v>1.8979999999999999</v>
      </c>
      <c r="DY33" s="77">
        <f t="shared" si="34"/>
        <v>1.927</v>
      </c>
      <c r="DZ33" s="77">
        <f t="shared" si="34"/>
        <v>1.956</v>
      </c>
      <c r="EA33" s="77">
        <f t="shared" si="34"/>
        <v>1.984</v>
      </c>
      <c r="EB33" s="77">
        <f t="shared" si="34"/>
        <v>2.0099999999999998</v>
      </c>
      <c r="EC33" s="77">
        <f t="shared" si="34"/>
        <v>2.0369999999999999</v>
      </c>
      <c r="ED33" s="77">
        <f t="shared" si="34"/>
        <v>2.0640000000000001</v>
      </c>
      <c r="EE33" s="77">
        <f t="shared" si="34"/>
        <v>2.0880000000000001</v>
      </c>
      <c r="EF33" s="77">
        <f t="shared" si="34"/>
        <v>2.1139999999999999</v>
      </c>
      <c r="EG33" s="77">
        <f t="shared" si="34"/>
        <v>2.1360000000000001</v>
      </c>
    </row>
    <row r="34" spans="1:137" ht="12.6" customHeight="1">
      <c r="A34" s="73">
        <v>34</v>
      </c>
      <c r="B34" s="74">
        <v>1.42</v>
      </c>
      <c r="C34" s="74">
        <v>1.4510000000000001</v>
      </c>
      <c r="D34" s="74">
        <v>1.4810000000000001</v>
      </c>
      <c r="E34" s="74">
        <v>1.514</v>
      </c>
      <c r="F34" s="74">
        <v>1.5429999999999999</v>
      </c>
      <c r="G34" s="74">
        <v>1.57</v>
      </c>
      <c r="H34" s="74">
        <v>1.5960000000000001</v>
      </c>
      <c r="I34" s="74">
        <v>1.619</v>
      </c>
      <c r="J34" s="74">
        <v>1.641</v>
      </c>
      <c r="K34" s="74">
        <v>1.66</v>
      </c>
      <c r="L34" s="74">
        <v>1.6779999999999999</v>
      </c>
      <c r="M34" s="74">
        <v>1.696</v>
      </c>
      <c r="N34" s="74">
        <v>1.7170000000000001</v>
      </c>
      <c r="O34" s="74">
        <v>1.742</v>
      </c>
      <c r="P34" s="74">
        <v>1.7729999999999999</v>
      </c>
      <c r="Q34" s="74">
        <v>1.804</v>
      </c>
      <c r="R34" s="74">
        <v>1.8340000000000001</v>
      </c>
      <c r="S34" s="74">
        <v>1.8650000000000002</v>
      </c>
      <c r="T34" s="74">
        <v>1.895</v>
      </c>
      <c r="U34" s="74">
        <v>1.9240000000000004</v>
      </c>
      <c r="V34" s="74">
        <v>1.9520000000000004</v>
      </c>
      <c r="W34" s="74">
        <v>1.9800000000000004</v>
      </c>
      <c r="X34" s="74">
        <v>2.0080000000000005</v>
      </c>
      <c r="Y34" s="74">
        <v>2.0340000000000003</v>
      </c>
      <c r="Z34" s="74">
        <v>2.0610000000000004</v>
      </c>
      <c r="AA34" s="74">
        <v>2.0870000000000002</v>
      </c>
      <c r="AB34" s="74">
        <v>2.1110000000000002</v>
      </c>
      <c r="AC34" s="74">
        <v>2.1350000000000002</v>
      </c>
      <c r="AD34" s="75">
        <v>2.157</v>
      </c>
      <c r="AE34" s="76">
        <f>+AD34-AD33</f>
        <v>2.0999999999999908E-2</v>
      </c>
      <c r="AF34" s="76">
        <v>0</v>
      </c>
      <c r="AG34" s="76"/>
      <c r="AH34" s="76"/>
      <c r="AI34" s="76"/>
      <c r="AJ34" s="76"/>
      <c r="AK34" s="76"/>
      <c r="AL34" s="76"/>
      <c r="AM34" s="76"/>
      <c r="AN34" s="76"/>
      <c r="AO34" s="76"/>
      <c r="AP34" s="76"/>
      <c r="AQ34" s="76"/>
      <c r="AR34" s="76"/>
      <c r="AS34" s="76"/>
      <c r="BZ34" s="63" t="str">
        <f t="shared" si="4"/>
        <v>434</v>
      </c>
      <c r="CA34" s="63" t="str">
        <f t="shared" si="1"/>
        <v>534</v>
      </c>
      <c r="CB34" s="63" t="str">
        <f t="shared" si="5"/>
        <v>634</v>
      </c>
      <c r="CC34" s="63" t="str">
        <f t="shared" si="6"/>
        <v>734</v>
      </c>
      <c r="CD34" s="63" t="str">
        <f t="shared" si="7"/>
        <v>834</v>
      </c>
      <c r="CE34" s="63" t="str">
        <f t="shared" si="8"/>
        <v>934</v>
      </c>
      <c r="CF34" s="63" t="str">
        <f t="shared" si="9"/>
        <v>1034</v>
      </c>
      <c r="CG34" s="63" t="str">
        <f t="shared" si="10"/>
        <v>1134</v>
      </c>
      <c r="CH34" s="63" t="str">
        <f t="shared" si="11"/>
        <v>1234</v>
      </c>
      <c r="CI34" s="63" t="str">
        <f t="shared" si="12"/>
        <v>1334</v>
      </c>
      <c r="CJ34" s="63" t="str">
        <f t="shared" si="13"/>
        <v>1434</v>
      </c>
      <c r="CK34" s="63" t="str">
        <f t="shared" si="14"/>
        <v>1534</v>
      </c>
      <c r="CL34" s="63" t="str">
        <f t="shared" si="15"/>
        <v>1634</v>
      </c>
      <c r="CM34" s="63" t="str">
        <f t="shared" si="16"/>
        <v>1734</v>
      </c>
      <c r="CN34" s="63" t="str">
        <f t="shared" si="17"/>
        <v>1834</v>
      </c>
      <c r="CO34" s="63" t="str">
        <f t="shared" si="18"/>
        <v>1934</v>
      </c>
      <c r="CP34" s="63" t="str">
        <f t="shared" si="19"/>
        <v>2034</v>
      </c>
      <c r="CQ34" s="63" t="str">
        <f t="shared" si="20"/>
        <v>2134</v>
      </c>
      <c r="CR34" s="63" t="str">
        <f t="shared" si="21"/>
        <v>2234</v>
      </c>
      <c r="CS34" s="63" t="str">
        <f t="shared" si="22"/>
        <v>2334</v>
      </c>
      <c r="CT34" s="63" t="str">
        <f t="shared" si="23"/>
        <v>2434</v>
      </c>
      <c r="CU34" s="63" t="str">
        <f t="shared" si="24"/>
        <v>2534</v>
      </c>
      <c r="CV34" s="63" t="str">
        <f t="shared" si="25"/>
        <v>2634</v>
      </c>
      <c r="CW34" s="63" t="str">
        <f t="shared" si="26"/>
        <v>2734</v>
      </c>
      <c r="CX34" s="63" t="str">
        <f t="shared" si="27"/>
        <v>2834</v>
      </c>
      <c r="CY34" s="63" t="str">
        <f t="shared" si="28"/>
        <v>2934</v>
      </c>
      <c r="CZ34" s="63" t="str">
        <f t="shared" si="29"/>
        <v>3034</v>
      </c>
      <c r="DA34" s="63" t="str">
        <f t="shared" si="30"/>
        <v>3134</v>
      </c>
      <c r="DB34" s="63" t="str">
        <f t="shared" si="31"/>
        <v>3234</v>
      </c>
      <c r="DD34" s="72" t="s">
        <v>163</v>
      </c>
      <c r="DE34" s="77">
        <f t="shared" si="32"/>
        <v>1.42</v>
      </c>
      <c r="DF34" s="77">
        <f t="shared" si="32"/>
        <v>1.4510000000000001</v>
      </c>
      <c r="DG34" s="77">
        <f t="shared" si="32"/>
        <v>1.4810000000000001</v>
      </c>
      <c r="DH34" s="77">
        <f t="shared" si="32"/>
        <v>1.514</v>
      </c>
      <c r="DI34" s="77">
        <f t="shared" si="32"/>
        <v>1.5429999999999999</v>
      </c>
      <c r="DJ34" s="77">
        <f t="shared" si="32"/>
        <v>1.57</v>
      </c>
      <c r="DK34" s="77">
        <f t="shared" si="32"/>
        <v>1.5960000000000001</v>
      </c>
      <c r="DL34" s="77">
        <f t="shared" si="32"/>
        <v>1.619</v>
      </c>
      <c r="DM34" s="77">
        <f t="shared" si="32"/>
        <v>1.641</v>
      </c>
      <c r="DN34" s="77">
        <f t="shared" si="32"/>
        <v>1.66</v>
      </c>
      <c r="DO34" s="77">
        <f t="shared" si="32"/>
        <v>1.6779999999999999</v>
      </c>
      <c r="DP34" s="77">
        <f t="shared" si="32"/>
        <v>1.696</v>
      </c>
      <c r="DQ34" s="77">
        <f t="shared" si="32"/>
        <v>1.7170000000000001</v>
      </c>
      <c r="DR34" s="77">
        <f t="shared" si="32"/>
        <v>1.742</v>
      </c>
      <c r="DS34" s="77">
        <f t="shared" si="32"/>
        <v>1.7729999999999999</v>
      </c>
      <c r="DT34" s="77">
        <f t="shared" si="32"/>
        <v>1.804</v>
      </c>
      <c r="DU34" s="77">
        <f t="shared" si="33"/>
        <v>1.8340000000000001</v>
      </c>
      <c r="DV34" s="77">
        <f t="shared" si="33"/>
        <v>1.865</v>
      </c>
      <c r="DW34" s="77">
        <f t="shared" si="33"/>
        <v>1.895</v>
      </c>
      <c r="DX34" s="77">
        <f t="shared" si="33"/>
        <v>1.9239999999999999</v>
      </c>
      <c r="DY34" s="77">
        <f t="shared" si="34"/>
        <v>1.952</v>
      </c>
      <c r="DZ34" s="77">
        <f t="shared" si="34"/>
        <v>1.98</v>
      </c>
      <c r="EA34" s="77">
        <f t="shared" si="34"/>
        <v>2.008</v>
      </c>
      <c r="EB34" s="77">
        <f t="shared" si="34"/>
        <v>2.0339999999999998</v>
      </c>
      <c r="EC34" s="77">
        <f t="shared" si="34"/>
        <v>2.0609999999999999</v>
      </c>
      <c r="ED34" s="77">
        <f t="shared" si="34"/>
        <v>2.0870000000000002</v>
      </c>
      <c r="EE34" s="77">
        <f t="shared" si="34"/>
        <v>2.1110000000000002</v>
      </c>
      <c r="EF34" s="77">
        <f t="shared" si="34"/>
        <v>2.1349999999999998</v>
      </c>
      <c r="EG34" s="77">
        <f t="shared" si="34"/>
        <v>2.157</v>
      </c>
    </row>
    <row r="35" spans="1:137" ht="12.6" customHeight="1">
      <c r="A35" s="73">
        <v>35</v>
      </c>
      <c r="B35" s="74">
        <v>1.4450000000000001</v>
      </c>
      <c r="C35" s="74">
        <v>1.476</v>
      </c>
      <c r="D35" s="74">
        <v>1.5070000000000001</v>
      </c>
      <c r="E35" s="74">
        <v>1.5389999999999999</v>
      </c>
      <c r="F35" s="74">
        <v>1.569</v>
      </c>
      <c r="G35" s="74">
        <v>1.5960000000000001</v>
      </c>
      <c r="H35" s="74">
        <v>1.621</v>
      </c>
      <c r="I35" s="74">
        <v>1.645</v>
      </c>
      <c r="J35" s="74">
        <v>1.667</v>
      </c>
      <c r="K35" s="74">
        <v>1.6870000000000001</v>
      </c>
      <c r="L35" s="74">
        <v>1.7050000000000001</v>
      </c>
      <c r="M35" s="74">
        <v>1.7230000000000001</v>
      </c>
      <c r="N35" s="74">
        <v>1.744</v>
      </c>
      <c r="O35" s="74">
        <v>1.7699999999999998</v>
      </c>
      <c r="P35" s="74">
        <v>1.8</v>
      </c>
      <c r="Q35" s="74">
        <v>1.8310000000000004</v>
      </c>
      <c r="R35" s="74">
        <v>1.8610000000000002</v>
      </c>
      <c r="S35" s="74">
        <v>1.891</v>
      </c>
      <c r="T35" s="74">
        <v>1.9210000000000003</v>
      </c>
      <c r="U35" s="74">
        <v>1.9500000000000002</v>
      </c>
      <c r="V35" s="74">
        <v>1.9780000000000002</v>
      </c>
      <c r="W35" s="74">
        <v>2.0060000000000002</v>
      </c>
      <c r="X35" s="74">
        <v>2.0340000000000003</v>
      </c>
      <c r="Y35" s="74">
        <v>2.06</v>
      </c>
      <c r="Z35" s="74">
        <v>2.0860000000000003</v>
      </c>
      <c r="AA35" s="74">
        <v>2.1120000000000001</v>
      </c>
      <c r="AB35" s="74">
        <v>2.1360000000000001</v>
      </c>
      <c r="AC35" s="74">
        <v>2.161</v>
      </c>
      <c r="AD35" s="75">
        <v>2.1840000000000002</v>
      </c>
      <c r="AE35" s="76"/>
      <c r="AF35" s="76"/>
      <c r="AG35" s="76">
        <v>0</v>
      </c>
      <c r="AH35" s="76"/>
      <c r="AI35" s="76"/>
      <c r="AJ35" s="76"/>
      <c r="AK35" s="76"/>
      <c r="AL35" s="76"/>
      <c r="AM35" s="76"/>
      <c r="AN35" s="76"/>
      <c r="AO35" s="76"/>
      <c r="AP35" s="76"/>
      <c r="AQ35" s="76"/>
      <c r="AR35" s="76"/>
      <c r="AS35" s="76"/>
      <c r="BZ35" s="63" t="str">
        <f t="shared" si="4"/>
        <v>435</v>
      </c>
      <c r="CA35" s="63" t="str">
        <f t="shared" si="1"/>
        <v>535</v>
      </c>
      <c r="CB35" s="63" t="str">
        <f t="shared" si="5"/>
        <v>635</v>
      </c>
      <c r="CC35" s="63" t="str">
        <f t="shared" si="6"/>
        <v>735</v>
      </c>
      <c r="CD35" s="63" t="str">
        <f t="shared" si="7"/>
        <v>835</v>
      </c>
      <c r="CE35" s="63" t="str">
        <f t="shared" si="8"/>
        <v>935</v>
      </c>
      <c r="CF35" s="63" t="str">
        <f t="shared" si="9"/>
        <v>1035</v>
      </c>
      <c r="CG35" s="63" t="str">
        <f t="shared" si="10"/>
        <v>1135</v>
      </c>
      <c r="CH35" s="63" t="str">
        <f t="shared" si="11"/>
        <v>1235</v>
      </c>
      <c r="CI35" s="63" t="str">
        <f t="shared" si="12"/>
        <v>1335</v>
      </c>
      <c r="CJ35" s="63" t="str">
        <f t="shared" si="13"/>
        <v>1435</v>
      </c>
      <c r="CK35" s="63" t="str">
        <f t="shared" si="14"/>
        <v>1535</v>
      </c>
      <c r="CL35" s="63" t="str">
        <f t="shared" si="15"/>
        <v>1635</v>
      </c>
      <c r="CM35" s="63" t="str">
        <f t="shared" si="16"/>
        <v>1735</v>
      </c>
      <c r="CN35" s="63" t="str">
        <f t="shared" si="17"/>
        <v>1835</v>
      </c>
      <c r="CO35" s="63" t="str">
        <f t="shared" si="18"/>
        <v>1935</v>
      </c>
      <c r="CP35" s="63" t="str">
        <f t="shared" si="19"/>
        <v>2035</v>
      </c>
      <c r="CQ35" s="63" t="str">
        <f t="shared" si="20"/>
        <v>2135</v>
      </c>
      <c r="CR35" s="63" t="str">
        <f t="shared" si="21"/>
        <v>2235</v>
      </c>
      <c r="CS35" s="63" t="str">
        <f t="shared" si="22"/>
        <v>2335</v>
      </c>
      <c r="CT35" s="63" t="str">
        <f t="shared" si="23"/>
        <v>2435</v>
      </c>
      <c r="CU35" s="63" t="str">
        <f t="shared" si="24"/>
        <v>2535</v>
      </c>
      <c r="CV35" s="63" t="str">
        <f t="shared" si="25"/>
        <v>2635</v>
      </c>
      <c r="CW35" s="63" t="str">
        <f t="shared" si="26"/>
        <v>2735</v>
      </c>
      <c r="CX35" s="63" t="str">
        <f t="shared" si="27"/>
        <v>2835</v>
      </c>
      <c r="CY35" s="63" t="str">
        <f t="shared" si="28"/>
        <v>2935</v>
      </c>
      <c r="CZ35" s="63" t="str">
        <f t="shared" si="29"/>
        <v>3035</v>
      </c>
      <c r="DA35" s="63" t="str">
        <f t="shared" si="30"/>
        <v>3135</v>
      </c>
      <c r="DB35" s="63" t="str">
        <f t="shared" si="31"/>
        <v>3235</v>
      </c>
      <c r="DD35" s="72" t="s">
        <v>164</v>
      </c>
      <c r="DE35" s="77">
        <f t="shared" si="32"/>
        <v>1.4450000000000001</v>
      </c>
      <c r="DF35" s="77">
        <f t="shared" ref="DF35:DT51" si="35">ROUND(C35,3)</f>
        <v>1.476</v>
      </c>
      <c r="DG35" s="77">
        <f t="shared" si="35"/>
        <v>1.5069999999999999</v>
      </c>
      <c r="DH35" s="77">
        <f t="shared" si="35"/>
        <v>1.5389999999999999</v>
      </c>
      <c r="DI35" s="77">
        <f t="shared" si="35"/>
        <v>1.569</v>
      </c>
      <c r="DJ35" s="77">
        <f t="shared" si="35"/>
        <v>1.5960000000000001</v>
      </c>
      <c r="DK35" s="77">
        <f t="shared" si="35"/>
        <v>1.621</v>
      </c>
      <c r="DL35" s="77">
        <f t="shared" si="35"/>
        <v>1.645</v>
      </c>
      <c r="DM35" s="77">
        <f t="shared" si="35"/>
        <v>1.667</v>
      </c>
      <c r="DN35" s="77">
        <f t="shared" si="35"/>
        <v>1.6870000000000001</v>
      </c>
      <c r="DO35" s="77">
        <f t="shared" si="35"/>
        <v>1.7050000000000001</v>
      </c>
      <c r="DP35" s="77">
        <f t="shared" si="35"/>
        <v>1.7230000000000001</v>
      </c>
      <c r="DQ35" s="77">
        <f t="shared" si="35"/>
        <v>1.744</v>
      </c>
      <c r="DR35" s="77">
        <f t="shared" si="35"/>
        <v>1.77</v>
      </c>
      <c r="DS35" s="77">
        <f t="shared" si="35"/>
        <v>1.8</v>
      </c>
      <c r="DT35" s="77">
        <f t="shared" si="35"/>
        <v>1.831</v>
      </c>
      <c r="DU35" s="77">
        <f t="shared" si="33"/>
        <v>1.861</v>
      </c>
      <c r="DV35" s="77">
        <f t="shared" si="33"/>
        <v>1.891</v>
      </c>
      <c r="DW35" s="77">
        <f t="shared" si="33"/>
        <v>1.921</v>
      </c>
      <c r="DX35" s="77">
        <f t="shared" si="33"/>
        <v>1.95</v>
      </c>
      <c r="DY35" s="77">
        <f t="shared" si="34"/>
        <v>1.978</v>
      </c>
      <c r="DZ35" s="77">
        <f t="shared" si="34"/>
        <v>2.0059999999999998</v>
      </c>
      <c r="EA35" s="77">
        <f t="shared" si="34"/>
        <v>2.0339999999999998</v>
      </c>
      <c r="EB35" s="77">
        <f t="shared" si="34"/>
        <v>2.06</v>
      </c>
      <c r="EC35" s="77">
        <f t="shared" si="34"/>
        <v>2.0859999999999999</v>
      </c>
      <c r="ED35" s="77">
        <f t="shared" si="34"/>
        <v>2.1120000000000001</v>
      </c>
      <c r="EE35" s="77">
        <f t="shared" si="34"/>
        <v>2.1360000000000001</v>
      </c>
      <c r="EF35" s="77">
        <f t="shared" si="34"/>
        <v>2.161</v>
      </c>
      <c r="EG35" s="77">
        <f t="shared" si="34"/>
        <v>2.1840000000000002</v>
      </c>
    </row>
    <row r="36" spans="1:137" ht="12.6" customHeight="1">
      <c r="A36" s="73">
        <v>36</v>
      </c>
      <c r="B36" s="74">
        <v>1.4730000000000001</v>
      </c>
      <c r="C36" s="74">
        <v>1.5030000000000001</v>
      </c>
      <c r="D36" s="74">
        <v>1.5329999999999999</v>
      </c>
      <c r="E36" s="74">
        <v>1.5649999999999999</v>
      </c>
      <c r="F36" s="74">
        <v>1.5940000000000001</v>
      </c>
      <c r="G36" s="74">
        <v>1.621</v>
      </c>
      <c r="H36" s="74">
        <v>1.647</v>
      </c>
      <c r="I36" s="74">
        <v>1.67</v>
      </c>
      <c r="J36" s="74">
        <v>1.6919999999999999</v>
      </c>
      <c r="K36" s="74">
        <v>1.6949999999999998</v>
      </c>
      <c r="L36" s="74">
        <v>1.7310000000000001</v>
      </c>
      <c r="M36" s="74">
        <v>1.7490000000000001</v>
      </c>
      <c r="N36" s="74">
        <v>1.7710000000000001</v>
      </c>
      <c r="O36" s="74">
        <v>1.7969999999999999</v>
      </c>
      <c r="P36" s="74">
        <v>1.8270000000000004</v>
      </c>
      <c r="Q36" s="74">
        <v>1.8570000000000002</v>
      </c>
      <c r="R36" s="74">
        <v>1.887</v>
      </c>
      <c r="S36" s="74">
        <v>1.9170000000000003</v>
      </c>
      <c r="T36" s="74">
        <v>1.9470000000000001</v>
      </c>
      <c r="U36" s="74">
        <v>1.9750000000000001</v>
      </c>
      <c r="V36" s="74">
        <v>2.0030000000000001</v>
      </c>
      <c r="W36" s="74">
        <v>2.0310000000000001</v>
      </c>
      <c r="X36" s="74">
        <v>2.0580000000000003</v>
      </c>
      <c r="Y36" s="74">
        <v>2.0840000000000001</v>
      </c>
      <c r="Z36" s="74">
        <v>2.1100000000000003</v>
      </c>
      <c r="AA36" s="74">
        <v>2.1360000000000001</v>
      </c>
      <c r="AB36" s="74">
        <v>2.16</v>
      </c>
      <c r="AC36" s="74">
        <v>2.1850000000000001</v>
      </c>
      <c r="AD36" s="75">
        <v>2.2080000000000002</v>
      </c>
      <c r="AE36" s="76"/>
      <c r="AF36" s="76"/>
      <c r="AG36" s="76"/>
      <c r="AH36" s="76">
        <v>0</v>
      </c>
      <c r="AI36" s="76"/>
      <c r="AJ36" s="76"/>
      <c r="AK36" s="76"/>
      <c r="AL36" s="76"/>
      <c r="AM36" s="76"/>
      <c r="AN36" s="76"/>
      <c r="AO36" s="76"/>
      <c r="AP36" s="76"/>
      <c r="AQ36" s="76"/>
      <c r="AR36" s="76"/>
      <c r="AS36" s="76"/>
      <c r="BZ36" s="63" t="str">
        <f t="shared" si="4"/>
        <v>436</v>
      </c>
      <c r="CA36" s="63" t="str">
        <f t="shared" si="1"/>
        <v>536</v>
      </c>
      <c r="CB36" s="63" t="str">
        <f t="shared" si="5"/>
        <v>636</v>
      </c>
      <c r="CC36" s="63" t="str">
        <f t="shared" si="6"/>
        <v>736</v>
      </c>
      <c r="CD36" s="63" t="str">
        <f t="shared" si="7"/>
        <v>836</v>
      </c>
      <c r="CE36" s="63" t="str">
        <f t="shared" si="8"/>
        <v>936</v>
      </c>
      <c r="CF36" s="63" t="str">
        <f t="shared" si="9"/>
        <v>1036</v>
      </c>
      <c r="CG36" s="63" t="str">
        <f t="shared" si="10"/>
        <v>1136</v>
      </c>
      <c r="CH36" s="63" t="str">
        <f t="shared" si="11"/>
        <v>1236</v>
      </c>
      <c r="CI36" s="63" t="str">
        <f t="shared" si="12"/>
        <v>1336</v>
      </c>
      <c r="CJ36" s="63" t="str">
        <f t="shared" si="13"/>
        <v>1436</v>
      </c>
      <c r="CK36" s="63" t="str">
        <f t="shared" si="14"/>
        <v>1536</v>
      </c>
      <c r="CL36" s="63" t="str">
        <f t="shared" si="15"/>
        <v>1636</v>
      </c>
      <c r="CM36" s="63" t="str">
        <f t="shared" si="16"/>
        <v>1736</v>
      </c>
      <c r="CN36" s="63" t="str">
        <f t="shared" si="17"/>
        <v>1836</v>
      </c>
      <c r="CO36" s="63" t="str">
        <f t="shared" si="18"/>
        <v>1936</v>
      </c>
      <c r="CP36" s="63" t="str">
        <f t="shared" si="19"/>
        <v>2036</v>
      </c>
      <c r="CQ36" s="63" t="str">
        <f t="shared" si="20"/>
        <v>2136</v>
      </c>
      <c r="CR36" s="63" t="str">
        <f t="shared" si="21"/>
        <v>2236</v>
      </c>
      <c r="CS36" s="63" t="str">
        <f t="shared" si="22"/>
        <v>2336</v>
      </c>
      <c r="CT36" s="63" t="str">
        <f t="shared" si="23"/>
        <v>2436</v>
      </c>
      <c r="CU36" s="63" t="str">
        <f t="shared" si="24"/>
        <v>2536</v>
      </c>
      <c r="CV36" s="63" t="str">
        <f t="shared" si="25"/>
        <v>2636</v>
      </c>
      <c r="CW36" s="63" t="str">
        <f t="shared" si="26"/>
        <v>2736</v>
      </c>
      <c r="CX36" s="63" t="str">
        <f t="shared" si="27"/>
        <v>2836</v>
      </c>
      <c r="CY36" s="63" t="str">
        <f t="shared" si="28"/>
        <v>2936</v>
      </c>
      <c r="CZ36" s="63" t="str">
        <f t="shared" si="29"/>
        <v>3036</v>
      </c>
      <c r="DA36" s="63" t="str">
        <f t="shared" si="30"/>
        <v>3136</v>
      </c>
      <c r="DB36" s="63" t="str">
        <f t="shared" si="31"/>
        <v>3236</v>
      </c>
      <c r="DD36" s="72" t="s">
        <v>165</v>
      </c>
      <c r="DE36" s="77">
        <f t="shared" ref="DE36:DT66" si="36">ROUND(B36,3)</f>
        <v>1.4730000000000001</v>
      </c>
      <c r="DF36" s="77">
        <f t="shared" si="35"/>
        <v>1.5029999999999999</v>
      </c>
      <c r="DG36" s="77">
        <f t="shared" si="35"/>
        <v>1.5329999999999999</v>
      </c>
      <c r="DH36" s="77">
        <f t="shared" si="35"/>
        <v>1.5649999999999999</v>
      </c>
      <c r="DI36" s="77">
        <f t="shared" si="35"/>
        <v>1.5940000000000001</v>
      </c>
      <c r="DJ36" s="77">
        <f t="shared" si="35"/>
        <v>1.621</v>
      </c>
      <c r="DK36" s="77">
        <f t="shared" si="35"/>
        <v>1.647</v>
      </c>
      <c r="DL36" s="77">
        <f t="shared" si="35"/>
        <v>1.67</v>
      </c>
      <c r="DM36" s="77">
        <f t="shared" si="35"/>
        <v>1.6919999999999999</v>
      </c>
      <c r="DN36" s="77">
        <f t="shared" si="35"/>
        <v>1.6950000000000001</v>
      </c>
      <c r="DO36" s="77">
        <f t="shared" si="35"/>
        <v>1.7310000000000001</v>
      </c>
      <c r="DP36" s="77">
        <f t="shared" si="35"/>
        <v>1.7490000000000001</v>
      </c>
      <c r="DQ36" s="77">
        <f t="shared" si="35"/>
        <v>1.7709999999999999</v>
      </c>
      <c r="DR36" s="77">
        <f t="shared" si="35"/>
        <v>1.7969999999999999</v>
      </c>
      <c r="DS36" s="77">
        <f t="shared" si="35"/>
        <v>1.827</v>
      </c>
      <c r="DT36" s="77">
        <f t="shared" si="35"/>
        <v>1.857</v>
      </c>
      <c r="DU36" s="77">
        <f t="shared" si="33"/>
        <v>1.887</v>
      </c>
      <c r="DV36" s="77">
        <f t="shared" si="33"/>
        <v>1.917</v>
      </c>
      <c r="DW36" s="77">
        <f t="shared" si="33"/>
        <v>1.9470000000000001</v>
      </c>
      <c r="DX36" s="77">
        <f t="shared" si="33"/>
        <v>1.9750000000000001</v>
      </c>
      <c r="DY36" s="77">
        <f t="shared" si="34"/>
        <v>2.0030000000000001</v>
      </c>
      <c r="DZ36" s="77">
        <f t="shared" si="34"/>
        <v>2.0310000000000001</v>
      </c>
      <c r="EA36" s="77">
        <f t="shared" si="34"/>
        <v>2.0579999999999998</v>
      </c>
      <c r="EB36" s="77">
        <f t="shared" si="34"/>
        <v>2.0840000000000001</v>
      </c>
      <c r="EC36" s="77">
        <f t="shared" si="34"/>
        <v>2.11</v>
      </c>
      <c r="ED36" s="77">
        <f t="shared" si="34"/>
        <v>2.1360000000000001</v>
      </c>
      <c r="EE36" s="77">
        <f t="shared" si="34"/>
        <v>2.16</v>
      </c>
      <c r="EF36" s="77">
        <f t="shared" si="34"/>
        <v>2.1850000000000001</v>
      </c>
      <c r="EG36" s="77">
        <f t="shared" si="34"/>
        <v>2.2080000000000002</v>
      </c>
    </row>
    <row r="37" spans="1:137" ht="12.6" customHeight="1">
      <c r="A37" s="73">
        <v>37</v>
      </c>
      <c r="B37" s="74">
        <v>1.496</v>
      </c>
      <c r="C37" s="74">
        <v>1.5269999999999999</v>
      </c>
      <c r="D37" s="74">
        <v>1.5580000000000001</v>
      </c>
      <c r="E37" s="74">
        <v>1.59</v>
      </c>
      <c r="F37" s="74">
        <v>1.62</v>
      </c>
      <c r="G37" s="74">
        <v>1.647</v>
      </c>
      <c r="H37" s="74">
        <v>1.6719999999999999</v>
      </c>
      <c r="I37" s="74">
        <v>1.696</v>
      </c>
      <c r="J37" s="74">
        <v>1.718</v>
      </c>
      <c r="K37" s="74">
        <v>1.738</v>
      </c>
      <c r="L37" s="74">
        <v>1.7570000000000001</v>
      </c>
      <c r="M37" s="74">
        <v>1.776</v>
      </c>
      <c r="N37" s="74">
        <v>1.7969999999999999</v>
      </c>
      <c r="O37" s="74">
        <v>1.8230000000000004</v>
      </c>
      <c r="P37" s="74">
        <v>1.8530000000000002</v>
      </c>
      <c r="Q37" s="74">
        <v>1.8840000000000003</v>
      </c>
      <c r="R37" s="74">
        <v>1.9130000000000003</v>
      </c>
      <c r="S37" s="74">
        <v>1.9430000000000001</v>
      </c>
      <c r="T37" s="74">
        <v>1.9720000000000004</v>
      </c>
      <c r="U37" s="74">
        <v>2.0010000000000003</v>
      </c>
      <c r="V37" s="74">
        <v>2.028</v>
      </c>
      <c r="W37" s="74">
        <v>2.0530000000000004</v>
      </c>
      <c r="X37" s="74">
        <v>2.0830000000000002</v>
      </c>
      <c r="Y37" s="74">
        <v>2.1090000000000004</v>
      </c>
      <c r="Z37" s="74">
        <v>2.1350000000000002</v>
      </c>
      <c r="AA37" s="74">
        <v>2.16</v>
      </c>
      <c r="AB37" s="74">
        <v>2.1840000000000002</v>
      </c>
      <c r="AC37" s="74">
        <v>2.2090000000000001</v>
      </c>
      <c r="AD37" s="75">
        <v>2.2320000000000002</v>
      </c>
      <c r="AE37" s="76"/>
      <c r="AF37" s="76"/>
      <c r="AG37" s="76"/>
      <c r="AH37" s="76"/>
      <c r="AI37" s="76">
        <v>0</v>
      </c>
      <c r="AJ37" s="76"/>
      <c r="AK37" s="76"/>
      <c r="AL37" s="76"/>
      <c r="AM37" s="76"/>
      <c r="AN37" s="76"/>
      <c r="AO37" s="76"/>
      <c r="AP37" s="76"/>
      <c r="AQ37" s="76"/>
      <c r="AR37" s="76"/>
      <c r="AS37" s="76"/>
      <c r="BZ37" s="63" t="str">
        <f t="shared" si="4"/>
        <v>437</v>
      </c>
      <c r="CA37" s="63" t="str">
        <f t="shared" si="1"/>
        <v>537</v>
      </c>
      <c r="CB37" s="63" t="str">
        <f t="shared" si="5"/>
        <v>637</v>
      </c>
      <c r="CC37" s="63" t="str">
        <f t="shared" si="6"/>
        <v>737</v>
      </c>
      <c r="CD37" s="63" t="str">
        <f t="shared" si="7"/>
        <v>837</v>
      </c>
      <c r="CE37" s="63" t="str">
        <f t="shared" si="8"/>
        <v>937</v>
      </c>
      <c r="CF37" s="63" t="str">
        <f t="shared" si="9"/>
        <v>1037</v>
      </c>
      <c r="CG37" s="63" t="str">
        <f t="shared" si="10"/>
        <v>1137</v>
      </c>
      <c r="CH37" s="63" t="str">
        <f t="shared" si="11"/>
        <v>1237</v>
      </c>
      <c r="CI37" s="63" t="str">
        <f t="shared" si="12"/>
        <v>1337</v>
      </c>
      <c r="CJ37" s="63" t="str">
        <f t="shared" si="13"/>
        <v>1437</v>
      </c>
      <c r="CK37" s="63" t="str">
        <f t="shared" si="14"/>
        <v>1537</v>
      </c>
      <c r="CL37" s="63" t="str">
        <f t="shared" si="15"/>
        <v>1637</v>
      </c>
      <c r="CM37" s="63" t="str">
        <f t="shared" si="16"/>
        <v>1737</v>
      </c>
      <c r="CN37" s="63" t="str">
        <f t="shared" si="17"/>
        <v>1837</v>
      </c>
      <c r="CO37" s="63" t="str">
        <f t="shared" si="18"/>
        <v>1937</v>
      </c>
      <c r="CP37" s="63" t="str">
        <f t="shared" si="19"/>
        <v>2037</v>
      </c>
      <c r="CQ37" s="63" t="str">
        <f t="shared" si="20"/>
        <v>2137</v>
      </c>
      <c r="CR37" s="63" t="str">
        <f t="shared" si="21"/>
        <v>2237</v>
      </c>
      <c r="CS37" s="63" t="str">
        <f t="shared" si="22"/>
        <v>2337</v>
      </c>
      <c r="CT37" s="63" t="str">
        <f t="shared" si="23"/>
        <v>2437</v>
      </c>
      <c r="CU37" s="63" t="str">
        <f t="shared" si="24"/>
        <v>2537</v>
      </c>
      <c r="CV37" s="63" t="str">
        <f t="shared" si="25"/>
        <v>2637</v>
      </c>
      <c r="CW37" s="63" t="str">
        <f t="shared" si="26"/>
        <v>2737</v>
      </c>
      <c r="CX37" s="63" t="str">
        <f t="shared" si="27"/>
        <v>2837</v>
      </c>
      <c r="CY37" s="63" t="str">
        <f t="shared" si="28"/>
        <v>2937</v>
      </c>
      <c r="CZ37" s="63" t="str">
        <f t="shared" si="29"/>
        <v>3037</v>
      </c>
      <c r="DA37" s="63" t="str">
        <f t="shared" si="30"/>
        <v>3137</v>
      </c>
      <c r="DB37" s="63" t="str">
        <f t="shared" si="31"/>
        <v>3237</v>
      </c>
      <c r="DD37" s="72" t="s">
        <v>166</v>
      </c>
      <c r="DE37" s="77">
        <f t="shared" si="36"/>
        <v>1.496</v>
      </c>
      <c r="DF37" s="77">
        <f t="shared" si="35"/>
        <v>1.5269999999999999</v>
      </c>
      <c r="DG37" s="77">
        <f t="shared" si="35"/>
        <v>1.5580000000000001</v>
      </c>
      <c r="DH37" s="77">
        <f t="shared" si="35"/>
        <v>1.59</v>
      </c>
      <c r="DI37" s="77">
        <f t="shared" si="35"/>
        <v>1.62</v>
      </c>
      <c r="DJ37" s="77">
        <f t="shared" si="35"/>
        <v>1.647</v>
      </c>
      <c r="DK37" s="77">
        <f t="shared" si="35"/>
        <v>1.6719999999999999</v>
      </c>
      <c r="DL37" s="77">
        <f t="shared" si="35"/>
        <v>1.696</v>
      </c>
      <c r="DM37" s="77">
        <f t="shared" si="35"/>
        <v>1.718</v>
      </c>
      <c r="DN37" s="77">
        <f t="shared" si="35"/>
        <v>1.738</v>
      </c>
      <c r="DO37" s="77">
        <f t="shared" si="35"/>
        <v>1.7569999999999999</v>
      </c>
      <c r="DP37" s="77">
        <f t="shared" si="35"/>
        <v>1.776</v>
      </c>
      <c r="DQ37" s="77">
        <f t="shared" si="35"/>
        <v>1.7969999999999999</v>
      </c>
      <c r="DR37" s="77">
        <f t="shared" si="35"/>
        <v>1.823</v>
      </c>
      <c r="DS37" s="77">
        <f t="shared" si="35"/>
        <v>1.853</v>
      </c>
      <c r="DT37" s="77">
        <f t="shared" si="35"/>
        <v>1.8839999999999999</v>
      </c>
      <c r="DU37" s="77">
        <f t="shared" si="33"/>
        <v>1.913</v>
      </c>
      <c r="DV37" s="77">
        <f t="shared" si="33"/>
        <v>1.9430000000000001</v>
      </c>
      <c r="DW37" s="77">
        <f t="shared" si="33"/>
        <v>1.972</v>
      </c>
      <c r="DX37" s="77">
        <f t="shared" si="33"/>
        <v>2.0009999999999999</v>
      </c>
      <c r="DY37" s="77">
        <f t="shared" si="34"/>
        <v>2.028</v>
      </c>
      <c r="DZ37" s="77">
        <f t="shared" si="34"/>
        <v>2.0529999999999999</v>
      </c>
      <c r="EA37" s="77">
        <f t="shared" si="34"/>
        <v>2.0830000000000002</v>
      </c>
      <c r="EB37" s="77">
        <f t="shared" si="34"/>
        <v>2.109</v>
      </c>
      <c r="EC37" s="77">
        <f t="shared" si="34"/>
        <v>2.1349999999999998</v>
      </c>
      <c r="ED37" s="77">
        <f t="shared" si="34"/>
        <v>2.16</v>
      </c>
      <c r="EE37" s="77">
        <f t="shared" si="34"/>
        <v>2.1840000000000002</v>
      </c>
      <c r="EF37" s="77">
        <f t="shared" si="34"/>
        <v>2.2090000000000001</v>
      </c>
      <c r="EG37" s="77">
        <f t="shared" si="34"/>
        <v>2.2320000000000002</v>
      </c>
    </row>
    <row r="38" spans="1:137" ht="12.6" customHeight="1">
      <c r="A38" s="73">
        <v>38</v>
      </c>
      <c r="B38" s="74">
        <v>1.524</v>
      </c>
      <c r="C38" s="74">
        <v>1.554</v>
      </c>
      <c r="D38" s="74">
        <v>1.5840000000000001</v>
      </c>
      <c r="E38" s="74">
        <v>1.6160000000000001</v>
      </c>
      <c r="F38" s="74">
        <v>1.645</v>
      </c>
      <c r="G38" s="74">
        <v>1.6719999999999999</v>
      </c>
      <c r="H38" s="74">
        <v>1.6970000000000001</v>
      </c>
      <c r="I38" s="74">
        <v>1.7210000000000001</v>
      </c>
      <c r="J38" s="74">
        <v>1.7430000000000001</v>
      </c>
      <c r="K38" s="74">
        <v>1.7630000000000001</v>
      </c>
      <c r="L38" s="74">
        <v>1.7830000000000001</v>
      </c>
      <c r="M38" s="74">
        <v>1.8009999999999999</v>
      </c>
      <c r="N38" s="74">
        <v>1.8240000000000003</v>
      </c>
      <c r="O38" s="74">
        <v>1.8490000000000002</v>
      </c>
      <c r="P38" s="74">
        <v>1.8790000000000004</v>
      </c>
      <c r="Q38" s="74">
        <v>1.9090000000000003</v>
      </c>
      <c r="R38" s="74">
        <v>1.9390000000000001</v>
      </c>
      <c r="S38" s="74">
        <v>1.9680000000000004</v>
      </c>
      <c r="T38" s="74">
        <v>1.9970000000000003</v>
      </c>
      <c r="U38" s="74">
        <v>2.0250000000000004</v>
      </c>
      <c r="V38" s="74">
        <v>2.0530000000000004</v>
      </c>
      <c r="W38" s="74">
        <v>2.08</v>
      </c>
      <c r="X38" s="74">
        <v>2.1070000000000002</v>
      </c>
      <c r="Y38" s="74">
        <v>2.1330000000000005</v>
      </c>
      <c r="Z38" s="74">
        <v>2.1580000000000004</v>
      </c>
      <c r="AA38" s="74">
        <v>2.1840000000000002</v>
      </c>
      <c r="AB38" s="74">
        <v>2.2080000000000002</v>
      </c>
      <c r="AC38" s="74">
        <v>2.2320000000000002</v>
      </c>
      <c r="AD38" s="75">
        <v>2.2550000000000003</v>
      </c>
      <c r="AE38" s="76"/>
      <c r="AF38" s="76"/>
      <c r="AG38" s="76"/>
      <c r="AH38" s="76"/>
      <c r="AI38" s="76"/>
      <c r="AJ38" s="76"/>
      <c r="AK38" s="76"/>
      <c r="AL38" s="76"/>
      <c r="AM38" s="76"/>
      <c r="AN38" s="76"/>
      <c r="AO38" s="76"/>
      <c r="AP38" s="76"/>
      <c r="AQ38" s="76"/>
      <c r="AR38" s="76"/>
      <c r="AS38" s="76"/>
      <c r="BZ38" s="63" t="str">
        <f t="shared" si="4"/>
        <v>438</v>
      </c>
      <c r="CA38" s="63" t="str">
        <f t="shared" si="1"/>
        <v>538</v>
      </c>
      <c r="CB38" s="63" t="str">
        <f t="shared" si="5"/>
        <v>638</v>
      </c>
      <c r="CC38" s="63" t="str">
        <f t="shared" si="6"/>
        <v>738</v>
      </c>
      <c r="CD38" s="63" t="str">
        <f t="shared" si="7"/>
        <v>838</v>
      </c>
      <c r="CE38" s="63" t="str">
        <f t="shared" si="8"/>
        <v>938</v>
      </c>
      <c r="CF38" s="63" t="str">
        <f t="shared" si="9"/>
        <v>1038</v>
      </c>
      <c r="CG38" s="63" t="str">
        <f t="shared" si="10"/>
        <v>1138</v>
      </c>
      <c r="CH38" s="63" t="str">
        <f t="shared" si="11"/>
        <v>1238</v>
      </c>
      <c r="CI38" s="63" t="str">
        <f t="shared" si="12"/>
        <v>1338</v>
      </c>
      <c r="CJ38" s="63" t="str">
        <f t="shared" si="13"/>
        <v>1438</v>
      </c>
      <c r="CK38" s="63" t="str">
        <f t="shared" si="14"/>
        <v>1538</v>
      </c>
      <c r="CL38" s="63" t="str">
        <f t="shared" si="15"/>
        <v>1638</v>
      </c>
      <c r="CM38" s="63" t="str">
        <f t="shared" si="16"/>
        <v>1738</v>
      </c>
      <c r="CN38" s="63" t="str">
        <f t="shared" si="17"/>
        <v>1838</v>
      </c>
      <c r="CO38" s="63" t="str">
        <f t="shared" si="18"/>
        <v>1938</v>
      </c>
      <c r="CP38" s="63" t="str">
        <f t="shared" si="19"/>
        <v>2038</v>
      </c>
      <c r="CQ38" s="63" t="str">
        <f t="shared" si="20"/>
        <v>2138</v>
      </c>
      <c r="CR38" s="63" t="str">
        <f t="shared" si="21"/>
        <v>2238</v>
      </c>
      <c r="CS38" s="63" t="str">
        <f t="shared" si="22"/>
        <v>2338</v>
      </c>
      <c r="CT38" s="63" t="str">
        <f t="shared" si="23"/>
        <v>2438</v>
      </c>
      <c r="CU38" s="63" t="str">
        <f t="shared" si="24"/>
        <v>2538</v>
      </c>
      <c r="CV38" s="63" t="str">
        <f t="shared" si="25"/>
        <v>2638</v>
      </c>
      <c r="CW38" s="63" t="str">
        <f t="shared" si="26"/>
        <v>2738</v>
      </c>
      <c r="CX38" s="63" t="str">
        <f t="shared" si="27"/>
        <v>2838</v>
      </c>
      <c r="CY38" s="63" t="str">
        <f t="shared" si="28"/>
        <v>2938</v>
      </c>
      <c r="CZ38" s="63" t="str">
        <f t="shared" si="29"/>
        <v>3038</v>
      </c>
      <c r="DA38" s="63" t="str">
        <f t="shared" si="30"/>
        <v>3138</v>
      </c>
      <c r="DB38" s="63" t="str">
        <f t="shared" si="31"/>
        <v>3238</v>
      </c>
      <c r="DD38" s="72" t="s">
        <v>167</v>
      </c>
      <c r="DE38" s="77">
        <f t="shared" si="36"/>
        <v>1.524</v>
      </c>
      <c r="DF38" s="77">
        <f t="shared" si="35"/>
        <v>1.554</v>
      </c>
      <c r="DG38" s="77">
        <f t="shared" si="35"/>
        <v>1.5840000000000001</v>
      </c>
      <c r="DH38" s="77">
        <f t="shared" si="35"/>
        <v>1.6160000000000001</v>
      </c>
      <c r="DI38" s="77">
        <f t="shared" si="35"/>
        <v>1.645</v>
      </c>
      <c r="DJ38" s="77">
        <f t="shared" si="35"/>
        <v>1.6719999999999999</v>
      </c>
      <c r="DK38" s="77">
        <f t="shared" si="35"/>
        <v>1.6970000000000001</v>
      </c>
      <c r="DL38" s="77">
        <f t="shared" si="35"/>
        <v>1.7210000000000001</v>
      </c>
      <c r="DM38" s="77">
        <f t="shared" si="35"/>
        <v>1.7430000000000001</v>
      </c>
      <c r="DN38" s="77">
        <f t="shared" si="35"/>
        <v>1.7629999999999999</v>
      </c>
      <c r="DO38" s="77">
        <f t="shared" si="35"/>
        <v>1.7829999999999999</v>
      </c>
      <c r="DP38" s="77">
        <f t="shared" si="35"/>
        <v>1.8009999999999999</v>
      </c>
      <c r="DQ38" s="77">
        <f t="shared" si="35"/>
        <v>1.8240000000000001</v>
      </c>
      <c r="DR38" s="77">
        <f t="shared" si="35"/>
        <v>1.849</v>
      </c>
      <c r="DS38" s="77">
        <f t="shared" si="35"/>
        <v>1.879</v>
      </c>
      <c r="DT38" s="77">
        <f t="shared" si="35"/>
        <v>1.909</v>
      </c>
      <c r="DU38" s="77">
        <f t="shared" si="33"/>
        <v>1.9390000000000001</v>
      </c>
      <c r="DV38" s="77">
        <f t="shared" si="33"/>
        <v>1.968</v>
      </c>
      <c r="DW38" s="77">
        <f t="shared" si="33"/>
        <v>1.9970000000000001</v>
      </c>
      <c r="DX38" s="77">
        <f t="shared" si="33"/>
        <v>2.0249999999999999</v>
      </c>
      <c r="DY38" s="77">
        <f t="shared" si="34"/>
        <v>2.0529999999999999</v>
      </c>
      <c r="DZ38" s="77">
        <f t="shared" si="34"/>
        <v>2.08</v>
      </c>
      <c r="EA38" s="77">
        <f t="shared" si="34"/>
        <v>2.1070000000000002</v>
      </c>
      <c r="EB38" s="77">
        <f t="shared" si="34"/>
        <v>2.133</v>
      </c>
      <c r="EC38" s="77">
        <f t="shared" si="34"/>
        <v>2.1579999999999999</v>
      </c>
      <c r="ED38" s="77">
        <f t="shared" si="34"/>
        <v>2.1840000000000002</v>
      </c>
      <c r="EE38" s="77">
        <f t="shared" si="34"/>
        <v>2.2080000000000002</v>
      </c>
      <c r="EF38" s="77">
        <f t="shared" si="34"/>
        <v>2.2320000000000002</v>
      </c>
      <c r="EG38" s="77">
        <f t="shared" si="34"/>
        <v>2.2549999999999999</v>
      </c>
    </row>
    <row r="39" spans="1:137" ht="12.6" customHeight="1">
      <c r="A39" s="73">
        <v>39</v>
      </c>
      <c r="B39" s="74">
        <v>1.5289999999999999</v>
      </c>
      <c r="C39" s="74">
        <v>1.5589999999999999</v>
      </c>
      <c r="D39" s="74">
        <v>1.589</v>
      </c>
      <c r="E39" s="74">
        <v>1.621</v>
      </c>
      <c r="F39" s="74">
        <v>1.65</v>
      </c>
      <c r="G39" s="74">
        <v>1.6759999999999999</v>
      </c>
      <c r="H39" s="74">
        <v>1.702</v>
      </c>
      <c r="I39" s="74">
        <v>1.7250000000000001</v>
      </c>
      <c r="J39" s="74">
        <v>1.748</v>
      </c>
      <c r="K39" s="74">
        <v>1.7689999999999999</v>
      </c>
      <c r="L39" s="74">
        <v>1.788</v>
      </c>
      <c r="M39" s="74">
        <v>1.8070000000000004</v>
      </c>
      <c r="N39" s="74">
        <v>1.8290000000000002</v>
      </c>
      <c r="O39" s="74">
        <v>1.8550000000000004</v>
      </c>
      <c r="P39" s="74">
        <v>1.8850000000000002</v>
      </c>
      <c r="Q39" s="74">
        <v>1.915</v>
      </c>
      <c r="R39" s="74">
        <v>1.9440000000000004</v>
      </c>
      <c r="S39" s="74">
        <v>1.9730000000000003</v>
      </c>
      <c r="T39" s="74">
        <v>2.0020000000000002</v>
      </c>
      <c r="U39" s="74">
        <v>2.0300000000000002</v>
      </c>
      <c r="V39" s="74">
        <v>2.0570000000000004</v>
      </c>
      <c r="W39" s="74">
        <v>2.081</v>
      </c>
      <c r="X39" s="74">
        <v>2.1110000000000002</v>
      </c>
      <c r="Y39" s="74">
        <v>2.1360000000000001</v>
      </c>
      <c r="Z39" s="74">
        <v>2.1620000000000004</v>
      </c>
      <c r="AA39" s="74">
        <v>2.1870000000000003</v>
      </c>
      <c r="AB39" s="74">
        <v>2.2110000000000003</v>
      </c>
      <c r="AC39" s="74">
        <v>2.2350000000000003</v>
      </c>
      <c r="AD39" s="75">
        <v>2.2590000000000003</v>
      </c>
      <c r="AE39" s="76"/>
      <c r="AF39" s="76"/>
      <c r="AG39" s="76"/>
      <c r="AH39" s="76"/>
      <c r="AI39" s="76"/>
      <c r="AJ39" s="76"/>
      <c r="AK39" s="76"/>
      <c r="AL39" s="76"/>
      <c r="AM39" s="76"/>
      <c r="AN39" s="76"/>
      <c r="AO39" s="76"/>
      <c r="AP39" s="76"/>
      <c r="AQ39" s="76"/>
      <c r="AR39" s="76"/>
      <c r="AS39" s="76"/>
      <c r="BZ39" s="63" t="str">
        <f t="shared" si="4"/>
        <v>439</v>
      </c>
      <c r="CA39" s="63" t="str">
        <f t="shared" si="1"/>
        <v>539</v>
      </c>
      <c r="CB39" s="63" t="str">
        <f t="shared" si="5"/>
        <v>639</v>
      </c>
      <c r="CC39" s="63" t="str">
        <f t="shared" si="6"/>
        <v>739</v>
      </c>
      <c r="CD39" s="63" t="str">
        <f t="shared" si="7"/>
        <v>839</v>
      </c>
      <c r="CE39" s="63" t="str">
        <f t="shared" si="8"/>
        <v>939</v>
      </c>
      <c r="CF39" s="63" t="str">
        <f t="shared" si="9"/>
        <v>1039</v>
      </c>
      <c r="CG39" s="63" t="str">
        <f t="shared" si="10"/>
        <v>1139</v>
      </c>
      <c r="CH39" s="63" t="str">
        <f t="shared" si="11"/>
        <v>1239</v>
      </c>
      <c r="CI39" s="63" t="str">
        <f t="shared" si="12"/>
        <v>1339</v>
      </c>
      <c r="CJ39" s="63" t="str">
        <f t="shared" si="13"/>
        <v>1439</v>
      </c>
      <c r="CK39" s="63" t="str">
        <f t="shared" si="14"/>
        <v>1539</v>
      </c>
      <c r="CL39" s="63" t="str">
        <f t="shared" si="15"/>
        <v>1639</v>
      </c>
      <c r="CM39" s="63" t="str">
        <f t="shared" si="16"/>
        <v>1739</v>
      </c>
      <c r="CN39" s="63" t="str">
        <f t="shared" si="17"/>
        <v>1839</v>
      </c>
      <c r="CO39" s="63" t="str">
        <f t="shared" si="18"/>
        <v>1939</v>
      </c>
      <c r="CP39" s="63" t="str">
        <f t="shared" si="19"/>
        <v>2039</v>
      </c>
      <c r="CQ39" s="63" t="str">
        <f t="shared" si="20"/>
        <v>2139</v>
      </c>
      <c r="CR39" s="63" t="str">
        <f t="shared" si="21"/>
        <v>2239</v>
      </c>
      <c r="CS39" s="63" t="str">
        <f t="shared" si="22"/>
        <v>2339</v>
      </c>
      <c r="CT39" s="63" t="str">
        <f t="shared" si="23"/>
        <v>2439</v>
      </c>
      <c r="CU39" s="63" t="str">
        <f t="shared" si="24"/>
        <v>2539</v>
      </c>
      <c r="CV39" s="63" t="str">
        <f t="shared" si="25"/>
        <v>2639</v>
      </c>
      <c r="CW39" s="63" t="str">
        <f t="shared" si="26"/>
        <v>2739</v>
      </c>
      <c r="CX39" s="63" t="str">
        <f t="shared" si="27"/>
        <v>2839</v>
      </c>
      <c r="CY39" s="63" t="str">
        <f t="shared" si="28"/>
        <v>2939</v>
      </c>
      <c r="CZ39" s="63" t="str">
        <f t="shared" si="29"/>
        <v>3039</v>
      </c>
      <c r="DA39" s="63" t="str">
        <f t="shared" si="30"/>
        <v>3139</v>
      </c>
      <c r="DB39" s="63" t="str">
        <f t="shared" si="31"/>
        <v>3239</v>
      </c>
      <c r="DD39" s="72" t="s">
        <v>168</v>
      </c>
      <c r="DE39" s="77">
        <f t="shared" si="36"/>
        <v>1.5289999999999999</v>
      </c>
      <c r="DF39" s="77">
        <f t="shared" si="35"/>
        <v>1.5589999999999999</v>
      </c>
      <c r="DG39" s="77">
        <f t="shared" si="35"/>
        <v>1.589</v>
      </c>
      <c r="DH39" s="77">
        <f t="shared" si="35"/>
        <v>1.621</v>
      </c>
      <c r="DI39" s="77">
        <f t="shared" si="35"/>
        <v>1.65</v>
      </c>
      <c r="DJ39" s="77">
        <f t="shared" si="35"/>
        <v>1.6759999999999999</v>
      </c>
      <c r="DK39" s="77">
        <f t="shared" si="35"/>
        <v>1.702</v>
      </c>
      <c r="DL39" s="77">
        <f t="shared" si="35"/>
        <v>1.7250000000000001</v>
      </c>
      <c r="DM39" s="77">
        <f t="shared" si="35"/>
        <v>1.748</v>
      </c>
      <c r="DN39" s="77">
        <f t="shared" si="35"/>
        <v>1.7689999999999999</v>
      </c>
      <c r="DO39" s="77">
        <f t="shared" si="35"/>
        <v>1.788</v>
      </c>
      <c r="DP39" s="77">
        <f t="shared" si="35"/>
        <v>1.8069999999999999</v>
      </c>
      <c r="DQ39" s="77">
        <f t="shared" si="35"/>
        <v>1.829</v>
      </c>
      <c r="DR39" s="77">
        <f t="shared" si="35"/>
        <v>1.855</v>
      </c>
      <c r="DS39" s="77">
        <f t="shared" si="35"/>
        <v>1.885</v>
      </c>
      <c r="DT39" s="77">
        <f t="shared" si="35"/>
        <v>1.915</v>
      </c>
      <c r="DU39" s="77">
        <f t="shared" si="33"/>
        <v>1.944</v>
      </c>
      <c r="DV39" s="77">
        <f t="shared" si="33"/>
        <v>1.9730000000000001</v>
      </c>
      <c r="DW39" s="77">
        <f t="shared" si="33"/>
        <v>2.0019999999999998</v>
      </c>
      <c r="DX39" s="77">
        <f t="shared" si="33"/>
        <v>2.0299999999999998</v>
      </c>
      <c r="DY39" s="77">
        <f t="shared" si="34"/>
        <v>2.0569999999999999</v>
      </c>
      <c r="DZ39" s="77">
        <f t="shared" si="34"/>
        <v>2.081</v>
      </c>
      <c r="EA39" s="77">
        <f t="shared" si="34"/>
        <v>2.1110000000000002</v>
      </c>
      <c r="EB39" s="77">
        <f t="shared" si="34"/>
        <v>2.1360000000000001</v>
      </c>
      <c r="EC39" s="77">
        <f t="shared" si="34"/>
        <v>2.1619999999999999</v>
      </c>
      <c r="ED39" s="77">
        <f t="shared" si="34"/>
        <v>2.1869999999999998</v>
      </c>
      <c r="EE39" s="77">
        <f t="shared" si="34"/>
        <v>2.2109999999999999</v>
      </c>
      <c r="EF39" s="77">
        <f t="shared" si="34"/>
        <v>2.2349999999999999</v>
      </c>
      <c r="EG39" s="77">
        <f t="shared" si="34"/>
        <v>2.2589999999999999</v>
      </c>
    </row>
    <row r="40" spans="1:137" ht="12.6" customHeight="1">
      <c r="A40" s="73">
        <v>40</v>
      </c>
      <c r="B40" s="74">
        <v>1.534</v>
      </c>
      <c r="C40" s="74">
        <v>1.5640000000000001</v>
      </c>
      <c r="D40" s="74">
        <v>1.5940000000000001</v>
      </c>
      <c r="E40" s="74">
        <v>1.6259999999999999</v>
      </c>
      <c r="F40" s="74">
        <v>1.655</v>
      </c>
      <c r="G40" s="74">
        <v>1.681</v>
      </c>
      <c r="H40" s="74">
        <v>1.7070000000000001</v>
      </c>
      <c r="I40" s="74">
        <v>1.7299999999999998</v>
      </c>
      <c r="J40" s="74">
        <v>1.7529999999999999</v>
      </c>
      <c r="K40" s="74">
        <v>1.774</v>
      </c>
      <c r="L40" s="74">
        <v>1.794</v>
      </c>
      <c r="M40" s="74">
        <v>1.8130000000000002</v>
      </c>
      <c r="N40" s="74">
        <v>1.8350000000000004</v>
      </c>
      <c r="O40" s="74">
        <v>1.8560000000000003</v>
      </c>
      <c r="P40" s="74">
        <v>1.8900000000000001</v>
      </c>
      <c r="Q40" s="74">
        <v>1.9200000000000004</v>
      </c>
      <c r="R40" s="74">
        <v>1.9490000000000003</v>
      </c>
      <c r="S40" s="74">
        <v>1.9780000000000002</v>
      </c>
      <c r="T40" s="74">
        <v>2.0070000000000001</v>
      </c>
      <c r="U40" s="74">
        <v>2.0350000000000001</v>
      </c>
      <c r="V40" s="74">
        <v>2.0620000000000003</v>
      </c>
      <c r="W40" s="74">
        <v>2.0819999999999999</v>
      </c>
      <c r="X40" s="74">
        <v>2.1150000000000002</v>
      </c>
      <c r="Y40" s="74">
        <v>2.1440000000000001</v>
      </c>
      <c r="Z40" s="74">
        <v>2.1660000000000004</v>
      </c>
      <c r="AA40" s="74">
        <v>2.1910000000000003</v>
      </c>
      <c r="AB40" s="74">
        <v>2.2150000000000003</v>
      </c>
      <c r="AC40" s="74">
        <v>2.2390000000000003</v>
      </c>
      <c r="AD40" s="75">
        <v>2.2630000000000003</v>
      </c>
      <c r="AE40" s="76"/>
      <c r="AF40" s="76"/>
      <c r="AG40" s="76"/>
      <c r="AH40" s="76"/>
      <c r="AI40" s="76"/>
      <c r="AJ40" s="76"/>
      <c r="AK40" s="76"/>
      <c r="AL40" s="76"/>
      <c r="AM40" s="76"/>
      <c r="AN40" s="76"/>
      <c r="AO40" s="76"/>
      <c r="AP40" s="76"/>
      <c r="AQ40" s="76"/>
      <c r="AR40" s="76"/>
      <c r="AS40" s="76"/>
      <c r="BZ40" s="63" t="str">
        <f t="shared" si="4"/>
        <v>440</v>
      </c>
      <c r="CA40" s="63" t="str">
        <f t="shared" si="1"/>
        <v>540</v>
      </c>
      <c r="CB40" s="63" t="str">
        <f t="shared" si="5"/>
        <v>640</v>
      </c>
      <c r="CC40" s="63" t="str">
        <f t="shared" si="6"/>
        <v>740</v>
      </c>
      <c r="CD40" s="63" t="str">
        <f t="shared" si="7"/>
        <v>840</v>
      </c>
      <c r="CE40" s="63" t="str">
        <f t="shared" si="8"/>
        <v>940</v>
      </c>
      <c r="CF40" s="63" t="str">
        <f t="shared" si="9"/>
        <v>1040</v>
      </c>
      <c r="CG40" s="63" t="str">
        <f t="shared" si="10"/>
        <v>1140</v>
      </c>
      <c r="CH40" s="63" t="str">
        <f t="shared" si="11"/>
        <v>1240</v>
      </c>
      <c r="CI40" s="63" t="str">
        <f t="shared" si="12"/>
        <v>1340</v>
      </c>
      <c r="CJ40" s="63" t="str">
        <f t="shared" si="13"/>
        <v>1440</v>
      </c>
      <c r="CK40" s="63" t="str">
        <f t="shared" si="14"/>
        <v>1540</v>
      </c>
      <c r="CL40" s="63" t="str">
        <f t="shared" si="15"/>
        <v>1640</v>
      </c>
      <c r="CM40" s="63" t="str">
        <f t="shared" si="16"/>
        <v>1740</v>
      </c>
      <c r="CN40" s="63" t="str">
        <f t="shared" si="17"/>
        <v>1840</v>
      </c>
      <c r="CO40" s="63" t="str">
        <f t="shared" si="18"/>
        <v>1940</v>
      </c>
      <c r="CP40" s="63" t="str">
        <f t="shared" si="19"/>
        <v>2040</v>
      </c>
      <c r="CQ40" s="63" t="str">
        <f t="shared" si="20"/>
        <v>2140</v>
      </c>
      <c r="CR40" s="63" t="str">
        <f t="shared" si="21"/>
        <v>2240</v>
      </c>
      <c r="CS40" s="63" t="str">
        <f t="shared" si="22"/>
        <v>2340</v>
      </c>
      <c r="CT40" s="63" t="str">
        <f t="shared" si="23"/>
        <v>2440</v>
      </c>
      <c r="CU40" s="63" t="str">
        <f t="shared" si="24"/>
        <v>2540</v>
      </c>
      <c r="CV40" s="63" t="str">
        <f t="shared" si="25"/>
        <v>2640</v>
      </c>
      <c r="CW40" s="63" t="str">
        <f t="shared" si="26"/>
        <v>2740</v>
      </c>
      <c r="CX40" s="63" t="str">
        <f t="shared" si="27"/>
        <v>2840</v>
      </c>
      <c r="CY40" s="63" t="str">
        <f t="shared" si="28"/>
        <v>2940</v>
      </c>
      <c r="CZ40" s="63" t="str">
        <f t="shared" si="29"/>
        <v>3040</v>
      </c>
      <c r="DA40" s="63" t="str">
        <f t="shared" si="30"/>
        <v>3140</v>
      </c>
      <c r="DB40" s="63" t="str">
        <f t="shared" si="31"/>
        <v>3240</v>
      </c>
      <c r="DD40" s="72" t="s">
        <v>169</v>
      </c>
      <c r="DE40" s="77">
        <f t="shared" si="36"/>
        <v>1.534</v>
      </c>
      <c r="DF40" s="77">
        <f t="shared" si="35"/>
        <v>1.5640000000000001</v>
      </c>
      <c r="DG40" s="77">
        <f t="shared" si="35"/>
        <v>1.5940000000000001</v>
      </c>
      <c r="DH40" s="77">
        <f t="shared" si="35"/>
        <v>1.6259999999999999</v>
      </c>
      <c r="DI40" s="77">
        <f t="shared" si="35"/>
        <v>1.655</v>
      </c>
      <c r="DJ40" s="77">
        <f t="shared" si="35"/>
        <v>1.681</v>
      </c>
      <c r="DK40" s="77">
        <f t="shared" si="35"/>
        <v>1.7070000000000001</v>
      </c>
      <c r="DL40" s="77">
        <f t="shared" si="35"/>
        <v>1.73</v>
      </c>
      <c r="DM40" s="77">
        <f t="shared" si="35"/>
        <v>1.7529999999999999</v>
      </c>
      <c r="DN40" s="77">
        <f t="shared" si="35"/>
        <v>1.774</v>
      </c>
      <c r="DO40" s="77">
        <f t="shared" si="35"/>
        <v>1.794</v>
      </c>
      <c r="DP40" s="77">
        <f t="shared" si="35"/>
        <v>1.8129999999999999</v>
      </c>
      <c r="DQ40" s="77">
        <f t="shared" si="35"/>
        <v>1.835</v>
      </c>
      <c r="DR40" s="77">
        <f t="shared" si="35"/>
        <v>1.8560000000000001</v>
      </c>
      <c r="DS40" s="77">
        <f t="shared" si="35"/>
        <v>1.89</v>
      </c>
      <c r="DT40" s="77">
        <f t="shared" si="35"/>
        <v>1.92</v>
      </c>
      <c r="DU40" s="77">
        <f t="shared" si="33"/>
        <v>1.9490000000000001</v>
      </c>
      <c r="DV40" s="77">
        <f t="shared" si="33"/>
        <v>1.978</v>
      </c>
      <c r="DW40" s="77">
        <f t="shared" si="33"/>
        <v>2.0070000000000001</v>
      </c>
      <c r="DX40" s="77">
        <f t="shared" si="33"/>
        <v>2.0350000000000001</v>
      </c>
      <c r="DY40" s="77">
        <f t="shared" si="34"/>
        <v>2.0619999999999998</v>
      </c>
      <c r="DZ40" s="77">
        <f t="shared" si="34"/>
        <v>2.0819999999999999</v>
      </c>
      <c r="EA40" s="77">
        <f t="shared" si="34"/>
        <v>2.1150000000000002</v>
      </c>
      <c r="EB40" s="77">
        <f t="shared" si="34"/>
        <v>2.1440000000000001</v>
      </c>
      <c r="EC40" s="77">
        <f t="shared" si="34"/>
        <v>2.1659999999999999</v>
      </c>
      <c r="ED40" s="77">
        <f t="shared" si="34"/>
        <v>2.1909999999999998</v>
      </c>
      <c r="EE40" s="77">
        <f t="shared" si="34"/>
        <v>2.2149999999999999</v>
      </c>
      <c r="EF40" s="77">
        <f t="shared" si="34"/>
        <v>2.2389999999999999</v>
      </c>
      <c r="EG40" s="77">
        <f t="shared" si="34"/>
        <v>2.2629999999999999</v>
      </c>
    </row>
    <row r="41" spans="1:137" ht="12.6" customHeight="1">
      <c r="A41" s="73">
        <v>41</v>
      </c>
      <c r="B41" s="74">
        <v>1.54</v>
      </c>
      <c r="C41" s="74">
        <v>1.57</v>
      </c>
      <c r="D41" s="74">
        <v>1.5999999999999999</v>
      </c>
      <c r="E41" s="74">
        <v>1.631</v>
      </c>
      <c r="F41" s="74">
        <v>1.66</v>
      </c>
      <c r="G41" s="74">
        <v>1.6859999999999999</v>
      </c>
      <c r="H41" s="74">
        <v>1.712</v>
      </c>
      <c r="I41" s="74">
        <v>1.7350000000000001</v>
      </c>
      <c r="J41" s="74">
        <v>1.7579999999999998</v>
      </c>
      <c r="K41" s="74">
        <v>1.7790000000000004</v>
      </c>
      <c r="L41" s="74">
        <v>1.7990000000000004</v>
      </c>
      <c r="M41" s="74">
        <v>1.8180000000000001</v>
      </c>
      <c r="N41" s="74">
        <v>1.8410000000000002</v>
      </c>
      <c r="O41" s="74">
        <v>1.8570000000000002</v>
      </c>
      <c r="P41" s="74">
        <v>1.8960000000000004</v>
      </c>
      <c r="Q41" s="74">
        <v>1.9260000000000002</v>
      </c>
      <c r="R41" s="74">
        <v>1.9550000000000001</v>
      </c>
      <c r="S41" s="74">
        <v>1.9830000000000001</v>
      </c>
      <c r="T41" s="74">
        <v>2.012</v>
      </c>
      <c r="U41" s="74">
        <v>2.0390000000000001</v>
      </c>
      <c r="V41" s="74">
        <v>2.0660000000000003</v>
      </c>
      <c r="W41" s="74">
        <v>2.0830000000000002</v>
      </c>
      <c r="X41" s="74">
        <v>2.1190000000000002</v>
      </c>
      <c r="Y41" s="74">
        <v>2.145</v>
      </c>
      <c r="Z41" s="74">
        <v>2.1700000000000004</v>
      </c>
      <c r="AA41" s="74">
        <v>2.1950000000000003</v>
      </c>
      <c r="AB41" s="74">
        <v>2.2190000000000003</v>
      </c>
      <c r="AC41" s="74">
        <v>2.2430000000000003</v>
      </c>
      <c r="AD41" s="75">
        <v>2.2670000000000003</v>
      </c>
      <c r="AE41" s="76"/>
      <c r="AF41" s="76"/>
      <c r="AG41" s="76"/>
      <c r="AH41" s="76"/>
      <c r="AI41" s="76"/>
      <c r="AJ41" s="76"/>
      <c r="AK41" s="76"/>
      <c r="AL41" s="76"/>
      <c r="AM41" s="76"/>
      <c r="AN41" s="76"/>
      <c r="AO41" s="76"/>
      <c r="AP41" s="76"/>
      <c r="AQ41" s="76"/>
      <c r="AR41" s="76"/>
      <c r="AS41" s="76"/>
      <c r="BZ41" s="63" t="str">
        <f t="shared" si="4"/>
        <v>441</v>
      </c>
      <c r="CA41" s="63" t="str">
        <f t="shared" si="1"/>
        <v>541</v>
      </c>
      <c r="CB41" s="63" t="str">
        <f t="shared" si="5"/>
        <v>641</v>
      </c>
      <c r="CC41" s="63" t="str">
        <f t="shared" si="6"/>
        <v>741</v>
      </c>
      <c r="CD41" s="63" t="str">
        <f t="shared" si="7"/>
        <v>841</v>
      </c>
      <c r="CE41" s="63" t="str">
        <f t="shared" si="8"/>
        <v>941</v>
      </c>
      <c r="CF41" s="63" t="str">
        <f t="shared" si="9"/>
        <v>1041</v>
      </c>
      <c r="CG41" s="63" t="str">
        <f t="shared" si="10"/>
        <v>1141</v>
      </c>
      <c r="CH41" s="63" t="str">
        <f t="shared" si="11"/>
        <v>1241</v>
      </c>
      <c r="CI41" s="63" t="str">
        <f t="shared" si="12"/>
        <v>1341</v>
      </c>
      <c r="CJ41" s="63" t="str">
        <f t="shared" si="13"/>
        <v>1441</v>
      </c>
      <c r="CK41" s="63" t="str">
        <f t="shared" si="14"/>
        <v>1541</v>
      </c>
      <c r="CL41" s="63" t="str">
        <f t="shared" si="15"/>
        <v>1641</v>
      </c>
      <c r="CM41" s="63" t="str">
        <f t="shared" si="16"/>
        <v>1741</v>
      </c>
      <c r="CN41" s="63" t="str">
        <f t="shared" si="17"/>
        <v>1841</v>
      </c>
      <c r="CO41" s="63" t="str">
        <f t="shared" si="18"/>
        <v>1941</v>
      </c>
      <c r="CP41" s="63" t="str">
        <f t="shared" si="19"/>
        <v>2041</v>
      </c>
      <c r="CQ41" s="63" t="str">
        <f t="shared" si="20"/>
        <v>2141</v>
      </c>
      <c r="CR41" s="63" t="str">
        <f t="shared" si="21"/>
        <v>2241</v>
      </c>
      <c r="CS41" s="63" t="str">
        <f t="shared" si="22"/>
        <v>2341</v>
      </c>
      <c r="CT41" s="63" t="str">
        <f t="shared" si="23"/>
        <v>2441</v>
      </c>
      <c r="CU41" s="63" t="str">
        <f t="shared" si="24"/>
        <v>2541</v>
      </c>
      <c r="CV41" s="63" t="str">
        <f t="shared" si="25"/>
        <v>2641</v>
      </c>
      <c r="CW41" s="63" t="str">
        <f t="shared" si="26"/>
        <v>2741</v>
      </c>
      <c r="CX41" s="63" t="str">
        <f t="shared" si="27"/>
        <v>2841</v>
      </c>
      <c r="CY41" s="63" t="str">
        <f t="shared" si="28"/>
        <v>2941</v>
      </c>
      <c r="CZ41" s="63" t="str">
        <f t="shared" si="29"/>
        <v>3041</v>
      </c>
      <c r="DA41" s="63" t="str">
        <f t="shared" si="30"/>
        <v>3141</v>
      </c>
      <c r="DB41" s="63" t="str">
        <f t="shared" si="31"/>
        <v>3241</v>
      </c>
      <c r="DD41" s="72" t="s">
        <v>170</v>
      </c>
      <c r="DE41" s="77">
        <f t="shared" si="36"/>
        <v>1.54</v>
      </c>
      <c r="DF41" s="77">
        <f t="shared" si="35"/>
        <v>1.57</v>
      </c>
      <c r="DG41" s="77">
        <f t="shared" si="35"/>
        <v>1.6</v>
      </c>
      <c r="DH41" s="77">
        <f t="shared" si="35"/>
        <v>1.631</v>
      </c>
      <c r="DI41" s="77">
        <f t="shared" si="35"/>
        <v>1.66</v>
      </c>
      <c r="DJ41" s="77">
        <f t="shared" si="35"/>
        <v>1.6859999999999999</v>
      </c>
      <c r="DK41" s="77">
        <f t="shared" si="35"/>
        <v>1.712</v>
      </c>
      <c r="DL41" s="77">
        <f t="shared" si="35"/>
        <v>1.7350000000000001</v>
      </c>
      <c r="DM41" s="77">
        <f t="shared" si="35"/>
        <v>1.758</v>
      </c>
      <c r="DN41" s="77">
        <f t="shared" si="35"/>
        <v>1.7789999999999999</v>
      </c>
      <c r="DO41" s="77">
        <f t="shared" si="35"/>
        <v>1.7989999999999999</v>
      </c>
      <c r="DP41" s="77">
        <f t="shared" si="35"/>
        <v>1.8180000000000001</v>
      </c>
      <c r="DQ41" s="77">
        <f t="shared" si="35"/>
        <v>1.841</v>
      </c>
      <c r="DR41" s="77">
        <f t="shared" si="35"/>
        <v>1.857</v>
      </c>
      <c r="DS41" s="77">
        <f t="shared" si="35"/>
        <v>1.8959999999999999</v>
      </c>
      <c r="DT41" s="77">
        <f t="shared" si="35"/>
        <v>1.9259999999999999</v>
      </c>
      <c r="DU41" s="77">
        <f t="shared" si="33"/>
        <v>1.9550000000000001</v>
      </c>
      <c r="DV41" s="77">
        <f t="shared" si="33"/>
        <v>1.9830000000000001</v>
      </c>
      <c r="DW41" s="77">
        <f t="shared" si="33"/>
        <v>2.012</v>
      </c>
      <c r="DX41" s="77">
        <f t="shared" si="33"/>
        <v>2.0390000000000001</v>
      </c>
      <c r="DY41" s="77">
        <f t="shared" si="34"/>
        <v>2.0659999999999998</v>
      </c>
      <c r="DZ41" s="77">
        <f t="shared" si="34"/>
        <v>2.0830000000000002</v>
      </c>
      <c r="EA41" s="77">
        <f t="shared" si="34"/>
        <v>2.1190000000000002</v>
      </c>
      <c r="EB41" s="77">
        <f t="shared" si="34"/>
        <v>2.145</v>
      </c>
      <c r="EC41" s="77">
        <f t="shared" si="34"/>
        <v>2.17</v>
      </c>
      <c r="ED41" s="77">
        <f t="shared" si="34"/>
        <v>2.1949999999999998</v>
      </c>
      <c r="EE41" s="77">
        <f t="shared" si="34"/>
        <v>2.2189999999999999</v>
      </c>
      <c r="EF41" s="77">
        <f t="shared" si="34"/>
        <v>2.2429999999999999</v>
      </c>
      <c r="EG41" s="77">
        <f t="shared" si="34"/>
        <v>2.2669999999999999</v>
      </c>
    </row>
    <row r="42" spans="1:137" ht="12.6" customHeight="1">
      <c r="A42" s="73">
        <v>42</v>
      </c>
      <c r="B42" s="74">
        <v>1.5649999999999999</v>
      </c>
      <c r="C42" s="74">
        <v>1.595</v>
      </c>
      <c r="D42" s="74">
        <v>1.625</v>
      </c>
      <c r="E42" s="74">
        <v>1.6559999999999999</v>
      </c>
      <c r="F42" s="74">
        <v>1.6850000000000001</v>
      </c>
      <c r="G42" s="74">
        <v>1.7110000000000001</v>
      </c>
      <c r="H42" s="74">
        <v>1.7369999999999999</v>
      </c>
      <c r="I42" s="74">
        <v>1.76</v>
      </c>
      <c r="J42" s="74">
        <v>1.7830000000000004</v>
      </c>
      <c r="K42" s="74">
        <v>1.8040000000000003</v>
      </c>
      <c r="L42" s="74">
        <v>1.8240000000000003</v>
      </c>
      <c r="M42" s="74">
        <v>1.8440000000000003</v>
      </c>
      <c r="N42" s="74">
        <v>1.867</v>
      </c>
      <c r="O42" s="74">
        <v>1.8920000000000003</v>
      </c>
      <c r="P42" s="74">
        <v>1.9220000000000002</v>
      </c>
      <c r="Q42" s="74">
        <v>1.9510000000000001</v>
      </c>
      <c r="R42" s="74">
        <v>1.98</v>
      </c>
      <c r="S42" s="74">
        <v>2.008</v>
      </c>
      <c r="T42" s="74">
        <v>2.0370000000000004</v>
      </c>
      <c r="U42" s="74">
        <v>2.0640000000000001</v>
      </c>
      <c r="V42" s="74">
        <v>2.0910000000000002</v>
      </c>
      <c r="W42" s="74">
        <v>2.1180000000000003</v>
      </c>
      <c r="X42" s="74">
        <v>2.1440000000000001</v>
      </c>
      <c r="Y42" s="74">
        <v>2.169</v>
      </c>
      <c r="Z42" s="74">
        <v>2.1940000000000004</v>
      </c>
      <c r="AA42" s="74">
        <v>2.2190000000000003</v>
      </c>
      <c r="AB42" s="74">
        <v>2.246</v>
      </c>
      <c r="AC42" s="74">
        <v>2.2670000000000003</v>
      </c>
      <c r="AD42" s="75">
        <v>2.2910000000000004</v>
      </c>
      <c r="AE42" s="76"/>
      <c r="AF42" s="76"/>
      <c r="AG42" s="76"/>
      <c r="AH42" s="76"/>
      <c r="AI42" s="76"/>
      <c r="AJ42" s="76"/>
      <c r="AK42" s="76"/>
      <c r="AL42" s="76"/>
      <c r="AM42" s="76"/>
      <c r="AN42" s="76"/>
      <c r="AO42" s="76"/>
      <c r="AP42" s="76"/>
      <c r="AQ42" s="76"/>
      <c r="AR42" s="76"/>
      <c r="AS42" s="76"/>
      <c r="BZ42" s="63" t="str">
        <f t="shared" si="4"/>
        <v>442</v>
      </c>
      <c r="CA42" s="63" t="str">
        <f t="shared" si="1"/>
        <v>542</v>
      </c>
      <c r="CB42" s="63" t="str">
        <f t="shared" si="5"/>
        <v>642</v>
      </c>
      <c r="CC42" s="63" t="str">
        <f t="shared" si="6"/>
        <v>742</v>
      </c>
      <c r="CD42" s="63" t="str">
        <f t="shared" si="7"/>
        <v>842</v>
      </c>
      <c r="CE42" s="63" t="str">
        <f t="shared" si="8"/>
        <v>942</v>
      </c>
      <c r="CF42" s="63" t="str">
        <f t="shared" si="9"/>
        <v>1042</v>
      </c>
      <c r="CG42" s="63" t="str">
        <f t="shared" si="10"/>
        <v>1142</v>
      </c>
      <c r="CH42" s="63" t="str">
        <f t="shared" si="11"/>
        <v>1242</v>
      </c>
      <c r="CI42" s="63" t="str">
        <f t="shared" si="12"/>
        <v>1342</v>
      </c>
      <c r="CJ42" s="63" t="str">
        <f t="shared" si="13"/>
        <v>1442</v>
      </c>
      <c r="CK42" s="63" t="str">
        <f t="shared" si="14"/>
        <v>1542</v>
      </c>
      <c r="CL42" s="63" t="str">
        <f t="shared" si="15"/>
        <v>1642</v>
      </c>
      <c r="CM42" s="63" t="str">
        <f t="shared" si="16"/>
        <v>1742</v>
      </c>
      <c r="CN42" s="63" t="str">
        <f t="shared" si="17"/>
        <v>1842</v>
      </c>
      <c r="CO42" s="63" t="str">
        <f t="shared" si="18"/>
        <v>1942</v>
      </c>
      <c r="CP42" s="63" t="str">
        <f t="shared" si="19"/>
        <v>2042</v>
      </c>
      <c r="CQ42" s="63" t="str">
        <f t="shared" si="20"/>
        <v>2142</v>
      </c>
      <c r="CR42" s="63" t="str">
        <f t="shared" si="21"/>
        <v>2242</v>
      </c>
      <c r="CS42" s="63" t="str">
        <f t="shared" si="22"/>
        <v>2342</v>
      </c>
      <c r="CT42" s="63" t="str">
        <f t="shared" si="23"/>
        <v>2442</v>
      </c>
      <c r="CU42" s="63" t="str">
        <f t="shared" si="24"/>
        <v>2542</v>
      </c>
      <c r="CV42" s="63" t="str">
        <f t="shared" si="25"/>
        <v>2642</v>
      </c>
      <c r="CW42" s="63" t="str">
        <f t="shared" si="26"/>
        <v>2742</v>
      </c>
      <c r="CX42" s="63" t="str">
        <f t="shared" si="27"/>
        <v>2842</v>
      </c>
      <c r="CY42" s="63" t="str">
        <f t="shared" si="28"/>
        <v>2942</v>
      </c>
      <c r="CZ42" s="63" t="str">
        <f t="shared" si="29"/>
        <v>3042</v>
      </c>
      <c r="DA42" s="63" t="str">
        <f t="shared" si="30"/>
        <v>3142</v>
      </c>
      <c r="DB42" s="63" t="str">
        <f t="shared" si="31"/>
        <v>3242</v>
      </c>
      <c r="DD42" s="72" t="s">
        <v>171</v>
      </c>
      <c r="DE42" s="77">
        <f t="shared" si="36"/>
        <v>1.5649999999999999</v>
      </c>
      <c r="DF42" s="77">
        <f t="shared" si="35"/>
        <v>1.595</v>
      </c>
      <c r="DG42" s="77">
        <f t="shared" si="35"/>
        <v>1.625</v>
      </c>
      <c r="DH42" s="77">
        <f t="shared" si="35"/>
        <v>1.6559999999999999</v>
      </c>
      <c r="DI42" s="77">
        <f t="shared" si="35"/>
        <v>1.6850000000000001</v>
      </c>
      <c r="DJ42" s="77">
        <f t="shared" si="35"/>
        <v>1.7110000000000001</v>
      </c>
      <c r="DK42" s="77">
        <f t="shared" si="35"/>
        <v>1.7370000000000001</v>
      </c>
      <c r="DL42" s="77">
        <f t="shared" si="35"/>
        <v>1.76</v>
      </c>
      <c r="DM42" s="77">
        <f t="shared" si="35"/>
        <v>1.7829999999999999</v>
      </c>
      <c r="DN42" s="77">
        <f t="shared" si="35"/>
        <v>1.804</v>
      </c>
      <c r="DO42" s="77">
        <f t="shared" si="35"/>
        <v>1.8240000000000001</v>
      </c>
      <c r="DP42" s="77">
        <f t="shared" si="35"/>
        <v>1.8440000000000001</v>
      </c>
      <c r="DQ42" s="77">
        <f t="shared" si="35"/>
        <v>1.867</v>
      </c>
      <c r="DR42" s="77">
        <f t="shared" si="35"/>
        <v>1.8919999999999999</v>
      </c>
      <c r="DS42" s="77">
        <f t="shared" si="35"/>
        <v>1.9219999999999999</v>
      </c>
      <c r="DT42" s="77">
        <f t="shared" si="35"/>
        <v>1.9510000000000001</v>
      </c>
      <c r="DU42" s="77">
        <f t="shared" si="33"/>
        <v>1.98</v>
      </c>
      <c r="DV42" s="77">
        <f t="shared" si="33"/>
        <v>2.008</v>
      </c>
      <c r="DW42" s="77">
        <f t="shared" si="33"/>
        <v>2.0369999999999999</v>
      </c>
      <c r="DX42" s="77">
        <f t="shared" si="33"/>
        <v>2.0640000000000001</v>
      </c>
      <c r="DY42" s="77">
        <f t="shared" si="34"/>
        <v>2.0910000000000002</v>
      </c>
      <c r="DZ42" s="77">
        <f t="shared" si="34"/>
        <v>2.1179999999999999</v>
      </c>
      <c r="EA42" s="77">
        <f t="shared" si="34"/>
        <v>2.1440000000000001</v>
      </c>
      <c r="EB42" s="77">
        <f t="shared" si="34"/>
        <v>2.169</v>
      </c>
      <c r="EC42" s="77">
        <f t="shared" si="34"/>
        <v>2.194</v>
      </c>
      <c r="ED42" s="77">
        <f t="shared" si="34"/>
        <v>2.2189999999999999</v>
      </c>
      <c r="EE42" s="77">
        <f t="shared" si="34"/>
        <v>2.246</v>
      </c>
      <c r="EF42" s="77">
        <f t="shared" si="34"/>
        <v>2.2669999999999999</v>
      </c>
      <c r="EG42" s="77">
        <f t="shared" si="34"/>
        <v>2.2909999999999999</v>
      </c>
    </row>
    <row r="43" spans="1:137" ht="12.6" customHeight="1">
      <c r="A43" s="73">
        <v>43</v>
      </c>
      <c r="B43" s="74">
        <v>1.5919999999999999</v>
      </c>
      <c r="C43" s="74">
        <v>1.621</v>
      </c>
      <c r="D43" s="74">
        <v>1.65</v>
      </c>
      <c r="E43" s="74">
        <v>1.681</v>
      </c>
      <c r="F43" s="74">
        <v>1.7089999999999999</v>
      </c>
      <c r="G43" s="74">
        <v>1.736</v>
      </c>
      <c r="H43" s="74">
        <v>1.7609999999999999</v>
      </c>
      <c r="I43" s="74">
        <v>1.7850000000000001</v>
      </c>
      <c r="J43" s="74">
        <v>1.8080000000000003</v>
      </c>
      <c r="K43" s="74">
        <v>1.8290000000000002</v>
      </c>
      <c r="L43" s="74">
        <v>1.8490000000000002</v>
      </c>
      <c r="M43" s="74">
        <v>1.8690000000000002</v>
      </c>
      <c r="N43" s="74">
        <v>1.8920000000000003</v>
      </c>
      <c r="O43" s="74">
        <v>1.9180000000000001</v>
      </c>
      <c r="P43" s="74">
        <v>1.9470000000000001</v>
      </c>
      <c r="Q43" s="74">
        <v>1.976</v>
      </c>
      <c r="R43" s="74">
        <v>2.0050000000000003</v>
      </c>
      <c r="S43" s="74">
        <v>2.0330000000000004</v>
      </c>
      <c r="T43" s="74">
        <v>2.0610000000000004</v>
      </c>
      <c r="U43" s="74">
        <v>2.0880000000000001</v>
      </c>
      <c r="V43" s="74">
        <v>2.1150000000000002</v>
      </c>
      <c r="W43" s="74">
        <v>2.1420000000000003</v>
      </c>
      <c r="X43" s="74">
        <v>2.1680000000000001</v>
      </c>
      <c r="Y43" s="74">
        <v>2.1930000000000001</v>
      </c>
      <c r="Z43" s="74">
        <v>2.218</v>
      </c>
      <c r="AA43" s="74">
        <v>2.2430000000000003</v>
      </c>
      <c r="AB43" s="74">
        <v>2.2670000000000003</v>
      </c>
      <c r="AC43" s="74">
        <v>2.2910000000000004</v>
      </c>
      <c r="AD43" s="75">
        <v>2.3150000000000004</v>
      </c>
      <c r="AE43" s="76"/>
      <c r="AF43" s="76"/>
      <c r="AG43" s="76"/>
      <c r="AH43" s="76"/>
      <c r="AI43" s="76"/>
      <c r="AJ43" s="76"/>
      <c r="AK43" s="76"/>
      <c r="AL43" s="76"/>
      <c r="AM43" s="76"/>
      <c r="AN43" s="76"/>
      <c r="AO43" s="76"/>
      <c r="AP43" s="76"/>
      <c r="AQ43" s="76"/>
      <c r="AR43" s="76"/>
      <c r="AS43" s="76"/>
      <c r="BZ43" s="63" t="str">
        <f t="shared" si="4"/>
        <v>443</v>
      </c>
      <c r="CA43" s="63" t="str">
        <f t="shared" si="1"/>
        <v>543</v>
      </c>
      <c r="CB43" s="63" t="str">
        <f t="shared" si="5"/>
        <v>643</v>
      </c>
      <c r="CC43" s="63" t="str">
        <f t="shared" si="6"/>
        <v>743</v>
      </c>
      <c r="CD43" s="63" t="str">
        <f t="shared" si="7"/>
        <v>843</v>
      </c>
      <c r="CE43" s="63" t="str">
        <f t="shared" si="8"/>
        <v>943</v>
      </c>
      <c r="CF43" s="63" t="str">
        <f t="shared" si="9"/>
        <v>1043</v>
      </c>
      <c r="CG43" s="63" t="str">
        <f t="shared" si="10"/>
        <v>1143</v>
      </c>
      <c r="CH43" s="63" t="str">
        <f t="shared" si="11"/>
        <v>1243</v>
      </c>
      <c r="CI43" s="63" t="str">
        <f t="shared" si="12"/>
        <v>1343</v>
      </c>
      <c r="CJ43" s="63" t="str">
        <f t="shared" si="13"/>
        <v>1443</v>
      </c>
      <c r="CK43" s="63" t="str">
        <f t="shared" si="14"/>
        <v>1543</v>
      </c>
      <c r="CL43" s="63" t="str">
        <f t="shared" si="15"/>
        <v>1643</v>
      </c>
      <c r="CM43" s="63" t="str">
        <f t="shared" si="16"/>
        <v>1743</v>
      </c>
      <c r="CN43" s="63" t="str">
        <f t="shared" si="17"/>
        <v>1843</v>
      </c>
      <c r="CO43" s="63" t="str">
        <f t="shared" si="18"/>
        <v>1943</v>
      </c>
      <c r="CP43" s="63" t="str">
        <f t="shared" si="19"/>
        <v>2043</v>
      </c>
      <c r="CQ43" s="63" t="str">
        <f t="shared" si="20"/>
        <v>2143</v>
      </c>
      <c r="CR43" s="63" t="str">
        <f t="shared" si="21"/>
        <v>2243</v>
      </c>
      <c r="CS43" s="63" t="str">
        <f t="shared" si="22"/>
        <v>2343</v>
      </c>
      <c r="CT43" s="63" t="str">
        <f t="shared" si="23"/>
        <v>2443</v>
      </c>
      <c r="CU43" s="63" t="str">
        <f t="shared" si="24"/>
        <v>2543</v>
      </c>
      <c r="CV43" s="63" t="str">
        <f t="shared" si="25"/>
        <v>2643</v>
      </c>
      <c r="CW43" s="63" t="str">
        <f t="shared" si="26"/>
        <v>2743</v>
      </c>
      <c r="CX43" s="63" t="str">
        <f t="shared" si="27"/>
        <v>2843</v>
      </c>
      <c r="CY43" s="63" t="str">
        <f t="shared" si="28"/>
        <v>2943</v>
      </c>
      <c r="CZ43" s="63" t="str">
        <f t="shared" si="29"/>
        <v>3043</v>
      </c>
      <c r="DA43" s="63" t="str">
        <f t="shared" si="30"/>
        <v>3143</v>
      </c>
      <c r="DB43" s="63" t="str">
        <f t="shared" si="31"/>
        <v>3243</v>
      </c>
      <c r="DD43" s="72" t="s">
        <v>172</v>
      </c>
      <c r="DE43" s="77">
        <f t="shared" si="36"/>
        <v>1.5920000000000001</v>
      </c>
      <c r="DF43" s="77">
        <f t="shared" si="35"/>
        <v>1.621</v>
      </c>
      <c r="DG43" s="77">
        <f t="shared" si="35"/>
        <v>1.65</v>
      </c>
      <c r="DH43" s="77">
        <f t="shared" si="35"/>
        <v>1.681</v>
      </c>
      <c r="DI43" s="77">
        <f t="shared" si="35"/>
        <v>1.7090000000000001</v>
      </c>
      <c r="DJ43" s="77">
        <f t="shared" si="35"/>
        <v>1.736</v>
      </c>
      <c r="DK43" s="77">
        <f t="shared" si="35"/>
        <v>1.7609999999999999</v>
      </c>
      <c r="DL43" s="77">
        <f t="shared" si="35"/>
        <v>1.7849999999999999</v>
      </c>
      <c r="DM43" s="77">
        <f t="shared" si="35"/>
        <v>1.8080000000000001</v>
      </c>
      <c r="DN43" s="77">
        <f t="shared" si="35"/>
        <v>1.829</v>
      </c>
      <c r="DO43" s="77">
        <f t="shared" si="35"/>
        <v>1.849</v>
      </c>
      <c r="DP43" s="77">
        <f t="shared" si="35"/>
        <v>1.869</v>
      </c>
      <c r="DQ43" s="77">
        <f t="shared" si="35"/>
        <v>1.8919999999999999</v>
      </c>
      <c r="DR43" s="77">
        <f t="shared" si="35"/>
        <v>1.9179999999999999</v>
      </c>
      <c r="DS43" s="77">
        <f t="shared" si="35"/>
        <v>1.9470000000000001</v>
      </c>
      <c r="DT43" s="77">
        <f t="shared" si="35"/>
        <v>1.976</v>
      </c>
      <c r="DU43" s="77">
        <f t="shared" si="33"/>
        <v>2.0049999999999999</v>
      </c>
      <c r="DV43" s="77">
        <f t="shared" si="33"/>
        <v>2.0329999999999999</v>
      </c>
      <c r="DW43" s="77">
        <f t="shared" si="33"/>
        <v>2.0609999999999999</v>
      </c>
      <c r="DX43" s="77">
        <f t="shared" si="33"/>
        <v>2.0880000000000001</v>
      </c>
      <c r="DY43" s="77">
        <f t="shared" si="34"/>
        <v>2.1150000000000002</v>
      </c>
      <c r="DZ43" s="77">
        <f t="shared" si="34"/>
        <v>2.1419999999999999</v>
      </c>
      <c r="EA43" s="77">
        <f t="shared" si="34"/>
        <v>2.1680000000000001</v>
      </c>
      <c r="EB43" s="77">
        <f t="shared" si="34"/>
        <v>2.1930000000000001</v>
      </c>
      <c r="EC43" s="77">
        <f t="shared" si="34"/>
        <v>2.218</v>
      </c>
      <c r="ED43" s="77">
        <f t="shared" si="34"/>
        <v>2.2429999999999999</v>
      </c>
      <c r="EE43" s="77">
        <f t="shared" si="34"/>
        <v>2.2669999999999999</v>
      </c>
      <c r="EF43" s="77">
        <f t="shared" si="34"/>
        <v>2.2909999999999999</v>
      </c>
      <c r="EG43" s="77">
        <f t="shared" si="34"/>
        <v>2.3149999999999999</v>
      </c>
    </row>
    <row r="44" spans="1:137" ht="12.6" customHeight="1">
      <c r="A44" s="73">
        <v>44</v>
      </c>
      <c r="B44" s="74">
        <v>1.617</v>
      </c>
      <c r="C44" s="74">
        <v>1.6459999999999999</v>
      </c>
      <c r="D44" s="74">
        <v>1.675</v>
      </c>
      <c r="E44" s="74">
        <v>1.7059999999999997</v>
      </c>
      <c r="F44" s="74">
        <v>1.7339999999999998</v>
      </c>
      <c r="G44" s="74">
        <v>1.7609999999999999</v>
      </c>
      <c r="H44" s="74">
        <v>1.7800000000000002</v>
      </c>
      <c r="I44" s="74">
        <v>1.81</v>
      </c>
      <c r="J44" s="74">
        <v>1.8330000000000002</v>
      </c>
      <c r="K44" s="74">
        <v>1.8540000000000001</v>
      </c>
      <c r="L44" s="74">
        <v>1.8740000000000001</v>
      </c>
      <c r="M44" s="74">
        <v>1.8940000000000001</v>
      </c>
      <c r="N44" s="74">
        <v>1.9170000000000003</v>
      </c>
      <c r="O44" s="74">
        <v>1.9430000000000001</v>
      </c>
      <c r="P44" s="74">
        <v>1.972</v>
      </c>
      <c r="Q44" s="74">
        <v>2.0010000000000003</v>
      </c>
      <c r="R44" s="74">
        <v>2.0290000000000004</v>
      </c>
      <c r="S44" s="74">
        <v>2.0580000000000003</v>
      </c>
      <c r="T44" s="74">
        <v>2.0860000000000003</v>
      </c>
      <c r="U44" s="74">
        <v>2.113</v>
      </c>
      <c r="V44" s="74">
        <v>2.1390000000000002</v>
      </c>
      <c r="W44" s="74">
        <v>2.1660000000000004</v>
      </c>
      <c r="X44" s="74">
        <v>2.1920000000000002</v>
      </c>
      <c r="Y44" s="74">
        <v>2.2170000000000001</v>
      </c>
      <c r="Z44" s="74">
        <v>2.242</v>
      </c>
      <c r="AA44" s="74">
        <v>2.2670000000000003</v>
      </c>
      <c r="AB44" s="74">
        <v>2.2910000000000004</v>
      </c>
      <c r="AC44" s="74">
        <v>2.3150000000000004</v>
      </c>
      <c r="AD44" s="75">
        <v>2.3380000000000001</v>
      </c>
      <c r="AE44" s="76"/>
      <c r="AF44" s="76"/>
      <c r="AG44" s="76"/>
      <c r="AH44" s="76"/>
      <c r="AI44" s="76"/>
      <c r="AJ44" s="76"/>
      <c r="AK44" s="76"/>
      <c r="AL44" s="76"/>
      <c r="AM44" s="76"/>
      <c r="AN44" s="76"/>
      <c r="AO44" s="76"/>
      <c r="AP44" s="76"/>
      <c r="AQ44" s="76"/>
      <c r="AR44" s="76"/>
      <c r="AS44" s="76"/>
      <c r="BZ44" s="63" t="str">
        <f t="shared" si="4"/>
        <v>444</v>
      </c>
      <c r="CA44" s="63" t="str">
        <f t="shared" si="1"/>
        <v>544</v>
      </c>
      <c r="CB44" s="63" t="str">
        <f t="shared" si="5"/>
        <v>644</v>
      </c>
      <c r="CC44" s="63" t="str">
        <f t="shared" si="6"/>
        <v>744</v>
      </c>
      <c r="CD44" s="63" t="str">
        <f t="shared" si="7"/>
        <v>844</v>
      </c>
      <c r="CE44" s="63" t="str">
        <f t="shared" si="8"/>
        <v>944</v>
      </c>
      <c r="CF44" s="63" t="str">
        <f t="shared" si="9"/>
        <v>1044</v>
      </c>
      <c r="CG44" s="63" t="str">
        <f t="shared" si="10"/>
        <v>1144</v>
      </c>
      <c r="CH44" s="63" t="str">
        <f t="shared" si="11"/>
        <v>1244</v>
      </c>
      <c r="CI44" s="63" t="str">
        <f t="shared" si="12"/>
        <v>1344</v>
      </c>
      <c r="CJ44" s="63" t="str">
        <f t="shared" si="13"/>
        <v>1444</v>
      </c>
      <c r="CK44" s="63" t="str">
        <f t="shared" si="14"/>
        <v>1544</v>
      </c>
      <c r="CL44" s="63" t="str">
        <f t="shared" si="15"/>
        <v>1644</v>
      </c>
      <c r="CM44" s="63" t="str">
        <f t="shared" si="16"/>
        <v>1744</v>
      </c>
      <c r="CN44" s="63" t="str">
        <f t="shared" si="17"/>
        <v>1844</v>
      </c>
      <c r="CO44" s="63" t="str">
        <f t="shared" si="18"/>
        <v>1944</v>
      </c>
      <c r="CP44" s="63" t="str">
        <f t="shared" si="19"/>
        <v>2044</v>
      </c>
      <c r="CQ44" s="63" t="str">
        <f t="shared" si="20"/>
        <v>2144</v>
      </c>
      <c r="CR44" s="63" t="str">
        <f t="shared" si="21"/>
        <v>2244</v>
      </c>
      <c r="CS44" s="63" t="str">
        <f t="shared" si="22"/>
        <v>2344</v>
      </c>
      <c r="CT44" s="63" t="str">
        <f t="shared" si="23"/>
        <v>2444</v>
      </c>
      <c r="CU44" s="63" t="str">
        <f t="shared" si="24"/>
        <v>2544</v>
      </c>
      <c r="CV44" s="63" t="str">
        <f t="shared" si="25"/>
        <v>2644</v>
      </c>
      <c r="CW44" s="63" t="str">
        <f t="shared" si="26"/>
        <v>2744</v>
      </c>
      <c r="CX44" s="63" t="str">
        <f t="shared" si="27"/>
        <v>2844</v>
      </c>
      <c r="CY44" s="63" t="str">
        <f t="shared" si="28"/>
        <v>2944</v>
      </c>
      <c r="CZ44" s="63" t="str">
        <f t="shared" si="29"/>
        <v>3044</v>
      </c>
      <c r="DA44" s="63" t="str">
        <f t="shared" si="30"/>
        <v>3144</v>
      </c>
      <c r="DB44" s="63" t="str">
        <f t="shared" si="31"/>
        <v>3244</v>
      </c>
      <c r="DD44" s="72" t="s">
        <v>173</v>
      </c>
      <c r="DE44" s="77">
        <f t="shared" si="36"/>
        <v>1.617</v>
      </c>
      <c r="DF44" s="77">
        <f t="shared" si="35"/>
        <v>1.6459999999999999</v>
      </c>
      <c r="DG44" s="77">
        <f t="shared" si="35"/>
        <v>1.675</v>
      </c>
      <c r="DH44" s="77">
        <f t="shared" si="35"/>
        <v>1.706</v>
      </c>
      <c r="DI44" s="77">
        <f t="shared" si="35"/>
        <v>1.734</v>
      </c>
      <c r="DJ44" s="77">
        <f t="shared" si="35"/>
        <v>1.7609999999999999</v>
      </c>
      <c r="DK44" s="77">
        <f t="shared" si="35"/>
        <v>1.78</v>
      </c>
      <c r="DL44" s="77">
        <f t="shared" si="35"/>
        <v>1.81</v>
      </c>
      <c r="DM44" s="77">
        <f t="shared" si="35"/>
        <v>1.833</v>
      </c>
      <c r="DN44" s="77">
        <f t="shared" si="35"/>
        <v>1.8540000000000001</v>
      </c>
      <c r="DO44" s="77">
        <f t="shared" si="35"/>
        <v>1.8740000000000001</v>
      </c>
      <c r="DP44" s="77">
        <f t="shared" si="35"/>
        <v>1.8939999999999999</v>
      </c>
      <c r="DQ44" s="77">
        <f t="shared" si="35"/>
        <v>1.917</v>
      </c>
      <c r="DR44" s="77">
        <f t="shared" si="35"/>
        <v>1.9430000000000001</v>
      </c>
      <c r="DS44" s="77">
        <f t="shared" si="35"/>
        <v>1.972</v>
      </c>
      <c r="DT44" s="77">
        <f t="shared" si="35"/>
        <v>2.0009999999999999</v>
      </c>
      <c r="DU44" s="77">
        <f t="shared" si="33"/>
        <v>2.0289999999999999</v>
      </c>
      <c r="DV44" s="77">
        <f t="shared" si="33"/>
        <v>2.0579999999999998</v>
      </c>
      <c r="DW44" s="77">
        <f t="shared" si="33"/>
        <v>2.0859999999999999</v>
      </c>
      <c r="DX44" s="77">
        <f t="shared" si="33"/>
        <v>2.113</v>
      </c>
      <c r="DY44" s="77">
        <f t="shared" si="34"/>
        <v>2.1389999999999998</v>
      </c>
      <c r="DZ44" s="77">
        <f t="shared" si="34"/>
        <v>2.1659999999999999</v>
      </c>
      <c r="EA44" s="77">
        <f t="shared" si="34"/>
        <v>2.1920000000000002</v>
      </c>
      <c r="EB44" s="77">
        <f t="shared" si="34"/>
        <v>2.2170000000000001</v>
      </c>
      <c r="EC44" s="77">
        <f t="shared" si="34"/>
        <v>2.242</v>
      </c>
      <c r="ED44" s="77">
        <f t="shared" si="34"/>
        <v>2.2669999999999999</v>
      </c>
      <c r="EE44" s="77">
        <f t="shared" si="34"/>
        <v>2.2909999999999999</v>
      </c>
      <c r="EF44" s="77">
        <f t="shared" si="34"/>
        <v>2.3149999999999999</v>
      </c>
      <c r="EG44" s="77">
        <f t="shared" si="34"/>
        <v>2.3380000000000001</v>
      </c>
    </row>
    <row r="45" spans="1:137" ht="12.6" customHeight="1">
      <c r="A45" s="73">
        <v>45</v>
      </c>
      <c r="B45" s="74">
        <v>1.64</v>
      </c>
      <c r="C45" s="74">
        <v>1.67</v>
      </c>
      <c r="D45" s="74">
        <v>1.6990000000000001</v>
      </c>
      <c r="E45" s="74">
        <v>1.7289999999999999</v>
      </c>
      <c r="F45" s="74">
        <v>1.7579999999999998</v>
      </c>
      <c r="G45" s="74">
        <v>1.7840000000000003</v>
      </c>
      <c r="H45" s="74">
        <v>1.8090000000000002</v>
      </c>
      <c r="I45" s="74">
        <v>1.8330000000000002</v>
      </c>
      <c r="J45" s="74">
        <v>1.85</v>
      </c>
      <c r="K45" s="74">
        <v>1.8770000000000002</v>
      </c>
      <c r="L45" s="74">
        <v>1.8980000000000001</v>
      </c>
      <c r="M45" s="74">
        <v>1.9180000000000001</v>
      </c>
      <c r="N45" s="74">
        <v>1.9440000000000004</v>
      </c>
      <c r="O45" s="74">
        <v>1.9670000000000001</v>
      </c>
      <c r="P45" s="74">
        <v>1.9950000000000001</v>
      </c>
      <c r="Q45" s="74">
        <v>2.024</v>
      </c>
      <c r="R45" s="74">
        <v>2.052</v>
      </c>
      <c r="S45" s="74">
        <v>2.081</v>
      </c>
      <c r="T45" s="74">
        <v>2.1080000000000001</v>
      </c>
      <c r="U45" s="74">
        <v>2.1350000000000002</v>
      </c>
      <c r="V45" s="74">
        <v>2.1620000000000004</v>
      </c>
      <c r="W45" s="74">
        <v>2.1880000000000002</v>
      </c>
      <c r="X45" s="74">
        <v>2.214</v>
      </c>
      <c r="Y45" s="74">
        <v>2.238</v>
      </c>
      <c r="Z45" s="74">
        <v>2.2630000000000003</v>
      </c>
      <c r="AA45" s="74">
        <v>2.2880000000000003</v>
      </c>
      <c r="AB45" s="74">
        <v>2.3120000000000003</v>
      </c>
      <c r="AC45" s="74">
        <v>2.335</v>
      </c>
      <c r="AD45" s="75">
        <v>2.359</v>
      </c>
      <c r="AE45" s="76"/>
      <c r="AF45" s="76"/>
      <c r="AG45" s="76"/>
      <c r="AH45" s="76"/>
      <c r="AI45" s="76"/>
      <c r="AJ45" s="76"/>
      <c r="AK45" s="76"/>
      <c r="AL45" s="76"/>
      <c r="AM45" s="76"/>
      <c r="AN45" s="76"/>
      <c r="AO45" s="76"/>
      <c r="AP45" s="76"/>
      <c r="AQ45" s="76"/>
      <c r="AR45" s="76"/>
      <c r="AS45" s="76"/>
      <c r="BZ45" s="63" t="str">
        <f t="shared" si="4"/>
        <v>445</v>
      </c>
      <c r="CA45" s="63" t="str">
        <f t="shared" si="1"/>
        <v>545</v>
      </c>
      <c r="CB45" s="63" t="str">
        <f t="shared" si="5"/>
        <v>645</v>
      </c>
      <c r="CC45" s="63" t="str">
        <f t="shared" si="6"/>
        <v>745</v>
      </c>
      <c r="CD45" s="63" t="str">
        <f t="shared" si="7"/>
        <v>845</v>
      </c>
      <c r="CE45" s="63" t="str">
        <f t="shared" si="8"/>
        <v>945</v>
      </c>
      <c r="CF45" s="63" t="str">
        <f t="shared" si="9"/>
        <v>1045</v>
      </c>
      <c r="CG45" s="63" t="str">
        <f t="shared" si="10"/>
        <v>1145</v>
      </c>
      <c r="CH45" s="63" t="str">
        <f t="shared" si="11"/>
        <v>1245</v>
      </c>
      <c r="CI45" s="63" t="str">
        <f t="shared" si="12"/>
        <v>1345</v>
      </c>
      <c r="CJ45" s="63" t="str">
        <f t="shared" si="13"/>
        <v>1445</v>
      </c>
      <c r="CK45" s="63" t="str">
        <f t="shared" si="14"/>
        <v>1545</v>
      </c>
      <c r="CL45" s="63" t="str">
        <f t="shared" si="15"/>
        <v>1645</v>
      </c>
      <c r="CM45" s="63" t="str">
        <f t="shared" si="16"/>
        <v>1745</v>
      </c>
      <c r="CN45" s="63" t="str">
        <f t="shared" si="17"/>
        <v>1845</v>
      </c>
      <c r="CO45" s="63" t="str">
        <f t="shared" si="18"/>
        <v>1945</v>
      </c>
      <c r="CP45" s="63" t="str">
        <f t="shared" si="19"/>
        <v>2045</v>
      </c>
      <c r="CQ45" s="63" t="str">
        <f t="shared" si="20"/>
        <v>2145</v>
      </c>
      <c r="CR45" s="63" t="str">
        <f t="shared" si="21"/>
        <v>2245</v>
      </c>
      <c r="CS45" s="63" t="str">
        <f t="shared" si="22"/>
        <v>2345</v>
      </c>
      <c r="CT45" s="63" t="str">
        <f t="shared" si="23"/>
        <v>2445</v>
      </c>
      <c r="CU45" s="63" t="str">
        <f t="shared" si="24"/>
        <v>2545</v>
      </c>
      <c r="CV45" s="63" t="str">
        <f t="shared" si="25"/>
        <v>2645</v>
      </c>
      <c r="CW45" s="63" t="str">
        <f t="shared" si="26"/>
        <v>2745</v>
      </c>
      <c r="CX45" s="63" t="str">
        <f t="shared" si="27"/>
        <v>2845</v>
      </c>
      <c r="CY45" s="63" t="str">
        <f t="shared" si="28"/>
        <v>2945</v>
      </c>
      <c r="CZ45" s="63" t="str">
        <f t="shared" si="29"/>
        <v>3045</v>
      </c>
      <c r="DA45" s="63" t="str">
        <f t="shared" si="30"/>
        <v>3145</v>
      </c>
      <c r="DB45" s="63" t="str">
        <f t="shared" si="31"/>
        <v>3245</v>
      </c>
      <c r="DD45" s="72" t="s">
        <v>174</v>
      </c>
      <c r="DE45" s="77">
        <f t="shared" si="36"/>
        <v>1.64</v>
      </c>
      <c r="DF45" s="77">
        <f t="shared" si="35"/>
        <v>1.67</v>
      </c>
      <c r="DG45" s="77">
        <f t="shared" si="35"/>
        <v>1.6990000000000001</v>
      </c>
      <c r="DH45" s="77">
        <f t="shared" si="35"/>
        <v>1.7290000000000001</v>
      </c>
      <c r="DI45" s="77">
        <f t="shared" si="35"/>
        <v>1.758</v>
      </c>
      <c r="DJ45" s="77">
        <f t="shared" si="35"/>
        <v>1.784</v>
      </c>
      <c r="DK45" s="77">
        <f t="shared" si="35"/>
        <v>1.8089999999999999</v>
      </c>
      <c r="DL45" s="77">
        <f t="shared" si="35"/>
        <v>1.833</v>
      </c>
      <c r="DM45" s="77">
        <f t="shared" si="35"/>
        <v>1.85</v>
      </c>
      <c r="DN45" s="77">
        <f t="shared" si="35"/>
        <v>1.877</v>
      </c>
      <c r="DO45" s="77">
        <f t="shared" si="35"/>
        <v>1.8979999999999999</v>
      </c>
      <c r="DP45" s="77">
        <f t="shared" si="35"/>
        <v>1.9179999999999999</v>
      </c>
      <c r="DQ45" s="77">
        <f t="shared" si="35"/>
        <v>1.944</v>
      </c>
      <c r="DR45" s="77">
        <f t="shared" si="35"/>
        <v>1.9670000000000001</v>
      </c>
      <c r="DS45" s="77">
        <f t="shared" si="35"/>
        <v>1.9950000000000001</v>
      </c>
      <c r="DT45" s="77">
        <f t="shared" si="35"/>
        <v>2.024</v>
      </c>
      <c r="DU45" s="77">
        <f t="shared" si="33"/>
        <v>2.052</v>
      </c>
      <c r="DV45" s="77">
        <f t="shared" si="33"/>
        <v>2.081</v>
      </c>
      <c r="DW45" s="77">
        <f t="shared" si="33"/>
        <v>2.1080000000000001</v>
      </c>
      <c r="DX45" s="77">
        <f t="shared" si="33"/>
        <v>2.1349999999999998</v>
      </c>
      <c r="DY45" s="77">
        <f t="shared" si="34"/>
        <v>2.1619999999999999</v>
      </c>
      <c r="DZ45" s="77">
        <f t="shared" si="34"/>
        <v>2.1880000000000002</v>
      </c>
      <c r="EA45" s="77">
        <f t="shared" si="34"/>
        <v>2.214</v>
      </c>
      <c r="EB45" s="77">
        <f t="shared" si="34"/>
        <v>2.238</v>
      </c>
      <c r="EC45" s="77">
        <f t="shared" si="34"/>
        <v>2.2629999999999999</v>
      </c>
      <c r="ED45" s="77">
        <f t="shared" si="34"/>
        <v>2.2879999999999998</v>
      </c>
      <c r="EE45" s="77">
        <f t="shared" si="34"/>
        <v>2.3119999999999998</v>
      </c>
      <c r="EF45" s="77">
        <f t="shared" si="34"/>
        <v>2.335</v>
      </c>
      <c r="EG45" s="77">
        <f t="shared" si="34"/>
        <v>2.359</v>
      </c>
    </row>
    <row r="46" spans="1:137" ht="12.6" customHeight="1">
      <c r="A46" s="73">
        <v>46</v>
      </c>
      <c r="B46" s="74">
        <v>1.6639999999999999</v>
      </c>
      <c r="C46" s="74">
        <v>1.6930000000000001</v>
      </c>
      <c r="D46" s="74">
        <v>1.7219999999999998</v>
      </c>
      <c r="E46" s="74">
        <v>1.7539999999999998</v>
      </c>
      <c r="F46" s="74">
        <v>1.7800000000000002</v>
      </c>
      <c r="G46" s="74">
        <v>1.8050000000000002</v>
      </c>
      <c r="H46" s="74">
        <v>1.8320000000000003</v>
      </c>
      <c r="I46" s="74">
        <v>1.855</v>
      </c>
      <c r="J46" s="74">
        <v>1.8780000000000001</v>
      </c>
      <c r="K46" s="74">
        <v>1.9000000000000004</v>
      </c>
      <c r="L46" s="74">
        <v>1.9200000000000004</v>
      </c>
      <c r="M46" s="74">
        <v>1.9410000000000003</v>
      </c>
      <c r="N46" s="74">
        <v>1.9630000000000001</v>
      </c>
      <c r="O46" s="74">
        <v>1.9890000000000003</v>
      </c>
      <c r="P46" s="74">
        <v>2.0170000000000003</v>
      </c>
      <c r="Q46" s="74">
        <v>2.0460000000000003</v>
      </c>
      <c r="R46" s="74">
        <v>2.0740000000000003</v>
      </c>
      <c r="S46" s="74">
        <v>2.1120000000000001</v>
      </c>
      <c r="T46" s="74">
        <v>2.129</v>
      </c>
      <c r="U46" s="74">
        <v>2.1560000000000001</v>
      </c>
      <c r="V46" s="74">
        <v>2.1820000000000004</v>
      </c>
      <c r="W46" s="74">
        <v>2.2080000000000002</v>
      </c>
      <c r="X46" s="74">
        <v>2.2330000000000001</v>
      </c>
      <c r="Y46" s="74">
        <v>2.258</v>
      </c>
      <c r="Z46" s="74">
        <v>2.2830000000000004</v>
      </c>
      <c r="AA46" s="74">
        <v>2.3070000000000004</v>
      </c>
      <c r="AB46" s="74">
        <v>2.33</v>
      </c>
      <c r="AC46" s="74">
        <v>2.3540000000000001</v>
      </c>
      <c r="AD46" s="75">
        <v>2.3770000000000002</v>
      </c>
      <c r="AE46" s="76"/>
      <c r="AF46" s="76"/>
      <c r="AG46" s="76"/>
      <c r="AH46" s="76"/>
      <c r="AI46" s="76"/>
      <c r="AJ46" s="76"/>
      <c r="AK46" s="76"/>
      <c r="AL46" s="76"/>
      <c r="AM46" s="76"/>
      <c r="AN46" s="76"/>
      <c r="AO46" s="76"/>
      <c r="AP46" s="76"/>
      <c r="AQ46" s="76"/>
      <c r="AR46" s="76"/>
      <c r="AS46" s="76"/>
      <c r="BZ46" s="63" t="str">
        <f t="shared" si="4"/>
        <v>446</v>
      </c>
      <c r="CA46" s="63" t="str">
        <f t="shared" si="1"/>
        <v>546</v>
      </c>
      <c r="CB46" s="63" t="str">
        <f t="shared" si="5"/>
        <v>646</v>
      </c>
      <c r="CC46" s="63" t="str">
        <f t="shared" si="6"/>
        <v>746</v>
      </c>
      <c r="CD46" s="63" t="str">
        <f t="shared" si="7"/>
        <v>846</v>
      </c>
      <c r="CE46" s="63" t="str">
        <f t="shared" si="8"/>
        <v>946</v>
      </c>
      <c r="CF46" s="63" t="str">
        <f t="shared" si="9"/>
        <v>1046</v>
      </c>
      <c r="CG46" s="63" t="str">
        <f t="shared" si="10"/>
        <v>1146</v>
      </c>
      <c r="CH46" s="63" t="str">
        <f t="shared" si="11"/>
        <v>1246</v>
      </c>
      <c r="CI46" s="63" t="str">
        <f t="shared" si="12"/>
        <v>1346</v>
      </c>
      <c r="CJ46" s="63" t="str">
        <f t="shared" si="13"/>
        <v>1446</v>
      </c>
      <c r="CK46" s="63" t="str">
        <f t="shared" si="14"/>
        <v>1546</v>
      </c>
      <c r="CL46" s="63" t="str">
        <f t="shared" si="15"/>
        <v>1646</v>
      </c>
      <c r="CM46" s="63" t="str">
        <f t="shared" si="16"/>
        <v>1746</v>
      </c>
      <c r="CN46" s="63" t="str">
        <f t="shared" si="17"/>
        <v>1846</v>
      </c>
      <c r="CO46" s="63" t="str">
        <f t="shared" si="18"/>
        <v>1946</v>
      </c>
      <c r="CP46" s="63" t="str">
        <f t="shared" si="19"/>
        <v>2046</v>
      </c>
      <c r="CQ46" s="63" t="str">
        <f t="shared" si="20"/>
        <v>2146</v>
      </c>
      <c r="CR46" s="63" t="str">
        <f t="shared" si="21"/>
        <v>2246</v>
      </c>
      <c r="CS46" s="63" t="str">
        <f t="shared" si="22"/>
        <v>2346</v>
      </c>
      <c r="CT46" s="63" t="str">
        <f t="shared" si="23"/>
        <v>2446</v>
      </c>
      <c r="CU46" s="63" t="str">
        <f t="shared" si="24"/>
        <v>2546</v>
      </c>
      <c r="CV46" s="63" t="str">
        <f t="shared" si="25"/>
        <v>2646</v>
      </c>
      <c r="CW46" s="63" t="str">
        <f t="shared" si="26"/>
        <v>2746</v>
      </c>
      <c r="CX46" s="63" t="str">
        <f t="shared" si="27"/>
        <v>2846</v>
      </c>
      <c r="CY46" s="63" t="str">
        <f t="shared" si="28"/>
        <v>2946</v>
      </c>
      <c r="CZ46" s="63" t="str">
        <f t="shared" si="29"/>
        <v>3046</v>
      </c>
      <c r="DA46" s="63" t="str">
        <f t="shared" si="30"/>
        <v>3146</v>
      </c>
      <c r="DB46" s="63" t="str">
        <f t="shared" si="31"/>
        <v>3246</v>
      </c>
      <c r="DD46" s="72" t="s">
        <v>175</v>
      </c>
      <c r="DE46" s="77">
        <f>ROUND(B46,3)</f>
        <v>1.6639999999999999</v>
      </c>
      <c r="DF46" s="77">
        <f t="shared" si="35"/>
        <v>1.6930000000000001</v>
      </c>
      <c r="DG46" s="77">
        <f t="shared" si="35"/>
        <v>1.722</v>
      </c>
      <c r="DH46" s="77">
        <f t="shared" si="35"/>
        <v>1.754</v>
      </c>
      <c r="DI46" s="77">
        <f t="shared" si="35"/>
        <v>1.78</v>
      </c>
      <c r="DJ46" s="77">
        <f t="shared" si="35"/>
        <v>1.8049999999999999</v>
      </c>
      <c r="DK46" s="77">
        <f t="shared" si="35"/>
        <v>1.8320000000000001</v>
      </c>
      <c r="DL46" s="77">
        <f t="shared" si="35"/>
        <v>1.855</v>
      </c>
      <c r="DM46" s="77">
        <f t="shared" si="35"/>
        <v>1.8779999999999999</v>
      </c>
      <c r="DN46" s="77">
        <f t="shared" si="35"/>
        <v>1.9</v>
      </c>
      <c r="DO46" s="77">
        <f t="shared" si="35"/>
        <v>1.92</v>
      </c>
      <c r="DP46" s="77">
        <f t="shared" si="35"/>
        <v>1.9410000000000001</v>
      </c>
      <c r="DQ46" s="77">
        <f t="shared" si="35"/>
        <v>1.9630000000000001</v>
      </c>
      <c r="DR46" s="77">
        <f t="shared" si="35"/>
        <v>1.9890000000000001</v>
      </c>
      <c r="DS46" s="77">
        <f t="shared" si="35"/>
        <v>2.0169999999999999</v>
      </c>
      <c r="DT46" s="77">
        <f t="shared" si="35"/>
        <v>2.0459999999999998</v>
      </c>
      <c r="DU46" s="77">
        <f t="shared" si="33"/>
        <v>2.0739999999999998</v>
      </c>
      <c r="DV46" s="77">
        <f t="shared" si="33"/>
        <v>2.1120000000000001</v>
      </c>
      <c r="DW46" s="77">
        <f t="shared" si="33"/>
        <v>2.129</v>
      </c>
      <c r="DX46" s="77">
        <f t="shared" si="33"/>
        <v>2.1560000000000001</v>
      </c>
      <c r="DY46" s="77">
        <f t="shared" si="34"/>
        <v>2.1819999999999999</v>
      </c>
      <c r="DZ46" s="77">
        <f t="shared" si="34"/>
        <v>2.2080000000000002</v>
      </c>
      <c r="EA46" s="77">
        <f t="shared" si="34"/>
        <v>2.2330000000000001</v>
      </c>
      <c r="EB46" s="77">
        <f t="shared" si="34"/>
        <v>2.258</v>
      </c>
      <c r="EC46" s="77">
        <f t="shared" si="34"/>
        <v>2.2829999999999999</v>
      </c>
      <c r="ED46" s="77">
        <f t="shared" si="34"/>
        <v>2.3069999999999999</v>
      </c>
      <c r="EE46" s="77">
        <f t="shared" si="34"/>
        <v>2.33</v>
      </c>
      <c r="EF46" s="77">
        <f t="shared" si="34"/>
        <v>2.3540000000000001</v>
      </c>
      <c r="EG46" s="77">
        <f t="shared" si="34"/>
        <v>2.3769999999999998</v>
      </c>
    </row>
    <row r="47" spans="1:137" ht="12.6" customHeight="1">
      <c r="A47" s="73">
        <v>47</v>
      </c>
      <c r="B47" s="74">
        <v>1.6850000000000001</v>
      </c>
      <c r="C47" s="74">
        <v>1.7139999999999997</v>
      </c>
      <c r="D47" s="74">
        <v>1.7409999999999999</v>
      </c>
      <c r="E47" s="74">
        <v>1.774</v>
      </c>
      <c r="F47" s="74">
        <v>1.802</v>
      </c>
      <c r="G47" s="74">
        <v>1.8280000000000003</v>
      </c>
      <c r="H47" s="74">
        <v>1.8530000000000002</v>
      </c>
      <c r="I47" s="74">
        <v>1.8770000000000002</v>
      </c>
      <c r="J47" s="74">
        <v>1.899</v>
      </c>
      <c r="K47" s="74">
        <v>1.9210000000000003</v>
      </c>
      <c r="L47" s="74">
        <v>1.9410000000000003</v>
      </c>
      <c r="M47" s="74">
        <v>1.9620000000000002</v>
      </c>
      <c r="N47" s="74">
        <v>1.9850000000000003</v>
      </c>
      <c r="O47" s="74">
        <v>2.0100000000000002</v>
      </c>
      <c r="P47" s="74">
        <v>2.0380000000000003</v>
      </c>
      <c r="Q47" s="74">
        <v>2.0660000000000003</v>
      </c>
      <c r="R47" s="74">
        <v>2.0840000000000001</v>
      </c>
      <c r="S47" s="74">
        <v>2.1220000000000003</v>
      </c>
      <c r="T47" s="74">
        <v>2.149</v>
      </c>
      <c r="U47" s="74">
        <v>2.1750000000000003</v>
      </c>
      <c r="V47" s="74">
        <v>2.2010000000000001</v>
      </c>
      <c r="W47" s="74">
        <v>2.2270000000000003</v>
      </c>
      <c r="X47" s="74">
        <v>2.2520000000000002</v>
      </c>
      <c r="Y47" s="74">
        <v>2.2760000000000002</v>
      </c>
      <c r="Z47" s="74">
        <v>2.3000000000000003</v>
      </c>
      <c r="AA47" s="74">
        <v>2.3240000000000003</v>
      </c>
      <c r="AB47" s="74">
        <v>2.347</v>
      </c>
      <c r="AC47" s="74">
        <v>2.37</v>
      </c>
      <c r="AD47" s="75">
        <v>2.3930000000000002</v>
      </c>
      <c r="AE47" s="76"/>
      <c r="AF47" s="76"/>
      <c r="AG47" s="76"/>
      <c r="AH47" s="76"/>
      <c r="AI47" s="76"/>
      <c r="AJ47" s="76"/>
      <c r="AK47" s="76"/>
      <c r="AL47" s="76"/>
      <c r="AM47" s="76"/>
      <c r="AN47" s="76"/>
      <c r="AO47" s="76"/>
      <c r="AP47" s="76"/>
      <c r="AQ47" s="76"/>
      <c r="AR47" s="76"/>
      <c r="AS47" s="76"/>
      <c r="BZ47" s="63" t="str">
        <f t="shared" si="4"/>
        <v>447</v>
      </c>
      <c r="CA47" s="63" t="str">
        <f t="shared" si="1"/>
        <v>547</v>
      </c>
      <c r="CB47" s="63" t="str">
        <f t="shared" si="5"/>
        <v>647</v>
      </c>
      <c r="CC47" s="63" t="str">
        <f t="shared" si="6"/>
        <v>747</v>
      </c>
      <c r="CD47" s="63" t="str">
        <f t="shared" si="7"/>
        <v>847</v>
      </c>
      <c r="CE47" s="63" t="str">
        <f t="shared" si="8"/>
        <v>947</v>
      </c>
      <c r="CF47" s="63" t="str">
        <f t="shared" si="9"/>
        <v>1047</v>
      </c>
      <c r="CG47" s="63" t="str">
        <f t="shared" si="10"/>
        <v>1147</v>
      </c>
      <c r="CH47" s="63" t="str">
        <f t="shared" si="11"/>
        <v>1247</v>
      </c>
      <c r="CI47" s="63" t="str">
        <f t="shared" si="12"/>
        <v>1347</v>
      </c>
      <c r="CJ47" s="63" t="str">
        <f t="shared" si="13"/>
        <v>1447</v>
      </c>
      <c r="CK47" s="63" t="str">
        <f t="shared" si="14"/>
        <v>1547</v>
      </c>
      <c r="CL47" s="63" t="str">
        <f t="shared" si="15"/>
        <v>1647</v>
      </c>
      <c r="CM47" s="63" t="str">
        <f t="shared" si="16"/>
        <v>1747</v>
      </c>
      <c r="CN47" s="63" t="str">
        <f t="shared" si="17"/>
        <v>1847</v>
      </c>
      <c r="CO47" s="63" t="str">
        <f t="shared" si="18"/>
        <v>1947</v>
      </c>
      <c r="CP47" s="63" t="str">
        <f t="shared" si="19"/>
        <v>2047</v>
      </c>
      <c r="CQ47" s="63" t="str">
        <f t="shared" si="20"/>
        <v>2147</v>
      </c>
      <c r="CR47" s="63" t="str">
        <f t="shared" si="21"/>
        <v>2247</v>
      </c>
      <c r="CS47" s="63" t="str">
        <f t="shared" si="22"/>
        <v>2347</v>
      </c>
      <c r="CT47" s="63" t="str">
        <f t="shared" si="23"/>
        <v>2447</v>
      </c>
      <c r="CU47" s="63" t="str">
        <f t="shared" si="24"/>
        <v>2547</v>
      </c>
      <c r="CV47" s="63" t="str">
        <f t="shared" si="25"/>
        <v>2647</v>
      </c>
      <c r="CW47" s="63" t="str">
        <f t="shared" si="26"/>
        <v>2747</v>
      </c>
      <c r="CX47" s="63" t="str">
        <f t="shared" si="27"/>
        <v>2847</v>
      </c>
      <c r="CY47" s="63" t="str">
        <f t="shared" si="28"/>
        <v>2947</v>
      </c>
      <c r="CZ47" s="63" t="str">
        <f t="shared" si="29"/>
        <v>3047</v>
      </c>
      <c r="DA47" s="63" t="str">
        <f t="shared" si="30"/>
        <v>3147</v>
      </c>
      <c r="DB47" s="63" t="str">
        <f t="shared" si="31"/>
        <v>3247</v>
      </c>
      <c r="DD47" s="72" t="s">
        <v>176</v>
      </c>
      <c r="DE47" s="77">
        <f t="shared" si="36"/>
        <v>1.6850000000000001</v>
      </c>
      <c r="DF47" s="77">
        <f t="shared" si="35"/>
        <v>1.714</v>
      </c>
      <c r="DG47" s="77">
        <f t="shared" si="35"/>
        <v>1.7410000000000001</v>
      </c>
      <c r="DH47" s="77">
        <f t="shared" si="35"/>
        <v>1.774</v>
      </c>
      <c r="DI47" s="77">
        <f t="shared" si="35"/>
        <v>1.802</v>
      </c>
      <c r="DJ47" s="77">
        <f t="shared" si="35"/>
        <v>1.8280000000000001</v>
      </c>
      <c r="DK47" s="77">
        <f t="shared" si="35"/>
        <v>1.853</v>
      </c>
      <c r="DL47" s="77">
        <f t="shared" si="35"/>
        <v>1.877</v>
      </c>
      <c r="DM47" s="77">
        <f t="shared" si="35"/>
        <v>1.899</v>
      </c>
      <c r="DN47" s="77">
        <f t="shared" si="35"/>
        <v>1.921</v>
      </c>
      <c r="DO47" s="77">
        <f t="shared" si="35"/>
        <v>1.9410000000000001</v>
      </c>
      <c r="DP47" s="77">
        <f t="shared" si="35"/>
        <v>1.962</v>
      </c>
      <c r="DQ47" s="77">
        <f t="shared" si="35"/>
        <v>1.9850000000000001</v>
      </c>
      <c r="DR47" s="77">
        <f t="shared" si="35"/>
        <v>2.0099999999999998</v>
      </c>
      <c r="DS47" s="77">
        <f t="shared" si="35"/>
        <v>2.0379999999999998</v>
      </c>
      <c r="DT47" s="77">
        <f t="shared" si="35"/>
        <v>2.0659999999999998</v>
      </c>
      <c r="DU47" s="77">
        <f t="shared" si="33"/>
        <v>2.0840000000000001</v>
      </c>
      <c r="DV47" s="77">
        <f t="shared" si="33"/>
        <v>2.1219999999999999</v>
      </c>
      <c r="DW47" s="77">
        <f t="shared" si="33"/>
        <v>2.149</v>
      </c>
      <c r="DX47" s="77">
        <f t="shared" si="33"/>
        <v>2.1749999999999998</v>
      </c>
      <c r="DY47" s="77">
        <f t="shared" si="34"/>
        <v>2.2010000000000001</v>
      </c>
      <c r="DZ47" s="77">
        <f t="shared" si="34"/>
        <v>2.2269999999999999</v>
      </c>
      <c r="EA47" s="77">
        <f t="shared" si="34"/>
        <v>2.2519999999999998</v>
      </c>
      <c r="EB47" s="77">
        <f t="shared" si="34"/>
        <v>2.2759999999999998</v>
      </c>
      <c r="EC47" s="77">
        <f t="shared" si="34"/>
        <v>2.2999999999999998</v>
      </c>
      <c r="ED47" s="77">
        <f t="shared" si="34"/>
        <v>2.3239999999999998</v>
      </c>
      <c r="EE47" s="77">
        <f t="shared" si="34"/>
        <v>2.347</v>
      </c>
      <c r="EF47" s="77">
        <f t="shared" si="34"/>
        <v>2.37</v>
      </c>
      <c r="EG47" s="77">
        <f t="shared" si="34"/>
        <v>2.3929999999999998</v>
      </c>
    </row>
    <row r="48" spans="1:137" ht="12.6" customHeight="1">
      <c r="A48" s="73">
        <v>48</v>
      </c>
      <c r="B48" s="74">
        <v>1.7070000000000001</v>
      </c>
      <c r="C48" s="74">
        <v>1.736</v>
      </c>
      <c r="D48" s="74">
        <v>1.7810000000000001</v>
      </c>
      <c r="E48" s="74">
        <v>1.7950000000000004</v>
      </c>
      <c r="F48" s="74">
        <v>1.8220000000000001</v>
      </c>
      <c r="G48" s="74">
        <v>1.8480000000000003</v>
      </c>
      <c r="H48" s="74">
        <v>1.8730000000000002</v>
      </c>
      <c r="I48" s="74">
        <v>1.8970000000000002</v>
      </c>
      <c r="J48" s="74">
        <v>1.9200000000000004</v>
      </c>
      <c r="K48" s="74">
        <v>1.9410000000000003</v>
      </c>
      <c r="L48" s="74">
        <v>1.9620000000000002</v>
      </c>
      <c r="M48" s="74">
        <v>1.9820000000000002</v>
      </c>
      <c r="N48" s="74">
        <v>2.0050000000000003</v>
      </c>
      <c r="O48" s="74">
        <v>2.0300000000000002</v>
      </c>
      <c r="P48" s="74">
        <v>2.0580000000000003</v>
      </c>
      <c r="Q48" s="74">
        <v>2.0860000000000003</v>
      </c>
      <c r="R48" s="74">
        <v>2.113</v>
      </c>
      <c r="S48" s="74">
        <v>2.14</v>
      </c>
      <c r="T48" s="74">
        <v>2.1670000000000003</v>
      </c>
      <c r="U48" s="74">
        <v>2.1930000000000001</v>
      </c>
      <c r="V48" s="74">
        <v>2.2190000000000003</v>
      </c>
      <c r="W48" s="74">
        <v>2.2440000000000002</v>
      </c>
      <c r="X48" s="74">
        <v>2.2690000000000001</v>
      </c>
      <c r="Y48" s="74">
        <v>2.2930000000000001</v>
      </c>
      <c r="Z48" s="74">
        <v>2.3170000000000002</v>
      </c>
      <c r="AA48" s="74">
        <v>2.3400000000000003</v>
      </c>
      <c r="AB48" s="74">
        <v>2.363</v>
      </c>
      <c r="AC48" s="74">
        <v>2.3860000000000001</v>
      </c>
      <c r="AD48" s="75">
        <v>2.395</v>
      </c>
      <c r="AE48" s="76"/>
      <c r="AF48" s="76"/>
      <c r="AG48" s="76"/>
      <c r="AH48" s="76"/>
      <c r="AI48" s="76"/>
      <c r="AJ48" s="76"/>
      <c r="AK48" s="76"/>
      <c r="AL48" s="76"/>
      <c r="AM48" s="76"/>
      <c r="AN48" s="76"/>
      <c r="AO48" s="76"/>
      <c r="AP48" s="76"/>
      <c r="AQ48" s="76"/>
      <c r="AR48" s="76"/>
      <c r="AS48" s="76"/>
      <c r="BZ48" s="63" t="str">
        <f t="shared" si="4"/>
        <v>448</v>
      </c>
      <c r="CA48" s="63" t="str">
        <f t="shared" si="1"/>
        <v>548</v>
      </c>
      <c r="CB48" s="63" t="str">
        <f t="shared" si="5"/>
        <v>648</v>
      </c>
      <c r="CC48" s="63" t="str">
        <f t="shared" si="6"/>
        <v>748</v>
      </c>
      <c r="CD48" s="63" t="str">
        <f t="shared" si="7"/>
        <v>848</v>
      </c>
      <c r="CE48" s="63" t="str">
        <f t="shared" si="8"/>
        <v>948</v>
      </c>
      <c r="CF48" s="63" t="str">
        <f t="shared" si="9"/>
        <v>1048</v>
      </c>
      <c r="CG48" s="63" t="str">
        <f t="shared" si="10"/>
        <v>1148</v>
      </c>
      <c r="CH48" s="63" t="str">
        <f t="shared" si="11"/>
        <v>1248</v>
      </c>
      <c r="CI48" s="63" t="str">
        <f t="shared" si="12"/>
        <v>1348</v>
      </c>
      <c r="CJ48" s="63" t="str">
        <f t="shared" si="13"/>
        <v>1448</v>
      </c>
      <c r="CK48" s="63" t="str">
        <f t="shared" si="14"/>
        <v>1548</v>
      </c>
      <c r="CL48" s="63" t="str">
        <f t="shared" si="15"/>
        <v>1648</v>
      </c>
      <c r="CM48" s="63" t="str">
        <f t="shared" si="16"/>
        <v>1748</v>
      </c>
      <c r="CN48" s="63" t="str">
        <f t="shared" si="17"/>
        <v>1848</v>
      </c>
      <c r="CO48" s="63" t="str">
        <f t="shared" si="18"/>
        <v>1948</v>
      </c>
      <c r="CP48" s="63" t="str">
        <f t="shared" si="19"/>
        <v>2048</v>
      </c>
      <c r="CQ48" s="63" t="str">
        <f t="shared" si="20"/>
        <v>2148</v>
      </c>
      <c r="CR48" s="63" t="str">
        <f t="shared" si="21"/>
        <v>2248</v>
      </c>
      <c r="CS48" s="63" t="str">
        <f t="shared" si="22"/>
        <v>2348</v>
      </c>
      <c r="CT48" s="63" t="str">
        <f t="shared" si="23"/>
        <v>2448</v>
      </c>
      <c r="CU48" s="63" t="str">
        <f t="shared" si="24"/>
        <v>2548</v>
      </c>
      <c r="CV48" s="63" t="str">
        <f t="shared" si="25"/>
        <v>2648</v>
      </c>
      <c r="CW48" s="63" t="str">
        <f t="shared" si="26"/>
        <v>2748</v>
      </c>
      <c r="CX48" s="63" t="str">
        <f t="shared" si="27"/>
        <v>2848</v>
      </c>
      <c r="CY48" s="63" t="str">
        <f t="shared" si="28"/>
        <v>2948</v>
      </c>
      <c r="CZ48" s="63" t="str">
        <f t="shared" si="29"/>
        <v>3048</v>
      </c>
      <c r="DA48" s="63" t="str">
        <f t="shared" si="30"/>
        <v>3148</v>
      </c>
      <c r="DB48" s="63" t="str">
        <f t="shared" si="31"/>
        <v>3248</v>
      </c>
      <c r="DD48" s="72" t="s">
        <v>177</v>
      </c>
      <c r="DE48" s="77">
        <f t="shared" si="36"/>
        <v>1.7070000000000001</v>
      </c>
      <c r="DF48" s="77">
        <f t="shared" si="35"/>
        <v>1.736</v>
      </c>
      <c r="DG48" s="77">
        <f t="shared" si="35"/>
        <v>1.7809999999999999</v>
      </c>
      <c r="DH48" s="77">
        <f t="shared" si="35"/>
        <v>1.7949999999999999</v>
      </c>
      <c r="DI48" s="77">
        <f t="shared" si="35"/>
        <v>1.8220000000000001</v>
      </c>
      <c r="DJ48" s="77">
        <f t="shared" si="35"/>
        <v>1.8480000000000001</v>
      </c>
      <c r="DK48" s="77">
        <f t="shared" si="35"/>
        <v>1.873</v>
      </c>
      <c r="DL48" s="77">
        <f t="shared" si="35"/>
        <v>1.897</v>
      </c>
      <c r="DM48" s="77">
        <f t="shared" si="35"/>
        <v>1.92</v>
      </c>
      <c r="DN48" s="77">
        <f t="shared" si="35"/>
        <v>1.9410000000000001</v>
      </c>
      <c r="DO48" s="77">
        <f t="shared" si="35"/>
        <v>1.962</v>
      </c>
      <c r="DP48" s="77">
        <f t="shared" si="35"/>
        <v>1.982</v>
      </c>
      <c r="DQ48" s="77">
        <f t="shared" si="35"/>
        <v>2.0049999999999999</v>
      </c>
      <c r="DR48" s="77">
        <f t="shared" si="35"/>
        <v>2.0299999999999998</v>
      </c>
      <c r="DS48" s="77">
        <f t="shared" si="35"/>
        <v>2.0579999999999998</v>
      </c>
      <c r="DT48" s="77">
        <f t="shared" si="35"/>
        <v>2.0859999999999999</v>
      </c>
      <c r="DU48" s="77">
        <f t="shared" si="33"/>
        <v>2.113</v>
      </c>
      <c r="DV48" s="77">
        <f t="shared" si="33"/>
        <v>2.14</v>
      </c>
      <c r="DW48" s="77">
        <f t="shared" si="33"/>
        <v>2.1669999999999998</v>
      </c>
      <c r="DX48" s="77">
        <f t="shared" si="33"/>
        <v>2.1930000000000001</v>
      </c>
      <c r="DY48" s="77">
        <f t="shared" si="34"/>
        <v>2.2189999999999999</v>
      </c>
      <c r="DZ48" s="77">
        <f t="shared" si="34"/>
        <v>2.2440000000000002</v>
      </c>
      <c r="EA48" s="77">
        <f t="shared" si="34"/>
        <v>2.2690000000000001</v>
      </c>
      <c r="EB48" s="77">
        <f t="shared" si="34"/>
        <v>2.2930000000000001</v>
      </c>
      <c r="EC48" s="77">
        <f t="shared" si="34"/>
        <v>2.3170000000000002</v>
      </c>
      <c r="ED48" s="77">
        <f t="shared" si="34"/>
        <v>2.34</v>
      </c>
      <c r="EE48" s="77">
        <f t="shared" si="34"/>
        <v>2.363</v>
      </c>
      <c r="EF48" s="77">
        <f t="shared" si="34"/>
        <v>2.3860000000000001</v>
      </c>
      <c r="EG48" s="77">
        <f t="shared" si="34"/>
        <v>2.395</v>
      </c>
    </row>
    <row r="49" spans="1:137" ht="12.6" customHeight="1">
      <c r="A49" s="73">
        <v>49</v>
      </c>
      <c r="B49" s="74">
        <v>1.7259999999999998</v>
      </c>
      <c r="C49" s="74">
        <v>1.7550000000000001</v>
      </c>
      <c r="D49" s="74">
        <v>1.7840000000000003</v>
      </c>
      <c r="E49" s="74">
        <v>1.8140000000000001</v>
      </c>
      <c r="F49" s="74">
        <v>1.8420000000000001</v>
      </c>
      <c r="G49" s="74">
        <v>1.8680000000000003</v>
      </c>
      <c r="H49" s="74">
        <v>1.8930000000000002</v>
      </c>
      <c r="I49" s="74">
        <v>1.9160000000000004</v>
      </c>
      <c r="J49" s="74">
        <v>1.9360000000000004</v>
      </c>
      <c r="K49" s="74">
        <v>1.96</v>
      </c>
      <c r="L49" s="74">
        <v>1.98</v>
      </c>
      <c r="M49" s="74">
        <v>2.0010000000000003</v>
      </c>
      <c r="N49" s="74">
        <v>2.0230000000000001</v>
      </c>
      <c r="O49" s="74">
        <v>2.048</v>
      </c>
      <c r="P49" s="74">
        <v>2.0760000000000001</v>
      </c>
      <c r="Q49" s="74">
        <v>2.1040000000000001</v>
      </c>
      <c r="R49" s="74">
        <v>2.1310000000000002</v>
      </c>
      <c r="S49" s="74">
        <v>2.1580000000000004</v>
      </c>
      <c r="T49" s="74">
        <v>2.1840000000000002</v>
      </c>
      <c r="U49" s="74">
        <v>2.21</v>
      </c>
      <c r="V49" s="74">
        <v>2.2350000000000003</v>
      </c>
      <c r="W49" s="74">
        <v>2.2600000000000002</v>
      </c>
      <c r="X49" s="74">
        <v>2.2840000000000003</v>
      </c>
      <c r="Y49" s="74">
        <v>2.3080000000000003</v>
      </c>
      <c r="Z49" s="74">
        <v>2.331</v>
      </c>
      <c r="AA49" s="74">
        <v>2.3540000000000001</v>
      </c>
      <c r="AB49" s="74">
        <v>2.3770000000000002</v>
      </c>
      <c r="AC49" s="74">
        <v>2.399</v>
      </c>
      <c r="AD49" s="75">
        <v>2.4200000000000004</v>
      </c>
      <c r="AE49" s="76"/>
      <c r="AF49" s="76"/>
      <c r="AG49" s="76"/>
      <c r="AH49" s="76"/>
      <c r="AI49" s="76"/>
      <c r="AJ49" s="76"/>
      <c r="AK49" s="76"/>
      <c r="AL49" s="76"/>
      <c r="AM49" s="76"/>
      <c r="AN49" s="76"/>
      <c r="AO49" s="76"/>
      <c r="AP49" s="76"/>
      <c r="AQ49" s="76"/>
      <c r="AR49" s="76"/>
      <c r="AS49" s="76"/>
      <c r="BZ49" s="63" t="str">
        <f t="shared" si="4"/>
        <v>449</v>
      </c>
      <c r="CA49" s="63" t="str">
        <f t="shared" si="1"/>
        <v>549</v>
      </c>
      <c r="CB49" s="63" t="str">
        <f t="shared" si="5"/>
        <v>649</v>
      </c>
      <c r="CC49" s="63" t="str">
        <f t="shared" si="6"/>
        <v>749</v>
      </c>
      <c r="CD49" s="63" t="str">
        <f t="shared" si="7"/>
        <v>849</v>
      </c>
      <c r="CE49" s="63" t="str">
        <f t="shared" si="8"/>
        <v>949</v>
      </c>
      <c r="CF49" s="63" t="str">
        <f t="shared" si="9"/>
        <v>1049</v>
      </c>
      <c r="CG49" s="63" t="str">
        <f t="shared" si="10"/>
        <v>1149</v>
      </c>
      <c r="CH49" s="63" t="str">
        <f t="shared" si="11"/>
        <v>1249</v>
      </c>
      <c r="CI49" s="63" t="str">
        <f t="shared" si="12"/>
        <v>1349</v>
      </c>
      <c r="CJ49" s="63" t="str">
        <f t="shared" si="13"/>
        <v>1449</v>
      </c>
      <c r="CK49" s="63" t="str">
        <f t="shared" si="14"/>
        <v>1549</v>
      </c>
      <c r="CL49" s="63" t="str">
        <f t="shared" si="15"/>
        <v>1649</v>
      </c>
      <c r="CM49" s="63" t="str">
        <f t="shared" si="16"/>
        <v>1749</v>
      </c>
      <c r="CN49" s="63" t="str">
        <f t="shared" si="17"/>
        <v>1849</v>
      </c>
      <c r="CO49" s="63" t="str">
        <f t="shared" si="18"/>
        <v>1949</v>
      </c>
      <c r="CP49" s="63" t="str">
        <f t="shared" si="19"/>
        <v>2049</v>
      </c>
      <c r="CQ49" s="63" t="str">
        <f t="shared" si="20"/>
        <v>2149</v>
      </c>
      <c r="CR49" s="63" t="str">
        <f t="shared" si="21"/>
        <v>2249</v>
      </c>
      <c r="CS49" s="63" t="str">
        <f t="shared" si="22"/>
        <v>2349</v>
      </c>
      <c r="CT49" s="63" t="str">
        <f t="shared" si="23"/>
        <v>2449</v>
      </c>
      <c r="CU49" s="63" t="str">
        <f t="shared" si="24"/>
        <v>2549</v>
      </c>
      <c r="CV49" s="63" t="str">
        <f t="shared" si="25"/>
        <v>2649</v>
      </c>
      <c r="CW49" s="63" t="str">
        <f t="shared" si="26"/>
        <v>2749</v>
      </c>
      <c r="CX49" s="63" t="str">
        <f t="shared" si="27"/>
        <v>2849</v>
      </c>
      <c r="CY49" s="63" t="str">
        <f t="shared" si="28"/>
        <v>2949</v>
      </c>
      <c r="CZ49" s="63" t="str">
        <f t="shared" si="29"/>
        <v>3049</v>
      </c>
      <c r="DA49" s="63" t="str">
        <f t="shared" si="30"/>
        <v>3149</v>
      </c>
      <c r="DB49" s="63" t="str">
        <f t="shared" si="31"/>
        <v>3249</v>
      </c>
      <c r="DD49" s="72" t="s">
        <v>178</v>
      </c>
      <c r="DE49" s="77">
        <f t="shared" si="36"/>
        <v>1.726</v>
      </c>
      <c r="DF49" s="77">
        <f t="shared" si="35"/>
        <v>1.7549999999999999</v>
      </c>
      <c r="DG49" s="77">
        <f t="shared" si="35"/>
        <v>1.784</v>
      </c>
      <c r="DH49" s="77">
        <f t="shared" si="35"/>
        <v>1.8140000000000001</v>
      </c>
      <c r="DI49" s="77">
        <f t="shared" si="35"/>
        <v>1.8420000000000001</v>
      </c>
      <c r="DJ49" s="77">
        <f t="shared" si="35"/>
        <v>1.8680000000000001</v>
      </c>
      <c r="DK49" s="77">
        <f t="shared" si="35"/>
        <v>1.893</v>
      </c>
      <c r="DL49" s="77">
        <f t="shared" si="35"/>
        <v>1.9159999999999999</v>
      </c>
      <c r="DM49" s="77">
        <f t="shared" si="35"/>
        <v>1.9359999999999999</v>
      </c>
      <c r="DN49" s="77">
        <f t="shared" si="35"/>
        <v>1.96</v>
      </c>
      <c r="DO49" s="77">
        <f t="shared" si="35"/>
        <v>1.98</v>
      </c>
      <c r="DP49" s="77">
        <f t="shared" si="35"/>
        <v>2.0009999999999999</v>
      </c>
      <c r="DQ49" s="77">
        <f t="shared" si="35"/>
        <v>2.0230000000000001</v>
      </c>
      <c r="DR49" s="77">
        <f t="shared" si="35"/>
        <v>2.048</v>
      </c>
      <c r="DS49" s="77">
        <f t="shared" si="35"/>
        <v>2.0760000000000001</v>
      </c>
      <c r="DT49" s="77">
        <f t="shared" si="35"/>
        <v>2.1040000000000001</v>
      </c>
      <c r="DU49" s="77">
        <f t="shared" si="33"/>
        <v>2.1309999999999998</v>
      </c>
      <c r="DV49" s="77">
        <f t="shared" si="33"/>
        <v>2.1579999999999999</v>
      </c>
      <c r="DW49" s="77">
        <f t="shared" si="33"/>
        <v>2.1840000000000002</v>
      </c>
      <c r="DX49" s="77">
        <f t="shared" si="33"/>
        <v>2.21</v>
      </c>
      <c r="DY49" s="77">
        <f t="shared" si="34"/>
        <v>2.2349999999999999</v>
      </c>
      <c r="DZ49" s="77">
        <f t="shared" si="34"/>
        <v>2.2599999999999998</v>
      </c>
      <c r="EA49" s="77">
        <f t="shared" si="34"/>
        <v>2.2839999999999998</v>
      </c>
      <c r="EB49" s="77">
        <f t="shared" si="34"/>
        <v>2.3079999999999998</v>
      </c>
      <c r="EC49" s="77">
        <f t="shared" si="34"/>
        <v>2.331</v>
      </c>
      <c r="ED49" s="77">
        <f t="shared" si="34"/>
        <v>2.3540000000000001</v>
      </c>
      <c r="EE49" s="77">
        <f t="shared" si="34"/>
        <v>2.3769999999999998</v>
      </c>
      <c r="EF49" s="77">
        <f t="shared" si="34"/>
        <v>2.399</v>
      </c>
      <c r="EG49" s="77">
        <f t="shared" si="34"/>
        <v>2.42</v>
      </c>
    </row>
    <row r="50" spans="1:137" ht="12.6" customHeight="1">
      <c r="A50" s="73">
        <v>50</v>
      </c>
      <c r="B50" s="74">
        <v>1.7470000000000001</v>
      </c>
      <c r="C50" s="74">
        <v>1.7750000000000004</v>
      </c>
      <c r="D50" s="74">
        <v>1.8030000000000004</v>
      </c>
      <c r="E50" s="74">
        <v>1.8330000000000002</v>
      </c>
      <c r="F50" s="74">
        <v>1.8600000000000003</v>
      </c>
      <c r="G50" s="74">
        <v>1.8860000000000001</v>
      </c>
      <c r="H50" s="74">
        <v>1.9010000000000002</v>
      </c>
      <c r="I50" s="74">
        <v>1.9340000000000002</v>
      </c>
      <c r="J50" s="74">
        <v>1.9570000000000003</v>
      </c>
      <c r="K50" s="74">
        <v>1.9780000000000002</v>
      </c>
      <c r="L50" s="74">
        <v>1.9980000000000002</v>
      </c>
      <c r="M50" s="74">
        <v>2.0180000000000002</v>
      </c>
      <c r="N50" s="74">
        <v>2.0410000000000004</v>
      </c>
      <c r="O50" s="74">
        <v>2.0660000000000003</v>
      </c>
      <c r="P50" s="74">
        <v>2.093</v>
      </c>
      <c r="Q50" s="74">
        <v>2.12</v>
      </c>
      <c r="R50" s="74">
        <v>2.1470000000000002</v>
      </c>
      <c r="S50" s="74">
        <v>2.1740000000000004</v>
      </c>
      <c r="T50" s="74">
        <v>2.2000000000000002</v>
      </c>
      <c r="U50" s="74">
        <v>2.2250000000000001</v>
      </c>
      <c r="V50" s="74">
        <v>2.25</v>
      </c>
      <c r="W50" s="74">
        <v>2.274</v>
      </c>
      <c r="X50" s="74">
        <v>2.298</v>
      </c>
      <c r="Y50" s="74">
        <v>2.3210000000000002</v>
      </c>
      <c r="Z50" s="74">
        <v>2.3440000000000003</v>
      </c>
      <c r="AA50" s="74">
        <v>2.367</v>
      </c>
      <c r="AB50" s="74">
        <v>2.3890000000000002</v>
      </c>
      <c r="AC50" s="74">
        <v>2.41</v>
      </c>
      <c r="AD50" s="75">
        <v>2.431</v>
      </c>
      <c r="AE50" s="76"/>
      <c r="AF50" s="76"/>
      <c r="AG50" s="76"/>
      <c r="AH50" s="76"/>
      <c r="AI50" s="76"/>
      <c r="AJ50" s="76"/>
      <c r="AK50" s="76"/>
      <c r="AL50" s="76"/>
      <c r="AM50" s="76"/>
      <c r="AN50" s="76"/>
      <c r="AO50" s="76"/>
      <c r="AP50" s="76"/>
      <c r="AQ50" s="76"/>
      <c r="AR50" s="76"/>
      <c r="AS50" s="76"/>
      <c r="BZ50" s="63" t="str">
        <f t="shared" si="4"/>
        <v>450</v>
      </c>
      <c r="CA50" s="63" t="str">
        <f t="shared" si="1"/>
        <v>550</v>
      </c>
      <c r="CB50" s="63" t="str">
        <f t="shared" si="5"/>
        <v>650</v>
      </c>
      <c r="CC50" s="63" t="str">
        <f t="shared" si="6"/>
        <v>750</v>
      </c>
      <c r="CD50" s="63" t="str">
        <f t="shared" si="7"/>
        <v>850</v>
      </c>
      <c r="CE50" s="63" t="str">
        <f t="shared" si="8"/>
        <v>950</v>
      </c>
      <c r="CF50" s="63" t="str">
        <f t="shared" si="9"/>
        <v>1050</v>
      </c>
      <c r="CG50" s="63" t="str">
        <f t="shared" si="10"/>
        <v>1150</v>
      </c>
      <c r="CH50" s="63" t="str">
        <f t="shared" si="11"/>
        <v>1250</v>
      </c>
      <c r="CI50" s="63" t="str">
        <f t="shared" si="12"/>
        <v>1350</v>
      </c>
      <c r="CJ50" s="63" t="str">
        <f t="shared" si="13"/>
        <v>1450</v>
      </c>
      <c r="CK50" s="63" t="str">
        <f t="shared" si="14"/>
        <v>1550</v>
      </c>
      <c r="CL50" s="63" t="str">
        <f t="shared" si="15"/>
        <v>1650</v>
      </c>
      <c r="CM50" s="63" t="str">
        <f t="shared" si="16"/>
        <v>1750</v>
      </c>
      <c r="CN50" s="63" t="str">
        <f t="shared" si="17"/>
        <v>1850</v>
      </c>
      <c r="CO50" s="63" t="str">
        <f t="shared" si="18"/>
        <v>1950</v>
      </c>
      <c r="CP50" s="63" t="str">
        <f t="shared" si="19"/>
        <v>2050</v>
      </c>
      <c r="CQ50" s="63" t="str">
        <f t="shared" si="20"/>
        <v>2150</v>
      </c>
      <c r="CR50" s="63" t="str">
        <f t="shared" si="21"/>
        <v>2250</v>
      </c>
      <c r="CS50" s="63" t="str">
        <f t="shared" si="22"/>
        <v>2350</v>
      </c>
      <c r="CT50" s="63" t="str">
        <f t="shared" si="23"/>
        <v>2450</v>
      </c>
      <c r="CU50" s="63" t="str">
        <f t="shared" si="24"/>
        <v>2550</v>
      </c>
      <c r="CV50" s="63" t="str">
        <f t="shared" si="25"/>
        <v>2650</v>
      </c>
      <c r="CW50" s="63" t="str">
        <f t="shared" si="26"/>
        <v>2750</v>
      </c>
      <c r="CX50" s="63" t="str">
        <f t="shared" si="27"/>
        <v>2850</v>
      </c>
      <c r="CY50" s="63" t="str">
        <f t="shared" si="28"/>
        <v>2950</v>
      </c>
      <c r="CZ50" s="63" t="str">
        <f t="shared" si="29"/>
        <v>3050</v>
      </c>
      <c r="DA50" s="63" t="str">
        <f t="shared" si="30"/>
        <v>3150</v>
      </c>
      <c r="DB50" s="63" t="str">
        <f t="shared" si="31"/>
        <v>3250</v>
      </c>
      <c r="DD50" s="72" t="s">
        <v>179</v>
      </c>
      <c r="DE50" s="77">
        <f t="shared" si="36"/>
        <v>1.7470000000000001</v>
      </c>
      <c r="DF50" s="77">
        <f t="shared" si="35"/>
        <v>1.7749999999999999</v>
      </c>
      <c r="DG50" s="77">
        <f t="shared" si="35"/>
        <v>1.8029999999999999</v>
      </c>
      <c r="DH50" s="77">
        <f t="shared" si="35"/>
        <v>1.833</v>
      </c>
      <c r="DI50" s="77">
        <f t="shared" si="35"/>
        <v>1.86</v>
      </c>
      <c r="DJ50" s="77">
        <f t="shared" si="35"/>
        <v>1.8859999999999999</v>
      </c>
      <c r="DK50" s="77">
        <f t="shared" si="35"/>
        <v>1.901</v>
      </c>
      <c r="DL50" s="77">
        <f t="shared" si="35"/>
        <v>1.9339999999999999</v>
      </c>
      <c r="DM50" s="77">
        <f t="shared" si="35"/>
        <v>1.9570000000000001</v>
      </c>
      <c r="DN50" s="77">
        <f t="shared" si="35"/>
        <v>1.978</v>
      </c>
      <c r="DO50" s="77">
        <f t="shared" si="35"/>
        <v>1.998</v>
      </c>
      <c r="DP50" s="77">
        <f t="shared" si="35"/>
        <v>2.0179999999999998</v>
      </c>
      <c r="DQ50" s="77">
        <f t="shared" si="35"/>
        <v>2.0409999999999999</v>
      </c>
      <c r="DR50" s="77">
        <f t="shared" si="35"/>
        <v>2.0659999999999998</v>
      </c>
      <c r="DS50" s="77">
        <f t="shared" si="35"/>
        <v>2.093</v>
      </c>
      <c r="DT50" s="77">
        <f t="shared" si="35"/>
        <v>2.12</v>
      </c>
      <c r="DU50" s="77">
        <f t="shared" si="33"/>
        <v>2.1469999999999998</v>
      </c>
      <c r="DV50" s="77">
        <f t="shared" si="33"/>
        <v>2.1739999999999999</v>
      </c>
      <c r="DW50" s="77">
        <f t="shared" si="33"/>
        <v>2.2000000000000002</v>
      </c>
      <c r="DX50" s="77">
        <f t="shared" si="33"/>
        <v>2.2250000000000001</v>
      </c>
      <c r="DY50" s="77">
        <f t="shared" si="34"/>
        <v>2.25</v>
      </c>
      <c r="DZ50" s="77">
        <f t="shared" si="34"/>
        <v>2.274</v>
      </c>
      <c r="EA50" s="77">
        <f t="shared" si="34"/>
        <v>2.298</v>
      </c>
      <c r="EB50" s="77">
        <f t="shared" si="34"/>
        <v>2.3210000000000002</v>
      </c>
      <c r="EC50" s="77">
        <f t="shared" si="34"/>
        <v>2.3439999999999999</v>
      </c>
      <c r="ED50" s="77">
        <f t="shared" si="34"/>
        <v>2.367</v>
      </c>
      <c r="EE50" s="77">
        <f t="shared" si="34"/>
        <v>2.3889999999999998</v>
      </c>
      <c r="EF50" s="77">
        <f t="shared" si="34"/>
        <v>2.41</v>
      </c>
      <c r="EG50" s="77">
        <f t="shared" si="34"/>
        <v>2.431</v>
      </c>
    </row>
    <row r="51" spans="1:137" ht="12.6" customHeight="1">
      <c r="A51" s="73">
        <v>51</v>
      </c>
      <c r="B51" s="74">
        <v>1.7649999999999999</v>
      </c>
      <c r="C51" s="74">
        <v>1.7930000000000001</v>
      </c>
      <c r="D51" s="74">
        <v>1.8210000000000002</v>
      </c>
      <c r="E51" s="74">
        <v>1.851</v>
      </c>
      <c r="F51" s="74">
        <v>1.8780000000000001</v>
      </c>
      <c r="G51" s="74">
        <v>1.9010000000000002</v>
      </c>
      <c r="H51" s="74">
        <v>1.9280000000000004</v>
      </c>
      <c r="I51" s="74">
        <v>1.9510000000000001</v>
      </c>
      <c r="J51" s="74">
        <v>1.9740000000000002</v>
      </c>
      <c r="K51" s="74">
        <v>1.9950000000000001</v>
      </c>
      <c r="L51" s="74">
        <v>2.0150000000000001</v>
      </c>
      <c r="M51" s="74">
        <v>2.0350000000000001</v>
      </c>
      <c r="N51" s="74">
        <v>2.0570000000000004</v>
      </c>
      <c r="O51" s="74">
        <v>2.0820000000000003</v>
      </c>
      <c r="P51" s="74">
        <v>2.1</v>
      </c>
      <c r="Q51" s="74">
        <v>2.1300000000000003</v>
      </c>
      <c r="R51" s="74">
        <v>2.1620000000000004</v>
      </c>
      <c r="S51" s="74">
        <v>2.1880000000000002</v>
      </c>
      <c r="T51" s="74">
        <v>2.214</v>
      </c>
      <c r="U51" s="74">
        <v>2.2390000000000003</v>
      </c>
      <c r="V51" s="74">
        <v>2.2630000000000003</v>
      </c>
      <c r="W51" s="74">
        <v>2.2870000000000004</v>
      </c>
      <c r="X51" s="74">
        <v>2.3110000000000004</v>
      </c>
      <c r="Y51" s="74">
        <v>2.3340000000000001</v>
      </c>
      <c r="Z51" s="74">
        <v>2.3560000000000003</v>
      </c>
      <c r="AA51" s="74">
        <v>2.3780000000000001</v>
      </c>
      <c r="AB51" s="74">
        <v>2.4000000000000004</v>
      </c>
      <c r="AC51" s="74">
        <v>2.4210000000000003</v>
      </c>
      <c r="AD51" s="75">
        <v>2.4410000000000003</v>
      </c>
      <c r="AE51" s="76"/>
      <c r="AF51" s="76"/>
      <c r="AG51" s="76"/>
      <c r="AH51" s="76"/>
      <c r="AI51" s="76"/>
      <c r="AJ51" s="76"/>
      <c r="AK51" s="76"/>
      <c r="AL51" s="76"/>
      <c r="AM51" s="76"/>
      <c r="AN51" s="76"/>
      <c r="AO51" s="76"/>
      <c r="AP51" s="76"/>
      <c r="AQ51" s="76"/>
      <c r="AR51" s="76"/>
      <c r="AS51" s="76"/>
      <c r="BZ51" s="63" t="str">
        <f t="shared" si="4"/>
        <v>451</v>
      </c>
      <c r="CA51" s="63" t="str">
        <f t="shared" si="1"/>
        <v>551</v>
      </c>
      <c r="CB51" s="63" t="str">
        <f t="shared" si="5"/>
        <v>651</v>
      </c>
      <c r="CC51" s="63" t="str">
        <f t="shared" si="6"/>
        <v>751</v>
      </c>
      <c r="CD51" s="63" t="str">
        <f t="shared" si="7"/>
        <v>851</v>
      </c>
      <c r="CE51" s="63" t="str">
        <f t="shared" si="8"/>
        <v>951</v>
      </c>
      <c r="CF51" s="63" t="str">
        <f t="shared" si="9"/>
        <v>1051</v>
      </c>
      <c r="CG51" s="63" t="str">
        <f t="shared" si="10"/>
        <v>1151</v>
      </c>
      <c r="CH51" s="63" t="str">
        <f t="shared" si="11"/>
        <v>1251</v>
      </c>
      <c r="CI51" s="63" t="str">
        <f t="shared" si="12"/>
        <v>1351</v>
      </c>
      <c r="CJ51" s="63" t="str">
        <f t="shared" si="13"/>
        <v>1451</v>
      </c>
      <c r="CK51" s="63" t="str">
        <f t="shared" si="14"/>
        <v>1551</v>
      </c>
      <c r="CL51" s="63" t="str">
        <f t="shared" si="15"/>
        <v>1651</v>
      </c>
      <c r="CM51" s="63" t="str">
        <f t="shared" si="16"/>
        <v>1751</v>
      </c>
      <c r="CN51" s="63" t="str">
        <f t="shared" si="17"/>
        <v>1851</v>
      </c>
      <c r="CO51" s="63" t="str">
        <f t="shared" si="18"/>
        <v>1951</v>
      </c>
      <c r="CP51" s="63" t="str">
        <f t="shared" si="19"/>
        <v>2051</v>
      </c>
      <c r="CQ51" s="63" t="str">
        <f t="shared" si="20"/>
        <v>2151</v>
      </c>
      <c r="CR51" s="63" t="str">
        <f t="shared" si="21"/>
        <v>2251</v>
      </c>
      <c r="CS51" s="63" t="str">
        <f t="shared" si="22"/>
        <v>2351</v>
      </c>
      <c r="CT51" s="63" t="str">
        <f t="shared" si="23"/>
        <v>2451</v>
      </c>
      <c r="CU51" s="63" t="str">
        <f t="shared" si="24"/>
        <v>2551</v>
      </c>
      <c r="CV51" s="63" t="str">
        <f t="shared" si="25"/>
        <v>2651</v>
      </c>
      <c r="CW51" s="63" t="str">
        <f t="shared" si="26"/>
        <v>2751</v>
      </c>
      <c r="CX51" s="63" t="str">
        <f t="shared" si="27"/>
        <v>2851</v>
      </c>
      <c r="CY51" s="63" t="str">
        <f t="shared" si="28"/>
        <v>2951</v>
      </c>
      <c r="CZ51" s="63" t="str">
        <f t="shared" si="29"/>
        <v>3051</v>
      </c>
      <c r="DA51" s="63" t="str">
        <f t="shared" si="30"/>
        <v>3151</v>
      </c>
      <c r="DB51" s="63" t="str">
        <f t="shared" si="31"/>
        <v>3251</v>
      </c>
      <c r="DD51" s="72" t="s">
        <v>180</v>
      </c>
      <c r="DE51" s="77">
        <f t="shared" si="36"/>
        <v>1.7649999999999999</v>
      </c>
      <c r="DF51" s="77">
        <f t="shared" si="35"/>
        <v>1.7929999999999999</v>
      </c>
      <c r="DG51" s="77">
        <f t="shared" si="35"/>
        <v>1.821</v>
      </c>
      <c r="DH51" s="77">
        <f t="shared" si="35"/>
        <v>1.851</v>
      </c>
      <c r="DI51" s="77">
        <f t="shared" si="35"/>
        <v>1.8779999999999999</v>
      </c>
      <c r="DJ51" s="77">
        <f t="shared" si="35"/>
        <v>1.901</v>
      </c>
      <c r="DK51" s="77">
        <f t="shared" si="35"/>
        <v>1.9279999999999999</v>
      </c>
      <c r="DL51" s="77">
        <f t="shared" si="35"/>
        <v>1.9510000000000001</v>
      </c>
      <c r="DM51" s="77">
        <f t="shared" si="35"/>
        <v>1.974</v>
      </c>
      <c r="DN51" s="77">
        <f t="shared" si="35"/>
        <v>1.9950000000000001</v>
      </c>
      <c r="DO51" s="77">
        <f t="shared" si="35"/>
        <v>2.0150000000000001</v>
      </c>
      <c r="DP51" s="77">
        <f t="shared" si="35"/>
        <v>2.0350000000000001</v>
      </c>
      <c r="DQ51" s="77">
        <f t="shared" si="35"/>
        <v>2.0569999999999999</v>
      </c>
      <c r="DR51" s="77">
        <f t="shared" si="35"/>
        <v>2.0819999999999999</v>
      </c>
      <c r="DS51" s="77">
        <f t="shared" si="35"/>
        <v>2.1</v>
      </c>
      <c r="DT51" s="77">
        <f t="shared" si="35"/>
        <v>2.13</v>
      </c>
      <c r="DU51" s="77">
        <f t="shared" si="33"/>
        <v>2.1619999999999999</v>
      </c>
      <c r="DV51" s="77">
        <f t="shared" si="33"/>
        <v>2.1880000000000002</v>
      </c>
      <c r="DW51" s="77">
        <f t="shared" si="33"/>
        <v>2.214</v>
      </c>
      <c r="DX51" s="77">
        <f t="shared" si="33"/>
        <v>2.2389999999999999</v>
      </c>
      <c r="DY51" s="77">
        <f t="shared" si="34"/>
        <v>2.2629999999999999</v>
      </c>
      <c r="DZ51" s="77">
        <f t="shared" si="34"/>
        <v>2.2869999999999999</v>
      </c>
      <c r="EA51" s="77">
        <f t="shared" si="34"/>
        <v>2.3109999999999999</v>
      </c>
      <c r="EB51" s="77">
        <f t="shared" si="34"/>
        <v>2.3340000000000001</v>
      </c>
      <c r="EC51" s="77">
        <f t="shared" si="34"/>
        <v>2.3559999999999999</v>
      </c>
      <c r="ED51" s="77">
        <f t="shared" si="34"/>
        <v>2.3780000000000001</v>
      </c>
      <c r="EE51" s="77">
        <f t="shared" si="34"/>
        <v>2.4</v>
      </c>
      <c r="EF51" s="77">
        <f t="shared" si="34"/>
        <v>2.4209999999999998</v>
      </c>
      <c r="EG51" s="77">
        <f t="shared" si="34"/>
        <v>2.4409999999999998</v>
      </c>
    </row>
    <row r="52" spans="1:137" ht="12.6" customHeight="1">
      <c r="A52" s="73">
        <v>52</v>
      </c>
      <c r="B52" s="74">
        <v>1.782</v>
      </c>
      <c r="C52" s="74">
        <v>1.81</v>
      </c>
      <c r="D52" s="74">
        <v>1.8380000000000001</v>
      </c>
      <c r="E52" s="74">
        <v>1.867</v>
      </c>
      <c r="F52" s="74">
        <v>1.8940000000000001</v>
      </c>
      <c r="G52" s="74">
        <v>1.9200000000000004</v>
      </c>
      <c r="H52" s="74">
        <v>1.9440000000000004</v>
      </c>
      <c r="I52" s="74">
        <v>1.9670000000000001</v>
      </c>
      <c r="J52" s="74">
        <v>1.9890000000000003</v>
      </c>
      <c r="K52" s="74">
        <v>2.0100000000000002</v>
      </c>
      <c r="L52" s="74">
        <v>2.0300000000000002</v>
      </c>
      <c r="M52" s="74">
        <v>2.0500000000000003</v>
      </c>
      <c r="N52" s="74">
        <v>2.0730000000000004</v>
      </c>
      <c r="O52" s="74">
        <v>2.097</v>
      </c>
      <c r="P52" s="74">
        <v>2.1230000000000002</v>
      </c>
      <c r="Q52" s="74">
        <v>2.1500000000000004</v>
      </c>
      <c r="R52" s="74">
        <v>2.1760000000000002</v>
      </c>
      <c r="S52" s="74">
        <v>2.202</v>
      </c>
      <c r="T52" s="74">
        <v>2.2270000000000003</v>
      </c>
      <c r="U52" s="74">
        <v>2.2510000000000003</v>
      </c>
      <c r="V52" s="74">
        <v>2.2750000000000004</v>
      </c>
      <c r="W52" s="74">
        <v>2.2990000000000004</v>
      </c>
      <c r="X52" s="74">
        <v>2.3220000000000001</v>
      </c>
      <c r="Y52" s="74">
        <v>2.3440000000000003</v>
      </c>
      <c r="Z52" s="74">
        <v>2.367</v>
      </c>
      <c r="AA52" s="74">
        <v>2.3880000000000003</v>
      </c>
      <c r="AB52" s="74">
        <v>2.4090000000000003</v>
      </c>
      <c r="AC52" s="74">
        <v>2.4290000000000003</v>
      </c>
      <c r="AD52" s="75">
        <v>2.4490000000000003</v>
      </c>
      <c r="AE52" s="76"/>
      <c r="AF52" s="76"/>
      <c r="AG52" s="76"/>
      <c r="AH52" s="76"/>
      <c r="AI52" s="76"/>
      <c r="AJ52" s="76"/>
      <c r="AK52" s="76"/>
      <c r="AL52" s="76"/>
      <c r="AM52" s="76"/>
      <c r="AN52" s="76"/>
      <c r="AO52" s="76"/>
      <c r="AP52" s="76"/>
      <c r="AQ52" s="76"/>
      <c r="AR52" s="76"/>
      <c r="AS52" s="76"/>
      <c r="BZ52" s="63" t="str">
        <f t="shared" si="4"/>
        <v>452</v>
      </c>
      <c r="CA52" s="63" t="str">
        <f t="shared" si="1"/>
        <v>552</v>
      </c>
      <c r="CB52" s="63" t="str">
        <f t="shared" si="5"/>
        <v>652</v>
      </c>
      <c r="CC52" s="63" t="str">
        <f t="shared" si="6"/>
        <v>752</v>
      </c>
      <c r="CD52" s="63" t="str">
        <f t="shared" si="7"/>
        <v>852</v>
      </c>
      <c r="CE52" s="63" t="str">
        <f t="shared" si="8"/>
        <v>952</v>
      </c>
      <c r="CF52" s="63" t="str">
        <f t="shared" si="9"/>
        <v>1052</v>
      </c>
      <c r="CG52" s="63" t="str">
        <f t="shared" si="10"/>
        <v>1152</v>
      </c>
      <c r="CH52" s="63" t="str">
        <f t="shared" si="11"/>
        <v>1252</v>
      </c>
      <c r="CI52" s="63" t="str">
        <f t="shared" si="12"/>
        <v>1352</v>
      </c>
      <c r="CJ52" s="63" t="str">
        <f t="shared" si="13"/>
        <v>1452</v>
      </c>
      <c r="CK52" s="63" t="str">
        <f t="shared" si="14"/>
        <v>1552</v>
      </c>
      <c r="CL52" s="63" t="str">
        <f t="shared" si="15"/>
        <v>1652</v>
      </c>
      <c r="CM52" s="63" t="str">
        <f t="shared" si="16"/>
        <v>1752</v>
      </c>
      <c r="CN52" s="63" t="str">
        <f t="shared" si="17"/>
        <v>1852</v>
      </c>
      <c r="CO52" s="63" t="str">
        <f t="shared" si="18"/>
        <v>1952</v>
      </c>
      <c r="CP52" s="63" t="str">
        <f t="shared" si="19"/>
        <v>2052</v>
      </c>
      <c r="CQ52" s="63" t="str">
        <f t="shared" si="20"/>
        <v>2152</v>
      </c>
      <c r="CR52" s="63" t="str">
        <f t="shared" si="21"/>
        <v>2252</v>
      </c>
      <c r="CS52" s="63" t="str">
        <f t="shared" si="22"/>
        <v>2352</v>
      </c>
      <c r="CT52" s="63" t="str">
        <f t="shared" si="23"/>
        <v>2452</v>
      </c>
      <c r="CU52" s="63" t="str">
        <f t="shared" si="24"/>
        <v>2552</v>
      </c>
      <c r="CV52" s="63" t="str">
        <f t="shared" si="25"/>
        <v>2652</v>
      </c>
      <c r="CW52" s="63" t="str">
        <f t="shared" si="26"/>
        <v>2752</v>
      </c>
      <c r="CX52" s="63" t="str">
        <f t="shared" si="27"/>
        <v>2852</v>
      </c>
      <c r="CY52" s="63" t="str">
        <f t="shared" si="28"/>
        <v>2952</v>
      </c>
      <c r="CZ52" s="63" t="str">
        <f t="shared" si="29"/>
        <v>3052</v>
      </c>
      <c r="DA52" s="63" t="str">
        <f t="shared" si="30"/>
        <v>3152</v>
      </c>
      <c r="DB52" s="63" t="str">
        <f t="shared" si="31"/>
        <v>3252</v>
      </c>
      <c r="DD52" s="72" t="s">
        <v>181</v>
      </c>
      <c r="DE52" s="77">
        <f t="shared" si="36"/>
        <v>1.782</v>
      </c>
      <c r="DF52" s="77">
        <f t="shared" si="36"/>
        <v>1.81</v>
      </c>
      <c r="DG52" s="77">
        <f t="shared" si="36"/>
        <v>1.8380000000000001</v>
      </c>
      <c r="DH52" s="77">
        <f t="shared" si="36"/>
        <v>1.867</v>
      </c>
      <c r="DI52" s="77">
        <f t="shared" si="36"/>
        <v>1.8939999999999999</v>
      </c>
      <c r="DJ52" s="77">
        <f t="shared" si="36"/>
        <v>1.92</v>
      </c>
      <c r="DK52" s="77">
        <f t="shared" si="36"/>
        <v>1.944</v>
      </c>
      <c r="DL52" s="77">
        <f t="shared" si="36"/>
        <v>1.9670000000000001</v>
      </c>
      <c r="DM52" s="77">
        <f t="shared" si="36"/>
        <v>1.9890000000000001</v>
      </c>
      <c r="DN52" s="77">
        <f t="shared" si="36"/>
        <v>2.0099999999999998</v>
      </c>
      <c r="DO52" s="77">
        <f t="shared" si="36"/>
        <v>2.0299999999999998</v>
      </c>
      <c r="DP52" s="77">
        <f t="shared" si="36"/>
        <v>2.0499999999999998</v>
      </c>
      <c r="DQ52" s="77">
        <f t="shared" si="36"/>
        <v>2.073</v>
      </c>
      <c r="DR52" s="77">
        <f t="shared" si="36"/>
        <v>2.097</v>
      </c>
      <c r="DS52" s="77">
        <f t="shared" si="36"/>
        <v>2.1230000000000002</v>
      </c>
      <c r="DT52" s="77">
        <f t="shared" si="36"/>
        <v>2.15</v>
      </c>
      <c r="DU52" s="77">
        <f t="shared" si="33"/>
        <v>2.1760000000000002</v>
      </c>
      <c r="DV52" s="77">
        <f t="shared" si="33"/>
        <v>2.202</v>
      </c>
      <c r="DW52" s="77">
        <f t="shared" si="33"/>
        <v>2.2269999999999999</v>
      </c>
      <c r="DX52" s="77">
        <f t="shared" si="33"/>
        <v>2.2509999999999999</v>
      </c>
      <c r="DY52" s="77">
        <f t="shared" si="34"/>
        <v>2.2749999999999999</v>
      </c>
      <c r="DZ52" s="77">
        <f t="shared" si="34"/>
        <v>2.2989999999999999</v>
      </c>
      <c r="EA52" s="77">
        <f t="shared" si="34"/>
        <v>2.3220000000000001</v>
      </c>
      <c r="EB52" s="77">
        <f t="shared" si="34"/>
        <v>2.3439999999999999</v>
      </c>
      <c r="EC52" s="77">
        <f t="shared" si="34"/>
        <v>2.367</v>
      </c>
      <c r="ED52" s="77">
        <f t="shared" si="34"/>
        <v>2.3879999999999999</v>
      </c>
      <c r="EE52" s="77">
        <f t="shared" si="34"/>
        <v>2.4089999999999998</v>
      </c>
      <c r="EF52" s="77">
        <f t="shared" si="34"/>
        <v>2.4289999999999998</v>
      </c>
      <c r="EG52" s="77">
        <f t="shared" si="34"/>
        <v>2.4489999999999998</v>
      </c>
    </row>
    <row r="53" spans="1:137" ht="12.6" customHeight="1">
      <c r="A53" s="73">
        <v>53</v>
      </c>
      <c r="B53" s="74">
        <v>1.8010000000000002</v>
      </c>
      <c r="C53" s="74">
        <v>1.8280000000000003</v>
      </c>
      <c r="D53" s="74">
        <v>1.855</v>
      </c>
      <c r="E53" s="74">
        <v>1.8840000000000003</v>
      </c>
      <c r="F53" s="74">
        <v>1.9100000000000001</v>
      </c>
      <c r="G53" s="74">
        <v>1.9350000000000001</v>
      </c>
      <c r="H53" s="74">
        <v>1.9590000000000001</v>
      </c>
      <c r="I53" s="74">
        <v>1.9820000000000002</v>
      </c>
      <c r="J53" s="74">
        <v>2.004</v>
      </c>
      <c r="K53" s="74">
        <v>2.0250000000000004</v>
      </c>
      <c r="L53" s="74">
        <v>2.0450000000000004</v>
      </c>
      <c r="M53" s="74">
        <v>2.0650000000000004</v>
      </c>
      <c r="N53" s="74">
        <v>2.0870000000000002</v>
      </c>
      <c r="O53" s="74">
        <v>2.1110000000000002</v>
      </c>
      <c r="P53" s="74">
        <v>2.137</v>
      </c>
      <c r="Q53" s="74">
        <v>2.1630000000000003</v>
      </c>
      <c r="R53" s="74">
        <v>2.1890000000000001</v>
      </c>
      <c r="S53" s="74">
        <v>2.214</v>
      </c>
      <c r="T53" s="74">
        <v>2.2390000000000003</v>
      </c>
      <c r="U53" s="74">
        <v>2.2630000000000003</v>
      </c>
      <c r="V53" s="74">
        <v>2.2870000000000004</v>
      </c>
      <c r="W53" s="74">
        <v>2.31</v>
      </c>
      <c r="X53" s="74">
        <v>2.3330000000000002</v>
      </c>
      <c r="Y53" s="74">
        <v>2.3540000000000001</v>
      </c>
      <c r="Z53" s="74">
        <v>2.3760000000000003</v>
      </c>
      <c r="AA53" s="74">
        <v>2.3970000000000002</v>
      </c>
      <c r="AB53" s="74">
        <v>2.4170000000000003</v>
      </c>
      <c r="AC53" s="74">
        <v>2.4370000000000003</v>
      </c>
      <c r="AD53" s="75">
        <v>2.4570000000000003</v>
      </c>
      <c r="AE53" s="76"/>
      <c r="AF53" s="76"/>
      <c r="AG53" s="76"/>
      <c r="AH53" s="76"/>
      <c r="AI53" s="76"/>
      <c r="AJ53" s="76"/>
      <c r="AK53" s="76"/>
      <c r="AL53" s="76"/>
      <c r="AM53" s="76"/>
      <c r="AN53" s="76"/>
      <c r="AO53" s="76"/>
      <c r="AP53" s="76"/>
      <c r="AQ53" s="76"/>
      <c r="AR53" s="76"/>
      <c r="AS53" s="76"/>
      <c r="BZ53" s="63" t="str">
        <f t="shared" si="4"/>
        <v>453</v>
      </c>
      <c r="CA53" s="63" t="str">
        <f t="shared" si="1"/>
        <v>553</v>
      </c>
      <c r="CB53" s="63" t="str">
        <f t="shared" si="5"/>
        <v>653</v>
      </c>
      <c r="CC53" s="63" t="str">
        <f t="shared" si="6"/>
        <v>753</v>
      </c>
      <c r="CD53" s="63" t="str">
        <f t="shared" si="7"/>
        <v>853</v>
      </c>
      <c r="CE53" s="63" t="str">
        <f t="shared" si="8"/>
        <v>953</v>
      </c>
      <c r="CF53" s="63" t="str">
        <f t="shared" si="9"/>
        <v>1053</v>
      </c>
      <c r="CG53" s="63" t="str">
        <f t="shared" si="10"/>
        <v>1153</v>
      </c>
      <c r="CH53" s="63" t="str">
        <f t="shared" si="11"/>
        <v>1253</v>
      </c>
      <c r="CI53" s="63" t="str">
        <f t="shared" si="12"/>
        <v>1353</v>
      </c>
      <c r="CJ53" s="63" t="str">
        <f t="shared" si="13"/>
        <v>1453</v>
      </c>
      <c r="CK53" s="63" t="str">
        <f t="shared" si="14"/>
        <v>1553</v>
      </c>
      <c r="CL53" s="63" t="str">
        <f t="shared" si="15"/>
        <v>1653</v>
      </c>
      <c r="CM53" s="63" t="str">
        <f t="shared" si="16"/>
        <v>1753</v>
      </c>
      <c r="CN53" s="63" t="str">
        <f t="shared" si="17"/>
        <v>1853</v>
      </c>
      <c r="CO53" s="63" t="str">
        <f t="shared" si="18"/>
        <v>1953</v>
      </c>
      <c r="CP53" s="63" t="str">
        <f t="shared" si="19"/>
        <v>2053</v>
      </c>
      <c r="CQ53" s="63" t="str">
        <f t="shared" si="20"/>
        <v>2153</v>
      </c>
      <c r="CR53" s="63" t="str">
        <f t="shared" si="21"/>
        <v>2253</v>
      </c>
      <c r="CS53" s="63" t="str">
        <f t="shared" si="22"/>
        <v>2353</v>
      </c>
      <c r="CT53" s="63" t="str">
        <f t="shared" si="23"/>
        <v>2453</v>
      </c>
      <c r="CU53" s="63" t="str">
        <f t="shared" si="24"/>
        <v>2553</v>
      </c>
      <c r="CV53" s="63" t="str">
        <f t="shared" si="25"/>
        <v>2653</v>
      </c>
      <c r="CW53" s="63" t="str">
        <f t="shared" si="26"/>
        <v>2753</v>
      </c>
      <c r="CX53" s="63" t="str">
        <f t="shared" si="27"/>
        <v>2853</v>
      </c>
      <c r="CY53" s="63" t="str">
        <f t="shared" si="28"/>
        <v>2953</v>
      </c>
      <c r="CZ53" s="63" t="str">
        <f t="shared" si="29"/>
        <v>3053</v>
      </c>
      <c r="DA53" s="63" t="str">
        <f t="shared" si="30"/>
        <v>3153</v>
      </c>
      <c r="DB53" s="63" t="str">
        <f t="shared" si="31"/>
        <v>3253</v>
      </c>
      <c r="DD53" s="72" t="s">
        <v>182</v>
      </c>
      <c r="DE53" s="77">
        <f t="shared" si="36"/>
        <v>1.8009999999999999</v>
      </c>
      <c r="DF53" s="77">
        <f t="shared" si="36"/>
        <v>1.8280000000000001</v>
      </c>
      <c r="DG53" s="77">
        <f t="shared" si="36"/>
        <v>1.855</v>
      </c>
      <c r="DH53" s="77">
        <f t="shared" si="36"/>
        <v>1.8839999999999999</v>
      </c>
      <c r="DI53" s="77">
        <f t="shared" si="36"/>
        <v>1.91</v>
      </c>
      <c r="DJ53" s="77">
        <f t="shared" si="36"/>
        <v>1.9350000000000001</v>
      </c>
      <c r="DK53" s="77">
        <f t="shared" si="36"/>
        <v>1.9590000000000001</v>
      </c>
      <c r="DL53" s="77">
        <f t="shared" si="36"/>
        <v>1.982</v>
      </c>
      <c r="DM53" s="77">
        <f t="shared" si="36"/>
        <v>2.004</v>
      </c>
      <c r="DN53" s="77">
        <f t="shared" si="36"/>
        <v>2.0249999999999999</v>
      </c>
      <c r="DO53" s="77">
        <f t="shared" si="36"/>
        <v>2.0449999999999999</v>
      </c>
      <c r="DP53" s="77">
        <f t="shared" si="36"/>
        <v>2.0649999999999999</v>
      </c>
      <c r="DQ53" s="77">
        <f t="shared" si="36"/>
        <v>2.0870000000000002</v>
      </c>
      <c r="DR53" s="77">
        <f t="shared" si="36"/>
        <v>2.1110000000000002</v>
      </c>
      <c r="DS53" s="77">
        <f t="shared" si="36"/>
        <v>2.137</v>
      </c>
      <c r="DT53" s="77">
        <f t="shared" si="36"/>
        <v>2.1629999999999998</v>
      </c>
      <c r="DU53" s="77">
        <f t="shared" si="33"/>
        <v>2.1890000000000001</v>
      </c>
      <c r="DV53" s="77">
        <f t="shared" si="33"/>
        <v>2.214</v>
      </c>
      <c r="DW53" s="77">
        <f t="shared" si="33"/>
        <v>2.2389999999999999</v>
      </c>
      <c r="DX53" s="77">
        <f t="shared" si="33"/>
        <v>2.2629999999999999</v>
      </c>
      <c r="DY53" s="77">
        <f t="shared" si="34"/>
        <v>2.2869999999999999</v>
      </c>
      <c r="DZ53" s="77">
        <f t="shared" si="34"/>
        <v>2.31</v>
      </c>
      <c r="EA53" s="77">
        <f t="shared" si="34"/>
        <v>2.3330000000000002</v>
      </c>
      <c r="EB53" s="77">
        <f t="shared" ref="EB53:EG95" si="37">ROUND(Y53,3)</f>
        <v>2.3540000000000001</v>
      </c>
      <c r="EC53" s="77">
        <f t="shared" si="37"/>
        <v>2.3759999999999999</v>
      </c>
      <c r="ED53" s="77">
        <f t="shared" si="37"/>
        <v>2.3969999999999998</v>
      </c>
      <c r="EE53" s="77">
        <f t="shared" si="37"/>
        <v>2.4169999999999998</v>
      </c>
      <c r="EF53" s="77">
        <f t="shared" si="37"/>
        <v>2.4369999999999998</v>
      </c>
      <c r="EG53" s="77">
        <f t="shared" si="37"/>
        <v>2.4569999999999999</v>
      </c>
    </row>
    <row r="54" spans="1:137" ht="12.6" customHeight="1">
      <c r="A54" s="73">
        <v>54</v>
      </c>
      <c r="B54" s="74">
        <v>1.8160000000000003</v>
      </c>
      <c r="C54" s="74">
        <v>1.843</v>
      </c>
      <c r="D54" s="74">
        <v>1.87</v>
      </c>
      <c r="E54" s="74">
        <v>1.899</v>
      </c>
      <c r="F54" s="74">
        <v>1.9250000000000003</v>
      </c>
      <c r="G54" s="74">
        <v>1.9500000000000002</v>
      </c>
      <c r="H54" s="74">
        <v>1.9740000000000002</v>
      </c>
      <c r="I54" s="74">
        <v>1.996</v>
      </c>
      <c r="J54" s="74">
        <v>2.0180000000000002</v>
      </c>
      <c r="K54" s="74">
        <v>2.0390000000000001</v>
      </c>
      <c r="L54" s="74">
        <v>2.0590000000000002</v>
      </c>
      <c r="M54" s="74">
        <v>2.0780000000000003</v>
      </c>
      <c r="N54" s="74">
        <v>2.1</v>
      </c>
      <c r="O54" s="74">
        <v>2.1240000000000001</v>
      </c>
      <c r="P54" s="74">
        <v>2.1500000000000004</v>
      </c>
      <c r="Q54" s="74">
        <v>2.1750000000000003</v>
      </c>
      <c r="R54" s="74">
        <v>2.2010000000000001</v>
      </c>
      <c r="S54" s="74">
        <v>2.2200000000000002</v>
      </c>
      <c r="T54" s="74">
        <v>2.25</v>
      </c>
      <c r="U54" s="74">
        <v>2.274</v>
      </c>
      <c r="V54" s="74">
        <v>2.2970000000000002</v>
      </c>
      <c r="W54" s="74">
        <v>2.3200000000000003</v>
      </c>
      <c r="X54" s="74">
        <v>2.3420000000000001</v>
      </c>
      <c r="Y54" s="74">
        <v>2.363</v>
      </c>
      <c r="Z54" s="74">
        <v>2.3840000000000003</v>
      </c>
      <c r="AA54" s="74">
        <v>2.4050000000000002</v>
      </c>
      <c r="AB54" s="74">
        <v>2.4250000000000003</v>
      </c>
      <c r="AC54" s="74">
        <v>2.4440000000000004</v>
      </c>
      <c r="AD54" s="75">
        <v>2.4630000000000001</v>
      </c>
      <c r="AE54" s="76"/>
      <c r="AF54" s="76"/>
      <c r="AG54" s="76"/>
      <c r="AH54" s="76"/>
      <c r="AI54" s="76"/>
      <c r="AJ54" s="76"/>
      <c r="AK54" s="76"/>
      <c r="AL54" s="76"/>
      <c r="AM54" s="76"/>
      <c r="AN54" s="76"/>
      <c r="AO54" s="76"/>
      <c r="AP54" s="76"/>
      <c r="AQ54" s="76"/>
      <c r="AR54" s="76"/>
      <c r="AS54" s="76"/>
      <c r="BZ54" s="63" t="str">
        <f t="shared" si="4"/>
        <v>454</v>
      </c>
      <c r="CA54" s="63" t="str">
        <f t="shared" si="1"/>
        <v>554</v>
      </c>
      <c r="CB54" s="63" t="str">
        <f t="shared" si="5"/>
        <v>654</v>
      </c>
      <c r="CC54" s="63" t="str">
        <f t="shared" si="6"/>
        <v>754</v>
      </c>
      <c r="CD54" s="63" t="str">
        <f t="shared" si="7"/>
        <v>854</v>
      </c>
      <c r="CE54" s="63" t="str">
        <f t="shared" si="8"/>
        <v>954</v>
      </c>
      <c r="CF54" s="63" t="str">
        <f t="shared" si="9"/>
        <v>1054</v>
      </c>
      <c r="CG54" s="63" t="str">
        <f t="shared" si="10"/>
        <v>1154</v>
      </c>
      <c r="CH54" s="63" t="str">
        <f t="shared" si="11"/>
        <v>1254</v>
      </c>
      <c r="CI54" s="63" t="str">
        <f t="shared" si="12"/>
        <v>1354</v>
      </c>
      <c r="CJ54" s="63" t="str">
        <f t="shared" si="13"/>
        <v>1454</v>
      </c>
      <c r="CK54" s="63" t="str">
        <f t="shared" si="14"/>
        <v>1554</v>
      </c>
      <c r="CL54" s="63" t="str">
        <f t="shared" si="15"/>
        <v>1654</v>
      </c>
      <c r="CM54" s="63" t="str">
        <f t="shared" si="16"/>
        <v>1754</v>
      </c>
      <c r="CN54" s="63" t="str">
        <f t="shared" si="17"/>
        <v>1854</v>
      </c>
      <c r="CO54" s="63" t="str">
        <f t="shared" si="18"/>
        <v>1954</v>
      </c>
      <c r="CP54" s="63" t="str">
        <f t="shared" si="19"/>
        <v>2054</v>
      </c>
      <c r="CQ54" s="63" t="str">
        <f t="shared" si="20"/>
        <v>2154</v>
      </c>
      <c r="CR54" s="63" t="str">
        <f t="shared" si="21"/>
        <v>2254</v>
      </c>
      <c r="CS54" s="63" t="str">
        <f t="shared" si="22"/>
        <v>2354</v>
      </c>
      <c r="CT54" s="63" t="str">
        <f t="shared" si="23"/>
        <v>2454</v>
      </c>
      <c r="CU54" s="63" t="str">
        <f t="shared" si="24"/>
        <v>2554</v>
      </c>
      <c r="CV54" s="63" t="str">
        <f t="shared" si="25"/>
        <v>2654</v>
      </c>
      <c r="CW54" s="63" t="str">
        <f t="shared" si="26"/>
        <v>2754</v>
      </c>
      <c r="CX54" s="63" t="str">
        <f t="shared" si="27"/>
        <v>2854</v>
      </c>
      <c r="CY54" s="63" t="str">
        <f t="shared" si="28"/>
        <v>2954</v>
      </c>
      <c r="CZ54" s="63" t="str">
        <f t="shared" si="29"/>
        <v>3054</v>
      </c>
      <c r="DA54" s="63" t="str">
        <f t="shared" si="30"/>
        <v>3154</v>
      </c>
      <c r="DB54" s="63" t="str">
        <f t="shared" si="31"/>
        <v>3254</v>
      </c>
      <c r="DD54" s="72" t="s">
        <v>183</v>
      </c>
      <c r="DE54" s="77">
        <f t="shared" si="36"/>
        <v>1.8160000000000001</v>
      </c>
      <c r="DF54" s="77">
        <f t="shared" si="36"/>
        <v>1.843</v>
      </c>
      <c r="DG54" s="77">
        <f t="shared" si="36"/>
        <v>1.87</v>
      </c>
      <c r="DH54" s="77">
        <f t="shared" si="36"/>
        <v>1.899</v>
      </c>
      <c r="DI54" s="77">
        <f t="shared" si="36"/>
        <v>1.925</v>
      </c>
      <c r="DJ54" s="77">
        <f t="shared" si="36"/>
        <v>1.95</v>
      </c>
      <c r="DK54" s="77">
        <f t="shared" si="36"/>
        <v>1.974</v>
      </c>
      <c r="DL54" s="77">
        <f t="shared" si="36"/>
        <v>1.996</v>
      </c>
      <c r="DM54" s="77">
        <f t="shared" si="36"/>
        <v>2.0179999999999998</v>
      </c>
      <c r="DN54" s="77">
        <f t="shared" si="36"/>
        <v>2.0390000000000001</v>
      </c>
      <c r="DO54" s="77">
        <f t="shared" si="36"/>
        <v>2.0590000000000002</v>
      </c>
      <c r="DP54" s="77">
        <f t="shared" si="36"/>
        <v>2.0779999999999998</v>
      </c>
      <c r="DQ54" s="77">
        <f t="shared" si="36"/>
        <v>2.1</v>
      </c>
      <c r="DR54" s="77">
        <f t="shared" si="36"/>
        <v>2.1240000000000001</v>
      </c>
      <c r="DS54" s="77">
        <f t="shared" si="36"/>
        <v>2.15</v>
      </c>
      <c r="DT54" s="77">
        <f t="shared" si="36"/>
        <v>2.1749999999999998</v>
      </c>
      <c r="DU54" s="77">
        <f t="shared" si="33"/>
        <v>2.2010000000000001</v>
      </c>
      <c r="DV54" s="77">
        <f t="shared" si="33"/>
        <v>2.2200000000000002</v>
      </c>
      <c r="DW54" s="77">
        <f t="shared" si="33"/>
        <v>2.25</v>
      </c>
      <c r="DX54" s="77">
        <f t="shared" si="33"/>
        <v>2.274</v>
      </c>
      <c r="DY54" s="77">
        <f t="shared" si="33"/>
        <v>2.2970000000000002</v>
      </c>
      <c r="DZ54" s="77">
        <f t="shared" si="33"/>
        <v>2.3199999999999998</v>
      </c>
      <c r="EA54" s="77">
        <f t="shared" si="33"/>
        <v>2.3420000000000001</v>
      </c>
      <c r="EB54" s="77">
        <f t="shared" si="37"/>
        <v>2.363</v>
      </c>
      <c r="EC54" s="77">
        <f t="shared" si="37"/>
        <v>2.3839999999999999</v>
      </c>
      <c r="ED54" s="77">
        <f t="shared" si="37"/>
        <v>2.4049999999999998</v>
      </c>
      <c r="EE54" s="77">
        <f t="shared" si="37"/>
        <v>2.4249999999999998</v>
      </c>
      <c r="EF54" s="77">
        <f t="shared" si="37"/>
        <v>2.444</v>
      </c>
      <c r="EG54" s="77">
        <f t="shared" si="37"/>
        <v>2.4630000000000001</v>
      </c>
    </row>
    <row r="55" spans="1:137" ht="12.6" customHeight="1">
      <c r="A55" s="73">
        <v>55</v>
      </c>
      <c r="B55" s="74">
        <v>1.83</v>
      </c>
      <c r="C55" s="74">
        <v>1.8570000000000002</v>
      </c>
      <c r="D55" s="74">
        <v>1.8840000000000003</v>
      </c>
      <c r="E55" s="74">
        <v>1.9130000000000003</v>
      </c>
      <c r="F55" s="74">
        <v>1.9390000000000001</v>
      </c>
      <c r="G55" s="74">
        <v>1.9630000000000001</v>
      </c>
      <c r="H55" s="74">
        <v>1.9870000000000001</v>
      </c>
      <c r="I55" s="74">
        <v>2.0090000000000003</v>
      </c>
      <c r="J55" s="74">
        <v>2.0310000000000001</v>
      </c>
      <c r="K55" s="74">
        <v>2.052</v>
      </c>
      <c r="L55" s="74">
        <v>2.0710000000000002</v>
      </c>
      <c r="M55" s="74">
        <v>2.0910000000000002</v>
      </c>
      <c r="N55" s="74">
        <v>2.1120000000000001</v>
      </c>
      <c r="O55" s="74">
        <v>2.1360000000000001</v>
      </c>
      <c r="P55" s="74">
        <v>2.161</v>
      </c>
      <c r="Q55" s="74">
        <v>2.1870000000000003</v>
      </c>
      <c r="R55" s="74">
        <v>2.2110000000000003</v>
      </c>
      <c r="S55" s="74">
        <v>2.2360000000000002</v>
      </c>
      <c r="T55" s="74">
        <v>2.2600000000000002</v>
      </c>
      <c r="U55" s="74">
        <v>2.2830000000000004</v>
      </c>
      <c r="V55" s="74">
        <v>2.306</v>
      </c>
      <c r="W55" s="74">
        <v>2.3280000000000003</v>
      </c>
      <c r="X55" s="74">
        <v>2.35</v>
      </c>
      <c r="Y55" s="74">
        <v>2.371</v>
      </c>
      <c r="Z55" s="74">
        <v>2.391</v>
      </c>
      <c r="AA55" s="74">
        <v>2.411</v>
      </c>
      <c r="AB55" s="74">
        <v>2.4300000000000002</v>
      </c>
      <c r="AC55" s="74">
        <v>2.4490000000000003</v>
      </c>
      <c r="AD55" s="75">
        <v>2.468</v>
      </c>
      <c r="AE55" s="76"/>
      <c r="AF55" s="76"/>
      <c r="AG55" s="76"/>
      <c r="AH55" s="76"/>
      <c r="AI55" s="76"/>
      <c r="AJ55" s="76"/>
      <c r="AK55" s="76"/>
      <c r="AL55" s="76"/>
      <c r="AM55" s="76"/>
      <c r="AN55" s="76"/>
      <c r="AO55" s="76"/>
      <c r="AP55" s="76"/>
      <c r="AQ55" s="76"/>
      <c r="AR55" s="76"/>
      <c r="AS55" s="76"/>
      <c r="BZ55" s="63" t="str">
        <f t="shared" si="4"/>
        <v>455</v>
      </c>
      <c r="CA55" s="63" t="str">
        <f t="shared" si="1"/>
        <v>555</v>
      </c>
      <c r="CB55" s="63" t="str">
        <f t="shared" si="5"/>
        <v>655</v>
      </c>
      <c r="CC55" s="63" t="str">
        <f t="shared" si="6"/>
        <v>755</v>
      </c>
      <c r="CD55" s="63" t="str">
        <f t="shared" si="7"/>
        <v>855</v>
      </c>
      <c r="CE55" s="63" t="str">
        <f t="shared" si="8"/>
        <v>955</v>
      </c>
      <c r="CF55" s="63" t="str">
        <f t="shared" si="9"/>
        <v>1055</v>
      </c>
      <c r="CG55" s="63" t="str">
        <f t="shared" si="10"/>
        <v>1155</v>
      </c>
      <c r="CH55" s="63" t="str">
        <f t="shared" si="11"/>
        <v>1255</v>
      </c>
      <c r="CI55" s="63" t="str">
        <f t="shared" si="12"/>
        <v>1355</v>
      </c>
      <c r="CJ55" s="63" t="str">
        <f t="shared" si="13"/>
        <v>1455</v>
      </c>
      <c r="CK55" s="63" t="str">
        <f t="shared" si="14"/>
        <v>1555</v>
      </c>
      <c r="CL55" s="63" t="str">
        <f t="shared" si="15"/>
        <v>1655</v>
      </c>
      <c r="CM55" s="63" t="str">
        <f t="shared" si="16"/>
        <v>1755</v>
      </c>
      <c r="CN55" s="63" t="str">
        <f t="shared" si="17"/>
        <v>1855</v>
      </c>
      <c r="CO55" s="63" t="str">
        <f t="shared" si="18"/>
        <v>1955</v>
      </c>
      <c r="CP55" s="63" t="str">
        <f t="shared" si="19"/>
        <v>2055</v>
      </c>
      <c r="CQ55" s="63" t="str">
        <f t="shared" si="20"/>
        <v>2155</v>
      </c>
      <c r="CR55" s="63" t="str">
        <f t="shared" si="21"/>
        <v>2255</v>
      </c>
      <c r="CS55" s="63" t="str">
        <f t="shared" si="22"/>
        <v>2355</v>
      </c>
      <c r="CT55" s="63" t="str">
        <f t="shared" si="23"/>
        <v>2455</v>
      </c>
      <c r="CU55" s="63" t="str">
        <f t="shared" si="24"/>
        <v>2555</v>
      </c>
      <c r="CV55" s="63" t="str">
        <f t="shared" si="25"/>
        <v>2655</v>
      </c>
      <c r="CW55" s="63" t="str">
        <f t="shared" si="26"/>
        <v>2755</v>
      </c>
      <c r="CX55" s="63" t="str">
        <f t="shared" si="27"/>
        <v>2855</v>
      </c>
      <c r="CY55" s="63" t="str">
        <f t="shared" si="28"/>
        <v>2955</v>
      </c>
      <c r="CZ55" s="63" t="str">
        <f t="shared" si="29"/>
        <v>3055</v>
      </c>
      <c r="DA55" s="63" t="str">
        <f t="shared" si="30"/>
        <v>3155</v>
      </c>
      <c r="DB55" s="63" t="str">
        <f t="shared" si="31"/>
        <v>3255</v>
      </c>
      <c r="DD55" s="72" t="s">
        <v>184</v>
      </c>
      <c r="DE55" s="77">
        <f t="shared" si="36"/>
        <v>1.83</v>
      </c>
      <c r="DF55" s="77">
        <f t="shared" si="36"/>
        <v>1.857</v>
      </c>
      <c r="DG55" s="77">
        <f t="shared" si="36"/>
        <v>1.8839999999999999</v>
      </c>
      <c r="DH55" s="77">
        <f t="shared" si="36"/>
        <v>1.913</v>
      </c>
      <c r="DI55" s="77">
        <f t="shared" si="36"/>
        <v>1.9390000000000001</v>
      </c>
      <c r="DJ55" s="77">
        <f t="shared" si="36"/>
        <v>1.9630000000000001</v>
      </c>
      <c r="DK55" s="77">
        <f t="shared" si="36"/>
        <v>1.9870000000000001</v>
      </c>
      <c r="DL55" s="77">
        <f t="shared" si="36"/>
        <v>2.0089999999999999</v>
      </c>
      <c r="DM55" s="77">
        <f t="shared" si="36"/>
        <v>2.0310000000000001</v>
      </c>
      <c r="DN55" s="77">
        <f t="shared" si="36"/>
        <v>2.052</v>
      </c>
      <c r="DO55" s="77">
        <f t="shared" si="36"/>
        <v>2.0710000000000002</v>
      </c>
      <c r="DP55" s="77">
        <f t="shared" si="36"/>
        <v>2.0910000000000002</v>
      </c>
      <c r="DQ55" s="77">
        <f t="shared" si="36"/>
        <v>2.1120000000000001</v>
      </c>
      <c r="DR55" s="77">
        <f t="shared" si="36"/>
        <v>2.1360000000000001</v>
      </c>
      <c r="DS55" s="77">
        <f t="shared" si="36"/>
        <v>2.161</v>
      </c>
      <c r="DT55" s="77">
        <f t="shared" si="36"/>
        <v>2.1869999999999998</v>
      </c>
      <c r="DU55" s="77">
        <f t="shared" si="33"/>
        <v>2.2109999999999999</v>
      </c>
      <c r="DV55" s="77">
        <f t="shared" si="33"/>
        <v>2.2360000000000002</v>
      </c>
      <c r="DW55" s="77">
        <f t="shared" si="33"/>
        <v>2.2599999999999998</v>
      </c>
      <c r="DX55" s="77">
        <f t="shared" si="33"/>
        <v>2.2829999999999999</v>
      </c>
      <c r="DY55" s="77">
        <f t="shared" si="33"/>
        <v>2.306</v>
      </c>
      <c r="DZ55" s="77">
        <f t="shared" si="33"/>
        <v>2.3279999999999998</v>
      </c>
      <c r="EA55" s="77">
        <f t="shared" si="33"/>
        <v>2.35</v>
      </c>
      <c r="EB55" s="77">
        <f t="shared" si="37"/>
        <v>2.371</v>
      </c>
      <c r="EC55" s="77">
        <f t="shared" si="37"/>
        <v>2.391</v>
      </c>
      <c r="ED55" s="77">
        <f t="shared" si="37"/>
        <v>2.411</v>
      </c>
      <c r="EE55" s="77">
        <f t="shared" si="37"/>
        <v>2.4300000000000002</v>
      </c>
      <c r="EF55" s="77">
        <f t="shared" si="37"/>
        <v>2.4489999999999998</v>
      </c>
      <c r="EG55" s="77">
        <f t="shared" si="37"/>
        <v>2.468</v>
      </c>
    </row>
    <row r="56" spans="1:137" ht="12.6" customHeight="1">
      <c r="A56" s="73">
        <v>56</v>
      </c>
      <c r="B56" s="74">
        <v>1.8440000000000003</v>
      </c>
      <c r="C56" s="74">
        <v>1.871</v>
      </c>
      <c r="D56" s="74">
        <v>1.8980000000000001</v>
      </c>
      <c r="E56" s="74">
        <v>1.9260000000000002</v>
      </c>
      <c r="F56" s="74">
        <v>1.952</v>
      </c>
      <c r="G56" s="74">
        <v>1.976</v>
      </c>
      <c r="H56" s="74">
        <v>1.9990000000000001</v>
      </c>
      <c r="I56" s="74">
        <v>2.0220000000000002</v>
      </c>
      <c r="J56" s="74">
        <v>2.0430000000000001</v>
      </c>
      <c r="K56" s="74">
        <v>2.0630000000000002</v>
      </c>
      <c r="L56" s="74">
        <v>2.0830000000000002</v>
      </c>
      <c r="M56" s="74">
        <v>2.1020000000000003</v>
      </c>
      <c r="N56" s="74">
        <v>2.1230000000000002</v>
      </c>
      <c r="O56" s="74">
        <v>2.1460000000000004</v>
      </c>
      <c r="P56" s="74">
        <v>2.1710000000000003</v>
      </c>
      <c r="Q56" s="74">
        <v>2.1960000000000002</v>
      </c>
      <c r="R56" s="74">
        <v>2.2210000000000001</v>
      </c>
      <c r="S56" s="74">
        <v>2.2450000000000001</v>
      </c>
      <c r="T56" s="74">
        <v>2.2690000000000001</v>
      </c>
      <c r="U56" s="74">
        <v>2.2910000000000004</v>
      </c>
      <c r="V56" s="74">
        <v>2.3140000000000001</v>
      </c>
      <c r="W56" s="74">
        <v>2.335</v>
      </c>
      <c r="X56" s="74">
        <v>2.3570000000000002</v>
      </c>
      <c r="Y56" s="74">
        <v>2.3770000000000002</v>
      </c>
      <c r="Z56" s="74">
        <v>2.3970000000000002</v>
      </c>
      <c r="AA56" s="74">
        <v>2.4170000000000003</v>
      </c>
      <c r="AB56" s="74">
        <v>2.4250000000000003</v>
      </c>
      <c r="AC56" s="74">
        <v>2.4540000000000002</v>
      </c>
      <c r="AD56" s="75">
        <v>2.4710000000000001</v>
      </c>
      <c r="AE56" s="76"/>
      <c r="AF56" s="76"/>
      <c r="AG56" s="76"/>
      <c r="AH56" s="76"/>
      <c r="AI56" s="76"/>
      <c r="AJ56" s="76"/>
      <c r="AK56" s="76"/>
      <c r="AL56" s="76"/>
      <c r="AM56" s="76"/>
      <c r="AN56" s="76"/>
      <c r="AO56" s="76"/>
      <c r="AP56" s="76"/>
      <c r="AQ56" s="76"/>
      <c r="AR56" s="76"/>
      <c r="AS56" s="76"/>
      <c r="BZ56" s="63" t="str">
        <f t="shared" si="4"/>
        <v>456</v>
      </c>
      <c r="CA56" s="63" t="str">
        <f t="shared" si="1"/>
        <v>556</v>
      </c>
      <c r="CB56" s="63" t="str">
        <f t="shared" si="5"/>
        <v>656</v>
      </c>
      <c r="CC56" s="63" t="str">
        <f t="shared" si="6"/>
        <v>756</v>
      </c>
      <c r="CD56" s="63" t="str">
        <f t="shared" si="7"/>
        <v>856</v>
      </c>
      <c r="CE56" s="63" t="str">
        <f t="shared" si="8"/>
        <v>956</v>
      </c>
      <c r="CF56" s="63" t="str">
        <f t="shared" si="9"/>
        <v>1056</v>
      </c>
      <c r="CG56" s="63" t="str">
        <f t="shared" si="10"/>
        <v>1156</v>
      </c>
      <c r="CH56" s="63" t="str">
        <f t="shared" si="11"/>
        <v>1256</v>
      </c>
      <c r="CI56" s="63" t="str">
        <f t="shared" si="12"/>
        <v>1356</v>
      </c>
      <c r="CJ56" s="63" t="str">
        <f t="shared" si="13"/>
        <v>1456</v>
      </c>
      <c r="CK56" s="63" t="str">
        <f t="shared" si="14"/>
        <v>1556</v>
      </c>
      <c r="CL56" s="63" t="str">
        <f t="shared" si="15"/>
        <v>1656</v>
      </c>
      <c r="CM56" s="63" t="str">
        <f t="shared" si="16"/>
        <v>1756</v>
      </c>
      <c r="CN56" s="63" t="str">
        <f t="shared" si="17"/>
        <v>1856</v>
      </c>
      <c r="CO56" s="63" t="str">
        <f t="shared" si="18"/>
        <v>1956</v>
      </c>
      <c r="CP56" s="63" t="str">
        <f t="shared" si="19"/>
        <v>2056</v>
      </c>
      <c r="CQ56" s="63" t="str">
        <f t="shared" si="20"/>
        <v>2156</v>
      </c>
      <c r="CR56" s="63" t="str">
        <f t="shared" si="21"/>
        <v>2256</v>
      </c>
      <c r="CS56" s="63" t="str">
        <f t="shared" si="22"/>
        <v>2356</v>
      </c>
      <c r="CT56" s="63" t="str">
        <f t="shared" si="23"/>
        <v>2456</v>
      </c>
      <c r="CU56" s="63" t="str">
        <f t="shared" si="24"/>
        <v>2556</v>
      </c>
      <c r="CV56" s="63" t="str">
        <f t="shared" si="25"/>
        <v>2656</v>
      </c>
      <c r="CW56" s="63" t="str">
        <f t="shared" si="26"/>
        <v>2756</v>
      </c>
      <c r="CX56" s="63" t="str">
        <f t="shared" si="27"/>
        <v>2856</v>
      </c>
      <c r="CY56" s="63" t="str">
        <f t="shared" si="28"/>
        <v>2956</v>
      </c>
      <c r="CZ56" s="63" t="str">
        <f t="shared" si="29"/>
        <v>3056</v>
      </c>
      <c r="DA56" s="63" t="str">
        <f t="shared" si="30"/>
        <v>3156</v>
      </c>
      <c r="DB56" s="63" t="str">
        <f t="shared" si="31"/>
        <v>3256</v>
      </c>
      <c r="DD56" s="72" t="s">
        <v>185</v>
      </c>
      <c r="DE56" s="77">
        <f t="shared" si="36"/>
        <v>1.8440000000000001</v>
      </c>
      <c r="DF56" s="77">
        <f t="shared" si="36"/>
        <v>1.871</v>
      </c>
      <c r="DG56" s="77">
        <f t="shared" si="36"/>
        <v>1.8979999999999999</v>
      </c>
      <c r="DH56" s="77">
        <f t="shared" si="36"/>
        <v>1.9259999999999999</v>
      </c>
      <c r="DI56" s="77">
        <f t="shared" si="36"/>
        <v>1.952</v>
      </c>
      <c r="DJ56" s="77">
        <f t="shared" si="36"/>
        <v>1.976</v>
      </c>
      <c r="DK56" s="77">
        <f t="shared" si="36"/>
        <v>1.9990000000000001</v>
      </c>
      <c r="DL56" s="77">
        <f t="shared" si="36"/>
        <v>2.0219999999999998</v>
      </c>
      <c r="DM56" s="77">
        <f t="shared" si="36"/>
        <v>2.0430000000000001</v>
      </c>
      <c r="DN56" s="77">
        <f t="shared" si="36"/>
        <v>2.0630000000000002</v>
      </c>
      <c r="DO56" s="77">
        <f t="shared" si="36"/>
        <v>2.0830000000000002</v>
      </c>
      <c r="DP56" s="77">
        <f t="shared" si="36"/>
        <v>2.1019999999999999</v>
      </c>
      <c r="DQ56" s="77">
        <f t="shared" si="36"/>
        <v>2.1230000000000002</v>
      </c>
      <c r="DR56" s="77">
        <f t="shared" si="36"/>
        <v>2.1459999999999999</v>
      </c>
      <c r="DS56" s="77">
        <f t="shared" si="36"/>
        <v>2.1709999999999998</v>
      </c>
      <c r="DT56" s="77">
        <f t="shared" si="36"/>
        <v>2.1960000000000002</v>
      </c>
      <c r="DU56" s="77">
        <f t="shared" si="33"/>
        <v>2.2210000000000001</v>
      </c>
      <c r="DV56" s="77">
        <f t="shared" si="33"/>
        <v>2.2450000000000001</v>
      </c>
      <c r="DW56" s="77">
        <f t="shared" si="33"/>
        <v>2.2690000000000001</v>
      </c>
      <c r="DX56" s="77">
        <f t="shared" si="33"/>
        <v>2.2909999999999999</v>
      </c>
      <c r="DY56" s="77">
        <f t="shared" si="33"/>
        <v>2.3140000000000001</v>
      </c>
      <c r="DZ56" s="77">
        <f t="shared" si="33"/>
        <v>2.335</v>
      </c>
      <c r="EA56" s="77">
        <f t="shared" si="33"/>
        <v>2.3570000000000002</v>
      </c>
      <c r="EB56" s="77">
        <f t="shared" si="37"/>
        <v>2.3769999999999998</v>
      </c>
      <c r="EC56" s="77">
        <f t="shared" si="37"/>
        <v>2.3969999999999998</v>
      </c>
      <c r="ED56" s="77">
        <f t="shared" si="37"/>
        <v>2.4169999999999998</v>
      </c>
      <c r="EE56" s="77">
        <f t="shared" si="37"/>
        <v>2.4249999999999998</v>
      </c>
      <c r="EF56" s="77">
        <f t="shared" si="37"/>
        <v>2.4540000000000002</v>
      </c>
      <c r="EG56" s="77">
        <f t="shared" si="37"/>
        <v>2.4710000000000001</v>
      </c>
    </row>
    <row r="57" spans="1:137" ht="12.6" customHeight="1">
      <c r="A57" s="73">
        <v>57</v>
      </c>
      <c r="B57" s="74">
        <v>1.8560000000000003</v>
      </c>
      <c r="C57" s="74">
        <v>1.883</v>
      </c>
      <c r="D57" s="74">
        <v>1.9100000000000001</v>
      </c>
      <c r="E57" s="74">
        <v>1.9380000000000002</v>
      </c>
      <c r="F57" s="74">
        <v>1.964</v>
      </c>
      <c r="G57" s="74">
        <v>1.988</v>
      </c>
      <c r="H57" s="74">
        <v>2.0110000000000001</v>
      </c>
      <c r="I57" s="74">
        <v>2.0330000000000004</v>
      </c>
      <c r="J57" s="74">
        <v>2.0540000000000003</v>
      </c>
      <c r="K57" s="74">
        <v>2.0740000000000003</v>
      </c>
      <c r="L57" s="74">
        <v>2.093</v>
      </c>
      <c r="M57" s="74">
        <v>2.113</v>
      </c>
      <c r="N57" s="74">
        <v>2.133</v>
      </c>
      <c r="O57" s="74">
        <v>2.1560000000000001</v>
      </c>
      <c r="P57" s="74">
        <v>2.181</v>
      </c>
      <c r="Q57" s="74">
        <v>2.2050000000000001</v>
      </c>
      <c r="R57" s="74">
        <v>2.23</v>
      </c>
      <c r="S57" s="74">
        <v>2.2530000000000001</v>
      </c>
      <c r="T57" s="74">
        <v>2.2760000000000002</v>
      </c>
      <c r="U57" s="74">
        <v>2.2990000000000004</v>
      </c>
      <c r="V57" s="74">
        <v>2.3200000000000003</v>
      </c>
      <c r="W57" s="74">
        <v>2.3420000000000001</v>
      </c>
      <c r="X57" s="74">
        <v>2.3620000000000001</v>
      </c>
      <c r="Y57" s="74">
        <v>2.3820000000000001</v>
      </c>
      <c r="Z57" s="74">
        <v>2.4020000000000001</v>
      </c>
      <c r="AA57" s="74">
        <v>2.4210000000000003</v>
      </c>
      <c r="AB57" s="74">
        <v>2.4390000000000001</v>
      </c>
      <c r="AC57" s="74">
        <v>2.4570000000000003</v>
      </c>
      <c r="AD57" s="75">
        <v>2.4740000000000002</v>
      </c>
      <c r="AE57" s="76"/>
      <c r="AF57" s="76"/>
      <c r="AG57" s="76"/>
      <c r="AH57" s="76"/>
      <c r="AI57" s="76"/>
      <c r="AJ57" s="76"/>
      <c r="AK57" s="76"/>
      <c r="AL57" s="76"/>
      <c r="AM57" s="76"/>
      <c r="AN57" s="76"/>
      <c r="AO57" s="76"/>
      <c r="AP57" s="76"/>
      <c r="AQ57" s="76"/>
      <c r="AR57" s="76"/>
      <c r="AS57" s="76"/>
      <c r="BZ57" s="63" t="str">
        <f t="shared" si="4"/>
        <v>457</v>
      </c>
      <c r="CA57" s="63" t="str">
        <f t="shared" si="1"/>
        <v>557</v>
      </c>
      <c r="CB57" s="63" t="str">
        <f t="shared" si="5"/>
        <v>657</v>
      </c>
      <c r="CC57" s="63" t="str">
        <f t="shared" si="6"/>
        <v>757</v>
      </c>
      <c r="CD57" s="63" t="str">
        <f t="shared" si="7"/>
        <v>857</v>
      </c>
      <c r="CE57" s="63" t="str">
        <f t="shared" si="8"/>
        <v>957</v>
      </c>
      <c r="CF57" s="63" t="str">
        <f t="shared" si="9"/>
        <v>1057</v>
      </c>
      <c r="CG57" s="63" t="str">
        <f t="shared" si="10"/>
        <v>1157</v>
      </c>
      <c r="CH57" s="63" t="str">
        <f t="shared" si="11"/>
        <v>1257</v>
      </c>
      <c r="CI57" s="63" t="str">
        <f t="shared" si="12"/>
        <v>1357</v>
      </c>
      <c r="CJ57" s="63" t="str">
        <f t="shared" si="13"/>
        <v>1457</v>
      </c>
      <c r="CK57" s="63" t="str">
        <f t="shared" si="14"/>
        <v>1557</v>
      </c>
      <c r="CL57" s="63" t="str">
        <f t="shared" si="15"/>
        <v>1657</v>
      </c>
      <c r="CM57" s="63" t="str">
        <f t="shared" si="16"/>
        <v>1757</v>
      </c>
      <c r="CN57" s="63" t="str">
        <f t="shared" si="17"/>
        <v>1857</v>
      </c>
      <c r="CO57" s="63" t="str">
        <f t="shared" si="18"/>
        <v>1957</v>
      </c>
      <c r="CP57" s="63" t="str">
        <f t="shared" si="19"/>
        <v>2057</v>
      </c>
      <c r="CQ57" s="63" t="str">
        <f t="shared" si="20"/>
        <v>2157</v>
      </c>
      <c r="CR57" s="63" t="str">
        <f t="shared" si="21"/>
        <v>2257</v>
      </c>
      <c r="CS57" s="63" t="str">
        <f t="shared" si="22"/>
        <v>2357</v>
      </c>
      <c r="CT57" s="63" t="str">
        <f t="shared" si="23"/>
        <v>2457</v>
      </c>
      <c r="CU57" s="63" t="str">
        <f t="shared" si="24"/>
        <v>2557</v>
      </c>
      <c r="CV57" s="63" t="str">
        <f t="shared" si="25"/>
        <v>2657</v>
      </c>
      <c r="CW57" s="63" t="str">
        <f t="shared" si="26"/>
        <v>2757</v>
      </c>
      <c r="CX57" s="63" t="str">
        <f t="shared" si="27"/>
        <v>2857</v>
      </c>
      <c r="CY57" s="63" t="str">
        <f t="shared" si="28"/>
        <v>2957</v>
      </c>
      <c r="CZ57" s="63" t="str">
        <f t="shared" si="29"/>
        <v>3057</v>
      </c>
      <c r="DA57" s="63" t="str">
        <f t="shared" si="30"/>
        <v>3157</v>
      </c>
      <c r="DB57" s="63" t="str">
        <f t="shared" si="31"/>
        <v>3257</v>
      </c>
      <c r="DD57" s="72" t="s">
        <v>186</v>
      </c>
      <c r="DE57" s="77">
        <f t="shared" si="36"/>
        <v>1.8560000000000001</v>
      </c>
      <c r="DF57" s="77">
        <f t="shared" si="36"/>
        <v>1.883</v>
      </c>
      <c r="DG57" s="77">
        <f t="shared" si="36"/>
        <v>1.91</v>
      </c>
      <c r="DH57" s="77">
        <f t="shared" si="36"/>
        <v>1.9379999999999999</v>
      </c>
      <c r="DI57" s="77">
        <f t="shared" si="36"/>
        <v>1.964</v>
      </c>
      <c r="DJ57" s="77">
        <f t="shared" si="36"/>
        <v>1.988</v>
      </c>
      <c r="DK57" s="77">
        <f t="shared" si="36"/>
        <v>2.0110000000000001</v>
      </c>
      <c r="DL57" s="77">
        <f t="shared" si="36"/>
        <v>2.0329999999999999</v>
      </c>
      <c r="DM57" s="77">
        <f t="shared" si="36"/>
        <v>2.0539999999999998</v>
      </c>
      <c r="DN57" s="77">
        <f t="shared" si="36"/>
        <v>2.0739999999999998</v>
      </c>
      <c r="DO57" s="77">
        <f t="shared" si="36"/>
        <v>2.093</v>
      </c>
      <c r="DP57" s="77">
        <f t="shared" si="36"/>
        <v>2.113</v>
      </c>
      <c r="DQ57" s="77">
        <f t="shared" si="36"/>
        <v>2.133</v>
      </c>
      <c r="DR57" s="77">
        <f t="shared" si="36"/>
        <v>2.1560000000000001</v>
      </c>
      <c r="DS57" s="77">
        <f t="shared" si="36"/>
        <v>2.181</v>
      </c>
      <c r="DT57" s="77">
        <f t="shared" si="36"/>
        <v>2.2050000000000001</v>
      </c>
      <c r="DU57" s="77">
        <f t="shared" si="33"/>
        <v>2.23</v>
      </c>
      <c r="DV57" s="77">
        <f t="shared" si="33"/>
        <v>2.2530000000000001</v>
      </c>
      <c r="DW57" s="77">
        <f t="shared" si="33"/>
        <v>2.2759999999999998</v>
      </c>
      <c r="DX57" s="77">
        <f t="shared" si="33"/>
        <v>2.2989999999999999</v>
      </c>
      <c r="DY57" s="77">
        <f t="shared" si="33"/>
        <v>2.3199999999999998</v>
      </c>
      <c r="DZ57" s="77">
        <f t="shared" si="33"/>
        <v>2.3420000000000001</v>
      </c>
      <c r="EA57" s="77">
        <f t="shared" si="33"/>
        <v>2.3620000000000001</v>
      </c>
      <c r="EB57" s="77">
        <f t="shared" si="37"/>
        <v>2.3820000000000001</v>
      </c>
      <c r="EC57" s="77">
        <f t="shared" si="37"/>
        <v>2.4020000000000001</v>
      </c>
      <c r="ED57" s="77">
        <f t="shared" si="37"/>
        <v>2.4209999999999998</v>
      </c>
      <c r="EE57" s="77">
        <f t="shared" si="37"/>
        <v>2.4390000000000001</v>
      </c>
      <c r="EF57" s="77">
        <f t="shared" si="37"/>
        <v>2.4569999999999999</v>
      </c>
      <c r="EG57" s="77">
        <f t="shared" si="37"/>
        <v>2.4740000000000002</v>
      </c>
    </row>
    <row r="58" spans="1:137" ht="12.6" customHeight="1">
      <c r="A58" s="73">
        <v>58</v>
      </c>
      <c r="B58" s="74">
        <v>1.8690000000000002</v>
      </c>
      <c r="C58" s="74">
        <v>1.8960000000000004</v>
      </c>
      <c r="D58" s="74">
        <v>1.9220000000000002</v>
      </c>
      <c r="E58" s="74">
        <v>1.9490000000000003</v>
      </c>
      <c r="F58" s="74">
        <v>1.9750000000000001</v>
      </c>
      <c r="G58" s="74">
        <v>1.9990000000000001</v>
      </c>
      <c r="H58" s="74">
        <v>2.0210000000000004</v>
      </c>
      <c r="I58" s="74">
        <v>2.0430000000000001</v>
      </c>
      <c r="J58" s="74">
        <v>2.0640000000000001</v>
      </c>
      <c r="K58" s="74">
        <v>2.0840000000000001</v>
      </c>
      <c r="L58" s="74">
        <v>2.1030000000000002</v>
      </c>
      <c r="M58" s="74">
        <v>2.1220000000000003</v>
      </c>
      <c r="N58" s="74">
        <v>2.1430000000000002</v>
      </c>
      <c r="O58" s="74">
        <v>2.165</v>
      </c>
      <c r="P58" s="74">
        <v>2.1890000000000001</v>
      </c>
      <c r="Q58" s="74">
        <v>2.214</v>
      </c>
      <c r="R58" s="74">
        <v>2.2370000000000001</v>
      </c>
      <c r="S58" s="74">
        <v>2.2600000000000002</v>
      </c>
      <c r="T58" s="74">
        <v>2.2830000000000004</v>
      </c>
      <c r="U58" s="74">
        <v>2.3050000000000002</v>
      </c>
      <c r="V58" s="74">
        <v>2.3260000000000001</v>
      </c>
      <c r="W58" s="74">
        <v>2.347</v>
      </c>
      <c r="X58" s="74">
        <v>2.367</v>
      </c>
      <c r="Y58" s="74">
        <v>2.387</v>
      </c>
      <c r="Z58" s="74">
        <v>2.4060000000000001</v>
      </c>
      <c r="AA58" s="74">
        <v>2.4240000000000004</v>
      </c>
      <c r="AB58" s="74">
        <v>2.4420000000000002</v>
      </c>
      <c r="AC58" s="74">
        <v>2.4590000000000001</v>
      </c>
      <c r="AD58" s="75">
        <v>2.476</v>
      </c>
      <c r="AE58" s="76"/>
      <c r="AF58" s="76"/>
      <c r="AG58" s="76"/>
      <c r="AH58" s="76"/>
      <c r="AI58" s="76"/>
      <c r="AJ58" s="76"/>
      <c r="AK58" s="76"/>
      <c r="AL58" s="76"/>
      <c r="AM58" s="76"/>
      <c r="AN58" s="76"/>
      <c r="AO58" s="76"/>
      <c r="AP58" s="76"/>
      <c r="AQ58" s="76"/>
      <c r="AR58" s="76"/>
      <c r="AS58" s="76"/>
      <c r="BZ58" s="63" t="str">
        <f t="shared" si="4"/>
        <v>458</v>
      </c>
      <c r="CA58" s="63" t="str">
        <f t="shared" si="1"/>
        <v>558</v>
      </c>
      <c r="CB58" s="63" t="str">
        <f t="shared" si="5"/>
        <v>658</v>
      </c>
      <c r="CC58" s="63" t="str">
        <f t="shared" si="6"/>
        <v>758</v>
      </c>
      <c r="CD58" s="63" t="str">
        <f t="shared" si="7"/>
        <v>858</v>
      </c>
      <c r="CE58" s="63" t="str">
        <f t="shared" si="8"/>
        <v>958</v>
      </c>
      <c r="CF58" s="63" t="str">
        <f t="shared" si="9"/>
        <v>1058</v>
      </c>
      <c r="CG58" s="63" t="str">
        <f t="shared" si="10"/>
        <v>1158</v>
      </c>
      <c r="CH58" s="63" t="str">
        <f t="shared" si="11"/>
        <v>1258</v>
      </c>
      <c r="CI58" s="63" t="str">
        <f t="shared" si="12"/>
        <v>1358</v>
      </c>
      <c r="CJ58" s="63" t="str">
        <f t="shared" si="13"/>
        <v>1458</v>
      </c>
      <c r="CK58" s="63" t="str">
        <f t="shared" si="14"/>
        <v>1558</v>
      </c>
      <c r="CL58" s="63" t="str">
        <f t="shared" si="15"/>
        <v>1658</v>
      </c>
      <c r="CM58" s="63" t="str">
        <f t="shared" si="16"/>
        <v>1758</v>
      </c>
      <c r="CN58" s="63" t="str">
        <f t="shared" si="17"/>
        <v>1858</v>
      </c>
      <c r="CO58" s="63" t="str">
        <f t="shared" si="18"/>
        <v>1958</v>
      </c>
      <c r="CP58" s="63" t="str">
        <f t="shared" si="19"/>
        <v>2058</v>
      </c>
      <c r="CQ58" s="63" t="str">
        <f t="shared" si="20"/>
        <v>2158</v>
      </c>
      <c r="CR58" s="63" t="str">
        <f t="shared" si="21"/>
        <v>2258</v>
      </c>
      <c r="CS58" s="63" t="str">
        <f t="shared" si="22"/>
        <v>2358</v>
      </c>
      <c r="CT58" s="63" t="str">
        <f t="shared" si="23"/>
        <v>2458</v>
      </c>
      <c r="CU58" s="63" t="str">
        <f t="shared" si="24"/>
        <v>2558</v>
      </c>
      <c r="CV58" s="63" t="str">
        <f t="shared" si="25"/>
        <v>2658</v>
      </c>
      <c r="CW58" s="63" t="str">
        <f t="shared" si="26"/>
        <v>2758</v>
      </c>
      <c r="CX58" s="63" t="str">
        <f t="shared" si="27"/>
        <v>2858</v>
      </c>
      <c r="CY58" s="63" t="str">
        <f t="shared" si="28"/>
        <v>2958</v>
      </c>
      <c r="CZ58" s="63" t="str">
        <f t="shared" si="29"/>
        <v>3058</v>
      </c>
      <c r="DA58" s="63" t="str">
        <f t="shared" si="30"/>
        <v>3158</v>
      </c>
      <c r="DB58" s="63" t="str">
        <f t="shared" si="31"/>
        <v>3258</v>
      </c>
      <c r="DD58" s="72" t="s">
        <v>187</v>
      </c>
      <c r="DE58" s="77">
        <f t="shared" si="36"/>
        <v>1.869</v>
      </c>
      <c r="DF58" s="77">
        <f t="shared" si="36"/>
        <v>1.8959999999999999</v>
      </c>
      <c r="DG58" s="77">
        <f t="shared" si="36"/>
        <v>1.9219999999999999</v>
      </c>
      <c r="DH58" s="77">
        <f t="shared" si="36"/>
        <v>1.9490000000000001</v>
      </c>
      <c r="DI58" s="77">
        <f t="shared" si="36"/>
        <v>1.9750000000000001</v>
      </c>
      <c r="DJ58" s="77">
        <f t="shared" si="36"/>
        <v>1.9990000000000001</v>
      </c>
      <c r="DK58" s="77">
        <f t="shared" si="36"/>
        <v>2.0209999999999999</v>
      </c>
      <c r="DL58" s="77">
        <f t="shared" si="36"/>
        <v>2.0430000000000001</v>
      </c>
      <c r="DM58" s="77">
        <f t="shared" si="36"/>
        <v>2.0640000000000001</v>
      </c>
      <c r="DN58" s="77">
        <f t="shared" si="36"/>
        <v>2.0840000000000001</v>
      </c>
      <c r="DO58" s="77">
        <f t="shared" si="36"/>
        <v>2.1030000000000002</v>
      </c>
      <c r="DP58" s="77">
        <f t="shared" si="36"/>
        <v>2.1219999999999999</v>
      </c>
      <c r="DQ58" s="77">
        <f t="shared" si="36"/>
        <v>2.1429999999999998</v>
      </c>
      <c r="DR58" s="77">
        <f t="shared" si="36"/>
        <v>2.165</v>
      </c>
      <c r="DS58" s="77">
        <f t="shared" si="36"/>
        <v>2.1890000000000001</v>
      </c>
      <c r="DT58" s="77">
        <f t="shared" si="36"/>
        <v>2.214</v>
      </c>
      <c r="DU58" s="77">
        <f t="shared" si="33"/>
        <v>2.2370000000000001</v>
      </c>
      <c r="DV58" s="77">
        <f t="shared" si="33"/>
        <v>2.2599999999999998</v>
      </c>
      <c r="DW58" s="77">
        <f t="shared" si="33"/>
        <v>2.2829999999999999</v>
      </c>
      <c r="DX58" s="77">
        <f t="shared" si="33"/>
        <v>2.3050000000000002</v>
      </c>
      <c r="DY58" s="77">
        <f t="shared" si="33"/>
        <v>2.3260000000000001</v>
      </c>
      <c r="DZ58" s="77">
        <f t="shared" si="33"/>
        <v>2.347</v>
      </c>
      <c r="EA58" s="77">
        <f t="shared" si="33"/>
        <v>2.367</v>
      </c>
      <c r="EB58" s="77">
        <f t="shared" si="37"/>
        <v>2.387</v>
      </c>
      <c r="EC58" s="77">
        <f t="shared" si="37"/>
        <v>2.4060000000000001</v>
      </c>
      <c r="ED58" s="77">
        <f t="shared" si="37"/>
        <v>2.4239999999999999</v>
      </c>
      <c r="EE58" s="77">
        <f t="shared" si="37"/>
        <v>2.4420000000000002</v>
      </c>
      <c r="EF58" s="77">
        <f t="shared" si="37"/>
        <v>2.4590000000000001</v>
      </c>
      <c r="EG58" s="77">
        <f t="shared" si="37"/>
        <v>2.476</v>
      </c>
    </row>
    <row r="59" spans="1:137" ht="12.6" customHeight="1">
      <c r="A59" s="73">
        <v>59</v>
      </c>
      <c r="B59" s="74">
        <v>1.8820000000000001</v>
      </c>
      <c r="C59" s="74">
        <v>1.9080000000000004</v>
      </c>
      <c r="D59" s="74">
        <v>1.9340000000000002</v>
      </c>
      <c r="E59" s="74">
        <v>1.9610000000000003</v>
      </c>
      <c r="F59" s="74">
        <v>1.98</v>
      </c>
      <c r="G59" s="74">
        <v>2.0090000000000003</v>
      </c>
      <c r="H59" s="74">
        <v>2.032</v>
      </c>
      <c r="I59" s="74">
        <v>2.0530000000000004</v>
      </c>
      <c r="J59" s="74">
        <v>2.0740000000000003</v>
      </c>
      <c r="K59" s="74">
        <v>2.0940000000000003</v>
      </c>
      <c r="L59" s="74">
        <v>2.113</v>
      </c>
      <c r="M59" s="74">
        <v>2.1310000000000002</v>
      </c>
      <c r="N59" s="74">
        <v>2.1520000000000001</v>
      </c>
      <c r="O59" s="74">
        <v>2.1740000000000004</v>
      </c>
      <c r="P59" s="74">
        <v>2.1980000000000004</v>
      </c>
      <c r="Q59" s="74">
        <v>2.2210000000000001</v>
      </c>
      <c r="R59" s="74">
        <v>2.2450000000000001</v>
      </c>
      <c r="S59" s="74">
        <v>2.2680000000000002</v>
      </c>
      <c r="T59" s="74">
        <v>2.29</v>
      </c>
      <c r="U59" s="74">
        <v>2.3110000000000004</v>
      </c>
      <c r="V59" s="74">
        <v>2.3320000000000003</v>
      </c>
      <c r="W59" s="74">
        <v>2.3530000000000002</v>
      </c>
      <c r="X59" s="74">
        <v>2.3720000000000003</v>
      </c>
      <c r="Y59" s="74">
        <v>2.391</v>
      </c>
      <c r="Z59" s="74">
        <v>2.41</v>
      </c>
      <c r="AA59" s="74">
        <v>2.4280000000000004</v>
      </c>
      <c r="AB59" s="74">
        <v>2.4450000000000003</v>
      </c>
      <c r="AC59" s="74">
        <v>2.4620000000000002</v>
      </c>
      <c r="AD59" s="75">
        <v>2.4780000000000002</v>
      </c>
      <c r="AE59" s="76"/>
      <c r="AF59" s="76"/>
      <c r="AG59" s="76"/>
      <c r="AH59" s="76"/>
      <c r="AI59" s="76"/>
      <c r="AJ59" s="76"/>
      <c r="AK59" s="76"/>
      <c r="AL59" s="76"/>
      <c r="AM59" s="76"/>
      <c r="AN59" s="76"/>
      <c r="AO59" s="76"/>
      <c r="AP59" s="76"/>
      <c r="AQ59" s="76"/>
      <c r="AR59" s="76"/>
      <c r="AS59" s="76"/>
      <c r="BZ59" s="63" t="str">
        <f t="shared" si="4"/>
        <v>459</v>
      </c>
      <c r="CA59" s="63" t="str">
        <f t="shared" si="1"/>
        <v>559</v>
      </c>
      <c r="CB59" s="63" t="str">
        <f t="shared" si="5"/>
        <v>659</v>
      </c>
      <c r="CC59" s="63" t="str">
        <f t="shared" si="6"/>
        <v>759</v>
      </c>
      <c r="CD59" s="63" t="str">
        <f t="shared" si="7"/>
        <v>859</v>
      </c>
      <c r="CE59" s="63" t="str">
        <f t="shared" si="8"/>
        <v>959</v>
      </c>
      <c r="CF59" s="63" t="str">
        <f t="shared" si="9"/>
        <v>1059</v>
      </c>
      <c r="CG59" s="63" t="str">
        <f t="shared" si="10"/>
        <v>1159</v>
      </c>
      <c r="CH59" s="63" t="str">
        <f t="shared" si="11"/>
        <v>1259</v>
      </c>
      <c r="CI59" s="63" t="str">
        <f t="shared" si="12"/>
        <v>1359</v>
      </c>
      <c r="CJ59" s="63" t="str">
        <f t="shared" si="13"/>
        <v>1459</v>
      </c>
      <c r="CK59" s="63" t="str">
        <f t="shared" si="14"/>
        <v>1559</v>
      </c>
      <c r="CL59" s="63" t="str">
        <f t="shared" si="15"/>
        <v>1659</v>
      </c>
      <c r="CM59" s="63" t="str">
        <f t="shared" si="16"/>
        <v>1759</v>
      </c>
      <c r="CN59" s="63" t="str">
        <f t="shared" si="17"/>
        <v>1859</v>
      </c>
      <c r="CO59" s="63" t="str">
        <f t="shared" si="18"/>
        <v>1959</v>
      </c>
      <c r="CP59" s="63" t="str">
        <f t="shared" si="19"/>
        <v>2059</v>
      </c>
      <c r="CQ59" s="63" t="str">
        <f t="shared" si="20"/>
        <v>2159</v>
      </c>
      <c r="CR59" s="63" t="str">
        <f t="shared" si="21"/>
        <v>2259</v>
      </c>
      <c r="CS59" s="63" t="str">
        <f t="shared" si="22"/>
        <v>2359</v>
      </c>
      <c r="CT59" s="63" t="str">
        <f t="shared" si="23"/>
        <v>2459</v>
      </c>
      <c r="CU59" s="63" t="str">
        <f t="shared" si="24"/>
        <v>2559</v>
      </c>
      <c r="CV59" s="63" t="str">
        <f t="shared" si="25"/>
        <v>2659</v>
      </c>
      <c r="CW59" s="63" t="str">
        <f t="shared" si="26"/>
        <v>2759</v>
      </c>
      <c r="CX59" s="63" t="str">
        <f t="shared" si="27"/>
        <v>2859</v>
      </c>
      <c r="CY59" s="63" t="str">
        <f t="shared" si="28"/>
        <v>2959</v>
      </c>
      <c r="CZ59" s="63" t="str">
        <f t="shared" si="29"/>
        <v>3059</v>
      </c>
      <c r="DA59" s="63" t="str">
        <f t="shared" si="30"/>
        <v>3159</v>
      </c>
      <c r="DB59" s="63" t="str">
        <f t="shared" si="31"/>
        <v>3259</v>
      </c>
      <c r="DD59" s="72" t="s">
        <v>188</v>
      </c>
      <c r="DE59" s="77">
        <f t="shared" si="36"/>
        <v>1.8819999999999999</v>
      </c>
      <c r="DF59" s="77">
        <f t="shared" si="36"/>
        <v>1.9079999999999999</v>
      </c>
      <c r="DG59" s="77">
        <f t="shared" si="36"/>
        <v>1.9339999999999999</v>
      </c>
      <c r="DH59" s="77">
        <f t="shared" si="36"/>
        <v>1.9610000000000001</v>
      </c>
      <c r="DI59" s="77">
        <f t="shared" si="36"/>
        <v>1.98</v>
      </c>
      <c r="DJ59" s="77">
        <f t="shared" si="36"/>
        <v>2.0089999999999999</v>
      </c>
      <c r="DK59" s="77">
        <f t="shared" si="36"/>
        <v>2.032</v>
      </c>
      <c r="DL59" s="77">
        <f t="shared" si="36"/>
        <v>2.0529999999999999</v>
      </c>
      <c r="DM59" s="77">
        <f t="shared" si="36"/>
        <v>2.0739999999999998</v>
      </c>
      <c r="DN59" s="77">
        <f t="shared" si="36"/>
        <v>2.0939999999999999</v>
      </c>
      <c r="DO59" s="77">
        <f t="shared" si="36"/>
        <v>2.113</v>
      </c>
      <c r="DP59" s="77">
        <f t="shared" si="36"/>
        <v>2.1309999999999998</v>
      </c>
      <c r="DQ59" s="77">
        <f t="shared" si="36"/>
        <v>2.1520000000000001</v>
      </c>
      <c r="DR59" s="77">
        <f t="shared" si="36"/>
        <v>2.1739999999999999</v>
      </c>
      <c r="DS59" s="77">
        <f t="shared" si="36"/>
        <v>2.198</v>
      </c>
      <c r="DT59" s="77">
        <f t="shared" si="36"/>
        <v>2.2210000000000001</v>
      </c>
      <c r="DU59" s="77">
        <f t="shared" si="33"/>
        <v>2.2450000000000001</v>
      </c>
      <c r="DV59" s="77">
        <f t="shared" si="33"/>
        <v>2.2679999999999998</v>
      </c>
      <c r="DW59" s="77">
        <f t="shared" si="33"/>
        <v>2.29</v>
      </c>
      <c r="DX59" s="77">
        <f t="shared" si="33"/>
        <v>2.3109999999999999</v>
      </c>
      <c r="DY59" s="77">
        <f t="shared" si="33"/>
        <v>2.3319999999999999</v>
      </c>
      <c r="DZ59" s="77">
        <f t="shared" si="33"/>
        <v>2.3530000000000002</v>
      </c>
      <c r="EA59" s="77">
        <f t="shared" si="33"/>
        <v>2.3719999999999999</v>
      </c>
      <c r="EB59" s="77">
        <f t="shared" si="37"/>
        <v>2.391</v>
      </c>
      <c r="EC59" s="77">
        <f t="shared" si="37"/>
        <v>2.41</v>
      </c>
      <c r="ED59" s="77">
        <f t="shared" si="37"/>
        <v>2.4279999999999999</v>
      </c>
      <c r="EE59" s="77">
        <f t="shared" si="37"/>
        <v>2.4449999999999998</v>
      </c>
      <c r="EF59" s="77">
        <f t="shared" si="37"/>
        <v>2.4620000000000002</v>
      </c>
      <c r="EG59" s="77">
        <f t="shared" si="37"/>
        <v>2.4780000000000002</v>
      </c>
    </row>
    <row r="60" spans="1:137" ht="12.6" customHeight="1">
      <c r="A60" s="73">
        <v>60</v>
      </c>
      <c r="B60" s="74">
        <v>1.895</v>
      </c>
      <c r="C60" s="74">
        <v>1.9200000000000004</v>
      </c>
      <c r="D60" s="74">
        <v>1.9450000000000003</v>
      </c>
      <c r="E60" s="74">
        <v>1.972</v>
      </c>
      <c r="F60" s="74">
        <v>1.996</v>
      </c>
      <c r="G60" s="74">
        <v>2.02</v>
      </c>
      <c r="H60" s="74">
        <v>2.0420000000000003</v>
      </c>
      <c r="I60" s="74">
        <v>2.0650000000000004</v>
      </c>
      <c r="J60" s="74">
        <v>2.0840000000000001</v>
      </c>
      <c r="K60" s="74">
        <v>2.1030000000000002</v>
      </c>
      <c r="L60" s="74">
        <v>2.1220000000000003</v>
      </c>
      <c r="M60" s="74">
        <v>2.14</v>
      </c>
      <c r="N60" s="74">
        <v>2.161</v>
      </c>
      <c r="O60" s="74">
        <v>2.1820000000000004</v>
      </c>
      <c r="P60" s="74">
        <v>2.206</v>
      </c>
      <c r="Q60" s="74">
        <v>2.2290000000000001</v>
      </c>
      <c r="R60" s="74">
        <v>2.2520000000000002</v>
      </c>
      <c r="S60" s="74">
        <v>2.2750000000000004</v>
      </c>
      <c r="T60" s="74">
        <v>2.2960000000000003</v>
      </c>
      <c r="U60" s="74">
        <v>2.3180000000000001</v>
      </c>
      <c r="V60" s="74">
        <v>2.3380000000000001</v>
      </c>
      <c r="W60" s="74">
        <v>2.3580000000000001</v>
      </c>
      <c r="X60" s="74">
        <v>2.3770000000000002</v>
      </c>
      <c r="Y60" s="74">
        <v>2.395</v>
      </c>
      <c r="Z60" s="74">
        <v>2.4140000000000001</v>
      </c>
      <c r="AA60" s="74">
        <v>2.4320000000000004</v>
      </c>
      <c r="AB60" s="74">
        <v>2.4480000000000004</v>
      </c>
      <c r="AC60" s="74">
        <v>2.4650000000000003</v>
      </c>
      <c r="AD60" s="75">
        <v>2.48</v>
      </c>
      <c r="AE60" s="76"/>
      <c r="AF60" s="76"/>
      <c r="AG60" s="76"/>
      <c r="AH60" s="76"/>
      <c r="AI60" s="76"/>
      <c r="AJ60" s="76"/>
      <c r="AK60" s="76"/>
      <c r="AL60" s="76"/>
      <c r="AM60" s="76"/>
      <c r="AN60" s="76"/>
      <c r="AO60" s="76"/>
      <c r="AP60" s="76"/>
      <c r="AQ60" s="76"/>
      <c r="AR60" s="76"/>
      <c r="AS60" s="76"/>
      <c r="BZ60" s="63" t="str">
        <f t="shared" si="4"/>
        <v>460</v>
      </c>
      <c r="CA60" s="63" t="str">
        <f t="shared" si="1"/>
        <v>560</v>
      </c>
      <c r="CB60" s="63" t="str">
        <f t="shared" si="5"/>
        <v>660</v>
      </c>
      <c r="CC60" s="63" t="str">
        <f t="shared" si="6"/>
        <v>760</v>
      </c>
      <c r="CD60" s="63" t="str">
        <f t="shared" si="7"/>
        <v>860</v>
      </c>
      <c r="CE60" s="63" t="str">
        <f t="shared" si="8"/>
        <v>960</v>
      </c>
      <c r="CF60" s="63" t="str">
        <f t="shared" si="9"/>
        <v>1060</v>
      </c>
      <c r="CG60" s="63" t="str">
        <f t="shared" si="10"/>
        <v>1160</v>
      </c>
      <c r="CH60" s="63" t="str">
        <f t="shared" si="11"/>
        <v>1260</v>
      </c>
      <c r="CI60" s="63" t="str">
        <f t="shared" si="12"/>
        <v>1360</v>
      </c>
      <c r="CJ60" s="63" t="str">
        <f t="shared" si="13"/>
        <v>1460</v>
      </c>
      <c r="CK60" s="63" t="str">
        <f t="shared" si="14"/>
        <v>1560</v>
      </c>
      <c r="CL60" s="63" t="str">
        <f t="shared" si="15"/>
        <v>1660</v>
      </c>
      <c r="CM60" s="63" t="str">
        <f t="shared" si="16"/>
        <v>1760</v>
      </c>
      <c r="CN60" s="63" t="str">
        <f t="shared" si="17"/>
        <v>1860</v>
      </c>
      <c r="CO60" s="63" t="str">
        <f t="shared" si="18"/>
        <v>1960</v>
      </c>
      <c r="CP60" s="63" t="str">
        <f t="shared" si="19"/>
        <v>2060</v>
      </c>
      <c r="CQ60" s="63" t="str">
        <f t="shared" si="20"/>
        <v>2160</v>
      </c>
      <c r="CR60" s="63" t="str">
        <f t="shared" si="21"/>
        <v>2260</v>
      </c>
      <c r="CS60" s="63" t="str">
        <f t="shared" si="22"/>
        <v>2360</v>
      </c>
      <c r="CT60" s="63" t="str">
        <f t="shared" si="23"/>
        <v>2460</v>
      </c>
      <c r="CU60" s="63" t="str">
        <f t="shared" si="24"/>
        <v>2560</v>
      </c>
      <c r="CV60" s="63" t="str">
        <f t="shared" si="25"/>
        <v>2660</v>
      </c>
      <c r="CW60" s="63" t="str">
        <f t="shared" si="26"/>
        <v>2760</v>
      </c>
      <c r="CX60" s="63" t="str">
        <f t="shared" si="27"/>
        <v>2860</v>
      </c>
      <c r="CY60" s="63" t="str">
        <f t="shared" si="28"/>
        <v>2960</v>
      </c>
      <c r="CZ60" s="63" t="str">
        <f t="shared" si="29"/>
        <v>3060</v>
      </c>
      <c r="DA60" s="63" t="str">
        <f t="shared" si="30"/>
        <v>3160</v>
      </c>
      <c r="DB60" s="63" t="str">
        <f t="shared" si="31"/>
        <v>3260</v>
      </c>
      <c r="DD60" s="72" t="s">
        <v>189</v>
      </c>
      <c r="DE60" s="77">
        <f t="shared" si="36"/>
        <v>1.895</v>
      </c>
      <c r="DF60" s="77">
        <f t="shared" si="36"/>
        <v>1.92</v>
      </c>
      <c r="DG60" s="77">
        <f t="shared" si="36"/>
        <v>1.9450000000000001</v>
      </c>
      <c r="DH60" s="77">
        <f t="shared" si="36"/>
        <v>1.972</v>
      </c>
      <c r="DI60" s="77">
        <f t="shared" si="36"/>
        <v>1.996</v>
      </c>
      <c r="DJ60" s="77">
        <f t="shared" si="36"/>
        <v>2.02</v>
      </c>
      <c r="DK60" s="77">
        <f t="shared" si="36"/>
        <v>2.0419999999999998</v>
      </c>
      <c r="DL60" s="77">
        <f t="shared" si="36"/>
        <v>2.0649999999999999</v>
      </c>
      <c r="DM60" s="77">
        <f t="shared" si="36"/>
        <v>2.0840000000000001</v>
      </c>
      <c r="DN60" s="77">
        <f t="shared" si="36"/>
        <v>2.1030000000000002</v>
      </c>
      <c r="DO60" s="77">
        <f t="shared" si="36"/>
        <v>2.1219999999999999</v>
      </c>
      <c r="DP60" s="77">
        <f t="shared" si="36"/>
        <v>2.14</v>
      </c>
      <c r="DQ60" s="77">
        <f t="shared" si="36"/>
        <v>2.161</v>
      </c>
      <c r="DR60" s="77">
        <f t="shared" si="36"/>
        <v>2.1819999999999999</v>
      </c>
      <c r="DS60" s="77">
        <f t="shared" si="36"/>
        <v>2.206</v>
      </c>
      <c r="DT60" s="77">
        <f t="shared" si="36"/>
        <v>2.2290000000000001</v>
      </c>
      <c r="DU60" s="77">
        <f t="shared" si="33"/>
        <v>2.2519999999999998</v>
      </c>
      <c r="DV60" s="77">
        <f t="shared" si="33"/>
        <v>2.2749999999999999</v>
      </c>
      <c r="DW60" s="77">
        <f t="shared" si="33"/>
        <v>2.2959999999999998</v>
      </c>
      <c r="DX60" s="77">
        <f t="shared" si="33"/>
        <v>2.3180000000000001</v>
      </c>
      <c r="DY60" s="77">
        <f t="shared" si="33"/>
        <v>2.3380000000000001</v>
      </c>
      <c r="DZ60" s="77">
        <f t="shared" si="33"/>
        <v>2.3580000000000001</v>
      </c>
      <c r="EA60" s="77">
        <f t="shared" si="33"/>
        <v>2.3769999999999998</v>
      </c>
      <c r="EB60" s="77">
        <f t="shared" si="37"/>
        <v>2.395</v>
      </c>
      <c r="EC60" s="77">
        <f t="shared" si="37"/>
        <v>2.4140000000000001</v>
      </c>
      <c r="ED60" s="77">
        <f t="shared" si="37"/>
        <v>2.4319999999999999</v>
      </c>
      <c r="EE60" s="77">
        <f t="shared" si="37"/>
        <v>2.448</v>
      </c>
      <c r="EF60" s="77">
        <f t="shared" si="37"/>
        <v>2.4649999999999999</v>
      </c>
      <c r="EG60" s="77">
        <f t="shared" si="37"/>
        <v>2.48</v>
      </c>
    </row>
    <row r="61" spans="1:137" ht="12.6" customHeight="1">
      <c r="A61" s="73">
        <v>61</v>
      </c>
      <c r="B61" s="74">
        <v>1.9050000000000002</v>
      </c>
      <c r="C61" s="74">
        <v>1.931</v>
      </c>
      <c r="D61" s="74">
        <v>1.956</v>
      </c>
      <c r="E61" s="74">
        <v>1.9820000000000002</v>
      </c>
      <c r="F61" s="74">
        <v>2.0070000000000001</v>
      </c>
      <c r="G61" s="74">
        <v>2.0300000000000002</v>
      </c>
      <c r="H61" s="74">
        <v>2.052</v>
      </c>
      <c r="I61" s="74">
        <v>2.0730000000000004</v>
      </c>
      <c r="J61" s="74">
        <v>2.0940000000000003</v>
      </c>
      <c r="K61" s="74">
        <v>2.113</v>
      </c>
      <c r="L61" s="74">
        <v>2.1310000000000002</v>
      </c>
      <c r="M61" s="74">
        <v>2.1500000000000004</v>
      </c>
      <c r="N61" s="74">
        <v>2.169</v>
      </c>
      <c r="O61" s="74">
        <v>2.1910000000000003</v>
      </c>
      <c r="P61" s="74">
        <v>2.214</v>
      </c>
      <c r="Q61" s="74">
        <v>2.2370000000000001</v>
      </c>
      <c r="R61" s="74">
        <v>2.2600000000000002</v>
      </c>
      <c r="S61" s="74">
        <v>2.282</v>
      </c>
      <c r="T61" s="74">
        <v>2.3030000000000004</v>
      </c>
      <c r="U61" s="74">
        <v>2.3240000000000003</v>
      </c>
      <c r="V61" s="74">
        <v>2.3440000000000003</v>
      </c>
      <c r="W61" s="74">
        <v>2.3640000000000003</v>
      </c>
      <c r="X61" s="74">
        <v>2.383</v>
      </c>
      <c r="Y61" s="74">
        <v>2.4010000000000002</v>
      </c>
      <c r="Z61" s="74">
        <v>2.419</v>
      </c>
      <c r="AA61" s="74">
        <v>2.4360000000000004</v>
      </c>
      <c r="AB61" s="74">
        <v>2.452</v>
      </c>
      <c r="AC61" s="74">
        <v>2.468</v>
      </c>
      <c r="AD61" s="75">
        <v>2.4830000000000001</v>
      </c>
      <c r="AE61" s="76"/>
      <c r="AF61" s="76"/>
      <c r="AG61" s="76"/>
      <c r="AH61" s="76"/>
      <c r="AI61" s="76"/>
      <c r="AJ61" s="76"/>
      <c r="AK61" s="76"/>
      <c r="AL61" s="76"/>
      <c r="AM61" s="76"/>
      <c r="AN61" s="76"/>
      <c r="AO61" s="76"/>
      <c r="AP61" s="76"/>
      <c r="AQ61" s="76"/>
      <c r="AR61" s="76"/>
      <c r="AS61" s="76"/>
      <c r="BZ61" s="63" t="str">
        <f t="shared" si="4"/>
        <v>461</v>
      </c>
      <c r="CA61" s="63" t="str">
        <f t="shared" si="1"/>
        <v>561</v>
      </c>
      <c r="CB61" s="63" t="str">
        <f t="shared" si="5"/>
        <v>661</v>
      </c>
      <c r="CC61" s="63" t="str">
        <f t="shared" si="6"/>
        <v>761</v>
      </c>
      <c r="CD61" s="63" t="str">
        <f t="shared" si="7"/>
        <v>861</v>
      </c>
      <c r="CE61" s="63" t="str">
        <f t="shared" si="8"/>
        <v>961</v>
      </c>
      <c r="CF61" s="63" t="str">
        <f t="shared" si="9"/>
        <v>1061</v>
      </c>
      <c r="CG61" s="63" t="str">
        <f t="shared" si="10"/>
        <v>1161</v>
      </c>
      <c r="CH61" s="63" t="str">
        <f t="shared" si="11"/>
        <v>1261</v>
      </c>
      <c r="CI61" s="63" t="str">
        <f t="shared" si="12"/>
        <v>1361</v>
      </c>
      <c r="CJ61" s="63" t="str">
        <f t="shared" si="13"/>
        <v>1461</v>
      </c>
      <c r="CK61" s="63" t="str">
        <f t="shared" si="14"/>
        <v>1561</v>
      </c>
      <c r="CL61" s="63" t="str">
        <f t="shared" si="15"/>
        <v>1661</v>
      </c>
      <c r="CM61" s="63" t="str">
        <f t="shared" si="16"/>
        <v>1761</v>
      </c>
      <c r="CN61" s="63" t="str">
        <f t="shared" si="17"/>
        <v>1861</v>
      </c>
      <c r="CO61" s="63" t="str">
        <f t="shared" si="18"/>
        <v>1961</v>
      </c>
      <c r="CP61" s="63" t="str">
        <f t="shared" si="19"/>
        <v>2061</v>
      </c>
      <c r="CQ61" s="63" t="str">
        <f t="shared" si="20"/>
        <v>2161</v>
      </c>
      <c r="CR61" s="63" t="str">
        <f t="shared" si="21"/>
        <v>2261</v>
      </c>
      <c r="CS61" s="63" t="str">
        <f t="shared" si="22"/>
        <v>2361</v>
      </c>
      <c r="CT61" s="63" t="str">
        <f t="shared" si="23"/>
        <v>2461</v>
      </c>
      <c r="CU61" s="63" t="str">
        <f t="shared" si="24"/>
        <v>2561</v>
      </c>
      <c r="CV61" s="63" t="str">
        <f t="shared" si="25"/>
        <v>2661</v>
      </c>
      <c r="CW61" s="63" t="str">
        <f t="shared" si="26"/>
        <v>2761</v>
      </c>
      <c r="CX61" s="63" t="str">
        <f t="shared" si="27"/>
        <v>2861</v>
      </c>
      <c r="CY61" s="63" t="str">
        <f t="shared" si="28"/>
        <v>2961</v>
      </c>
      <c r="CZ61" s="63" t="str">
        <f t="shared" si="29"/>
        <v>3061</v>
      </c>
      <c r="DA61" s="63" t="str">
        <f t="shared" si="30"/>
        <v>3161</v>
      </c>
      <c r="DB61" s="63" t="str">
        <f t="shared" si="31"/>
        <v>3261</v>
      </c>
      <c r="DD61" s="72" t="s">
        <v>190</v>
      </c>
      <c r="DE61" s="77">
        <f t="shared" si="36"/>
        <v>1.905</v>
      </c>
      <c r="DF61" s="77">
        <f t="shared" si="36"/>
        <v>1.931</v>
      </c>
      <c r="DG61" s="77">
        <f t="shared" si="36"/>
        <v>1.956</v>
      </c>
      <c r="DH61" s="77">
        <f t="shared" si="36"/>
        <v>1.982</v>
      </c>
      <c r="DI61" s="77">
        <f t="shared" si="36"/>
        <v>2.0070000000000001</v>
      </c>
      <c r="DJ61" s="77">
        <f t="shared" si="36"/>
        <v>2.0299999999999998</v>
      </c>
      <c r="DK61" s="77">
        <f t="shared" si="36"/>
        <v>2.052</v>
      </c>
      <c r="DL61" s="77">
        <f t="shared" si="36"/>
        <v>2.073</v>
      </c>
      <c r="DM61" s="77">
        <f t="shared" si="36"/>
        <v>2.0939999999999999</v>
      </c>
      <c r="DN61" s="77">
        <f t="shared" si="36"/>
        <v>2.113</v>
      </c>
      <c r="DO61" s="77">
        <f t="shared" si="36"/>
        <v>2.1309999999999998</v>
      </c>
      <c r="DP61" s="77">
        <f t="shared" si="36"/>
        <v>2.15</v>
      </c>
      <c r="DQ61" s="77">
        <f t="shared" si="36"/>
        <v>2.169</v>
      </c>
      <c r="DR61" s="77">
        <f t="shared" si="36"/>
        <v>2.1909999999999998</v>
      </c>
      <c r="DS61" s="77">
        <f t="shared" si="36"/>
        <v>2.214</v>
      </c>
      <c r="DT61" s="77">
        <f t="shared" si="36"/>
        <v>2.2370000000000001</v>
      </c>
      <c r="DU61" s="77">
        <f t="shared" si="33"/>
        <v>2.2599999999999998</v>
      </c>
      <c r="DV61" s="77">
        <f t="shared" si="33"/>
        <v>2.282</v>
      </c>
      <c r="DW61" s="77">
        <f t="shared" si="33"/>
        <v>2.3029999999999999</v>
      </c>
      <c r="DX61" s="77">
        <f t="shared" si="33"/>
        <v>2.3239999999999998</v>
      </c>
      <c r="DY61" s="77">
        <f t="shared" si="33"/>
        <v>2.3439999999999999</v>
      </c>
      <c r="DZ61" s="77">
        <f t="shared" si="33"/>
        <v>2.3639999999999999</v>
      </c>
      <c r="EA61" s="77">
        <f t="shared" si="33"/>
        <v>2.383</v>
      </c>
      <c r="EB61" s="77">
        <f t="shared" si="37"/>
        <v>2.4009999999999998</v>
      </c>
      <c r="EC61" s="77">
        <f t="shared" si="37"/>
        <v>2.419</v>
      </c>
      <c r="ED61" s="77">
        <f t="shared" si="37"/>
        <v>2.4359999999999999</v>
      </c>
      <c r="EE61" s="77">
        <f t="shared" si="37"/>
        <v>2.452</v>
      </c>
      <c r="EF61" s="77">
        <f t="shared" si="37"/>
        <v>2.468</v>
      </c>
      <c r="EG61" s="77">
        <f t="shared" si="37"/>
        <v>2.4830000000000001</v>
      </c>
    </row>
    <row r="62" spans="1:137" ht="12.6" customHeight="1">
      <c r="A62" s="73">
        <v>62</v>
      </c>
      <c r="B62" s="74">
        <v>1.9170000000000003</v>
      </c>
      <c r="C62" s="74">
        <v>1.9420000000000002</v>
      </c>
      <c r="D62" s="74">
        <v>1.9670000000000001</v>
      </c>
      <c r="E62" s="74">
        <v>1.9930000000000003</v>
      </c>
      <c r="F62" s="74">
        <v>2.0170000000000003</v>
      </c>
      <c r="G62" s="74">
        <v>2.04</v>
      </c>
      <c r="H62" s="74">
        <v>2.0620000000000003</v>
      </c>
      <c r="I62" s="74">
        <v>2.0830000000000002</v>
      </c>
      <c r="J62" s="74">
        <v>2.1030000000000002</v>
      </c>
      <c r="K62" s="74">
        <v>2.1220000000000003</v>
      </c>
      <c r="L62" s="74">
        <v>2.14</v>
      </c>
      <c r="M62" s="74">
        <v>2.1590000000000003</v>
      </c>
      <c r="N62" s="74">
        <v>2.1780000000000004</v>
      </c>
      <c r="O62" s="74">
        <v>2.1990000000000003</v>
      </c>
      <c r="P62" s="74">
        <v>2.222</v>
      </c>
      <c r="Q62" s="74">
        <v>2.2450000000000001</v>
      </c>
      <c r="R62" s="74">
        <v>2.2670000000000003</v>
      </c>
      <c r="S62" s="74">
        <v>2.2890000000000001</v>
      </c>
      <c r="T62" s="74">
        <v>2.31</v>
      </c>
      <c r="U62" s="74">
        <v>2.33</v>
      </c>
      <c r="V62" s="74">
        <v>2.35</v>
      </c>
      <c r="W62" s="74">
        <v>2.3690000000000002</v>
      </c>
      <c r="X62" s="74">
        <v>2.3880000000000003</v>
      </c>
      <c r="Y62" s="74">
        <v>2.4060000000000001</v>
      </c>
      <c r="Z62" s="74">
        <v>2.423</v>
      </c>
      <c r="AA62" s="74">
        <v>2.4400000000000004</v>
      </c>
      <c r="AB62" s="74">
        <v>2.456</v>
      </c>
      <c r="AC62" s="74">
        <v>2.4710000000000001</v>
      </c>
      <c r="AD62" s="75">
        <v>2.4860000000000002</v>
      </c>
      <c r="AE62" s="76"/>
      <c r="AF62" s="76"/>
      <c r="AG62" s="76"/>
      <c r="AH62" s="76"/>
      <c r="AI62" s="76"/>
      <c r="AJ62" s="76"/>
      <c r="AK62" s="76"/>
      <c r="AL62" s="76"/>
      <c r="AM62" s="76"/>
      <c r="AN62" s="76"/>
      <c r="AO62" s="76"/>
      <c r="AP62" s="76"/>
      <c r="AQ62" s="76"/>
      <c r="AR62" s="76"/>
      <c r="AS62" s="76"/>
      <c r="BZ62" s="63" t="str">
        <f t="shared" si="4"/>
        <v>462</v>
      </c>
      <c r="CA62" s="63" t="str">
        <f t="shared" si="1"/>
        <v>562</v>
      </c>
      <c r="CB62" s="63" t="str">
        <f t="shared" si="5"/>
        <v>662</v>
      </c>
      <c r="CC62" s="63" t="str">
        <f t="shared" si="6"/>
        <v>762</v>
      </c>
      <c r="CD62" s="63" t="str">
        <f t="shared" si="7"/>
        <v>862</v>
      </c>
      <c r="CE62" s="63" t="str">
        <f t="shared" si="8"/>
        <v>962</v>
      </c>
      <c r="CF62" s="63" t="str">
        <f t="shared" si="9"/>
        <v>1062</v>
      </c>
      <c r="CG62" s="63" t="str">
        <f t="shared" si="10"/>
        <v>1162</v>
      </c>
      <c r="CH62" s="63" t="str">
        <f t="shared" si="11"/>
        <v>1262</v>
      </c>
      <c r="CI62" s="63" t="str">
        <f t="shared" si="12"/>
        <v>1362</v>
      </c>
      <c r="CJ62" s="63" t="str">
        <f t="shared" si="13"/>
        <v>1462</v>
      </c>
      <c r="CK62" s="63" t="str">
        <f t="shared" si="14"/>
        <v>1562</v>
      </c>
      <c r="CL62" s="63" t="str">
        <f t="shared" si="15"/>
        <v>1662</v>
      </c>
      <c r="CM62" s="63" t="str">
        <f t="shared" si="16"/>
        <v>1762</v>
      </c>
      <c r="CN62" s="63" t="str">
        <f t="shared" si="17"/>
        <v>1862</v>
      </c>
      <c r="CO62" s="63" t="str">
        <f t="shared" si="18"/>
        <v>1962</v>
      </c>
      <c r="CP62" s="63" t="str">
        <f t="shared" si="19"/>
        <v>2062</v>
      </c>
      <c r="CQ62" s="63" t="str">
        <f t="shared" si="20"/>
        <v>2162</v>
      </c>
      <c r="CR62" s="63" t="str">
        <f t="shared" si="21"/>
        <v>2262</v>
      </c>
      <c r="CS62" s="63" t="str">
        <f t="shared" si="22"/>
        <v>2362</v>
      </c>
      <c r="CT62" s="63" t="str">
        <f t="shared" si="23"/>
        <v>2462</v>
      </c>
      <c r="CU62" s="63" t="str">
        <f t="shared" si="24"/>
        <v>2562</v>
      </c>
      <c r="CV62" s="63" t="str">
        <f t="shared" si="25"/>
        <v>2662</v>
      </c>
      <c r="CW62" s="63" t="str">
        <f t="shared" si="26"/>
        <v>2762</v>
      </c>
      <c r="CX62" s="63" t="str">
        <f t="shared" si="27"/>
        <v>2862</v>
      </c>
      <c r="CY62" s="63" t="str">
        <f t="shared" si="28"/>
        <v>2962</v>
      </c>
      <c r="CZ62" s="63" t="str">
        <f t="shared" si="29"/>
        <v>3062</v>
      </c>
      <c r="DA62" s="63" t="str">
        <f t="shared" si="30"/>
        <v>3162</v>
      </c>
      <c r="DB62" s="63" t="str">
        <f t="shared" si="31"/>
        <v>3262</v>
      </c>
      <c r="DD62" s="72" t="s">
        <v>191</v>
      </c>
      <c r="DE62" s="77">
        <f t="shared" si="36"/>
        <v>1.917</v>
      </c>
      <c r="DF62" s="77">
        <f t="shared" si="36"/>
        <v>1.9419999999999999</v>
      </c>
      <c r="DG62" s="77">
        <f t="shared" si="36"/>
        <v>1.9670000000000001</v>
      </c>
      <c r="DH62" s="77">
        <f t="shared" si="36"/>
        <v>1.9930000000000001</v>
      </c>
      <c r="DI62" s="77">
        <f t="shared" si="36"/>
        <v>2.0169999999999999</v>
      </c>
      <c r="DJ62" s="77">
        <f t="shared" si="36"/>
        <v>2.04</v>
      </c>
      <c r="DK62" s="77">
        <f t="shared" si="36"/>
        <v>2.0619999999999998</v>
      </c>
      <c r="DL62" s="77">
        <f t="shared" si="36"/>
        <v>2.0830000000000002</v>
      </c>
      <c r="DM62" s="77">
        <f t="shared" si="36"/>
        <v>2.1030000000000002</v>
      </c>
      <c r="DN62" s="77">
        <f t="shared" si="36"/>
        <v>2.1219999999999999</v>
      </c>
      <c r="DO62" s="77">
        <f t="shared" si="36"/>
        <v>2.14</v>
      </c>
      <c r="DP62" s="77">
        <f t="shared" si="36"/>
        <v>2.1589999999999998</v>
      </c>
      <c r="DQ62" s="77">
        <f t="shared" si="36"/>
        <v>2.1779999999999999</v>
      </c>
      <c r="DR62" s="77">
        <f t="shared" si="36"/>
        <v>2.1989999999999998</v>
      </c>
      <c r="DS62" s="77">
        <f t="shared" si="36"/>
        <v>2.222</v>
      </c>
      <c r="DT62" s="77">
        <f t="shared" si="36"/>
        <v>2.2450000000000001</v>
      </c>
      <c r="DU62" s="77">
        <f t="shared" si="33"/>
        <v>2.2669999999999999</v>
      </c>
      <c r="DV62" s="77">
        <f t="shared" si="33"/>
        <v>2.2890000000000001</v>
      </c>
      <c r="DW62" s="77">
        <f t="shared" si="33"/>
        <v>2.31</v>
      </c>
      <c r="DX62" s="77">
        <f t="shared" si="33"/>
        <v>2.33</v>
      </c>
      <c r="DY62" s="77">
        <f t="shared" si="33"/>
        <v>2.35</v>
      </c>
      <c r="DZ62" s="77">
        <f t="shared" si="33"/>
        <v>2.3690000000000002</v>
      </c>
      <c r="EA62" s="77">
        <f t="shared" si="33"/>
        <v>2.3879999999999999</v>
      </c>
      <c r="EB62" s="77">
        <f t="shared" si="37"/>
        <v>2.4060000000000001</v>
      </c>
      <c r="EC62" s="77">
        <f t="shared" si="37"/>
        <v>2.423</v>
      </c>
      <c r="ED62" s="77">
        <f t="shared" si="37"/>
        <v>2.44</v>
      </c>
      <c r="EE62" s="77">
        <f t="shared" si="37"/>
        <v>2.456</v>
      </c>
      <c r="EF62" s="77">
        <f t="shared" si="37"/>
        <v>2.4710000000000001</v>
      </c>
      <c r="EG62" s="77">
        <f t="shared" si="37"/>
        <v>2.4860000000000002</v>
      </c>
    </row>
    <row r="63" spans="1:137" ht="12.6" customHeight="1">
      <c r="A63" s="73">
        <v>63</v>
      </c>
      <c r="B63" s="74">
        <v>1.9280000000000004</v>
      </c>
      <c r="C63" s="74">
        <v>1.9530000000000003</v>
      </c>
      <c r="D63" s="74">
        <v>1.9780000000000002</v>
      </c>
      <c r="E63" s="74">
        <v>2.004</v>
      </c>
      <c r="F63" s="74">
        <v>2.028</v>
      </c>
      <c r="G63" s="74">
        <v>2.0500000000000003</v>
      </c>
      <c r="H63" s="74">
        <v>2.0720000000000001</v>
      </c>
      <c r="I63" s="74">
        <v>2.093</v>
      </c>
      <c r="J63" s="74">
        <v>2.113</v>
      </c>
      <c r="K63" s="74">
        <v>2.1310000000000002</v>
      </c>
      <c r="L63" s="74">
        <v>2.149</v>
      </c>
      <c r="M63" s="74">
        <v>2.1670000000000003</v>
      </c>
      <c r="N63" s="74">
        <v>2.1870000000000003</v>
      </c>
      <c r="O63" s="74">
        <v>2.2080000000000002</v>
      </c>
      <c r="P63" s="74">
        <v>2.23</v>
      </c>
      <c r="Q63" s="74">
        <v>2.2530000000000001</v>
      </c>
      <c r="R63" s="74">
        <v>2.274</v>
      </c>
      <c r="S63" s="74">
        <v>2.2960000000000003</v>
      </c>
      <c r="T63" s="74">
        <v>2.3170000000000002</v>
      </c>
      <c r="U63" s="74">
        <v>2.3360000000000003</v>
      </c>
      <c r="V63" s="74">
        <v>2.3560000000000003</v>
      </c>
      <c r="W63" s="74">
        <v>2.375</v>
      </c>
      <c r="X63" s="74">
        <v>2.3930000000000002</v>
      </c>
      <c r="Y63" s="74">
        <v>2.411</v>
      </c>
      <c r="Z63" s="74">
        <v>2.4280000000000004</v>
      </c>
      <c r="AA63" s="74">
        <v>2.4440000000000004</v>
      </c>
      <c r="AB63" s="74">
        <v>2.4590000000000001</v>
      </c>
      <c r="AC63" s="74">
        <v>2.4729999999999999</v>
      </c>
      <c r="AD63" s="75">
        <v>2.4870000000000001</v>
      </c>
      <c r="AE63" s="76"/>
      <c r="AF63" s="76"/>
      <c r="AG63" s="76"/>
      <c r="AH63" s="76"/>
      <c r="AI63" s="76"/>
      <c r="AJ63" s="76"/>
      <c r="AK63" s="76"/>
      <c r="AL63" s="76"/>
      <c r="AM63" s="76"/>
      <c r="AN63" s="76"/>
      <c r="AO63" s="76"/>
      <c r="AP63" s="76"/>
      <c r="AQ63" s="76"/>
      <c r="AR63" s="76"/>
      <c r="AS63" s="76"/>
      <c r="BZ63" s="63" t="str">
        <f t="shared" si="4"/>
        <v>463</v>
      </c>
      <c r="CA63" s="63" t="str">
        <f t="shared" si="1"/>
        <v>563</v>
      </c>
      <c r="CB63" s="63" t="str">
        <f t="shared" si="5"/>
        <v>663</v>
      </c>
      <c r="CC63" s="63" t="str">
        <f t="shared" si="6"/>
        <v>763</v>
      </c>
      <c r="CD63" s="63" t="str">
        <f t="shared" si="7"/>
        <v>863</v>
      </c>
      <c r="CE63" s="63" t="str">
        <f t="shared" si="8"/>
        <v>963</v>
      </c>
      <c r="CF63" s="63" t="str">
        <f t="shared" si="9"/>
        <v>1063</v>
      </c>
      <c r="CG63" s="63" t="str">
        <f t="shared" si="10"/>
        <v>1163</v>
      </c>
      <c r="CH63" s="63" t="str">
        <f t="shared" si="11"/>
        <v>1263</v>
      </c>
      <c r="CI63" s="63" t="str">
        <f t="shared" si="12"/>
        <v>1363</v>
      </c>
      <c r="CJ63" s="63" t="str">
        <f t="shared" si="13"/>
        <v>1463</v>
      </c>
      <c r="CK63" s="63" t="str">
        <f t="shared" si="14"/>
        <v>1563</v>
      </c>
      <c r="CL63" s="63" t="str">
        <f t="shared" si="15"/>
        <v>1663</v>
      </c>
      <c r="CM63" s="63" t="str">
        <f t="shared" si="16"/>
        <v>1763</v>
      </c>
      <c r="CN63" s="63" t="str">
        <f t="shared" si="17"/>
        <v>1863</v>
      </c>
      <c r="CO63" s="63" t="str">
        <f t="shared" si="18"/>
        <v>1963</v>
      </c>
      <c r="CP63" s="63" t="str">
        <f t="shared" si="19"/>
        <v>2063</v>
      </c>
      <c r="CQ63" s="63" t="str">
        <f t="shared" si="20"/>
        <v>2163</v>
      </c>
      <c r="CR63" s="63" t="str">
        <f t="shared" si="21"/>
        <v>2263</v>
      </c>
      <c r="CS63" s="63" t="str">
        <f t="shared" si="22"/>
        <v>2363</v>
      </c>
      <c r="CT63" s="63" t="str">
        <f t="shared" si="23"/>
        <v>2463</v>
      </c>
      <c r="CU63" s="63" t="str">
        <f t="shared" si="24"/>
        <v>2563</v>
      </c>
      <c r="CV63" s="63" t="str">
        <f t="shared" si="25"/>
        <v>2663</v>
      </c>
      <c r="CW63" s="63" t="str">
        <f t="shared" si="26"/>
        <v>2763</v>
      </c>
      <c r="CX63" s="63" t="str">
        <f t="shared" si="27"/>
        <v>2863</v>
      </c>
      <c r="CY63" s="63" t="str">
        <f t="shared" si="28"/>
        <v>2963</v>
      </c>
      <c r="CZ63" s="63" t="str">
        <f t="shared" si="29"/>
        <v>3063</v>
      </c>
      <c r="DA63" s="63" t="str">
        <f t="shared" si="30"/>
        <v>3163</v>
      </c>
      <c r="DB63" s="63" t="str">
        <f t="shared" si="31"/>
        <v>3263</v>
      </c>
      <c r="DD63" s="72" t="s">
        <v>192</v>
      </c>
      <c r="DE63" s="77">
        <f t="shared" si="36"/>
        <v>1.9279999999999999</v>
      </c>
      <c r="DF63" s="77">
        <f t="shared" si="36"/>
        <v>1.9530000000000001</v>
      </c>
      <c r="DG63" s="77">
        <f t="shared" si="36"/>
        <v>1.978</v>
      </c>
      <c r="DH63" s="77">
        <f t="shared" si="36"/>
        <v>2.004</v>
      </c>
      <c r="DI63" s="77">
        <f t="shared" si="36"/>
        <v>2.028</v>
      </c>
      <c r="DJ63" s="77">
        <f t="shared" si="36"/>
        <v>2.0499999999999998</v>
      </c>
      <c r="DK63" s="77">
        <f t="shared" si="36"/>
        <v>2.0720000000000001</v>
      </c>
      <c r="DL63" s="77">
        <f t="shared" si="36"/>
        <v>2.093</v>
      </c>
      <c r="DM63" s="77">
        <f t="shared" si="36"/>
        <v>2.113</v>
      </c>
      <c r="DN63" s="77">
        <f t="shared" si="36"/>
        <v>2.1309999999999998</v>
      </c>
      <c r="DO63" s="77">
        <f t="shared" si="36"/>
        <v>2.149</v>
      </c>
      <c r="DP63" s="77">
        <f t="shared" si="36"/>
        <v>2.1669999999999998</v>
      </c>
      <c r="DQ63" s="77">
        <f t="shared" si="36"/>
        <v>2.1869999999999998</v>
      </c>
      <c r="DR63" s="77">
        <f t="shared" si="36"/>
        <v>2.2080000000000002</v>
      </c>
      <c r="DS63" s="77">
        <f t="shared" si="36"/>
        <v>2.23</v>
      </c>
      <c r="DT63" s="77">
        <f t="shared" si="36"/>
        <v>2.2530000000000001</v>
      </c>
      <c r="DU63" s="77">
        <f t="shared" si="33"/>
        <v>2.274</v>
      </c>
      <c r="DV63" s="77">
        <f t="shared" si="33"/>
        <v>2.2959999999999998</v>
      </c>
      <c r="DW63" s="77">
        <f t="shared" si="33"/>
        <v>2.3170000000000002</v>
      </c>
      <c r="DX63" s="77">
        <f t="shared" si="33"/>
        <v>2.3359999999999999</v>
      </c>
      <c r="DY63" s="77">
        <f t="shared" si="33"/>
        <v>2.3559999999999999</v>
      </c>
      <c r="DZ63" s="77">
        <f t="shared" si="33"/>
        <v>2.375</v>
      </c>
      <c r="EA63" s="77">
        <f t="shared" si="33"/>
        <v>2.3929999999999998</v>
      </c>
      <c r="EB63" s="77">
        <f t="shared" si="37"/>
        <v>2.411</v>
      </c>
      <c r="EC63" s="77">
        <f t="shared" si="37"/>
        <v>2.4279999999999999</v>
      </c>
      <c r="ED63" s="77">
        <f t="shared" si="37"/>
        <v>2.444</v>
      </c>
      <c r="EE63" s="77">
        <f t="shared" si="37"/>
        <v>2.4590000000000001</v>
      </c>
      <c r="EF63" s="77">
        <f t="shared" si="37"/>
        <v>2.4729999999999999</v>
      </c>
      <c r="EG63" s="77">
        <f t="shared" si="37"/>
        <v>2.4870000000000001</v>
      </c>
    </row>
    <row r="64" spans="1:137" ht="12.6" customHeight="1">
      <c r="A64" s="73">
        <v>64</v>
      </c>
      <c r="B64" s="74">
        <v>1.9481000000000002</v>
      </c>
      <c r="C64" s="74">
        <v>1.964</v>
      </c>
      <c r="D64" s="74">
        <v>1.9889999999999999</v>
      </c>
      <c r="E64" s="74">
        <v>2.0150000000000001</v>
      </c>
      <c r="F64" s="74">
        <v>2.0390000000000001</v>
      </c>
      <c r="G64" s="74">
        <v>2.0609999999999999</v>
      </c>
      <c r="H64" s="74">
        <v>2.0830000000000002</v>
      </c>
      <c r="I64" s="74">
        <v>2.1030000000000002</v>
      </c>
      <c r="J64" s="74">
        <v>2.1230000000000002</v>
      </c>
      <c r="K64" s="74">
        <v>2.141</v>
      </c>
      <c r="L64" s="74">
        <v>2.1590000000000003</v>
      </c>
      <c r="M64" s="74">
        <v>2.177</v>
      </c>
      <c r="N64" s="74">
        <v>2.1960000000000002</v>
      </c>
      <c r="O64" s="74">
        <v>2.2170000000000001</v>
      </c>
      <c r="P64" s="74">
        <v>2.2389999999999999</v>
      </c>
      <c r="Q64" s="74">
        <v>2.2610000000000001</v>
      </c>
      <c r="R64" s="74">
        <v>2.2829999999999999</v>
      </c>
      <c r="S64" s="74">
        <v>2.3030000000000004</v>
      </c>
      <c r="T64" s="74">
        <v>2.3230000000000004</v>
      </c>
      <c r="U64" s="74">
        <v>2.343</v>
      </c>
      <c r="V64" s="74">
        <v>2.359</v>
      </c>
      <c r="W64" s="74">
        <v>2.3770000000000002</v>
      </c>
      <c r="X64" s="74">
        <v>2.395</v>
      </c>
      <c r="Y64" s="74">
        <v>2.4119999999999999</v>
      </c>
      <c r="Z64" s="74">
        <v>2.4290000000000003</v>
      </c>
      <c r="AA64" s="74">
        <v>2.4450000000000003</v>
      </c>
      <c r="AB64" s="74">
        <v>2.46</v>
      </c>
      <c r="AC64" s="74">
        <v>2.4750000000000001</v>
      </c>
      <c r="AD64" s="75">
        <v>2.4889999999999999</v>
      </c>
      <c r="AE64" s="76"/>
      <c r="AF64" s="76"/>
      <c r="AG64" s="76"/>
      <c r="AH64" s="76"/>
      <c r="AI64" s="76"/>
      <c r="AJ64" s="76"/>
      <c r="AK64" s="76"/>
      <c r="AL64" s="76"/>
      <c r="AM64" s="76"/>
      <c r="AN64" s="76"/>
      <c r="AO64" s="76"/>
      <c r="AP64" s="76"/>
      <c r="AQ64" s="76"/>
      <c r="AR64" s="76"/>
      <c r="AS64" s="76"/>
      <c r="BZ64" s="63" t="str">
        <f t="shared" si="4"/>
        <v>464</v>
      </c>
      <c r="CA64" s="63" t="str">
        <f t="shared" si="1"/>
        <v>564</v>
      </c>
      <c r="CB64" s="63" t="str">
        <f t="shared" si="5"/>
        <v>664</v>
      </c>
      <c r="CC64" s="63" t="str">
        <f t="shared" si="6"/>
        <v>764</v>
      </c>
      <c r="CD64" s="63" t="str">
        <f t="shared" si="7"/>
        <v>864</v>
      </c>
      <c r="CE64" s="63" t="str">
        <f t="shared" si="8"/>
        <v>964</v>
      </c>
      <c r="CF64" s="63" t="str">
        <f t="shared" si="9"/>
        <v>1064</v>
      </c>
      <c r="CG64" s="63" t="str">
        <f t="shared" si="10"/>
        <v>1164</v>
      </c>
      <c r="CH64" s="63" t="str">
        <f t="shared" si="11"/>
        <v>1264</v>
      </c>
      <c r="CI64" s="63" t="str">
        <f t="shared" si="12"/>
        <v>1364</v>
      </c>
      <c r="CJ64" s="63" t="str">
        <f t="shared" si="13"/>
        <v>1464</v>
      </c>
      <c r="CK64" s="63" t="str">
        <f t="shared" si="14"/>
        <v>1564</v>
      </c>
      <c r="CL64" s="63" t="str">
        <f t="shared" si="15"/>
        <v>1664</v>
      </c>
      <c r="CM64" s="63" t="str">
        <f t="shared" si="16"/>
        <v>1764</v>
      </c>
      <c r="CN64" s="63" t="str">
        <f t="shared" si="17"/>
        <v>1864</v>
      </c>
      <c r="CO64" s="63" t="str">
        <f t="shared" si="18"/>
        <v>1964</v>
      </c>
      <c r="CP64" s="63" t="str">
        <f t="shared" si="19"/>
        <v>2064</v>
      </c>
      <c r="CQ64" s="63" t="str">
        <f t="shared" si="20"/>
        <v>2164</v>
      </c>
      <c r="CR64" s="63" t="str">
        <f t="shared" si="21"/>
        <v>2264</v>
      </c>
      <c r="CS64" s="63" t="str">
        <f t="shared" si="22"/>
        <v>2364</v>
      </c>
      <c r="CT64" s="63" t="str">
        <f t="shared" si="23"/>
        <v>2464</v>
      </c>
      <c r="CU64" s="63" t="str">
        <f t="shared" si="24"/>
        <v>2564</v>
      </c>
      <c r="CV64" s="63" t="str">
        <f t="shared" si="25"/>
        <v>2664</v>
      </c>
      <c r="CW64" s="63" t="str">
        <f t="shared" si="26"/>
        <v>2764</v>
      </c>
      <c r="CX64" s="63" t="str">
        <f t="shared" si="27"/>
        <v>2864</v>
      </c>
      <c r="CY64" s="63" t="str">
        <f t="shared" si="28"/>
        <v>2964</v>
      </c>
      <c r="CZ64" s="63" t="str">
        <f t="shared" si="29"/>
        <v>3064</v>
      </c>
      <c r="DA64" s="63" t="str">
        <f t="shared" si="30"/>
        <v>3164</v>
      </c>
      <c r="DB64" s="63" t="str">
        <f t="shared" si="31"/>
        <v>3264</v>
      </c>
      <c r="DD64" s="72" t="s">
        <v>193</v>
      </c>
      <c r="DE64" s="77">
        <f t="shared" si="36"/>
        <v>1.948</v>
      </c>
      <c r="DF64" s="77">
        <f t="shared" si="36"/>
        <v>1.964</v>
      </c>
      <c r="DG64" s="77">
        <f t="shared" si="36"/>
        <v>1.9890000000000001</v>
      </c>
      <c r="DH64" s="77">
        <f t="shared" si="36"/>
        <v>2.0150000000000001</v>
      </c>
      <c r="DI64" s="77">
        <f t="shared" si="36"/>
        <v>2.0390000000000001</v>
      </c>
      <c r="DJ64" s="77">
        <f t="shared" si="36"/>
        <v>2.0609999999999999</v>
      </c>
      <c r="DK64" s="77">
        <f t="shared" si="36"/>
        <v>2.0830000000000002</v>
      </c>
      <c r="DL64" s="77">
        <f t="shared" si="36"/>
        <v>2.1030000000000002</v>
      </c>
      <c r="DM64" s="77">
        <f t="shared" si="36"/>
        <v>2.1230000000000002</v>
      </c>
      <c r="DN64" s="77">
        <f t="shared" si="36"/>
        <v>2.141</v>
      </c>
      <c r="DO64" s="77">
        <f t="shared" si="36"/>
        <v>2.1589999999999998</v>
      </c>
      <c r="DP64" s="77">
        <f t="shared" si="36"/>
        <v>2.177</v>
      </c>
      <c r="DQ64" s="77">
        <f t="shared" si="36"/>
        <v>2.1960000000000002</v>
      </c>
      <c r="DR64" s="77">
        <f t="shared" si="36"/>
        <v>2.2170000000000001</v>
      </c>
      <c r="DS64" s="77">
        <f t="shared" si="36"/>
        <v>2.2389999999999999</v>
      </c>
      <c r="DT64" s="77">
        <f t="shared" si="36"/>
        <v>2.2610000000000001</v>
      </c>
      <c r="DU64" s="77">
        <f t="shared" si="33"/>
        <v>2.2829999999999999</v>
      </c>
      <c r="DV64" s="77">
        <f t="shared" si="33"/>
        <v>2.3029999999999999</v>
      </c>
      <c r="DW64" s="77">
        <f t="shared" si="33"/>
        <v>2.323</v>
      </c>
      <c r="DX64" s="77">
        <f t="shared" si="33"/>
        <v>2.343</v>
      </c>
      <c r="DY64" s="77">
        <f t="shared" si="33"/>
        <v>2.359</v>
      </c>
      <c r="DZ64" s="77">
        <f t="shared" si="33"/>
        <v>2.3769999999999998</v>
      </c>
      <c r="EA64" s="77">
        <f t="shared" si="33"/>
        <v>2.395</v>
      </c>
      <c r="EB64" s="77">
        <f t="shared" si="37"/>
        <v>2.4119999999999999</v>
      </c>
      <c r="EC64" s="77">
        <f t="shared" si="37"/>
        <v>2.4289999999999998</v>
      </c>
      <c r="ED64" s="77">
        <f t="shared" si="37"/>
        <v>2.4449999999999998</v>
      </c>
      <c r="EE64" s="77">
        <f t="shared" si="37"/>
        <v>2.46</v>
      </c>
      <c r="EF64" s="77">
        <f t="shared" si="37"/>
        <v>2.4750000000000001</v>
      </c>
      <c r="EG64" s="77">
        <f t="shared" si="37"/>
        <v>2.4889999999999999</v>
      </c>
    </row>
    <row r="65" spans="1:137" ht="12.6" customHeight="1">
      <c r="A65" s="73">
        <v>65</v>
      </c>
      <c r="B65" s="74">
        <v>1.9600000000000002</v>
      </c>
      <c r="C65" s="74">
        <v>1.9690000000000001</v>
      </c>
      <c r="D65" s="74">
        <v>1.994</v>
      </c>
      <c r="E65" s="74">
        <v>2.0190000000000001</v>
      </c>
      <c r="F65" s="74">
        <v>2.0430000000000001</v>
      </c>
      <c r="G65" s="74">
        <v>2.0650000000000004</v>
      </c>
      <c r="H65" s="74">
        <v>2.0860000000000003</v>
      </c>
      <c r="I65" s="74">
        <v>2.1060000000000003</v>
      </c>
      <c r="J65" s="74">
        <v>2.1260000000000003</v>
      </c>
      <c r="K65" s="74">
        <v>2.1440000000000001</v>
      </c>
      <c r="L65" s="74">
        <v>2.1620000000000004</v>
      </c>
      <c r="M65" s="74">
        <v>2.1800000000000002</v>
      </c>
      <c r="N65" s="74">
        <v>2.1990000000000003</v>
      </c>
      <c r="O65" s="74">
        <v>2.2190000000000003</v>
      </c>
      <c r="P65" s="74">
        <v>2.2410000000000001</v>
      </c>
      <c r="Q65" s="74">
        <v>2.2630000000000003</v>
      </c>
      <c r="R65" s="74">
        <v>2.2840000000000003</v>
      </c>
      <c r="S65" s="74">
        <v>2.3040000000000003</v>
      </c>
      <c r="T65" s="74">
        <v>2.3250000000000002</v>
      </c>
      <c r="U65" s="74">
        <v>2.3440000000000003</v>
      </c>
      <c r="V65" s="74">
        <v>2.3610000000000002</v>
      </c>
      <c r="W65" s="74">
        <v>2.3810000000000002</v>
      </c>
      <c r="X65" s="74">
        <v>2.3990000000000005</v>
      </c>
      <c r="Y65" s="74">
        <v>2.4150000000000005</v>
      </c>
      <c r="Z65" s="74">
        <v>2.4320000000000004</v>
      </c>
      <c r="AA65" s="74">
        <v>2.4470000000000001</v>
      </c>
      <c r="AB65" s="74">
        <v>2.4620000000000002</v>
      </c>
      <c r="AC65" s="74">
        <v>2.4770000000000003</v>
      </c>
      <c r="AD65" s="75">
        <v>2.4900000000000002</v>
      </c>
      <c r="AE65" s="76"/>
      <c r="AF65" s="76"/>
      <c r="AG65" s="76"/>
      <c r="AH65" s="76"/>
      <c r="AI65" s="76"/>
      <c r="AJ65" s="76"/>
      <c r="AK65" s="76"/>
      <c r="AL65" s="76"/>
      <c r="AM65" s="76"/>
      <c r="AN65" s="76"/>
      <c r="AO65" s="76"/>
      <c r="AP65" s="76"/>
      <c r="AQ65" s="76"/>
      <c r="AR65" s="76"/>
      <c r="AS65" s="76"/>
      <c r="BZ65" s="63" t="str">
        <f t="shared" si="4"/>
        <v>465</v>
      </c>
      <c r="CA65" s="63" t="str">
        <f t="shared" si="1"/>
        <v>565</v>
      </c>
      <c r="CB65" s="63" t="str">
        <f t="shared" si="5"/>
        <v>665</v>
      </c>
      <c r="CC65" s="63" t="str">
        <f t="shared" si="6"/>
        <v>765</v>
      </c>
      <c r="CD65" s="63" t="str">
        <f t="shared" si="7"/>
        <v>865</v>
      </c>
      <c r="CE65" s="63" t="str">
        <f t="shared" si="8"/>
        <v>965</v>
      </c>
      <c r="CF65" s="63" t="str">
        <f t="shared" si="9"/>
        <v>1065</v>
      </c>
      <c r="CG65" s="63" t="str">
        <f t="shared" si="10"/>
        <v>1165</v>
      </c>
      <c r="CH65" s="63" t="str">
        <f t="shared" si="11"/>
        <v>1265</v>
      </c>
      <c r="CI65" s="63" t="str">
        <f t="shared" si="12"/>
        <v>1365</v>
      </c>
      <c r="CJ65" s="63" t="str">
        <f t="shared" si="13"/>
        <v>1465</v>
      </c>
      <c r="CK65" s="63" t="str">
        <f t="shared" si="14"/>
        <v>1565</v>
      </c>
      <c r="CL65" s="63" t="str">
        <f t="shared" si="15"/>
        <v>1665</v>
      </c>
      <c r="CM65" s="63" t="str">
        <f t="shared" si="16"/>
        <v>1765</v>
      </c>
      <c r="CN65" s="63" t="str">
        <f t="shared" si="17"/>
        <v>1865</v>
      </c>
      <c r="CO65" s="63" t="str">
        <f t="shared" si="18"/>
        <v>1965</v>
      </c>
      <c r="CP65" s="63" t="str">
        <f t="shared" si="19"/>
        <v>2065</v>
      </c>
      <c r="CQ65" s="63" t="str">
        <f t="shared" si="20"/>
        <v>2165</v>
      </c>
      <c r="CR65" s="63" t="str">
        <f t="shared" si="21"/>
        <v>2265</v>
      </c>
      <c r="CS65" s="63" t="str">
        <f t="shared" si="22"/>
        <v>2365</v>
      </c>
      <c r="CT65" s="63" t="str">
        <f t="shared" si="23"/>
        <v>2465</v>
      </c>
      <c r="CU65" s="63" t="str">
        <f t="shared" si="24"/>
        <v>2565</v>
      </c>
      <c r="CV65" s="63" t="str">
        <f t="shared" si="25"/>
        <v>2665</v>
      </c>
      <c r="CW65" s="63" t="str">
        <f t="shared" si="26"/>
        <v>2765</v>
      </c>
      <c r="CX65" s="63" t="str">
        <f t="shared" si="27"/>
        <v>2865</v>
      </c>
      <c r="CY65" s="63" t="str">
        <f t="shared" si="28"/>
        <v>2965</v>
      </c>
      <c r="CZ65" s="63" t="str">
        <f t="shared" si="29"/>
        <v>3065</v>
      </c>
      <c r="DA65" s="63" t="str">
        <f t="shared" si="30"/>
        <v>3165</v>
      </c>
      <c r="DB65" s="63" t="str">
        <f t="shared" si="31"/>
        <v>3265</v>
      </c>
      <c r="DD65" s="72" t="s">
        <v>194</v>
      </c>
      <c r="DE65" s="77">
        <f t="shared" si="36"/>
        <v>1.96</v>
      </c>
      <c r="DF65" s="77">
        <f t="shared" si="36"/>
        <v>1.9690000000000001</v>
      </c>
      <c r="DG65" s="77">
        <f t="shared" si="36"/>
        <v>1.994</v>
      </c>
      <c r="DH65" s="77">
        <f t="shared" si="36"/>
        <v>2.0190000000000001</v>
      </c>
      <c r="DI65" s="77">
        <f t="shared" si="36"/>
        <v>2.0430000000000001</v>
      </c>
      <c r="DJ65" s="77">
        <f t="shared" si="36"/>
        <v>2.0649999999999999</v>
      </c>
      <c r="DK65" s="77">
        <f t="shared" si="36"/>
        <v>2.0859999999999999</v>
      </c>
      <c r="DL65" s="77">
        <f t="shared" si="36"/>
        <v>2.1059999999999999</v>
      </c>
      <c r="DM65" s="77">
        <f t="shared" si="36"/>
        <v>2.1259999999999999</v>
      </c>
      <c r="DN65" s="77">
        <f t="shared" si="36"/>
        <v>2.1440000000000001</v>
      </c>
      <c r="DO65" s="77">
        <f t="shared" si="36"/>
        <v>2.1619999999999999</v>
      </c>
      <c r="DP65" s="77">
        <f t="shared" si="36"/>
        <v>2.1800000000000002</v>
      </c>
      <c r="DQ65" s="77">
        <f t="shared" si="36"/>
        <v>2.1989999999999998</v>
      </c>
      <c r="DR65" s="77">
        <f t="shared" si="36"/>
        <v>2.2189999999999999</v>
      </c>
      <c r="DS65" s="77">
        <f t="shared" si="36"/>
        <v>2.2410000000000001</v>
      </c>
      <c r="DT65" s="77">
        <f t="shared" si="36"/>
        <v>2.2629999999999999</v>
      </c>
      <c r="DU65" s="77">
        <f t="shared" si="33"/>
        <v>2.2839999999999998</v>
      </c>
      <c r="DV65" s="77">
        <f t="shared" si="33"/>
        <v>2.3039999999999998</v>
      </c>
      <c r="DW65" s="77">
        <f t="shared" si="33"/>
        <v>2.3250000000000002</v>
      </c>
      <c r="DX65" s="77">
        <f t="shared" si="33"/>
        <v>2.3439999999999999</v>
      </c>
      <c r="DY65" s="77">
        <f t="shared" si="33"/>
        <v>2.3610000000000002</v>
      </c>
      <c r="DZ65" s="77">
        <f t="shared" si="33"/>
        <v>2.3809999999999998</v>
      </c>
      <c r="EA65" s="77">
        <f t="shared" si="33"/>
        <v>2.399</v>
      </c>
      <c r="EB65" s="77">
        <f t="shared" si="37"/>
        <v>2.415</v>
      </c>
      <c r="EC65" s="77">
        <f t="shared" si="37"/>
        <v>2.4319999999999999</v>
      </c>
      <c r="ED65" s="77">
        <f t="shared" si="37"/>
        <v>2.4470000000000001</v>
      </c>
      <c r="EE65" s="77">
        <f t="shared" si="37"/>
        <v>2.4620000000000002</v>
      </c>
      <c r="EF65" s="77">
        <f t="shared" si="37"/>
        <v>2.4769999999999999</v>
      </c>
      <c r="EG65" s="77">
        <f t="shared" si="37"/>
        <v>2.4900000000000002</v>
      </c>
    </row>
    <row r="66" spans="1:137" ht="12.6" customHeight="1">
      <c r="A66" s="73">
        <v>66</v>
      </c>
      <c r="B66" s="74">
        <v>1.9610000000000003</v>
      </c>
      <c r="C66" s="74">
        <v>1.9850000000000003</v>
      </c>
      <c r="D66" s="74">
        <v>2.0090000000000003</v>
      </c>
      <c r="E66" s="74">
        <v>2.0340000000000003</v>
      </c>
      <c r="F66" s="74">
        <v>2.0570000000000004</v>
      </c>
      <c r="G66" s="74">
        <v>2.0790000000000002</v>
      </c>
      <c r="H66" s="74">
        <v>2.1</v>
      </c>
      <c r="I66" s="74">
        <v>2.12</v>
      </c>
      <c r="J66" s="74">
        <v>2.14</v>
      </c>
      <c r="K66" s="74">
        <v>2.1580000000000004</v>
      </c>
      <c r="L66" s="74">
        <v>2.1760000000000002</v>
      </c>
      <c r="M66" s="74">
        <v>2.1930000000000001</v>
      </c>
      <c r="N66" s="74">
        <v>2.2130000000000001</v>
      </c>
      <c r="O66" s="74">
        <v>2.2270000000000003</v>
      </c>
      <c r="P66" s="74">
        <v>2.2530000000000001</v>
      </c>
      <c r="Q66" s="74">
        <v>2.2750000000000004</v>
      </c>
      <c r="R66" s="74">
        <v>2.2960000000000003</v>
      </c>
      <c r="S66" s="74">
        <v>2.3160000000000003</v>
      </c>
      <c r="T66" s="74">
        <v>2.3360000000000003</v>
      </c>
      <c r="U66" s="74">
        <v>2.355</v>
      </c>
      <c r="V66" s="74">
        <v>2.3730000000000002</v>
      </c>
      <c r="W66" s="74">
        <v>2.391</v>
      </c>
      <c r="X66" s="74">
        <v>2.4090000000000003</v>
      </c>
      <c r="Y66" s="74">
        <v>2.4250000000000003</v>
      </c>
      <c r="Z66" s="74">
        <v>2.4410000000000003</v>
      </c>
      <c r="AA66" s="74">
        <v>2.4570000000000003</v>
      </c>
      <c r="AB66" s="74">
        <v>2.4710000000000001</v>
      </c>
      <c r="AC66" s="74">
        <v>2.4850000000000003</v>
      </c>
      <c r="AD66" s="75">
        <v>2.4990000000000001</v>
      </c>
      <c r="AE66" s="76"/>
      <c r="AF66" s="76"/>
      <c r="AG66" s="76"/>
      <c r="AH66" s="76"/>
      <c r="AI66" s="76"/>
      <c r="AJ66" s="76"/>
      <c r="AK66" s="76"/>
      <c r="AL66" s="76"/>
      <c r="AM66" s="76"/>
      <c r="AN66" s="76"/>
      <c r="AO66" s="76"/>
      <c r="AP66" s="76"/>
      <c r="AQ66" s="76"/>
      <c r="AR66" s="76"/>
      <c r="AS66" s="76"/>
      <c r="BZ66" s="63" t="str">
        <f t="shared" si="4"/>
        <v>466</v>
      </c>
      <c r="CA66" s="63" t="str">
        <f t="shared" si="1"/>
        <v>566</v>
      </c>
      <c r="CB66" s="63" t="str">
        <f t="shared" si="5"/>
        <v>666</v>
      </c>
      <c r="CC66" s="63" t="str">
        <f t="shared" si="6"/>
        <v>766</v>
      </c>
      <c r="CD66" s="63" t="str">
        <f t="shared" si="7"/>
        <v>866</v>
      </c>
      <c r="CE66" s="63" t="str">
        <f t="shared" si="8"/>
        <v>966</v>
      </c>
      <c r="CF66" s="63" t="str">
        <f t="shared" si="9"/>
        <v>1066</v>
      </c>
      <c r="CG66" s="63" t="str">
        <f t="shared" si="10"/>
        <v>1166</v>
      </c>
      <c r="CH66" s="63" t="str">
        <f t="shared" si="11"/>
        <v>1266</v>
      </c>
      <c r="CI66" s="63" t="str">
        <f t="shared" si="12"/>
        <v>1366</v>
      </c>
      <c r="CJ66" s="63" t="str">
        <f t="shared" si="13"/>
        <v>1466</v>
      </c>
      <c r="CK66" s="63" t="str">
        <f t="shared" si="14"/>
        <v>1566</v>
      </c>
      <c r="CL66" s="63" t="str">
        <f t="shared" si="15"/>
        <v>1666</v>
      </c>
      <c r="CM66" s="63" t="str">
        <f t="shared" si="16"/>
        <v>1766</v>
      </c>
      <c r="CN66" s="63" t="str">
        <f t="shared" si="17"/>
        <v>1866</v>
      </c>
      <c r="CO66" s="63" t="str">
        <f t="shared" si="18"/>
        <v>1966</v>
      </c>
      <c r="CP66" s="63" t="str">
        <f t="shared" si="19"/>
        <v>2066</v>
      </c>
      <c r="CQ66" s="63" t="str">
        <f t="shared" si="20"/>
        <v>2166</v>
      </c>
      <c r="CR66" s="63" t="str">
        <f t="shared" si="21"/>
        <v>2266</v>
      </c>
      <c r="CS66" s="63" t="str">
        <f t="shared" si="22"/>
        <v>2366</v>
      </c>
      <c r="CT66" s="63" t="str">
        <f t="shared" si="23"/>
        <v>2466</v>
      </c>
      <c r="CU66" s="63" t="str">
        <f t="shared" si="24"/>
        <v>2566</v>
      </c>
      <c r="CV66" s="63" t="str">
        <f t="shared" si="25"/>
        <v>2666</v>
      </c>
      <c r="CW66" s="63" t="str">
        <f t="shared" si="26"/>
        <v>2766</v>
      </c>
      <c r="CX66" s="63" t="str">
        <f t="shared" si="27"/>
        <v>2866</v>
      </c>
      <c r="CY66" s="63" t="str">
        <f t="shared" si="28"/>
        <v>2966</v>
      </c>
      <c r="CZ66" s="63" t="str">
        <f t="shared" si="29"/>
        <v>3066</v>
      </c>
      <c r="DA66" s="63" t="str">
        <f t="shared" si="30"/>
        <v>3166</v>
      </c>
      <c r="DB66" s="63" t="str">
        <f t="shared" si="31"/>
        <v>3266</v>
      </c>
      <c r="DD66" s="72" t="s">
        <v>195</v>
      </c>
      <c r="DE66" s="77">
        <f t="shared" si="36"/>
        <v>1.9610000000000001</v>
      </c>
      <c r="DF66" s="77">
        <f t="shared" si="36"/>
        <v>1.9850000000000001</v>
      </c>
      <c r="DG66" s="77">
        <f t="shared" si="36"/>
        <v>2.0089999999999999</v>
      </c>
      <c r="DH66" s="77">
        <f t="shared" si="36"/>
        <v>2.0339999999999998</v>
      </c>
      <c r="DI66" s="77">
        <f t="shared" si="36"/>
        <v>2.0569999999999999</v>
      </c>
      <c r="DJ66" s="77">
        <f t="shared" si="36"/>
        <v>2.0790000000000002</v>
      </c>
      <c r="DK66" s="77">
        <f t="shared" si="36"/>
        <v>2.1</v>
      </c>
      <c r="DL66" s="77">
        <f t="shared" si="36"/>
        <v>2.12</v>
      </c>
      <c r="DM66" s="77">
        <f t="shared" si="36"/>
        <v>2.14</v>
      </c>
      <c r="DN66" s="77">
        <f t="shared" si="36"/>
        <v>2.1579999999999999</v>
      </c>
      <c r="DO66" s="77">
        <f t="shared" si="36"/>
        <v>2.1760000000000002</v>
      </c>
      <c r="DP66" s="77">
        <f t="shared" si="36"/>
        <v>2.1930000000000001</v>
      </c>
      <c r="DQ66" s="77">
        <f t="shared" si="36"/>
        <v>2.2130000000000001</v>
      </c>
      <c r="DR66" s="77">
        <f t="shared" si="36"/>
        <v>2.2269999999999999</v>
      </c>
      <c r="DS66" s="77">
        <f t="shared" si="36"/>
        <v>2.2530000000000001</v>
      </c>
      <c r="DT66" s="77">
        <f t="shared" si="36"/>
        <v>2.2749999999999999</v>
      </c>
      <c r="DU66" s="77">
        <f t="shared" si="33"/>
        <v>2.2959999999999998</v>
      </c>
      <c r="DV66" s="77">
        <f t="shared" si="33"/>
        <v>2.3159999999999998</v>
      </c>
      <c r="DW66" s="77">
        <f t="shared" si="33"/>
        <v>2.3359999999999999</v>
      </c>
      <c r="DX66" s="77">
        <f t="shared" si="33"/>
        <v>2.355</v>
      </c>
      <c r="DY66" s="77">
        <f t="shared" si="33"/>
        <v>2.3730000000000002</v>
      </c>
      <c r="DZ66" s="77">
        <f t="shared" si="33"/>
        <v>2.391</v>
      </c>
      <c r="EA66" s="77">
        <f t="shared" si="33"/>
        <v>2.4089999999999998</v>
      </c>
      <c r="EB66" s="77">
        <f t="shared" si="37"/>
        <v>2.4249999999999998</v>
      </c>
      <c r="EC66" s="77">
        <f t="shared" si="37"/>
        <v>2.4409999999999998</v>
      </c>
      <c r="ED66" s="77">
        <f t="shared" si="37"/>
        <v>2.4569999999999999</v>
      </c>
      <c r="EE66" s="77">
        <f t="shared" si="37"/>
        <v>2.4710000000000001</v>
      </c>
      <c r="EF66" s="77">
        <f t="shared" si="37"/>
        <v>2.4849999999999999</v>
      </c>
      <c r="EG66" s="77">
        <f t="shared" si="37"/>
        <v>2.4990000000000001</v>
      </c>
    </row>
    <row r="67" spans="1:137" ht="12.6" customHeight="1">
      <c r="A67" s="73">
        <v>67</v>
      </c>
      <c r="B67" s="74">
        <v>1.9710000000000001</v>
      </c>
      <c r="C67" s="74">
        <v>1.9950000000000001</v>
      </c>
      <c r="D67" s="74">
        <v>2.0190000000000001</v>
      </c>
      <c r="E67" s="74">
        <v>2.044</v>
      </c>
      <c r="F67" s="74">
        <v>2.0670000000000002</v>
      </c>
      <c r="G67" s="74">
        <v>2.089</v>
      </c>
      <c r="H67" s="74">
        <v>2.1100000000000003</v>
      </c>
      <c r="I67" s="74">
        <v>2.129</v>
      </c>
      <c r="J67" s="74">
        <v>2.149</v>
      </c>
      <c r="K67" s="74">
        <v>2.1670000000000003</v>
      </c>
      <c r="L67" s="74">
        <v>2.1840000000000002</v>
      </c>
      <c r="M67" s="74">
        <v>2.2010000000000001</v>
      </c>
      <c r="N67" s="74">
        <v>2.2200000000000002</v>
      </c>
      <c r="O67" s="74">
        <v>2.23</v>
      </c>
      <c r="P67" s="74">
        <v>2.2610000000000001</v>
      </c>
      <c r="Q67" s="74">
        <v>2.282</v>
      </c>
      <c r="R67" s="74">
        <v>2.3029999999999999</v>
      </c>
      <c r="S67" s="74">
        <v>2.3230000000000004</v>
      </c>
      <c r="T67" s="74">
        <v>2.3420000000000001</v>
      </c>
      <c r="U67" s="74">
        <v>2.3610000000000002</v>
      </c>
      <c r="V67" s="74">
        <v>2.379</v>
      </c>
      <c r="W67" s="74">
        <v>2.3970000000000002</v>
      </c>
      <c r="X67" s="74">
        <v>2.4140000000000001</v>
      </c>
      <c r="Y67" s="74">
        <v>2.4300000000000002</v>
      </c>
      <c r="Z67" s="74">
        <v>2.4460000000000002</v>
      </c>
      <c r="AA67" s="74">
        <v>2.4610000000000003</v>
      </c>
      <c r="AB67" s="74">
        <v>2.4750000000000001</v>
      </c>
      <c r="AC67" s="74">
        <v>2.4890000000000003</v>
      </c>
      <c r="AD67" s="75">
        <v>2.5020000000000002</v>
      </c>
      <c r="AE67" s="76"/>
      <c r="AF67" s="76"/>
      <c r="AG67" s="76"/>
      <c r="AH67" s="76"/>
      <c r="AI67" s="76"/>
      <c r="AJ67" s="76"/>
      <c r="AK67" s="76"/>
      <c r="AL67" s="76"/>
      <c r="AM67" s="76"/>
      <c r="AN67" s="76"/>
      <c r="AO67" s="76"/>
      <c r="AP67" s="76"/>
      <c r="AQ67" s="76"/>
      <c r="AR67" s="76"/>
      <c r="AS67" s="76"/>
      <c r="BZ67" s="63" t="str">
        <f t="shared" si="4"/>
        <v>467</v>
      </c>
      <c r="CA67" s="63" t="str">
        <f t="shared" si="1"/>
        <v>567</v>
      </c>
      <c r="CB67" s="63" t="str">
        <f t="shared" si="5"/>
        <v>667</v>
      </c>
      <c r="CC67" s="63" t="str">
        <f t="shared" si="6"/>
        <v>767</v>
      </c>
      <c r="CD67" s="63" t="str">
        <f t="shared" si="7"/>
        <v>867</v>
      </c>
      <c r="CE67" s="63" t="str">
        <f t="shared" si="8"/>
        <v>967</v>
      </c>
      <c r="CF67" s="63" t="str">
        <f t="shared" si="9"/>
        <v>1067</v>
      </c>
      <c r="CG67" s="63" t="str">
        <f t="shared" si="10"/>
        <v>1167</v>
      </c>
      <c r="CH67" s="63" t="str">
        <f t="shared" si="11"/>
        <v>1267</v>
      </c>
      <c r="CI67" s="63" t="str">
        <f t="shared" si="12"/>
        <v>1367</v>
      </c>
      <c r="CJ67" s="63" t="str">
        <f t="shared" si="13"/>
        <v>1467</v>
      </c>
      <c r="CK67" s="63" t="str">
        <f t="shared" si="14"/>
        <v>1567</v>
      </c>
      <c r="CL67" s="63" t="str">
        <f t="shared" si="15"/>
        <v>1667</v>
      </c>
      <c r="CM67" s="63" t="str">
        <f t="shared" si="16"/>
        <v>1767</v>
      </c>
      <c r="CN67" s="63" t="str">
        <f t="shared" si="17"/>
        <v>1867</v>
      </c>
      <c r="CO67" s="63" t="str">
        <f t="shared" si="18"/>
        <v>1967</v>
      </c>
      <c r="CP67" s="63" t="str">
        <f t="shared" si="19"/>
        <v>2067</v>
      </c>
      <c r="CQ67" s="63" t="str">
        <f t="shared" si="20"/>
        <v>2167</v>
      </c>
      <c r="CR67" s="63" t="str">
        <f t="shared" si="21"/>
        <v>2267</v>
      </c>
      <c r="CS67" s="63" t="str">
        <f t="shared" si="22"/>
        <v>2367</v>
      </c>
      <c r="CT67" s="63" t="str">
        <f t="shared" si="23"/>
        <v>2467</v>
      </c>
      <c r="CU67" s="63" t="str">
        <f t="shared" si="24"/>
        <v>2567</v>
      </c>
      <c r="CV67" s="63" t="str">
        <f t="shared" si="25"/>
        <v>2667</v>
      </c>
      <c r="CW67" s="63" t="str">
        <f t="shared" si="26"/>
        <v>2767</v>
      </c>
      <c r="CX67" s="63" t="str">
        <f t="shared" si="27"/>
        <v>2867</v>
      </c>
      <c r="CY67" s="63" t="str">
        <f t="shared" si="28"/>
        <v>2967</v>
      </c>
      <c r="CZ67" s="63" t="str">
        <f t="shared" si="29"/>
        <v>3067</v>
      </c>
      <c r="DA67" s="63" t="str">
        <f t="shared" si="30"/>
        <v>3167</v>
      </c>
      <c r="DB67" s="63" t="str">
        <f t="shared" si="31"/>
        <v>3267</v>
      </c>
      <c r="DD67" s="72" t="s">
        <v>196</v>
      </c>
      <c r="DE67" s="77">
        <f t="shared" ref="DE67:DT82" si="38">ROUND(B67,3)</f>
        <v>1.9710000000000001</v>
      </c>
      <c r="DF67" s="77">
        <f t="shared" si="38"/>
        <v>1.9950000000000001</v>
      </c>
      <c r="DG67" s="77">
        <f t="shared" si="38"/>
        <v>2.0190000000000001</v>
      </c>
      <c r="DH67" s="77">
        <f t="shared" si="38"/>
        <v>2.044</v>
      </c>
      <c r="DI67" s="77">
        <f t="shared" si="38"/>
        <v>2.0670000000000002</v>
      </c>
      <c r="DJ67" s="77">
        <f t="shared" si="38"/>
        <v>2.089</v>
      </c>
      <c r="DK67" s="77">
        <f t="shared" si="38"/>
        <v>2.11</v>
      </c>
      <c r="DL67" s="77">
        <f t="shared" si="38"/>
        <v>2.129</v>
      </c>
      <c r="DM67" s="77">
        <f t="shared" si="38"/>
        <v>2.149</v>
      </c>
      <c r="DN67" s="77">
        <f t="shared" si="38"/>
        <v>2.1669999999999998</v>
      </c>
      <c r="DO67" s="77">
        <f t="shared" si="38"/>
        <v>2.1840000000000002</v>
      </c>
      <c r="DP67" s="77">
        <f t="shared" si="38"/>
        <v>2.2010000000000001</v>
      </c>
      <c r="DQ67" s="77">
        <f t="shared" si="38"/>
        <v>2.2200000000000002</v>
      </c>
      <c r="DR67" s="77">
        <f t="shared" si="38"/>
        <v>2.23</v>
      </c>
      <c r="DS67" s="77">
        <f t="shared" si="38"/>
        <v>2.2610000000000001</v>
      </c>
      <c r="DT67" s="77">
        <f t="shared" si="38"/>
        <v>2.282</v>
      </c>
      <c r="DU67" s="77">
        <f t="shared" si="33"/>
        <v>2.3029999999999999</v>
      </c>
      <c r="DV67" s="77">
        <f t="shared" si="33"/>
        <v>2.323</v>
      </c>
      <c r="DW67" s="77">
        <f t="shared" si="33"/>
        <v>2.3420000000000001</v>
      </c>
      <c r="DX67" s="77">
        <f t="shared" si="33"/>
        <v>2.3610000000000002</v>
      </c>
      <c r="DY67" s="77">
        <f t="shared" si="33"/>
        <v>2.379</v>
      </c>
      <c r="DZ67" s="77">
        <f t="shared" si="33"/>
        <v>2.3969999999999998</v>
      </c>
      <c r="EA67" s="77">
        <f t="shared" si="33"/>
        <v>2.4140000000000001</v>
      </c>
      <c r="EB67" s="77">
        <f t="shared" si="37"/>
        <v>2.4300000000000002</v>
      </c>
      <c r="EC67" s="77">
        <f t="shared" si="37"/>
        <v>2.4460000000000002</v>
      </c>
      <c r="ED67" s="77">
        <f t="shared" si="37"/>
        <v>2.4609999999999999</v>
      </c>
      <c r="EE67" s="77">
        <f t="shared" si="37"/>
        <v>2.4750000000000001</v>
      </c>
      <c r="EF67" s="77">
        <f t="shared" si="37"/>
        <v>2.4889999999999999</v>
      </c>
      <c r="EG67" s="77">
        <f t="shared" si="37"/>
        <v>2.5019999999999998</v>
      </c>
    </row>
    <row r="68" spans="1:137" ht="12.6" customHeight="1">
      <c r="A68" s="73">
        <v>68</v>
      </c>
      <c r="B68" s="74">
        <v>1.9810000000000003</v>
      </c>
      <c r="C68" s="74">
        <v>2.0050000000000003</v>
      </c>
      <c r="D68" s="74">
        <v>2.0290000000000004</v>
      </c>
      <c r="E68" s="74">
        <v>2.0540000000000003</v>
      </c>
      <c r="F68" s="74">
        <v>2.077</v>
      </c>
      <c r="G68" s="74">
        <v>2.0980000000000003</v>
      </c>
      <c r="H68" s="74">
        <v>2.1190000000000002</v>
      </c>
      <c r="I68" s="74">
        <v>2.1380000000000003</v>
      </c>
      <c r="J68" s="74">
        <v>2.157</v>
      </c>
      <c r="K68" s="74">
        <v>2.1750000000000003</v>
      </c>
      <c r="L68" s="74">
        <v>2.1930000000000001</v>
      </c>
      <c r="M68" s="74">
        <v>2.21</v>
      </c>
      <c r="N68" s="74">
        <v>2.2280000000000002</v>
      </c>
      <c r="O68" s="74">
        <v>2.2480000000000002</v>
      </c>
      <c r="P68" s="74">
        <v>2.2690000000000001</v>
      </c>
      <c r="Q68" s="74">
        <v>2.29</v>
      </c>
      <c r="R68" s="74">
        <v>2.31</v>
      </c>
      <c r="S68" s="74">
        <v>2.33</v>
      </c>
      <c r="T68" s="74">
        <v>2.3490000000000002</v>
      </c>
      <c r="U68" s="74">
        <v>2.367</v>
      </c>
      <c r="V68" s="74">
        <v>2.3850000000000002</v>
      </c>
      <c r="W68" s="74">
        <v>2.403</v>
      </c>
      <c r="X68" s="74">
        <v>2.4200000000000004</v>
      </c>
      <c r="Y68" s="74">
        <v>2.4350000000000001</v>
      </c>
      <c r="Z68" s="74">
        <v>2.4510000000000001</v>
      </c>
      <c r="AA68" s="74">
        <v>2.4660000000000002</v>
      </c>
      <c r="AB68" s="74">
        <v>2.48</v>
      </c>
      <c r="AC68" s="74">
        <v>2.4930000000000003</v>
      </c>
      <c r="AD68" s="75">
        <v>2.5060000000000002</v>
      </c>
      <c r="AE68" s="76"/>
      <c r="AF68" s="76"/>
      <c r="AG68" s="76"/>
      <c r="AH68" s="76"/>
      <c r="AI68" s="76"/>
      <c r="AJ68" s="76"/>
      <c r="AK68" s="76"/>
      <c r="AL68" s="76"/>
      <c r="AM68" s="76"/>
      <c r="AN68" s="76"/>
      <c r="AO68" s="76"/>
      <c r="AP68" s="76"/>
      <c r="AQ68" s="76"/>
      <c r="AR68" s="76"/>
      <c r="AS68" s="76"/>
      <c r="BZ68" s="63" t="str">
        <f t="shared" si="4"/>
        <v>468</v>
      </c>
      <c r="CA68" s="63" t="str">
        <f t="shared" ref="CA68:CA131" si="39">$C$3&amp;A68</f>
        <v>568</v>
      </c>
      <c r="CB68" s="63" t="str">
        <f t="shared" si="5"/>
        <v>668</v>
      </c>
      <c r="CC68" s="63" t="str">
        <f t="shared" si="6"/>
        <v>768</v>
      </c>
      <c r="CD68" s="63" t="str">
        <f t="shared" si="7"/>
        <v>868</v>
      </c>
      <c r="CE68" s="63" t="str">
        <f t="shared" si="8"/>
        <v>968</v>
      </c>
      <c r="CF68" s="63" t="str">
        <f t="shared" si="9"/>
        <v>1068</v>
      </c>
      <c r="CG68" s="63" t="str">
        <f t="shared" si="10"/>
        <v>1168</v>
      </c>
      <c r="CH68" s="63" t="str">
        <f t="shared" si="11"/>
        <v>1268</v>
      </c>
      <c r="CI68" s="63" t="str">
        <f t="shared" si="12"/>
        <v>1368</v>
      </c>
      <c r="CJ68" s="63" t="str">
        <f t="shared" si="13"/>
        <v>1468</v>
      </c>
      <c r="CK68" s="63" t="str">
        <f t="shared" si="14"/>
        <v>1568</v>
      </c>
      <c r="CL68" s="63" t="str">
        <f t="shared" si="15"/>
        <v>1668</v>
      </c>
      <c r="CM68" s="63" t="str">
        <f t="shared" si="16"/>
        <v>1768</v>
      </c>
      <c r="CN68" s="63" t="str">
        <f t="shared" si="17"/>
        <v>1868</v>
      </c>
      <c r="CO68" s="63" t="str">
        <f t="shared" si="18"/>
        <v>1968</v>
      </c>
      <c r="CP68" s="63" t="str">
        <f t="shared" si="19"/>
        <v>2068</v>
      </c>
      <c r="CQ68" s="63" t="str">
        <f t="shared" si="20"/>
        <v>2168</v>
      </c>
      <c r="CR68" s="63" t="str">
        <f t="shared" si="21"/>
        <v>2268</v>
      </c>
      <c r="CS68" s="63" t="str">
        <f t="shared" si="22"/>
        <v>2368</v>
      </c>
      <c r="CT68" s="63" t="str">
        <f t="shared" si="23"/>
        <v>2468</v>
      </c>
      <c r="CU68" s="63" t="str">
        <f t="shared" si="24"/>
        <v>2568</v>
      </c>
      <c r="CV68" s="63" t="str">
        <f t="shared" si="25"/>
        <v>2668</v>
      </c>
      <c r="CW68" s="63" t="str">
        <f t="shared" si="26"/>
        <v>2768</v>
      </c>
      <c r="CX68" s="63" t="str">
        <f t="shared" si="27"/>
        <v>2868</v>
      </c>
      <c r="CY68" s="63" t="str">
        <f t="shared" si="28"/>
        <v>2968</v>
      </c>
      <c r="CZ68" s="63" t="str">
        <f t="shared" si="29"/>
        <v>3068</v>
      </c>
      <c r="DA68" s="63" t="str">
        <f t="shared" si="30"/>
        <v>3168</v>
      </c>
      <c r="DB68" s="63" t="str">
        <f t="shared" si="31"/>
        <v>3268</v>
      </c>
      <c r="DD68" s="72" t="s">
        <v>197</v>
      </c>
      <c r="DE68" s="77">
        <f t="shared" si="38"/>
        <v>1.9810000000000001</v>
      </c>
      <c r="DF68" s="77">
        <f t="shared" si="38"/>
        <v>2.0049999999999999</v>
      </c>
      <c r="DG68" s="77">
        <f t="shared" si="38"/>
        <v>2.0289999999999999</v>
      </c>
      <c r="DH68" s="77">
        <f t="shared" si="38"/>
        <v>2.0539999999999998</v>
      </c>
      <c r="DI68" s="77">
        <f t="shared" si="38"/>
        <v>2.077</v>
      </c>
      <c r="DJ68" s="77">
        <f t="shared" si="38"/>
        <v>2.0979999999999999</v>
      </c>
      <c r="DK68" s="77">
        <f t="shared" si="38"/>
        <v>2.1190000000000002</v>
      </c>
      <c r="DL68" s="77">
        <f t="shared" si="38"/>
        <v>2.1379999999999999</v>
      </c>
      <c r="DM68" s="77">
        <f t="shared" si="38"/>
        <v>2.157</v>
      </c>
      <c r="DN68" s="77">
        <f t="shared" si="38"/>
        <v>2.1749999999999998</v>
      </c>
      <c r="DO68" s="77">
        <f t="shared" si="38"/>
        <v>2.1930000000000001</v>
      </c>
      <c r="DP68" s="77">
        <f t="shared" si="38"/>
        <v>2.21</v>
      </c>
      <c r="DQ68" s="77">
        <f t="shared" si="38"/>
        <v>2.2280000000000002</v>
      </c>
      <c r="DR68" s="77">
        <f t="shared" si="38"/>
        <v>2.2480000000000002</v>
      </c>
      <c r="DS68" s="77">
        <f t="shared" si="38"/>
        <v>2.2690000000000001</v>
      </c>
      <c r="DT68" s="77">
        <f t="shared" si="38"/>
        <v>2.29</v>
      </c>
      <c r="DU68" s="77">
        <f t="shared" si="33"/>
        <v>2.31</v>
      </c>
      <c r="DV68" s="77">
        <f t="shared" si="33"/>
        <v>2.33</v>
      </c>
      <c r="DW68" s="77">
        <f t="shared" si="33"/>
        <v>2.3490000000000002</v>
      </c>
      <c r="DX68" s="77">
        <f t="shared" si="33"/>
        <v>2.367</v>
      </c>
      <c r="DY68" s="77">
        <f t="shared" si="33"/>
        <v>2.3849999999999998</v>
      </c>
      <c r="DZ68" s="77">
        <f t="shared" si="33"/>
        <v>2.403</v>
      </c>
      <c r="EA68" s="77">
        <f t="shared" si="33"/>
        <v>2.42</v>
      </c>
      <c r="EB68" s="77">
        <f t="shared" si="37"/>
        <v>2.4350000000000001</v>
      </c>
      <c r="EC68" s="77">
        <f t="shared" si="37"/>
        <v>2.4510000000000001</v>
      </c>
      <c r="ED68" s="77">
        <f t="shared" si="37"/>
        <v>2.4660000000000002</v>
      </c>
      <c r="EE68" s="77">
        <f t="shared" si="37"/>
        <v>2.48</v>
      </c>
      <c r="EF68" s="77">
        <f t="shared" si="37"/>
        <v>2.4929999999999999</v>
      </c>
      <c r="EG68" s="77">
        <f t="shared" si="37"/>
        <v>2.5059999999999998</v>
      </c>
    </row>
    <row r="69" spans="1:137" ht="12.6" customHeight="1">
      <c r="A69" s="73">
        <v>69</v>
      </c>
      <c r="B69" s="74">
        <v>1.9933999999999998</v>
      </c>
      <c r="C69" s="74">
        <v>2.0163999999999995</v>
      </c>
      <c r="D69" s="74">
        <v>2.0393999999999997</v>
      </c>
      <c r="E69" s="74">
        <v>2.0643999999999996</v>
      </c>
      <c r="F69" s="74">
        <v>2.0863999999999998</v>
      </c>
      <c r="G69" s="74">
        <v>2.1083999999999996</v>
      </c>
      <c r="H69" s="74">
        <v>2.1283999999999996</v>
      </c>
      <c r="I69" s="74">
        <v>2.1483999999999996</v>
      </c>
      <c r="J69" s="74">
        <v>2.1663999999999999</v>
      </c>
      <c r="K69" s="74">
        <v>2.1843999999999997</v>
      </c>
      <c r="L69" s="74">
        <v>2.2013999999999996</v>
      </c>
      <c r="M69" s="74">
        <v>2.2183999999999995</v>
      </c>
      <c r="N69" s="74">
        <v>2.2363999999999997</v>
      </c>
      <c r="O69" s="74">
        <v>2.2563999999999997</v>
      </c>
      <c r="P69" s="74">
        <v>2.2773999999999996</v>
      </c>
      <c r="Q69" s="74">
        <v>2.2973999999999997</v>
      </c>
      <c r="R69" s="74">
        <v>2.3173999999999997</v>
      </c>
      <c r="S69" s="74">
        <v>2.3373999999999997</v>
      </c>
      <c r="T69" s="74">
        <v>2.3563999999999998</v>
      </c>
      <c r="U69" s="74">
        <v>2.3743999999999996</v>
      </c>
      <c r="V69" s="74">
        <v>2.3923999999999999</v>
      </c>
      <c r="W69" s="74">
        <v>2.4093999999999998</v>
      </c>
      <c r="X69" s="74">
        <v>2.4253999999999998</v>
      </c>
      <c r="Y69" s="74">
        <v>2.4413999999999998</v>
      </c>
      <c r="Z69" s="74">
        <v>2.4563999999999995</v>
      </c>
      <c r="AA69" s="74">
        <v>2.468</v>
      </c>
      <c r="AB69" s="74">
        <v>2.4823999999999997</v>
      </c>
      <c r="AC69" s="74">
        <v>2.4971999999999999</v>
      </c>
      <c r="AD69" s="75">
        <v>2.5079999999999996</v>
      </c>
      <c r="AE69" s="76"/>
      <c r="AF69" s="76"/>
      <c r="AG69" s="76"/>
      <c r="AH69" s="76"/>
      <c r="AI69" s="76"/>
      <c r="AJ69" s="76"/>
      <c r="AK69" s="76"/>
      <c r="AL69" s="76"/>
      <c r="AM69" s="76"/>
      <c r="AN69" s="76"/>
      <c r="AO69" s="76"/>
      <c r="AP69" s="76"/>
      <c r="AQ69" s="76"/>
      <c r="AR69" s="76"/>
      <c r="AS69" s="76"/>
      <c r="BZ69" s="63" t="str">
        <f t="shared" ref="BZ69:BZ132" si="40">$B$3&amp;A69</f>
        <v>469</v>
      </c>
      <c r="CA69" s="63" t="str">
        <f t="shared" si="39"/>
        <v>569</v>
      </c>
      <c r="CB69" s="63" t="str">
        <f t="shared" ref="CB69:CB132" si="41">$D$3&amp;A69</f>
        <v>669</v>
      </c>
      <c r="CC69" s="63" t="str">
        <f t="shared" ref="CC69:CC132" si="42">$E$3&amp;A69</f>
        <v>769</v>
      </c>
      <c r="CD69" s="63" t="str">
        <f t="shared" ref="CD69:CD132" si="43">$F$3&amp;A69</f>
        <v>869</v>
      </c>
      <c r="CE69" s="63" t="str">
        <f t="shared" ref="CE69:CE132" si="44">$G$3&amp;A69</f>
        <v>969</v>
      </c>
      <c r="CF69" s="63" t="str">
        <f t="shared" ref="CF69:CF132" si="45">$H$3&amp;A69</f>
        <v>1069</v>
      </c>
      <c r="CG69" s="63" t="str">
        <f t="shared" ref="CG69:CG132" si="46">$I$3&amp;A69</f>
        <v>1169</v>
      </c>
      <c r="CH69" s="63" t="str">
        <f t="shared" ref="CH69:CH132" si="47">$J$3&amp;A69</f>
        <v>1269</v>
      </c>
      <c r="CI69" s="63" t="str">
        <f t="shared" ref="CI69:CI132" si="48">$K$3&amp;A69</f>
        <v>1369</v>
      </c>
      <c r="CJ69" s="63" t="str">
        <f t="shared" ref="CJ69:CJ132" si="49">$L$3&amp;A69</f>
        <v>1469</v>
      </c>
      <c r="CK69" s="63" t="str">
        <f t="shared" ref="CK69:CK132" si="50">$M$3&amp;A69</f>
        <v>1569</v>
      </c>
      <c r="CL69" s="63" t="str">
        <f t="shared" ref="CL69:CL132" si="51">$N$3&amp;A69</f>
        <v>1669</v>
      </c>
      <c r="CM69" s="63" t="str">
        <f t="shared" ref="CM69:CM132" si="52">$O$3&amp;A69</f>
        <v>1769</v>
      </c>
      <c r="CN69" s="63" t="str">
        <f t="shared" ref="CN69:CN132" si="53">$P$3&amp;A69</f>
        <v>1869</v>
      </c>
      <c r="CO69" s="63" t="str">
        <f t="shared" ref="CO69:CO132" si="54">$Q$3&amp;A69</f>
        <v>1969</v>
      </c>
      <c r="CP69" s="63" t="str">
        <f t="shared" ref="CP69:CP132" si="55">$R$3&amp;A69</f>
        <v>2069</v>
      </c>
      <c r="CQ69" s="63" t="str">
        <f t="shared" ref="CQ69:CQ132" si="56">$S$3&amp;A69</f>
        <v>2169</v>
      </c>
      <c r="CR69" s="63" t="str">
        <f t="shared" ref="CR69:CR132" si="57">$T$3&amp;A69</f>
        <v>2269</v>
      </c>
      <c r="CS69" s="63" t="str">
        <f t="shared" ref="CS69:CS132" si="58">$U$3&amp;A69</f>
        <v>2369</v>
      </c>
      <c r="CT69" s="63" t="str">
        <f t="shared" ref="CT69:CT132" si="59">$V$3&amp;A69</f>
        <v>2469</v>
      </c>
      <c r="CU69" s="63" t="str">
        <f t="shared" ref="CU69:CU132" si="60">$W$3&amp;A69</f>
        <v>2569</v>
      </c>
      <c r="CV69" s="63" t="str">
        <f t="shared" ref="CV69:CV132" si="61">$X$3&amp;A69</f>
        <v>2669</v>
      </c>
      <c r="CW69" s="63" t="str">
        <f t="shared" ref="CW69:CW132" si="62">$Y$3&amp;A69</f>
        <v>2769</v>
      </c>
      <c r="CX69" s="63" t="str">
        <f t="shared" ref="CX69:CX132" si="63">$Z$3&amp;A69</f>
        <v>2869</v>
      </c>
      <c r="CY69" s="63" t="str">
        <f t="shared" ref="CY69:CY132" si="64">$AA$3&amp;A69</f>
        <v>2969</v>
      </c>
      <c r="CZ69" s="63" t="str">
        <f t="shared" ref="CZ69:CZ132" si="65">$AB$3&amp;A69</f>
        <v>3069</v>
      </c>
      <c r="DA69" s="63" t="str">
        <f t="shared" ref="DA69:DA132" si="66">$AC$3&amp;A69</f>
        <v>3169</v>
      </c>
      <c r="DB69" s="63" t="str">
        <f t="shared" ref="DB69:DB132" si="67">$AD$3&amp;A69</f>
        <v>3269</v>
      </c>
      <c r="DD69" s="72" t="s">
        <v>198</v>
      </c>
      <c r="DE69" s="77">
        <f t="shared" si="38"/>
        <v>1.9930000000000001</v>
      </c>
      <c r="DF69" s="77">
        <f t="shared" si="38"/>
        <v>2.016</v>
      </c>
      <c r="DG69" s="77">
        <f t="shared" si="38"/>
        <v>2.0390000000000001</v>
      </c>
      <c r="DH69" s="77">
        <f t="shared" si="38"/>
        <v>2.0640000000000001</v>
      </c>
      <c r="DI69" s="77">
        <f t="shared" si="38"/>
        <v>2.0859999999999999</v>
      </c>
      <c r="DJ69" s="77">
        <f t="shared" si="38"/>
        <v>2.1080000000000001</v>
      </c>
      <c r="DK69" s="77">
        <f t="shared" si="38"/>
        <v>2.1280000000000001</v>
      </c>
      <c r="DL69" s="77">
        <f t="shared" si="38"/>
        <v>2.1480000000000001</v>
      </c>
      <c r="DM69" s="77">
        <f t="shared" si="38"/>
        <v>2.1659999999999999</v>
      </c>
      <c r="DN69" s="77">
        <f t="shared" si="38"/>
        <v>2.1840000000000002</v>
      </c>
      <c r="DO69" s="77">
        <f t="shared" si="38"/>
        <v>2.2010000000000001</v>
      </c>
      <c r="DP69" s="77">
        <f t="shared" si="38"/>
        <v>2.218</v>
      </c>
      <c r="DQ69" s="77">
        <f t="shared" si="38"/>
        <v>2.2360000000000002</v>
      </c>
      <c r="DR69" s="77">
        <f t="shared" si="38"/>
        <v>2.2559999999999998</v>
      </c>
      <c r="DS69" s="77">
        <f t="shared" si="38"/>
        <v>2.2770000000000001</v>
      </c>
      <c r="DT69" s="77">
        <f t="shared" si="38"/>
        <v>2.2970000000000002</v>
      </c>
      <c r="DU69" s="77">
        <f t="shared" si="33"/>
        <v>2.3170000000000002</v>
      </c>
      <c r="DV69" s="77">
        <f t="shared" si="33"/>
        <v>2.3370000000000002</v>
      </c>
      <c r="DW69" s="77">
        <f t="shared" si="33"/>
        <v>2.3559999999999999</v>
      </c>
      <c r="DX69" s="77">
        <f t="shared" si="33"/>
        <v>2.3740000000000001</v>
      </c>
      <c r="DY69" s="77">
        <f t="shared" si="33"/>
        <v>2.3919999999999999</v>
      </c>
      <c r="DZ69" s="77">
        <f t="shared" si="33"/>
        <v>2.4089999999999998</v>
      </c>
      <c r="EA69" s="77">
        <f t="shared" si="33"/>
        <v>2.4249999999999998</v>
      </c>
      <c r="EB69" s="77">
        <f t="shared" si="37"/>
        <v>2.4409999999999998</v>
      </c>
      <c r="EC69" s="77">
        <f t="shared" si="37"/>
        <v>2.456</v>
      </c>
      <c r="ED69" s="77">
        <f t="shared" si="37"/>
        <v>2.468</v>
      </c>
      <c r="EE69" s="77">
        <f t="shared" si="37"/>
        <v>2.4820000000000002</v>
      </c>
      <c r="EF69" s="77">
        <f t="shared" si="37"/>
        <v>2.4969999999999999</v>
      </c>
      <c r="EG69" s="77">
        <f t="shared" si="37"/>
        <v>2.508</v>
      </c>
    </row>
    <row r="70" spans="1:137" ht="12.6" customHeight="1">
      <c r="A70" s="73">
        <v>70</v>
      </c>
      <c r="B70" s="74">
        <v>1.9993999999999996</v>
      </c>
      <c r="C70" s="74">
        <v>2.0223999999999998</v>
      </c>
      <c r="D70" s="74">
        <v>2.0453999999999999</v>
      </c>
      <c r="E70" s="74">
        <v>2.0693999999999999</v>
      </c>
      <c r="F70" s="74">
        <v>2.0913999999999997</v>
      </c>
      <c r="G70" s="74">
        <v>2.1123999999999996</v>
      </c>
      <c r="H70" s="74">
        <v>2.1323999999999996</v>
      </c>
      <c r="I70" s="74">
        <v>2.1523999999999996</v>
      </c>
      <c r="J70" s="74">
        <v>2.1703999999999999</v>
      </c>
      <c r="K70" s="74">
        <v>2.1883999999999997</v>
      </c>
      <c r="L70" s="74">
        <v>2.2053999999999996</v>
      </c>
      <c r="M70" s="74">
        <v>2.2223999999999999</v>
      </c>
      <c r="N70" s="74">
        <v>2.2403999999999997</v>
      </c>
      <c r="O70" s="74">
        <v>2.2589999999999999</v>
      </c>
      <c r="P70" s="74">
        <v>2.2793999999999999</v>
      </c>
      <c r="Q70" s="74">
        <v>2.3003999999999998</v>
      </c>
      <c r="R70" s="74">
        <v>2.3203999999999998</v>
      </c>
      <c r="S70" s="74">
        <v>2.3393999999999999</v>
      </c>
      <c r="T70" s="74">
        <v>2.3583999999999996</v>
      </c>
      <c r="U70" s="74">
        <v>2.3763999999999998</v>
      </c>
      <c r="V70" s="74">
        <v>2.3933999999999997</v>
      </c>
      <c r="W70" s="74">
        <v>2.4103999999999997</v>
      </c>
      <c r="X70" s="74">
        <v>2.4263999999999997</v>
      </c>
      <c r="Y70" s="74">
        <v>2.4423999999999997</v>
      </c>
      <c r="Z70" s="74">
        <v>2.4573999999999998</v>
      </c>
      <c r="AA70" s="74">
        <v>2.4703999999999997</v>
      </c>
      <c r="AB70" s="74">
        <v>2.4853999999999998</v>
      </c>
      <c r="AC70" s="74">
        <v>2.4983999999999997</v>
      </c>
      <c r="AD70" s="75">
        <v>2.5103999999999997</v>
      </c>
      <c r="AE70" s="76"/>
      <c r="AF70" s="76"/>
      <c r="AG70" s="76"/>
      <c r="AH70" s="76"/>
      <c r="AI70" s="76"/>
      <c r="AJ70" s="76"/>
      <c r="AK70" s="76"/>
      <c r="AL70" s="76"/>
      <c r="AM70" s="76"/>
      <c r="AN70" s="76"/>
      <c r="AO70" s="76"/>
      <c r="AP70" s="76"/>
      <c r="AQ70" s="76"/>
      <c r="AR70" s="76"/>
      <c r="AS70" s="76"/>
      <c r="BZ70" s="63" t="str">
        <f t="shared" si="40"/>
        <v>470</v>
      </c>
      <c r="CA70" s="63" t="str">
        <f t="shared" si="39"/>
        <v>570</v>
      </c>
      <c r="CB70" s="63" t="str">
        <f t="shared" si="41"/>
        <v>670</v>
      </c>
      <c r="CC70" s="63" t="str">
        <f t="shared" si="42"/>
        <v>770</v>
      </c>
      <c r="CD70" s="63" t="str">
        <f t="shared" si="43"/>
        <v>870</v>
      </c>
      <c r="CE70" s="63" t="str">
        <f t="shared" si="44"/>
        <v>970</v>
      </c>
      <c r="CF70" s="63" t="str">
        <f t="shared" si="45"/>
        <v>1070</v>
      </c>
      <c r="CG70" s="63" t="str">
        <f t="shared" si="46"/>
        <v>1170</v>
      </c>
      <c r="CH70" s="63" t="str">
        <f t="shared" si="47"/>
        <v>1270</v>
      </c>
      <c r="CI70" s="63" t="str">
        <f t="shared" si="48"/>
        <v>1370</v>
      </c>
      <c r="CJ70" s="63" t="str">
        <f t="shared" si="49"/>
        <v>1470</v>
      </c>
      <c r="CK70" s="63" t="str">
        <f t="shared" si="50"/>
        <v>1570</v>
      </c>
      <c r="CL70" s="63" t="str">
        <f t="shared" si="51"/>
        <v>1670</v>
      </c>
      <c r="CM70" s="63" t="str">
        <f t="shared" si="52"/>
        <v>1770</v>
      </c>
      <c r="CN70" s="63" t="str">
        <f t="shared" si="53"/>
        <v>1870</v>
      </c>
      <c r="CO70" s="63" t="str">
        <f t="shared" si="54"/>
        <v>1970</v>
      </c>
      <c r="CP70" s="63" t="str">
        <f t="shared" si="55"/>
        <v>2070</v>
      </c>
      <c r="CQ70" s="63" t="str">
        <f t="shared" si="56"/>
        <v>2170</v>
      </c>
      <c r="CR70" s="63" t="str">
        <f t="shared" si="57"/>
        <v>2270</v>
      </c>
      <c r="CS70" s="63" t="str">
        <f t="shared" si="58"/>
        <v>2370</v>
      </c>
      <c r="CT70" s="63" t="str">
        <f t="shared" si="59"/>
        <v>2470</v>
      </c>
      <c r="CU70" s="63" t="str">
        <f t="shared" si="60"/>
        <v>2570</v>
      </c>
      <c r="CV70" s="63" t="str">
        <f t="shared" si="61"/>
        <v>2670</v>
      </c>
      <c r="CW70" s="63" t="str">
        <f t="shared" si="62"/>
        <v>2770</v>
      </c>
      <c r="CX70" s="63" t="str">
        <f t="shared" si="63"/>
        <v>2870</v>
      </c>
      <c r="CY70" s="63" t="str">
        <f t="shared" si="64"/>
        <v>2970</v>
      </c>
      <c r="CZ70" s="63" t="str">
        <f t="shared" si="65"/>
        <v>3070</v>
      </c>
      <c r="DA70" s="63" t="str">
        <f t="shared" si="66"/>
        <v>3170</v>
      </c>
      <c r="DB70" s="63" t="str">
        <f t="shared" si="67"/>
        <v>3270</v>
      </c>
      <c r="DD70" s="72" t="s">
        <v>199</v>
      </c>
      <c r="DE70" s="77">
        <f t="shared" si="38"/>
        <v>1.9990000000000001</v>
      </c>
      <c r="DF70" s="77">
        <f t="shared" si="38"/>
        <v>2.0219999999999998</v>
      </c>
      <c r="DG70" s="77">
        <f t="shared" si="38"/>
        <v>2.0449999999999999</v>
      </c>
      <c r="DH70" s="77">
        <f t="shared" si="38"/>
        <v>2.069</v>
      </c>
      <c r="DI70" s="77">
        <f t="shared" si="38"/>
        <v>2.0910000000000002</v>
      </c>
      <c r="DJ70" s="77">
        <f t="shared" si="38"/>
        <v>2.1120000000000001</v>
      </c>
      <c r="DK70" s="77">
        <f t="shared" si="38"/>
        <v>2.1320000000000001</v>
      </c>
      <c r="DL70" s="77">
        <f t="shared" si="38"/>
        <v>2.1520000000000001</v>
      </c>
      <c r="DM70" s="77">
        <f t="shared" si="38"/>
        <v>2.17</v>
      </c>
      <c r="DN70" s="77">
        <f t="shared" si="38"/>
        <v>2.1880000000000002</v>
      </c>
      <c r="DO70" s="77">
        <f t="shared" si="38"/>
        <v>2.2050000000000001</v>
      </c>
      <c r="DP70" s="77">
        <f t="shared" si="38"/>
        <v>2.222</v>
      </c>
      <c r="DQ70" s="77">
        <f t="shared" si="38"/>
        <v>2.2400000000000002</v>
      </c>
      <c r="DR70" s="77">
        <f t="shared" si="38"/>
        <v>2.2589999999999999</v>
      </c>
      <c r="DS70" s="77">
        <f t="shared" si="38"/>
        <v>2.2789999999999999</v>
      </c>
      <c r="DT70" s="77">
        <f t="shared" si="38"/>
        <v>2.2999999999999998</v>
      </c>
      <c r="DU70" s="77">
        <f t="shared" si="33"/>
        <v>2.3199999999999998</v>
      </c>
      <c r="DV70" s="77">
        <f t="shared" si="33"/>
        <v>2.339</v>
      </c>
      <c r="DW70" s="77">
        <f t="shared" si="33"/>
        <v>2.3580000000000001</v>
      </c>
      <c r="DX70" s="77">
        <f t="shared" si="33"/>
        <v>2.3759999999999999</v>
      </c>
      <c r="DY70" s="77">
        <f t="shared" si="33"/>
        <v>2.3929999999999998</v>
      </c>
      <c r="DZ70" s="77">
        <f t="shared" si="33"/>
        <v>2.41</v>
      </c>
      <c r="EA70" s="77">
        <f t="shared" si="33"/>
        <v>2.4260000000000002</v>
      </c>
      <c r="EB70" s="77">
        <f t="shared" si="37"/>
        <v>2.4420000000000002</v>
      </c>
      <c r="EC70" s="77">
        <f t="shared" si="37"/>
        <v>2.4569999999999999</v>
      </c>
      <c r="ED70" s="77">
        <f t="shared" si="37"/>
        <v>2.4700000000000002</v>
      </c>
      <c r="EE70" s="77">
        <f t="shared" si="37"/>
        <v>2.4849999999999999</v>
      </c>
      <c r="EF70" s="77">
        <f t="shared" si="37"/>
        <v>2.4980000000000002</v>
      </c>
      <c r="EG70" s="77">
        <f t="shared" si="37"/>
        <v>2.5099999999999998</v>
      </c>
    </row>
    <row r="71" spans="1:137" ht="12.6" customHeight="1">
      <c r="A71" s="73">
        <v>71</v>
      </c>
      <c r="B71" s="74">
        <v>2.0093999999999999</v>
      </c>
      <c r="C71" s="74">
        <v>2.0324</v>
      </c>
      <c r="D71" s="74">
        <v>2.0553999999999997</v>
      </c>
      <c r="E71" s="74">
        <v>2.0793999999999997</v>
      </c>
      <c r="F71" s="74">
        <v>2.1013999999999999</v>
      </c>
      <c r="G71" s="74">
        <v>2.1223999999999998</v>
      </c>
      <c r="H71" s="74">
        <v>2.1423999999999999</v>
      </c>
      <c r="I71" s="74">
        <v>2.1614</v>
      </c>
      <c r="J71" s="74">
        <v>2.1793999999999998</v>
      </c>
      <c r="K71" s="74">
        <v>2.1976999999999998</v>
      </c>
      <c r="L71" s="74">
        <v>2.2143999999999999</v>
      </c>
      <c r="M71" s="74">
        <v>2.2303999999999999</v>
      </c>
      <c r="N71" s="74">
        <v>2.2483999999999997</v>
      </c>
      <c r="O71" s="74">
        <v>2.2673999999999999</v>
      </c>
      <c r="P71" s="74">
        <v>2.5883999999999996</v>
      </c>
      <c r="Q71" s="74">
        <v>2.3083999999999998</v>
      </c>
      <c r="R71" s="74">
        <v>2.3273999999999999</v>
      </c>
      <c r="S71" s="74">
        <v>2.3463999999999996</v>
      </c>
      <c r="T71" s="74">
        <v>2.3653999999999997</v>
      </c>
      <c r="U71" s="74">
        <v>2.3834</v>
      </c>
      <c r="V71" s="74">
        <v>2.4003999999999999</v>
      </c>
      <c r="W71" s="74">
        <v>2.4163999999999999</v>
      </c>
      <c r="X71" s="74">
        <v>2.4333999999999998</v>
      </c>
      <c r="Y71" s="74">
        <v>2.4483999999999999</v>
      </c>
      <c r="Z71" s="74">
        <v>2.4633999999999996</v>
      </c>
      <c r="AA71" s="74">
        <v>2.4773999999999998</v>
      </c>
      <c r="AB71" s="74">
        <v>2.4903999999999997</v>
      </c>
      <c r="AC71" s="74">
        <v>2.5033999999999996</v>
      </c>
      <c r="AD71" s="75">
        <v>2.5153999999999996</v>
      </c>
      <c r="AE71" s="76"/>
      <c r="AF71" s="76"/>
      <c r="AG71" s="76"/>
      <c r="AH71" s="76"/>
      <c r="AI71" s="76"/>
      <c r="AJ71" s="76"/>
      <c r="AK71" s="76"/>
      <c r="AL71" s="76"/>
      <c r="AM71" s="76"/>
      <c r="AN71" s="76"/>
      <c r="AO71" s="76"/>
      <c r="AP71" s="76"/>
      <c r="AQ71" s="76"/>
      <c r="AR71" s="76"/>
      <c r="AS71" s="76"/>
      <c r="BZ71" s="63" t="str">
        <f t="shared" si="40"/>
        <v>471</v>
      </c>
      <c r="CA71" s="63" t="str">
        <f t="shared" si="39"/>
        <v>571</v>
      </c>
      <c r="CB71" s="63" t="str">
        <f t="shared" si="41"/>
        <v>671</v>
      </c>
      <c r="CC71" s="63" t="str">
        <f t="shared" si="42"/>
        <v>771</v>
      </c>
      <c r="CD71" s="63" t="str">
        <f t="shared" si="43"/>
        <v>871</v>
      </c>
      <c r="CE71" s="63" t="str">
        <f t="shared" si="44"/>
        <v>971</v>
      </c>
      <c r="CF71" s="63" t="str">
        <f t="shared" si="45"/>
        <v>1071</v>
      </c>
      <c r="CG71" s="63" t="str">
        <f t="shared" si="46"/>
        <v>1171</v>
      </c>
      <c r="CH71" s="63" t="str">
        <f t="shared" si="47"/>
        <v>1271</v>
      </c>
      <c r="CI71" s="63" t="str">
        <f t="shared" si="48"/>
        <v>1371</v>
      </c>
      <c r="CJ71" s="63" t="str">
        <f t="shared" si="49"/>
        <v>1471</v>
      </c>
      <c r="CK71" s="63" t="str">
        <f t="shared" si="50"/>
        <v>1571</v>
      </c>
      <c r="CL71" s="63" t="str">
        <f t="shared" si="51"/>
        <v>1671</v>
      </c>
      <c r="CM71" s="63" t="str">
        <f t="shared" si="52"/>
        <v>1771</v>
      </c>
      <c r="CN71" s="63" t="str">
        <f t="shared" si="53"/>
        <v>1871</v>
      </c>
      <c r="CO71" s="63" t="str">
        <f t="shared" si="54"/>
        <v>1971</v>
      </c>
      <c r="CP71" s="63" t="str">
        <f t="shared" si="55"/>
        <v>2071</v>
      </c>
      <c r="CQ71" s="63" t="str">
        <f t="shared" si="56"/>
        <v>2171</v>
      </c>
      <c r="CR71" s="63" t="str">
        <f t="shared" si="57"/>
        <v>2271</v>
      </c>
      <c r="CS71" s="63" t="str">
        <f t="shared" si="58"/>
        <v>2371</v>
      </c>
      <c r="CT71" s="63" t="str">
        <f t="shared" si="59"/>
        <v>2471</v>
      </c>
      <c r="CU71" s="63" t="str">
        <f t="shared" si="60"/>
        <v>2571</v>
      </c>
      <c r="CV71" s="63" t="str">
        <f t="shared" si="61"/>
        <v>2671</v>
      </c>
      <c r="CW71" s="63" t="str">
        <f t="shared" si="62"/>
        <v>2771</v>
      </c>
      <c r="CX71" s="63" t="str">
        <f t="shared" si="63"/>
        <v>2871</v>
      </c>
      <c r="CY71" s="63" t="str">
        <f t="shared" si="64"/>
        <v>2971</v>
      </c>
      <c r="CZ71" s="63" t="str">
        <f t="shared" si="65"/>
        <v>3071</v>
      </c>
      <c r="DA71" s="63" t="str">
        <f t="shared" si="66"/>
        <v>3171</v>
      </c>
      <c r="DB71" s="63" t="str">
        <f t="shared" si="67"/>
        <v>3271</v>
      </c>
      <c r="DD71" s="72" t="s">
        <v>200</v>
      </c>
      <c r="DE71" s="77">
        <f t="shared" si="38"/>
        <v>2.0089999999999999</v>
      </c>
      <c r="DF71" s="77">
        <f t="shared" si="38"/>
        <v>2.032</v>
      </c>
      <c r="DG71" s="77">
        <f t="shared" si="38"/>
        <v>2.0550000000000002</v>
      </c>
      <c r="DH71" s="77">
        <f t="shared" si="38"/>
        <v>2.0790000000000002</v>
      </c>
      <c r="DI71" s="77">
        <f t="shared" si="38"/>
        <v>2.101</v>
      </c>
      <c r="DJ71" s="77">
        <f t="shared" si="38"/>
        <v>2.1219999999999999</v>
      </c>
      <c r="DK71" s="77">
        <f t="shared" si="38"/>
        <v>2.1419999999999999</v>
      </c>
      <c r="DL71" s="77">
        <f t="shared" si="38"/>
        <v>2.161</v>
      </c>
      <c r="DM71" s="77">
        <f t="shared" si="38"/>
        <v>2.1789999999999998</v>
      </c>
      <c r="DN71" s="77">
        <f t="shared" si="38"/>
        <v>2.198</v>
      </c>
      <c r="DO71" s="77">
        <f t="shared" si="38"/>
        <v>2.214</v>
      </c>
      <c r="DP71" s="77">
        <f t="shared" si="38"/>
        <v>2.23</v>
      </c>
      <c r="DQ71" s="77">
        <f t="shared" si="38"/>
        <v>2.2480000000000002</v>
      </c>
      <c r="DR71" s="77">
        <f t="shared" si="38"/>
        <v>2.2669999999999999</v>
      </c>
      <c r="DS71" s="77">
        <f t="shared" si="38"/>
        <v>2.5880000000000001</v>
      </c>
      <c r="DT71" s="77">
        <f t="shared" si="38"/>
        <v>2.3079999999999998</v>
      </c>
      <c r="DU71" s="77">
        <f t="shared" si="33"/>
        <v>2.327</v>
      </c>
      <c r="DV71" s="77">
        <f t="shared" si="33"/>
        <v>2.3460000000000001</v>
      </c>
      <c r="DW71" s="77">
        <f t="shared" si="33"/>
        <v>2.3650000000000002</v>
      </c>
      <c r="DX71" s="77">
        <f t="shared" si="33"/>
        <v>2.383</v>
      </c>
      <c r="DY71" s="77">
        <f t="shared" si="33"/>
        <v>2.4</v>
      </c>
      <c r="DZ71" s="77">
        <f t="shared" si="33"/>
        <v>2.4159999999999999</v>
      </c>
      <c r="EA71" s="77">
        <f t="shared" si="33"/>
        <v>2.4329999999999998</v>
      </c>
      <c r="EB71" s="77">
        <f t="shared" si="37"/>
        <v>2.448</v>
      </c>
      <c r="EC71" s="77">
        <f t="shared" si="37"/>
        <v>2.4630000000000001</v>
      </c>
      <c r="ED71" s="77">
        <f t="shared" si="37"/>
        <v>2.4769999999999999</v>
      </c>
      <c r="EE71" s="77">
        <f t="shared" si="37"/>
        <v>2.4900000000000002</v>
      </c>
      <c r="EF71" s="77">
        <f t="shared" si="37"/>
        <v>2.5030000000000001</v>
      </c>
      <c r="EG71" s="77">
        <f t="shared" si="37"/>
        <v>2.5150000000000001</v>
      </c>
    </row>
    <row r="72" spans="1:137" ht="12.6" customHeight="1">
      <c r="A72" s="73">
        <v>72</v>
      </c>
      <c r="B72" s="74">
        <v>2.0193999999999996</v>
      </c>
      <c r="C72" s="74">
        <v>2.0423999999999998</v>
      </c>
      <c r="D72" s="74">
        <v>2.0653999999999999</v>
      </c>
      <c r="E72" s="74">
        <v>2.0893999999999999</v>
      </c>
      <c r="F72" s="74">
        <v>2.1103999999999998</v>
      </c>
      <c r="G72" s="74">
        <v>2.1313999999999997</v>
      </c>
      <c r="H72" s="74">
        <v>2.1513999999999998</v>
      </c>
      <c r="I72" s="74">
        <v>2.1703999999999999</v>
      </c>
      <c r="J72" s="74">
        <v>2.1894</v>
      </c>
      <c r="K72" s="74">
        <v>2.2063999999999999</v>
      </c>
      <c r="L72" s="74">
        <v>2.2233999999999998</v>
      </c>
      <c r="M72" s="74">
        <v>2.2393999999999998</v>
      </c>
      <c r="N72" s="74">
        <v>2.2573999999999996</v>
      </c>
      <c r="O72" s="74">
        <v>2.2763999999999998</v>
      </c>
      <c r="P72" s="74">
        <v>2.2963999999999998</v>
      </c>
      <c r="Q72" s="74">
        <v>2.3163999999999998</v>
      </c>
      <c r="R72" s="74">
        <v>2.3353999999999999</v>
      </c>
      <c r="S72" s="74">
        <v>2.3543999999999996</v>
      </c>
      <c r="T72" s="74">
        <v>2.3723999999999998</v>
      </c>
      <c r="U72" s="74">
        <v>2.3903999999999996</v>
      </c>
      <c r="V72" s="74">
        <v>2.4074</v>
      </c>
      <c r="W72" s="74">
        <v>2.4234</v>
      </c>
      <c r="X72" s="74">
        <v>2.4394</v>
      </c>
      <c r="Y72" s="74">
        <v>2.4543999999999997</v>
      </c>
      <c r="Z72" s="74">
        <v>2.4693999999999998</v>
      </c>
      <c r="AA72" s="74">
        <v>2.4833999999999996</v>
      </c>
      <c r="AB72" s="74">
        <v>2.4953999999999996</v>
      </c>
      <c r="AC72" s="74">
        <v>2.5093999999999999</v>
      </c>
      <c r="AD72" s="75">
        <v>2.5213999999999999</v>
      </c>
      <c r="AE72" s="76"/>
      <c r="AF72" s="76"/>
      <c r="AG72" s="76"/>
      <c r="AH72" s="76"/>
      <c r="AI72" s="76"/>
      <c r="AJ72" s="76"/>
      <c r="AK72" s="76"/>
      <c r="AL72" s="76"/>
      <c r="AM72" s="76"/>
      <c r="AN72" s="76"/>
      <c r="AO72" s="76"/>
      <c r="AP72" s="76"/>
      <c r="AQ72" s="76"/>
      <c r="AR72" s="76"/>
      <c r="AS72" s="76"/>
      <c r="BZ72" s="63" t="str">
        <f t="shared" si="40"/>
        <v>472</v>
      </c>
      <c r="CA72" s="63" t="str">
        <f t="shared" si="39"/>
        <v>572</v>
      </c>
      <c r="CB72" s="63" t="str">
        <f t="shared" si="41"/>
        <v>672</v>
      </c>
      <c r="CC72" s="63" t="str">
        <f t="shared" si="42"/>
        <v>772</v>
      </c>
      <c r="CD72" s="63" t="str">
        <f t="shared" si="43"/>
        <v>872</v>
      </c>
      <c r="CE72" s="63" t="str">
        <f t="shared" si="44"/>
        <v>972</v>
      </c>
      <c r="CF72" s="63" t="str">
        <f t="shared" si="45"/>
        <v>1072</v>
      </c>
      <c r="CG72" s="63" t="str">
        <f t="shared" si="46"/>
        <v>1172</v>
      </c>
      <c r="CH72" s="63" t="str">
        <f t="shared" si="47"/>
        <v>1272</v>
      </c>
      <c r="CI72" s="63" t="str">
        <f t="shared" si="48"/>
        <v>1372</v>
      </c>
      <c r="CJ72" s="63" t="str">
        <f t="shared" si="49"/>
        <v>1472</v>
      </c>
      <c r="CK72" s="63" t="str">
        <f t="shared" si="50"/>
        <v>1572</v>
      </c>
      <c r="CL72" s="63" t="str">
        <f t="shared" si="51"/>
        <v>1672</v>
      </c>
      <c r="CM72" s="63" t="str">
        <f t="shared" si="52"/>
        <v>1772</v>
      </c>
      <c r="CN72" s="63" t="str">
        <f t="shared" si="53"/>
        <v>1872</v>
      </c>
      <c r="CO72" s="63" t="str">
        <f t="shared" si="54"/>
        <v>1972</v>
      </c>
      <c r="CP72" s="63" t="str">
        <f t="shared" si="55"/>
        <v>2072</v>
      </c>
      <c r="CQ72" s="63" t="str">
        <f t="shared" si="56"/>
        <v>2172</v>
      </c>
      <c r="CR72" s="63" t="str">
        <f t="shared" si="57"/>
        <v>2272</v>
      </c>
      <c r="CS72" s="63" t="str">
        <f t="shared" si="58"/>
        <v>2372</v>
      </c>
      <c r="CT72" s="63" t="str">
        <f t="shared" si="59"/>
        <v>2472</v>
      </c>
      <c r="CU72" s="63" t="str">
        <f t="shared" si="60"/>
        <v>2572</v>
      </c>
      <c r="CV72" s="63" t="str">
        <f t="shared" si="61"/>
        <v>2672</v>
      </c>
      <c r="CW72" s="63" t="str">
        <f t="shared" si="62"/>
        <v>2772</v>
      </c>
      <c r="CX72" s="63" t="str">
        <f t="shared" si="63"/>
        <v>2872</v>
      </c>
      <c r="CY72" s="63" t="str">
        <f t="shared" si="64"/>
        <v>2972</v>
      </c>
      <c r="CZ72" s="63" t="str">
        <f t="shared" si="65"/>
        <v>3072</v>
      </c>
      <c r="DA72" s="63" t="str">
        <f t="shared" si="66"/>
        <v>3172</v>
      </c>
      <c r="DB72" s="63" t="str">
        <f t="shared" si="67"/>
        <v>3272</v>
      </c>
      <c r="DD72" s="72" t="s">
        <v>201</v>
      </c>
      <c r="DE72" s="77">
        <f t="shared" si="38"/>
        <v>2.0190000000000001</v>
      </c>
      <c r="DF72" s="77">
        <f t="shared" si="38"/>
        <v>2.0419999999999998</v>
      </c>
      <c r="DG72" s="77">
        <f t="shared" si="38"/>
        <v>2.0649999999999999</v>
      </c>
      <c r="DH72" s="77">
        <f t="shared" si="38"/>
        <v>2.089</v>
      </c>
      <c r="DI72" s="77">
        <f t="shared" si="38"/>
        <v>2.11</v>
      </c>
      <c r="DJ72" s="77">
        <f t="shared" si="38"/>
        <v>2.1309999999999998</v>
      </c>
      <c r="DK72" s="77">
        <f t="shared" si="38"/>
        <v>2.1509999999999998</v>
      </c>
      <c r="DL72" s="77">
        <f t="shared" si="38"/>
        <v>2.17</v>
      </c>
      <c r="DM72" s="77">
        <f t="shared" si="38"/>
        <v>2.1890000000000001</v>
      </c>
      <c r="DN72" s="77">
        <f t="shared" si="38"/>
        <v>2.206</v>
      </c>
      <c r="DO72" s="77">
        <f t="shared" si="38"/>
        <v>2.2229999999999999</v>
      </c>
      <c r="DP72" s="77">
        <f t="shared" si="38"/>
        <v>2.2389999999999999</v>
      </c>
      <c r="DQ72" s="77">
        <f t="shared" si="38"/>
        <v>2.2570000000000001</v>
      </c>
      <c r="DR72" s="77">
        <f t="shared" si="38"/>
        <v>2.2759999999999998</v>
      </c>
      <c r="DS72" s="77">
        <f t="shared" si="38"/>
        <v>2.2959999999999998</v>
      </c>
      <c r="DT72" s="77">
        <f t="shared" si="38"/>
        <v>2.3159999999999998</v>
      </c>
      <c r="DU72" s="77">
        <f t="shared" si="33"/>
        <v>2.335</v>
      </c>
      <c r="DV72" s="77">
        <f t="shared" si="33"/>
        <v>2.3540000000000001</v>
      </c>
      <c r="DW72" s="77">
        <f t="shared" si="33"/>
        <v>2.3719999999999999</v>
      </c>
      <c r="DX72" s="77">
        <f t="shared" si="33"/>
        <v>2.39</v>
      </c>
      <c r="DY72" s="77">
        <f t="shared" si="33"/>
        <v>2.407</v>
      </c>
      <c r="DZ72" s="77">
        <f t="shared" si="33"/>
        <v>2.423</v>
      </c>
      <c r="EA72" s="77">
        <f t="shared" si="33"/>
        <v>2.4390000000000001</v>
      </c>
      <c r="EB72" s="77">
        <f t="shared" si="37"/>
        <v>2.4540000000000002</v>
      </c>
      <c r="EC72" s="77">
        <f t="shared" si="37"/>
        <v>2.4689999999999999</v>
      </c>
      <c r="ED72" s="77">
        <f t="shared" si="37"/>
        <v>2.4830000000000001</v>
      </c>
      <c r="EE72" s="77">
        <f t="shared" si="37"/>
        <v>2.4950000000000001</v>
      </c>
      <c r="EF72" s="77">
        <f t="shared" si="37"/>
        <v>2.5089999999999999</v>
      </c>
      <c r="EG72" s="77">
        <f t="shared" si="37"/>
        <v>2.5209999999999999</v>
      </c>
    </row>
    <row r="73" spans="1:137" ht="12.6" customHeight="1">
      <c r="A73" s="73">
        <v>73</v>
      </c>
      <c r="B73" s="74">
        <v>2.0263999999999998</v>
      </c>
      <c r="C73" s="74">
        <v>2.0524</v>
      </c>
      <c r="D73" s="74">
        <v>2.0753999999999997</v>
      </c>
      <c r="E73" s="74">
        <v>2.0963999999999996</v>
      </c>
      <c r="F73" s="74">
        <v>2.1183999999999998</v>
      </c>
      <c r="G73" s="74">
        <v>2.1433999999999997</v>
      </c>
      <c r="H73" s="74">
        <v>2.1603999999999997</v>
      </c>
      <c r="I73" s="74">
        <v>2.1803999999999997</v>
      </c>
      <c r="J73" s="74">
        <v>2.1983999999999999</v>
      </c>
      <c r="K73" s="74">
        <v>2.2153999999999998</v>
      </c>
      <c r="L73" s="74">
        <v>2.2273999999999998</v>
      </c>
      <c r="M73" s="74">
        <v>2.2464</v>
      </c>
      <c r="N73" s="74">
        <v>2.2664</v>
      </c>
      <c r="O73" s="74">
        <v>2.2833999999999999</v>
      </c>
      <c r="P73" s="74">
        <v>2.3043999999999998</v>
      </c>
      <c r="Q73" s="74">
        <v>2.3243999999999998</v>
      </c>
      <c r="R73" s="74">
        <v>2.3433999999999999</v>
      </c>
      <c r="S73" s="74">
        <v>2.3623999999999996</v>
      </c>
      <c r="T73" s="74">
        <v>2.3803999999999998</v>
      </c>
      <c r="U73" s="74">
        <v>2.3973999999999998</v>
      </c>
      <c r="V73" s="74">
        <v>2.4133999999999998</v>
      </c>
      <c r="W73" s="74">
        <v>2.4303999999999997</v>
      </c>
      <c r="X73" s="74">
        <v>2.4463999999999997</v>
      </c>
      <c r="Y73" s="74">
        <v>2.4603999999999999</v>
      </c>
      <c r="Z73" s="74">
        <v>2.4753999999999996</v>
      </c>
      <c r="AA73" s="74">
        <v>2.4893999999999998</v>
      </c>
      <c r="AB73" s="74">
        <v>2.5023999999999997</v>
      </c>
      <c r="AC73" s="74">
        <v>2.5153999999999996</v>
      </c>
      <c r="AD73" s="75">
        <v>2.5273999999999996</v>
      </c>
      <c r="AE73" s="76"/>
      <c r="AF73" s="76"/>
      <c r="AG73" s="76"/>
      <c r="AH73" s="76"/>
      <c r="AI73" s="76"/>
      <c r="AJ73" s="76"/>
      <c r="AK73" s="76"/>
      <c r="AL73" s="76"/>
      <c r="AM73" s="76"/>
      <c r="AN73" s="76"/>
      <c r="AO73" s="76"/>
      <c r="AP73" s="76"/>
      <c r="AQ73" s="76"/>
      <c r="AR73" s="76"/>
      <c r="AS73" s="76"/>
      <c r="BZ73" s="63" t="str">
        <f t="shared" si="40"/>
        <v>473</v>
      </c>
      <c r="CA73" s="63" t="str">
        <f t="shared" si="39"/>
        <v>573</v>
      </c>
      <c r="CB73" s="63" t="str">
        <f t="shared" si="41"/>
        <v>673</v>
      </c>
      <c r="CC73" s="63" t="str">
        <f t="shared" si="42"/>
        <v>773</v>
      </c>
      <c r="CD73" s="63" t="str">
        <f t="shared" si="43"/>
        <v>873</v>
      </c>
      <c r="CE73" s="63" t="str">
        <f t="shared" si="44"/>
        <v>973</v>
      </c>
      <c r="CF73" s="63" t="str">
        <f t="shared" si="45"/>
        <v>1073</v>
      </c>
      <c r="CG73" s="63" t="str">
        <f t="shared" si="46"/>
        <v>1173</v>
      </c>
      <c r="CH73" s="63" t="str">
        <f t="shared" si="47"/>
        <v>1273</v>
      </c>
      <c r="CI73" s="63" t="str">
        <f t="shared" si="48"/>
        <v>1373</v>
      </c>
      <c r="CJ73" s="63" t="str">
        <f t="shared" si="49"/>
        <v>1473</v>
      </c>
      <c r="CK73" s="63" t="str">
        <f t="shared" si="50"/>
        <v>1573</v>
      </c>
      <c r="CL73" s="63" t="str">
        <f t="shared" si="51"/>
        <v>1673</v>
      </c>
      <c r="CM73" s="63" t="str">
        <f t="shared" si="52"/>
        <v>1773</v>
      </c>
      <c r="CN73" s="63" t="str">
        <f t="shared" si="53"/>
        <v>1873</v>
      </c>
      <c r="CO73" s="63" t="str">
        <f t="shared" si="54"/>
        <v>1973</v>
      </c>
      <c r="CP73" s="63" t="str">
        <f t="shared" si="55"/>
        <v>2073</v>
      </c>
      <c r="CQ73" s="63" t="str">
        <f t="shared" si="56"/>
        <v>2173</v>
      </c>
      <c r="CR73" s="63" t="str">
        <f t="shared" si="57"/>
        <v>2273</v>
      </c>
      <c r="CS73" s="63" t="str">
        <f t="shared" si="58"/>
        <v>2373</v>
      </c>
      <c r="CT73" s="63" t="str">
        <f t="shared" si="59"/>
        <v>2473</v>
      </c>
      <c r="CU73" s="63" t="str">
        <f t="shared" si="60"/>
        <v>2573</v>
      </c>
      <c r="CV73" s="63" t="str">
        <f t="shared" si="61"/>
        <v>2673</v>
      </c>
      <c r="CW73" s="63" t="str">
        <f t="shared" si="62"/>
        <v>2773</v>
      </c>
      <c r="CX73" s="63" t="str">
        <f t="shared" si="63"/>
        <v>2873</v>
      </c>
      <c r="CY73" s="63" t="str">
        <f t="shared" si="64"/>
        <v>2973</v>
      </c>
      <c r="CZ73" s="63" t="str">
        <f t="shared" si="65"/>
        <v>3073</v>
      </c>
      <c r="DA73" s="63" t="str">
        <f t="shared" si="66"/>
        <v>3173</v>
      </c>
      <c r="DB73" s="63" t="str">
        <f t="shared" si="67"/>
        <v>3273</v>
      </c>
      <c r="DD73" s="72" t="s">
        <v>202</v>
      </c>
      <c r="DE73" s="77">
        <f t="shared" si="38"/>
        <v>2.0259999999999998</v>
      </c>
      <c r="DF73" s="77">
        <f t="shared" si="38"/>
        <v>2.052</v>
      </c>
      <c r="DG73" s="77">
        <f t="shared" si="38"/>
        <v>2.0750000000000002</v>
      </c>
      <c r="DH73" s="77">
        <f t="shared" si="38"/>
        <v>2.0960000000000001</v>
      </c>
      <c r="DI73" s="77">
        <f t="shared" si="38"/>
        <v>2.1179999999999999</v>
      </c>
      <c r="DJ73" s="77">
        <f t="shared" si="38"/>
        <v>2.1429999999999998</v>
      </c>
      <c r="DK73" s="77">
        <f t="shared" si="38"/>
        <v>2.16</v>
      </c>
      <c r="DL73" s="77">
        <f t="shared" si="38"/>
        <v>2.1800000000000002</v>
      </c>
      <c r="DM73" s="77">
        <f t="shared" si="38"/>
        <v>2.198</v>
      </c>
      <c r="DN73" s="77">
        <f t="shared" si="38"/>
        <v>2.2149999999999999</v>
      </c>
      <c r="DO73" s="77">
        <f t="shared" si="38"/>
        <v>2.2269999999999999</v>
      </c>
      <c r="DP73" s="77">
        <f t="shared" si="38"/>
        <v>2.246</v>
      </c>
      <c r="DQ73" s="77">
        <f t="shared" si="38"/>
        <v>2.266</v>
      </c>
      <c r="DR73" s="77">
        <f t="shared" si="38"/>
        <v>2.2829999999999999</v>
      </c>
      <c r="DS73" s="77">
        <f t="shared" si="38"/>
        <v>2.3039999999999998</v>
      </c>
      <c r="DT73" s="77">
        <f t="shared" si="38"/>
        <v>2.3239999999999998</v>
      </c>
      <c r="DU73" s="77">
        <f t="shared" si="33"/>
        <v>2.343</v>
      </c>
      <c r="DV73" s="77">
        <f t="shared" si="33"/>
        <v>2.3620000000000001</v>
      </c>
      <c r="DW73" s="77">
        <f t="shared" si="33"/>
        <v>2.38</v>
      </c>
      <c r="DX73" s="77">
        <f t="shared" ref="DX73:EE116" si="68">ROUND(U73,3)</f>
        <v>2.3969999999999998</v>
      </c>
      <c r="DY73" s="77">
        <f t="shared" si="68"/>
        <v>2.4129999999999998</v>
      </c>
      <c r="DZ73" s="77">
        <f t="shared" si="68"/>
        <v>2.4300000000000002</v>
      </c>
      <c r="EA73" s="77">
        <f t="shared" si="68"/>
        <v>2.4460000000000002</v>
      </c>
      <c r="EB73" s="77">
        <f t="shared" si="37"/>
        <v>2.46</v>
      </c>
      <c r="EC73" s="77">
        <f t="shared" si="37"/>
        <v>2.4750000000000001</v>
      </c>
      <c r="ED73" s="77">
        <f t="shared" si="37"/>
        <v>2.4889999999999999</v>
      </c>
      <c r="EE73" s="77">
        <f t="shared" si="37"/>
        <v>2.5019999999999998</v>
      </c>
      <c r="EF73" s="77">
        <f t="shared" si="37"/>
        <v>2.5150000000000001</v>
      </c>
      <c r="EG73" s="77">
        <f t="shared" si="37"/>
        <v>2.5270000000000001</v>
      </c>
    </row>
    <row r="74" spans="1:137" ht="12.6" customHeight="1">
      <c r="A74" s="73">
        <v>74</v>
      </c>
      <c r="B74" s="74">
        <v>2.0413999999999999</v>
      </c>
      <c r="C74" s="74">
        <v>2.0644</v>
      </c>
      <c r="D74" s="74">
        <v>2.0863999999999998</v>
      </c>
      <c r="E74" s="74">
        <v>2.1093999999999999</v>
      </c>
      <c r="F74" s="74">
        <v>2.1313999999999997</v>
      </c>
      <c r="G74" s="74">
        <v>2.1513999999999998</v>
      </c>
      <c r="H74" s="74">
        <v>2.1680000000000001</v>
      </c>
      <c r="I74" s="74">
        <v>2.1894</v>
      </c>
      <c r="J74" s="74">
        <v>2.2123999999999997</v>
      </c>
      <c r="K74" s="74">
        <v>2.2243999999999997</v>
      </c>
      <c r="L74" s="74">
        <v>2.2413999999999996</v>
      </c>
      <c r="M74" s="74">
        <v>2.2573999999999996</v>
      </c>
      <c r="N74" s="74">
        <v>2.2744</v>
      </c>
      <c r="O74" s="74">
        <v>2.2933999999999997</v>
      </c>
      <c r="P74" s="74">
        <v>2.3133999999999997</v>
      </c>
      <c r="Q74" s="74">
        <v>2.3323999999999998</v>
      </c>
      <c r="R74" s="74">
        <v>2.3513999999999999</v>
      </c>
      <c r="S74" s="74">
        <v>2.3693999999999997</v>
      </c>
      <c r="T74" s="74">
        <v>2.3874</v>
      </c>
      <c r="U74" s="74">
        <v>2.4053999999999998</v>
      </c>
      <c r="V74" s="74">
        <v>2.4234</v>
      </c>
      <c r="W74" s="74">
        <v>2.4373999999999998</v>
      </c>
      <c r="X74" s="74">
        <v>2.4533999999999998</v>
      </c>
      <c r="Y74" s="74">
        <v>2.4673999999999996</v>
      </c>
      <c r="Z74" s="74">
        <v>2.4823999999999997</v>
      </c>
      <c r="AA74" s="74">
        <v>2.4953999999999996</v>
      </c>
      <c r="AB74" s="74">
        <v>2.5084</v>
      </c>
      <c r="AC74" s="74">
        <v>2.5213999999999999</v>
      </c>
      <c r="AD74" s="75">
        <v>2.5333999999999999</v>
      </c>
      <c r="AE74" s="76"/>
      <c r="AF74" s="76"/>
      <c r="AG74" s="76"/>
      <c r="AH74" s="76"/>
      <c r="AI74" s="76"/>
      <c r="AJ74" s="76"/>
      <c r="AK74" s="76"/>
      <c r="AL74" s="76"/>
      <c r="AM74" s="76"/>
      <c r="AN74" s="76"/>
      <c r="AO74" s="76"/>
      <c r="AP74" s="76"/>
      <c r="AQ74" s="76"/>
      <c r="AR74" s="76"/>
      <c r="AS74" s="76"/>
      <c r="BZ74" s="63" t="str">
        <f t="shared" si="40"/>
        <v>474</v>
      </c>
      <c r="CA74" s="63" t="str">
        <f t="shared" si="39"/>
        <v>574</v>
      </c>
      <c r="CB74" s="63" t="str">
        <f t="shared" si="41"/>
        <v>674</v>
      </c>
      <c r="CC74" s="63" t="str">
        <f t="shared" si="42"/>
        <v>774</v>
      </c>
      <c r="CD74" s="63" t="str">
        <f t="shared" si="43"/>
        <v>874</v>
      </c>
      <c r="CE74" s="63" t="str">
        <f t="shared" si="44"/>
        <v>974</v>
      </c>
      <c r="CF74" s="63" t="str">
        <f t="shared" si="45"/>
        <v>1074</v>
      </c>
      <c r="CG74" s="63" t="str">
        <f t="shared" si="46"/>
        <v>1174</v>
      </c>
      <c r="CH74" s="63" t="str">
        <f t="shared" si="47"/>
        <v>1274</v>
      </c>
      <c r="CI74" s="63" t="str">
        <f t="shared" si="48"/>
        <v>1374</v>
      </c>
      <c r="CJ74" s="63" t="str">
        <f t="shared" si="49"/>
        <v>1474</v>
      </c>
      <c r="CK74" s="63" t="str">
        <f t="shared" si="50"/>
        <v>1574</v>
      </c>
      <c r="CL74" s="63" t="str">
        <f t="shared" si="51"/>
        <v>1674</v>
      </c>
      <c r="CM74" s="63" t="str">
        <f t="shared" si="52"/>
        <v>1774</v>
      </c>
      <c r="CN74" s="63" t="str">
        <f t="shared" si="53"/>
        <v>1874</v>
      </c>
      <c r="CO74" s="63" t="str">
        <f t="shared" si="54"/>
        <v>1974</v>
      </c>
      <c r="CP74" s="63" t="str">
        <f t="shared" si="55"/>
        <v>2074</v>
      </c>
      <c r="CQ74" s="63" t="str">
        <f t="shared" si="56"/>
        <v>2174</v>
      </c>
      <c r="CR74" s="63" t="str">
        <f t="shared" si="57"/>
        <v>2274</v>
      </c>
      <c r="CS74" s="63" t="str">
        <f t="shared" si="58"/>
        <v>2374</v>
      </c>
      <c r="CT74" s="63" t="str">
        <f t="shared" si="59"/>
        <v>2474</v>
      </c>
      <c r="CU74" s="63" t="str">
        <f t="shared" si="60"/>
        <v>2574</v>
      </c>
      <c r="CV74" s="63" t="str">
        <f t="shared" si="61"/>
        <v>2674</v>
      </c>
      <c r="CW74" s="63" t="str">
        <f t="shared" si="62"/>
        <v>2774</v>
      </c>
      <c r="CX74" s="63" t="str">
        <f t="shared" si="63"/>
        <v>2874</v>
      </c>
      <c r="CY74" s="63" t="str">
        <f t="shared" si="64"/>
        <v>2974</v>
      </c>
      <c r="CZ74" s="63" t="str">
        <f t="shared" si="65"/>
        <v>3074</v>
      </c>
      <c r="DA74" s="63" t="str">
        <f t="shared" si="66"/>
        <v>3174</v>
      </c>
      <c r="DB74" s="63" t="str">
        <f t="shared" si="67"/>
        <v>3274</v>
      </c>
      <c r="DD74" s="72" t="s">
        <v>203</v>
      </c>
      <c r="DE74" s="77">
        <f t="shared" si="38"/>
        <v>2.0409999999999999</v>
      </c>
      <c r="DF74" s="77">
        <f t="shared" si="38"/>
        <v>2.0640000000000001</v>
      </c>
      <c r="DG74" s="77">
        <f t="shared" si="38"/>
        <v>2.0859999999999999</v>
      </c>
      <c r="DH74" s="77">
        <f t="shared" si="38"/>
        <v>2.109</v>
      </c>
      <c r="DI74" s="77">
        <f t="shared" si="38"/>
        <v>2.1309999999999998</v>
      </c>
      <c r="DJ74" s="77">
        <f t="shared" si="38"/>
        <v>2.1509999999999998</v>
      </c>
      <c r="DK74" s="77">
        <f t="shared" si="38"/>
        <v>2.1680000000000001</v>
      </c>
      <c r="DL74" s="77">
        <f t="shared" si="38"/>
        <v>2.1890000000000001</v>
      </c>
      <c r="DM74" s="77">
        <f t="shared" si="38"/>
        <v>2.2120000000000002</v>
      </c>
      <c r="DN74" s="77">
        <f t="shared" si="38"/>
        <v>2.2240000000000002</v>
      </c>
      <c r="DO74" s="77">
        <f t="shared" si="38"/>
        <v>2.2410000000000001</v>
      </c>
      <c r="DP74" s="77">
        <f t="shared" si="38"/>
        <v>2.2570000000000001</v>
      </c>
      <c r="DQ74" s="77">
        <f t="shared" si="38"/>
        <v>2.274</v>
      </c>
      <c r="DR74" s="77">
        <f t="shared" si="38"/>
        <v>2.2930000000000001</v>
      </c>
      <c r="DS74" s="77">
        <f t="shared" si="38"/>
        <v>2.3130000000000002</v>
      </c>
      <c r="DT74" s="77">
        <f t="shared" si="38"/>
        <v>2.3319999999999999</v>
      </c>
      <c r="DU74" s="77">
        <f t="shared" ref="DU74:DZ137" si="69">ROUND(R74,3)</f>
        <v>2.351</v>
      </c>
      <c r="DV74" s="77">
        <f t="shared" si="69"/>
        <v>2.3690000000000002</v>
      </c>
      <c r="DW74" s="77">
        <f t="shared" si="69"/>
        <v>2.387</v>
      </c>
      <c r="DX74" s="77">
        <f t="shared" si="68"/>
        <v>2.4049999999999998</v>
      </c>
      <c r="DY74" s="77">
        <f t="shared" si="68"/>
        <v>2.423</v>
      </c>
      <c r="DZ74" s="77">
        <f t="shared" si="68"/>
        <v>2.4369999999999998</v>
      </c>
      <c r="EA74" s="77">
        <f t="shared" si="68"/>
        <v>2.4529999999999998</v>
      </c>
      <c r="EB74" s="77">
        <f t="shared" si="37"/>
        <v>2.4670000000000001</v>
      </c>
      <c r="EC74" s="77">
        <f t="shared" si="37"/>
        <v>2.4820000000000002</v>
      </c>
      <c r="ED74" s="77">
        <f t="shared" si="37"/>
        <v>2.4950000000000001</v>
      </c>
      <c r="EE74" s="77">
        <f t="shared" si="37"/>
        <v>2.508</v>
      </c>
      <c r="EF74" s="77">
        <f t="shared" si="37"/>
        <v>2.5209999999999999</v>
      </c>
      <c r="EG74" s="77">
        <f t="shared" si="37"/>
        <v>2.5329999999999999</v>
      </c>
    </row>
    <row r="75" spans="1:137" ht="12.6" customHeight="1">
      <c r="A75" s="79"/>
      <c r="B75" s="74"/>
      <c r="C75" s="74"/>
      <c r="D75" s="74"/>
      <c r="E75" s="74"/>
      <c r="F75" s="74"/>
      <c r="G75" s="74"/>
      <c r="H75" s="74"/>
      <c r="I75" s="74"/>
      <c r="J75" s="74"/>
      <c r="K75" s="74"/>
      <c r="L75" s="74"/>
      <c r="M75" s="74"/>
      <c r="N75" s="74"/>
      <c r="O75" s="74"/>
      <c r="P75" s="74"/>
      <c r="Q75" s="74"/>
      <c r="R75" s="74"/>
      <c r="S75" s="74"/>
      <c r="T75" s="74"/>
      <c r="U75" s="74"/>
      <c r="V75" s="74"/>
      <c r="W75" s="74"/>
      <c r="X75" s="74"/>
      <c r="Y75" s="74"/>
      <c r="Z75" s="74"/>
      <c r="AA75" s="74"/>
      <c r="AB75" s="74"/>
      <c r="AC75" s="74"/>
      <c r="AD75" s="80" t="s">
        <v>204</v>
      </c>
      <c r="AE75" s="81"/>
      <c r="AF75" s="81"/>
      <c r="AG75" s="81"/>
      <c r="AH75" s="81"/>
      <c r="AI75" s="81"/>
      <c r="AJ75" s="81"/>
      <c r="AK75" s="81"/>
      <c r="AL75" s="81"/>
      <c r="AM75" s="81"/>
      <c r="AN75" s="81"/>
      <c r="AO75" s="81"/>
      <c r="AP75" s="81"/>
      <c r="AQ75" s="81"/>
      <c r="AR75" s="81"/>
      <c r="AS75" s="81"/>
      <c r="CT75" s="63" t="str">
        <f t="shared" si="59"/>
        <v>24</v>
      </c>
      <c r="DD75" s="76"/>
      <c r="DE75" s="77">
        <f t="shared" si="38"/>
        <v>0</v>
      </c>
      <c r="DF75" s="77">
        <f t="shared" si="38"/>
        <v>0</v>
      </c>
      <c r="DG75" s="77">
        <f t="shared" si="38"/>
        <v>0</v>
      </c>
      <c r="DH75" s="77">
        <f t="shared" si="38"/>
        <v>0</v>
      </c>
      <c r="DI75" s="77">
        <f t="shared" si="38"/>
        <v>0</v>
      </c>
      <c r="DJ75" s="77">
        <f t="shared" si="38"/>
        <v>0</v>
      </c>
      <c r="DK75" s="77">
        <f t="shared" si="38"/>
        <v>0</v>
      </c>
      <c r="DL75" s="77">
        <f t="shared" si="38"/>
        <v>0</v>
      </c>
      <c r="DM75" s="77">
        <f t="shared" si="38"/>
        <v>0</v>
      </c>
      <c r="DN75" s="77">
        <f t="shared" si="38"/>
        <v>0</v>
      </c>
      <c r="DO75" s="77">
        <f t="shared" si="38"/>
        <v>0</v>
      </c>
      <c r="DP75" s="77">
        <f t="shared" si="38"/>
        <v>0</v>
      </c>
      <c r="DQ75" s="77">
        <f t="shared" si="38"/>
        <v>0</v>
      </c>
      <c r="DR75" s="77">
        <f t="shared" si="38"/>
        <v>0</v>
      </c>
      <c r="DS75" s="77">
        <f t="shared" si="38"/>
        <v>0</v>
      </c>
      <c r="DT75" s="77">
        <f t="shared" si="38"/>
        <v>0</v>
      </c>
      <c r="DU75" s="77">
        <f t="shared" si="69"/>
        <v>0</v>
      </c>
      <c r="DV75" s="77">
        <f t="shared" si="69"/>
        <v>0</v>
      </c>
      <c r="DW75" s="77">
        <f t="shared" si="69"/>
        <v>0</v>
      </c>
      <c r="DX75" s="77">
        <f t="shared" si="68"/>
        <v>0</v>
      </c>
      <c r="DY75" s="77">
        <f t="shared" si="68"/>
        <v>0</v>
      </c>
      <c r="DZ75" s="77">
        <f t="shared" si="68"/>
        <v>0</v>
      </c>
      <c r="EA75" s="77">
        <f t="shared" si="68"/>
        <v>0</v>
      </c>
      <c r="EB75" s="77">
        <f t="shared" si="37"/>
        <v>0</v>
      </c>
      <c r="EC75" s="77">
        <f t="shared" si="37"/>
        <v>0</v>
      </c>
      <c r="ED75" s="77">
        <f t="shared" si="37"/>
        <v>0</v>
      </c>
      <c r="EE75" s="77">
        <f t="shared" si="37"/>
        <v>0</v>
      </c>
      <c r="EF75" s="77">
        <f t="shared" si="37"/>
        <v>0</v>
      </c>
      <c r="EG75" s="77"/>
    </row>
    <row r="76" spans="1:137" ht="12.6" customHeight="1">
      <c r="A76" s="82"/>
      <c r="B76" s="83">
        <v>4</v>
      </c>
      <c r="C76" s="83">
        <v>5</v>
      </c>
      <c r="D76" s="83">
        <v>6</v>
      </c>
      <c r="E76" s="83">
        <v>7</v>
      </c>
      <c r="F76" s="83">
        <v>8</v>
      </c>
      <c r="G76" s="83">
        <v>9</v>
      </c>
      <c r="H76" s="83">
        <v>10</v>
      </c>
      <c r="I76" s="83">
        <v>11</v>
      </c>
      <c r="J76" s="83">
        <v>12</v>
      </c>
      <c r="K76" s="83">
        <v>13</v>
      </c>
      <c r="L76" s="83">
        <v>14</v>
      </c>
      <c r="M76" s="83">
        <v>15</v>
      </c>
      <c r="N76" s="83">
        <v>16</v>
      </c>
      <c r="O76" s="83">
        <v>17</v>
      </c>
      <c r="P76" s="83">
        <v>18</v>
      </c>
      <c r="Q76" s="83">
        <v>19</v>
      </c>
      <c r="R76" s="83">
        <v>20</v>
      </c>
      <c r="S76" s="83">
        <v>21</v>
      </c>
      <c r="T76" s="83">
        <v>22</v>
      </c>
      <c r="U76" s="83">
        <v>23</v>
      </c>
      <c r="V76" s="83">
        <v>24</v>
      </c>
      <c r="W76" s="83">
        <v>25</v>
      </c>
      <c r="X76" s="83">
        <v>26</v>
      </c>
      <c r="Y76" s="83">
        <v>27</v>
      </c>
      <c r="Z76" s="83">
        <v>28</v>
      </c>
      <c r="AA76" s="83">
        <v>29</v>
      </c>
      <c r="AB76" s="83">
        <v>30</v>
      </c>
      <c r="AC76" s="83">
        <v>31</v>
      </c>
      <c r="AD76" s="84">
        <v>32</v>
      </c>
      <c r="AE76" s="70"/>
      <c r="AF76" s="70"/>
      <c r="AG76" s="70"/>
      <c r="AH76" s="70"/>
      <c r="AI76" s="70"/>
      <c r="AJ76" s="70"/>
      <c r="AK76" s="70"/>
      <c r="AL76" s="70"/>
      <c r="AM76" s="70"/>
      <c r="AN76" s="70"/>
      <c r="AO76" s="70"/>
      <c r="AP76" s="70"/>
      <c r="AQ76" s="70"/>
      <c r="AR76" s="70"/>
      <c r="AS76" s="70"/>
      <c r="CT76" s="63" t="str">
        <f t="shared" si="59"/>
        <v>24</v>
      </c>
      <c r="DD76" s="71"/>
      <c r="DE76" s="77">
        <f t="shared" si="38"/>
        <v>4</v>
      </c>
      <c r="DF76" s="77">
        <f t="shared" si="38"/>
        <v>5</v>
      </c>
      <c r="DG76" s="77">
        <f t="shared" si="38"/>
        <v>6</v>
      </c>
      <c r="DH76" s="77">
        <f t="shared" si="38"/>
        <v>7</v>
      </c>
      <c r="DI76" s="77">
        <f t="shared" si="38"/>
        <v>8</v>
      </c>
      <c r="DJ76" s="77">
        <f t="shared" si="38"/>
        <v>9</v>
      </c>
      <c r="DK76" s="77">
        <f t="shared" si="38"/>
        <v>10</v>
      </c>
      <c r="DL76" s="77">
        <f t="shared" si="38"/>
        <v>11</v>
      </c>
      <c r="DM76" s="77">
        <f t="shared" si="38"/>
        <v>12</v>
      </c>
      <c r="DN76" s="77">
        <f t="shared" si="38"/>
        <v>13</v>
      </c>
      <c r="DO76" s="77">
        <f t="shared" si="38"/>
        <v>14</v>
      </c>
      <c r="DP76" s="77">
        <f t="shared" si="38"/>
        <v>15</v>
      </c>
      <c r="DQ76" s="77">
        <f t="shared" si="38"/>
        <v>16</v>
      </c>
      <c r="DR76" s="77">
        <f t="shared" si="38"/>
        <v>17</v>
      </c>
      <c r="DS76" s="77">
        <f t="shared" si="38"/>
        <v>18</v>
      </c>
      <c r="DT76" s="77">
        <f t="shared" si="38"/>
        <v>19</v>
      </c>
      <c r="DU76" s="77">
        <f t="shared" si="69"/>
        <v>20</v>
      </c>
      <c r="DV76" s="77">
        <f t="shared" si="69"/>
        <v>21</v>
      </c>
      <c r="DW76" s="77">
        <f t="shared" si="69"/>
        <v>22</v>
      </c>
      <c r="DX76" s="77">
        <f t="shared" si="68"/>
        <v>23</v>
      </c>
      <c r="DY76" s="77">
        <f t="shared" si="68"/>
        <v>24</v>
      </c>
      <c r="DZ76" s="77">
        <f t="shared" si="68"/>
        <v>25</v>
      </c>
      <c r="EA76" s="77">
        <f t="shared" si="68"/>
        <v>26</v>
      </c>
      <c r="EB76" s="77">
        <f t="shared" si="37"/>
        <v>27</v>
      </c>
      <c r="EC76" s="77">
        <f t="shared" si="37"/>
        <v>28</v>
      </c>
      <c r="ED76" s="77">
        <f t="shared" si="37"/>
        <v>29</v>
      </c>
      <c r="EE76" s="77">
        <f t="shared" si="37"/>
        <v>30</v>
      </c>
      <c r="EF76" s="77">
        <f t="shared" si="37"/>
        <v>31</v>
      </c>
      <c r="EG76" s="77">
        <f t="shared" si="37"/>
        <v>32</v>
      </c>
    </row>
    <row r="77" spans="1:137" ht="12.6" customHeight="1">
      <c r="A77" s="73">
        <v>75</v>
      </c>
      <c r="B77" s="74">
        <v>2.0513999999999997</v>
      </c>
      <c r="C77" s="74">
        <v>2.0743999999999998</v>
      </c>
      <c r="D77" s="74">
        <v>2.0963999999999996</v>
      </c>
      <c r="E77" s="74">
        <v>2.1193999999999997</v>
      </c>
      <c r="F77" s="74">
        <v>2.1414</v>
      </c>
      <c r="G77" s="74">
        <v>2.1614</v>
      </c>
      <c r="H77" s="74">
        <v>2.1713999999999998</v>
      </c>
      <c r="I77" s="74">
        <v>2.1993999999999998</v>
      </c>
      <c r="J77" s="74">
        <v>2.2173999999999996</v>
      </c>
      <c r="K77" s="74">
        <v>2.2343999999999999</v>
      </c>
      <c r="L77" s="74">
        <v>2.2504</v>
      </c>
      <c r="M77" s="74">
        <v>2.2664</v>
      </c>
      <c r="N77" s="74">
        <v>2.2833999999999999</v>
      </c>
      <c r="O77" s="74">
        <v>2.3024</v>
      </c>
      <c r="P77" s="74">
        <v>2.3213999999999997</v>
      </c>
      <c r="Q77" s="74">
        <v>2.3413999999999997</v>
      </c>
      <c r="R77" s="74">
        <v>2.3593999999999999</v>
      </c>
      <c r="S77" s="74">
        <v>2.3783999999999996</v>
      </c>
      <c r="T77" s="74">
        <v>2.3954</v>
      </c>
      <c r="U77" s="74">
        <v>2.4123999999999999</v>
      </c>
      <c r="V77" s="74">
        <v>2.4293999999999998</v>
      </c>
      <c r="W77" s="74">
        <v>2.4453999999999998</v>
      </c>
      <c r="X77" s="74">
        <v>2.4603999999999999</v>
      </c>
      <c r="Y77" s="74">
        <v>2.4753999999999996</v>
      </c>
      <c r="Z77" s="74">
        <v>2.4893999999999998</v>
      </c>
      <c r="AA77" s="74">
        <v>2.5023999999999997</v>
      </c>
      <c r="AB77" s="74">
        <v>2.5153999999999996</v>
      </c>
      <c r="AC77" s="74">
        <v>2.5273999999999996</v>
      </c>
      <c r="AD77" s="75">
        <v>2.5393999999999997</v>
      </c>
      <c r="AE77" s="76"/>
      <c r="AF77" s="76"/>
      <c r="AG77" s="76"/>
      <c r="AH77" s="76"/>
      <c r="AI77" s="76"/>
      <c r="AJ77" s="76"/>
      <c r="AK77" s="76"/>
      <c r="AL77" s="76"/>
      <c r="AM77" s="76"/>
      <c r="AN77" s="76"/>
      <c r="AO77" s="76"/>
      <c r="AP77" s="76"/>
      <c r="AQ77" s="76"/>
      <c r="AR77" s="76"/>
      <c r="AS77" s="76"/>
      <c r="BZ77" s="63" t="str">
        <f t="shared" si="40"/>
        <v>475</v>
      </c>
      <c r="CA77" s="63" t="str">
        <f t="shared" si="39"/>
        <v>575</v>
      </c>
      <c r="CB77" s="63" t="str">
        <f t="shared" si="41"/>
        <v>675</v>
      </c>
      <c r="CC77" s="63" t="str">
        <f t="shared" si="42"/>
        <v>775</v>
      </c>
      <c r="CD77" s="63" t="str">
        <f t="shared" si="43"/>
        <v>875</v>
      </c>
      <c r="CE77" s="63" t="str">
        <f t="shared" si="44"/>
        <v>975</v>
      </c>
      <c r="CF77" s="63" t="str">
        <f t="shared" si="45"/>
        <v>1075</v>
      </c>
      <c r="CG77" s="63" t="str">
        <f t="shared" si="46"/>
        <v>1175</v>
      </c>
      <c r="CH77" s="63" t="str">
        <f t="shared" si="47"/>
        <v>1275</v>
      </c>
      <c r="CI77" s="63" t="str">
        <f t="shared" si="48"/>
        <v>1375</v>
      </c>
      <c r="CJ77" s="63" t="str">
        <f t="shared" si="49"/>
        <v>1475</v>
      </c>
      <c r="CK77" s="63" t="str">
        <f t="shared" si="50"/>
        <v>1575</v>
      </c>
      <c r="CL77" s="63" t="str">
        <f t="shared" si="51"/>
        <v>1675</v>
      </c>
      <c r="CM77" s="63" t="str">
        <f t="shared" si="52"/>
        <v>1775</v>
      </c>
      <c r="CN77" s="63" t="str">
        <f t="shared" si="53"/>
        <v>1875</v>
      </c>
      <c r="CO77" s="63" t="str">
        <f t="shared" si="54"/>
        <v>1975</v>
      </c>
      <c r="CP77" s="63" t="str">
        <f t="shared" si="55"/>
        <v>2075</v>
      </c>
      <c r="CQ77" s="63" t="str">
        <f t="shared" si="56"/>
        <v>2175</v>
      </c>
      <c r="CR77" s="63" t="str">
        <f t="shared" si="57"/>
        <v>2275</v>
      </c>
      <c r="CS77" s="63" t="str">
        <f t="shared" si="58"/>
        <v>2375</v>
      </c>
      <c r="CT77" s="63" t="str">
        <f t="shared" si="59"/>
        <v>2475</v>
      </c>
      <c r="CU77" s="63" t="str">
        <f t="shared" si="60"/>
        <v>2575</v>
      </c>
      <c r="CV77" s="63" t="str">
        <f t="shared" si="61"/>
        <v>2675</v>
      </c>
      <c r="CW77" s="63" t="str">
        <f t="shared" si="62"/>
        <v>2775</v>
      </c>
      <c r="CX77" s="63" t="str">
        <f t="shared" si="63"/>
        <v>2875</v>
      </c>
      <c r="CY77" s="63" t="str">
        <f t="shared" si="64"/>
        <v>2975</v>
      </c>
      <c r="CZ77" s="63" t="str">
        <f t="shared" si="65"/>
        <v>3075</v>
      </c>
      <c r="DA77" s="63" t="str">
        <f t="shared" si="66"/>
        <v>3175</v>
      </c>
      <c r="DB77" s="63" t="str">
        <f t="shared" si="67"/>
        <v>3275</v>
      </c>
      <c r="DD77" s="72" t="s">
        <v>205</v>
      </c>
      <c r="DE77" s="77">
        <f t="shared" si="38"/>
        <v>2.0510000000000002</v>
      </c>
      <c r="DF77" s="77">
        <f t="shared" si="38"/>
        <v>2.0739999999999998</v>
      </c>
      <c r="DG77" s="77">
        <f t="shared" si="38"/>
        <v>2.0960000000000001</v>
      </c>
      <c r="DH77" s="77">
        <f t="shared" si="38"/>
        <v>2.1190000000000002</v>
      </c>
      <c r="DI77" s="77">
        <f t="shared" si="38"/>
        <v>2.141</v>
      </c>
      <c r="DJ77" s="77">
        <f t="shared" si="38"/>
        <v>2.161</v>
      </c>
      <c r="DK77" s="77">
        <f t="shared" si="38"/>
        <v>2.1709999999999998</v>
      </c>
      <c r="DL77" s="77">
        <f t="shared" si="38"/>
        <v>2.1989999999999998</v>
      </c>
      <c r="DM77" s="77">
        <f t="shared" si="38"/>
        <v>2.2170000000000001</v>
      </c>
      <c r="DN77" s="77">
        <f t="shared" si="38"/>
        <v>2.234</v>
      </c>
      <c r="DO77" s="77">
        <f t="shared" si="38"/>
        <v>2.25</v>
      </c>
      <c r="DP77" s="77">
        <f t="shared" si="38"/>
        <v>2.266</v>
      </c>
      <c r="DQ77" s="77">
        <f t="shared" si="38"/>
        <v>2.2829999999999999</v>
      </c>
      <c r="DR77" s="77">
        <f t="shared" si="38"/>
        <v>2.302</v>
      </c>
      <c r="DS77" s="77">
        <f t="shared" si="38"/>
        <v>2.3210000000000002</v>
      </c>
      <c r="DT77" s="77">
        <f t="shared" si="38"/>
        <v>2.3410000000000002</v>
      </c>
      <c r="DU77" s="77">
        <f t="shared" si="69"/>
        <v>2.359</v>
      </c>
      <c r="DV77" s="77">
        <f t="shared" si="69"/>
        <v>2.3780000000000001</v>
      </c>
      <c r="DW77" s="77">
        <f t="shared" si="69"/>
        <v>2.395</v>
      </c>
      <c r="DX77" s="77">
        <f t="shared" si="68"/>
        <v>2.4119999999999999</v>
      </c>
      <c r="DY77" s="77">
        <f t="shared" si="68"/>
        <v>2.4289999999999998</v>
      </c>
      <c r="DZ77" s="77">
        <f t="shared" si="68"/>
        <v>2.4449999999999998</v>
      </c>
      <c r="EA77" s="77">
        <f t="shared" si="68"/>
        <v>2.46</v>
      </c>
      <c r="EB77" s="77">
        <f t="shared" si="37"/>
        <v>2.4750000000000001</v>
      </c>
      <c r="EC77" s="77">
        <f t="shared" si="37"/>
        <v>2.4889999999999999</v>
      </c>
      <c r="ED77" s="77">
        <f t="shared" si="37"/>
        <v>2.5019999999999998</v>
      </c>
      <c r="EE77" s="77">
        <f t="shared" si="37"/>
        <v>2.5150000000000001</v>
      </c>
      <c r="EF77" s="77">
        <f t="shared" si="37"/>
        <v>2.5270000000000001</v>
      </c>
      <c r="EG77" s="77">
        <f t="shared" si="37"/>
        <v>2.5390000000000001</v>
      </c>
    </row>
    <row r="78" spans="1:137" ht="12.6" customHeight="1">
      <c r="A78" s="73">
        <v>76</v>
      </c>
      <c r="B78" s="74">
        <v>2.0633999999999997</v>
      </c>
      <c r="C78" s="74">
        <v>2.0853999999999999</v>
      </c>
      <c r="D78" s="74">
        <v>2.1073999999999997</v>
      </c>
      <c r="E78" s="74">
        <v>2.1303999999999998</v>
      </c>
      <c r="F78" s="74">
        <v>2.1513999999999998</v>
      </c>
      <c r="G78" s="74">
        <v>2.1713999999999998</v>
      </c>
      <c r="H78" s="74">
        <v>2.1803999999999997</v>
      </c>
      <c r="I78" s="74">
        <v>2.2093999999999996</v>
      </c>
      <c r="J78" s="74">
        <v>2.2273999999999998</v>
      </c>
      <c r="K78" s="74">
        <v>2.2433999999999998</v>
      </c>
      <c r="L78" s="74">
        <v>2.2593999999999999</v>
      </c>
      <c r="M78" s="74">
        <v>2.2753999999999999</v>
      </c>
      <c r="N78" s="74">
        <v>2.2933999999999997</v>
      </c>
      <c r="O78" s="74">
        <v>2.3113999999999999</v>
      </c>
      <c r="P78" s="74">
        <v>2.3303999999999996</v>
      </c>
      <c r="Q78" s="74">
        <v>2.3493999999999997</v>
      </c>
      <c r="R78" s="74">
        <v>2.3683999999999998</v>
      </c>
      <c r="S78" s="74">
        <v>2.3863999999999996</v>
      </c>
      <c r="T78" s="74">
        <v>2.4034</v>
      </c>
      <c r="U78" s="74">
        <v>2.4203999999999999</v>
      </c>
      <c r="V78" s="74">
        <v>2.4363999999999999</v>
      </c>
      <c r="W78" s="74">
        <v>2.4523999999999999</v>
      </c>
      <c r="X78" s="74">
        <v>2.4673999999999996</v>
      </c>
      <c r="Y78" s="74">
        <v>2.4823999999999997</v>
      </c>
      <c r="Z78" s="74">
        <v>2.4964</v>
      </c>
      <c r="AA78" s="74">
        <v>2.5093999999999999</v>
      </c>
      <c r="AB78" s="74">
        <v>2.5223999999999998</v>
      </c>
      <c r="AC78" s="74">
        <v>2.5343999999999998</v>
      </c>
      <c r="AD78" s="75">
        <v>2.5463999999999998</v>
      </c>
      <c r="AE78" s="76"/>
      <c r="AF78" s="76"/>
      <c r="AG78" s="76"/>
      <c r="AH78" s="76"/>
      <c r="AI78" s="76"/>
      <c r="AJ78" s="76"/>
      <c r="AK78" s="76"/>
      <c r="AL78" s="76"/>
      <c r="AM78" s="76"/>
      <c r="AN78" s="76"/>
      <c r="AO78" s="76"/>
      <c r="AP78" s="76"/>
      <c r="AQ78" s="76"/>
      <c r="AR78" s="76"/>
      <c r="AS78" s="76"/>
      <c r="BZ78" s="63" t="str">
        <f t="shared" si="40"/>
        <v>476</v>
      </c>
      <c r="CA78" s="63" t="str">
        <f t="shared" si="39"/>
        <v>576</v>
      </c>
      <c r="CB78" s="63" t="str">
        <f t="shared" si="41"/>
        <v>676</v>
      </c>
      <c r="CC78" s="63" t="str">
        <f t="shared" si="42"/>
        <v>776</v>
      </c>
      <c r="CD78" s="63" t="str">
        <f t="shared" si="43"/>
        <v>876</v>
      </c>
      <c r="CE78" s="63" t="str">
        <f t="shared" si="44"/>
        <v>976</v>
      </c>
      <c r="CF78" s="63" t="str">
        <f t="shared" si="45"/>
        <v>1076</v>
      </c>
      <c r="CG78" s="63" t="str">
        <f t="shared" si="46"/>
        <v>1176</v>
      </c>
      <c r="CH78" s="63" t="str">
        <f t="shared" si="47"/>
        <v>1276</v>
      </c>
      <c r="CI78" s="63" t="str">
        <f t="shared" si="48"/>
        <v>1376</v>
      </c>
      <c r="CJ78" s="63" t="str">
        <f t="shared" si="49"/>
        <v>1476</v>
      </c>
      <c r="CK78" s="63" t="str">
        <f t="shared" si="50"/>
        <v>1576</v>
      </c>
      <c r="CL78" s="63" t="str">
        <f t="shared" si="51"/>
        <v>1676</v>
      </c>
      <c r="CM78" s="63" t="str">
        <f t="shared" si="52"/>
        <v>1776</v>
      </c>
      <c r="CN78" s="63" t="str">
        <f t="shared" si="53"/>
        <v>1876</v>
      </c>
      <c r="CO78" s="63" t="str">
        <f t="shared" si="54"/>
        <v>1976</v>
      </c>
      <c r="CP78" s="63" t="str">
        <f t="shared" si="55"/>
        <v>2076</v>
      </c>
      <c r="CQ78" s="63" t="str">
        <f t="shared" si="56"/>
        <v>2176</v>
      </c>
      <c r="CR78" s="63" t="str">
        <f t="shared" si="57"/>
        <v>2276</v>
      </c>
      <c r="CS78" s="63" t="str">
        <f t="shared" si="58"/>
        <v>2376</v>
      </c>
      <c r="CT78" s="63" t="str">
        <f t="shared" si="59"/>
        <v>2476</v>
      </c>
      <c r="CU78" s="63" t="str">
        <f t="shared" si="60"/>
        <v>2576</v>
      </c>
      <c r="CV78" s="63" t="str">
        <f t="shared" si="61"/>
        <v>2676</v>
      </c>
      <c r="CW78" s="63" t="str">
        <f t="shared" si="62"/>
        <v>2776</v>
      </c>
      <c r="CX78" s="63" t="str">
        <f t="shared" si="63"/>
        <v>2876</v>
      </c>
      <c r="CY78" s="63" t="str">
        <f t="shared" si="64"/>
        <v>2976</v>
      </c>
      <c r="CZ78" s="63" t="str">
        <f t="shared" si="65"/>
        <v>3076</v>
      </c>
      <c r="DA78" s="63" t="str">
        <f t="shared" si="66"/>
        <v>3176</v>
      </c>
      <c r="DB78" s="63" t="str">
        <f t="shared" si="67"/>
        <v>3276</v>
      </c>
      <c r="DD78" s="72" t="s">
        <v>206</v>
      </c>
      <c r="DE78" s="77">
        <f t="shared" si="38"/>
        <v>2.0630000000000002</v>
      </c>
      <c r="DF78" s="77">
        <f t="shared" si="38"/>
        <v>2.085</v>
      </c>
      <c r="DG78" s="77">
        <f t="shared" si="38"/>
        <v>2.1070000000000002</v>
      </c>
      <c r="DH78" s="77">
        <f t="shared" si="38"/>
        <v>2.13</v>
      </c>
      <c r="DI78" s="77">
        <f t="shared" si="38"/>
        <v>2.1509999999999998</v>
      </c>
      <c r="DJ78" s="77">
        <f t="shared" si="38"/>
        <v>2.1709999999999998</v>
      </c>
      <c r="DK78" s="77">
        <f t="shared" si="38"/>
        <v>2.1800000000000002</v>
      </c>
      <c r="DL78" s="77">
        <f t="shared" si="38"/>
        <v>2.2090000000000001</v>
      </c>
      <c r="DM78" s="77">
        <f t="shared" si="38"/>
        <v>2.2269999999999999</v>
      </c>
      <c r="DN78" s="77">
        <f t="shared" si="38"/>
        <v>2.2429999999999999</v>
      </c>
      <c r="DO78" s="77">
        <f t="shared" si="38"/>
        <v>2.2589999999999999</v>
      </c>
      <c r="DP78" s="77">
        <f t="shared" si="38"/>
        <v>2.2749999999999999</v>
      </c>
      <c r="DQ78" s="77">
        <f t="shared" si="38"/>
        <v>2.2930000000000001</v>
      </c>
      <c r="DR78" s="77">
        <f t="shared" si="38"/>
        <v>2.3109999999999999</v>
      </c>
      <c r="DS78" s="77">
        <f t="shared" si="38"/>
        <v>2.33</v>
      </c>
      <c r="DT78" s="77">
        <f t="shared" si="38"/>
        <v>2.3490000000000002</v>
      </c>
      <c r="DU78" s="77">
        <f t="shared" si="69"/>
        <v>2.3679999999999999</v>
      </c>
      <c r="DV78" s="77">
        <f t="shared" si="69"/>
        <v>2.3860000000000001</v>
      </c>
      <c r="DW78" s="77">
        <f t="shared" si="69"/>
        <v>2.403</v>
      </c>
      <c r="DX78" s="77">
        <f t="shared" si="68"/>
        <v>2.42</v>
      </c>
      <c r="DY78" s="77">
        <f t="shared" si="68"/>
        <v>2.4359999999999999</v>
      </c>
      <c r="DZ78" s="77">
        <f t="shared" si="68"/>
        <v>2.452</v>
      </c>
      <c r="EA78" s="77">
        <f t="shared" si="68"/>
        <v>2.4670000000000001</v>
      </c>
      <c r="EB78" s="77">
        <f t="shared" si="37"/>
        <v>2.4820000000000002</v>
      </c>
      <c r="EC78" s="77">
        <f t="shared" si="37"/>
        <v>2.496</v>
      </c>
      <c r="ED78" s="77">
        <f t="shared" si="37"/>
        <v>2.5089999999999999</v>
      </c>
      <c r="EE78" s="77">
        <f t="shared" si="37"/>
        <v>2.5219999999999998</v>
      </c>
      <c r="EF78" s="77">
        <f t="shared" si="37"/>
        <v>2.5339999999999998</v>
      </c>
      <c r="EG78" s="77">
        <f t="shared" si="37"/>
        <v>2.5459999999999998</v>
      </c>
    </row>
    <row r="79" spans="1:137" ht="12.6" customHeight="1">
      <c r="A79" s="73">
        <v>77</v>
      </c>
      <c r="B79" s="74">
        <v>2.0733999999999999</v>
      </c>
      <c r="C79" s="74">
        <v>2.0953999999999997</v>
      </c>
      <c r="D79" s="74">
        <v>2.1173999999999999</v>
      </c>
      <c r="E79" s="74">
        <v>2.1403999999999996</v>
      </c>
      <c r="F79" s="74">
        <v>2.1614</v>
      </c>
      <c r="G79" s="74">
        <v>2.1814</v>
      </c>
      <c r="H79" s="74">
        <v>2.1903999999999999</v>
      </c>
      <c r="I79" s="74">
        <v>2.2193999999999998</v>
      </c>
      <c r="J79" s="74">
        <v>2.2363999999999997</v>
      </c>
      <c r="K79" s="74">
        <v>2.2533999999999996</v>
      </c>
      <c r="L79" s="74">
        <v>2.2693999999999996</v>
      </c>
      <c r="M79" s="74">
        <v>2.2853999999999997</v>
      </c>
      <c r="N79" s="74">
        <v>2.3024</v>
      </c>
      <c r="O79" s="74">
        <v>2.3203999999999998</v>
      </c>
      <c r="P79" s="74">
        <v>2.3393999999999999</v>
      </c>
      <c r="Q79" s="74">
        <v>2.3583999999999996</v>
      </c>
      <c r="R79" s="74">
        <v>2.3763999999999998</v>
      </c>
      <c r="S79" s="74">
        <v>2.3943999999999996</v>
      </c>
      <c r="T79" s="74">
        <v>2.4123999999999999</v>
      </c>
      <c r="U79" s="74">
        <v>2.4283999999999999</v>
      </c>
      <c r="V79" s="74">
        <v>2.4443999999999999</v>
      </c>
      <c r="W79" s="74">
        <v>2.4603999999999999</v>
      </c>
      <c r="X79" s="74">
        <v>2.4753999999999996</v>
      </c>
      <c r="Y79" s="74">
        <v>2.4893999999999998</v>
      </c>
      <c r="Z79" s="74">
        <v>2.5023999999999997</v>
      </c>
      <c r="AA79" s="74">
        <v>2.5173999999999999</v>
      </c>
      <c r="AB79" s="74">
        <v>2.5293999999999999</v>
      </c>
      <c r="AC79" s="74">
        <v>2.5413999999999999</v>
      </c>
      <c r="AD79" s="75">
        <v>2.5533999999999999</v>
      </c>
      <c r="AE79" s="76"/>
      <c r="AF79" s="76"/>
      <c r="AG79" s="76"/>
      <c r="AH79" s="76"/>
      <c r="AI79" s="76"/>
      <c r="AJ79" s="76"/>
      <c r="AK79" s="76"/>
      <c r="AL79" s="76"/>
      <c r="AM79" s="76"/>
      <c r="AN79" s="76"/>
      <c r="AO79" s="76"/>
      <c r="AP79" s="76"/>
      <c r="AQ79" s="76"/>
      <c r="AR79" s="76"/>
      <c r="AS79" s="76"/>
      <c r="BZ79" s="63" t="str">
        <f t="shared" si="40"/>
        <v>477</v>
      </c>
      <c r="CA79" s="63" t="str">
        <f t="shared" si="39"/>
        <v>577</v>
      </c>
      <c r="CB79" s="63" t="str">
        <f t="shared" si="41"/>
        <v>677</v>
      </c>
      <c r="CC79" s="63" t="str">
        <f t="shared" si="42"/>
        <v>777</v>
      </c>
      <c r="CD79" s="63" t="str">
        <f t="shared" si="43"/>
        <v>877</v>
      </c>
      <c r="CE79" s="63" t="str">
        <f t="shared" si="44"/>
        <v>977</v>
      </c>
      <c r="CF79" s="63" t="str">
        <f t="shared" si="45"/>
        <v>1077</v>
      </c>
      <c r="CG79" s="63" t="str">
        <f t="shared" si="46"/>
        <v>1177</v>
      </c>
      <c r="CH79" s="63" t="str">
        <f t="shared" si="47"/>
        <v>1277</v>
      </c>
      <c r="CI79" s="63" t="str">
        <f t="shared" si="48"/>
        <v>1377</v>
      </c>
      <c r="CJ79" s="63" t="str">
        <f t="shared" si="49"/>
        <v>1477</v>
      </c>
      <c r="CK79" s="63" t="str">
        <f t="shared" si="50"/>
        <v>1577</v>
      </c>
      <c r="CL79" s="63" t="str">
        <f t="shared" si="51"/>
        <v>1677</v>
      </c>
      <c r="CM79" s="63" t="str">
        <f t="shared" si="52"/>
        <v>1777</v>
      </c>
      <c r="CN79" s="63" t="str">
        <f t="shared" si="53"/>
        <v>1877</v>
      </c>
      <c r="CO79" s="63" t="str">
        <f t="shared" si="54"/>
        <v>1977</v>
      </c>
      <c r="CP79" s="63" t="str">
        <f t="shared" si="55"/>
        <v>2077</v>
      </c>
      <c r="CQ79" s="63" t="str">
        <f t="shared" si="56"/>
        <v>2177</v>
      </c>
      <c r="CR79" s="63" t="str">
        <f t="shared" si="57"/>
        <v>2277</v>
      </c>
      <c r="CS79" s="63" t="str">
        <f t="shared" si="58"/>
        <v>2377</v>
      </c>
      <c r="CT79" s="63" t="str">
        <f t="shared" si="59"/>
        <v>2477</v>
      </c>
      <c r="CU79" s="63" t="str">
        <f t="shared" si="60"/>
        <v>2577</v>
      </c>
      <c r="CV79" s="63" t="str">
        <f t="shared" si="61"/>
        <v>2677</v>
      </c>
      <c r="CW79" s="63" t="str">
        <f t="shared" si="62"/>
        <v>2777</v>
      </c>
      <c r="CX79" s="63" t="str">
        <f t="shared" si="63"/>
        <v>2877</v>
      </c>
      <c r="CY79" s="63" t="str">
        <f t="shared" si="64"/>
        <v>2977</v>
      </c>
      <c r="CZ79" s="63" t="str">
        <f t="shared" si="65"/>
        <v>3077</v>
      </c>
      <c r="DA79" s="63" t="str">
        <f t="shared" si="66"/>
        <v>3177</v>
      </c>
      <c r="DB79" s="63" t="str">
        <f t="shared" si="67"/>
        <v>3277</v>
      </c>
      <c r="DD79" s="72" t="s">
        <v>207</v>
      </c>
      <c r="DE79" s="77">
        <f t="shared" si="38"/>
        <v>2.073</v>
      </c>
      <c r="DF79" s="77">
        <f t="shared" si="38"/>
        <v>2.0950000000000002</v>
      </c>
      <c r="DG79" s="77">
        <f t="shared" si="38"/>
        <v>2.117</v>
      </c>
      <c r="DH79" s="77">
        <f t="shared" si="38"/>
        <v>2.14</v>
      </c>
      <c r="DI79" s="77">
        <f t="shared" si="38"/>
        <v>2.161</v>
      </c>
      <c r="DJ79" s="77">
        <f t="shared" si="38"/>
        <v>2.181</v>
      </c>
      <c r="DK79" s="77">
        <f t="shared" si="38"/>
        <v>2.19</v>
      </c>
      <c r="DL79" s="77">
        <f t="shared" si="38"/>
        <v>2.2189999999999999</v>
      </c>
      <c r="DM79" s="77">
        <f t="shared" si="38"/>
        <v>2.2360000000000002</v>
      </c>
      <c r="DN79" s="77">
        <f t="shared" si="38"/>
        <v>2.2530000000000001</v>
      </c>
      <c r="DO79" s="77">
        <f t="shared" si="38"/>
        <v>2.2690000000000001</v>
      </c>
      <c r="DP79" s="77">
        <f t="shared" si="38"/>
        <v>2.2850000000000001</v>
      </c>
      <c r="DQ79" s="77">
        <f t="shared" si="38"/>
        <v>2.302</v>
      </c>
      <c r="DR79" s="77">
        <f t="shared" si="38"/>
        <v>2.3199999999999998</v>
      </c>
      <c r="DS79" s="77">
        <f t="shared" si="38"/>
        <v>2.339</v>
      </c>
      <c r="DT79" s="77">
        <f t="shared" si="38"/>
        <v>2.3580000000000001</v>
      </c>
      <c r="DU79" s="77">
        <f t="shared" si="69"/>
        <v>2.3759999999999999</v>
      </c>
      <c r="DV79" s="77">
        <f t="shared" si="69"/>
        <v>2.3940000000000001</v>
      </c>
      <c r="DW79" s="77">
        <f t="shared" si="69"/>
        <v>2.4119999999999999</v>
      </c>
      <c r="DX79" s="77">
        <f t="shared" si="68"/>
        <v>2.4279999999999999</v>
      </c>
      <c r="DY79" s="77">
        <f t="shared" si="68"/>
        <v>2.444</v>
      </c>
      <c r="DZ79" s="77">
        <f t="shared" si="68"/>
        <v>2.46</v>
      </c>
      <c r="EA79" s="77">
        <f t="shared" si="68"/>
        <v>2.4750000000000001</v>
      </c>
      <c r="EB79" s="77">
        <f t="shared" si="37"/>
        <v>2.4889999999999999</v>
      </c>
      <c r="EC79" s="77">
        <f t="shared" si="37"/>
        <v>2.5019999999999998</v>
      </c>
      <c r="ED79" s="77">
        <f t="shared" si="37"/>
        <v>2.5169999999999999</v>
      </c>
      <c r="EE79" s="77">
        <f t="shared" si="37"/>
        <v>2.5289999999999999</v>
      </c>
      <c r="EF79" s="77">
        <f t="shared" si="37"/>
        <v>2.5409999999999999</v>
      </c>
      <c r="EG79" s="77">
        <f t="shared" si="37"/>
        <v>2.5529999999999999</v>
      </c>
    </row>
    <row r="80" spans="1:137" ht="12.6" customHeight="1">
      <c r="A80" s="73">
        <v>78</v>
      </c>
      <c r="B80" s="74">
        <v>2.0853999999999999</v>
      </c>
      <c r="C80" s="74">
        <v>2.1073999999999997</v>
      </c>
      <c r="D80" s="74">
        <v>2.1283999999999996</v>
      </c>
      <c r="E80" s="74">
        <v>2.1503999999999999</v>
      </c>
      <c r="F80" s="74">
        <v>2.1713999999999998</v>
      </c>
      <c r="G80" s="74">
        <v>2.1913999999999998</v>
      </c>
      <c r="H80" s="74">
        <v>2.2003999999999997</v>
      </c>
      <c r="I80" s="74">
        <v>2.2283999999999997</v>
      </c>
      <c r="J80" s="74">
        <v>2.2464</v>
      </c>
      <c r="K80" s="74">
        <v>2.2633999999999999</v>
      </c>
      <c r="L80" s="74">
        <v>2.2793999999999999</v>
      </c>
      <c r="M80" s="74">
        <v>2.2944</v>
      </c>
      <c r="N80" s="74">
        <v>2.3113999999999999</v>
      </c>
      <c r="O80" s="74">
        <v>2.3293999999999997</v>
      </c>
      <c r="P80" s="74">
        <v>2.3483999999999998</v>
      </c>
      <c r="Q80" s="74">
        <v>2.3673999999999999</v>
      </c>
      <c r="R80" s="74">
        <v>2.3853999999999997</v>
      </c>
      <c r="S80" s="74">
        <v>2.4034</v>
      </c>
      <c r="T80" s="74">
        <v>2.4203999999999999</v>
      </c>
      <c r="U80" s="74">
        <v>2.4354</v>
      </c>
      <c r="V80" s="74">
        <v>2.4523999999999999</v>
      </c>
      <c r="W80" s="74">
        <v>2.4683999999999999</v>
      </c>
      <c r="X80" s="74">
        <v>2.4833999999999996</v>
      </c>
      <c r="Y80" s="74">
        <v>2.4973999999999998</v>
      </c>
      <c r="Z80" s="74">
        <v>2.5110000000000001</v>
      </c>
      <c r="AA80" s="74">
        <v>2.5244</v>
      </c>
      <c r="AB80" s="74">
        <v>2.5364</v>
      </c>
      <c r="AC80" s="74">
        <v>2.5484</v>
      </c>
      <c r="AD80" s="75">
        <v>2.5604</v>
      </c>
      <c r="AE80" s="76"/>
      <c r="AF80" s="76"/>
      <c r="AG80" s="76"/>
      <c r="AH80" s="76"/>
      <c r="AI80" s="76"/>
      <c r="AJ80" s="76"/>
      <c r="AK80" s="76"/>
      <c r="AL80" s="76"/>
      <c r="AM80" s="76"/>
      <c r="AN80" s="76"/>
      <c r="AO80" s="76"/>
      <c r="AP80" s="76"/>
      <c r="AQ80" s="76"/>
      <c r="AR80" s="76"/>
      <c r="AS80" s="76"/>
      <c r="BZ80" s="63" t="str">
        <f t="shared" si="40"/>
        <v>478</v>
      </c>
      <c r="CA80" s="63" t="str">
        <f t="shared" si="39"/>
        <v>578</v>
      </c>
      <c r="CB80" s="63" t="str">
        <f t="shared" si="41"/>
        <v>678</v>
      </c>
      <c r="CC80" s="63" t="str">
        <f t="shared" si="42"/>
        <v>778</v>
      </c>
      <c r="CD80" s="63" t="str">
        <f t="shared" si="43"/>
        <v>878</v>
      </c>
      <c r="CE80" s="63" t="str">
        <f t="shared" si="44"/>
        <v>978</v>
      </c>
      <c r="CF80" s="63" t="str">
        <f t="shared" si="45"/>
        <v>1078</v>
      </c>
      <c r="CG80" s="63" t="str">
        <f t="shared" si="46"/>
        <v>1178</v>
      </c>
      <c r="CH80" s="63" t="str">
        <f t="shared" si="47"/>
        <v>1278</v>
      </c>
      <c r="CI80" s="63" t="str">
        <f t="shared" si="48"/>
        <v>1378</v>
      </c>
      <c r="CJ80" s="63" t="str">
        <f t="shared" si="49"/>
        <v>1478</v>
      </c>
      <c r="CK80" s="63" t="str">
        <f t="shared" si="50"/>
        <v>1578</v>
      </c>
      <c r="CL80" s="63" t="str">
        <f t="shared" si="51"/>
        <v>1678</v>
      </c>
      <c r="CM80" s="63" t="str">
        <f t="shared" si="52"/>
        <v>1778</v>
      </c>
      <c r="CN80" s="63" t="str">
        <f t="shared" si="53"/>
        <v>1878</v>
      </c>
      <c r="CO80" s="63" t="str">
        <f t="shared" si="54"/>
        <v>1978</v>
      </c>
      <c r="CP80" s="63" t="str">
        <f t="shared" si="55"/>
        <v>2078</v>
      </c>
      <c r="CQ80" s="63" t="str">
        <f t="shared" si="56"/>
        <v>2178</v>
      </c>
      <c r="CR80" s="63" t="str">
        <f t="shared" si="57"/>
        <v>2278</v>
      </c>
      <c r="CS80" s="63" t="str">
        <f t="shared" si="58"/>
        <v>2378</v>
      </c>
      <c r="CT80" s="63" t="str">
        <f t="shared" si="59"/>
        <v>2478</v>
      </c>
      <c r="CU80" s="63" t="str">
        <f t="shared" si="60"/>
        <v>2578</v>
      </c>
      <c r="CV80" s="63" t="str">
        <f t="shared" si="61"/>
        <v>2678</v>
      </c>
      <c r="CW80" s="63" t="str">
        <f t="shared" si="62"/>
        <v>2778</v>
      </c>
      <c r="CX80" s="63" t="str">
        <f t="shared" si="63"/>
        <v>2878</v>
      </c>
      <c r="CY80" s="63" t="str">
        <f t="shared" si="64"/>
        <v>2978</v>
      </c>
      <c r="CZ80" s="63" t="str">
        <f t="shared" si="65"/>
        <v>3078</v>
      </c>
      <c r="DA80" s="63" t="str">
        <f t="shared" si="66"/>
        <v>3178</v>
      </c>
      <c r="DB80" s="63" t="str">
        <f t="shared" si="67"/>
        <v>3278</v>
      </c>
      <c r="DD80" s="72" t="s">
        <v>208</v>
      </c>
      <c r="DE80" s="77">
        <f t="shared" si="38"/>
        <v>2.085</v>
      </c>
      <c r="DF80" s="77">
        <f t="shared" si="38"/>
        <v>2.1070000000000002</v>
      </c>
      <c r="DG80" s="77">
        <f t="shared" si="38"/>
        <v>2.1280000000000001</v>
      </c>
      <c r="DH80" s="77">
        <f t="shared" si="38"/>
        <v>2.15</v>
      </c>
      <c r="DI80" s="77">
        <f t="shared" si="38"/>
        <v>2.1709999999999998</v>
      </c>
      <c r="DJ80" s="77">
        <f t="shared" si="38"/>
        <v>2.1909999999999998</v>
      </c>
      <c r="DK80" s="77">
        <f t="shared" si="38"/>
        <v>2.2000000000000002</v>
      </c>
      <c r="DL80" s="77">
        <f t="shared" si="38"/>
        <v>2.2280000000000002</v>
      </c>
      <c r="DM80" s="77">
        <f t="shared" si="38"/>
        <v>2.246</v>
      </c>
      <c r="DN80" s="77">
        <f t="shared" si="38"/>
        <v>2.2629999999999999</v>
      </c>
      <c r="DO80" s="77">
        <f t="shared" si="38"/>
        <v>2.2789999999999999</v>
      </c>
      <c r="DP80" s="77">
        <f t="shared" si="38"/>
        <v>2.294</v>
      </c>
      <c r="DQ80" s="77">
        <f t="shared" si="38"/>
        <v>2.3109999999999999</v>
      </c>
      <c r="DR80" s="77">
        <f t="shared" si="38"/>
        <v>2.3290000000000002</v>
      </c>
      <c r="DS80" s="77">
        <f t="shared" si="38"/>
        <v>2.3479999999999999</v>
      </c>
      <c r="DT80" s="77">
        <f t="shared" si="38"/>
        <v>2.367</v>
      </c>
      <c r="DU80" s="77">
        <f t="shared" si="69"/>
        <v>2.3849999999999998</v>
      </c>
      <c r="DV80" s="77">
        <f t="shared" si="69"/>
        <v>2.403</v>
      </c>
      <c r="DW80" s="77">
        <f t="shared" si="69"/>
        <v>2.42</v>
      </c>
      <c r="DX80" s="77">
        <f t="shared" si="68"/>
        <v>2.4350000000000001</v>
      </c>
      <c r="DY80" s="77">
        <f t="shared" si="68"/>
        <v>2.452</v>
      </c>
      <c r="DZ80" s="77">
        <f t="shared" si="68"/>
        <v>2.468</v>
      </c>
      <c r="EA80" s="77">
        <f t="shared" si="68"/>
        <v>2.4830000000000001</v>
      </c>
      <c r="EB80" s="77">
        <f t="shared" si="37"/>
        <v>2.4969999999999999</v>
      </c>
      <c r="EC80" s="77">
        <f t="shared" si="37"/>
        <v>2.5110000000000001</v>
      </c>
      <c r="ED80" s="77">
        <f t="shared" si="37"/>
        <v>2.524</v>
      </c>
      <c r="EE80" s="77">
        <f t="shared" si="37"/>
        <v>2.536</v>
      </c>
      <c r="EF80" s="77">
        <f t="shared" si="37"/>
        <v>2.548</v>
      </c>
      <c r="EG80" s="77">
        <f t="shared" si="37"/>
        <v>2.56</v>
      </c>
    </row>
    <row r="81" spans="1:137" ht="12.6" customHeight="1">
      <c r="A81" s="73">
        <v>79</v>
      </c>
      <c r="B81" s="74">
        <v>2.0943999999999998</v>
      </c>
      <c r="C81" s="74">
        <v>2.1163999999999996</v>
      </c>
      <c r="D81" s="74">
        <v>2.1383999999999999</v>
      </c>
      <c r="E81" s="74">
        <v>2.1614</v>
      </c>
      <c r="F81" s="74">
        <v>2.1823999999999999</v>
      </c>
      <c r="G81" s="74">
        <v>2.2013999999999996</v>
      </c>
      <c r="H81" s="74">
        <v>2.2103999999999999</v>
      </c>
      <c r="I81" s="74">
        <v>2.2383999999999999</v>
      </c>
      <c r="J81" s="74">
        <v>2.2563999999999997</v>
      </c>
      <c r="K81" s="74">
        <v>2.2723999999999998</v>
      </c>
      <c r="L81" s="74">
        <v>2.2883999999999998</v>
      </c>
      <c r="M81" s="74">
        <v>2.3043999999999998</v>
      </c>
      <c r="N81" s="74">
        <v>2.3203999999999998</v>
      </c>
      <c r="O81" s="74">
        <v>2.3383999999999996</v>
      </c>
      <c r="P81" s="74">
        <v>2.3573999999999997</v>
      </c>
      <c r="Q81" s="74">
        <v>2.3763999999999998</v>
      </c>
      <c r="R81" s="74">
        <v>2.3943999999999996</v>
      </c>
      <c r="S81" s="74">
        <v>2.4114</v>
      </c>
      <c r="T81" s="74">
        <v>2.4283999999999999</v>
      </c>
      <c r="U81" s="74">
        <v>2.4453999999999998</v>
      </c>
      <c r="V81" s="74">
        <v>2.4613999999999998</v>
      </c>
      <c r="W81" s="74">
        <v>2.4763999999999999</v>
      </c>
      <c r="X81" s="74">
        <v>2.4913999999999996</v>
      </c>
      <c r="Y81" s="74">
        <v>2.5053999999999998</v>
      </c>
      <c r="Z81" s="74">
        <v>2.5183999999999997</v>
      </c>
      <c r="AA81" s="74">
        <v>2.5313999999999997</v>
      </c>
      <c r="AB81" s="74">
        <v>2.5444</v>
      </c>
      <c r="AC81" s="74">
        <v>2.5564</v>
      </c>
      <c r="AD81" s="75">
        <v>2.5673999999999997</v>
      </c>
      <c r="AE81" s="76"/>
      <c r="AF81" s="76"/>
      <c r="AG81" s="76"/>
      <c r="AH81" s="76"/>
      <c r="AI81" s="76"/>
      <c r="AJ81" s="76"/>
      <c r="AK81" s="76"/>
      <c r="AL81" s="76"/>
      <c r="AM81" s="76"/>
      <c r="AN81" s="76"/>
      <c r="AO81" s="76"/>
      <c r="AP81" s="76"/>
      <c r="AQ81" s="76"/>
      <c r="AR81" s="76"/>
      <c r="AS81" s="76"/>
      <c r="BZ81" s="63" t="str">
        <f t="shared" si="40"/>
        <v>479</v>
      </c>
      <c r="CA81" s="63" t="str">
        <f t="shared" si="39"/>
        <v>579</v>
      </c>
      <c r="CB81" s="63" t="str">
        <f t="shared" si="41"/>
        <v>679</v>
      </c>
      <c r="CC81" s="63" t="str">
        <f t="shared" si="42"/>
        <v>779</v>
      </c>
      <c r="CD81" s="63" t="str">
        <f t="shared" si="43"/>
        <v>879</v>
      </c>
      <c r="CE81" s="63" t="str">
        <f t="shared" si="44"/>
        <v>979</v>
      </c>
      <c r="CF81" s="63" t="str">
        <f t="shared" si="45"/>
        <v>1079</v>
      </c>
      <c r="CG81" s="63" t="str">
        <f t="shared" si="46"/>
        <v>1179</v>
      </c>
      <c r="CH81" s="63" t="str">
        <f t="shared" si="47"/>
        <v>1279</v>
      </c>
      <c r="CI81" s="63" t="str">
        <f t="shared" si="48"/>
        <v>1379</v>
      </c>
      <c r="CJ81" s="63" t="str">
        <f t="shared" si="49"/>
        <v>1479</v>
      </c>
      <c r="CK81" s="63" t="str">
        <f t="shared" si="50"/>
        <v>1579</v>
      </c>
      <c r="CL81" s="63" t="str">
        <f t="shared" si="51"/>
        <v>1679</v>
      </c>
      <c r="CM81" s="63" t="str">
        <f t="shared" si="52"/>
        <v>1779</v>
      </c>
      <c r="CN81" s="63" t="str">
        <f t="shared" si="53"/>
        <v>1879</v>
      </c>
      <c r="CO81" s="63" t="str">
        <f t="shared" si="54"/>
        <v>1979</v>
      </c>
      <c r="CP81" s="63" t="str">
        <f t="shared" si="55"/>
        <v>2079</v>
      </c>
      <c r="CQ81" s="63" t="str">
        <f t="shared" si="56"/>
        <v>2179</v>
      </c>
      <c r="CR81" s="63" t="str">
        <f t="shared" si="57"/>
        <v>2279</v>
      </c>
      <c r="CS81" s="63" t="str">
        <f t="shared" si="58"/>
        <v>2379</v>
      </c>
      <c r="CT81" s="63" t="str">
        <f t="shared" si="59"/>
        <v>2479</v>
      </c>
      <c r="CU81" s="63" t="str">
        <f t="shared" si="60"/>
        <v>2579</v>
      </c>
      <c r="CV81" s="63" t="str">
        <f t="shared" si="61"/>
        <v>2679</v>
      </c>
      <c r="CW81" s="63" t="str">
        <f t="shared" si="62"/>
        <v>2779</v>
      </c>
      <c r="CX81" s="63" t="str">
        <f t="shared" si="63"/>
        <v>2879</v>
      </c>
      <c r="CY81" s="63" t="str">
        <f t="shared" si="64"/>
        <v>2979</v>
      </c>
      <c r="CZ81" s="63" t="str">
        <f t="shared" si="65"/>
        <v>3079</v>
      </c>
      <c r="DA81" s="63" t="str">
        <f t="shared" si="66"/>
        <v>3179</v>
      </c>
      <c r="DB81" s="63" t="str">
        <f t="shared" si="67"/>
        <v>3279</v>
      </c>
      <c r="DD81" s="72" t="s">
        <v>209</v>
      </c>
      <c r="DE81" s="77">
        <f t="shared" si="38"/>
        <v>2.0939999999999999</v>
      </c>
      <c r="DF81" s="77">
        <f t="shared" si="38"/>
        <v>2.1160000000000001</v>
      </c>
      <c r="DG81" s="77">
        <f t="shared" si="38"/>
        <v>2.1379999999999999</v>
      </c>
      <c r="DH81" s="77">
        <f t="shared" si="38"/>
        <v>2.161</v>
      </c>
      <c r="DI81" s="77">
        <f t="shared" si="38"/>
        <v>2.1819999999999999</v>
      </c>
      <c r="DJ81" s="77">
        <f t="shared" si="38"/>
        <v>2.2010000000000001</v>
      </c>
      <c r="DK81" s="77">
        <f t="shared" si="38"/>
        <v>2.21</v>
      </c>
      <c r="DL81" s="77">
        <f t="shared" si="38"/>
        <v>2.238</v>
      </c>
      <c r="DM81" s="77">
        <f t="shared" si="38"/>
        <v>2.2559999999999998</v>
      </c>
      <c r="DN81" s="77">
        <f t="shared" si="38"/>
        <v>2.2719999999999998</v>
      </c>
      <c r="DO81" s="77">
        <f t="shared" si="38"/>
        <v>2.2879999999999998</v>
      </c>
      <c r="DP81" s="77">
        <f t="shared" si="38"/>
        <v>2.3039999999999998</v>
      </c>
      <c r="DQ81" s="77">
        <f t="shared" si="38"/>
        <v>2.3199999999999998</v>
      </c>
      <c r="DR81" s="77">
        <f t="shared" si="38"/>
        <v>2.3380000000000001</v>
      </c>
      <c r="DS81" s="77">
        <f t="shared" si="38"/>
        <v>2.3570000000000002</v>
      </c>
      <c r="DT81" s="77">
        <f t="shared" si="38"/>
        <v>2.3759999999999999</v>
      </c>
      <c r="DU81" s="77">
        <f t="shared" si="69"/>
        <v>2.3940000000000001</v>
      </c>
      <c r="DV81" s="77">
        <f t="shared" si="69"/>
        <v>2.411</v>
      </c>
      <c r="DW81" s="77">
        <f t="shared" si="69"/>
        <v>2.4279999999999999</v>
      </c>
      <c r="DX81" s="77">
        <f t="shared" si="68"/>
        <v>2.4449999999999998</v>
      </c>
      <c r="DY81" s="77">
        <f t="shared" si="68"/>
        <v>2.4609999999999999</v>
      </c>
      <c r="DZ81" s="77">
        <f t="shared" si="68"/>
        <v>2.476</v>
      </c>
      <c r="EA81" s="77">
        <f t="shared" si="68"/>
        <v>2.4910000000000001</v>
      </c>
      <c r="EB81" s="77">
        <f t="shared" si="37"/>
        <v>2.5049999999999999</v>
      </c>
      <c r="EC81" s="77">
        <f t="shared" si="37"/>
        <v>2.5179999999999998</v>
      </c>
      <c r="ED81" s="77">
        <f t="shared" si="37"/>
        <v>2.5310000000000001</v>
      </c>
      <c r="EE81" s="77">
        <f t="shared" si="37"/>
        <v>2.544</v>
      </c>
      <c r="EF81" s="77">
        <f t="shared" si="37"/>
        <v>2.556</v>
      </c>
      <c r="EG81" s="77">
        <f t="shared" si="37"/>
        <v>2.5670000000000002</v>
      </c>
    </row>
    <row r="82" spans="1:137" ht="12.6" customHeight="1">
      <c r="A82" s="73">
        <v>80</v>
      </c>
      <c r="B82" s="74">
        <v>2.1063999999999998</v>
      </c>
      <c r="C82" s="74">
        <v>2.1283999999999996</v>
      </c>
      <c r="D82" s="74">
        <v>2.1494</v>
      </c>
      <c r="E82" s="74">
        <v>2.1713999999999998</v>
      </c>
      <c r="F82" s="74">
        <v>2.1923999999999997</v>
      </c>
      <c r="G82" s="74">
        <v>2.2123999999999997</v>
      </c>
      <c r="H82" s="74">
        <v>2.2203999999999997</v>
      </c>
      <c r="I82" s="74">
        <v>2.2483999999999997</v>
      </c>
      <c r="J82" s="74">
        <v>2.2664</v>
      </c>
      <c r="K82" s="74">
        <v>2.2824</v>
      </c>
      <c r="L82" s="74">
        <v>2.2984</v>
      </c>
      <c r="M82" s="74">
        <v>2.3133999999999997</v>
      </c>
      <c r="N82" s="74">
        <v>2.3303999999999996</v>
      </c>
      <c r="O82" s="74">
        <v>2.3483999999999998</v>
      </c>
      <c r="P82" s="74">
        <v>2.3663999999999996</v>
      </c>
      <c r="Q82" s="74">
        <v>2.3853999999999997</v>
      </c>
      <c r="R82" s="74">
        <v>2.4034</v>
      </c>
      <c r="S82" s="74">
        <v>2.4203999999999999</v>
      </c>
      <c r="T82" s="74">
        <v>2.4373999999999998</v>
      </c>
      <c r="U82" s="74">
        <v>2.4533999999999998</v>
      </c>
      <c r="V82" s="74">
        <v>2.4693999999999998</v>
      </c>
      <c r="W82" s="74">
        <v>2.4843999999999999</v>
      </c>
      <c r="X82" s="74">
        <v>2.4993999999999996</v>
      </c>
      <c r="Y82" s="74">
        <v>2.5133999999999999</v>
      </c>
      <c r="Z82" s="74">
        <v>2.5263999999999998</v>
      </c>
      <c r="AA82" s="74">
        <v>2.5393999999999997</v>
      </c>
      <c r="AB82" s="74">
        <v>2.5513999999999997</v>
      </c>
      <c r="AC82" s="74">
        <v>2.5633999999999997</v>
      </c>
      <c r="AD82" s="75">
        <v>2.5743999999999998</v>
      </c>
      <c r="AE82" s="76"/>
      <c r="AF82" s="76"/>
      <c r="AG82" s="76"/>
      <c r="AH82" s="76"/>
      <c r="AI82" s="76"/>
      <c r="AJ82" s="76"/>
      <c r="AK82" s="76"/>
      <c r="AL82" s="76"/>
      <c r="AM82" s="76"/>
      <c r="AN82" s="76"/>
      <c r="AO82" s="76"/>
      <c r="AP82" s="76"/>
      <c r="AQ82" s="76"/>
      <c r="AR82" s="76"/>
      <c r="AS82" s="76"/>
      <c r="BZ82" s="63" t="str">
        <f t="shared" si="40"/>
        <v>480</v>
      </c>
      <c r="CA82" s="63" t="str">
        <f t="shared" si="39"/>
        <v>580</v>
      </c>
      <c r="CB82" s="63" t="str">
        <f t="shared" si="41"/>
        <v>680</v>
      </c>
      <c r="CC82" s="63" t="str">
        <f t="shared" si="42"/>
        <v>780</v>
      </c>
      <c r="CD82" s="63" t="str">
        <f t="shared" si="43"/>
        <v>880</v>
      </c>
      <c r="CE82" s="63" t="str">
        <f t="shared" si="44"/>
        <v>980</v>
      </c>
      <c r="CF82" s="63" t="str">
        <f t="shared" si="45"/>
        <v>1080</v>
      </c>
      <c r="CG82" s="63" t="str">
        <f t="shared" si="46"/>
        <v>1180</v>
      </c>
      <c r="CH82" s="63" t="str">
        <f t="shared" si="47"/>
        <v>1280</v>
      </c>
      <c r="CI82" s="63" t="str">
        <f t="shared" si="48"/>
        <v>1380</v>
      </c>
      <c r="CJ82" s="63" t="str">
        <f t="shared" si="49"/>
        <v>1480</v>
      </c>
      <c r="CK82" s="63" t="str">
        <f t="shared" si="50"/>
        <v>1580</v>
      </c>
      <c r="CL82" s="63" t="str">
        <f t="shared" si="51"/>
        <v>1680</v>
      </c>
      <c r="CM82" s="63" t="str">
        <f t="shared" si="52"/>
        <v>1780</v>
      </c>
      <c r="CN82" s="63" t="str">
        <f t="shared" si="53"/>
        <v>1880</v>
      </c>
      <c r="CO82" s="63" t="str">
        <f t="shared" si="54"/>
        <v>1980</v>
      </c>
      <c r="CP82" s="63" t="str">
        <f t="shared" si="55"/>
        <v>2080</v>
      </c>
      <c r="CQ82" s="63" t="str">
        <f t="shared" si="56"/>
        <v>2180</v>
      </c>
      <c r="CR82" s="63" t="str">
        <f t="shared" si="57"/>
        <v>2280</v>
      </c>
      <c r="CS82" s="63" t="str">
        <f t="shared" si="58"/>
        <v>2380</v>
      </c>
      <c r="CT82" s="63" t="str">
        <f t="shared" si="59"/>
        <v>2480</v>
      </c>
      <c r="CU82" s="63" t="str">
        <f t="shared" si="60"/>
        <v>2580</v>
      </c>
      <c r="CV82" s="63" t="str">
        <f t="shared" si="61"/>
        <v>2680</v>
      </c>
      <c r="CW82" s="63" t="str">
        <f t="shared" si="62"/>
        <v>2780</v>
      </c>
      <c r="CX82" s="63" t="str">
        <f t="shared" si="63"/>
        <v>2880</v>
      </c>
      <c r="CY82" s="63" t="str">
        <f t="shared" si="64"/>
        <v>2980</v>
      </c>
      <c r="CZ82" s="63" t="str">
        <f t="shared" si="65"/>
        <v>3080</v>
      </c>
      <c r="DA82" s="63" t="str">
        <f t="shared" si="66"/>
        <v>3180</v>
      </c>
      <c r="DB82" s="63" t="str">
        <f t="shared" si="67"/>
        <v>3280</v>
      </c>
      <c r="DD82" s="72" t="s">
        <v>210</v>
      </c>
      <c r="DE82" s="77">
        <f t="shared" si="38"/>
        <v>2.1059999999999999</v>
      </c>
      <c r="DF82" s="77">
        <f t="shared" si="38"/>
        <v>2.1280000000000001</v>
      </c>
      <c r="DG82" s="77">
        <f t="shared" si="38"/>
        <v>2.149</v>
      </c>
      <c r="DH82" s="77">
        <f t="shared" si="38"/>
        <v>2.1709999999999998</v>
      </c>
      <c r="DI82" s="77">
        <f t="shared" si="38"/>
        <v>2.1920000000000002</v>
      </c>
      <c r="DJ82" s="77">
        <f t="shared" si="38"/>
        <v>2.2120000000000002</v>
      </c>
      <c r="DK82" s="77">
        <f t="shared" si="38"/>
        <v>2.2200000000000002</v>
      </c>
      <c r="DL82" s="77">
        <f t="shared" si="38"/>
        <v>2.2480000000000002</v>
      </c>
      <c r="DM82" s="77">
        <f t="shared" si="38"/>
        <v>2.266</v>
      </c>
      <c r="DN82" s="77">
        <f t="shared" si="38"/>
        <v>2.282</v>
      </c>
      <c r="DO82" s="77">
        <f t="shared" si="38"/>
        <v>2.298</v>
      </c>
      <c r="DP82" s="77">
        <f t="shared" si="38"/>
        <v>2.3130000000000002</v>
      </c>
      <c r="DQ82" s="77">
        <f t="shared" si="38"/>
        <v>2.33</v>
      </c>
      <c r="DR82" s="77">
        <f t="shared" si="38"/>
        <v>2.3479999999999999</v>
      </c>
      <c r="DS82" s="77">
        <f t="shared" si="38"/>
        <v>2.3660000000000001</v>
      </c>
      <c r="DT82" s="77">
        <f t="shared" ref="DT82:DZ145" si="70">ROUND(Q82,3)</f>
        <v>2.3849999999999998</v>
      </c>
      <c r="DU82" s="77">
        <f t="shared" si="69"/>
        <v>2.403</v>
      </c>
      <c r="DV82" s="77">
        <f t="shared" si="69"/>
        <v>2.42</v>
      </c>
      <c r="DW82" s="77">
        <f t="shared" si="69"/>
        <v>2.4369999999999998</v>
      </c>
      <c r="DX82" s="77">
        <f t="shared" si="68"/>
        <v>2.4529999999999998</v>
      </c>
      <c r="DY82" s="77">
        <f t="shared" si="68"/>
        <v>2.4689999999999999</v>
      </c>
      <c r="DZ82" s="77">
        <f t="shared" si="68"/>
        <v>2.484</v>
      </c>
      <c r="EA82" s="77">
        <f t="shared" si="68"/>
        <v>2.4990000000000001</v>
      </c>
      <c r="EB82" s="77">
        <f t="shared" si="37"/>
        <v>2.5129999999999999</v>
      </c>
      <c r="EC82" s="77">
        <f t="shared" si="37"/>
        <v>2.5259999999999998</v>
      </c>
      <c r="ED82" s="77">
        <f t="shared" si="37"/>
        <v>2.5390000000000001</v>
      </c>
      <c r="EE82" s="77">
        <f t="shared" si="37"/>
        <v>2.5510000000000002</v>
      </c>
      <c r="EF82" s="77">
        <f t="shared" si="37"/>
        <v>2.5630000000000002</v>
      </c>
      <c r="EG82" s="77">
        <f t="shared" si="37"/>
        <v>2.5739999999999998</v>
      </c>
    </row>
    <row r="83" spans="1:137" ht="12.6" customHeight="1">
      <c r="A83" s="73">
        <v>81</v>
      </c>
      <c r="B83" s="74">
        <v>2.1183999999999998</v>
      </c>
      <c r="C83" s="74">
        <v>2.1393999999999997</v>
      </c>
      <c r="D83" s="74">
        <v>2.1603999999999997</v>
      </c>
      <c r="E83" s="74">
        <v>2.1823999999999999</v>
      </c>
      <c r="F83" s="74">
        <v>2.2023999999999999</v>
      </c>
      <c r="G83" s="74">
        <v>2.2223999999999999</v>
      </c>
      <c r="H83" s="74">
        <v>2.2303999999999999</v>
      </c>
      <c r="I83" s="74">
        <v>2.2584</v>
      </c>
      <c r="J83" s="74">
        <v>2.2753999999999999</v>
      </c>
      <c r="K83" s="74">
        <v>2.2923999999999998</v>
      </c>
      <c r="L83" s="74">
        <v>2.3073999999999999</v>
      </c>
      <c r="M83" s="74">
        <v>2.3233999999999999</v>
      </c>
      <c r="N83" s="74">
        <v>2.3393999999999999</v>
      </c>
      <c r="O83" s="74">
        <v>2.3583999999999996</v>
      </c>
      <c r="P83" s="74">
        <v>2.3754</v>
      </c>
      <c r="Q83" s="74">
        <v>2.3943999999999996</v>
      </c>
      <c r="R83" s="74">
        <v>2.4114</v>
      </c>
      <c r="S83" s="74">
        <v>2.4293999999999998</v>
      </c>
      <c r="T83" s="74">
        <v>2.4453999999999998</v>
      </c>
      <c r="U83" s="74">
        <v>2.4623999999999997</v>
      </c>
      <c r="V83" s="74">
        <v>2.4773999999999998</v>
      </c>
      <c r="W83" s="74">
        <v>2.4923999999999999</v>
      </c>
      <c r="X83" s="74">
        <v>2.5070000000000001</v>
      </c>
      <c r="Y83" s="74">
        <v>2.5213999999999999</v>
      </c>
      <c r="Z83" s="74">
        <v>2.5343999999999998</v>
      </c>
      <c r="AA83" s="74">
        <v>2.5473999999999997</v>
      </c>
      <c r="AB83" s="74">
        <v>2.5593999999999997</v>
      </c>
      <c r="AC83" s="74">
        <v>2.5713999999999997</v>
      </c>
      <c r="AD83" s="75">
        <v>2.5823999999999998</v>
      </c>
      <c r="AE83" s="76"/>
      <c r="AF83" s="76"/>
      <c r="AG83" s="76"/>
      <c r="AH83" s="76"/>
      <c r="AI83" s="76"/>
      <c r="AJ83" s="76"/>
      <c r="AK83" s="76"/>
      <c r="AL83" s="76"/>
      <c r="AM83" s="76"/>
      <c r="AN83" s="76"/>
      <c r="AO83" s="76"/>
      <c r="AP83" s="76"/>
      <c r="AQ83" s="76"/>
      <c r="AR83" s="76"/>
      <c r="AS83" s="76"/>
      <c r="BZ83" s="63" t="str">
        <f t="shared" si="40"/>
        <v>481</v>
      </c>
      <c r="CA83" s="63" t="str">
        <f t="shared" si="39"/>
        <v>581</v>
      </c>
      <c r="CB83" s="63" t="str">
        <f t="shared" si="41"/>
        <v>681</v>
      </c>
      <c r="CC83" s="63" t="str">
        <f t="shared" si="42"/>
        <v>781</v>
      </c>
      <c r="CD83" s="63" t="str">
        <f t="shared" si="43"/>
        <v>881</v>
      </c>
      <c r="CE83" s="63" t="str">
        <f t="shared" si="44"/>
        <v>981</v>
      </c>
      <c r="CF83" s="63" t="str">
        <f t="shared" si="45"/>
        <v>1081</v>
      </c>
      <c r="CG83" s="63" t="str">
        <f t="shared" si="46"/>
        <v>1181</v>
      </c>
      <c r="CH83" s="63" t="str">
        <f t="shared" si="47"/>
        <v>1281</v>
      </c>
      <c r="CI83" s="63" t="str">
        <f t="shared" si="48"/>
        <v>1381</v>
      </c>
      <c r="CJ83" s="63" t="str">
        <f t="shared" si="49"/>
        <v>1481</v>
      </c>
      <c r="CK83" s="63" t="str">
        <f t="shared" si="50"/>
        <v>1581</v>
      </c>
      <c r="CL83" s="63" t="str">
        <f t="shared" si="51"/>
        <v>1681</v>
      </c>
      <c r="CM83" s="63" t="str">
        <f t="shared" si="52"/>
        <v>1781</v>
      </c>
      <c r="CN83" s="63" t="str">
        <f t="shared" si="53"/>
        <v>1881</v>
      </c>
      <c r="CO83" s="63" t="str">
        <f t="shared" si="54"/>
        <v>1981</v>
      </c>
      <c r="CP83" s="63" t="str">
        <f t="shared" si="55"/>
        <v>2081</v>
      </c>
      <c r="CQ83" s="63" t="str">
        <f t="shared" si="56"/>
        <v>2181</v>
      </c>
      <c r="CR83" s="63" t="str">
        <f t="shared" si="57"/>
        <v>2281</v>
      </c>
      <c r="CS83" s="63" t="str">
        <f t="shared" si="58"/>
        <v>2381</v>
      </c>
      <c r="CT83" s="63" t="str">
        <f t="shared" si="59"/>
        <v>2481</v>
      </c>
      <c r="CU83" s="63" t="str">
        <f t="shared" si="60"/>
        <v>2581</v>
      </c>
      <c r="CV83" s="63" t="str">
        <f t="shared" si="61"/>
        <v>2681</v>
      </c>
      <c r="CW83" s="63" t="str">
        <f t="shared" si="62"/>
        <v>2781</v>
      </c>
      <c r="CX83" s="63" t="str">
        <f t="shared" si="63"/>
        <v>2881</v>
      </c>
      <c r="CY83" s="63" t="str">
        <f t="shared" si="64"/>
        <v>2981</v>
      </c>
      <c r="CZ83" s="63" t="str">
        <f t="shared" si="65"/>
        <v>3081</v>
      </c>
      <c r="DA83" s="63" t="str">
        <f t="shared" si="66"/>
        <v>3181</v>
      </c>
      <c r="DB83" s="63" t="str">
        <f t="shared" si="67"/>
        <v>3281</v>
      </c>
      <c r="DD83" s="72" t="s">
        <v>211</v>
      </c>
      <c r="DE83" s="77">
        <f t="shared" ref="DE83:DS99" si="71">ROUND(B83,3)</f>
        <v>2.1179999999999999</v>
      </c>
      <c r="DF83" s="77">
        <f t="shared" si="71"/>
        <v>2.1389999999999998</v>
      </c>
      <c r="DG83" s="77">
        <f t="shared" si="71"/>
        <v>2.16</v>
      </c>
      <c r="DH83" s="77">
        <f t="shared" si="71"/>
        <v>2.1819999999999999</v>
      </c>
      <c r="DI83" s="77">
        <f t="shared" si="71"/>
        <v>2.202</v>
      </c>
      <c r="DJ83" s="77">
        <f t="shared" si="71"/>
        <v>2.222</v>
      </c>
      <c r="DK83" s="77">
        <f t="shared" si="71"/>
        <v>2.23</v>
      </c>
      <c r="DL83" s="77">
        <f t="shared" si="71"/>
        <v>2.258</v>
      </c>
      <c r="DM83" s="77">
        <f t="shared" si="71"/>
        <v>2.2749999999999999</v>
      </c>
      <c r="DN83" s="77">
        <f t="shared" si="71"/>
        <v>2.2919999999999998</v>
      </c>
      <c r="DO83" s="77">
        <f t="shared" si="71"/>
        <v>2.3069999999999999</v>
      </c>
      <c r="DP83" s="77">
        <f t="shared" si="71"/>
        <v>2.323</v>
      </c>
      <c r="DQ83" s="77">
        <f t="shared" si="71"/>
        <v>2.339</v>
      </c>
      <c r="DR83" s="77">
        <f t="shared" si="71"/>
        <v>2.3580000000000001</v>
      </c>
      <c r="DS83" s="77">
        <f t="shared" si="71"/>
        <v>2.375</v>
      </c>
      <c r="DT83" s="77">
        <f t="shared" si="70"/>
        <v>2.3940000000000001</v>
      </c>
      <c r="DU83" s="77">
        <f t="shared" si="69"/>
        <v>2.411</v>
      </c>
      <c r="DV83" s="77">
        <f t="shared" si="69"/>
        <v>2.4289999999999998</v>
      </c>
      <c r="DW83" s="77">
        <f t="shared" si="69"/>
        <v>2.4449999999999998</v>
      </c>
      <c r="DX83" s="77">
        <f t="shared" si="68"/>
        <v>2.4620000000000002</v>
      </c>
      <c r="DY83" s="77">
        <f t="shared" si="68"/>
        <v>2.4769999999999999</v>
      </c>
      <c r="DZ83" s="77">
        <f t="shared" si="68"/>
        <v>2.492</v>
      </c>
      <c r="EA83" s="77">
        <f t="shared" si="68"/>
        <v>2.5070000000000001</v>
      </c>
      <c r="EB83" s="77">
        <f t="shared" si="37"/>
        <v>2.5209999999999999</v>
      </c>
      <c r="EC83" s="77">
        <f t="shared" si="37"/>
        <v>2.5339999999999998</v>
      </c>
      <c r="ED83" s="77">
        <f t="shared" si="37"/>
        <v>2.5470000000000002</v>
      </c>
      <c r="EE83" s="77">
        <f t="shared" si="37"/>
        <v>2.5590000000000002</v>
      </c>
      <c r="EF83" s="77">
        <f t="shared" si="37"/>
        <v>2.5710000000000002</v>
      </c>
      <c r="EG83" s="77">
        <f t="shared" si="37"/>
        <v>2.5819999999999999</v>
      </c>
    </row>
    <row r="84" spans="1:137" ht="12.6" customHeight="1">
      <c r="A84" s="73">
        <v>82</v>
      </c>
      <c r="B84" s="74">
        <v>2.1273999999999997</v>
      </c>
      <c r="C84" s="74">
        <v>2.1494</v>
      </c>
      <c r="D84" s="74">
        <v>2.1703999999999999</v>
      </c>
      <c r="E84" s="74">
        <v>2.1923999999999997</v>
      </c>
      <c r="F84" s="74">
        <v>2.2133999999999996</v>
      </c>
      <c r="G84" s="74">
        <v>2.2323999999999997</v>
      </c>
      <c r="H84" s="74">
        <v>2.2403999999999997</v>
      </c>
      <c r="I84" s="74">
        <v>2.2683999999999997</v>
      </c>
      <c r="J84" s="74">
        <v>2.2853999999999997</v>
      </c>
      <c r="K84" s="74">
        <v>2.3013999999999997</v>
      </c>
      <c r="L84" s="74">
        <v>2.3173999999999997</v>
      </c>
      <c r="M84" s="74">
        <v>2.3323999999999998</v>
      </c>
      <c r="N84" s="74">
        <v>2.3493999999999997</v>
      </c>
      <c r="O84" s="74">
        <v>2.3663999999999996</v>
      </c>
      <c r="P84" s="74">
        <v>2.3853999999999997</v>
      </c>
      <c r="Q84" s="74">
        <v>2.4034</v>
      </c>
      <c r="R84" s="74">
        <v>2.4203999999999999</v>
      </c>
      <c r="S84" s="74">
        <v>2.4383999999999997</v>
      </c>
      <c r="T84" s="74">
        <v>2.4543999999999997</v>
      </c>
      <c r="U84" s="74">
        <v>2.4703999999999997</v>
      </c>
      <c r="V84" s="74">
        <v>2.4863999999999997</v>
      </c>
      <c r="W84" s="74">
        <v>2.5013999999999998</v>
      </c>
      <c r="X84" s="74">
        <v>2.5153999999999996</v>
      </c>
      <c r="Y84" s="74">
        <v>2.5293999999999999</v>
      </c>
      <c r="Z84" s="74">
        <v>2.5423999999999998</v>
      </c>
      <c r="AA84" s="74">
        <v>2.5553999999999997</v>
      </c>
      <c r="AB84" s="74">
        <v>2.5673999999999997</v>
      </c>
      <c r="AC84" s="74">
        <v>2.5783999999999998</v>
      </c>
      <c r="AD84" s="75">
        <v>2.5903999999999998</v>
      </c>
      <c r="AE84" s="76"/>
      <c r="AF84" s="76"/>
      <c r="AG84" s="76"/>
      <c r="AH84" s="76"/>
      <c r="AI84" s="76"/>
      <c r="AJ84" s="76"/>
      <c r="AK84" s="76"/>
      <c r="AL84" s="76"/>
      <c r="AM84" s="76"/>
      <c r="AN84" s="76"/>
      <c r="AO84" s="76"/>
      <c r="AP84" s="76"/>
      <c r="AQ84" s="76"/>
      <c r="AR84" s="76"/>
      <c r="AS84" s="76"/>
      <c r="BZ84" s="63" t="str">
        <f t="shared" si="40"/>
        <v>482</v>
      </c>
      <c r="CA84" s="63" t="str">
        <f t="shared" si="39"/>
        <v>582</v>
      </c>
      <c r="CB84" s="63" t="str">
        <f t="shared" si="41"/>
        <v>682</v>
      </c>
      <c r="CC84" s="63" t="str">
        <f t="shared" si="42"/>
        <v>782</v>
      </c>
      <c r="CD84" s="63" t="str">
        <f t="shared" si="43"/>
        <v>882</v>
      </c>
      <c r="CE84" s="63" t="str">
        <f t="shared" si="44"/>
        <v>982</v>
      </c>
      <c r="CF84" s="63" t="str">
        <f t="shared" si="45"/>
        <v>1082</v>
      </c>
      <c r="CG84" s="63" t="str">
        <f t="shared" si="46"/>
        <v>1182</v>
      </c>
      <c r="CH84" s="63" t="str">
        <f t="shared" si="47"/>
        <v>1282</v>
      </c>
      <c r="CI84" s="63" t="str">
        <f t="shared" si="48"/>
        <v>1382</v>
      </c>
      <c r="CJ84" s="63" t="str">
        <f t="shared" si="49"/>
        <v>1482</v>
      </c>
      <c r="CK84" s="63" t="str">
        <f t="shared" si="50"/>
        <v>1582</v>
      </c>
      <c r="CL84" s="63" t="str">
        <f t="shared" si="51"/>
        <v>1682</v>
      </c>
      <c r="CM84" s="63" t="str">
        <f t="shared" si="52"/>
        <v>1782</v>
      </c>
      <c r="CN84" s="63" t="str">
        <f t="shared" si="53"/>
        <v>1882</v>
      </c>
      <c r="CO84" s="63" t="str">
        <f t="shared" si="54"/>
        <v>1982</v>
      </c>
      <c r="CP84" s="63" t="str">
        <f t="shared" si="55"/>
        <v>2082</v>
      </c>
      <c r="CQ84" s="63" t="str">
        <f t="shared" si="56"/>
        <v>2182</v>
      </c>
      <c r="CR84" s="63" t="str">
        <f t="shared" si="57"/>
        <v>2282</v>
      </c>
      <c r="CS84" s="63" t="str">
        <f t="shared" si="58"/>
        <v>2382</v>
      </c>
      <c r="CT84" s="63" t="str">
        <f t="shared" si="59"/>
        <v>2482</v>
      </c>
      <c r="CU84" s="63" t="str">
        <f t="shared" si="60"/>
        <v>2582</v>
      </c>
      <c r="CV84" s="63" t="str">
        <f t="shared" si="61"/>
        <v>2682</v>
      </c>
      <c r="CW84" s="63" t="str">
        <f t="shared" si="62"/>
        <v>2782</v>
      </c>
      <c r="CX84" s="63" t="str">
        <f t="shared" si="63"/>
        <v>2882</v>
      </c>
      <c r="CY84" s="63" t="str">
        <f t="shared" si="64"/>
        <v>2982</v>
      </c>
      <c r="CZ84" s="63" t="str">
        <f t="shared" si="65"/>
        <v>3082</v>
      </c>
      <c r="DA84" s="63" t="str">
        <f t="shared" si="66"/>
        <v>3182</v>
      </c>
      <c r="DB84" s="63" t="str">
        <f t="shared" si="67"/>
        <v>3282</v>
      </c>
      <c r="DD84" s="72" t="s">
        <v>212</v>
      </c>
      <c r="DE84" s="77">
        <f t="shared" si="71"/>
        <v>2.1269999999999998</v>
      </c>
      <c r="DF84" s="77">
        <f t="shared" si="71"/>
        <v>2.149</v>
      </c>
      <c r="DG84" s="77">
        <f t="shared" si="71"/>
        <v>2.17</v>
      </c>
      <c r="DH84" s="77">
        <f t="shared" si="71"/>
        <v>2.1920000000000002</v>
      </c>
      <c r="DI84" s="77">
        <f t="shared" si="71"/>
        <v>2.2130000000000001</v>
      </c>
      <c r="DJ84" s="77">
        <f t="shared" si="71"/>
        <v>2.2320000000000002</v>
      </c>
      <c r="DK84" s="77">
        <f t="shared" si="71"/>
        <v>2.2400000000000002</v>
      </c>
      <c r="DL84" s="77">
        <f t="shared" si="71"/>
        <v>2.2679999999999998</v>
      </c>
      <c r="DM84" s="77">
        <f t="shared" si="71"/>
        <v>2.2850000000000001</v>
      </c>
      <c r="DN84" s="77">
        <f t="shared" si="71"/>
        <v>2.3010000000000002</v>
      </c>
      <c r="DO84" s="77">
        <f t="shared" si="71"/>
        <v>2.3170000000000002</v>
      </c>
      <c r="DP84" s="77">
        <f t="shared" si="71"/>
        <v>2.3319999999999999</v>
      </c>
      <c r="DQ84" s="77">
        <f t="shared" si="71"/>
        <v>2.3490000000000002</v>
      </c>
      <c r="DR84" s="77">
        <f t="shared" si="71"/>
        <v>2.3660000000000001</v>
      </c>
      <c r="DS84" s="77">
        <f t="shared" si="71"/>
        <v>2.3849999999999998</v>
      </c>
      <c r="DT84" s="77">
        <f t="shared" si="70"/>
        <v>2.403</v>
      </c>
      <c r="DU84" s="77">
        <f t="shared" si="69"/>
        <v>2.42</v>
      </c>
      <c r="DV84" s="77">
        <f t="shared" si="69"/>
        <v>2.4380000000000002</v>
      </c>
      <c r="DW84" s="77">
        <f t="shared" si="69"/>
        <v>2.4540000000000002</v>
      </c>
      <c r="DX84" s="77">
        <f t="shared" si="68"/>
        <v>2.4700000000000002</v>
      </c>
      <c r="DY84" s="77">
        <f t="shared" si="68"/>
        <v>2.4860000000000002</v>
      </c>
      <c r="DZ84" s="77">
        <f t="shared" si="68"/>
        <v>2.5009999999999999</v>
      </c>
      <c r="EA84" s="77">
        <f t="shared" si="68"/>
        <v>2.5150000000000001</v>
      </c>
      <c r="EB84" s="77">
        <f t="shared" si="37"/>
        <v>2.5289999999999999</v>
      </c>
      <c r="EC84" s="77">
        <f t="shared" si="37"/>
        <v>2.5419999999999998</v>
      </c>
      <c r="ED84" s="77">
        <f t="shared" si="37"/>
        <v>2.5550000000000002</v>
      </c>
      <c r="EE84" s="77">
        <f t="shared" si="37"/>
        <v>2.5670000000000002</v>
      </c>
      <c r="EF84" s="77">
        <f t="shared" si="37"/>
        <v>2.5779999999999998</v>
      </c>
      <c r="EG84" s="77">
        <f t="shared" si="37"/>
        <v>2.59</v>
      </c>
    </row>
    <row r="85" spans="1:137" ht="12.6" customHeight="1">
      <c r="A85" s="73">
        <v>83</v>
      </c>
      <c r="B85" s="74">
        <v>2.1393999999999997</v>
      </c>
      <c r="C85" s="74">
        <v>2.1603999999999997</v>
      </c>
      <c r="D85" s="74">
        <v>2.1814</v>
      </c>
      <c r="E85" s="74">
        <v>2.2023999999999999</v>
      </c>
      <c r="F85" s="74">
        <v>2.2233999999999998</v>
      </c>
      <c r="G85" s="74">
        <v>2.2423999999999999</v>
      </c>
      <c r="H85" s="74">
        <v>2.2504</v>
      </c>
      <c r="I85" s="74">
        <v>2.2784</v>
      </c>
      <c r="J85" s="74">
        <v>2.2953999999999999</v>
      </c>
      <c r="K85" s="74">
        <v>2.3113999999999999</v>
      </c>
      <c r="L85" s="74">
        <v>2.3273999999999999</v>
      </c>
      <c r="M85" s="74">
        <v>2.3423999999999996</v>
      </c>
      <c r="N85" s="74">
        <v>2.3583999999999996</v>
      </c>
      <c r="O85" s="74">
        <v>2.3763999999999998</v>
      </c>
      <c r="P85" s="74">
        <v>2.3943999999999996</v>
      </c>
      <c r="Q85" s="74">
        <v>2.4123999999999999</v>
      </c>
      <c r="R85" s="74">
        <v>2.4293999999999998</v>
      </c>
      <c r="S85" s="74">
        <v>2.4463999999999997</v>
      </c>
      <c r="T85" s="74">
        <v>2.4633999999999996</v>
      </c>
      <c r="U85" s="74">
        <v>2.4793999999999996</v>
      </c>
      <c r="V85" s="74">
        <v>2.4943999999999997</v>
      </c>
      <c r="W85" s="74">
        <v>2.5093999999999999</v>
      </c>
      <c r="X85" s="74">
        <v>2.5233999999999996</v>
      </c>
      <c r="Y85" s="74">
        <v>2.5373999999999999</v>
      </c>
      <c r="Z85" s="74">
        <v>2.5503999999999998</v>
      </c>
      <c r="AA85" s="74">
        <v>2.5633999999999997</v>
      </c>
      <c r="AB85" s="74">
        <v>2.5753999999999997</v>
      </c>
      <c r="AC85" s="74">
        <v>2.5863999999999998</v>
      </c>
      <c r="AD85" s="75">
        <v>2.5973999999999999</v>
      </c>
      <c r="AE85" s="76"/>
      <c r="AF85" s="76"/>
      <c r="AG85" s="76"/>
      <c r="AH85" s="76"/>
      <c r="AI85" s="76"/>
      <c r="AJ85" s="76"/>
      <c r="AK85" s="76"/>
      <c r="AL85" s="76"/>
      <c r="AM85" s="76"/>
      <c r="AN85" s="76"/>
      <c r="AO85" s="76"/>
      <c r="AP85" s="76"/>
      <c r="AQ85" s="76"/>
      <c r="AR85" s="76"/>
      <c r="AS85" s="76"/>
      <c r="BZ85" s="63" t="str">
        <f t="shared" si="40"/>
        <v>483</v>
      </c>
      <c r="CA85" s="63" t="str">
        <f t="shared" si="39"/>
        <v>583</v>
      </c>
      <c r="CB85" s="63" t="str">
        <f t="shared" si="41"/>
        <v>683</v>
      </c>
      <c r="CC85" s="63" t="str">
        <f t="shared" si="42"/>
        <v>783</v>
      </c>
      <c r="CD85" s="63" t="str">
        <f t="shared" si="43"/>
        <v>883</v>
      </c>
      <c r="CE85" s="63" t="str">
        <f t="shared" si="44"/>
        <v>983</v>
      </c>
      <c r="CF85" s="63" t="str">
        <f t="shared" si="45"/>
        <v>1083</v>
      </c>
      <c r="CG85" s="63" t="str">
        <f t="shared" si="46"/>
        <v>1183</v>
      </c>
      <c r="CH85" s="63" t="str">
        <f t="shared" si="47"/>
        <v>1283</v>
      </c>
      <c r="CI85" s="63" t="str">
        <f t="shared" si="48"/>
        <v>1383</v>
      </c>
      <c r="CJ85" s="63" t="str">
        <f t="shared" si="49"/>
        <v>1483</v>
      </c>
      <c r="CK85" s="63" t="str">
        <f t="shared" si="50"/>
        <v>1583</v>
      </c>
      <c r="CL85" s="63" t="str">
        <f t="shared" si="51"/>
        <v>1683</v>
      </c>
      <c r="CM85" s="63" t="str">
        <f t="shared" si="52"/>
        <v>1783</v>
      </c>
      <c r="CN85" s="63" t="str">
        <f t="shared" si="53"/>
        <v>1883</v>
      </c>
      <c r="CO85" s="63" t="str">
        <f t="shared" si="54"/>
        <v>1983</v>
      </c>
      <c r="CP85" s="63" t="str">
        <f t="shared" si="55"/>
        <v>2083</v>
      </c>
      <c r="CQ85" s="63" t="str">
        <f t="shared" si="56"/>
        <v>2183</v>
      </c>
      <c r="CR85" s="63" t="str">
        <f t="shared" si="57"/>
        <v>2283</v>
      </c>
      <c r="CS85" s="63" t="str">
        <f t="shared" si="58"/>
        <v>2383</v>
      </c>
      <c r="CT85" s="63" t="str">
        <f t="shared" si="59"/>
        <v>2483</v>
      </c>
      <c r="CU85" s="63" t="str">
        <f t="shared" si="60"/>
        <v>2583</v>
      </c>
      <c r="CV85" s="63" t="str">
        <f t="shared" si="61"/>
        <v>2683</v>
      </c>
      <c r="CW85" s="63" t="str">
        <f t="shared" si="62"/>
        <v>2783</v>
      </c>
      <c r="CX85" s="63" t="str">
        <f t="shared" si="63"/>
        <v>2883</v>
      </c>
      <c r="CY85" s="63" t="str">
        <f t="shared" si="64"/>
        <v>2983</v>
      </c>
      <c r="CZ85" s="63" t="str">
        <f t="shared" si="65"/>
        <v>3083</v>
      </c>
      <c r="DA85" s="63" t="str">
        <f t="shared" si="66"/>
        <v>3183</v>
      </c>
      <c r="DB85" s="63" t="str">
        <f t="shared" si="67"/>
        <v>3283</v>
      </c>
      <c r="DD85" s="72" t="s">
        <v>213</v>
      </c>
      <c r="DE85" s="77">
        <f t="shared" si="71"/>
        <v>2.1389999999999998</v>
      </c>
      <c r="DF85" s="77">
        <f t="shared" si="71"/>
        <v>2.16</v>
      </c>
      <c r="DG85" s="77">
        <f t="shared" si="71"/>
        <v>2.181</v>
      </c>
      <c r="DH85" s="77">
        <f t="shared" si="71"/>
        <v>2.202</v>
      </c>
      <c r="DI85" s="77">
        <f t="shared" si="71"/>
        <v>2.2229999999999999</v>
      </c>
      <c r="DJ85" s="77">
        <f t="shared" si="71"/>
        <v>2.242</v>
      </c>
      <c r="DK85" s="77">
        <f t="shared" si="71"/>
        <v>2.25</v>
      </c>
      <c r="DL85" s="77">
        <f t="shared" si="71"/>
        <v>2.278</v>
      </c>
      <c r="DM85" s="77">
        <f t="shared" si="71"/>
        <v>2.2949999999999999</v>
      </c>
      <c r="DN85" s="77">
        <f t="shared" si="71"/>
        <v>2.3109999999999999</v>
      </c>
      <c r="DO85" s="77">
        <f t="shared" si="71"/>
        <v>2.327</v>
      </c>
      <c r="DP85" s="77">
        <f t="shared" si="71"/>
        <v>2.3420000000000001</v>
      </c>
      <c r="DQ85" s="77">
        <f t="shared" si="71"/>
        <v>2.3580000000000001</v>
      </c>
      <c r="DR85" s="77">
        <f t="shared" si="71"/>
        <v>2.3759999999999999</v>
      </c>
      <c r="DS85" s="77">
        <f t="shared" si="71"/>
        <v>2.3940000000000001</v>
      </c>
      <c r="DT85" s="77">
        <f t="shared" si="70"/>
        <v>2.4119999999999999</v>
      </c>
      <c r="DU85" s="77">
        <f t="shared" si="69"/>
        <v>2.4289999999999998</v>
      </c>
      <c r="DV85" s="77">
        <f t="shared" si="69"/>
        <v>2.4460000000000002</v>
      </c>
      <c r="DW85" s="77">
        <f t="shared" si="69"/>
        <v>2.4630000000000001</v>
      </c>
      <c r="DX85" s="77">
        <f t="shared" si="68"/>
        <v>2.4790000000000001</v>
      </c>
      <c r="DY85" s="77">
        <f t="shared" si="68"/>
        <v>2.4940000000000002</v>
      </c>
      <c r="DZ85" s="77">
        <f t="shared" si="68"/>
        <v>2.5089999999999999</v>
      </c>
      <c r="EA85" s="77">
        <f t="shared" si="68"/>
        <v>2.5230000000000001</v>
      </c>
      <c r="EB85" s="77">
        <f t="shared" si="37"/>
        <v>2.5369999999999999</v>
      </c>
      <c r="EC85" s="77">
        <f t="shared" si="37"/>
        <v>2.5499999999999998</v>
      </c>
      <c r="ED85" s="77">
        <f t="shared" si="37"/>
        <v>2.5630000000000002</v>
      </c>
      <c r="EE85" s="77">
        <f t="shared" si="37"/>
        <v>2.5750000000000002</v>
      </c>
      <c r="EF85" s="77">
        <f t="shared" si="37"/>
        <v>2.5859999999999999</v>
      </c>
      <c r="EG85" s="77">
        <f t="shared" si="37"/>
        <v>2.597</v>
      </c>
    </row>
    <row r="86" spans="1:137" ht="12.6" customHeight="1">
      <c r="A86" s="73">
        <v>84</v>
      </c>
      <c r="B86" s="74">
        <v>2.1494</v>
      </c>
      <c r="C86" s="74">
        <v>2.1703999999999999</v>
      </c>
      <c r="D86" s="74">
        <v>2.1913999999999998</v>
      </c>
      <c r="E86" s="74">
        <v>2.2133999999999996</v>
      </c>
      <c r="F86" s="74">
        <v>2.2333999999999996</v>
      </c>
      <c r="G86" s="74">
        <v>2.2523999999999997</v>
      </c>
      <c r="H86" s="74">
        <v>2.2603999999999997</v>
      </c>
      <c r="I86" s="74">
        <v>2.2883999999999998</v>
      </c>
      <c r="J86" s="74">
        <v>2.3053999999999997</v>
      </c>
      <c r="K86" s="74">
        <v>2.3213999999999997</v>
      </c>
      <c r="L86" s="74">
        <v>2.3363999999999998</v>
      </c>
      <c r="M86" s="74">
        <v>2.3523999999999998</v>
      </c>
      <c r="N86" s="74">
        <v>2.3683999999999998</v>
      </c>
      <c r="O86" s="74">
        <v>2.3853999999999997</v>
      </c>
      <c r="P86" s="74">
        <v>2.4034</v>
      </c>
      <c r="Q86" s="74">
        <v>2.4213999999999998</v>
      </c>
      <c r="R86" s="74">
        <v>2.4383999999999997</v>
      </c>
      <c r="S86" s="74">
        <v>2.4553999999999996</v>
      </c>
      <c r="T86" s="74">
        <v>2.4723999999999999</v>
      </c>
      <c r="U86" s="74">
        <v>2.4873999999999996</v>
      </c>
      <c r="V86" s="74">
        <v>2.5023999999999997</v>
      </c>
      <c r="W86" s="74">
        <v>2.5173999999999999</v>
      </c>
      <c r="X86" s="74">
        <v>2.5313999999999997</v>
      </c>
      <c r="Y86" s="74">
        <v>2.5453999999999999</v>
      </c>
      <c r="Z86" s="74">
        <v>2.5583999999999998</v>
      </c>
      <c r="AA86" s="74">
        <v>2.5713999999999997</v>
      </c>
      <c r="AB86" s="74">
        <v>2.5833999999999997</v>
      </c>
      <c r="AC86" s="74">
        <v>2.5943999999999998</v>
      </c>
      <c r="AD86" s="75">
        <v>2.6053999999999999</v>
      </c>
      <c r="AE86" s="76"/>
      <c r="AF86" s="76"/>
      <c r="AG86" s="76"/>
      <c r="AH86" s="76"/>
      <c r="AI86" s="76"/>
      <c r="AJ86" s="76"/>
      <c r="AK86" s="76"/>
      <c r="AL86" s="76"/>
      <c r="AM86" s="76"/>
      <c r="AN86" s="76"/>
      <c r="AO86" s="76"/>
      <c r="AP86" s="76"/>
      <c r="AQ86" s="76"/>
      <c r="AR86" s="76"/>
      <c r="AS86" s="76"/>
      <c r="BZ86" s="63" t="str">
        <f t="shared" si="40"/>
        <v>484</v>
      </c>
      <c r="CA86" s="63" t="str">
        <f t="shared" si="39"/>
        <v>584</v>
      </c>
      <c r="CB86" s="63" t="str">
        <f t="shared" si="41"/>
        <v>684</v>
      </c>
      <c r="CC86" s="63" t="str">
        <f t="shared" si="42"/>
        <v>784</v>
      </c>
      <c r="CD86" s="63" t="str">
        <f t="shared" si="43"/>
        <v>884</v>
      </c>
      <c r="CE86" s="63" t="str">
        <f t="shared" si="44"/>
        <v>984</v>
      </c>
      <c r="CF86" s="63" t="str">
        <f t="shared" si="45"/>
        <v>1084</v>
      </c>
      <c r="CG86" s="63" t="str">
        <f t="shared" si="46"/>
        <v>1184</v>
      </c>
      <c r="CH86" s="63" t="str">
        <f t="shared" si="47"/>
        <v>1284</v>
      </c>
      <c r="CI86" s="63" t="str">
        <f t="shared" si="48"/>
        <v>1384</v>
      </c>
      <c r="CJ86" s="63" t="str">
        <f t="shared" si="49"/>
        <v>1484</v>
      </c>
      <c r="CK86" s="63" t="str">
        <f t="shared" si="50"/>
        <v>1584</v>
      </c>
      <c r="CL86" s="63" t="str">
        <f t="shared" si="51"/>
        <v>1684</v>
      </c>
      <c r="CM86" s="63" t="str">
        <f t="shared" si="52"/>
        <v>1784</v>
      </c>
      <c r="CN86" s="63" t="str">
        <f t="shared" si="53"/>
        <v>1884</v>
      </c>
      <c r="CO86" s="63" t="str">
        <f t="shared" si="54"/>
        <v>1984</v>
      </c>
      <c r="CP86" s="63" t="str">
        <f t="shared" si="55"/>
        <v>2084</v>
      </c>
      <c r="CQ86" s="63" t="str">
        <f t="shared" si="56"/>
        <v>2184</v>
      </c>
      <c r="CR86" s="63" t="str">
        <f t="shared" si="57"/>
        <v>2284</v>
      </c>
      <c r="CS86" s="63" t="str">
        <f t="shared" si="58"/>
        <v>2384</v>
      </c>
      <c r="CT86" s="63" t="str">
        <f t="shared" si="59"/>
        <v>2484</v>
      </c>
      <c r="CU86" s="63" t="str">
        <f t="shared" si="60"/>
        <v>2584</v>
      </c>
      <c r="CV86" s="63" t="str">
        <f t="shared" si="61"/>
        <v>2684</v>
      </c>
      <c r="CW86" s="63" t="str">
        <f t="shared" si="62"/>
        <v>2784</v>
      </c>
      <c r="CX86" s="63" t="str">
        <f t="shared" si="63"/>
        <v>2884</v>
      </c>
      <c r="CY86" s="63" t="str">
        <f t="shared" si="64"/>
        <v>2984</v>
      </c>
      <c r="CZ86" s="63" t="str">
        <f t="shared" si="65"/>
        <v>3084</v>
      </c>
      <c r="DA86" s="63" t="str">
        <f t="shared" si="66"/>
        <v>3184</v>
      </c>
      <c r="DB86" s="63" t="str">
        <f t="shared" si="67"/>
        <v>3284</v>
      </c>
      <c r="DD86" s="72" t="s">
        <v>214</v>
      </c>
      <c r="DE86" s="77">
        <f t="shared" si="71"/>
        <v>2.149</v>
      </c>
      <c r="DF86" s="77">
        <f t="shared" si="71"/>
        <v>2.17</v>
      </c>
      <c r="DG86" s="77">
        <f t="shared" si="71"/>
        <v>2.1909999999999998</v>
      </c>
      <c r="DH86" s="77">
        <f t="shared" si="71"/>
        <v>2.2130000000000001</v>
      </c>
      <c r="DI86" s="77">
        <f t="shared" si="71"/>
        <v>2.2330000000000001</v>
      </c>
      <c r="DJ86" s="77">
        <f t="shared" si="71"/>
        <v>2.2519999999999998</v>
      </c>
      <c r="DK86" s="77">
        <f t="shared" si="71"/>
        <v>2.2599999999999998</v>
      </c>
      <c r="DL86" s="77">
        <f t="shared" si="71"/>
        <v>2.2879999999999998</v>
      </c>
      <c r="DM86" s="77">
        <f t="shared" si="71"/>
        <v>2.3050000000000002</v>
      </c>
      <c r="DN86" s="77">
        <f t="shared" si="71"/>
        <v>2.3210000000000002</v>
      </c>
      <c r="DO86" s="77">
        <f t="shared" si="71"/>
        <v>2.3359999999999999</v>
      </c>
      <c r="DP86" s="77">
        <f t="shared" si="71"/>
        <v>2.3519999999999999</v>
      </c>
      <c r="DQ86" s="77">
        <f t="shared" si="71"/>
        <v>2.3679999999999999</v>
      </c>
      <c r="DR86" s="77">
        <f t="shared" si="71"/>
        <v>2.3849999999999998</v>
      </c>
      <c r="DS86" s="77">
        <f t="shared" si="71"/>
        <v>2.403</v>
      </c>
      <c r="DT86" s="77">
        <f t="shared" si="70"/>
        <v>2.4209999999999998</v>
      </c>
      <c r="DU86" s="77">
        <f t="shared" si="69"/>
        <v>2.4380000000000002</v>
      </c>
      <c r="DV86" s="77">
        <f t="shared" si="69"/>
        <v>2.4550000000000001</v>
      </c>
      <c r="DW86" s="77">
        <f t="shared" si="69"/>
        <v>2.472</v>
      </c>
      <c r="DX86" s="77">
        <f t="shared" si="68"/>
        <v>2.4870000000000001</v>
      </c>
      <c r="DY86" s="77">
        <f t="shared" si="68"/>
        <v>2.5019999999999998</v>
      </c>
      <c r="DZ86" s="77">
        <f t="shared" si="68"/>
        <v>2.5169999999999999</v>
      </c>
      <c r="EA86" s="77">
        <f t="shared" si="68"/>
        <v>2.5310000000000001</v>
      </c>
      <c r="EB86" s="77">
        <f t="shared" si="37"/>
        <v>2.5449999999999999</v>
      </c>
      <c r="EC86" s="77">
        <f t="shared" si="37"/>
        <v>2.5579999999999998</v>
      </c>
      <c r="ED86" s="77">
        <f t="shared" si="37"/>
        <v>2.5710000000000002</v>
      </c>
      <c r="EE86" s="77">
        <f t="shared" si="37"/>
        <v>2.5830000000000002</v>
      </c>
      <c r="EF86" s="77">
        <f t="shared" si="37"/>
        <v>2.5939999999999999</v>
      </c>
      <c r="EG86" s="77">
        <f t="shared" si="37"/>
        <v>2.605</v>
      </c>
    </row>
    <row r="87" spans="1:137" ht="12.6" customHeight="1">
      <c r="A87" s="73">
        <v>85</v>
      </c>
      <c r="B87" s="74">
        <v>2.1539999999999999</v>
      </c>
      <c r="C87" s="74">
        <v>2.1760000000000002</v>
      </c>
      <c r="D87" s="74">
        <v>2.1960000000000002</v>
      </c>
      <c r="E87" s="74">
        <v>2.2170000000000001</v>
      </c>
      <c r="F87" s="74">
        <v>2.2370000000000001</v>
      </c>
      <c r="G87" s="74">
        <v>2.2560000000000002</v>
      </c>
      <c r="H87" s="74">
        <v>2.2640000000000002</v>
      </c>
      <c r="I87" s="74">
        <v>2.2920000000000003</v>
      </c>
      <c r="J87" s="74">
        <v>2.3090000000000002</v>
      </c>
      <c r="K87" s="74">
        <v>2.3250000000000002</v>
      </c>
      <c r="L87" s="74">
        <v>2.34</v>
      </c>
      <c r="M87" s="74">
        <v>2.355</v>
      </c>
      <c r="N87" s="74">
        <v>2.371</v>
      </c>
      <c r="O87" s="74">
        <v>2.3879999999999999</v>
      </c>
      <c r="P87" s="74">
        <v>2.4060000000000001</v>
      </c>
      <c r="Q87" s="74">
        <v>2.4239999999999999</v>
      </c>
      <c r="R87" s="74">
        <v>2.4419999999999997</v>
      </c>
      <c r="S87" s="74">
        <v>2.4590000000000001</v>
      </c>
      <c r="T87" s="74">
        <v>2.4750000000000001</v>
      </c>
      <c r="U87" s="74">
        <v>2.4910000000000001</v>
      </c>
      <c r="V87" s="74">
        <v>2.5059999999999998</v>
      </c>
      <c r="W87" s="74">
        <v>2.5209999999999999</v>
      </c>
      <c r="X87" s="85">
        <v>2.5350000000000001</v>
      </c>
      <c r="Y87" s="74">
        <v>2.548</v>
      </c>
      <c r="Z87" s="74">
        <v>2.5609999999999999</v>
      </c>
      <c r="AA87" s="74">
        <v>2.5739999999999998</v>
      </c>
      <c r="AB87" s="74">
        <v>2.5859999999999999</v>
      </c>
      <c r="AC87" s="74">
        <v>2.597</v>
      </c>
      <c r="AD87" s="75">
        <v>2.6080000000000001</v>
      </c>
      <c r="AE87" s="76"/>
      <c r="AF87" s="76"/>
      <c r="AG87" s="76"/>
      <c r="AH87" s="76"/>
      <c r="AI87" s="76"/>
      <c r="AJ87" s="76"/>
      <c r="AK87" s="76"/>
      <c r="AL87" s="76"/>
      <c r="AM87" s="76"/>
      <c r="AN87" s="76"/>
      <c r="AO87" s="76"/>
      <c r="AP87" s="76"/>
      <c r="AQ87" s="76"/>
      <c r="AR87" s="76"/>
      <c r="AS87" s="76"/>
      <c r="BZ87" s="63" t="str">
        <f t="shared" si="40"/>
        <v>485</v>
      </c>
      <c r="CA87" s="63" t="str">
        <f t="shared" si="39"/>
        <v>585</v>
      </c>
      <c r="CB87" s="63" t="str">
        <f t="shared" si="41"/>
        <v>685</v>
      </c>
      <c r="CC87" s="63" t="str">
        <f t="shared" si="42"/>
        <v>785</v>
      </c>
      <c r="CD87" s="63" t="str">
        <f t="shared" si="43"/>
        <v>885</v>
      </c>
      <c r="CE87" s="63" t="str">
        <f t="shared" si="44"/>
        <v>985</v>
      </c>
      <c r="CF87" s="63" t="str">
        <f t="shared" si="45"/>
        <v>1085</v>
      </c>
      <c r="CG87" s="63" t="str">
        <f t="shared" si="46"/>
        <v>1185</v>
      </c>
      <c r="CH87" s="63" t="str">
        <f t="shared" si="47"/>
        <v>1285</v>
      </c>
      <c r="CI87" s="63" t="str">
        <f t="shared" si="48"/>
        <v>1385</v>
      </c>
      <c r="CJ87" s="63" t="str">
        <f t="shared" si="49"/>
        <v>1485</v>
      </c>
      <c r="CK87" s="63" t="str">
        <f t="shared" si="50"/>
        <v>1585</v>
      </c>
      <c r="CL87" s="63" t="str">
        <f t="shared" si="51"/>
        <v>1685</v>
      </c>
      <c r="CM87" s="63" t="str">
        <f t="shared" si="52"/>
        <v>1785</v>
      </c>
      <c r="CN87" s="63" t="str">
        <f t="shared" si="53"/>
        <v>1885</v>
      </c>
      <c r="CO87" s="63" t="str">
        <f t="shared" si="54"/>
        <v>1985</v>
      </c>
      <c r="CP87" s="63" t="str">
        <f t="shared" si="55"/>
        <v>2085</v>
      </c>
      <c r="CQ87" s="63" t="str">
        <f t="shared" si="56"/>
        <v>2185</v>
      </c>
      <c r="CR87" s="63" t="str">
        <f t="shared" si="57"/>
        <v>2285</v>
      </c>
      <c r="CS87" s="63" t="str">
        <f t="shared" si="58"/>
        <v>2385</v>
      </c>
      <c r="CT87" s="63" t="str">
        <f t="shared" si="59"/>
        <v>2485</v>
      </c>
      <c r="CU87" s="63" t="str">
        <f t="shared" si="60"/>
        <v>2585</v>
      </c>
      <c r="CV87" s="63" t="str">
        <f t="shared" si="61"/>
        <v>2685</v>
      </c>
      <c r="CW87" s="63" t="str">
        <f t="shared" si="62"/>
        <v>2785</v>
      </c>
      <c r="CX87" s="63" t="str">
        <f t="shared" si="63"/>
        <v>2885</v>
      </c>
      <c r="CY87" s="63" t="str">
        <f t="shared" si="64"/>
        <v>2985</v>
      </c>
      <c r="CZ87" s="63" t="str">
        <f t="shared" si="65"/>
        <v>3085</v>
      </c>
      <c r="DA87" s="63" t="str">
        <f t="shared" si="66"/>
        <v>3185</v>
      </c>
      <c r="DB87" s="63" t="str">
        <f t="shared" si="67"/>
        <v>3285</v>
      </c>
      <c r="DD87" s="72" t="s">
        <v>215</v>
      </c>
      <c r="DE87" s="77">
        <f t="shared" si="71"/>
        <v>2.1539999999999999</v>
      </c>
      <c r="DF87" s="77">
        <f t="shared" si="71"/>
        <v>2.1760000000000002</v>
      </c>
      <c r="DG87" s="77">
        <f t="shared" si="71"/>
        <v>2.1960000000000002</v>
      </c>
      <c r="DH87" s="77">
        <f t="shared" si="71"/>
        <v>2.2170000000000001</v>
      </c>
      <c r="DI87" s="77">
        <f t="shared" si="71"/>
        <v>2.2370000000000001</v>
      </c>
      <c r="DJ87" s="77">
        <f t="shared" si="71"/>
        <v>2.2559999999999998</v>
      </c>
      <c r="DK87" s="77">
        <f t="shared" si="71"/>
        <v>2.2639999999999998</v>
      </c>
      <c r="DL87" s="77">
        <f t="shared" si="71"/>
        <v>2.2919999999999998</v>
      </c>
      <c r="DM87" s="77">
        <f t="shared" si="71"/>
        <v>2.3090000000000002</v>
      </c>
      <c r="DN87" s="77">
        <f t="shared" si="71"/>
        <v>2.3250000000000002</v>
      </c>
      <c r="DO87" s="77">
        <f t="shared" si="71"/>
        <v>2.34</v>
      </c>
      <c r="DP87" s="77">
        <f t="shared" si="71"/>
        <v>2.355</v>
      </c>
      <c r="DQ87" s="77">
        <f t="shared" si="71"/>
        <v>2.371</v>
      </c>
      <c r="DR87" s="77">
        <f t="shared" si="71"/>
        <v>2.3879999999999999</v>
      </c>
      <c r="DS87" s="77">
        <f t="shared" si="71"/>
        <v>2.4060000000000001</v>
      </c>
      <c r="DT87" s="77">
        <f t="shared" si="70"/>
        <v>2.4239999999999999</v>
      </c>
      <c r="DU87" s="77">
        <f t="shared" si="69"/>
        <v>2.4420000000000002</v>
      </c>
      <c r="DV87" s="77">
        <f t="shared" si="69"/>
        <v>2.4590000000000001</v>
      </c>
      <c r="DW87" s="77">
        <f t="shared" si="69"/>
        <v>2.4750000000000001</v>
      </c>
      <c r="DX87" s="77">
        <f t="shared" si="68"/>
        <v>2.4910000000000001</v>
      </c>
      <c r="DY87" s="77">
        <f t="shared" si="68"/>
        <v>2.5059999999999998</v>
      </c>
      <c r="DZ87" s="77">
        <f t="shared" si="68"/>
        <v>2.5209999999999999</v>
      </c>
      <c r="EA87" s="77">
        <f t="shared" si="68"/>
        <v>2.5350000000000001</v>
      </c>
      <c r="EB87" s="77">
        <f t="shared" si="37"/>
        <v>2.548</v>
      </c>
      <c r="EC87" s="77">
        <f t="shared" si="37"/>
        <v>2.5609999999999999</v>
      </c>
      <c r="ED87" s="77">
        <f t="shared" si="37"/>
        <v>2.5739999999999998</v>
      </c>
      <c r="EE87" s="77">
        <f t="shared" si="37"/>
        <v>2.5859999999999999</v>
      </c>
      <c r="EF87" s="77">
        <f t="shared" si="37"/>
        <v>2.597</v>
      </c>
      <c r="EG87" s="77">
        <f t="shared" si="37"/>
        <v>2.6080000000000001</v>
      </c>
    </row>
    <row r="88" spans="1:137" ht="12.6" customHeight="1">
      <c r="A88" s="73">
        <v>86</v>
      </c>
      <c r="B88" s="74">
        <v>2.161</v>
      </c>
      <c r="C88" s="74">
        <v>2.1819999999999999</v>
      </c>
      <c r="D88" s="74">
        <v>2.202</v>
      </c>
      <c r="E88" s="74">
        <v>2.2229999999999999</v>
      </c>
      <c r="F88" s="74">
        <v>2.2429999999999999</v>
      </c>
      <c r="G88" s="74">
        <v>2.262</v>
      </c>
      <c r="H88" s="74">
        <v>2.27</v>
      </c>
      <c r="I88" s="74">
        <v>2.298</v>
      </c>
      <c r="J88" s="74">
        <v>2.3140000000000001</v>
      </c>
      <c r="K88" s="74">
        <v>2.33</v>
      </c>
      <c r="L88" s="74">
        <v>2.3460000000000001</v>
      </c>
      <c r="M88" s="74">
        <v>2.3610000000000002</v>
      </c>
      <c r="N88" s="74">
        <v>2.3770000000000002</v>
      </c>
      <c r="O88" s="74">
        <v>2.3940000000000001</v>
      </c>
      <c r="P88" s="74">
        <v>2.411</v>
      </c>
      <c r="Q88" s="74">
        <v>2.4290000000000003</v>
      </c>
      <c r="R88" s="74">
        <v>2.4460000000000002</v>
      </c>
      <c r="S88" s="74">
        <v>2.4630000000000001</v>
      </c>
      <c r="T88" s="74">
        <v>2.4790000000000001</v>
      </c>
      <c r="U88" s="74">
        <v>2.4940000000000002</v>
      </c>
      <c r="V88" s="74">
        <v>2.5089999999999999</v>
      </c>
      <c r="W88" s="74">
        <v>2.524</v>
      </c>
      <c r="X88" s="74">
        <v>2.5380000000000003</v>
      </c>
      <c r="Y88" s="74">
        <v>2.5510000000000002</v>
      </c>
      <c r="Z88" s="74">
        <v>2.5640000000000001</v>
      </c>
      <c r="AA88" s="74">
        <v>2.577</v>
      </c>
      <c r="AB88" s="74">
        <v>2.589</v>
      </c>
      <c r="AC88" s="74">
        <v>2.6</v>
      </c>
      <c r="AD88" s="75">
        <v>2.6110000000000002</v>
      </c>
      <c r="AE88" s="76"/>
      <c r="AF88" s="76"/>
      <c r="AG88" s="76"/>
      <c r="AH88" s="76"/>
      <c r="AI88" s="76"/>
      <c r="AJ88" s="76"/>
      <c r="AK88" s="76"/>
      <c r="AL88" s="76"/>
      <c r="AM88" s="76"/>
      <c r="AN88" s="76"/>
      <c r="AO88" s="76"/>
      <c r="AP88" s="76"/>
      <c r="AQ88" s="76"/>
      <c r="AR88" s="76"/>
      <c r="AS88" s="76"/>
      <c r="BZ88" s="63" t="str">
        <f t="shared" si="40"/>
        <v>486</v>
      </c>
      <c r="CA88" s="63" t="str">
        <f t="shared" si="39"/>
        <v>586</v>
      </c>
      <c r="CB88" s="63" t="str">
        <f t="shared" si="41"/>
        <v>686</v>
      </c>
      <c r="CC88" s="63" t="str">
        <f t="shared" si="42"/>
        <v>786</v>
      </c>
      <c r="CD88" s="63" t="str">
        <f t="shared" si="43"/>
        <v>886</v>
      </c>
      <c r="CE88" s="63" t="str">
        <f t="shared" si="44"/>
        <v>986</v>
      </c>
      <c r="CF88" s="63" t="str">
        <f t="shared" si="45"/>
        <v>1086</v>
      </c>
      <c r="CG88" s="63" t="str">
        <f t="shared" si="46"/>
        <v>1186</v>
      </c>
      <c r="CH88" s="63" t="str">
        <f t="shared" si="47"/>
        <v>1286</v>
      </c>
      <c r="CI88" s="63" t="str">
        <f t="shared" si="48"/>
        <v>1386</v>
      </c>
      <c r="CJ88" s="63" t="str">
        <f t="shared" si="49"/>
        <v>1486</v>
      </c>
      <c r="CK88" s="63" t="str">
        <f t="shared" si="50"/>
        <v>1586</v>
      </c>
      <c r="CL88" s="63" t="str">
        <f t="shared" si="51"/>
        <v>1686</v>
      </c>
      <c r="CM88" s="63" t="str">
        <f t="shared" si="52"/>
        <v>1786</v>
      </c>
      <c r="CN88" s="63" t="str">
        <f t="shared" si="53"/>
        <v>1886</v>
      </c>
      <c r="CO88" s="63" t="str">
        <f t="shared" si="54"/>
        <v>1986</v>
      </c>
      <c r="CP88" s="63" t="str">
        <f t="shared" si="55"/>
        <v>2086</v>
      </c>
      <c r="CQ88" s="63" t="str">
        <f t="shared" si="56"/>
        <v>2186</v>
      </c>
      <c r="CR88" s="63" t="str">
        <f t="shared" si="57"/>
        <v>2286</v>
      </c>
      <c r="CS88" s="63" t="str">
        <f t="shared" si="58"/>
        <v>2386</v>
      </c>
      <c r="CT88" s="63" t="str">
        <f t="shared" si="59"/>
        <v>2486</v>
      </c>
      <c r="CU88" s="63" t="str">
        <f t="shared" si="60"/>
        <v>2586</v>
      </c>
      <c r="CV88" s="63" t="str">
        <f t="shared" si="61"/>
        <v>2686</v>
      </c>
      <c r="CW88" s="63" t="str">
        <f t="shared" si="62"/>
        <v>2786</v>
      </c>
      <c r="CX88" s="63" t="str">
        <f t="shared" si="63"/>
        <v>2886</v>
      </c>
      <c r="CY88" s="63" t="str">
        <f t="shared" si="64"/>
        <v>2986</v>
      </c>
      <c r="CZ88" s="63" t="str">
        <f t="shared" si="65"/>
        <v>3086</v>
      </c>
      <c r="DA88" s="63" t="str">
        <f t="shared" si="66"/>
        <v>3186</v>
      </c>
      <c r="DB88" s="63" t="str">
        <f t="shared" si="67"/>
        <v>3286</v>
      </c>
      <c r="DD88" s="72" t="s">
        <v>216</v>
      </c>
      <c r="DE88" s="77">
        <f t="shared" si="71"/>
        <v>2.161</v>
      </c>
      <c r="DF88" s="77">
        <f t="shared" si="71"/>
        <v>2.1819999999999999</v>
      </c>
      <c r="DG88" s="77">
        <f t="shared" si="71"/>
        <v>2.202</v>
      </c>
      <c r="DH88" s="77">
        <f t="shared" si="71"/>
        <v>2.2229999999999999</v>
      </c>
      <c r="DI88" s="77">
        <f t="shared" si="71"/>
        <v>2.2429999999999999</v>
      </c>
      <c r="DJ88" s="77">
        <f t="shared" si="71"/>
        <v>2.262</v>
      </c>
      <c r="DK88" s="77">
        <f t="shared" si="71"/>
        <v>2.27</v>
      </c>
      <c r="DL88" s="77">
        <f t="shared" si="71"/>
        <v>2.298</v>
      </c>
      <c r="DM88" s="77">
        <f t="shared" si="71"/>
        <v>2.3140000000000001</v>
      </c>
      <c r="DN88" s="77">
        <f t="shared" si="71"/>
        <v>2.33</v>
      </c>
      <c r="DO88" s="77">
        <f t="shared" si="71"/>
        <v>2.3460000000000001</v>
      </c>
      <c r="DP88" s="77">
        <f t="shared" si="71"/>
        <v>2.3610000000000002</v>
      </c>
      <c r="DQ88" s="77">
        <f t="shared" si="71"/>
        <v>2.3769999999999998</v>
      </c>
      <c r="DR88" s="77">
        <f t="shared" si="71"/>
        <v>2.3940000000000001</v>
      </c>
      <c r="DS88" s="77">
        <f t="shared" si="71"/>
        <v>2.411</v>
      </c>
      <c r="DT88" s="77">
        <f t="shared" si="70"/>
        <v>2.4289999999999998</v>
      </c>
      <c r="DU88" s="77">
        <f t="shared" si="69"/>
        <v>2.4460000000000002</v>
      </c>
      <c r="DV88" s="77">
        <f t="shared" si="69"/>
        <v>2.4630000000000001</v>
      </c>
      <c r="DW88" s="77">
        <f t="shared" si="69"/>
        <v>2.4790000000000001</v>
      </c>
      <c r="DX88" s="77">
        <f t="shared" si="68"/>
        <v>2.4940000000000002</v>
      </c>
      <c r="DY88" s="77">
        <f t="shared" si="68"/>
        <v>2.5089999999999999</v>
      </c>
      <c r="DZ88" s="77">
        <f t="shared" si="68"/>
        <v>2.524</v>
      </c>
      <c r="EA88" s="77">
        <f t="shared" si="68"/>
        <v>2.5379999999999998</v>
      </c>
      <c r="EB88" s="77">
        <f t="shared" si="37"/>
        <v>2.5510000000000002</v>
      </c>
      <c r="EC88" s="77">
        <f t="shared" si="37"/>
        <v>2.5640000000000001</v>
      </c>
      <c r="ED88" s="77">
        <f t="shared" si="37"/>
        <v>2.577</v>
      </c>
      <c r="EE88" s="77">
        <f t="shared" si="37"/>
        <v>2.589</v>
      </c>
      <c r="EF88" s="77">
        <f t="shared" si="37"/>
        <v>2.6</v>
      </c>
      <c r="EG88" s="77">
        <f t="shared" si="37"/>
        <v>2.6110000000000002</v>
      </c>
    </row>
    <row r="89" spans="1:137" ht="12.6" customHeight="1">
      <c r="A89" s="73">
        <v>87</v>
      </c>
      <c r="B89" s="74">
        <v>2.1720000000000002</v>
      </c>
      <c r="C89" s="74">
        <v>2.1930000000000001</v>
      </c>
      <c r="D89" s="74">
        <v>2.2130000000000001</v>
      </c>
      <c r="E89" s="74">
        <v>2.234</v>
      </c>
      <c r="F89" s="74">
        <v>2.254</v>
      </c>
      <c r="G89" s="74">
        <v>2.2720000000000002</v>
      </c>
      <c r="H89" s="74">
        <v>2.2800000000000002</v>
      </c>
      <c r="I89" s="74">
        <v>2.3080000000000003</v>
      </c>
      <c r="J89" s="74">
        <v>2.3239999999999998</v>
      </c>
      <c r="K89" s="74">
        <v>2.34</v>
      </c>
      <c r="L89" s="74">
        <v>2.355</v>
      </c>
      <c r="M89" s="74">
        <v>2.37</v>
      </c>
      <c r="N89" s="74">
        <v>2.3860000000000001</v>
      </c>
      <c r="O89" s="74">
        <v>2.403</v>
      </c>
      <c r="P89" s="74">
        <v>2.4210000000000003</v>
      </c>
      <c r="Q89" s="74">
        <v>2.4380000000000002</v>
      </c>
      <c r="R89" s="74">
        <v>2.4550000000000001</v>
      </c>
      <c r="S89" s="74">
        <v>2.472</v>
      </c>
      <c r="T89" s="74">
        <v>2.488</v>
      </c>
      <c r="U89" s="74">
        <v>2.5009999999999999</v>
      </c>
      <c r="V89" s="74">
        <v>2.5180000000000002</v>
      </c>
      <c r="W89" s="74">
        <v>2.532</v>
      </c>
      <c r="X89" s="74">
        <v>2.5460000000000003</v>
      </c>
      <c r="Y89" s="74">
        <v>2.56</v>
      </c>
      <c r="Z89" s="74">
        <v>2.5720000000000001</v>
      </c>
      <c r="AA89" s="74">
        <v>2.585</v>
      </c>
      <c r="AB89" s="74">
        <v>2.597</v>
      </c>
      <c r="AC89" s="74">
        <v>2.6080000000000001</v>
      </c>
      <c r="AD89" s="75">
        <v>2.6190000000000002</v>
      </c>
      <c r="AE89" s="76"/>
      <c r="AF89" s="76"/>
      <c r="AG89" s="76"/>
      <c r="AH89" s="76"/>
      <c r="AI89" s="76"/>
      <c r="AJ89" s="76"/>
      <c r="AK89" s="76"/>
      <c r="AL89" s="76"/>
      <c r="AM89" s="76"/>
      <c r="AN89" s="76"/>
      <c r="AO89" s="76"/>
      <c r="AP89" s="76"/>
      <c r="AQ89" s="76"/>
      <c r="AR89" s="76"/>
      <c r="AS89" s="76"/>
      <c r="BZ89" s="63" t="str">
        <f t="shared" si="40"/>
        <v>487</v>
      </c>
      <c r="CA89" s="63" t="str">
        <f t="shared" si="39"/>
        <v>587</v>
      </c>
      <c r="CB89" s="63" t="str">
        <f t="shared" si="41"/>
        <v>687</v>
      </c>
      <c r="CC89" s="63" t="str">
        <f t="shared" si="42"/>
        <v>787</v>
      </c>
      <c r="CD89" s="63" t="str">
        <f t="shared" si="43"/>
        <v>887</v>
      </c>
      <c r="CE89" s="63" t="str">
        <f t="shared" si="44"/>
        <v>987</v>
      </c>
      <c r="CF89" s="63" t="str">
        <f t="shared" si="45"/>
        <v>1087</v>
      </c>
      <c r="CG89" s="63" t="str">
        <f t="shared" si="46"/>
        <v>1187</v>
      </c>
      <c r="CH89" s="63" t="str">
        <f t="shared" si="47"/>
        <v>1287</v>
      </c>
      <c r="CI89" s="63" t="str">
        <f t="shared" si="48"/>
        <v>1387</v>
      </c>
      <c r="CJ89" s="63" t="str">
        <f t="shared" si="49"/>
        <v>1487</v>
      </c>
      <c r="CK89" s="63" t="str">
        <f t="shared" si="50"/>
        <v>1587</v>
      </c>
      <c r="CL89" s="63" t="str">
        <f t="shared" si="51"/>
        <v>1687</v>
      </c>
      <c r="CM89" s="63" t="str">
        <f t="shared" si="52"/>
        <v>1787</v>
      </c>
      <c r="CN89" s="63" t="str">
        <f t="shared" si="53"/>
        <v>1887</v>
      </c>
      <c r="CO89" s="63" t="str">
        <f t="shared" si="54"/>
        <v>1987</v>
      </c>
      <c r="CP89" s="63" t="str">
        <f t="shared" si="55"/>
        <v>2087</v>
      </c>
      <c r="CQ89" s="63" t="str">
        <f t="shared" si="56"/>
        <v>2187</v>
      </c>
      <c r="CR89" s="63" t="str">
        <f t="shared" si="57"/>
        <v>2287</v>
      </c>
      <c r="CS89" s="63" t="str">
        <f t="shared" si="58"/>
        <v>2387</v>
      </c>
      <c r="CT89" s="63" t="str">
        <f t="shared" si="59"/>
        <v>2487</v>
      </c>
      <c r="CU89" s="63" t="str">
        <f t="shared" si="60"/>
        <v>2587</v>
      </c>
      <c r="CV89" s="63" t="str">
        <f t="shared" si="61"/>
        <v>2687</v>
      </c>
      <c r="CW89" s="63" t="str">
        <f t="shared" si="62"/>
        <v>2787</v>
      </c>
      <c r="CX89" s="63" t="str">
        <f t="shared" si="63"/>
        <v>2887</v>
      </c>
      <c r="CY89" s="63" t="str">
        <f t="shared" si="64"/>
        <v>2987</v>
      </c>
      <c r="CZ89" s="63" t="str">
        <f t="shared" si="65"/>
        <v>3087</v>
      </c>
      <c r="DA89" s="63" t="str">
        <f t="shared" si="66"/>
        <v>3187</v>
      </c>
      <c r="DB89" s="63" t="str">
        <f t="shared" si="67"/>
        <v>3287</v>
      </c>
      <c r="DD89" s="72" t="s">
        <v>217</v>
      </c>
      <c r="DE89" s="77">
        <f t="shared" si="71"/>
        <v>2.1720000000000002</v>
      </c>
      <c r="DF89" s="77">
        <f t="shared" si="71"/>
        <v>2.1930000000000001</v>
      </c>
      <c r="DG89" s="77">
        <f t="shared" si="71"/>
        <v>2.2130000000000001</v>
      </c>
      <c r="DH89" s="77">
        <f t="shared" si="71"/>
        <v>2.234</v>
      </c>
      <c r="DI89" s="77">
        <f t="shared" si="71"/>
        <v>2.254</v>
      </c>
      <c r="DJ89" s="77">
        <f t="shared" si="71"/>
        <v>2.2719999999999998</v>
      </c>
      <c r="DK89" s="77">
        <f t="shared" si="71"/>
        <v>2.2799999999999998</v>
      </c>
      <c r="DL89" s="77">
        <f t="shared" si="71"/>
        <v>2.3079999999999998</v>
      </c>
      <c r="DM89" s="77">
        <f t="shared" si="71"/>
        <v>2.3239999999999998</v>
      </c>
      <c r="DN89" s="77">
        <f t="shared" si="71"/>
        <v>2.34</v>
      </c>
      <c r="DO89" s="77">
        <f t="shared" si="71"/>
        <v>2.355</v>
      </c>
      <c r="DP89" s="77">
        <f t="shared" si="71"/>
        <v>2.37</v>
      </c>
      <c r="DQ89" s="77">
        <f t="shared" si="71"/>
        <v>2.3860000000000001</v>
      </c>
      <c r="DR89" s="77">
        <f t="shared" si="71"/>
        <v>2.403</v>
      </c>
      <c r="DS89" s="77">
        <f t="shared" si="71"/>
        <v>2.4209999999999998</v>
      </c>
      <c r="DT89" s="77">
        <f t="shared" si="70"/>
        <v>2.4380000000000002</v>
      </c>
      <c r="DU89" s="77">
        <f t="shared" si="69"/>
        <v>2.4550000000000001</v>
      </c>
      <c r="DV89" s="77">
        <f t="shared" si="69"/>
        <v>2.472</v>
      </c>
      <c r="DW89" s="77">
        <f t="shared" si="69"/>
        <v>2.488</v>
      </c>
      <c r="DX89" s="77">
        <f t="shared" si="68"/>
        <v>2.5009999999999999</v>
      </c>
      <c r="DY89" s="77">
        <f t="shared" si="68"/>
        <v>2.5179999999999998</v>
      </c>
      <c r="DZ89" s="77">
        <f t="shared" si="68"/>
        <v>2.532</v>
      </c>
      <c r="EA89" s="77">
        <f t="shared" si="68"/>
        <v>2.5459999999999998</v>
      </c>
      <c r="EB89" s="77">
        <f t="shared" si="37"/>
        <v>2.56</v>
      </c>
      <c r="EC89" s="77">
        <f t="shared" si="37"/>
        <v>2.5720000000000001</v>
      </c>
      <c r="ED89" s="77">
        <f t="shared" si="37"/>
        <v>2.585</v>
      </c>
      <c r="EE89" s="77">
        <f t="shared" si="37"/>
        <v>2.597</v>
      </c>
      <c r="EF89" s="77">
        <f t="shared" si="37"/>
        <v>2.6080000000000001</v>
      </c>
      <c r="EG89" s="77">
        <f t="shared" si="37"/>
        <v>2.6190000000000002</v>
      </c>
    </row>
    <row r="90" spans="1:137" ht="12.6" customHeight="1">
      <c r="A90" s="73">
        <v>88</v>
      </c>
      <c r="B90" s="74">
        <v>2.1819999999999999</v>
      </c>
      <c r="C90" s="74">
        <v>2.2029999999999998</v>
      </c>
      <c r="D90" s="74">
        <v>2.2229999999999999</v>
      </c>
      <c r="E90" s="74">
        <v>2.2440000000000002</v>
      </c>
      <c r="F90" s="74">
        <v>2.2640000000000002</v>
      </c>
      <c r="G90" s="74">
        <v>2.282</v>
      </c>
      <c r="H90" s="74">
        <v>2.29</v>
      </c>
      <c r="I90" s="74">
        <v>2.3170000000000002</v>
      </c>
      <c r="J90" s="74">
        <v>2.3340000000000001</v>
      </c>
      <c r="K90" s="74">
        <v>2.35</v>
      </c>
      <c r="L90" s="74">
        <v>2.3650000000000002</v>
      </c>
      <c r="M90" s="74">
        <v>2.38</v>
      </c>
      <c r="N90" s="74">
        <v>2.395</v>
      </c>
      <c r="O90" s="74">
        <v>2.4119999999999999</v>
      </c>
      <c r="P90" s="74">
        <v>2.4300000000000002</v>
      </c>
      <c r="Q90" s="74">
        <v>2.4470000000000001</v>
      </c>
      <c r="R90" s="74">
        <v>2.464</v>
      </c>
      <c r="S90" s="74">
        <v>2.48</v>
      </c>
      <c r="T90" s="74">
        <v>2.496</v>
      </c>
      <c r="U90" s="74">
        <v>2.5020000000000002</v>
      </c>
      <c r="V90" s="74">
        <v>2.5270000000000001</v>
      </c>
      <c r="W90" s="74">
        <v>2.5409999999999999</v>
      </c>
      <c r="X90" s="74">
        <v>2.5550000000000002</v>
      </c>
      <c r="Y90" s="74">
        <v>2.5680000000000001</v>
      </c>
      <c r="Z90" s="74">
        <v>2.581</v>
      </c>
      <c r="AA90" s="74">
        <v>2.593</v>
      </c>
      <c r="AB90" s="74">
        <v>2.605</v>
      </c>
      <c r="AC90" s="74">
        <v>2.6160000000000001</v>
      </c>
      <c r="AD90" s="75">
        <v>2.6270000000000002</v>
      </c>
      <c r="AE90" s="76"/>
      <c r="AF90" s="76"/>
      <c r="AG90" s="76"/>
      <c r="AH90" s="76"/>
      <c r="AI90" s="76"/>
      <c r="AJ90" s="76"/>
      <c r="AK90" s="76"/>
      <c r="AL90" s="76"/>
      <c r="AM90" s="76"/>
      <c r="AN90" s="76"/>
      <c r="AO90" s="76"/>
      <c r="AP90" s="76"/>
      <c r="AQ90" s="76"/>
      <c r="AR90" s="76"/>
      <c r="AS90" s="76"/>
      <c r="BZ90" s="63" t="str">
        <f t="shared" si="40"/>
        <v>488</v>
      </c>
      <c r="CA90" s="63" t="str">
        <f t="shared" si="39"/>
        <v>588</v>
      </c>
      <c r="CB90" s="63" t="str">
        <f t="shared" si="41"/>
        <v>688</v>
      </c>
      <c r="CC90" s="63" t="str">
        <f t="shared" si="42"/>
        <v>788</v>
      </c>
      <c r="CD90" s="63" t="str">
        <f t="shared" si="43"/>
        <v>888</v>
      </c>
      <c r="CE90" s="63" t="str">
        <f t="shared" si="44"/>
        <v>988</v>
      </c>
      <c r="CF90" s="63" t="str">
        <f t="shared" si="45"/>
        <v>1088</v>
      </c>
      <c r="CG90" s="63" t="str">
        <f t="shared" si="46"/>
        <v>1188</v>
      </c>
      <c r="CH90" s="63" t="str">
        <f t="shared" si="47"/>
        <v>1288</v>
      </c>
      <c r="CI90" s="63" t="str">
        <f t="shared" si="48"/>
        <v>1388</v>
      </c>
      <c r="CJ90" s="63" t="str">
        <f t="shared" si="49"/>
        <v>1488</v>
      </c>
      <c r="CK90" s="63" t="str">
        <f t="shared" si="50"/>
        <v>1588</v>
      </c>
      <c r="CL90" s="63" t="str">
        <f t="shared" si="51"/>
        <v>1688</v>
      </c>
      <c r="CM90" s="63" t="str">
        <f t="shared" si="52"/>
        <v>1788</v>
      </c>
      <c r="CN90" s="63" t="str">
        <f t="shared" si="53"/>
        <v>1888</v>
      </c>
      <c r="CO90" s="63" t="str">
        <f t="shared" si="54"/>
        <v>1988</v>
      </c>
      <c r="CP90" s="63" t="str">
        <f t="shared" si="55"/>
        <v>2088</v>
      </c>
      <c r="CQ90" s="63" t="str">
        <f t="shared" si="56"/>
        <v>2188</v>
      </c>
      <c r="CR90" s="63" t="str">
        <f t="shared" si="57"/>
        <v>2288</v>
      </c>
      <c r="CS90" s="63" t="str">
        <f t="shared" si="58"/>
        <v>2388</v>
      </c>
      <c r="CT90" s="63" t="str">
        <f t="shared" si="59"/>
        <v>2488</v>
      </c>
      <c r="CU90" s="63" t="str">
        <f t="shared" si="60"/>
        <v>2588</v>
      </c>
      <c r="CV90" s="63" t="str">
        <f t="shared" si="61"/>
        <v>2688</v>
      </c>
      <c r="CW90" s="63" t="str">
        <f t="shared" si="62"/>
        <v>2788</v>
      </c>
      <c r="CX90" s="63" t="str">
        <f t="shared" si="63"/>
        <v>2888</v>
      </c>
      <c r="CY90" s="63" t="str">
        <f t="shared" si="64"/>
        <v>2988</v>
      </c>
      <c r="CZ90" s="63" t="str">
        <f t="shared" si="65"/>
        <v>3088</v>
      </c>
      <c r="DA90" s="63" t="str">
        <f t="shared" si="66"/>
        <v>3188</v>
      </c>
      <c r="DB90" s="63" t="str">
        <f t="shared" si="67"/>
        <v>3288</v>
      </c>
      <c r="DD90" s="72" t="s">
        <v>218</v>
      </c>
      <c r="DE90" s="77">
        <f t="shared" si="71"/>
        <v>2.1819999999999999</v>
      </c>
      <c r="DF90" s="77">
        <f t="shared" si="71"/>
        <v>2.2029999999999998</v>
      </c>
      <c r="DG90" s="77">
        <f t="shared" si="71"/>
        <v>2.2229999999999999</v>
      </c>
      <c r="DH90" s="77">
        <f t="shared" si="71"/>
        <v>2.2440000000000002</v>
      </c>
      <c r="DI90" s="77">
        <f t="shared" si="71"/>
        <v>2.2639999999999998</v>
      </c>
      <c r="DJ90" s="77">
        <f t="shared" si="71"/>
        <v>2.282</v>
      </c>
      <c r="DK90" s="77">
        <f t="shared" si="71"/>
        <v>2.29</v>
      </c>
      <c r="DL90" s="77">
        <f t="shared" si="71"/>
        <v>2.3170000000000002</v>
      </c>
      <c r="DM90" s="77">
        <f t="shared" si="71"/>
        <v>2.3340000000000001</v>
      </c>
      <c r="DN90" s="77">
        <f t="shared" si="71"/>
        <v>2.35</v>
      </c>
      <c r="DO90" s="77">
        <f t="shared" si="71"/>
        <v>2.3650000000000002</v>
      </c>
      <c r="DP90" s="77">
        <f t="shared" si="71"/>
        <v>2.38</v>
      </c>
      <c r="DQ90" s="77">
        <f t="shared" si="71"/>
        <v>2.395</v>
      </c>
      <c r="DR90" s="77">
        <f t="shared" si="71"/>
        <v>2.4119999999999999</v>
      </c>
      <c r="DS90" s="77">
        <f t="shared" si="71"/>
        <v>2.4300000000000002</v>
      </c>
      <c r="DT90" s="77">
        <f t="shared" si="70"/>
        <v>2.4470000000000001</v>
      </c>
      <c r="DU90" s="77">
        <f t="shared" si="69"/>
        <v>2.464</v>
      </c>
      <c r="DV90" s="77">
        <f t="shared" si="69"/>
        <v>2.48</v>
      </c>
      <c r="DW90" s="77">
        <f t="shared" si="69"/>
        <v>2.496</v>
      </c>
      <c r="DX90" s="77">
        <f t="shared" si="68"/>
        <v>2.5019999999999998</v>
      </c>
      <c r="DY90" s="77">
        <f t="shared" si="68"/>
        <v>2.5270000000000001</v>
      </c>
      <c r="DZ90" s="77">
        <f t="shared" si="68"/>
        <v>2.5409999999999999</v>
      </c>
      <c r="EA90" s="77">
        <f t="shared" si="68"/>
        <v>2.5550000000000002</v>
      </c>
      <c r="EB90" s="77">
        <f t="shared" si="37"/>
        <v>2.5680000000000001</v>
      </c>
      <c r="EC90" s="77">
        <f t="shared" si="37"/>
        <v>2.581</v>
      </c>
      <c r="ED90" s="77">
        <f t="shared" si="37"/>
        <v>2.593</v>
      </c>
      <c r="EE90" s="77">
        <f t="shared" si="37"/>
        <v>2.605</v>
      </c>
      <c r="EF90" s="77">
        <f t="shared" si="37"/>
        <v>2.6160000000000001</v>
      </c>
      <c r="EG90" s="77">
        <f t="shared" si="37"/>
        <v>2.6269999999999998</v>
      </c>
    </row>
    <row r="91" spans="1:137" ht="12.6" customHeight="1">
      <c r="A91" s="73">
        <v>89</v>
      </c>
      <c r="B91" s="74">
        <v>2.1869999999999998</v>
      </c>
      <c r="C91" s="74">
        <v>2.2079999999999997</v>
      </c>
      <c r="D91" s="74">
        <v>2.2279999999999998</v>
      </c>
      <c r="E91" s="74">
        <v>2.2489999999999997</v>
      </c>
      <c r="F91" s="74">
        <v>2.2689999999999997</v>
      </c>
      <c r="G91" s="74">
        <v>2.2869999999999999</v>
      </c>
      <c r="H91" s="74">
        <v>2.2949999999999999</v>
      </c>
      <c r="I91" s="74">
        <v>2.3219999999999996</v>
      </c>
      <c r="J91" s="74">
        <v>2.3389999999999995</v>
      </c>
      <c r="K91" s="74">
        <v>2.3539999999999996</v>
      </c>
      <c r="L91" s="74">
        <v>2.3689999999999998</v>
      </c>
      <c r="M91" s="74">
        <v>2.3839999999999999</v>
      </c>
      <c r="N91" s="74">
        <v>2.4</v>
      </c>
      <c r="O91" s="74">
        <v>2.4159999999999999</v>
      </c>
      <c r="P91" s="74">
        <v>2.4339999999999997</v>
      </c>
      <c r="Q91" s="74">
        <v>2.4509999999999996</v>
      </c>
      <c r="R91" s="74">
        <v>2.4679999999999995</v>
      </c>
      <c r="S91" s="74">
        <v>2.4839999999999995</v>
      </c>
      <c r="T91" s="74">
        <v>2.4999999999999996</v>
      </c>
      <c r="U91" s="74">
        <v>2.5149999999999997</v>
      </c>
      <c r="V91" s="74">
        <v>2.5299999999999998</v>
      </c>
      <c r="W91" s="74">
        <v>2.5439999999999996</v>
      </c>
      <c r="X91" s="74">
        <v>2.5579999999999998</v>
      </c>
      <c r="Y91" s="74">
        <v>2.5709999999999997</v>
      </c>
      <c r="Z91" s="74">
        <v>2.5839999999999996</v>
      </c>
      <c r="AA91" s="74">
        <v>2.5959999999999996</v>
      </c>
      <c r="AB91" s="74">
        <v>2.6079999999999997</v>
      </c>
      <c r="AC91" s="74">
        <v>2.6189999999999998</v>
      </c>
      <c r="AD91" s="75">
        <v>2.63</v>
      </c>
      <c r="AE91" s="76"/>
      <c r="AF91" s="76"/>
      <c r="AG91" s="76"/>
      <c r="AH91" s="76"/>
      <c r="AI91" s="76"/>
      <c r="AJ91" s="76"/>
      <c r="AK91" s="76"/>
      <c r="AL91" s="76"/>
      <c r="AM91" s="76"/>
      <c r="AN91" s="76"/>
      <c r="AO91" s="76"/>
      <c r="AP91" s="76"/>
      <c r="AQ91" s="76"/>
      <c r="AR91" s="76"/>
      <c r="AS91" s="76"/>
      <c r="BZ91" s="63" t="str">
        <f t="shared" si="40"/>
        <v>489</v>
      </c>
      <c r="CA91" s="63" t="str">
        <f t="shared" si="39"/>
        <v>589</v>
      </c>
      <c r="CB91" s="63" t="str">
        <f t="shared" si="41"/>
        <v>689</v>
      </c>
      <c r="CC91" s="63" t="str">
        <f t="shared" si="42"/>
        <v>789</v>
      </c>
      <c r="CD91" s="63" t="str">
        <f t="shared" si="43"/>
        <v>889</v>
      </c>
      <c r="CE91" s="63" t="str">
        <f t="shared" si="44"/>
        <v>989</v>
      </c>
      <c r="CF91" s="63" t="str">
        <f t="shared" si="45"/>
        <v>1089</v>
      </c>
      <c r="CG91" s="63" t="str">
        <f t="shared" si="46"/>
        <v>1189</v>
      </c>
      <c r="CH91" s="63" t="str">
        <f t="shared" si="47"/>
        <v>1289</v>
      </c>
      <c r="CI91" s="63" t="str">
        <f t="shared" si="48"/>
        <v>1389</v>
      </c>
      <c r="CJ91" s="63" t="str">
        <f t="shared" si="49"/>
        <v>1489</v>
      </c>
      <c r="CK91" s="63" t="str">
        <f t="shared" si="50"/>
        <v>1589</v>
      </c>
      <c r="CL91" s="63" t="str">
        <f t="shared" si="51"/>
        <v>1689</v>
      </c>
      <c r="CM91" s="63" t="str">
        <f t="shared" si="52"/>
        <v>1789</v>
      </c>
      <c r="CN91" s="63" t="str">
        <f t="shared" si="53"/>
        <v>1889</v>
      </c>
      <c r="CO91" s="63" t="str">
        <f t="shared" si="54"/>
        <v>1989</v>
      </c>
      <c r="CP91" s="63" t="str">
        <f t="shared" si="55"/>
        <v>2089</v>
      </c>
      <c r="CQ91" s="63" t="str">
        <f t="shared" si="56"/>
        <v>2189</v>
      </c>
      <c r="CR91" s="63" t="str">
        <f t="shared" si="57"/>
        <v>2289</v>
      </c>
      <c r="CS91" s="63" t="str">
        <f t="shared" si="58"/>
        <v>2389</v>
      </c>
      <c r="CT91" s="63" t="str">
        <f t="shared" si="59"/>
        <v>2489</v>
      </c>
      <c r="CU91" s="63" t="str">
        <f t="shared" si="60"/>
        <v>2589</v>
      </c>
      <c r="CV91" s="63" t="str">
        <f t="shared" si="61"/>
        <v>2689</v>
      </c>
      <c r="CW91" s="63" t="str">
        <f t="shared" si="62"/>
        <v>2789</v>
      </c>
      <c r="CX91" s="63" t="str">
        <f t="shared" si="63"/>
        <v>2889</v>
      </c>
      <c r="CY91" s="63" t="str">
        <f t="shared" si="64"/>
        <v>2989</v>
      </c>
      <c r="CZ91" s="63" t="str">
        <f t="shared" si="65"/>
        <v>3089</v>
      </c>
      <c r="DA91" s="63" t="str">
        <f t="shared" si="66"/>
        <v>3189</v>
      </c>
      <c r="DB91" s="63" t="str">
        <f t="shared" si="67"/>
        <v>3289</v>
      </c>
      <c r="DD91" s="72" t="s">
        <v>219</v>
      </c>
      <c r="DE91" s="77">
        <f t="shared" si="71"/>
        <v>2.1869999999999998</v>
      </c>
      <c r="DF91" s="77">
        <f t="shared" si="71"/>
        <v>2.2080000000000002</v>
      </c>
      <c r="DG91" s="77">
        <f t="shared" si="71"/>
        <v>2.2280000000000002</v>
      </c>
      <c r="DH91" s="77">
        <f t="shared" si="71"/>
        <v>2.2490000000000001</v>
      </c>
      <c r="DI91" s="77">
        <f t="shared" si="71"/>
        <v>2.2690000000000001</v>
      </c>
      <c r="DJ91" s="77">
        <f t="shared" si="71"/>
        <v>2.2869999999999999</v>
      </c>
      <c r="DK91" s="77">
        <f t="shared" si="71"/>
        <v>2.2949999999999999</v>
      </c>
      <c r="DL91" s="77">
        <f t="shared" si="71"/>
        <v>2.3220000000000001</v>
      </c>
      <c r="DM91" s="77">
        <f t="shared" si="71"/>
        <v>2.339</v>
      </c>
      <c r="DN91" s="77">
        <f t="shared" si="71"/>
        <v>2.3540000000000001</v>
      </c>
      <c r="DO91" s="77">
        <f t="shared" si="71"/>
        <v>2.3690000000000002</v>
      </c>
      <c r="DP91" s="77">
        <f t="shared" si="71"/>
        <v>2.3839999999999999</v>
      </c>
      <c r="DQ91" s="77">
        <f t="shared" si="71"/>
        <v>2.4</v>
      </c>
      <c r="DR91" s="77">
        <f t="shared" si="71"/>
        <v>2.4159999999999999</v>
      </c>
      <c r="DS91" s="77">
        <f t="shared" si="71"/>
        <v>2.4340000000000002</v>
      </c>
      <c r="DT91" s="77">
        <f t="shared" si="70"/>
        <v>2.4510000000000001</v>
      </c>
      <c r="DU91" s="77">
        <f t="shared" si="69"/>
        <v>2.468</v>
      </c>
      <c r="DV91" s="77">
        <f t="shared" si="69"/>
        <v>2.484</v>
      </c>
      <c r="DW91" s="77">
        <f t="shared" si="69"/>
        <v>2.5</v>
      </c>
      <c r="DX91" s="77">
        <f t="shared" si="68"/>
        <v>2.5150000000000001</v>
      </c>
      <c r="DY91" s="77">
        <f t="shared" si="68"/>
        <v>2.5299999999999998</v>
      </c>
      <c r="DZ91" s="77">
        <f t="shared" si="68"/>
        <v>2.544</v>
      </c>
      <c r="EA91" s="77">
        <f t="shared" si="68"/>
        <v>2.5579999999999998</v>
      </c>
      <c r="EB91" s="77">
        <f t="shared" si="37"/>
        <v>2.5710000000000002</v>
      </c>
      <c r="EC91" s="77">
        <f t="shared" si="37"/>
        <v>2.5840000000000001</v>
      </c>
      <c r="ED91" s="77">
        <f t="shared" si="37"/>
        <v>2.5960000000000001</v>
      </c>
      <c r="EE91" s="77">
        <f t="shared" si="37"/>
        <v>2.6080000000000001</v>
      </c>
      <c r="EF91" s="77">
        <f t="shared" si="37"/>
        <v>2.6190000000000002</v>
      </c>
      <c r="EG91" s="77">
        <f t="shared" si="37"/>
        <v>2.63</v>
      </c>
    </row>
    <row r="92" spans="1:137" ht="12.6" customHeight="1">
      <c r="A92" s="73">
        <v>90</v>
      </c>
      <c r="B92" s="74">
        <v>2.1917</v>
      </c>
      <c r="C92" s="74">
        <v>2.2117</v>
      </c>
      <c r="D92" s="74">
        <v>2.2317</v>
      </c>
      <c r="E92" s="74">
        <v>2.2517</v>
      </c>
      <c r="F92" s="74">
        <v>2.2717000000000001</v>
      </c>
      <c r="G92" s="74">
        <v>2.2896999999999998</v>
      </c>
      <c r="H92" s="74">
        <v>2.2976999999999999</v>
      </c>
      <c r="I92" s="74">
        <v>2.3247</v>
      </c>
      <c r="J92" s="74">
        <v>2.3407</v>
      </c>
      <c r="K92" s="74">
        <v>2.3567</v>
      </c>
      <c r="L92" s="74">
        <v>2.3716999999999997</v>
      </c>
      <c r="M92" s="74">
        <v>2.3866999999999998</v>
      </c>
      <c r="N92" s="74">
        <v>2.4016999999999999</v>
      </c>
      <c r="O92" s="74">
        <v>2.4186999999999999</v>
      </c>
      <c r="P92" s="74">
        <v>2.4356999999999998</v>
      </c>
      <c r="Q92" s="74">
        <v>2.4526999999999997</v>
      </c>
      <c r="R92" s="74">
        <v>2.4697</v>
      </c>
      <c r="S92" s="74">
        <v>2.4857</v>
      </c>
      <c r="T92" s="74">
        <v>2.5017</v>
      </c>
      <c r="U92" s="74">
        <v>2.5166999999999997</v>
      </c>
      <c r="V92" s="74">
        <v>2.5316999999999998</v>
      </c>
      <c r="W92" s="74">
        <v>2.5457000000000001</v>
      </c>
      <c r="X92" s="74">
        <v>2.5587</v>
      </c>
      <c r="Y92" s="74">
        <v>2.5716999999999999</v>
      </c>
      <c r="Z92" s="74">
        <v>2.5846999999999998</v>
      </c>
      <c r="AA92" s="74">
        <v>2.5966999999999998</v>
      </c>
      <c r="AB92" s="74">
        <v>2.6086999999999998</v>
      </c>
      <c r="AC92" s="74">
        <v>2.6196999999999999</v>
      </c>
      <c r="AD92" s="75">
        <v>2.6307</v>
      </c>
      <c r="AE92" s="76"/>
      <c r="AF92" s="76"/>
      <c r="AG92" s="76"/>
      <c r="AH92" s="76"/>
      <c r="AI92" s="76"/>
      <c r="AJ92" s="76"/>
      <c r="AK92" s="76"/>
      <c r="AL92" s="76"/>
      <c r="AM92" s="76"/>
      <c r="AN92" s="76"/>
      <c r="AO92" s="76"/>
      <c r="AP92" s="76"/>
      <c r="AQ92" s="76"/>
      <c r="AR92" s="76"/>
      <c r="AS92" s="76"/>
      <c r="BZ92" s="63" t="str">
        <f t="shared" si="40"/>
        <v>490</v>
      </c>
      <c r="CA92" s="63" t="str">
        <f t="shared" si="39"/>
        <v>590</v>
      </c>
      <c r="CB92" s="63" t="str">
        <f t="shared" si="41"/>
        <v>690</v>
      </c>
      <c r="CC92" s="63" t="str">
        <f t="shared" si="42"/>
        <v>790</v>
      </c>
      <c r="CD92" s="63" t="str">
        <f t="shared" si="43"/>
        <v>890</v>
      </c>
      <c r="CE92" s="63" t="str">
        <f t="shared" si="44"/>
        <v>990</v>
      </c>
      <c r="CF92" s="63" t="str">
        <f t="shared" si="45"/>
        <v>1090</v>
      </c>
      <c r="CG92" s="63" t="str">
        <f t="shared" si="46"/>
        <v>1190</v>
      </c>
      <c r="CH92" s="63" t="str">
        <f t="shared" si="47"/>
        <v>1290</v>
      </c>
      <c r="CI92" s="63" t="str">
        <f t="shared" si="48"/>
        <v>1390</v>
      </c>
      <c r="CJ92" s="63" t="str">
        <f t="shared" si="49"/>
        <v>1490</v>
      </c>
      <c r="CK92" s="63" t="str">
        <f t="shared" si="50"/>
        <v>1590</v>
      </c>
      <c r="CL92" s="63" t="str">
        <f t="shared" si="51"/>
        <v>1690</v>
      </c>
      <c r="CM92" s="63" t="str">
        <f t="shared" si="52"/>
        <v>1790</v>
      </c>
      <c r="CN92" s="63" t="str">
        <f t="shared" si="53"/>
        <v>1890</v>
      </c>
      <c r="CO92" s="63" t="str">
        <f t="shared" si="54"/>
        <v>1990</v>
      </c>
      <c r="CP92" s="63" t="str">
        <f t="shared" si="55"/>
        <v>2090</v>
      </c>
      <c r="CQ92" s="63" t="str">
        <f t="shared" si="56"/>
        <v>2190</v>
      </c>
      <c r="CR92" s="63" t="str">
        <f t="shared" si="57"/>
        <v>2290</v>
      </c>
      <c r="CS92" s="63" t="str">
        <f t="shared" si="58"/>
        <v>2390</v>
      </c>
      <c r="CT92" s="63" t="str">
        <f t="shared" si="59"/>
        <v>2490</v>
      </c>
      <c r="CU92" s="63" t="str">
        <f t="shared" si="60"/>
        <v>2590</v>
      </c>
      <c r="CV92" s="63" t="str">
        <f t="shared" si="61"/>
        <v>2690</v>
      </c>
      <c r="CW92" s="63" t="str">
        <f t="shared" si="62"/>
        <v>2790</v>
      </c>
      <c r="CX92" s="63" t="str">
        <f t="shared" si="63"/>
        <v>2890</v>
      </c>
      <c r="CY92" s="63" t="str">
        <f t="shared" si="64"/>
        <v>2990</v>
      </c>
      <c r="CZ92" s="63" t="str">
        <f t="shared" si="65"/>
        <v>3090</v>
      </c>
      <c r="DA92" s="63" t="str">
        <f t="shared" si="66"/>
        <v>3190</v>
      </c>
      <c r="DB92" s="63" t="str">
        <f t="shared" si="67"/>
        <v>3290</v>
      </c>
      <c r="DD92" s="72" t="s">
        <v>220</v>
      </c>
      <c r="DE92" s="77">
        <f t="shared" si="71"/>
        <v>2.1920000000000002</v>
      </c>
      <c r="DF92" s="77">
        <f t="shared" si="71"/>
        <v>2.2120000000000002</v>
      </c>
      <c r="DG92" s="77">
        <f t="shared" si="71"/>
        <v>2.2320000000000002</v>
      </c>
      <c r="DH92" s="77">
        <f t="shared" si="71"/>
        <v>2.2519999999999998</v>
      </c>
      <c r="DI92" s="77">
        <f t="shared" si="71"/>
        <v>2.2719999999999998</v>
      </c>
      <c r="DJ92" s="77">
        <f t="shared" si="71"/>
        <v>2.29</v>
      </c>
      <c r="DK92" s="77">
        <f t="shared" si="71"/>
        <v>2.298</v>
      </c>
      <c r="DL92" s="77">
        <f t="shared" si="71"/>
        <v>2.3250000000000002</v>
      </c>
      <c r="DM92" s="77">
        <f t="shared" si="71"/>
        <v>2.3410000000000002</v>
      </c>
      <c r="DN92" s="77">
        <f t="shared" si="71"/>
        <v>2.3570000000000002</v>
      </c>
      <c r="DO92" s="77">
        <f t="shared" si="71"/>
        <v>2.3719999999999999</v>
      </c>
      <c r="DP92" s="77">
        <f t="shared" si="71"/>
        <v>2.387</v>
      </c>
      <c r="DQ92" s="77">
        <f t="shared" si="71"/>
        <v>2.4020000000000001</v>
      </c>
      <c r="DR92" s="77">
        <f t="shared" si="71"/>
        <v>2.419</v>
      </c>
      <c r="DS92" s="77">
        <f t="shared" si="71"/>
        <v>2.4359999999999999</v>
      </c>
      <c r="DT92" s="77">
        <f t="shared" si="70"/>
        <v>2.4529999999999998</v>
      </c>
      <c r="DU92" s="77">
        <f t="shared" si="69"/>
        <v>2.4700000000000002</v>
      </c>
      <c r="DV92" s="77">
        <f t="shared" si="69"/>
        <v>2.4860000000000002</v>
      </c>
      <c r="DW92" s="77">
        <f t="shared" si="69"/>
        <v>2.5019999999999998</v>
      </c>
      <c r="DX92" s="77">
        <f t="shared" si="68"/>
        <v>2.5169999999999999</v>
      </c>
      <c r="DY92" s="77">
        <f t="shared" si="68"/>
        <v>2.532</v>
      </c>
      <c r="DZ92" s="77">
        <f t="shared" si="68"/>
        <v>2.5459999999999998</v>
      </c>
      <c r="EA92" s="77">
        <f t="shared" si="68"/>
        <v>2.5590000000000002</v>
      </c>
      <c r="EB92" s="77">
        <f t="shared" si="37"/>
        <v>2.5720000000000001</v>
      </c>
      <c r="EC92" s="77">
        <f t="shared" si="37"/>
        <v>2.585</v>
      </c>
      <c r="ED92" s="77">
        <f t="shared" si="37"/>
        <v>2.597</v>
      </c>
      <c r="EE92" s="77">
        <f t="shared" si="37"/>
        <v>2.609</v>
      </c>
      <c r="EF92" s="77">
        <f t="shared" si="37"/>
        <v>2.62</v>
      </c>
      <c r="EG92" s="77">
        <f t="shared" si="37"/>
        <v>2.6309999999999998</v>
      </c>
    </row>
    <row r="93" spans="1:137" ht="12.6" customHeight="1">
      <c r="A93" s="73">
        <v>91</v>
      </c>
      <c r="B93" s="74">
        <v>2.2016999999999998</v>
      </c>
      <c r="C93" s="74">
        <v>2.2216999999999998</v>
      </c>
      <c r="D93" s="74">
        <v>2.2416999999999998</v>
      </c>
      <c r="E93" s="74">
        <v>2.2626999999999997</v>
      </c>
      <c r="F93" s="74">
        <v>2.2816999999999998</v>
      </c>
      <c r="G93" s="74">
        <v>2.2996999999999996</v>
      </c>
      <c r="H93" s="74">
        <v>2.3076999999999996</v>
      </c>
      <c r="I93" s="74">
        <v>2.3346999999999998</v>
      </c>
      <c r="J93" s="74">
        <v>2.3506999999999998</v>
      </c>
      <c r="K93" s="74">
        <v>2.3656999999999999</v>
      </c>
      <c r="L93" s="74">
        <v>2.3807</v>
      </c>
      <c r="M93" s="74">
        <v>2.3956999999999997</v>
      </c>
      <c r="N93" s="74">
        <v>2.4116999999999997</v>
      </c>
      <c r="O93" s="74">
        <v>2.4276999999999997</v>
      </c>
      <c r="P93" s="74">
        <v>2.4446999999999997</v>
      </c>
      <c r="Q93" s="74">
        <v>2.4617</v>
      </c>
      <c r="R93" s="74">
        <v>2.4786999999999999</v>
      </c>
      <c r="S93" s="74">
        <v>2.4946999999999999</v>
      </c>
      <c r="T93" s="74">
        <v>2.5106999999999999</v>
      </c>
      <c r="U93" s="74">
        <v>2.5257000000000001</v>
      </c>
      <c r="V93" s="74">
        <v>2.5396999999999998</v>
      </c>
      <c r="W93" s="74">
        <v>2.5536999999999996</v>
      </c>
      <c r="X93" s="74">
        <v>2.5676999999999999</v>
      </c>
      <c r="Y93" s="74">
        <v>2.5806999999999998</v>
      </c>
      <c r="Z93" s="74">
        <v>2.5926999999999998</v>
      </c>
      <c r="AA93" s="74">
        <v>2.6046999999999998</v>
      </c>
      <c r="AB93" s="74">
        <v>2.6166999999999998</v>
      </c>
      <c r="AC93" s="74">
        <v>2.6276999999999999</v>
      </c>
      <c r="AD93" s="75">
        <v>2.6387</v>
      </c>
      <c r="AE93" s="76"/>
      <c r="AF93" s="76"/>
      <c r="AG93" s="76"/>
      <c r="AH93" s="76"/>
      <c r="AI93" s="76"/>
      <c r="AJ93" s="76"/>
      <c r="AK93" s="76"/>
      <c r="AL93" s="76"/>
      <c r="AM93" s="76"/>
      <c r="AN93" s="76"/>
      <c r="AO93" s="76"/>
      <c r="AP93" s="76"/>
      <c r="AQ93" s="76"/>
      <c r="AR93" s="76"/>
      <c r="AS93" s="76"/>
      <c r="BZ93" s="63" t="str">
        <f t="shared" si="40"/>
        <v>491</v>
      </c>
      <c r="CA93" s="63" t="str">
        <f t="shared" si="39"/>
        <v>591</v>
      </c>
      <c r="CB93" s="63" t="str">
        <f t="shared" si="41"/>
        <v>691</v>
      </c>
      <c r="CC93" s="63" t="str">
        <f t="shared" si="42"/>
        <v>791</v>
      </c>
      <c r="CD93" s="63" t="str">
        <f t="shared" si="43"/>
        <v>891</v>
      </c>
      <c r="CE93" s="63" t="str">
        <f t="shared" si="44"/>
        <v>991</v>
      </c>
      <c r="CF93" s="63" t="str">
        <f t="shared" si="45"/>
        <v>1091</v>
      </c>
      <c r="CG93" s="63" t="str">
        <f t="shared" si="46"/>
        <v>1191</v>
      </c>
      <c r="CH93" s="63" t="str">
        <f t="shared" si="47"/>
        <v>1291</v>
      </c>
      <c r="CI93" s="63" t="str">
        <f t="shared" si="48"/>
        <v>1391</v>
      </c>
      <c r="CJ93" s="63" t="str">
        <f t="shared" si="49"/>
        <v>1491</v>
      </c>
      <c r="CK93" s="63" t="str">
        <f t="shared" si="50"/>
        <v>1591</v>
      </c>
      <c r="CL93" s="63" t="str">
        <f t="shared" si="51"/>
        <v>1691</v>
      </c>
      <c r="CM93" s="63" t="str">
        <f t="shared" si="52"/>
        <v>1791</v>
      </c>
      <c r="CN93" s="63" t="str">
        <f t="shared" si="53"/>
        <v>1891</v>
      </c>
      <c r="CO93" s="63" t="str">
        <f t="shared" si="54"/>
        <v>1991</v>
      </c>
      <c r="CP93" s="63" t="str">
        <f t="shared" si="55"/>
        <v>2091</v>
      </c>
      <c r="CQ93" s="63" t="str">
        <f t="shared" si="56"/>
        <v>2191</v>
      </c>
      <c r="CR93" s="63" t="str">
        <f t="shared" si="57"/>
        <v>2291</v>
      </c>
      <c r="CS93" s="63" t="str">
        <f t="shared" si="58"/>
        <v>2391</v>
      </c>
      <c r="CT93" s="63" t="str">
        <f t="shared" si="59"/>
        <v>2491</v>
      </c>
      <c r="CU93" s="63" t="str">
        <f t="shared" si="60"/>
        <v>2591</v>
      </c>
      <c r="CV93" s="63" t="str">
        <f t="shared" si="61"/>
        <v>2691</v>
      </c>
      <c r="CW93" s="63" t="str">
        <f t="shared" si="62"/>
        <v>2791</v>
      </c>
      <c r="CX93" s="63" t="str">
        <f t="shared" si="63"/>
        <v>2891</v>
      </c>
      <c r="CY93" s="63" t="str">
        <f t="shared" si="64"/>
        <v>2991</v>
      </c>
      <c r="CZ93" s="63" t="str">
        <f t="shared" si="65"/>
        <v>3091</v>
      </c>
      <c r="DA93" s="63" t="str">
        <f t="shared" si="66"/>
        <v>3191</v>
      </c>
      <c r="DB93" s="63" t="str">
        <f t="shared" si="67"/>
        <v>3291</v>
      </c>
      <c r="DD93" s="72" t="s">
        <v>221</v>
      </c>
      <c r="DE93" s="77">
        <f t="shared" si="71"/>
        <v>2.202</v>
      </c>
      <c r="DF93" s="77">
        <f t="shared" si="71"/>
        <v>2.222</v>
      </c>
      <c r="DG93" s="77">
        <f t="shared" si="71"/>
        <v>2.242</v>
      </c>
      <c r="DH93" s="77">
        <f t="shared" si="71"/>
        <v>2.2629999999999999</v>
      </c>
      <c r="DI93" s="77">
        <f t="shared" si="71"/>
        <v>2.282</v>
      </c>
      <c r="DJ93" s="77">
        <f t="shared" si="71"/>
        <v>2.2999999999999998</v>
      </c>
      <c r="DK93" s="77">
        <f t="shared" si="71"/>
        <v>2.3079999999999998</v>
      </c>
      <c r="DL93" s="77">
        <f t="shared" si="71"/>
        <v>2.335</v>
      </c>
      <c r="DM93" s="77">
        <f t="shared" si="71"/>
        <v>2.351</v>
      </c>
      <c r="DN93" s="77">
        <f t="shared" si="71"/>
        <v>2.3660000000000001</v>
      </c>
      <c r="DO93" s="77">
        <f t="shared" si="71"/>
        <v>2.3809999999999998</v>
      </c>
      <c r="DP93" s="77">
        <f t="shared" si="71"/>
        <v>2.3959999999999999</v>
      </c>
      <c r="DQ93" s="77">
        <f t="shared" si="71"/>
        <v>2.4119999999999999</v>
      </c>
      <c r="DR93" s="77">
        <f t="shared" si="71"/>
        <v>2.4279999999999999</v>
      </c>
      <c r="DS93" s="77">
        <f t="shared" si="71"/>
        <v>2.4449999999999998</v>
      </c>
      <c r="DT93" s="77">
        <f t="shared" si="70"/>
        <v>2.4620000000000002</v>
      </c>
      <c r="DU93" s="77">
        <f t="shared" si="69"/>
        <v>2.4790000000000001</v>
      </c>
      <c r="DV93" s="77">
        <f t="shared" si="69"/>
        <v>2.4950000000000001</v>
      </c>
      <c r="DW93" s="77">
        <f t="shared" si="69"/>
        <v>2.5110000000000001</v>
      </c>
      <c r="DX93" s="77">
        <f t="shared" si="68"/>
        <v>2.5259999999999998</v>
      </c>
      <c r="DY93" s="77">
        <f t="shared" si="68"/>
        <v>2.54</v>
      </c>
      <c r="DZ93" s="77">
        <f t="shared" si="68"/>
        <v>2.5539999999999998</v>
      </c>
      <c r="EA93" s="77">
        <f t="shared" si="68"/>
        <v>2.5680000000000001</v>
      </c>
      <c r="EB93" s="77">
        <f t="shared" si="37"/>
        <v>2.581</v>
      </c>
      <c r="EC93" s="77">
        <f t="shared" si="37"/>
        <v>2.593</v>
      </c>
      <c r="ED93" s="77">
        <f t="shared" si="37"/>
        <v>2.605</v>
      </c>
      <c r="EE93" s="77">
        <f t="shared" si="37"/>
        <v>2.617</v>
      </c>
      <c r="EF93" s="77">
        <f t="shared" si="37"/>
        <v>2.6280000000000001</v>
      </c>
      <c r="EG93" s="77">
        <f t="shared" si="37"/>
        <v>2.6389999999999998</v>
      </c>
    </row>
    <row r="94" spans="1:137" ht="12.6" customHeight="1">
      <c r="A94" s="73">
        <v>92</v>
      </c>
      <c r="B94" s="74">
        <v>2.2117</v>
      </c>
      <c r="C94" s="74">
        <v>2.2317</v>
      </c>
      <c r="D94" s="74">
        <v>2.2517</v>
      </c>
      <c r="E94" s="74">
        <v>2.2726999999999999</v>
      </c>
      <c r="F94" s="74">
        <v>2.2917000000000001</v>
      </c>
      <c r="G94" s="74">
        <v>2.3096999999999999</v>
      </c>
      <c r="H94" s="74">
        <v>2.3176999999999999</v>
      </c>
      <c r="I94" s="74">
        <v>2.3436999999999997</v>
      </c>
      <c r="J94" s="74">
        <v>2.3596999999999997</v>
      </c>
      <c r="K94" s="74">
        <v>2.3756999999999997</v>
      </c>
      <c r="L94" s="74">
        <v>2.3906999999999998</v>
      </c>
      <c r="M94" s="74">
        <v>2.4047000000000001</v>
      </c>
      <c r="N94" s="74">
        <v>2.4207000000000001</v>
      </c>
      <c r="O94" s="74">
        <v>2.4366999999999996</v>
      </c>
      <c r="P94" s="74">
        <v>2.4537</v>
      </c>
      <c r="Q94" s="74">
        <v>2.4706999999999999</v>
      </c>
      <c r="R94" s="74">
        <v>2.4876999999999998</v>
      </c>
      <c r="S94" s="74">
        <v>2.5036999999999998</v>
      </c>
      <c r="T94" s="74">
        <v>2.5186999999999999</v>
      </c>
      <c r="U94" s="74">
        <v>2.5337000000000001</v>
      </c>
      <c r="V94" s="74">
        <v>2.5486999999999997</v>
      </c>
      <c r="W94" s="74">
        <v>2.5627</v>
      </c>
      <c r="X94" s="74">
        <v>2.5756999999999999</v>
      </c>
      <c r="Y94" s="74">
        <v>2.5886999999999998</v>
      </c>
      <c r="Z94" s="74">
        <v>2.6006999999999998</v>
      </c>
      <c r="AA94" s="74">
        <v>2.6136999999999997</v>
      </c>
      <c r="AB94" s="74">
        <v>2.6246999999999998</v>
      </c>
      <c r="AC94" s="74">
        <v>2.6356999999999999</v>
      </c>
      <c r="AD94" s="75">
        <v>2.6467000000000001</v>
      </c>
      <c r="AE94" s="76"/>
      <c r="AF94" s="76"/>
      <c r="AG94" s="76"/>
      <c r="AH94" s="76"/>
      <c r="AI94" s="76"/>
      <c r="AJ94" s="76"/>
      <c r="AK94" s="76"/>
      <c r="AL94" s="76"/>
      <c r="AM94" s="76"/>
      <c r="AN94" s="76"/>
      <c r="AO94" s="76"/>
      <c r="AP94" s="76"/>
      <c r="AQ94" s="76"/>
      <c r="AR94" s="76"/>
      <c r="AS94" s="76"/>
      <c r="BZ94" s="63" t="str">
        <f t="shared" si="40"/>
        <v>492</v>
      </c>
      <c r="CA94" s="63" t="str">
        <f t="shared" si="39"/>
        <v>592</v>
      </c>
      <c r="CB94" s="63" t="str">
        <f t="shared" si="41"/>
        <v>692</v>
      </c>
      <c r="CC94" s="63" t="str">
        <f t="shared" si="42"/>
        <v>792</v>
      </c>
      <c r="CD94" s="63" t="str">
        <f t="shared" si="43"/>
        <v>892</v>
      </c>
      <c r="CE94" s="63" t="str">
        <f t="shared" si="44"/>
        <v>992</v>
      </c>
      <c r="CF94" s="63" t="str">
        <f t="shared" si="45"/>
        <v>1092</v>
      </c>
      <c r="CG94" s="63" t="str">
        <f t="shared" si="46"/>
        <v>1192</v>
      </c>
      <c r="CH94" s="63" t="str">
        <f t="shared" si="47"/>
        <v>1292</v>
      </c>
      <c r="CI94" s="63" t="str">
        <f t="shared" si="48"/>
        <v>1392</v>
      </c>
      <c r="CJ94" s="63" t="str">
        <f t="shared" si="49"/>
        <v>1492</v>
      </c>
      <c r="CK94" s="63" t="str">
        <f t="shared" si="50"/>
        <v>1592</v>
      </c>
      <c r="CL94" s="63" t="str">
        <f t="shared" si="51"/>
        <v>1692</v>
      </c>
      <c r="CM94" s="63" t="str">
        <f t="shared" si="52"/>
        <v>1792</v>
      </c>
      <c r="CN94" s="63" t="str">
        <f t="shared" si="53"/>
        <v>1892</v>
      </c>
      <c r="CO94" s="63" t="str">
        <f t="shared" si="54"/>
        <v>1992</v>
      </c>
      <c r="CP94" s="63" t="str">
        <f t="shared" si="55"/>
        <v>2092</v>
      </c>
      <c r="CQ94" s="63" t="str">
        <f t="shared" si="56"/>
        <v>2192</v>
      </c>
      <c r="CR94" s="63" t="str">
        <f t="shared" si="57"/>
        <v>2292</v>
      </c>
      <c r="CS94" s="63" t="str">
        <f t="shared" si="58"/>
        <v>2392</v>
      </c>
      <c r="CT94" s="63" t="str">
        <f t="shared" si="59"/>
        <v>2492</v>
      </c>
      <c r="CU94" s="63" t="str">
        <f t="shared" si="60"/>
        <v>2592</v>
      </c>
      <c r="CV94" s="63" t="str">
        <f t="shared" si="61"/>
        <v>2692</v>
      </c>
      <c r="CW94" s="63" t="str">
        <f t="shared" si="62"/>
        <v>2792</v>
      </c>
      <c r="CX94" s="63" t="str">
        <f t="shared" si="63"/>
        <v>2892</v>
      </c>
      <c r="CY94" s="63" t="str">
        <f t="shared" si="64"/>
        <v>2992</v>
      </c>
      <c r="CZ94" s="63" t="str">
        <f t="shared" si="65"/>
        <v>3092</v>
      </c>
      <c r="DA94" s="63" t="str">
        <f t="shared" si="66"/>
        <v>3192</v>
      </c>
      <c r="DB94" s="63" t="str">
        <f t="shared" si="67"/>
        <v>3292</v>
      </c>
      <c r="DD94" s="72" t="s">
        <v>222</v>
      </c>
      <c r="DE94" s="77">
        <f t="shared" si="71"/>
        <v>2.2120000000000002</v>
      </c>
      <c r="DF94" s="77">
        <f t="shared" si="71"/>
        <v>2.2320000000000002</v>
      </c>
      <c r="DG94" s="77">
        <f t="shared" si="71"/>
        <v>2.2519999999999998</v>
      </c>
      <c r="DH94" s="77">
        <f t="shared" si="71"/>
        <v>2.2730000000000001</v>
      </c>
      <c r="DI94" s="77">
        <f t="shared" si="71"/>
        <v>2.2919999999999998</v>
      </c>
      <c r="DJ94" s="77">
        <f t="shared" si="71"/>
        <v>2.31</v>
      </c>
      <c r="DK94" s="77">
        <f t="shared" si="71"/>
        <v>2.3180000000000001</v>
      </c>
      <c r="DL94" s="77">
        <f t="shared" si="71"/>
        <v>2.3439999999999999</v>
      </c>
      <c r="DM94" s="77">
        <f t="shared" si="71"/>
        <v>2.36</v>
      </c>
      <c r="DN94" s="77">
        <f t="shared" si="71"/>
        <v>2.3759999999999999</v>
      </c>
      <c r="DO94" s="77">
        <f t="shared" si="71"/>
        <v>2.391</v>
      </c>
      <c r="DP94" s="77">
        <f t="shared" si="71"/>
        <v>2.4049999999999998</v>
      </c>
      <c r="DQ94" s="77">
        <f t="shared" si="71"/>
        <v>2.4209999999999998</v>
      </c>
      <c r="DR94" s="77">
        <f t="shared" si="71"/>
        <v>2.4369999999999998</v>
      </c>
      <c r="DS94" s="77">
        <f t="shared" si="71"/>
        <v>2.4540000000000002</v>
      </c>
      <c r="DT94" s="77">
        <f t="shared" si="70"/>
        <v>2.4710000000000001</v>
      </c>
      <c r="DU94" s="77">
        <f t="shared" si="69"/>
        <v>2.488</v>
      </c>
      <c r="DV94" s="77">
        <f t="shared" si="69"/>
        <v>2.504</v>
      </c>
      <c r="DW94" s="77">
        <f t="shared" si="69"/>
        <v>2.5190000000000001</v>
      </c>
      <c r="DX94" s="77">
        <f t="shared" si="68"/>
        <v>2.5339999999999998</v>
      </c>
      <c r="DY94" s="77">
        <f t="shared" si="68"/>
        <v>2.5489999999999999</v>
      </c>
      <c r="DZ94" s="77">
        <f t="shared" si="68"/>
        <v>2.5630000000000002</v>
      </c>
      <c r="EA94" s="77">
        <f t="shared" si="68"/>
        <v>2.5760000000000001</v>
      </c>
      <c r="EB94" s="77">
        <f t="shared" si="37"/>
        <v>2.589</v>
      </c>
      <c r="EC94" s="77">
        <f t="shared" si="37"/>
        <v>2.601</v>
      </c>
      <c r="ED94" s="77">
        <f t="shared" si="37"/>
        <v>2.6139999999999999</v>
      </c>
      <c r="EE94" s="77">
        <f t="shared" si="37"/>
        <v>2.625</v>
      </c>
      <c r="EF94" s="77">
        <f t="shared" si="37"/>
        <v>2.6360000000000001</v>
      </c>
      <c r="EG94" s="77">
        <f t="shared" si="37"/>
        <v>2.6469999999999998</v>
      </c>
    </row>
    <row r="95" spans="1:137" ht="12.6" customHeight="1">
      <c r="A95" s="73">
        <v>93</v>
      </c>
      <c r="B95" s="74">
        <v>2.2216999999999998</v>
      </c>
      <c r="C95" s="74">
        <v>2.2416999999999998</v>
      </c>
      <c r="D95" s="74">
        <v>2.2616999999999998</v>
      </c>
      <c r="E95" s="74">
        <v>2.2826999999999997</v>
      </c>
      <c r="F95" s="74">
        <v>2.3016999999999999</v>
      </c>
      <c r="G95" s="74">
        <v>2.3196999999999997</v>
      </c>
      <c r="H95" s="74">
        <v>2.3276999999999997</v>
      </c>
      <c r="I95" s="74">
        <v>2.3536999999999999</v>
      </c>
      <c r="J95" s="74">
        <v>2.3696999999999999</v>
      </c>
      <c r="K95" s="74">
        <v>2.3847</v>
      </c>
      <c r="L95" s="74">
        <v>2.3996999999999997</v>
      </c>
      <c r="M95" s="74">
        <v>2.4146999999999998</v>
      </c>
      <c r="N95" s="74">
        <v>2.4297</v>
      </c>
      <c r="O95" s="74">
        <v>2.4457</v>
      </c>
      <c r="P95" s="74">
        <v>2.4626999999999999</v>
      </c>
      <c r="Q95" s="74">
        <v>2.4796999999999998</v>
      </c>
      <c r="R95" s="74">
        <v>2.4956999999999998</v>
      </c>
      <c r="S95" s="74">
        <v>2.5116999999999998</v>
      </c>
      <c r="T95" s="74">
        <v>2.5276999999999998</v>
      </c>
      <c r="U95" s="74">
        <v>2.5427</v>
      </c>
      <c r="V95" s="74">
        <v>2.5566999999999998</v>
      </c>
      <c r="W95" s="74">
        <v>2.5707</v>
      </c>
      <c r="X95" s="74">
        <v>2.5836999999999999</v>
      </c>
      <c r="Y95" s="74">
        <v>2.5966999999999998</v>
      </c>
      <c r="Z95" s="74">
        <v>2.6096999999999997</v>
      </c>
      <c r="AA95" s="74">
        <v>2.6216999999999997</v>
      </c>
      <c r="AB95" s="74">
        <v>2.6326999999999998</v>
      </c>
      <c r="AC95" s="74">
        <v>2.6436999999999999</v>
      </c>
      <c r="AD95" s="75">
        <v>2.6536999999999997</v>
      </c>
      <c r="AE95" s="76"/>
      <c r="AF95" s="76"/>
      <c r="AG95" s="76"/>
      <c r="AH95" s="76"/>
      <c r="AI95" s="76"/>
      <c r="AJ95" s="76"/>
      <c r="AK95" s="76"/>
      <c r="AL95" s="76"/>
      <c r="AM95" s="76"/>
      <c r="AN95" s="76"/>
      <c r="AO95" s="76"/>
      <c r="AP95" s="76"/>
      <c r="AQ95" s="76"/>
      <c r="AR95" s="76"/>
      <c r="AS95" s="76"/>
      <c r="BZ95" s="63" t="str">
        <f t="shared" si="40"/>
        <v>493</v>
      </c>
      <c r="CA95" s="63" t="str">
        <f t="shared" si="39"/>
        <v>593</v>
      </c>
      <c r="CB95" s="63" t="str">
        <f t="shared" si="41"/>
        <v>693</v>
      </c>
      <c r="CC95" s="63" t="str">
        <f t="shared" si="42"/>
        <v>793</v>
      </c>
      <c r="CD95" s="63" t="str">
        <f t="shared" si="43"/>
        <v>893</v>
      </c>
      <c r="CE95" s="63" t="str">
        <f t="shared" si="44"/>
        <v>993</v>
      </c>
      <c r="CF95" s="63" t="str">
        <f t="shared" si="45"/>
        <v>1093</v>
      </c>
      <c r="CG95" s="63" t="str">
        <f t="shared" si="46"/>
        <v>1193</v>
      </c>
      <c r="CH95" s="63" t="str">
        <f t="shared" si="47"/>
        <v>1293</v>
      </c>
      <c r="CI95" s="63" t="str">
        <f t="shared" si="48"/>
        <v>1393</v>
      </c>
      <c r="CJ95" s="63" t="str">
        <f t="shared" si="49"/>
        <v>1493</v>
      </c>
      <c r="CK95" s="63" t="str">
        <f t="shared" si="50"/>
        <v>1593</v>
      </c>
      <c r="CL95" s="63" t="str">
        <f t="shared" si="51"/>
        <v>1693</v>
      </c>
      <c r="CM95" s="63" t="str">
        <f t="shared" si="52"/>
        <v>1793</v>
      </c>
      <c r="CN95" s="63" t="str">
        <f t="shared" si="53"/>
        <v>1893</v>
      </c>
      <c r="CO95" s="63" t="str">
        <f t="shared" si="54"/>
        <v>1993</v>
      </c>
      <c r="CP95" s="63" t="str">
        <f t="shared" si="55"/>
        <v>2093</v>
      </c>
      <c r="CQ95" s="63" t="str">
        <f t="shared" si="56"/>
        <v>2193</v>
      </c>
      <c r="CR95" s="63" t="str">
        <f t="shared" si="57"/>
        <v>2293</v>
      </c>
      <c r="CS95" s="63" t="str">
        <f t="shared" si="58"/>
        <v>2393</v>
      </c>
      <c r="CT95" s="63" t="str">
        <f t="shared" si="59"/>
        <v>2493</v>
      </c>
      <c r="CU95" s="63" t="str">
        <f t="shared" si="60"/>
        <v>2593</v>
      </c>
      <c r="CV95" s="63" t="str">
        <f t="shared" si="61"/>
        <v>2693</v>
      </c>
      <c r="CW95" s="63" t="str">
        <f t="shared" si="62"/>
        <v>2793</v>
      </c>
      <c r="CX95" s="63" t="str">
        <f t="shared" si="63"/>
        <v>2893</v>
      </c>
      <c r="CY95" s="63" t="str">
        <f t="shared" si="64"/>
        <v>2993</v>
      </c>
      <c r="CZ95" s="63" t="str">
        <f t="shared" si="65"/>
        <v>3093</v>
      </c>
      <c r="DA95" s="63" t="str">
        <f t="shared" si="66"/>
        <v>3193</v>
      </c>
      <c r="DB95" s="63" t="str">
        <f t="shared" si="67"/>
        <v>3293</v>
      </c>
      <c r="DD95" s="72" t="s">
        <v>223</v>
      </c>
      <c r="DE95" s="77">
        <f t="shared" si="71"/>
        <v>2.222</v>
      </c>
      <c r="DF95" s="77">
        <f t="shared" si="71"/>
        <v>2.242</v>
      </c>
      <c r="DG95" s="77">
        <f t="shared" si="71"/>
        <v>2.262</v>
      </c>
      <c r="DH95" s="77">
        <f t="shared" si="71"/>
        <v>2.2829999999999999</v>
      </c>
      <c r="DI95" s="77">
        <f t="shared" si="71"/>
        <v>2.302</v>
      </c>
      <c r="DJ95" s="77">
        <f t="shared" si="71"/>
        <v>2.3199999999999998</v>
      </c>
      <c r="DK95" s="77">
        <f t="shared" si="71"/>
        <v>2.3279999999999998</v>
      </c>
      <c r="DL95" s="77">
        <f t="shared" si="71"/>
        <v>2.3540000000000001</v>
      </c>
      <c r="DM95" s="77">
        <f t="shared" si="71"/>
        <v>2.37</v>
      </c>
      <c r="DN95" s="77">
        <f t="shared" si="71"/>
        <v>2.3849999999999998</v>
      </c>
      <c r="DO95" s="77">
        <f t="shared" si="71"/>
        <v>2.4</v>
      </c>
      <c r="DP95" s="77">
        <f t="shared" si="71"/>
        <v>2.415</v>
      </c>
      <c r="DQ95" s="77">
        <f t="shared" si="71"/>
        <v>2.4300000000000002</v>
      </c>
      <c r="DR95" s="77">
        <f t="shared" si="71"/>
        <v>2.4460000000000002</v>
      </c>
      <c r="DS95" s="77">
        <f t="shared" si="71"/>
        <v>2.4630000000000001</v>
      </c>
      <c r="DT95" s="77">
        <f t="shared" si="70"/>
        <v>2.48</v>
      </c>
      <c r="DU95" s="77">
        <f t="shared" si="69"/>
        <v>2.496</v>
      </c>
      <c r="DV95" s="77">
        <f t="shared" si="69"/>
        <v>2.512</v>
      </c>
      <c r="DW95" s="77">
        <f t="shared" si="69"/>
        <v>2.528</v>
      </c>
      <c r="DX95" s="77">
        <f t="shared" si="68"/>
        <v>2.5430000000000001</v>
      </c>
      <c r="DY95" s="77">
        <f t="shared" si="68"/>
        <v>2.5569999999999999</v>
      </c>
      <c r="DZ95" s="77">
        <f t="shared" si="68"/>
        <v>2.5710000000000002</v>
      </c>
      <c r="EA95" s="77">
        <f t="shared" si="68"/>
        <v>2.5840000000000001</v>
      </c>
      <c r="EB95" s="77">
        <f t="shared" si="37"/>
        <v>2.597</v>
      </c>
      <c r="EC95" s="77">
        <f t="shared" si="37"/>
        <v>2.61</v>
      </c>
      <c r="ED95" s="77">
        <f t="shared" si="37"/>
        <v>2.6219999999999999</v>
      </c>
      <c r="EE95" s="77">
        <f t="shared" si="37"/>
        <v>2.633</v>
      </c>
      <c r="EF95" s="77">
        <f t="shared" ref="EF95:EG158" si="72">ROUND(AC95,3)</f>
        <v>2.6440000000000001</v>
      </c>
      <c r="EG95" s="77">
        <f t="shared" si="72"/>
        <v>2.6539999999999999</v>
      </c>
    </row>
    <row r="96" spans="1:137" ht="12.6" customHeight="1">
      <c r="A96" s="73">
        <v>94</v>
      </c>
      <c r="B96" s="74">
        <v>2.2326999999999999</v>
      </c>
      <c r="C96" s="74">
        <v>2.2526999999999999</v>
      </c>
      <c r="D96" s="74">
        <v>2.2717000000000001</v>
      </c>
      <c r="E96" s="74">
        <v>2.2917000000000001</v>
      </c>
      <c r="F96" s="74">
        <v>2.3106999999999998</v>
      </c>
      <c r="G96" s="74">
        <v>2.3287</v>
      </c>
      <c r="H96" s="74">
        <v>2.3367</v>
      </c>
      <c r="I96" s="74">
        <v>2.3626999999999998</v>
      </c>
      <c r="J96" s="74">
        <v>2.3786999999999998</v>
      </c>
      <c r="K96" s="74">
        <v>2.3946999999999998</v>
      </c>
      <c r="L96" s="74">
        <v>2.4087000000000001</v>
      </c>
      <c r="M96" s="74">
        <v>2.4236999999999997</v>
      </c>
      <c r="N96" s="74">
        <v>2.4386999999999999</v>
      </c>
      <c r="O96" s="74">
        <v>2.4546999999999999</v>
      </c>
      <c r="P96" s="74">
        <v>2.4716999999999998</v>
      </c>
      <c r="Q96" s="74">
        <v>2.4886999999999997</v>
      </c>
      <c r="R96" s="74">
        <v>2.5046999999999997</v>
      </c>
      <c r="S96" s="74">
        <v>2.5206999999999997</v>
      </c>
      <c r="T96" s="74">
        <v>2.5356999999999998</v>
      </c>
      <c r="U96" s="74">
        <v>2.5507</v>
      </c>
      <c r="V96" s="74">
        <v>2.5646999999999998</v>
      </c>
      <c r="W96" s="74">
        <v>2.5787</v>
      </c>
      <c r="X96" s="74">
        <v>2.5916999999999999</v>
      </c>
      <c r="Y96" s="74">
        <v>2.6020000000000003</v>
      </c>
      <c r="Z96" s="74">
        <v>2.6176999999999997</v>
      </c>
      <c r="AA96" s="74">
        <v>2.6286999999999998</v>
      </c>
      <c r="AB96" s="74">
        <v>2.6406999999999998</v>
      </c>
      <c r="AC96" s="74">
        <v>2.6516999999999999</v>
      </c>
      <c r="AD96" s="75">
        <v>2.6616999999999997</v>
      </c>
      <c r="AE96" s="76"/>
      <c r="AF96" s="76"/>
      <c r="AG96" s="76"/>
      <c r="AH96" s="76"/>
      <c r="AI96" s="76"/>
      <c r="AJ96" s="76"/>
      <c r="AK96" s="76"/>
      <c r="AL96" s="76"/>
      <c r="AM96" s="76"/>
      <c r="AN96" s="76"/>
      <c r="AO96" s="76"/>
      <c r="AP96" s="76"/>
      <c r="AQ96" s="76"/>
      <c r="AR96" s="76"/>
      <c r="AS96" s="76"/>
      <c r="BZ96" s="63" t="str">
        <f t="shared" si="40"/>
        <v>494</v>
      </c>
      <c r="CA96" s="63" t="str">
        <f t="shared" si="39"/>
        <v>594</v>
      </c>
      <c r="CB96" s="63" t="str">
        <f t="shared" si="41"/>
        <v>694</v>
      </c>
      <c r="CC96" s="63" t="str">
        <f t="shared" si="42"/>
        <v>794</v>
      </c>
      <c r="CD96" s="63" t="str">
        <f t="shared" si="43"/>
        <v>894</v>
      </c>
      <c r="CE96" s="63" t="str">
        <f t="shared" si="44"/>
        <v>994</v>
      </c>
      <c r="CF96" s="63" t="str">
        <f t="shared" si="45"/>
        <v>1094</v>
      </c>
      <c r="CG96" s="63" t="str">
        <f t="shared" si="46"/>
        <v>1194</v>
      </c>
      <c r="CH96" s="63" t="str">
        <f t="shared" si="47"/>
        <v>1294</v>
      </c>
      <c r="CI96" s="63" t="str">
        <f t="shared" si="48"/>
        <v>1394</v>
      </c>
      <c r="CJ96" s="63" t="str">
        <f t="shared" si="49"/>
        <v>1494</v>
      </c>
      <c r="CK96" s="63" t="str">
        <f t="shared" si="50"/>
        <v>1594</v>
      </c>
      <c r="CL96" s="63" t="str">
        <f t="shared" si="51"/>
        <v>1694</v>
      </c>
      <c r="CM96" s="63" t="str">
        <f t="shared" si="52"/>
        <v>1794</v>
      </c>
      <c r="CN96" s="63" t="str">
        <f t="shared" si="53"/>
        <v>1894</v>
      </c>
      <c r="CO96" s="63" t="str">
        <f t="shared" si="54"/>
        <v>1994</v>
      </c>
      <c r="CP96" s="63" t="str">
        <f t="shared" si="55"/>
        <v>2094</v>
      </c>
      <c r="CQ96" s="63" t="str">
        <f t="shared" si="56"/>
        <v>2194</v>
      </c>
      <c r="CR96" s="63" t="str">
        <f t="shared" si="57"/>
        <v>2294</v>
      </c>
      <c r="CS96" s="63" t="str">
        <f t="shared" si="58"/>
        <v>2394</v>
      </c>
      <c r="CT96" s="63" t="str">
        <f t="shared" si="59"/>
        <v>2494</v>
      </c>
      <c r="CU96" s="63" t="str">
        <f t="shared" si="60"/>
        <v>2594</v>
      </c>
      <c r="CV96" s="63" t="str">
        <f t="shared" si="61"/>
        <v>2694</v>
      </c>
      <c r="CW96" s="63" t="str">
        <f t="shared" si="62"/>
        <v>2794</v>
      </c>
      <c r="CX96" s="63" t="str">
        <f t="shared" si="63"/>
        <v>2894</v>
      </c>
      <c r="CY96" s="63" t="str">
        <f t="shared" si="64"/>
        <v>2994</v>
      </c>
      <c r="CZ96" s="63" t="str">
        <f t="shared" si="65"/>
        <v>3094</v>
      </c>
      <c r="DA96" s="63" t="str">
        <f t="shared" si="66"/>
        <v>3194</v>
      </c>
      <c r="DB96" s="63" t="str">
        <f t="shared" si="67"/>
        <v>3294</v>
      </c>
      <c r="DD96" s="72" t="s">
        <v>224</v>
      </c>
      <c r="DE96" s="77">
        <f t="shared" si="71"/>
        <v>2.2330000000000001</v>
      </c>
      <c r="DF96" s="77">
        <f t="shared" si="71"/>
        <v>2.2530000000000001</v>
      </c>
      <c r="DG96" s="77">
        <f t="shared" si="71"/>
        <v>2.2719999999999998</v>
      </c>
      <c r="DH96" s="77">
        <f t="shared" si="71"/>
        <v>2.2919999999999998</v>
      </c>
      <c r="DI96" s="77">
        <f t="shared" si="71"/>
        <v>2.3109999999999999</v>
      </c>
      <c r="DJ96" s="77">
        <f t="shared" si="71"/>
        <v>2.3290000000000002</v>
      </c>
      <c r="DK96" s="77">
        <f t="shared" si="71"/>
        <v>2.3370000000000002</v>
      </c>
      <c r="DL96" s="77">
        <f t="shared" si="71"/>
        <v>2.363</v>
      </c>
      <c r="DM96" s="77">
        <f t="shared" si="71"/>
        <v>2.379</v>
      </c>
      <c r="DN96" s="77">
        <f t="shared" si="71"/>
        <v>2.395</v>
      </c>
      <c r="DO96" s="77">
        <f t="shared" si="71"/>
        <v>2.4089999999999998</v>
      </c>
      <c r="DP96" s="77">
        <f t="shared" si="71"/>
        <v>2.4239999999999999</v>
      </c>
      <c r="DQ96" s="77">
        <f t="shared" si="71"/>
        <v>2.4390000000000001</v>
      </c>
      <c r="DR96" s="77">
        <f t="shared" si="71"/>
        <v>2.4550000000000001</v>
      </c>
      <c r="DS96" s="77">
        <f t="shared" si="71"/>
        <v>2.472</v>
      </c>
      <c r="DT96" s="77">
        <f t="shared" si="70"/>
        <v>2.4889999999999999</v>
      </c>
      <c r="DU96" s="77">
        <f t="shared" si="69"/>
        <v>2.5049999999999999</v>
      </c>
      <c r="DV96" s="77">
        <f t="shared" si="69"/>
        <v>2.5209999999999999</v>
      </c>
      <c r="DW96" s="77">
        <f t="shared" si="69"/>
        <v>2.536</v>
      </c>
      <c r="DX96" s="77">
        <f t="shared" si="68"/>
        <v>2.5510000000000002</v>
      </c>
      <c r="DY96" s="77">
        <f t="shared" si="68"/>
        <v>2.5649999999999999</v>
      </c>
      <c r="DZ96" s="77">
        <f t="shared" si="68"/>
        <v>2.5790000000000002</v>
      </c>
      <c r="EA96" s="77">
        <f t="shared" si="68"/>
        <v>2.5920000000000001</v>
      </c>
      <c r="EB96" s="77">
        <f t="shared" si="68"/>
        <v>2.6019999999999999</v>
      </c>
      <c r="EC96" s="77">
        <f t="shared" si="68"/>
        <v>2.6179999999999999</v>
      </c>
      <c r="ED96" s="77">
        <f t="shared" si="68"/>
        <v>2.629</v>
      </c>
      <c r="EE96" s="77">
        <f t="shared" si="68"/>
        <v>2.641</v>
      </c>
      <c r="EF96" s="77">
        <f t="shared" si="72"/>
        <v>2.6520000000000001</v>
      </c>
      <c r="EG96" s="77">
        <f t="shared" si="72"/>
        <v>2.6619999999999999</v>
      </c>
    </row>
    <row r="97" spans="1:137" ht="12.6" customHeight="1">
      <c r="A97" s="73">
        <v>95</v>
      </c>
      <c r="B97" s="74">
        <v>2.2426999999999997</v>
      </c>
      <c r="C97" s="74">
        <v>2.2626999999999997</v>
      </c>
      <c r="D97" s="74">
        <v>2.2816999999999998</v>
      </c>
      <c r="E97" s="74">
        <v>2.3016999999999999</v>
      </c>
      <c r="F97" s="74">
        <v>2.3207</v>
      </c>
      <c r="G97" s="74">
        <v>2.3386999999999998</v>
      </c>
      <c r="H97" s="74">
        <v>2.3466999999999998</v>
      </c>
      <c r="I97" s="74">
        <v>2.3727</v>
      </c>
      <c r="J97" s="74">
        <v>2.3887</v>
      </c>
      <c r="K97" s="74">
        <v>2.4036999999999997</v>
      </c>
      <c r="L97" s="74">
        <v>2.4177</v>
      </c>
      <c r="M97" s="74">
        <v>2.4326999999999996</v>
      </c>
      <c r="N97" s="74">
        <v>2.4476999999999998</v>
      </c>
      <c r="O97" s="74">
        <v>2.4636999999999998</v>
      </c>
      <c r="P97" s="74">
        <v>2.4806999999999997</v>
      </c>
      <c r="Q97" s="74">
        <v>2.4977</v>
      </c>
      <c r="R97" s="74">
        <v>2.5137</v>
      </c>
      <c r="S97" s="74">
        <v>2.5286999999999997</v>
      </c>
      <c r="T97" s="74">
        <v>2.5446999999999997</v>
      </c>
      <c r="U97" s="74">
        <v>2.5587</v>
      </c>
      <c r="V97" s="74">
        <v>2.5726999999999998</v>
      </c>
      <c r="W97" s="74">
        <v>2.5867</v>
      </c>
      <c r="X97" s="74">
        <v>2.5996999999999999</v>
      </c>
      <c r="Y97" s="74">
        <v>2.6126999999999998</v>
      </c>
      <c r="Z97" s="74">
        <v>2.6246999999999998</v>
      </c>
      <c r="AA97" s="74">
        <v>2.6366999999999998</v>
      </c>
      <c r="AB97" s="74">
        <v>2.6486999999999998</v>
      </c>
      <c r="AC97" s="74">
        <v>2.6587000000000001</v>
      </c>
      <c r="AD97" s="75">
        <v>2.6696999999999997</v>
      </c>
      <c r="AE97" s="76"/>
      <c r="AF97" s="76"/>
      <c r="AG97" s="76"/>
      <c r="AH97" s="76"/>
      <c r="AI97" s="76"/>
      <c r="AJ97" s="76"/>
      <c r="AK97" s="76"/>
      <c r="AL97" s="76"/>
      <c r="AM97" s="76"/>
      <c r="AN97" s="76"/>
      <c r="AO97" s="76"/>
      <c r="AP97" s="76"/>
      <c r="AQ97" s="76"/>
      <c r="AR97" s="76"/>
      <c r="AS97" s="76"/>
      <c r="BZ97" s="63" t="str">
        <f t="shared" si="40"/>
        <v>495</v>
      </c>
      <c r="CA97" s="63" t="str">
        <f t="shared" si="39"/>
        <v>595</v>
      </c>
      <c r="CB97" s="63" t="str">
        <f t="shared" si="41"/>
        <v>695</v>
      </c>
      <c r="CC97" s="63" t="str">
        <f t="shared" si="42"/>
        <v>795</v>
      </c>
      <c r="CD97" s="63" t="str">
        <f t="shared" si="43"/>
        <v>895</v>
      </c>
      <c r="CE97" s="63" t="str">
        <f t="shared" si="44"/>
        <v>995</v>
      </c>
      <c r="CF97" s="63" t="str">
        <f t="shared" si="45"/>
        <v>1095</v>
      </c>
      <c r="CG97" s="63" t="str">
        <f t="shared" si="46"/>
        <v>1195</v>
      </c>
      <c r="CH97" s="63" t="str">
        <f t="shared" si="47"/>
        <v>1295</v>
      </c>
      <c r="CI97" s="63" t="str">
        <f t="shared" si="48"/>
        <v>1395</v>
      </c>
      <c r="CJ97" s="63" t="str">
        <f t="shared" si="49"/>
        <v>1495</v>
      </c>
      <c r="CK97" s="63" t="str">
        <f t="shared" si="50"/>
        <v>1595</v>
      </c>
      <c r="CL97" s="63" t="str">
        <f t="shared" si="51"/>
        <v>1695</v>
      </c>
      <c r="CM97" s="63" t="str">
        <f t="shared" si="52"/>
        <v>1795</v>
      </c>
      <c r="CN97" s="63" t="str">
        <f t="shared" si="53"/>
        <v>1895</v>
      </c>
      <c r="CO97" s="63" t="str">
        <f t="shared" si="54"/>
        <v>1995</v>
      </c>
      <c r="CP97" s="63" t="str">
        <f t="shared" si="55"/>
        <v>2095</v>
      </c>
      <c r="CQ97" s="63" t="str">
        <f t="shared" si="56"/>
        <v>2195</v>
      </c>
      <c r="CR97" s="63" t="str">
        <f t="shared" si="57"/>
        <v>2295</v>
      </c>
      <c r="CS97" s="63" t="str">
        <f t="shared" si="58"/>
        <v>2395</v>
      </c>
      <c r="CT97" s="63" t="str">
        <f t="shared" si="59"/>
        <v>2495</v>
      </c>
      <c r="CU97" s="63" t="str">
        <f t="shared" si="60"/>
        <v>2595</v>
      </c>
      <c r="CV97" s="63" t="str">
        <f t="shared" si="61"/>
        <v>2695</v>
      </c>
      <c r="CW97" s="63" t="str">
        <f t="shared" si="62"/>
        <v>2795</v>
      </c>
      <c r="CX97" s="63" t="str">
        <f t="shared" si="63"/>
        <v>2895</v>
      </c>
      <c r="CY97" s="63" t="str">
        <f t="shared" si="64"/>
        <v>2995</v>
      </c>
      <c r="CZ97" s="63" t="str">
        <f t="shared" si="65"/>
        <v>3095</v>
      </c>
      <c r="DA97" s="63" t="str">
        <f t="shared" si="66"/>
        <v>3195</v>
      </c>
      <c r="DB97" s="63" t="str">
        <f t="shared" si="67"/>
        <v>3295</v>
      </c>
      <c r="DD97" s="72" t="s">
        <v>225</v>
      </c>
      <c r="DE97" s="77">
        <f t="shared" si="71"/>
        <v>2.2429999999999999</v>
      </c>
      <c r="DF97" s="77">
        <f t="shared" si="71"/>
        <v>2.2629999999999999</v>
      </c>
      <c r="DG97" s="77">
        <f t="shared" si="71"/>
        <v>2.282</v>
      </c>
      <c r="DH97" s="77">
        <f t="shared" si="71"/>
        <v>2.302</v>
      </c>
      <c r="DI97" s="77">
        <f t="shared" si="71"/>
        <v>2.3210000000000002</v>
      </c>
      <c r="DJ97" s="77">
        <f t="shared" si="71"/>
        <v>2.339</v>
      </c>
      <c r="DK97" s="77">
        <f t="shared" si="71"/>
        <v>2.347</v>
      </c>
      <c r="DL97" s="77">
        <f t="shared" si="71"/>
        <v>2.3730000000000002</v>
      </c>
      <c r="DM97" s="77">
        <f t="shared" si="71"/>
        <v>2.3889999999999998</v>
      </c>
      <c r="DN97" s="77">
        <f t="shared" si="71"/>
        <v>2.4039999999999999</v>
      </c>
      <c r="DO97" s="77">
        <f t="shared" si="71"/>
        <v>2.4180000000000001</v>
      </c>
      <c r="DP97" s="77">
        <f t="shared" si="71"/>
        <v>2.4329999999999998</v>
      </c>
      <c r="DQ97" s="77">
        <f t="shared" si="71"/>
        <v>2.448</v>
      </c>
      <c r="DR97" s="77">
        <f t="shared" si="71"/>
        <v>2.464</v>
      </c>
      <c r="DS97" s="77">
        <f t="shared" si="71"/>
        <v>2.4809999999999999</v>
      </c>
      <c r="DT97" s="77">
        <f t="shared" si="70"/>
        <v>2.4980000000000002</v>
      </c>
      <c r="DU97" s="77">
        <f t="shared" si="69"/>
        <v>2.5139999999999998</v>
      </c>
      <c r="DV97" s="77">
        <f t="shared" si="69"/>
        <v>2.5289999999999999</v>
      </c>
      <c r="DW97" s="77">
        <f t="shared" si="69"/>
        <v>2.5449999999999999</v>
      </c>
      <c r="DX97" s="77">
        <f t="shared" si="68"/>
        <v>2.5590000000000002</v>
      </c>
      <c r="DY97" s="77">
        <f t="shared" si="68"/>
        <v>2.573</v>
      </c>
      <c r="DZ97" s="77">
        <f t="shared" si="68"/>
        <v>2.5870000000000002</v>
      </c>
      <c r="EA97" s="77">
        <f t="shared" si="68"/>
        <v>2.6</v>
      </c>
      <c r="EB97" s="77">
        <f t="shared" si="68"/>
        <v>2.613</v>
      </c>
      <c r="EC97" s="77">
        <f t="shared" si="68"/>
        <v>2.625</v>
      </c>
      <c r="ED97" s="77">
        <f t="shared" si="68"/>
        <v>2.637</v>
      </c>
      <c r="EE97" s="77">
        <f t="shared" si="68"/>
        <v>2.649</v>
      </c>
      <c r="EF97" s="77">
        <f t="shared" si="72"/>
        <v>2.6589999999999998</v>
      </c>
      <c r="EG97" s="77">
        <f t="shared" si="72"/>
        <v>2.67</v>
      </c>
    </row>
    <row r="98" spans="1:137" ht="12.6" customHeight="1">
      <c r="A98" s="73">
        <v>96</v>
      </c>
      <c r="B98" s="74">
        <v>2.2549999999999999</v>
      </c>
      <c r="C98" s="74">
        <v>2.274</v>
      </c>
      <c r="D98" s="74">
        <v>2.2930000000000001</v>
      </c>
      <c r="E98" s="74">
        <v>2.3129999999999997</v>
      </c>
      <c r="F98" s="74">
        <v>2.331</v>
      </c>
      <c r="G98" s="74">
        <v>2.3489999999999998</v>
      </c>
      <c r="H98" s="74">
        <v>2.3569999999999998</v>
      </c>
      <c r="I98" s="74">
        <v>2.383</v>
      </c>
      <c r="J98" s="74">
        <v>2.399</v>
      </c>
      <c r="K98" s="74">
        <v>2.4140000000000001</v>
      </c>
      <c r="L98" s="74">
        <v>2.4279999999999999</v>
      </c>
      <c r="M98" s="74">
        <v>2.4430000000000001</v>
      </c>
      <c r="N98" s="74">
        <v>2.4579999999999997</v>
      </c>
      <c r="O98" s="74">
        <v>2.4739999999999998</v>
      </c>
      <c r="P98" s="74">
        <v>2.4910000000000001</v>
      </c>
      <c r="Q98" s="74">
        <v>2.5070000000000001</v>
      </c>
      <c r="R98" s="74">
        <v>2.5230000000000001</v>
      </c>
      <c r="S98" s="74">
        <v>2.5390000000000001</v>
      </c>
      <c r="T98" s="74">
        <v>2.5539999999999998</v>
      </c>
      <c r="U98" s="74">
        <v>2.5680000000000001</v>
      </c>
      <c r="V98" s="74">
        <v>2.5829999999999997</v>
      </c>
      <c r="W98" s="74">
        <v>2.5960000000000001</v>
      </c>
      <c r="X98" s="74">
        <v>2.609</v>
      </c>
      <c r="Y98" s="74">
        <v>2.6219999999999999</v>
      </c>
      <c r="Z98" s="74">
        <v>2.6339999999999999</v>
      </c>
      <c r="AA98" s="74">
        <v>2.6459999999999999</v>
      </c>
      <c r="AB98" s="74">
        <v>2.6549999999999998</v>
      </c>
      <c r="AC98" s="74">
        <v>2.6680000000000001</v>
      </c>
      <c r="AD98" s="75">
        <v>2.6719999999999997</v>
      </c>
      <c r="AE98" s="76"/>
      <c r="AF98" s="76"/>
      <c r="AG98" s="76"/>
      <c r="AH98" s="76"/>
      <c r="AI98" s="76"/>
      <c r="AJ98" s="76"/>
      <c r="AK98" s="76"/>
      <c r="AL98" s="76"/>
      <c r="AM98" s="76"/>
      <c r="AN98" s="76"/>
      <c r="AO98" s="76"/>
      <c r="AP98" s="76"/>
      <c r="AQ98" s="76"/>
      <c r="AR98" s="76"/>
      <c r="AS98" s="76"/>
      <c r="BZ98" s="63" t="str">
        <f t="shared" si="40"/>
        <v>496</v>
      </c>
      <c r="CA98" s="63" t="str">
        <f t="shared" si="39"/>
        <v>596</v>
      </c>
      <c r="CB98" s="63" t="str">
        <f t="shared" si="41"/>
        <v>696</v>
      </c>
      <c r="CC98" s="63" t="str">
        <f t="shared" si="42"/>
        <v>796</v>
      </c>
      <c r="CD98" s="63" t="str">
        <f t="shared" si="43"/>
        <v>896</v>
      </c>
      <c r="CE98" s="63" t="str">
        <f t="shared" si="44"/>
        <v>996</v>
      </c>
      <c r="CF98" s="63" t="str">
        <f t="shared" si="45"/>
        <v>1096</v>
      </c>
      <c r="CG98" s="63" t="str">
        <f t="shared" si="46"/>
        <v>1196</v>
      </c>
      <c r="CH98" s="63" t="str">
        <f t="shared" si="47"/>
        <v>1296</v>
      </c>
      <c r="CI98" s="63" t="str">
        <f t="shared" si="48"/>
        <v>1396</v>
      </c>
      <c r="CJ98" s="63" t="str">
        <f t="shared" si="49"/>
        <v>1496</v>
      </c>
      <c r="CK98" s="63" t="str">
        <f t="shared" si="50"/>
        <v>1596</v>
      </c>
      <c r="CL98" s="63" t="str">
        <f t="shared" si="51"/>
        <v>1696</v>
      </c>
      <c r="CM98" s="63" t="str">
        <f t="shared" si="52"/>
        <v>1796</v>
      </c>
      <c r="CN98" s="63" t="str">
        <f t="shared" si="53"/>
        <v>1896</v>
      </c>
      <c r="CO98" s="63" t="str">
        <f t="shared" si="54"/>
        <v>1996</v>
      </c>
      <c r="CP98" s="63" t="str">
        <f t="shared" si="55"/>
        <v>2096</v>
      </c>
      <c r="CQ98" s="63" t="str">
        <f t="shared" si="56"/>
        <v>2196</v>
      </c>
      <c r="CR98" s="63" t="str">
        <f t="shared" si="57"/>
        <v>2296</v>
      </c>
      <c r="CS98" s="63" t="str">
        <f t="shared" si="58"/>
        <v>2396</v>
      </c>
      <c r="CT98" s="63" t="str">
        <f t="shared" si="59"/>
        <v>2496</v>
      </c>
      <c r="CU98" s="63" t="str">
        <f t="shared" si="60"/>
        <v>2596</v>
      </c>
      <c r="CV98" s="63" t="str">
        <f t="shared" si="61"/>
        <v>2696</v>
      </c>
      <c r="CW98" s="63" t="str">
        <f t="shared" si="62"/>
        <v>2796</v>
      </c>
      <c r="CX98" s="63" t="str">
        <f t="shared" si="63"/>
        <v>2896</v>
      </c>
      <c r="CY98" s="63" t="str">
        <f t="shared" si="64"/>
        <v>2996</v>
      </c>
      <c r="CZ98" s="63" t="str">
        <f t="shared" si="65"/>
        <v>3096</v>
      </c>
      <c r="DA98" s="63" t="str">
        <f t="shared" si="66"/>
        <v>3196</v>
      </c>
      <c r="DB98" s="63" t="str">
        <f t="shared" si="67"/>
        <v>3296</v>
      </c>
      <c r="DD98" s="72" t="s">
        <v>226</v>
      </c>
      <c r="DE98" s="77">
        <f t="shared" si="71"/>
        <v>2.2549999999999999</v>
      </c>
      <c r="DF98" s="77">
        <f t="shared" si="71"/>
        <v>2.274</v>
      </c>
      <c r="DG98" s="77">
        <f t="shared" si="71"/>
        <v>2.2930000000000001</v>
      </c>
      <c r="DH98" s="77">
        <f t="shared" si="71"/>
        <v>2.3130000000000002</v>
      </c>
      <c r="DI98" s="77">
        <f t="shared" si="71"/>
        <v>2.331</v>
      </c>
      <c r="DJ98" s="77">
        <f t="shared" si="71"/>
        <v>2.3490000000000002</v>
      </c>
      <c r="DK98" s="77">
        <f t="shared" si="71"/>
        <v>2.3570000000000002</v>
      </c>
      <c r="DL98" s="77">
        <f t="shared" si="71"/>
        <v>2.383</v>
      </c>
      <c r="DM98" s="77">
        <f t="shared" si="71"/>
        <v>2.399</v>
      </c>
      <c r="DN98" s="77">
        <f t="shared" si="71"/>
        <v>2.4140000000000001</v>
      </c>
      <c r="DO98" s="77">
        <f t="shared" si="71"/>
        <v>2.4279999999999999</v>
      </c>
      <c r="DP98" s="77">
        <f t="shared" si="71"/>
        <v>2.4430000000000001</v>
      </c>
      <c r="DQ98" s="77">
        <f t="shared" si="71"/>
        <v>2.4580000000000002</v>
      </c>
      <c r="DR98" s="77">
        <f t="shared" si="71"/>
        <v>2.4740000000000002</v>
      </c>
      <c r="DS98" s="77">
        <f t="shared" si="71"/>
        <v>2.4910000000000001</v>
      </c>
      <c r="DT98" s="77">
        <f t="shared" si="70"/>
        <v>2.5070000000000001</v>
      </c>
      <c r="DU98" s="77">
        <f t="shared" si="69"/>
        <v>2.5230000000000001</v>
      </c>
      <c r="DV98" s="77">
        <f t="shared" si="69"/>
        <v>2.5390000000000001</v>
      </c>
      <c r="DW98" s="77">
        <f t="shared" si="69"/>
        <v>2.5539999999999998</v>
      </c>
      <c r="DX98" s="77">
        <f t="shared" si="68"/>
        <v>2.5680000000000001</v>
      </c>
      <c r="DY98" s="77">
        <f t="shared" si="68"/>
        <v>2.5830000000000002</v>
      </c>
      <c r="DZ98" s="77">
        <f t="shared" si="68"/>
        <v>2.5960000000000001</v>
      </c>
      <c r="EA98" s="77">
        <f t="shared" si="68"/>
        <v>2.609</v>
      </c>
      <c r="EB98" s="77">
        <f t="shared" si="68"/>
        <v>2.6219999999999999</v>
      </c>
      <c r="EC98" s="77">
        <f t="shared" si="68"/>
        <v>2.6339999999999999</v>
      </c>
      <c r="ED98" s="77">
        <f t="shared" si="68"/>
        <v>2.6459999999999999</v>
      </c>
      <c r="EE98" s="77">
        <f t="shared" si="68"/>
        <v>2.6549999999999998</v>
      </c>
      <c r="EF98" s="77">
        <f t="shared" si="72"/>
        <v>2.6680000000000001</v>
      </c>
      <c r="EG98" s="77">
        <f t="shared" si="72"/>
        <v>2.6720000000000002</v>
      </c>
    </row>
    <row r="99" spans="1:137" ht="12.6" customHeight="1">
      <c r="A99" s="73">
        <v>97</v>
      </c>
      <c r="B99" s="74">
        <v>2.2629999999999999</v>
      </c>
      <c r="C99" s="74">
        <v>2.2829999999999999</v>
      </c>
      <c r="D99" s="74">
        <v>2.302</v>
      </c>
      <c r="E99" s="74">
        <v>2.3199999999999998</v>
      </c>
      <c r="F99" s="74">
        <v>2.3389999999999995</v>
      </c>
      <c r="G99" s="74">
        <v>2.3569999999999998</v>
      </c>
      <c r="H99" s="74">
        <v>2.3639999999999999</v>
      </c>
      <c r="I99" s="74">
        <v>2.3899999999999997</v>
      </c>
      <c r="J99" s="74">
        <v>2.4059999999999997</v>
      </c>
      <c r="K99" s="74">
        <v>2.4209999999999998</v>
      </c>
      <c r="L99" s="74">
        <v>2.4349999999999996</v>
      </c>
      <c r="M99" s="74">
        <v>2.4499999999999997</v>
      </c>
      <c r="N99" s="74">
        <v>2.4639999999999995</v>
      </c>
      <c r="O99" s="74">
        <v>2.4809999999999999</v>
      </c>
      <c r="P99" s="74">
        <v>2.4969999999999999</v>
      </c>
      <c r="Q99" s="74">
        <v>2.512</v>
      </c>
      <c r="R99" s="74">
        <v>2.5249999999999999</v>
      </c>
      <c r="S99" s="74">
        <v>2.54</v>
      </c>
      <c r="T99" s="74">
        <v>2.5549999999999997</v>
      </c>
      <c r="U99" s="74">
        <v>2.57</v>
      </c>
      <c r="V99" s="74">
        <v>2.5839999999999996</v>
      </c>
      <c r="W99" s="74">
        <v>2.597</v>
      </c>
      <c r="X99" s="74">
        <v>2.61</v>
      </c>
      <c r="Y99" s="74">
        <v>2.6229999999999998</v>
      </c>
      <c r="Z99" s="74">
        <v>2.6349999999999998</v>
      </c>
      <c r="AA99" s="74">
        <v>2.6469999999999998</v>
      </c>
      <c r="AB99" s="74">
        <v>2.6579999999999999</v>
      </c>
      <c r="AC99" s="74">
        <v>2.6689999999999996</v>
      </c>
      <c r="AD99" s="75">
        <v>2.6789999999999998</v>
      </c>
      <c r="AE99" s="76"/>
      <c r="AF99" s="76"/>
      <c r="AG99" s="76"/>
      <c r="AH99" s="76"/>
      <c r="AI99" s="76"/>
      <c r="AJ99" s="76"/>
      <c r="AK99" s="76"/>
      <c r="AL99" s="76"/>
      <c r="AM99" s="76"/>
      <c r="AN99" s="76"/>
      <c r="AO99" s="76"/>
      <c r="AP99" s="76"/>
      <c r="AQ99" s="76"/>
      <c r="AR99" s="76"/>
      <c r="AS99" s="76"/>
      <c r="BZ99" s="63" t="str">
        <f t="shared" si="40"/>
        <v>497</v>
      </c>
      <c r="CA99" s="63" t="str">
        <f t="shared" si="39"/>
        <v>597</v>
      </c>
      <c r="CB99" s="63" t="str">
        <f t="shared" si="41"/>
        <v>697</v>
      </c>
      <c r="CC99" s="63" t="str">
        <f t="shared" si="42"/>
        <v>797</v>
      </c>
      <c r="CD99" s="63" t="str">
        <f t="shared" si="43"/>
        <v>897</v>
      </c>
      <c r="CE99" s="63" t="str">
        <f t="shared" si="44"/>
        <v>997</v>
      </c>
      <c r="CF99" s="63" t="str">
        <f t="shared" si="45"/>
        <v>1097</v>
      </c>
      <c r="CG99" s="63" t="str">
        <f t="shared" si="46"/>
        <v>1197</v>
      </c>
      <c r="CH99" s="63" t="str">
        <f t="shared" si="47"/>
        <v>1297</v>
      </c>
      <c r="CI99" s="63" t="str">
        <f t="shared" si="48"/>
        <v>1397</v>
      </c>
      <c r="CJ99" s="63" t="str">
        <f t="shared" si="49"/>
        <v>1497</v>
      </c>
      <c r="CK99" s="63" t="str">
        <f t="shared" si="50"/>
        <v>1597</v>
      </c>
      <c r="CL99" s="63" t="str">
        <f t="shared" si="51"/>
        <v>1697</v>
      </c>
      <c r="CM99" s="63" t="str">
        <f t="shared" si="52"/>
        <v>1797</v>
      </c>
      <c r="CN99" s="63" t="str">
        <f t="shared" si="53"/>
        <v>1897</v>
      </c>
      <c r="CO99" s="63" t="str">
        <f t="shared" si="54"/>
        <v>1997</v>
      </c>
      <c r="CP99" s="63" t="str">
        <f t="shared" si="55"/>
        <v>2097</v>
      </c>
      <c r="CQ99" s="63" t="str">
        <f t="shared" si="56"/>
        <v>2197</v>
      </c>
      <c r="CR99" s="63" t="str">
        <f t="shared" si="57"/>
        <v>2297</v>
      </c>
      <c r="CS99" s="63" t="str">
        <f t="shared" si="58"/>
        <v>2397</v>
      </c>
      <c r="CT99" s="63" t="str">
        <f t="shared" si="59"/>
        <v>2497</v>
      </c>
      <c r="CU99" s="63" t="str">
        <f t="shared" si="60"/>
        <v>2597</v>
      </c>
      <c r="CV99" s="63" t="str">
        <f t="shared" si="61"/>
        <v>2697</v>
      </c>
      <c r="CW99" s="63" t="str">
        <f t="shared" si="62"/>
        <v>2797</v>
      </c>
      <c r="CX99" s="63" t="str">
        <f t="shared" si="63"/>
        <v>2897</v>
      </c>
      <c r="CY99" s="63" t="str">
        <f t="shared" si="64"/>
        <v>2997</v>
      </c>
      <c r="CZ99" s="63" t="str">
        <f t="shared" si="65"/>
        <v>3097</v>
      </c>
      <c r="DA99" s="63" t="str">
        <f t="shared" si="66"/>
        <v>3197</v>
      </c>
      <c r="DB99" s="63" t="str">
        <f t="shared" si="67"/>
        <v>3297</v>
      </c>
      <c r="DD99" s="72" t="s">
        <v>227</v>
      </c>
      <c r="DE99" s="77">
        <f t="shared" si="71"/>
        <v>2.2629999999999999</v>
      </c>
      <c r="DF99" s="77">
        <f t="shared" si="71"/>
        <v>2.2829999999999999</v>
      </c>
      <c r="DG99" s="77">
        <f t="shared" si="71"/>
        <v>2.302</v>
      </c>
      <c r="DH99" s="77">
        <f t="shared" si="71"/>
        <v>2.3199999999999998</v>
      </c>
      <c r="DI99" s="77">
        <f t="shared" si="71"/>
        <v>2.339</v>
      </c>
      <c r="DJ99" s="77">
        <f t="shared" si="71"/>
        <v>2.3570000000000002</v>
      </c>
      <c r="DK99" s="77">
        <f t="shared" si="71"/>
        <v>2.3639999999999999</v>
      </c>
      <c r="DL99" s="77">
        <f t="shared" si="71"/>
        <v>2.39</v>
      </c>
      <c r="DM99" s="77">
        <f t="shared" si="71"/>
        <v>2.4060000000000001</v>
      </c>
      <c r="DN99" s="77">
        <f t="shared" si="71"/>
        <v>2.4209999999999998</v>
      </c>
      <c r="DO99" s="77">
        <f t="shared" si="71"/>
        <v>2.4350000000000001</v>
      </c>
      <c r="DP99" s="77">
        <f t="shared" si="71"/>
        <v>2.4500000000000002</v>
      </c>
      <c r="DQ99" s="77">
        <f t="shared" si="71"/>
        <v>2.464</v>
      </c>
      <c r="DR99" s="77">
        <f t="shared" si="71"/>
        <v>2.4809999999999999</v>
      </c>
      <c r="DS99" s="77">
        <f t="shared" si="71"/>
        <v>2.4969999999999999</v>
      </c>
      <c r="DT99" s="77">
        <f t="shared" si="70"/>
        <v>2.512</v>
      </c>
      <c r="DU99" s="77">
        <f t="shared" si="69"/>
        <v>2.5249999999999999</v>
      </c>
      <c r="DV99" s="77">
        <f t="shared" si="69"/>
        <v>2.54</v>
      </c>
      <c r="DW99" s="77">
        <f t="shared" si="69"/>
        <v>2.5550000000000002</v>
      </c>
      <c r="DX99" s="77">
        <f t="shared" si="68"/>
        <v>2.57</v>
      </c>
      <c r="DY99" s="77">
        <f t="shared" si="68"/>
        <v>2.5840000000000001</v>
      </c>
      <c r="DZ99" s="77">
        <f t="shared" si="68"/>
        <v>2.597</v>
      </c>
      <c r="EA99" s="77">
        <f t="shared" si="68"/>
        <v>2.61</v>
      </c>
      <c r="EB99" s="77">
        <f t="shared" si="68"/>
        <v>2.6230000000000002</v>
      </c>
      <c r="EC99" s="77">
        <f t="shared" si="68"/>
        <v>2.6349999999999998</v>
      </c>
      <c r="ED99" s="77">
        <f t="shared" si="68"/>
        <v>2.6469999999999998</v>
      </c>
      <c r="EE99" s="77">
        <f t="shared" si="68"/>
        <v>2.6579999999999999</v>
      </c>
      <c r="EF99" s="77">
        <f t="shared" si="72"/>
        <v>2.669</v>
      </c>
      <c r="EG99" s="77">
        <f t="shared" si="72"/>
        <v>2.6789999999999998</v>
      </c>
    </row>
    <row r="100" spans="1:137" ht="12.6" customHeight="1">
      <c r="A100" s="73">
        <v>98</v>
      </c>
      <c r="B100" s="74">
        <v>2.2650000000000001</v>
      </c>
      <c r="C100" s="74">
        <v>2.2840000000000003</v>
      </c>
      <c r="D100" s="74">
        <v>2.3029999999999999</v>
      </c>
      <c r="E100" s="74">
        <v>2.3229999999999995</v>
      </c>
      <c r="F100" s="74">
        <v>2.3410000000000002</v>
      </c>
      <c r="G100" s="74">
        <v>2.359</v>
      </c>
      <c r="H100" s="74">
        <v>2.367</v>
      </c>
      <c r="I100" s="74">
        <v>2.3919999999999999</v>
      </c>
      <c r="J100" s="74">
        <v>2.4079999999999999</v>
      </c>
      <c r="K100" s="74">
        <v>2.4224000000000001</v>
      </c>
      <c r="L100" s="74">
        <v>2.4369999999999998</v>
      </c>
      <c r="M100" s="74">
        <v>2.4510000000000001</v>
      </c>
      <c r="N100" s="74">
        <v>2.4660000000000002</v>
      </c>
      <c r="O100" s="74">
        <v>2.4820000000000002</v>
      </c>
      <c r="P100" s="74">
        <v>2.4980000000000002</v>
      </c>
      <c r="Q100" s="74">
        <v>2.5140000000000002</v>
      </c>
      <c r="R100" s="74">
        <v>2.528</v>
      </c>
      <c r="S100" s="74">
        <v>2.5429999999999997</v>
      </c>
      <c r="T100" s="74">
        <v>2.5579999999999998</v>
      </c>
      <c r="U100" s="74">
        <v>2.573</v>
      </c>
      <c r="V100" s="74">
        <v>2.5859999999999999</v>
      </c>
      <c r="W100" s="74">
        <v>2.5990000000000002</v>
      </c>
      <c r="X100" s="74">
        <v>2.6120000000000001</v>
      </c>
      <c r="Y100" s="74">
        <v>2.625</v>
      </c>
      <c r="Z100" s="74">
        <v>2.637</v>
      </c>
      <c r="AA100" s="74">
        <v>2.6480000000000001</v>
      </c>
      <c r="AB100" s="74">
        <v>2.6589999999999998</v>
      </c>
      <c r="AC100" s="74">
        <v>2.67</v>
      </c>
      <c r="AD100" s="75">
        <v>2.681</v>
      </c>
      <c r="AE100" s="76"/>
      <c r="AF100" s="76"/>
      <c r="AG100" s="76"/>
      <c r="AH100" s="76"/>
      <c r="AI100" s="76"/>
      <c r="AJ100" s="76"/>
      <c r="AK100" s="76"/>
      <c r="AL100" s="76"/>
      <c r="AM100" s="76"/>
      <c r="AN100" s="76"/>
      <c r="AO100" s="76"/>
      <c r="AP100" s="76"/>
      <c r="AQ100" s="76"/>
      <c r="AR100" s="76"/>
      <c r="AS100" s="76"/>
      <c r="BZ100" s="63" t="str">
        <f t="shared" si="40"/>
        <v>498</v>
      </c>
      <c r="CA100" s="63" t="str">
        <f t="shared" si="39"/>
        <v>598</v>
      </c>
      <c r="CB100" s="63" t="str">
        <f t="shared" si="41"/>
        <v>698</v>
      </c>
      <c r="CC100" s="63" t="str">
        <f t="shared" si="42"/>
        <v>798</v>
      </c>
      <c r="CD100" s="63" t="str">
        <f t="shared" si="43"/>
        <v>898</v>
      </c>
      <c r="CE100" s="63" t="str">
        <f t="shared" si="44"/>
        <v>998</v>
      </c>
      <c r="CF100" s="63" t="str">
        <f t="shared" si="45"/>
        <v>1098</v>
      </c>
      <c r="CG100" s="63" t="str">
        <f t="shared" si="46"/>
        <v>1198</v>
      </c>
      <c r="CH100" s="63" t="str">
        <f t="shared" si="47"/>
        <v>1298</v>
      </c>
      <c r="CI100" s="63" t="str">
        <f t="shared" si="48"/>
        <v>1398</v>
      </c>
      <c r="CJ100" s="63" t="str">
        <f t="shared" si="49"/>
        <v>1498</v>
      </c>
      <c r="CK100" s="63" t="str">
        <f t="shared" si="50"/>
        <v>1598</v>
      </c>
      <c r="CL100" s="63" t="str">
        <f t="shared" si="51"/>
        <v>1698</v>
      </c>
      <c r="CM100" s="63" t="str">
        <f t="shared" si="52"/>
        <v>1798</v>
      </c>
      <c r="CN100" s="63" t="str">
        <f t="shared" si="53"/>
        <v>1898</v>
      </c>
      <c r="CO100" s="63" t="str">
        <f t="shared" si="54"/>
        <v>1998</v>
      </c>
      <c r="CP100" s="63" t="str">
        <f t="shared" si="55"/>
        <v>2098</v>
      </c>
      <c r="CQ100" s="63" t="str">
        <f t="shared" si="56"/>
        <v>2198</v>
      </c>
      <c r="CR100" s="63" t="str">
        <f t="shared" si="57"/>
        <v>2298</v>
      </c>
      <c r="CS100" s="63" t="str">
        <f t="shared" si="58"/>
        <v>2398</v>
      </c>
      <c r="CT100" s="63" t="str">
        <f t="shared" si="59"/>
        <v>2498</v>
      </c>
      <c r="CU100" s="63" t="str">
        <f t="shared" si="60"/>
        <v>2598</v>
      </c>
      <c r="CV100" s="63" t="str">
        <f t="shared" si="61"/>
        <v>2698</v>
      </c>
      <c r="CW100" s="63" t="str">
        <f t="shared" si="62"/>
        <v>2798</v>
      </c>
      <c r="CX100" s="63" t="str">
        <f t="shared" si="63"/>
        <v>2898</v>
      </c>
      <c r="CY100" s="63" t="str">
        <f t="shared" si="64"/>
        <v>2998</v>
      </c>
      <c r="CZ100" s="63" t="str">
        <f t="shared" si="65"/>
        <v>3098</v>
      </c>
      <c r="DA100" s="63" t="str">
        <f t="shared" si="66"/>
        <v>3198</v>
      </c>
      <c r="DB100" s="63" t="str">
        <f t="shared" si="67"/>
        <v>3298</v>
      </c>
      <c r="DD100" s="72" t="s">
        <v>228</v>
      </c>
      <c r="DE100" s="77">
        <f t="shared" ref="DE100:DS116" si="73">ROUND(B100,3)</f>
        <v>2.2650000000000001</v>
      </c>
      <c r="DF100" s="77">
        <f t="shared" si="73"/>
        <v>2.2839999999999998</v>
      </c>
      <c r="DG100" s="77">
        <f t="shared" si="73"/>
        <v>2.3029999999999999</v>
      </c>
      <c r="DH100" s="77">
        <f t="shared" si="73"/>
        <v>2.323</v>
      </c>
      <c r="DI100" s="77">
        <f t="shared" si="73"/>
        <v>2.3410000000000002</v>
      </c>
      <c r="DJ100" s="77">
        <f t="shared" si="73"/>
        <v>2.359</v>
      </c>
      <c r="DK100" s="77">
        <f t="shared" si="73"/>
        <v>2.367</v>
      </c>
      <c r="DL100" s="77">
        <f t="shared" si="73"/>
        <v>2.3919999999999999</v>
      </c>
      <c r="DM100" s="77">
        <f t="shared" si="73"/>
        <v>2.4079999999999999</v>
      </c>
      <c r="DN100" s="77">
        <f t="shared" si="73"/>
        <v>2.4220000000000002</v>
      </c>
      <c r="DO100" s="77">
        <f t="shared" si="73"/>
        <v>2.4369999999999998</v>
      </c>
      <c r="DP100" s="77">
        <f t="shared" si="73"/>
        <v>2.4510000000000001</v>
      </c>
      <c r="DQ100" s="77">
        <f t="shared" si="73"/>
        <v>2.4660000000000002</v>
      </c>
      <c r="DR100" s="77">
        <f t="shared" si="73"/>
        <v>2.4820000000000002</v>
      </c>
      <c r="DS100" s="77">
        <f t="shared" si="73"/>
        <v>2.4980000000000002</v>
      </c>
      <c r="DT100" s="77">
        <f t="shared" si="70"/>
        <v>2.5139999999999998</v>
      </c>
      <c r="DU100" s="77">
        <f t="shared" si="69"/>
        <v>2.528</v>
      </c>
      <c r="DV100" s="77">
        <f t="shared" si="69"/>
        <v>2.5430000000000001</v>
      </c>
      <c r="DW100" s="77">
        <f t="shared" si="69"/>
        <v>2.5579999999999998</v>
      </c>
      <c r="DX100" s="77">
        <f t="shared" si="68"/>
        <v>2.573</v>
      </c>
      <c r="DY100" s="77">
        <f t="shared" si="68"/>
        <v>2.5859999999999999</v>
      </c>
      <c r="DZ100" s="77">
        <f t="shared" si="68"/>
        <v>2.5990000000000002</v>
      </c>
      <c r="EA100" s="77">
        <f t="shared" si="68"/>
        <v>2.6120000000000001</v>
      </c>
      <c r="EB100" s="77">
        <f t="shared" si="68"/>
        <v>2.625</v>
      </c>
      <c r="EC100" s="77">
        <f t="shared" si="68"/>
        <v>2.637</v>
      </c>
      <c r="ED100" s="77">
        <f t="shared" si="68"/>
        <v>2.6480000000000001</v>
      </c>
      <c r="EE100" s="77">
        <f t="shared" si="68"/>
        <v>2.6589999999999998</v>
      </c>
      <c r="EF100" s="77">
        <f t="shared" si="72"/>
        <v>2.67</v>
      </c>
      <c r="EG100" s="77">
        <f t="shared" si="72"/>
        <v>2.681</v>
      </c>
    </row>
    <row r="101" spans="1:137" ht="12.6" customHeight="1">
      <c r="A101" s="73">
        <v>99</v>
      </c>
      <c r="B101" s="74">
        <v>2.266</v>
      </c>
      <c r="C101" s="74">
        <v>2.2850000000000001</v>
      </c>
      <c r="D101" s="74">
        <v>2.3039999999999998</v>
      </c>
      <c r="E101" s="74">
        <v>2.3239999999999998</v>
      </c>
      <c r="F101" s="74">
        <v>2.3420000000000001</v>
      </c>
      <c r="G101" s="74">
        <v>2.36</v>
      </c>
      <c r="H101" s="74">
        <v>2.3679999999999999</v>
      </c>
      <c r="I101" s="74">
        <v>2.3930000000000002</v>
      </c>
      <c r="J101" s="74">
        <v>2.4089999999999998</v>
      </c>
      <c r="K101" s="74">
        <v>2.423</v>
      </c>
      <c r="L101" s="74">
        <v>2.4380000000000002</v>
      </c>
      <c r="M101" s="74">
        <v>2.452</v>
      </c>
      <c r="N101" s="74">
        <v>2.4670000000000001</v>
      </c>
      <c r="O101" s="74">
        <v>2.4830000000000001</v>
      </c>
      <c r="P101" s="74">
        <v>2.4990000000000001</v>
      </c>
      <c r="Q101" s="74">
        <v>2.5150000000000001</v>
      </c>
      <c r="R101" s="74">
        <v>2.5310000000000001</v>
      </c>
      <c r="S101" s="74">
        <v>2.5459999999999998</v>
      </c>
      <c r="T101" s="74">
        <v>2.5609999999999999</v>
      </c>
      <c r="U101" s="74">
        <v>2.5739999999999998</v>
      </c>
      <c r="V101" s="74">
        <v>2.5869999999999997</v>
      </c>
      <c r="W101" s="74">
        <v>2.601</v>
      </c>
      <c r="X101" s="74">
        <v>2.6139999999999999</v>
      </c>
      <c r="Y101" s="74">
        <v>2.6259999999999999</v>
      </c>
      <c r="Z101" s="74">
        <v>2.6379999999999999</v>
      </c>
      <c r="AA101" s="74">
        <v>2.65</v>
      </c>
      <c r="AB101" s="74">
        <v>2.6609999999999996</v>
      </c>
      <c r="AC101" s="74">
        <v>2.6719999999999997</v>
      </c>
      <c r="AD101" s="75">
        <v>2.6819999999999999</v>
      </c>
      <c r="AE101" s="76"/>
      <c r="AF101" s="76"/>
      <c r="AG101" s="76"/>
      <c r="AH101" s="76"/>
      <c r="AI101" s="76"/>
      <c r="AJ101" s="76"/>
      <c r="AK101" s="76"/>
      <c r="AL101" s="76"/>
      <c r="AM101" s="76"/>
      <c r="AN101" s="76"/>
      <c r="AO101" s="76"/>
      <c r="AP101" s="76"/>
      <c r="AQ101" s="76"/>
      <c r="AR101" s="76"/>
      <c r="AS101" s="76"/>
      <c r="BZ101" s="63" t="str">
        <f t="shared" si="40"/>
        <v>499</v>
      </c>
      <c r="CA101" s="63" t="str">
        <f t="shared" si="39"/>
        <v>599</v>
      </c>
      <c r="CB101" s="63" t="str">
        <f t="shared" si="41"/>
        <v>699</v>
      </c>
      <c r="CC101" s="63" t="str">
        <f t="shared" si="42"/>
        <v>799</v>
      </c>
      <c r="CD101" s="63" t="str">
        <f t="shared" si="43"/>
        <v>899</v>
      </c>
      <c r="CE101" s="63" t="str">
        <f t="shared" si="44"/>
        <v>999</v>
      </c>
      <c r="CF101" s="63" t="str">
        <f t="shared" si="45"/>
        <v>1099</v>
      </c>
      <c r="CG101" s="63" t="str">
        <f t="shared" si="46"/>
        <v>1199</v>
      </c>
      <c r="CH101" s="63" t="str">
        <f t="shared" si="47"/>
        <v>1299</v>
      </c>
      <c r="CI101" s="63" t="str">
        <f t="shared" si="48"/>
        <v>1399</v>
      </c>
      <c r="CJ101" s="63" t="str">
        <f t="shared" si="49"/>
        <v>1499</v>
      </c>
      <c r="CK101" s="63" t="str">
        <f t="shared" si="50"/>
        <v>1599</v>
      </c>
      <c r="CL101" s="63" t="str">
        <f t="shared" si="51"/>
        <v>1699</v>
      </c>
      <c r="CM101" s="63" t="str">
        <f t="shared" si="52"/>
        <v>1799</v>
      </c>
      <c r="CN101" s="63" t="str">
        <f t="shared" si="53"/>
        <v>1899</v>
      </c>
      <c r="CO101" s="63" t="str">
        <f t="shared" si="54"/>
        <v>1999</v>
      </c>
      <c r="CP101" s="63" t="str">
        <f t="shared" si="55"/>
        <v>2099</v>
      </c>
      <c r="CQ101" s="63" t="str">
        <f t="shared" si="56"/>
        <v>2199</v>
      </c>
      <c r="CR101" s="63" t="str">
        <f t="shared" si="57"/>
        <v>2299</v>
      </c>
      <c r="CS101" s="63" t="str">
        <f t="shared" si="58"/>
        <v>2399</v>
      </c>
      <c r="CT101" s="63" t="str">
        <f t="shared" si="59"/>
        <v>2499</v>
      </c>
      <c r="CU101" s="63" t="str">
        <f t="shared" si="60"/>
        <v>2599</v>
      </c>
      <c r="CV101" s="63" t="str">
        <f t="shared" si="61"/>
        <v>2699</v>
      </c>
      <c r="CW101" s="63" t="str">
        <f t="shared" si="62"/>
        <v>2799</v>
      </c>
      <c r="CX101" s="63" t="str">
        <f t="shared" si="63"/>
        <v>2899</v>
      </c>
      <c r="CY101" s="63" t="str">
        <f t="shared" si="64"/>
        <v>2999</v>
      </c>
      <c r="CZ101" s="63" t="str">
        <f t="shared" si="65"/>
        <v>3099</v>
      </c>
      <c r="DA101" s="63" t="str">
        <f t="shared" si="66"/>
        <v>3199</v>
      </c>
      <c r="DB101" s="63" t="str">
        <f t="shared" si="67"/>
        <v>3299</v>
      </c>
      <c r="DD101" s="72" t="s">
        <v>229</v>
      </c>
      <c r="DE101" s="77">
        <f t="shared" si="73"/>
        <v>2.266</v>
      </c>
      <c r="DF101" s="77">
        <f t="shared" si="73"/>
        <v>2.2850000000000001</v>
      </c>
      <c r="DG101" s="77">
        <f t="shared" si="73"/>
        <v>2.3039999999999998</v>
      </c>
      <c r="DH101" s="77">
        <f t="shared" si="73"/>
        <v>2.3239999999999998</v>
      </c>
      <c r="DI101" s="77">
        <f t="shared" si="73"/>
        <v>2.3420000000000001</v>
      </c>
      <c r="DJ101" s="77">
        <f t="shared" si="73"/>
        <v>2.36</v>
      </c>
      <c r="DK101" s="77">
        <f t="shared" si="73"/>
        <v>2.3679999999999999</v>
      </c>
      <c r="DL101" s="77">
        <f t="shared" si="73"/>
        <v>2.3929999999999998</v>
      </c>
      <c r="DM101" s="77">
        <f t="shared" si="73"/>
        <v>2.4089999999999998</v>
      </c>
      <c r="DN101" s="77">
        <f t="shared" si="73"/>
        <v>2.423</v>
      </c>
      <c r="DO101" s="77">
        <f t="shared" si="73"/>
        <v>2.4380000000000002</v>
      </c>
      <c r="DP101" s="77">
        <f t="shared" si="73"/>
        <v>2.452</v>
      </c>
      <c r="DQ101" s="77">
        <f t="shared" si="73"/>
        <v>2.4670000000000001</v>
      </c>
      <c r="DR101" s="77">
        <f t="shared" si="73"/>
        <v>2.4830000000000001</v>
      </c>
      <c r="DS101" s="77">
        <f t="shared" si="73"/>
        <v>2.4990000000000001</v>
      </c>
      <c r="DT101" s="77">
        <f t="shared" si="70"/>
        <v>2.5150000000000001</v>
      </c>
      <c r="DU101" s="77">
        <f t="shared" si="69"/>
        <v>2.5310000000000001</v>
      </c>
      <c r="DV101" s="77">
        <f t="shared" si="69"/>
        <v>2.5459999999999998</v>
      </c>
      <c r="DW101" s="77">
        <f t="shared" si="69"/>
        <v>2.5609999999999999</v>
      </c>
      <c r="DX101" s="77">
        <f t="shared" si="68"/>
        <v>2.5739999999999998</v>
      </c>
      <c r="DY101" s="77">
        <f t="shared" si="68"/>
        <v>2.5870000000000002</v>
      </c>
      <c r="DZ101" s="77">
        <f t="shared" si="68"/>
        <v>2.601</v>
      </c>
      <c r="EA101" s="77">
        <f t="shared" si="68"/>
        <v>2.6139999999999999</v>
      </c>
      <c r="EB101" s="77">
        <f t="shared" si="68"/>
        <v>2.6259999999999999</v>
      </c>
      <c r="EC101" s="77">
        <f t="shared" si="68"/>
        <v>2.6379999999999999</v>
      </c>
      <c r="ED101" s="77">
        <f t="shared" si="68"/>
        <v>2.65</v>
      </c>
      <c r="EE101" s="77">
        <f t="shared" si="68"/>
        <v>2.661</v>
      </c>
      <c r="EF101" s="77">
        <f t="shared" si="72"/>
        <v>2.6720000000000002</v>
      </c>
      <c r="EG101" s="77">
        <f t="shared" si="72"/>
        <v>2.6819999999999999</v>
      </c>
    </row>
    <row r="102" spans="1:137" ht="12.6" customHeight="1">
      <c r="A102" s="73">
        <v>100</v>
      </c>
      <c r="B102" s="74">
        <v>2.2690000000000001</v>
      </c>
      <c r="C102" s="74">
        <v>2.2879999999999998</v>
      </c>
      <c r="D102" s="74">
        <v>2.3069999999999999</v>
      </c>
      <c r="E102" s="74">
        <v>2.3260000000000001</v>
      </c>
      <c r="F102" s="74">
        <v>2.3449999999999998</v>
      </c>
      <c r="G102" s="74">
        <v>2.3620000000000001</v>
      </c>
      <c r="H102" s="74">
        <v>2.37</v>
      </c>
      <c r="I102" s="74">
        <v>2.395</v>
      </c>
      <c r="J102" s="74">
        <v>2.4099999999999997</v>
      </c>
      <c r="K102" s="74">
        <v>2.4249999999999998</v>
      </c>
      <c r="L102" s="74">
        <v>2.44</v>
      </c>
      <c r="M102" s="74">
        <v>2.4539999999999997</v>
      </c>
      <c r="N102" s="74">
        <v>2.468</v>
      </c>
      <c r="O102" s="74">
        <v>2.484</v>
      </c>
      <c r="P102" s="74">
        <v>2.5</v>
      </c>
      <c r="Q102" s="74">
        <v>2.5169999999999999</v>
      </c>
      <c r="R102" s="74">
        <v>2.532</v>
      </c>
      <c r="S102" s="74">
        <v>2.5469999999999997</v>
      </c>
      <c r="T102" s="74">
        <v>2.5619999999999998</v>
      </c>
      <c r="U102" s="74">
        <v>2.5760000000000001</v>
      </c>
      <c r="V102" s="74">
        <v>2.59</v>
      </c>
      <c r="W102" s="74">
        <v>2.6040000000000001</v>
      </c>
      <c r="X102" s="74">
        <v>2.6160000000000001</v>
      </c>
      <c r="Y102" s="74">
        <v>2.629</v>
      </c>
      <c r="Z102" s="74">
        <v>2.641</v>
      </c>
      <c r="AA102" s="74">
        <v>2.6519999999999997</v>
      </c>
      <c r="AB102" s="74">
        <v>2.6629999999999998</v>
      </c>
      <c r="AC102" s="74">
        <v>2.6739999999999999</v>
      </c>
      <c r="AD102" s="75">
        <v>2.6839999999999997</v>
      </c>
      <c r="AE102" s="76"/>
      <c r="AF102" s="76"/>
      <c r="AG102" s="76"/>
      <c r="AH102" s="76"/>
      <c r="AI102" s="76"/>
      <c r="AJ102" s="76"/>
      <c r="AK102" s="76"/>
      <c r="AL102" s="76"/>
      <c r="AM102" s="76"/>
      <c r="AN102" s="76"/>
      <c r="AO102" s="76"/>
      <c r="AP102" s="76"/>
      <c r="AQ102" s="76"/>
      <c r="AR102" s="76"/>
      <c r="AS102" s="76"/>
      <c r="BZ102" s="63" t="str">
        <f t="shared" si="40"/>
        <v>4100</v>
      </c>
      <c r="CA102" s="63" t="str">
        <f t="shared" si="39"/>
        <v>5100</v>
      </c>
      <c r="CB102" s="63" t="str">
        <f t="shared" si="41"/>
        <v>6100</v>
      </c>
      <c r="CC102" s="63" t="str">
        <f t="shared" si="42"/>
        <v>7100</v>
      </c>
      <c r="CD102" s="63" t="str">
        <f t="shared" si="43"/>
        <v>8100</v>
      </c>
      <c r="CE102" s="63" t="str">
        <f t="shared" si="44"/>
        <v>9100</v>
      </c>
      <c r="CF102" s="63" t="str">
        <f t="shared" si="45"/>
        <v>10100</v>
      </c>
      <c r="CG102" s="63" t="str">
        <f t="shared" si="46"/>
        <v>11100</v>
      </c>
      <c r="CH102" s="63" t="str">
        <f t="shared" si="47"/>
        <v>12100</v>
      </c>
      <c r="CI102" s="63" t="str">
        <f t="shared" si="48"/>
        <v>13100</v>
      </c>
      <c r="CJ102" s="63" t="str">
        <f t="shared" si="49"/>
        <v>14100</v>
      </c>
      <c r="CK102" s="63" t="str">
        <f t="shared" si="50"/>
        <v>15100</v>
      </c>
      <c r="CL102" s="63" t="str">
        <f t="shared" si="51"/>
        <v>16100</v>
      </c>
      <c r="CM102" s="63" t="str">
        <f t="shared" si="52"/>
        <v>17100</v>
      </c>
      <c r="CN102" s="63" t="str">
        <f t="shared" si="53"/>
        <v>18100</v>
      </c>
      <c r="CO102" s="63" t="str">
        <f t="shared" si="54"/>
        <v>19100</v>
      </c>
      <c r="CP102" s="63" t="str">
        <f t="shared" si="55"/>
        <v>20100</v>
      </c>
      <c r="CQ102" s="63" t="str">
        <f t="shared" si="56"/>
        <v>21100</v>
      </c>
      <c r="CR102" s="63" t="str">
        <f t="shared" si="57"/>
        <v>22100</v>
      </c>
      <c r="CS102" s="63" t="str">
        <f t="shared" si="58"/>
        <v>23100</v>
      </c>
      <c r="CT102" s="63" t="str">
        <f t="shared" si="59"/>
        <v>24100</v>
      </c>
      <c r="CU102" s="63" t="str">
        <f t="shared" si="60"/>
        <v>25100</v>
      </c>
      <c r="CV102" s="63" t="str">
        <f t="shared" si="61"/>
        <v>26100</v>
      </c>
      <c r="CW102" s="63" t="str">
        <f t="shared" si="62"/>
        <v>27100</v>
      </c>
      <c r="CX102" s="63" t="str">
        <f t="shared" si="63"/>
        <v>28100</v>
      </c>
      <c r="CY102" s="63" t="str">
        <f t="shared" si="64"/>
        <v>29100</v>
      </c>
      <c r="CZ102" s="63" t="str">
        <f t="shared" si="65"/>
        <v>30100</v>
      </c>
      <c r="DA102" s="63" t="str">
        <f t="shared" si="66"/>
        <v>31100</v>
      </c>
      <c r="DB102" s="63" t="str">
        <f t="shared" si="67"/>
        <v>32100</v>
      </c>
      <c r="DD102" s="72" t="s">
        <v>230</v>
      </c>
      <c r="DE102" s="77">
        <f t="shared" si="73"/>
        <v>2.2690000000000001</v>
      </c>
      <c r="DF102" s="77">
        <f t="shared" si="73"/>
        <v>2.2879999999999998</v>
      </c>
      <c r="DG102" s="77">
        <f t="shared" si="73"/>
        <v>2.3069999999999999</v>
      </c>
      <c r="DH102" s="77">
        <f t="shared" si="73"/>
        <v>2.3260000000000001</v>
      </c>
      <c r="DI102" s="77">
        <f t="shared" si="73"/>
        <v>2.3450000000000002</v>
      </c>
      <c r="DJ102" s="77">
        <f t="shared" si="73"/>
        <v>2.3620000000000001</v>
      </c>
      <c r="DK102" s="77">
        <f t="shared" si="73"/>
        <v>2.37</v>
      </c>
      <c r="DL102" s="77">
        <f t="shared" si="73"/>
        <v>2.395</v>
      </c>
      <c r="DM102" s="77">
        <f t="shared" si="73"/>
        <v>2.41</v>
      </c>
      <c r="DN102" s="77">
        <f t="shared" si="73"/>
        <v>2.4249999999999998</v>
      </c>
      <c r="DO102" s="77">
        <f t="shared" si="73"/>
        <v>2.44</v>
      </c>
      <c r="DP102" s="77">
        <f t="shared" si="73"/>
        <v>2.4540000000000002</v>
      </c>
      <c r="DQ102" s="77">
        <f t="shared" si="73"/>
        <v>2.468</v>
      </c>
      <c r="DR102" s="77">
        <f t="shared" si="73"/>
        <v>2.484</v>
      </c>
      <c r="DS102" s="77">
        <f t="shared" si="73"/>
        <v>2.5</v>
      </c>
      <c r="DT102" s="77">
        <f t="shared" si="70"/>
        <v>2.5169999999999999</v>
      </c>
      <c r="DU102" s="77">
        <f t="shared" si="69"/>
        <v>2.532</v>
      </c>
      <c r="DV102" s="77">
        <f t="shared" si="69"/>
        <v>2.5470000000000002</v>
      </c>
      <c r="DW102" s="77">
        <f t="shared" si="69"/>
        <v>2.5619999999999998</v>
      </c>
      <c r="DX102" s="77">
        <f t="shared" si="68"/>
        <v>2.5760000000000001</v>
      </c>
      <c r="DY102" s="77">
        <f t="shared" si="68"/>
        <v>2.59</v>
      </c>
      <c r="DZ102" s="77">
        <f t="shared" si="68"/>
        <v>2.6040000000000001</v>
      </c>
      <c r="EA102" s="77">
        <f t="shared" si="68"/>
        <v>2.6160000000000001</v>
      </c>
      <c r="EB102" s="77">
        <f t="shared" si="68"/>
        <v>2.629</v>
      </c>
      <c r="EC102" s="77">
        <f t="shared" si="68"/>
        <v>2.641</v>
      </c>
      <c r="ED102" s="77">
        <f t="shared" si="68"/>
        <v>2.6520000000000001</v>
      </c>
      <c r="EE102" s="77">
        <f t="shared" si="68"/>
        <v>2.6629999999999998</v>
      </c>
      <c r="EF102" s="77">
        <f t="shared" si="72"/>
        <v>2.6739999999999999</v>
      </c>
      <c r="EG102" s="77">
        <f t="shared" si="72"/>
        <v>2.6840000000000002</v>
      </c>
    </row>
    <row r="103" spans="1:137" ht="12.6" customHeight="1">
      <c r="A103" s="73">
        <v>101</v>
      </c>
      <c r="B103" s="74">
        <v>2.278</v>
      </c>
      <c r="C103" s="74">
        <v>2.2969999999999997</v>
      </c>
      <c r="D103" s="74">
        <v>2.3159999999999998</v>
      </c>
      <c r="E103" s="74">
        <v>2.335</v>
      </c>
      <c r="F103" s="74">
        <v>2.3540000000000001</v>
      </c>
      <c r="G103" s="74">
        <v>2.371</v>
      </c>
      <c r="H103" s="74">
        <v>2.379</v>
      </c>
      <c r="I103" s="74">
        <v>2.4039999999999999</v>
      </c>
      <c r="J103" s="74">
        <v>2.419</v>
      </c>
      <c r="K103" s="74">
        <v>2.4339999999999997</v>
      </c>
      <c r="L103" s="74">
        <v>2.448</v>
      </c>
      <c r="M103" s="74">
        <v>2.4619999999999997</v>
      </c>
      <c r="N103" s="74">
        <v>2.4769999999999999</v>
      </c>
      <c r="O103" s="74">
        <v>2.492</v>
      </c>
      <c r="P103" s="74">
        <v>2.5089999999999999</v>
      </c>
      <c r="Q103" s="74">
        <v>2.5249999999999999</v>
      </c>
      <c r="R103" s="74">
        <v>2.54</v>
      </c>
      <c r="S103" s="74">
        <v>2.5549999999999997</v>
      </c>
      <c r="T103" s="74">
        <v>2.57</v>
      </c>
      <c r="U103" s="74">
        <v>2.5840000000000001</v>
      </c>
      <c r="V103" s="74">
        <v>2.593</v>
      </c>
      <c r="W103" s="74">
        <v>2.6109999999999998</v>
      </c>
      <c r="X103" s="74">
        <v>2.6240000000000001</v>
      </c>
      <c r="Y103" s="74">
        <v>2.6360000000000001</v>
      </c>
      <c r="Z103" s="74">
        <v>2.6480000000000001</v>
      </c>
      <c r="AA103" s="74">
        <v>2.6599999999999997</v>
      </c>
      <c r="AB103" s="74">
        <v>2.6709999999999998</v>
      </c>
      <c r="AC103" s="74">
        <v>2.681</v>
      </c>
      <c r="AD103" s="75">
        <v>2.6909999999999998</v>
      </c>
      <c r="AE103" s="76"/>
      <c r="AF103" s="76"/>
      <c r="AG103" s="76"/>
      <c r="AH103" s="76"/>
      <c r="AI103" s="76"/>
      <c r="AJ103" s="76"/>
      <c r="AK103" s="76"/>
      <c r="AL103" s="76"/>
      <c r="AM103" s="76"/>
      <c r="AN103" s="76"/>
      <c r="AO103" s="76"/>
      <c r="AP103" s="76"/>
      <c r="AQ103" s="76"/>
      <c r="AR103" s="76"/>
      <c r="AS103" s="76"/>
      <c r="BZ103" s="63" t="str">
        <f t="shared" si="40"/>
        <v>4101</v>
      </c>
      <c r="CA103" s="63" t="str">
        <f t="shared" si="39"/>
        <v>5101</v>
      </c>
      <c r="CB103" s="63" t="str">
        <f t="shared" si="41"/>
        <v>6101</v>
      </c>
      <c r="CC103" s="63" t="str">
        <f t="shared" si="42"/>
        <v>7101</v>
      </c>
      <c r="CD103" s="63" t="str">
        <f t="shared" si="43"/>
        <v>8101</v>
      </c>
      <c r="CE103" s="63" t="str">
        <f t="shared" si="44"/>
        <v>9101</v>
      </c>
      <c r="CF103" s="63" t="str">
        <f t="shared" si="45"/>
        <v>10101</v>
      </c>
      <c r="CG103" s="63" t="str">
        <f t="shared" si="46"/>
        <v>11101</v>
      </c>
      <c r="CH103" s="63" t="str">
        <f t="shared" si="47"/>
        <v>12101</v>
      </c>
      <c r="CI103" s="63" t="str">
        <f t="shared" si="48"/>
        <v>13101</v>
      </c>
      <c r="CJ103" s="63" t="str">
        <f t="shared" si="49"/>
        <v>14101</v>
      </c>
      <c r="CK103" s="63" t="str">
        <f t="shared" si="50"/>
        <v>15101</v>
      </c>
      <c r="CL103" s="63" t="str">
        <f t="shared" si="51"/>
        <v>16101</v>
      </c>
      <c r="CM103" s="63" t="str">
        <f t="shared" si="52"/>
        <v>17101</v>
      </c>
      <c r="CN103" s="63" t="str">
        <f t="shared" si="53"/>
        <v>18101</v>
      </c>
      <c r="CO103" s="63" t="str">
        <f t="shared" si="54"/>
        <v>19101</v>
      </c>
      <c r="CP103" s="63" t="str">
        <f t="shared" si="55"/>
        <v>20101</v>
      </c>
      <c r="CQ103" s="63" t="str">
        <f t="shared" si="56"/>
        <v>21101</v>
      </c>
      <c r="CR103" s="63" t="str">
        <f t="shared" si="57"/>
        <v>22101</v>
      </c>
      <c r="CS103" s="63" t="str">
        <f t="shared" si="58"/>
        <v>23101</v>
      </c>
      <c r="CT103" s="63" t="str">
        <f t="shared" si="59"/>
        <v>24101</v>
      </c>
      <c r="CU103" s="63" t="str">
        <f t="shared" si="60"/>
        <v>25101</v>
      </c>
      <c r="CV103" s="63" t="str">
        <f t="shared" si="61"/>
        <v>26101</v>
      </c>
      <c r="CW103" s="63" t="str">
        <f t="shared" si="62"/>
        <v>27101</v>
      </c>
      <c r="CX103" s="63" t="str">
        <f t="shared" si="63"/>
        <v>28101</v>
      </c>
      <c r="CY103" s="63" t="str">
        <f t="shared" si="64"/>
        <v>29101</v>
      </c>
      <c r="CZ103" s="63" t="str">
        <f t="shared" si="65"/>
        <v>30101</v>
      </c>
      <c r="DA103" s="63" t="str">
        <f t="shared" si="66"/>
        <v>31101</v>
      </c>
      <c r="DB103" s="63" t="str">
        <f t="shared" si="67"/>
        <v>32101</v>
      </c>
      <c r="DD103" s="72" t="s">
        <v>231</v>
      </c>
      <c r="DE103" s="77">
        <f t="shared" si="73"/>
        <v>2.278</v>
      </c>
      <c r="DF103" s="77">
        <f t="shared" si="73"/>
        <v>2.2970000000000002</v>
      </c>
      <c r="DG103" s="77">
        <f t="shared" si="73"/>
        <v>2.3159999999999998</v>
      </c>
      <c r="DH103" s="77">
        <f t="shared" si="73"/>
        <v>2.335</v>
      </c>
      <c r="DI103" s="77">
        <f t="shared" si="73"/>
        <v>2.3540000000000001</v>
      </c>
      <c r="DJ103" s="77">
        <f t="shared" si="73"/>
        <v>2.371</v>
      </c>
      <c r="DK103" s="77">
        <f t="shared" si="73"/>
        <v>2.379</v>
      </c>
      <c r="DL103" s="77">
        <f t="shared" si="73"/>
        <v>2.4039999999999999</v>
      </c>
      <c r="DM103" s="77">
        <f t="shared" si="73"/>
        <v>2.419</v>
      </c>
      <c r="DN103" s="77">
        <f t="shared" si="73"/>
        <v>2.4340000000000002</v>
      </c>
      <c r="DO103" s="77">
        <f t="shared" si="73"/>
        <v>2.448</v>
      </c>
      <c r="DP103" s="77">
        <f t="shared" si="73"/>
        <v>2.4620000000000002</v>
      </c>
      <c r="DQ103" s="77">
        <f t="shared" si="73"/>
        <v>2.4769999999999999</v>
      </c>
      <c r="DR103" s="77">
        <f t="shared" si="73"/>
        <v>2.492</v>
      </c>
      <c r="DS103" s="77">
        <f t="shared" si="73"/>
        <v>2.5089999999999999</v>
      </c>
      <c r="DT103" s="77">
        <f t="shared" si="70"/>
        <v>2.5249999999999999</v>
      </c>
      <c r="DU103" s="77">
        <f t="shared" si="69"/>
        <v>2.54</v>
      </c>
      <c r="DV103" s="77">
        <f t="shared" si="69"/>
        <v>2.5550000000000002</v>
      </c>
      <c r="DW103" s="77">
        <f t="shared" si="69"/>
        <v>2.57</v>
      </c>
      <c r="DX103" s="77">
        <f t="shared" si="68"/>
        <v>2.5840000000000001</v>
      </c>
      <c r="DY103" s="77">
        <f t="shared" si="68"/>
        <v>2.593</v>
      </c>
      <c r="DZ103" s="77">
        <f t="shared" si="68"/>
        <v>2.6110000000000002</v>
      </c>
      <c r="EA103" s="77">
        <f t="shared" si="68"/>
        <v>2.6240000000000001</v>
      </c>
      <c r="EB103" s="77">
        <f t="shared" si="68"/>
        <v>2.6360000000000001</v>
      </c>
      <c r="EC103" s="77">
        <f t="shared" si="68"/>
        <v>2.6480000000000001</v>
      </c>
      <c r="ED103" s="77">
        <f t="shared" si="68"/>
        <v>2.66</v>
      </c>
      <c r="EE103" s="77">
        <f t="shared" si="68"/>
        <v>2.6709999999999998</v>
      </c>
      <c r="EF103" s="77">
        <f t="shared" si="72"/>
        <v>2.681</v>
      </c>
      <c r="EG103" s="77">
        <f t="shared" si="72"/>
        <v>2.6909999999999998</v>
      </c>
    </row>
    <row r="104" spans="1:137" ht="12.6" customHeight="1">
      <c r="A104" s="73">
        <v>102</v>
      </c>
      <c r="B104" s="74">
        <v>2.2869999999999999</v>
      </c>
      <c r="C104" s="74">
        <v>2.306</v>
      </c>
      <c r="D104" s="74">
        <v>2.3249999999999997</v>
      </c>
      <c r="E104" s="74">
        <v>2.3439999999999999</v>
      </c>
      <c r="F104" s="74">
        <v>2.363</v>
      </c>
      <c r="G104" s="74">
        <v>2.38</v>
      </c>
      <c r="H104" s="74">
        <v>2.3879999999999999</v>
      </c>
      <c r="I104" s="74">
        <v>2.4119999999999999</v>
      </c>
      <c r="J104" s="74">
        <v>2.4279999999999999</v>
      </c>
      <c r="K104" s="74">
        <v>2.4419999999999997</v>
      </c>
      <c r="L104" s="74">
        <v>2.4569999999999999</v>
      </c>
      <c r="M104" s="74">
        <v>2.4710000000000001</v>
      </c>
      <c r="N104" s="74">
        <v>2.4849999999999999</v>
      </c>
      <c r="O104" s="74">
        <v>2.5009999999999999</v>
      </c>
      <c r="P104" s="74">
        <v>2.5169999999999999</v>
      </c>
      <c r="Q104" s="74">
        <v>2.5329999999999999</v>
      </c>
      <c r="R104" s="74">
        <v>2.548</v>
      </c>
      <c r="S104" s="74">
        <v>2.5629999999999997</v>
      </c>
      <c r="T104" s="74">
        <v>2.5779999999999998</v>
      </c>
      <c r="U104" s="74">
        <v>2.5920000000000001</v>
      </c>
      <c r="V104" s="74">
        <v>2.6080000000000001</v>
      </c>
      <c r="W104" s="74">
        <v>2.6189999999999998</v>
      </c>
      <c r="X104" s="74">
        <v>2.6320000000000001</v>
      </c>
      <c r="Y104" s="74">
        <v>2.6440000000000001</v>
      </c>
      <c r="Z104" s="74">
        <v>2.6559999999999997</v>
      </c>
      <c r="AA104" s="74">
        <v>2.6669999999999998</v>
      </c>
      <c r="AB104" s="74">
        <v>2.6779999999999999</v>
      </c>
      <c r="AC104" s="74">
        <v>2.6890000000000001</v>
      </c>
      <c r="AD104" s="75">
        <v>2.6989999999999998</v>
      </c>
      <c r="AE104" s="76"/>
      <c r="AF104" s="76"/>
      <c r="AG104" s="76"/>
      <c r="AH104" s="76"/>
      <c r="AI104" s="76"/>
      <c r="AJ104" s="76"/>
      <c r="AK104" s="76"/>
      <c r="AL104" s="76"/>
      <c r="AM104" s="76"/>
      <c r="AN104" s="76"/>
      <c r="AO104" s="76"/>
      <c r="AP104" s="76"/>
      <c r="AQ104" s="76"/>
      <c r="AR104" s="76"/>
      <c r="AS104" s="76"/>
      <c r="BZ104" s="63" t="str">
        <f t="shared" si="40"/>
        <v>4102</v>
      </c>
      <c r="CA104" s="63" t="str">
        <f t="shared" si="39"/>
        <v>5102</v>
      </c>
      <c r="CB104" s="63" t="str">
        <f t="shared" si="41"/>
        <v>6102</v>
      </c>
      <c r="CC104" s="63" t="str">
        <f t="shared" si="42"/>
        <v>7102</v>
      </c>
      <c r="CD104" s="63" t="str">
        <f t="shared" si="43"/>
        <v>8102</v>
      </c>
      <c r="CE104" s="63" t="str">
        <f t="shared" si="44"/>
        <v>9102</v>
      </c>
      <c r="CF104" s="63" t="str">
        <f t="shared" si="45"/>
        <v>10102</v>
      </c>
      <c r="CG104" s="63" t="str">
        <f t="shared" si="46"/>
        <v>11102</v>
      </c>
      <c r="CH104" s="63" t="str">
        <f t="shared" si="47"/>
        <v>12102</v>
      </c>
      <c r="CI104" s="63" t="str">
        <f t="shared" si="48"/>
        <v>13102</v>
      </c>
      <c r="CJ104" s="63" t="str">
        <f t="shared" si="49"/>
        <v>14102</v>
      </c>
      <c r="CK104" s="63" t="str">
        <f t="shared" si="50"/>
        <v>15102</v>
      </c>
      <c r="CL104" s="63" t="str">
        <f t="shared" si="51"/>
        <v>16102</v>
      </c>
      <c r="CM104" s="63" t="str">
        <f t="shared" si="52"/>
        <v>17102</v>
      </c>
      <c r="CN104" s="63" t="str">
        <f t="shared" si="53"/>
        <v>18102</v>
      </c>
      <c r="CO104" s="63" t="str">
        <f t="shared" si="54"/>
        <v>19102</v>
      </c>
      <c r="CP104" s="63" t="str">
        <f t="shared" si="55"/>
        <v>20102</v>
      </c>
      <c r="CQ104" s="63" t="str">
        <f t="shared" si="56"/>
        <v>21102</v>
      </c>
      <c r="CR104" s="63" t="str">
        <f t="shared" si="57"/>
        <v>22102</v>
      </c>
      <c r="CS104" s="63" t="str">
        <f t="shared" si="58"/>
        <v>23102</v>
      </c>
      <c r="CT104" s="63" t="str">
        <f t="shared" si="59"/>
        <v>24102</v>
      </c>
      <c r="CU104" s="63" t="str">
        <f t="shared" si="60"/>
        <v>25102</v>
      </c>
      <c r="CV104" s="63" t="str">
        <f t="shared" si="61"/>
        <v>26102</v>
      </c>
      <c r="CW104" s="63" t="str">
        <f t="shared" si="62"/>
        <v>27102</v>
      </c>
      <c r="CX104" s="63" t="str">
        <f t="shared" si="63"/>
        <v>28102</v>
      </c>
      <c r="CY104" s="63" t="str">
        <f t="shared" si="64"/>
        <v>29102</v>
      </c>
      <c r="CZ104" s="63" t="str">
        <f t="shared" si="65"/>
        <v>30102</v>
      </c>
      <c r="DA104" s="63" t="str">
        <f t="shared" si="66"/>
        <v>31102</v>
      </c>
      <c r="DB104" s="63" t="str">
        <f t="shared" si="67"/>
        <v>32102</v>
      </c>
      <c r="DD104" s="72" t="s">
        <v>232</v>
      </c>
      <c r="DE104" s="77">
        <f t="shared" si="73"/>
        <v>2.2869999999999999</v>
      </c>
      <c r="DF104" s="77">
        <f t="shared" si="73"/>
        <v>2.306</v>
      </c>
      <c r="DG104" s="77">
        <f t="shared" si="73"/>
        <v>2.3250000000000002</v>
      </c>
      <c r="DH104" s="77">
        <f t="shared" si="73"/>
        <v>2.3439999999999999</v>
      </c>
      <c r="DI104" s="77">
        <f t="shared" si="73"/>
        <v>2.363</v>
      </c>
      <c r="DJ104" s="77">
        <f t="shared" si="73"/>
        <v>2.38</v>
      </c>
      <c r="DK104" s="77">
        <f t="shared" si="73"/>
        <v>2.3879999999999999</v>
      </c>
      <c r="DL104" s="77">
        <f t="shared" si="73"/>
        <v>2.4119999999999999</v>
      </c>
      <c r="DM104" s="77">
        <f t="shared" si="73"/>
        <v>2.4279999999999999</v>
      </c>
      <c r="DN104" s="77">
        <f t="shared" si="73"/>
        <v>2.4420000000000002</v>
      </c>
      <c r="DO104" s="77">
        <f t="shared" si="73"/>
        <v>2.4569999999999999</v>
      </c>
      <c r="DP104" s="77">
        <f t="shared" si="73"/>
        <v>2.4710000000000001</v>
      </c>
      <c r="DQ104" s="77">
        <f t="shared" si="73"/>
        <v>2.4849999999999999</v>
      </c>
      <c r="DR104" s="77">
        <f t="shared" si="73"/>
        <v>2.5009999999999999</v>
      </c>
      <c r="DS104" s="77">
        <f t="shared" si="73"/>
        <v>2.5169999999999999</v>
      </c>
      <c r="DT104" s="77">
        <f t="shared" si="70"/>
        <v>2.5329999999999999</v>
      </c>
      <c r="DU104" s="77">
        <f t="shared" si="69"/>
        <v>2.548</v>
      </c>
      <c r="DV104" s="77">
        <f t="shared" si="69"/>
        <v>2.5630000000000002</v>
      </c>
      <c r="DW104" s="77">
        <f t="shared" si="69"/>
        <v>2.5779999999999998</v>
      </c>
      <c r="DX104" s="77">
        <f t="shared" si="68"/>
        <v>2.5920000000000001</v>
      </c>
      <c r="DY104" s="77">
        <f t="shared" si="68"/>
        <v>2.6080000000000001</v>
      </c>
      <c r="DZ104" s="77">
        <f t="shared" si="68"/>
        <v>2.6190000000000002</v>
      </c>
      <c r="EA104" s="77">
        <f t="shared" si="68"/>
        <v>2.6320000000000001</v>
      </c>
      <c r="EB104" s="77">
        <f t="shared" si="68"/>
        <v>2.6440000000000001</v>
      </c>
      <c r="EC104" s="77">
        <f t="shared" si="68"/>
        <v>2.6560000000000001</v>
      </c>
      <c r="ED104" s="77">
        <f t="shared" si="68"/>
        <v>2.6669999999999998</v>
      </c>
      <c r="EE104" s="77">
        <f t="shared" si="68"/>
        <v>2.6779999999999999</v>
      </c>
      <c r="EF104" s="77">
        <f t="shared" si="72"/>
        <v>2.6890000000000001</v>
      </c>
      <c r="EG104" s="77">
        <f t="shared" si="72"/>
        <v>2.6989999999999998</v>
      </c>
    </row>
    <row r="105" spans="1:137" ht="12.6" customHeight="1">
      <c r="A105" s="73">
        <v>103</v>
      </c>
      <c r="B105" s="74">
        <v>2.2969999999999997</v>
      </c>
      <c r="C105" s="74">
        <v>2.3159999999999998</v>
      </c>
      <c r="D105" s="74">
        <v>2.3340000000000001</v>
      </c>
      <c r="E105" s="74">
        <v>2.3529999999999998</v>
      </c>
      <c r="F105" s="74">
        <v>2.371</v>
      </c>
      <c r="G105" s="74">
        <v>2.3889999999999998</v>
      </c>
      <c r="H105" s="74">
        <v>2.3959999999999999</v>
      </c>
      <c r="I105" s="74">
        <v>2.4209999999999998</v>
      </c>
      <c r="J105" s="74">
        <v>2.4359999999999999</v>
      </c>
      <c r="K105" s="74">
        <v>2.4510000000000001</v>
      </c>
      <c r="L105" s="74">
        <v>2.4649999999999999</v>
      </c>
      <c r="M105" s="74">
        <v>2.4790000000000001</v>
      </c>
      <c r="N105" s="74">
        <v>2.4929999999999999</v>
      </c>
      <c r="O105" s="74">
        <v>2.5089999999999999</v>
      </c>
      <c r="P105" s="74">
        <v>2.5249999999999999</v>
      </c>
      <c r="Q105" s="74">
        <v>2.5409999999999999</v>
      </c>
      <c r="R105" s="74">
        <v>2.556</v>
      </c>
      <c r="S105" s="74">
        <v>2.5709999999999997</v>
      </c>
      <c r="T105" s="74">
        <v>2.5859999999999999</v>
      </c>
      <c r="U105" s="74">
        <v>2.6</v>
      </c>
      <c r="V105" s="74">
        <v>2.613</v>
      </c>
      <c r="W105" s="74">
        <v>2.6259999999999999</v>
      </c>
      <c r="X105" s="74">
        <v>2.6389999999999998</v>
      </c>
      <c r="Y105" s="74">
        <v>2.6509999999999998</v>
      </c>
      <c r="Z105" s="74">
        <v>2.6629999999999998</v>
      </c>
      <c r="AA105" s="74">
        <v>2.6739999999999999</v>
      </c>
      <c r="AB105" s="74">
        <v>2.6850000000000001</v>
      </c>
      <c r="AC105" s="74">
        <v>2.6959999999999997</v>
      </c>
      <c r="AD105" s="75">
        <v>2.706</v>
      </c>
      <c r="AE105" s="76"/>
      <c r="AF105" s="76"/>
      <c r="AG105" s="76"/>
      <c r="AH105" s="76"/>
      <c r="AI105" s="76"/>
      <c r="AJ105" s="76"/>
      <c r="AK105" s="76"/>
      <c r="AL105" s="76"/>
      <c r="AM105" s="76"/>
      <c r="AN105" s="76"/>
      <c r="AO105" s="76"/>
      <c r="AP105" s="76"/>
      <c r="AQ105" s="76"/>
      <c r="AR105" s="76"/>
      <c r="AS105" s="76"/>
      <c r="BZ105" s="63" t="str">
        <f t="shared" si="40"/>
        <v>4103</v>
      </c>
      <c r="CA105" s="63" t="str">
        <f t="shared" si="39"/>
        <v>5103</v>
      </c>
      <c r="CB105" s="63" t="str">
        <f t="shared" si="41"/>
        <v>6103</v>
      </c>
      <c r="CC105" s="63" t="str">
        <f t="shared" si="42"/>
        <v>7103</v>
      </c>
      <c r="CD105" s="63" t="str">
        <f t="shared" si="43"/>
        <v>8103</v>
      </c>
      <c r="CE105" s="63" t="str">
        <f t="shared" si="44"/>
        <v>9103</v>
      </c>
      <c r="CF105" s="63" t="str">
        <f t="shared" si="45"/>
        <v>10103</v>
      </c>
      <c r="CG105" s="63" t="str">
        <f t="shared" si="46"/>
        <v>11103</v>
      </c>
      <c r="CH105" s="63" t="str">
        <f t="shared" si="47"/>
        <v>12103</v>
      </c>
      <c r="CI105" s="63" t="str">
        <f t="shared" si="48"/>
        <v>13103</v>
      </c>
      <c r="CJ105" s="63" t="str">
        <f t="shared" si="49"/>
        <v>14103</v>
      </c>
      <c r="CK105" s="63" t="str">
        <f t="shared" si="50"/>
        <v>15103</v>
      </c>
      <c r="CL105" s="63" t="str">
        <f t="shared" si="51"/>
        <v>16103</v>
      </c>
      <c r="CM105" s="63" t="str">
        <f t="shared" si="52"/>
        <v>17103</v>
      </c>
      <c r="CN105" s="63" t="str">
        <f t="shared" si="53"/>
        <v>18103</v>
      </c>
      <c r="CO105" s="63" t="str">
        <f t="shared" si="54"/>
        <v>19103</v>
      </c>
      <c r="CP105" s="63" t="str">
        <f t="shared" si="55"/>
        <v>20103</v>
      </c>
      <c r="CQ105" s="63" t="str">
        <f t="shared" si="56"/>
        <v>21103</v>
      </c>
      <c r="CR105" s="63" t="str">
        <f t="shared" si="57"/>
        <v>22103</v>
      </c>
      <c r="CS105" s="63" t="str">
        <f t="shared" si="58"/>
        <v>23103</v>
      </c>
      <c r="CT105" s="63" t="str">
        <f t="shared" si="59"/>
        <v>24103</v>
      </c>
      <c r="CU105" s="63" t="str">
        <f t="shared" si="60"/>
        <v>25103</v>
      </c>
      <c r="CV105" s="63" t="str">
        <f t="shared" si="61"/>
        <v>26103</v>
      </c>
      <c r="CW105" s="63" t="str">
        <f t="shared" si="62"/>
        <v>27103</v>
      </c>
      <c r="CX105" s="63" t="str">
        <f t="shared" si="63"/>
        <v>28103</v>
      </c>
      <c r="CY105" s="63" t="str">
        <f t="shared" si="64"/>
        <v>29103</v>
      </c>
      <c r="CZ105" s="63" t="str">
        <f t="shared" si="65"/>
        <v>30103</v>
      </c>
      <c r="DA105" s="63" t="str">
        <f t="shared" si="66"/>
        <v>31103</v>
      </c>
      <c r="DB105" s="63" t="str">
        <f t="shared" si="67"/>
        <v>32103</v>
      </c>
      <c r="DD105" s="72" t="s">
        <v>233</v>
      </c>
      <c r="DE105" s="77">
        <f t="shared" si="73"/>
        <v>2.2970000000000002</v>
      </c>
      <c r="DF105" s="77">
        <f t="shared" si="73"/>
        <v>2.3159999999999998</v>
      </c>
      <c r="DG105" s="77">
        <f t="shared" si="73"/>
        <v>2.3340000000000001</v>
      </c>
      <c r="DH105" s="77">
        <f t="shared" si="73"/>
        <v>2.3530000000000002</v>
      </c>
      <c r="DI105" s="77">
        <f t="shared" si="73"/>
        <v>2.371</v>
      </c>
      <c r="DJ105" s="77">
        <f t="shared" si="73"/>
        <v>2.3889999999999998</v>
      </c>
      <c r="DK105" s="77">
        <f t="shared" si="73"/>
        <v>2.3959999999999999</v>
      </c>
      <c r="DL105" s="77">
        <f t="shared" si="73"/>
        <v>2.4209999999999998</v>
      </c>
      <c r="DM105" s="77">
        <f t="shared" si="73"/>
        <v>2.4359999999999999</v>
      </c>
      <c r="DN105" s="77">
        <f t="shared" si="73"/>
        <v>2.4510000000000001</v>
      </c>
      <c r="DO105" s="77">
        <f t="shared" si="73"/>
        <v>2.4649999999999999</v>
      </c>
      <c r="DP105" s="77">
        <f t="shared" si="73"/>
        <v>2.4790000000000001</v>
      </c>
      <c r="DQ105" s="77">
        <f t="shared" si="73"/>
        <v>2.4929999999999999</v>
      </c>
      <c r="DR105" s="77">
        <f t="shared" si="73"/>
        <v>2.5089999999999999</v>
      </c>
      <c r="DS105" s="77">
        <f t="shared" si="73"/>
        <v>2.5249999999999999</v>
      </c>
      <c r="DT105" s="77">
        <f t="shared" si="70"/>
        <v>2.5409999999999999</v>
      </c>
      <c r="DU105" s="77">
        <f t="shared" si="69"/>
        <v>2.556</v>
      </c>
      <c r="DV105" s="77">
        <f t="shared" si="69"/>
        <v>2.5710000000000002</v>
      </c>
      <c r="DW105" s="77">
        <f t="shared" si="69"/>
        <v>2.5859999999999999</v>
      </c>
      <c r="DX105" s="77">
        <f t="shared" si="68"/>
        <v>2.6</v>
      </c>
      <c r="DY105" s="77">
        <f t="shared" si="68"/>
        <v>2.613</v>
      </c>
      <c r="DZ105" s="77">
        <f t="shared" si="68"/>
        <v>2.6259999999999999</v>
      </c>
      <c r="EA105" s="77">
        <f t="shared" si="68"/>
        <v>2.6389999999999998</v>
      </c>
      <c r="EB105" s="77">
        <f t="shared" si="68"/>
        <v>2.6509999999999998</v>
      </c>
      <c r="EC105" s="77">
        <f t="shared" si="68"/>
        <v>2.6629999999999998</v>
      </c>
      <c r="ED105" s="77">
        <f t="shared" si="68"/>
        <v>2.6739999999999999</v>
      </c>
      <c r="EE105" s="77">
        <f t="shared" si="68"/>
        <v>2.6850000000000001</v>
      </c>
      <c r="EF105" s="77">
        <f t="shared" si="72"/>
        <v>2.6960000000000002</v>
      </c>
      <c r="EG105" s="77">
        <f t="shared" si="72"/>
        <v>2.706</v>
      </c>
    </row>
    <row r="106" spans="1:137" ht="12.6" customHeight="1">
      <c r="A106" s="73">
        <v>104</v>
      </c>
      <c r="B106" s="74">
        <v>2.306</v>
      </c>
      <c r="C106" s="74">
        <v>2.3249999999999997</v>
      </c>
      <c r="D106" s="74">
        <v>2.343</v>
      </c>
      <c r="E106" s="74">
        <v>2.3620000000000001</v>
      </c>
      <c r="F106" s="74">
        <v>2.38</v>
      </c>
      <c r="G106" s="74">
        <v>2.3969999999999998</v>
      </c>
      <c r="H106" s="74">
        <v>2.4049999999999998</v>
      </c>
      <c r="I106" s="74">
        <v>2.4289999999999998</v>
      </c>
      <c r="J106" s="74">
        <v>2.4449999999999998</v>
      </c>
      <c r="K106" s="74">
        <v>2.4590000000000001</v>
      </c>
      <c r="L106" s="74">
        <v>2.4729999999999999</v>
      </c>
      <c r="M106" s="74">
        <v>2.4870000000000001</v>
      </c>
      <c r="N106" s="74">
        <v>2.5019999999999998</v>
      </c>
      <c r="O106" s="74">
        <v>2.5169999999999999</v>
      </c>
      <c r="P106" s="74">
        <v>2.5329999999999999</v>
      </c>
      <c r="Q106" s="74">
        <v>2.5489999999999999</v>
      </c>
      <c r="R106" s="74">
        <v>2.5640000000000001</v>
      </c>
      <c r="S106" s="74">
        <v>2.5789999999999997</v>
      </c>
      <c r="T106" s="74">
        <v>2.593</v>
      </c>
      <c r="U106" s="74">
        <v>2.6069999999999998</v>
      </c>
      <c r="V106" s="74">
        <v>2.621</v>
      </c>
      <c r="W106" s="74">
        <v>2.6339999999999999</v>
      </c>
      <c r="X106" s="74">
        <v>2.6459999999999999</v>
      </c>
      <c r="Y106" s="74">
        <v>2.653</v>
      </c>
      <c r="Z106" s="74">
        <v>2.67</v>
      </c>
      <c r="AA106" s="74">
        <v>2.681</v>
      </c>
      <c r="AB106" s="74">
        <v>2.6919999999999997</v>
      </c>
      <c r="AC106" s="74">
        <v>2.7029999999999998</v>
      </c>
      <c r="AD106" s="75">
        <v>2.7130000000000001</v>
      </c>
      <c r="AE106" s="76"/>
      <c r="AF106" s="76"/>
      <c r="AG106" s="76"/>
      <c r="AH106" s="76"/>
      <c r="AI106" s="76"/>
      <c r="AJ106" s="76"/>
      <c r="AK106" s="76"/>
      <c r="AL106" s="76"/>
      <c r="AM106" s="76"/>
      <c r="AN106" s="76"/>
      <c r="AO106" s="76"/>
      <c r="AP106" s="76"/>
      <c r="AQ106" s="76"/>
      <c r="AR106" s="76"/>
      <c r="AS106" s="76"/>
      <c r="BZ106" s="63" t="str">
        <f t="shared" si="40"/>
        <v>4104</v>
      </c>
      <c r="CA106" s="63" t="str">
        <f t="shared" si="39"/>
        <v>5104</v>
      </c>
      <c r="CB106" s="63" t="str">
        <f t="shared" si="41"/>
        <v>6104</v>
      </c>
      <c r="CC106" s="63" t="str">
        <f t="shared" si="42"/>
        <v>7104</v>
      </c>
      <c r="CD106" s="63" t="str">
        <f t="shared" si="43"/>
        <v>8104</v>
      </c>
      <c r="CE106" s="63" t="str">
        <f t="shared" si="44"/>
        <v>9104</v>
      </c>
      <c r="CF106" s="63" t="str">
        <f t="shared" si="45"/>
        <v>10104</v>
      </c>
      <c r="CG106" s="63" t="str">
        <f t="shared" si="46"/>
        <v>11104</v>
      </c>
      <c r="CH106" s="63" t="str">
        <f t="shared" si="47"/>
        <v>12104</v>
      </c>
      <c r="CI106" s="63" t="str">
        <f t="shared" si="48"/>
        <v>13104</v>
      </c>
      <c r="CJ106" s="63" t="str">
        <f t="shared" si="49"/>
        <v>14104</v>
      </c>
      <c r="CK106" s="63" t="str">
        <f t="shared" si="50"/>
        <v>15104</v>
      </c>
      <c r="CL106" s="63" t="str">
        <f t="shared" si="51"/>
        <v>16104</v>
      </c>
      <c r="CM106" s="63" t="str">
        <f t="shared" si="52"/>
        <v>17104</v>
      </c>
      <c r="CN106" s="63" t="str">
        <f t="shared" si="53"/>
        <v>18104</v>
      </c>
      <c r="CO106" s="63" t="str">
        <f t="shared" si="54"/>
        <v>19104</v>
      </c>
      <c r="CP106" s="63" t="str">
        <f t="shared" si="55"/>
        <v>20104</v>
      </c>
      <c r="CQ106" s="63" t="str">
        <f t="shared" si="56"/>
        <v>21104</v>
      </c>
      <c r="CR106" s="63" t="str">
        <f t="shared" si="57"/>
        <v>22104</v>
      </c>
      <c r="CS106" s="63" t="str">
        <f t="shared" si="58"/>
        <v>23104</v>
      </c>
      <c r="CT106" s="63" t="str">
        <f t="shared" si="59"/>
        <v>24104</v>
      </c>
      <c r="CU106" s="63" t="str">
        <f t="shared" si="60"/>
        <v>25104</v>
      </c>
      <c r="CV106" s="63" t="str">
        <f t="shared" si="61"/>
        <v>26104</v>
      </c>
      <c r="CW106" s="63" t="str">
        <f t="shared" si="62"/>
        <v>27104</v>
      </c>
      <c r="CX106" s="63" t="str">
        <f t="shared" si="63"/>
        <v>28104</v>
      </c>
      <c r="CY106" s="63" t="str">
        <f t="shared" si="64"/>
        <v>29104</v>
      </c>
      <c r="CZ106" s="63" t="str">
        <f t="shared" si="65"/>
        <v>30104</v>
      </c>
      <c r="DA106" s="63" t="str">
        <f t="shared" si="66"/>
        <v>31104</v>
      </c>
      <c r="DB106" s="63" t="str">
        <f t="shared" si="67"/>
        <v>32104</v>
      </c>
      <c r="DD106" s="72" t="s">
        <v>234</v>
      </c>
      <c r="DE106" s="77">
        <f t="shared" si="73"/>
        <v>2.306</v>
      </c>
      <c r="DF106" s="77">
        <f t="shared" si="73"/>
        <v>2.3250000000000002</v>
      </c>
      <c r="DG106" s="77">
        <f t="shared" si="73"/>
        <v>2.343</v>
      </c>
      <c r="DH106" s="77">
        <f t="shared" si="73"/>
        <v>2.3620000000000001</v>
      </c>
      <c r="DI106" s="77">
        <f t="shared" si="73"/>
        <v>2.38</v>
      </c>
      <c r="DJ106" s="77">
        <f t="shared" si="73"/>
        <v>2.3969999999999998</v>
      </c>
      <c r="DK106" s="77">
        <f t="shared" si="73"/>
        <v>2.4049999999999998</v>
      </c>
      <c r="DL106" s="77">
        <f t="shared" si="73"/>
        <v>2.4289999999999998</v>
      </c>
      <c r="DM106" s="77">
        <f t="shared" si="73"/>
        <v>2.4449999999999998</v>
      </c>
      <c r="DN106" s="77">
        <f t="shared" si="73"/>
        <v>2.4590000000000001</v>
      </c>
      <c r="DO106" s="77">
        <f t="shared" si="73"/>
        <v>2.4729999999999999</v>
      </c>
      <c r="DP106" s="77">
        <f t="shared" si="73"/>
        <v>2.4870000000000001</v>
      </c>
      <c r="DQ106" s="77">
        <f t="shared" si="73"/>
        <v>2.5019999999999998</v>
      </c>
      <c r="DR106" s="77">
        <f t="shared" si="73"/>
        <v>2.5169999999999999</v>
      </c>
      <c r="DS106" s="77">
        <f t="shared" si="73"/>
        <v>2.5329999999999999</v>
      </c>
      <c r="DT106" s="77">
        <f t="shared" si="70"/>
        <v>2.5489999999999999</v>
      </c>
      <c r="DU106" s="77">
        <f t="shared" si="69"/>
        <v>2.5640000000000001</v>
      </c>
      <c r="DV106" s="77">
        <f t="shared" si="69"/>
        <v>2.5790000000000002</v>
      </c>
      <c r="DW106" s="77">
        <f t="shared" si="69"/>
        <v>2.593</v>
      </c>
      <c r="DX106" s="77">
        <f t="shared" si="68"/>
        <v>2.6070000000000002</v>
      </c>
      <c r="DY106" s="77">
        <f t="shared" si="68"/>
        <v>2.621</v>
      </c>
      <c r="DZ106" s="77">
        <f t="shared" si="68"/>
        <v>2.6339999999999999</v>
      </c>
      <c r="EA106" s="77">
        <f t="shared" si="68"/>
        <v>2.6459999999999999</v>
      </c>
      <c r="EB106" s="77">
        <f t="shared" si="68"/>
        <v>2.653</v>
      </c>
      <c r="EC106" s="77">
        <f t="shared" si="68"/>
        <v>2.67</v>
      </c>
      <c r="ED106" s="77">
        <f t="shared" si="68"/>
        <v>2.681</v>
      </c>
      <c r="EE106" s="77">
        <f t="shared" si="68"/>
        <v>2.6920000000000002</v>
      </c>
      <c r="EF106" s="77">
        <f t="shared" si="72"/>
        <v>2.7029999999999998</v>
      </c>
      <c r="EG106" s="77">
        <f t="shared" si="72"/>
        <v>2.7130000000000001</v>
      </c>
    </row>
    <row r="107" spans="1:137" ht="12.6" customHeight="1">
      <c r="A107" s="73">
        <v>105</v>
      </c>
      <c r="B107" s="74">
        <v>2.3149999999999999</v>
      </c>
      <c r="C107" s="74">
        <v>2.3340000000000001</v>
      </c>
      <c r="D107" s="74">
        <v>2.3519999999999999</v>
      </c>
      <c r="E107" s="74">
        <v>2.371</v>
      </c>
      <c r="F107" s="74">
        <v>2.3889999999999998</v>
      </c>
      <c r="G107" s="74">
        <v>2.4059999999999997</v>
      </c>
      <c r="H107" s="74">
        <v>2.4139999999999997</v>
      </c>
      <c r="I107" s="74">
        <v>2.4379999999999997</v>
      </c>
      <c r="J107" s="74">
        <v>2.4529999999999998</v>
      </c>
      <c r="K107" s="74">
        <v>2.4670000000000001</v>
      </c>
      <c r="L107" s="74">
        <v>2.4809999999999999</v>
      </c>
      <c r="M107" s="74">
        <v>2.4950000000000001</v>
      </c>
      <c r="N107" s="74">
        <v>2.5099999999999998</v>
      </c>
      <c r="O107" s="74">
        <v>2.5249999999999999</v>
      </c>
      <c r="P107" s="74">
        <v>2.5409999999999999</v>
      </c>
      <c r="Q107" s="74">
        <v>2.556</v>
      </c>
      <c r="R107" s="74">
        <v>2.5720000000000001</v>
      </c>
      <c r="S107" s="74">
        <v>2.5859999999999999</v>
      </c>
      <c r="T107" s="74">
        <v>2.601</v>
      </c>
      <c r="U107" s="74">
        <v>2.6139999999999999</v>
      </c>
      <c r="V107" s="74">
        <v>2.6280000000000001</v>
      </c>
      <c r="W107" s="74">
        <v>2.641</v>
      </c>
      <c r="X107" s="74">
        <v>2.653</v>
      </c>
      <c r="Y107" s="74">
        <v>2.665</v>
      </c>
      <c r="Z107" s="74">
        <v>2.677</v>
      </c>
      <c r="AA107" s="74">
        <v>2.6879999999999997</v>
      </c>
      <c r="AB107" s="74">
        <v>2.6989999999999998</v>
      </c>
      <c r="AC107" s="74">
        <v>2.71</v>
      </c>
      <c r="AD107" s="75">
        <v>2.7199999999999998</v>
      </c>
      <c r="AE107" s="76"/>
      <c r="AF107" s="76"/>
      <c r="AG107" s="76"/>
      <c r="AH107" s="76"/>
      <c r="AI107" s="76"/>
      <c r="AJ107" s="76"/>
      <c r="AK107" s="76"/>
      <c r="AL107" s="76"/>
      <c r="AM107" s="76"/>
      <c r="AN107" s="76"/>
      <c r="AO107" s="76"/>
      <c r="AP107" s="76"/>
      <c r="AQ107" s="76"/>
      <c r="AR107" s="76"/>
      <c r="AS107" s="76"/>
      <c r="BZ107" s="63" t="str">
        <f t="shared" si="40"/>
        <v>4105</v>
      </c>
      <c r="CA107" s="63" t="str">
        <f t="shared" si="39"/>
        <v>5105</v>
      </c>
      <c r="CB107" s="63" t="str">
        <f t="shared" si="41"/>
        <v>6105</v>
      </c>
      <c r="CC107" s="63" t="str">
        <f t="shared" si="42"/>
        <v>7105</v>
      </c>
      <c r="CD107" s="63" t="str">
        <f t="shared" si="43"/>
        <v>8105</v>
      </c>
      <c r="CE107" s="63" t="str">
        <f t="shared" si="44"/>
        <v>9105</v>
      </c>
      <c r="CF107" s="63" t="str">
        <f t="shared" si="45"/>
        <v>10105</v>
      </c>
      <c r="CG107" s="63" t="str">
        <f t="shared" si="46"/>
        <v>11105</v>
      </c>
      <c r="CH107" s="63" t="str">
        <f t="shared" si="47"/>
        <v>12105</v>
      </c>
      <c r="CI107" s="63" t="str">
        <f t="shared" si="48"/>
        <v>13105</v>
      </c>
      <c r="CJ107" s="63" t="str">
        <f t="shared" si="49"/>
        <v>14105</v>
      </c>
      <c r="CK107" s="63" t="str">
        <f t="shared" si="50"/>
        <v>15105</v>
      </c>
      <c r="CL107" s="63" t="str">
        <f t="shared" si="51"/>
        <v>16105</v>
      </c>
      <c r="CM107" s="63" t="str">
        <f t="shared" si="52"/>
        <v>17105</v>
      </c>
      <c r="CN107" s="63" t="str">
        <f t="shared" si="53"/>
        <v>18105</v>
      </c>
      <c r="CO107" s="63" t="str">
        <f t="shared" si="54"/>
        <v>19105</v>
      </c>
      <c r="CP107" s="63" t="str">
        <f t="shared" si="55"/>
        <v>20105</v>
      </c>
      <c r="CQ107" s="63" t="str">
        <f t="shared" si="56"/>
        <v>21105</v>
      </c>
      <c r="CR107" s="63" t="str">
        <f t="shared" si="57"/>
        <v>22105</v>
      </c>
      <c r="CS107" s="63" t="str">
        <f t="shared" si="58"/>
        <v>23105</v>
      </c>
      <c r="CT107" s="63" t="str">
        <f t="shared" si="59"/>
        <v>24105</v>
      </c>
      <c r="CU107" s="63" t="str">
        <f t="shared" si="60"/>
        <v>25105</v>
      </c>
      <c r="CV107" s="63" t="str">
        <f t="shared" si="61"/>
        <v>26105</v>
      </c>
      <c r="CW107" s="63" t="str">
        <f t="shared" si="62"/>
        <v>27105</v>
      </c>
      <c r="CX107" s="63" t="str">
        <f t="shared" si="63"/>
        <v>28105</v>
      </c>
      <c r="CY107" s="63" t="str">
        <f t="shared" si="64"/>
        <v>29105</v>
      </c>
      <c r="CZ107" s="63" t="str">
        <f t="shared" si="65"/>
        <v>30105</v>
      </c>
      <c r="DA107" s="63" t="str">
        <f t="shared" si="66"/>
        <v>31105</v>
      </c>
      <c r="DB107" s="63" t="str">
        <f t="shared" si="67"/>
        <v>32105</v>
      </c>
      <c r="DD107" s="72" t="s">
        <v>235</v>
      </c>
      <c r="DE107" s="77">
        <f t="shared" si="73"/>
        <v>2.3149999999999999</v>
      </c>
      <c r="DF107" s="77">
        <f t="shared" si="73"/>
        <v>2.3340000000000001</v>
      </c>
      <c r="DG107" s="77">
        <f t="shared" si="73"/>
        <v>2.3519999999999999</v>
      </c>
      <c r="DH107" s="77">
        <f t="shared" si="73"/>
        <v>2.371</v>
      </c>
      <c r="DI107" s="77">
        <f t="shared" si="73"/>
        <v>2.3889999999999998</v>
      </c>
      <c r="DJ107" s="77">
        <f t="shared" si="73"/>
        <v>2.4060000000000001</v>
      </c>
      <c r="DK107" s="77">
        <f t="shared" si="73"/>
        <v>2.4140000000000001</v>
      </c>
      <c r="DL107" s="77">
        <f t="shared" si="73"/>
        <v>2.4380000000000002</v>
      </c>
      <c r="DM107" s="77">
        <f t="shared" si="73"/>
        <v>2.4529999999999998</v>
      </c>
      <c r="DN107" s="77">
        <f t="shared" si="73"/>
        <v>2.4670000000000001</v>
      </c>
      <c r="DO107" s="77">
        <f t="shared" si="73"/>
        <v>2.4809999999999999</v>
      </c>
      <c r="DP107" s="77">
        <f t="shared" si="73"/>
        <v>2.4950000000000001</v>
      </c>
      <c r="DQ107" s="77">
        <f t="shared" si="73"/>
        <v>2.5099999999999998</v>
      </c>
      <c r="DR107" s="77">
        <f t="shared" si="73"/>
        <v>2.5249999999999999</v>
      </c>
      <c r="DS107" s="77">
        <f t="shared" si="73"/>
        <v>2.5409999999999999</v>
      </c>
      <c r="DT107" s="77">
        <f t="shared" si="70"/>
        <v>2.556</v>
      </c>
      <c r="DU107" s="77">
        <f t="shared" si="69"/>
        <v>2.5720000000000001</v>
      </c>
      <c r="DV107" s="77">
        <f t="shared" si="69"/>
        <v>2.5859999999999999</v>
      </c>
      <c r="DW107" s="77">
        <f t="shared" si="69"/>
        <v>2.601</v>
      </c>
      <c r="DX107" s="77">
        <f t="shared" si="68"/>
        <v>2.6139999999999999</v>
      </c>
      <c r="DY107" s="77">
        <f t="shared" si="68"/>
        <v>2.6280000000000001</v>
      </c>
      <c r="DZ107" s="77">
        <f t="shared" si="68"/>
        <v>2.641</v>
      </c>
      <c r="EA107" s="77">
        <f t="shared" si="68"/>
        <v>2.653</v>
      </c>
      <c r="EB107" s="77">
        <f t="shared" si="68"/>
        <v>2.665</v>
      </c>
      <c r="EC107" s="77">
        <f t="shared" si="68"/>
        <v>2.677</v>
      </c>
      <c r="ED107" s="77">
        <f t="shared" si="68"/>
        <v>2.6880000000000002</v>
      </c>
      <c r="EE107" s="77">
        <f t="shared" si="68"/>
        <v>2.6989999999999998</v>
      </c>
      <c r="EF107" s="77">
        <f t="shared" si="72"/>
        <v>2.71</v>
      </c>
      <c r="EG107" s="77">
        <f t="shared" si="72"/>
        <v>2.72</v>
      </c>
    </row>
    <row r="108" spans="1:137" ht="12.6" customHeight="1">
      <c r="A108" s="73">
        <v>106</v>
      </c>
      <c r="B108" s="74">
        <v>2.323</v>
      </c>
      <c r="C108" s="74">
        <v>2.3420000000000001</v>
      </c>
      <c r="D108" s="74">
        <v>2.36</v>
      </c>
      <c r="E108" s="74">
        <v>2.379</v>
      </c>
      <c r="F108" s="74">
        <v>2.3969999999999998</v>
      </c>
      <c r="G108" s="74">
        <v>2.4139999999999997</v>
      </c>
      <c r="H108" s="74">
        <v>2.4219999999999997</v>
      </c>
      <c r="I108" s="74">
        <v>2.4459999999999997</v>
      </c>
      <c r="J108" s="74">
        <v>2.4609999999999999</v>
      </c>
      <c r="K108" s="74">
        <v>2.476</v>
      </c>
      <c r="L108" s="74">
        <v>2.4899999999999998</v>
      </c>
      <c r="M108" s="74">
        <v>2.5030000000000001</v>
      </c>
      <c r="N108" s="74">
        <v>2.5179999999999998</v>
      </c>
      <c r="O108" s="74">
        <v>2.5329999999999999</v>
      </c>
      <c r="P108" s="74">
        <v>2.5489999999999999</v>
      </c>
      <c r="Q108" s="74">
        <v>2.5640000000000001</v>
      </c>
      <c r="R108" s="74">
        <v>2.5789999999999997</v>
      </c>
      <c r="S108" s="74">
        <v>2.5939999999999999</v>
      </c>
      <c r="T108" s="74">
        <v>2.6080000000000001</v>
      </c>
      <c r="U108" s="74">
        <v>2.6219999999999999</v>
      </c>
      <c r="V108" s="74">
        <v>2.6349999999999998</v>
      </c>
      <c r="W108" s="74">
        <v>2.6480000000000001</v>
      </c>
      <c r="X108" s="74">
        <v>2.661</v>
      </c>
      <c r="Y108" s="74">
        <v>2.673</v>
      </c>
      <c r="Z108" s="74">
        <v>2.6839999999999997</v>
      </c>
      <c r="AA108" s="74">
        <v>2.6959999999999997</v>
      </c>
      <c r="AB108" s="74">
        <v>2.706</v>
      </c>
      <c r="AC108" s="74">
        <v>2.7170000000000001</v>
      </c>
      <c r="AD108" s="75">
        <v>2.7269999999999999</v>
      </c>
      <c r="AE108" s="76"/>
      <c r="AF108" s="76"/>
      <c r="AG108" s="76"/>
      <c r="AH108" s="76"/>
      <c r="AI108" s="76"/>
      <c r="AJ108" s="76"/>
      <c r="AK108" s="76"/>
      <c r="AL108" s="76"/>
      <c r="AM108" s="76"/>
      <c r="AN108" s="76"/>
      <c r="AO108" s="76"/>
      <c r="AP108" s="76"/>
      <c r="AQ108" s="76"/>
      <c r="AR108" s="76"/>
      <c r="AS108" s="76"/>
      <c r="BZ108" s="63" t="str">
        <f t="shared" si="40"/>
        <v>4106</v>
      </c>
      <c r="CA108" s="63" t="str">
        <f t="shared" si="39"/>
        <v>5106</v>
      </c>
      <c r="CB108" s="63" t="str">
        <f t="shared" si="41"/>
        <v>6106</v>
      </c>
      <c r="CC108" s="63" t="str">
        <f t="shared" si="42"/>
        <v>7106</v>
      </c>
      <c r="CD108" s="63" t="str">
        <f t="shared" si="43"/>
        <v>8106</v>
      </c>
      <c r="CE108" s="63" t="str">
        <f t="shared" si="44"/>
        <v>9106</v>
      </c>
      <c r="CF108" s="63" t="str">
        <f t="shared" si="45"/>
        <v>10106</v>
      </c>
      <c r="CG108" s="63" t="str">
        <f t="shared" si="46"/>
        <v>11106</v>
      </c>
      <c r="CH108" s="63" t="str">
        <f t="shared" si="47"/>
        <v>12106</v>
      </c>
      <c r="CI108" s="63" t="str">
        <f t="shared" si="48"/>
        <v>13106</v>
      </c>
      <c r="CJ108" s="63" t="str">
        <f t="shared" si="49"/>
        <v>14106</v>
      </c>
      <c r="CK108" s="63" t="str">
        <f t="shared" si="50"/>
        <v>15106</v>
      </c>
      <c r="CL108" s="63" t="str">
        <f t="shared" si="51"/>
        <v>16106</v>
      </c>
      <c r="CM108" s="63" t="str">
        <f t="shared" si="52"/>
        <v>17106</v>
      </c>
      <c r="CN108" s="63" t="str">
        <f t="shared" si="53"/>
        <v>18106</v>
      </c>
      <c r="CO108" s="63" t="str">
        <f t="shared" si="54"/>
        <v>19106</v>
      </c>
      <c r="CP108" s="63" t="str">
        <f t="shared" si="55"/>
        <v>20106</v>
      </c>
      <c r="CQ108" s="63" t="str">
        <f t="shared" si="56"/>
        <v>21106</v>
      </c>
      <c r="CR108" s="63" t="str">
        <f t="shared" si="57"/>
        <v>22106</v>
      </c>
      <c r="CS108" s="63" t="str">
        <f t="shared" si="58"/>
        <v>23106</v>
      </c>
      <c r="CT108" s="63" t="str">
        <f t="shared" si="59"/>
        <v>24106</v>
      </c>
      <c r="CU108" s="63" t="str">
        <f t="shared" si="60"/>
        <v>25106</v>
      </c>
      <c r="CV108" s="63" t="str">
        <f t="shared" si="61"/>
        <v>26106</v>
      </c>
      <c r="CW108" s="63" t="str">
        <f t="shared" si="62"/>
        <v>27106</v>
      </c>
      <c r="CX108" s="63" t="str">
        <f t="shared" si="63"/>
        <v>28106</v>
      </c>
      <c r="CY108" s="63" t="str">
        <f t="shared" si="64"/>
        <v>29106</v>
      </c>
      <c r="CZ108" s="63" t="str">
        <f t="shared" si="65"/>
        <v>30106</v>
      </c>
      <c r="DA108" s="63" t="str">
        <f t="shared" si="66"/>
        <v>31106</v>
      </c>
      <c r="DB108" s="63" t="str">
        <f t="shared" si="67"/>
        <v>32106</v>
      </c>
      <c r="DD108" s="72" t="s">
        <v>236</v>
      </c>
      <c r="DE108" s="77">
        <f t="shared" si="73"/>
        <v>2.323</v>
      </c>
      <c r="DF108" s="77">
        <f t="shared" si="73"/>
        <v>2.3420000000000001</v>
      </c>
      <c r="DG108" s="77">
        <f t="shared" si="73"/>
        <v>2.36</v>
      </c>
      <c r="DH108" s="77">
        <f t="shared" si="73"/>
        <v>2.379</v>
      </c>
      <c r="DI108" s="77">
        <f t="shared" si="73"/>
        <v>2.3969999999999998</v>
      </c>
      <c r="DJ108" s="77">
        <f t="shared" si="73"/>
        <v>2.4140000000000001</v>
      </c>
      <c r="DK108" s="77">
        <f t="shared" si="73"/>
        <v>2.4220000000000002</v>
      </c>
      <c r="DL108" s="77">
        <f t="shared" si="73"/>
        <v>2.4460000000000002</v>
      </c>
      <c r="DM108" s="77">
        <f t="shared" si="73"/>
        <v>2.4609999999999999</v>
      </c>
      <c r="DN108" s="77">
        <f t="shared" si="73"/>
        <v>2.476</v>
      </c>
      <c r="DO108" s="77">
        <f t="shared" si="73"/>
        <v>2.4900000000000002</v>
      </c>
      <c r="DP108" s="77">
        <f t="shared" si="73"/>
        <v>2.5030000000000001</v>
      </c>
      <c r="DQ108" s="77">
        <f t="shared" si="73"/>
        <v>2.5179999999999998</v>
      </c>
      <c r="DR108" s="77">
        <f t="shared" si="73"/>
        <v>2.5329999999999999</v>
      </c>
      <c r="DS108" s="77">
        <f t="shared" si="73"/>
        <v>2.5489999999999999</v>
      </c>
      <c r="DT108" s="77">
        <f t="shared" si="70"/>
        <v>2.5640000000000001</v>
      </c>
      <c r="DU108" s="77">
        <f t="shared" si="69"/>
        <v>2.5790000000000002</v>
      </c>
      <c r="DV108" s="77">
        <f t="shared" si="69"/>
        <v>2.5939999999999999</v>
      </c>
      <c r="DW108" s="77">
        <f t="shared" si="69"/>
        <v>2.6080000000000001</v>
      </c>
      <c r="DX108" s="77">
        <f t="shared" si="68"/>
        <v>2.6219999999999999</v>
      </c>
      <c r="DY108" s="77">
        <f t="shared" si="68"/>
        <v>2.6349999999999998</v>
      </c>
      <c r="DZ108" s="77">
        <f t="shared" si="68"/>
        <v>2.6480000000000001</v>
      </c>
      <c r="EA108" s="77">
        <f t="shared" si="68"/>
        <v>2.661</v>
      </c>
      <c r="EB108" s="77">
        <f t="shared" si="68"/>
        <v>2.673</v>
      </c>
      <c r="EC108" s="77">
        <f t="shared" si="68"/>
        <v>2.6840000000000002</v>
      </c>
      <c r="ED108" s="77">
        <f t="shared" si="68"/>
        <v>2.6960000000000002</v>
      </c>
      <c r="EE108" s="77">
        <f t="shared" si="68"/>
        <v>2.706</v>
      </c>
      <c r="EF108" s="77">
        <f t="shared" si="72"/>
        <v>2.7170000000000001</v>
      </c>
      <c r="EG108" s="77">
        <f t="shared" si="72"/>
        <v>2.7269999999999999</v>
      </c>
    </row>
    <row r="109" spans="1:137" ht="12.6" customHeight="1">
      <c r="A109" s="73">
        <v>107</v>
      </c>
      <c r="B109" s="74">
        <v>2.3319999999999999</v>
      </c>
      <c r="C109" s="74">
        <v>2.351</v>
      </c>
      <c r="D109" s="74">
        <v>2.3689999999999998</v>
      </c>
      <c r="E109" s="74">
        <v>2.3879999999999999</v>
      </c>
      <c r="F109" s="74">
        <v>2.4059999999999997</v>
      </c>
      <c r="G109" s="74">
        <v>2.423</v>
      </c>
      <c r="H109" s="74">
        <v>2.4299999999999997</v>
      </c>
      <c r="I109" s="74">
        <v>2.4539999999999997</v>
      </c>
      <c r="J109" s="74">
        <v>2.4689999999999999</v>
      </c>
      <c r="K109" s="74">
        <v>2.484</v>
      </c>
      <c r="L109" s="74">
        <v>2.4979999999999998</v>
      </c>
      <c r="M109" s="74">
        <v>2.5110000000000001</v>
      </c>
      <c r="N109" s="74">
        <v>2.5259999999999998</v>
      </c>
      <c r="O109" s="74">
        <v>2.5409999999999999</v>
      </c>
      <c r="P109" s="74">
        <v>2.556</v>
      </c>
      <c r="Q109" s="74">
        <v>2.5720000000000001</v>
      </c>
      <c r="R109" s="74">
        <v>2.5869999999999997</v>
      </c>
      <c r="S109" s="74">
        <v>2.601</v>
      </c>
      <c r="T109" s="74">
        <v>2.6160000000000001</v>
      </c>
      <c r="U109" s="74">
        <v>2.629</v>
      </c>
      <c r="V109" s="74">
        <v>2.6429999999999998</v>
      </c>
      <c r="W109" s="74">
        <v>2.6549999999999998</v>
      </c>
      <c r="X109" s="74">
        <v>2.6679999999999997</v>
      </c>
      <c r="Y109" s="74">
        <v>2.6799999999999997</v>
      </c>
      <c r="Z109" s="74">
        <v>2.6909999999999998</v>
      </c>
      <c r="AA109" s="74">
        <v>2.7029999999999998</v>
      </c>
      <c r="AB109" s="74">
        <v>2.7130000000000001</v>
      </c>
      <c r="AC109" s="74">
        <v>2.7239999999999998</v>
      </c>
      <c r="AD109" s="75">
        <v>2.7330000000000001</v>
      </c>
      <c r="AE109" s="76"/>
      <c r="AF109" s="76"/>
      <c r="AG109" s="76"/>
      <c r="AH109" s="76"/>
      <c r="AI109" s="76"/>
      <c r="AJ109" s="76"/>
      <c r="AK109" s="76"/>
      <c r="AL109" s="76"/>
      <c r="AM109" s="76"/>
      <c r="AN109" s="76"/>
      <c r="AO109" s="76"/>
      <c r="AP109" s="76"/>
      <c r="AQ109" s="76"/>
      <c r="AR109" s="76"/>
      <c r="AS109" s="76"/>
      <c r="BZ109" s="63" t="str">
        <f t="shared" si="40"/>
        <v>4107</v>
      </c>
      <c r="CA109" s="63" t="str">
        <f t="shared" si="39"/>
        <v>5107</v>
      </c>
      <c r="CB109" s="63" t="str">
        <f t="shared" si="41"/>
        <v>6107</v>
      </c>
      <c r="CC109" s="63" t="str">
        <f t="shared" si="42"/>
        <v>7107</v>
      </c>
      <c r="CD109" s="63" t="str">
        <f t="shared" si="43"/>
        <v>8107</v>
      </c>
      <c r="CE109" s="63" t="str">
        <f t="shared" si="44"/>
        <v>9107</v>
      </c>
      <c r="CF109" s="63" t="str">
        <f t="shared" si="45"/>
        <v>10107</v>
      </c>
      <c r="CG109" s="63" t="str">
        <f t="shared" si="46"/>
        <v>11107</v>
      </c>
      <c r="CH109" s="63" t="str">
        <f t="shared" si="47"/>
        <v>12107</v>
      </c>
      <c r="CI109" s="63" t="str">
        <f t="shared" si="48"/>
        <v>13107</v>
      </c>
      <c r="CJ109" s="63" t="str">
        <f t="shared" si="49"/>
        <v>14107</v>
      </c>
      <c r="CK109" s="63" t="str">
        <f t="shared" si="50"/>
        <v>15107</v>
      </c>
      <c r="CL109" s="63" t="str">
        <f t="shared" si="51"/>
        <v>16107</v>
      </c>
      <c r="CM109" s="63" t="str">
        <f t="shared" si="52"/>
        <v>17107</v>
      </c>
      <c r="CN109" s="63" t="str">
        <f t="shared" si="53"/>
        <v>18107</v>
      </c>
      <c r="CO109" s="63" t="str">
        <f t="shared" si="54"/>
        <v>19107</v>
      </c>
      <c r="CP109" s="63" t="str">
        <f t="shared" si="55"/>
        <v>20107</v>
      </c>
      <c r="CQ109" s="63" t="str">
        <f t="shared" si="56"/>
        <v>21107</v>
      </c>
      <c r="CR109" s="63" t="str">
        <f t="shared" si="57"/>
        <v>22107</v>
      </c>
      <c r="CS109" s="63" t="str">
        <f t="shared" si="58"/>
        <v>23107</v>
      </c>
      <c r="CT109" s="63" t="str">
        <f t="shared" si="59"/>
        <v>24107</v>
      </c>
      <c r="CU109" s="63" t="str">
        <f t="shared" si="60"/>
        <v>25107</v>
      </c>
      <c r="CV109" s="63" t="str">
        <f t="shared" si="61"/>
        <v>26107</v>
      </c>
      <c r="CW109" s="63" t="str">
        <f t="shared" si="62"/>
        <v>27107</v>
      </c>
      <c r="CX109" s="63" t="str">
        <f t="shared" si="63"/>
        <v>28107</v>
      </c>
      <c r="CY109" s="63" t="str">
        <f t="shared" si="64"/>
        <v>29107</v>
      </c>
      <c r="CZ109" s="63" t="str">
        <f t="shared" si="65"/>
        <v>30107</v>
      </c>
      <c r="DA109" s="63" t="str">
        <f t="shared" si="66"/>
        <v>31107</v>
      </c>
      <c r="DB109" s="63" t="str">
        <f t="shared" si="67"/>
        <v>32107</v>
      </c>
      <c r="DD109" s="72" t="s">
        <v>237</v>
      </c>
      <c r="DE109" s="77">
        <f t="shared" si="73"/>
        <v>2.3319999999999999</v>
      </c>
      <c r="DF109" s="77">
        <f t="shared" si="73"/>
        <v>2.351</v>
      </c>
      <c r="DG109" s="77">
        <f t="shared" si="73"/>
        <v>2.3690000000000002</v>
      </c>
      <c r="DH109" s="77">
        <f t="shared" si="73"/>
        <v>2.3879999999999999</v>
      </c>
      <c r="DI109" s="77">
        <f t="shared" si="73"/>
        <v>2.4060000000000001</v>
      </c>
      <c r="DJ109" s="77">
        <f t="shared" si="73"/>
        <v>2.423</v>
      </c>
      <c r="DK109" s="77">
        <f t="shared" si="73"/>
        <v>2.4300000000000002</v>
      </c>
      <c r="DL109" s="77">
        <f t="shared" si="73"/>
        <v>2.4540000000000002</v>
      </c>
      <c r="DM109" s="77">
        <f t="shared" si="73"/>
        <v>2.4689999999999999</v>
      </c>
      <c r="DN109" s="77">
        <f t="shared" si="73"/>
        <v>2.484</v>
      </c>
      <c r="DO109" s="77">
        <f t="shared" si="73"/>
        <v>2.4980000000000002</v>
      </c>
      <c r="DP109" s="77">
        <f t="shared" si="73"/>
        <v>2.5110000000000001</v>
      </c>
      <c r="DQ109" s="77">
        <f t="shared" si="73"/>
        <v>2.5259999999999998</v>
      </c>
      <c r="DR109" s="77">
        <f t="shared" si="73"/>
        <v>2.5409999999999999</v>
      </c>
      <c r="DS109" s="77">
        <f t="shared" si="73"/>
        <v>2.556</v>
      </c>
      <c r="DT109" s="77">
        <f t="shared" si="70"/>
        <v>2.5720000000000001</v>
      </c>
      <c r="DU109" s="77">
        <f t="shared" si="69"/>
        <v>2.5870000000000002</v>
      </c>
      <c r="DV109" s="77">
        <f t="shared" si="69"/>
        <v>2.601</v>
      </c>
      <c r="DW109" s="77">
        <f t="shared" si="69"/>
        <v>2.6160000000000001</v>
      </c>
      <c r="DX109" s="77">
        <f t="shared" si="68"/>
        <v>2.629</v>
      </c>
      <c r="DY109" s="77">
        <f t="shared" si="68"/>
        <v>2.6429999999999998</v>
      </c>
      <c r="DZ109" s="77">
        <f t="shared" si="68"/>
        <v>2.6549999999999998</v>
      </c>
      <c r="EA109" s="77">
        <f t="shared" si="68"/>
        <v>2.6680000000000001</v>
      </c>
      <c r="EB109" s="77">
        <f t="shared" si="68"/>
        <v>2.68</v>
      </c>
      <c r="EC109" s="77">
        <f t="shared" si="68"/>
        <v>2.6909999999999998</v>
      </c>
      <c r="ED109" s="77">
        <f t="shared" si="68"/>
        <v>2.7029999999999998</v>
      </c>
      <c r="EE109" s="77">
        <f t="shared" si="68"/>
        <v>2.7130000000000001</v>
      </c>
      <c r="EF109" s="77">
        <f t="shared" si="72"/>
        <v>2.7240000000000002</v>
      </c>
      <c r="EG109" s="77">
        <f t="shared" si="72"/>
        <v>2.7330000000000001</v>
      </c>
    </row>
    <row r="110" spans="1:137" ht="12.6" customHeight="1">
      <c r="A110" s="73">
        <v>108</v>
      </c>
      <c r="B110" s="74">
        <v>2.3420000000000001</v>
      </c>
      <c r="C110" s="74">
        <v>2.36</v>
      </c>
      <c r="D110" s="74">
        <v>2.3780000000000001</v>
      </c>
      <c r="E110" s="74">
        <v>2.3969999999999998</v>
      </c>
      <c r="F110" s="74">
        <v>2.4139999999999997</v>
      </c>
      <c r="G110" s="74">
        <v>2.431</v>
      </c>
      <c r="H110" s="74">
        <v>2.4390000000000001</v>
      </c>
      <c r="I110" s="74">
        <v>2.4630000000000001</v>
      </c>
      <c r="J110" s="74">
        <v>2.4779999999999998</v>
      </c>
      <c r="K110" s="74">
        <v>2.492</v>
      </c>
      <c r="L110" s="74">
        <v>2.5059999999999998</v>
      </c>
      <c r="M110" s="74">
        <v>2.5190000000000001</v>
      </c>
      <c r="N110" s="74">
        <v>2.5339999999999998</v>
      </c>
      <c r="O110" s="74">
        <v>2.5489999999999999</v>
      </c>
      <c r="P110" s="74">
        <v>2.5640000000000001</v>
      </c>
      <c r="Q110" s="74">
        <v>2.58</v>
      </c>
      <c r="R110" s="74">
        <v>2.5949999999999998</v>
      </c>
      <c r="S110" s="74">
        <v>2.609</v>
      </c>
      <c r="T110" s="74">
        <v>2.6229999999999998</v>
      </c>
      <c r="U110" s="74">
        <v>2.637</v>
      </c>
      <c r="V110" s="74">
        <v>2.65</v>
      </c>
      <c r="W110" s="74">
        <v>2.6629999999999998</v>
      </c>
      <c r="X110" s="74">
        <v>2.6749999999999998</v>
      </c>
      <c r="Y110" s="74">
        <v>2.6869999999999998</v>
      </c>
      <c r="Z110" s="74">
        <v>2.6989999999999998</v>
      </c>
      <c r="AA110" s="74">
        <v>2.71</v>
      </c>
      <c r="AB110" s="74">
        <v>2.7199999999999998</v>
      </c>
      <c r="AC110" s="74">
        <v>2.7309999999999999</v>
      </c>
      <c r="AD110" s="75">
        <v>2.7399999999999998</v>
      </c>
      <c r="AE110" s="76"/>
      <c r="AF110" s="76"/>
      <c r="AG110" s="76"/>
      <c r="AH110" s="76"/>
      <c r="AI110" s="76"/>
      <c r="AJ110" s="76"/>
      <c r="AK110" s="76"/>
      <c r="AL110" s="76"/>
      <c r="AM110" s="76"/>
      <c r="AN110" s="76"/>
      <c r="AO110" s="76"/>
      <c r="AP110" s="76"/>
      <c r="AQ110" s="76"/>
      <c r="AR110" s="76"/>
      <c r="AS110" s="76"/>
      <c r="BZ110" s="63" t="str">
        <f t="shared" si="40"/>
        <v>4108</v>
      </c>
      <c r="CA110" s="63" t="str">
        <f t="shared" si="39"/>
        <v>5108</v>
      </c>
      <c r="CB110" s="63" t="str">
        <f t="shared" si="41"/>
        <v>6108</v>
      </c>
      <c r="CC110" s="63" t="str">
        <f t="shared" si="42"/>
        <v>7108</v>
      </c>
      <c r="CD110" s="63" t="str">
        <f t="shared" si="43"/>
        <v>8108</v>
      </c>
      <c r="CE110" s="63" t="str">
        <f t="shared" si="44"/>
        <v>9108</v>
      </c>
      <c r="CF110" s="63" t="str">
        <f t="shared" si="45"/>
        <v>10108</v>
      </c>
      <c r="CG110" s="63" t="str">
        <f t="shared" si="46"/>
        <v>11108</v>
      </c>
      <c r="CH110" s="63" t="str">
        <f t="shared" si="47"/>
        <v>12108</v>
      </c>
      <c r="CI110" s="63" t="str">
        <f t="shared" si="48"/>
        <v>13108</v>
      </c>
      <c r="CJ110" s="63" t="str">
        <f t="shared" si="49"/>
        <v>14108</v>
      </c>
      <c r="CK110" s="63" t="str">
        <f t="shared" si="50"/>
        <v>15108</v>
      </c>
      <c r="CL110" s="63" t="str">
        <f t="shared" si="51"/>
        <v>16108</v>
      </c>
      <c r="CM110" s="63" t="str">
        <f t="shared" si="52"/>
        <v>17108</v>
      </c>
      <c r="CN110" s="63" t="str">
        <f t="shared" si="53"/>
        <v>18108</v>
      </c>
      <c r="CO110" s="63" t="str">
        <f t="shared" si="54"/>
        <v>19108</v>
      </c>
      <c r="CP110" s="63" t="str">
        <f t="shared" si="55"/>
        <v>20108</v>
      </c>
      <c r="CQ110" s="63" t="str">
        <f t="shared" si="56"/>
        <v>21108</v>
      </c>
      <c r="CR110" s="63" t="str">
        <f t="shared" si="57"/>
        <v>22108</v>
      </c>
      <c r="CS110" s="63" t="str">
        <f t="shared" si="58"/>
        <v>23108</v>
      </c>
      <c r="CT110" s="63" t="str">
        <f t="shared" si="59"/>
        <v>24108</v>
      </c>
      <c r="CU110" s="63" t="str">
        <f t="shared" si="60"/>
        <v>25108</v>
      </c>
      <c r="CV110" s="63" t="str">
        <f t="shared" si="61"/>
        <v>26108</v>
      </c>
      <c r="CW110" s="63" t="str">
        <f t="shared" si="62"/>
        <v>27108</v>
      </c>
      <c r="CX110" s="63" t="str">
        <f t="shared" si="63"/>
        <v>28108</v>
      </c>
      <c r="CY110" s="63" t="str">
        <f t="shared" si="64"/>
        <v>29108</v>
      </c>
      <c r="CZ110" s="63" t="str">
        <f t="shared" si="65"/>
        <v>30108</v>
      </c>
      <c r="DA110" s="63" t="str">
        <f t="shared" si="66"/>
        <v>31108</v>
      </c>
      <c r="DB110" s="63" t="str">
        <f t="shared" si="67"/>
        <v>32108</v>
      </c>
      <c r="DD110" s="72" t="s">
        <v>238</v>
      </c>
      <c r="DE110" s="77">
        <f t="shared" si="73"/>
        <v>2.3420000000000001</v>
      </c>
      <c r="DF110" s="77">
        <f t="shared" si="73"/>
        <v>2.36</v>
      </c>
      <c r="DG110" s="77">
        <f t="shared" si="73"/>
        <v>2.3780000000000001</v>
      </c>
      <c r="DH110" s="77">
        <f t="shared" si="73"/>
        <v>2.3969999999999998</v>
      </c>
      <c r="DI110" s="77">
        <f t="shared" si="73"/>
        <v>2.4140000000000001</v>
      </c>
      <c r="DJ110" s="77">
        <f t="shared" si="73"/>
        <v>2.431</v>
      </c>
      <c r="DK110" s="77">
        <f t="shared" si="73"/>
        <v>2.4390000000000001</v>
      </c>
      <c r="DL110" s="77">
        <f t="shared" si="73"/>
        <v>2.4630000000000001</v>
      </c>
      <c r="DM110" s="77">
        <f t="shared" si="73"/>
        <v>2.4780000000000002</v>
      </c>
      <c r="DN110" s="77">
        <f t="shared" si="73"/>
        <v>2.492</v>
      </c>
      <c r="DO110" s="77">
        <f t="shared" si="73"/>
        <v>2.5059999999999998</v>
      </c>
      <c r="DP110" s="77">
        <f t="shared" si="73"/>
        <v>2.5190000000000001</v>
      </c>
      <c r="DQ110" s="77">
        <f t="shared" si="73"/>
        <v>2.5339999999999998</v>
      </c>
      <c r="DR110" s="77">
        <f t="shared" si="73"/>
        <v>2.5489999999999999</v>
      </c>
      <c r="DS110" s="77">
        <f t="shared" si="73"/>
        <v>2.5640000000000001</v>
      </c>
      <c r="DT110" s="77">
        <f t="shared" si="70"/>
        <v>2.58</v>
      </c>
      <c r="DU110" s="77">
        <f t="shared" si="69"/>
        <v>2.5950000000000002</v>
      </c>
      <c r="DV110" s="77">
        <f t="shared" si="69"/>
        <v>2.609</v>
      </c>
      <c r="DW110" s="77">
        <f t="shared" si="69"/>
        <v>2.6230000000000002</v>
      </c>
      <c r="DX110" s="77">
        <f t="shared" si="68"/>
        <v>2.637</v>
      </c>
      <c r="DY110" s="77">
        <f t="shared" si="68"/>
        <v>2.65</v>
      </c>
      <c r="DZ110" s="77">
        <f t="shared" si="68"/>
        <v>2.6629999999999998</v>
      </c>
      <c r="EA110" s="77">
        <f t="shared" si="68"/>
        <v>2.6749999999999998</v>
      </c>
      <c r="EB110" s="77">
        <f t="shared" si="68"/>
        <v>2.6869999999999998</v>
      </c>
      <c r="EC110" s="77">
        <f t="shared" si="68"/>
        <v>2.6989999999999998</v>
      </c>
      <c r="ED110" s="77">
        <f t="shared" si="68"/>
        <v>2.71</v>
      </c>
      <c r="EE110" s="77">
        <f t="shared" si="68"/>
        <v>2.72</v>
      </c>
      <c r="EF110" s="77">
        <f t="shared" si="72"/>
        <v>2.7309999999999999</v>
      </c>
      <c r="EG110" s="77">
        <f t="shared" si="72"/>
        <v>2.74</v>
      </c>
    </row>
    <row r="111" spans="1:137" ht="12.6" customHeight="1">
      <c r="A111" s="73">
        <v>109</v>
      </c>
      <c r="B111" s="74">
        <v>2.351</v>
      </c>
      <c r="C111" s="74">
        <v>2.3689999999999998</v>
      </c>
      <c r="D111" s="74">
        <v>2.387</v>
      </c>
      <c r="E111" s="74">
        <v>2.4049999999999998</v>
      </c>
      <c r="F111" s="74">
        <v>2.423</v>
      </c>
      <c r="G111" s="74">
        <v>2.44</v>
      </c>
      <c r="H111" s="74">
        <v>2.456</v>
      </c>
      <c r="I111" s="74">
        <v>2.4710000000000001</v>
      </c>
      <c r="J111" s="74">
        <v>2.4859999999999998</v>
      </c>
      <c r="K111" s="74">
        <v>2.5</v>
      </c>
      <c r="L111" s="74">
        <v>2.5139999999999998</v>
      </c>
      <c r="M111" s="74">
        <v>2.5269999999999997</v>
      </c>
      <c r="N111" s="74">
        <v>2.5419999999999998</v>
      </c>
      <c r="O111" s="74">
        <v>2.556</v>
      </c>
      <c r="P111" s="74">
        <v>2.5720000000000001</v>
      </c>
      <c r="Q111" s="74">
        <v>2.5869999999999997</v>
      </c>
      <c r="R111" s="74">
        <v>2.6019999999999999</v>
      </c>
      <c r="S111" s="74">
        <v>2.617</v>
      </c>
      <c r="T111" s="74">
        <v>2.6309999999999998</v>
      </c>
      <c r="U111" s="74">
        <v>2.6440000000000001</v>
      </c>
      <c r="V111" s="74">
        <v>2.657</v>
      </c>
      <c r="W111" s="74">
        <v>2.67</v>
      </c>
      <c r="X111" s="74">
        <v>2.6819999999999999</v>
      </c>
      <c r="Y111" s="74">
        <v>2.694</v>
      </c>
      <c r="Z111" s="74">
        <v>2.706</v>
      </c>
      <c r="AA111" s="74">
        <v>2.7170000000000001</v>
      </c>
      <c r="AB111" s="74">
        <v>2.7269999999999999</v>
      </c>
      <c r="AC111" s="74">
        <v>2.7370000000000001</v>
      </c>
      <c r="AD111" s="75">
        <v>2.7469999999999999</v>
      </c>
      <c r="AE111" s="76"/>
      <c r="AF111" s="76"/>
      <c r="AG111" s="76"/>
      <c r="AH111" s="76"/>
      <c r="AI111" s="76"/>
      <c r="AJ111" s="76"/>
      <c r="AK111" s="76"/>
      <c r="AL111" s="76"/>
      <c r="AM111" s="76"/>
      <c r="AN111" s="76"/>
      <c r="AO111" s="76"/>
      <c r="AP111" s="76"/>
      <c r="AQ111" s="76"/>
      <c r="AR111" s="76"/>
      <c r="AS111" s="76"/>
      <c r="BZ111" s="63" t="str">
        <f t="shared" si="40"/>
        <v>4109</v>
      </c>
      <c r="CA111" s="63" t="str">
        <f t="shared" si="39"/>
        <v>5109</v>
      </c>
      <c r="CB111" s="63" t="str">
        <f t="shared" si="41"/>
        <v>6109</v>
      </c>
      <c r="CC111" s="63" t="str">
        <f t="shared" si="42"/>
        <v>7109</v>
      </c>
      <c r="CD111" s="63" t="str">
        <f t="shared" si="43"/>
        <v>8109</v>
      </c>
      <c r="CE111" s="63" t="str">
        <f t="shared" si="44"/>
        <v>9109</v>
      </c>
      <c r="CF111" s="63" t="str">
        <f t="shared" si="45"/>
        <v>10109</v>
      </c>
      <c r="CG111" s="63" t="str">
        <f t="shared" si="46"/>
        <v>11109</v>
      </c>
      <c r="CH111" s="63" t="str">
        <f t="shared" si="47"/>
        <v>12109</v>
      </c>
      <c r="CI111" s="63" t="str">
        <f t="shared" si="48"/>
        <v>13109</v>
      </c>
      <c r="CJ111" s="63" t="str">
        <f t="shared" si="49"/>
        <v>14109</v>
      </c>
      <c r="CK111" s="63" t="str">
        <f t="shared" si="50"/>
        <v>15109</v>
      </c>
      <c r="CL111" s="63" t="str">
        <f t="shared" si="51"/>
        <v>16109</v>
      </c>
      <c r="CM111" s="63" t="str">
        <f t="shared" si="52"/>
        <v>17109</v>
      </c>
      <c r="CN111" s="63" t="str">
        <f t="shared" si="53"/>
        <v>18109</v>
      </c>
      <c r="CO111" s="63" t="str">
        <f t="shared" si="54"/>
        <v>19109</v>
      </c>
      <c r="CP111" s="63" t="str">
        <f t="shared" si="55"/>
        <v>20109</v>
      </c>
      <c r="CQ111" s="63" t="str">
        <f t="shared" si="56"/>
        <v>21109</v>
      </c>
      <c r="CR111" s="63" t="str">
        <f t="shared" si="57"/>
        <v>22109</v>
      </c>
      <c r="CS111" s="63" t="str">
        <f t="shared" si="58"/>
        <v>23109</v>
      </c>
      <c r="CT111" s="63" t="str">
        <f t="shared" si="59"/>
        <v>24109</v>
      </c>
      <c r="CU111" s="63" t="str">
        <f t="shared" si="60"/>
        <v>25109</v>
      </c>
      <c r="CV111" s="63" t="str">
        <f t="shared" si="61"/>
        <v>26109</v>
      </c>
      <c r="CW111" s="63" t="str">
        <f t="shared" si="62"/>
        <v>27109</v>
      </c>
      <c r="CX111" s="63" t="str">
        <f t="shared" si="63"/>
        <v>28109</v>
      </c>
      <c r="CY111" s="63" t="str">
        <f t="shared" si="64"/>
        <v>29109</v>
      </c>
      <c r="CZ111" s="63" t="str">
        <f t="shared" si="65"/>
        <v>30109</v>
      </c>
      <c r="DA111" s="63" t="str">
        <f t="shared" si="66"/>
        <v>31109</v>
      </c>
      <c r="DB111" s="63" t="str">
        <f t="shared" si="67"/>
        <v>32109</v>
      </c>
      <c r="DD111" s="72" t="s">
        <v>239</v>
      </c>
      <c r="DE111" s="77">
        <f t="shared" si="73"/>
        <v>2.351</v>
      </c>
      <c r="DF111" s="77">
        <f t="shared" si="73"/>
        <v>2.3690000000000002</v>
      </c>
      <c r="DG111" s="77">
        <f t="shared" si="73"/>
        <v>2.387</v>
      </c>
      <c r="DH111" s="77">
        <f t="shared" si="73"/>
        <v>2.4049999999999998</v>
      </c>
      <c r="DI111" s="77">
        <f t="shared" si="73"/>
        <v>2.423</v>
      </c>
      <c r="DJ111" s="77">
        <f t="shared" si="73"/>
        <v>2.44</v>
      </c>
      <c r="DK111" s="77">
        <f t="shared" si="73"/>
        <v>2.456</v>
      </c>
      <c r="DL111" s="77">
        <f t="shared" si="73"/>
        <v>2.4710000000000001</v>
      </c>
      <c r="DM111" s="77">
        <f t="shared" si="73"/>
        <v>2.4860000000000002</v>
      </c>
      <c r="DN111" s="77">
        <f t="shared" si="73"/>
        <v>2.5</v>
      </c>
      <c r="DO111" s="77">
        <f t="shared" si="73"/>
        <v>2.5139999999999998</v>
      </c>
      <c r="DP111" s="77">
        <f t="shared" si="73"/>
        <v>2.5270000000000001</v>
      </c>
      <c r="DQ111" s="77">
        <f t="shared" si="73"/>
        <v>2.5419999999999998</v>
      </c>
      <c r="DR111" s="77">
        <f t="shared" si="73"/>
        <v>2.556</v>
      </c>
      <c r="DS111" s="77">
        <f t="shared" si="73"/>
        <v>2.5720000000000001</v>
      </c>
      <c r="DT111" s="77">
        <f t="shared" si="70"/>
        <v>2.5870000000000002</v>
      </c>
      <c r="DU111" s="77">
        <f t="shared" si="69"/>
        <v>2.6019999999999999</v>
      </c>
      <c r="DV111" s="77">
        <f t="shared" si="69"/>
        <v>2.617</v>
      </c>
      <c r="DW111" s="77">
        <f t="shared" si="69"/>
        <v>2.6309999999999998</v>
      </c>
      <c r="DX111" s="77">
        <f t="shared" si="68"/>
        <v>2.6440000000000001</v>
      </c>
      <c r="DY111" s="77">
        <f t="shared" si="68"/>
        <v>2.657</v>
      </c>
      <c r="DZ111" s="77">
        <f t="shared" si="68"/>
        <v>2.67</v>
      </c>
      <c r="EA111" s="77">
        <f t="shared" si="68"/>
        <v>2.6819999999999999</v>
      </c>
      <c r="EB111" s="77">
        <f t="shared" si="68"/>
        <v>2.694</v>
      </c>
      <c r="EC111" s="77">
        <f t="shared" si="68"/>
        <v>2.706</v>
      </c>
      <c r="ED111" s="77">
        <f t="shared" si="68"/>
        <v>2.7170000000000001</v>
      </c>
      <c r="EE111" s="77">
        <f t="shared" si="68"/>
        <v>2.7269999999999999</v>
      </c>
      <c r="EF111" s="77">
        <f t="shared" si="72"/>
        <v>2.7370000000000001</v>
      </c>
      <c r="EG111" s="77">
        <f t="shared" si="72"/>
        <v>2.7469999999999999</v>
      </c>
    </row>
    <row r="112" spans="1:137" ht="12.6" customHeight="1">
      <c r="A112" s="73">
        <v>110</v>
      </c>
      <c r="B112" s="74">
        <v>2.359</v>
      </c>
      <c r="C112" s="74">
        <v>2.3769999999999998</v>
      </c>
      <c r="D112" s="74">
        <v>2.395</v>
      </c>
      <c r="E112" s="74">
        <v>2.4139999999999997</v>
      </c>
      <c r="F112" s="74">
        <v>2.431</v>
      </c>
      <c r="G112" s="74">
        <v>2.448</v>
      </c>
      <c r="H112" s="74">
        <v>2.464</v>
      </c>
      <c r="I112" s="74">
        <v>2.4790000000000001</v>
      </c>
      <c r="J112" s="74">
        <v>2.4939999999999998</v>
      </c>
      <c r="K112" s="74">
        <v>2.508</v>
      </c>
      <c r="L112" s="74">
        <v>2.5219999999999998</v>
      </c>
      <c r="M112" s="74">
        <v>2.5349999999999997</v>
      </c>
      <c r="N112" s="74">
        <v>2.5489999999999999</v>
      </c>
      <c r="O112" s="74">
        <v>2.5640000000000001</v>
      </c>
      <c r="P112" s="74">
        <v>2.58</v>
      </c>
      <c r="Q112" s="74">
        <v>2.5949999999999998</v>
      </c>
      <c r="R112" s="74">
        <v>2.61</v>
      </c>
      <c r="S112" s="74">
        <v>2.6240000000000001</v>
      </c>
      <c r="T112" s="74">
        <v>2.6379999999999999</v>
      </c>
      <c r="U112" s="74">
        <v>2.6519999999999997</v>
      </c>
      <c r="V112" s="74">
        <v>2.665</v>
      </c>
      <c r="W112" s="74">
        <v>2.677</v>
      </c>
      <c r="X112" s="74">
        <v>2.6890000000000001</v>
      </c>
      <c r="Y112" s="74">
        <v>2.7010000000000001</v>
      </c>
      <c r="Z112" s="74">
        <v>2.7130000000000001</v>
      </c>
      <c r="AA112" s="74">
        <v>2.7239999999999998</v>
      </c>
      <c r="AB112" s="74">
        <v>2.734</v>
      </c>
      <c r="AC112" s="74">
        <v>2.7439999999999998</v>
      </c>
      <c r="AD112" s="75">
        <v>2.754</v>
      </c>
      <c r="AE112" s="76"/>
      <c r="AF112" s="76"/>
      <c r="AG112" s="76"/>
      <c r="AH112" s="76"/>
      <c r="AI112" s="76"/>
      <c r="AJ112" s="76"/>
      <c r="AK112" s="76"/>
      <c r="AL112" s="76"/>
      <c r="AM112" s="76"/>
      <c r="AN112" s="76"/>
      <c r="AO112" s="76"/>
      <c r="AP112" s="76"/>
      <c r="AQ112" s="76"/>
      <c r="AR112" s="76"/>
      <c r="AS112" s="76"/>
      <c r="BZ112" s="63" t="str">
        <f t="shared" si="40"/>
        <v>4110</v>
      </c>
      <c r="CA112" s="63" t="str">
        <f t="shared" si="39"/>
        <v>5110</v>
      </c>
      <c r="CB112" s="63" t="str">
        <f t="shared" si="41"/>
        <v>6110</v>
      </c>
      <c r="CC112" s="63" t="str">
        <f t="shared" si="42"/>
        <v>7110</v>
      </c>
      <c r="CD112" s="63" t="str">
        <f t="shared" si="43"/>
        <v>8110</v>
      </c>
      <c r="CE112" s="63" t="str">
        <f t="shared" si="44"/>
        <v>9110</v>
      </c>
      <c r="CF112" s="63" t="str">
        <f t="shared" si="45"/>
        <v>10110</v>
      </c>
      <c r="CG112" s="63" t="str">
        <f t="shared" si="46"/>
        <v>11110</v>
      </c>
      <c r="CH112" s="63" t="str">
        <f t="shared" si="47"/>
        <v>12110</v>
      </c>
      <c r="CI112" s="63" t="str">
        <f t="shared" si="48"/>
        <v>13110</v>
      </c>
      <c r="CJ112" s="63" t="str">
        <f t="shared" si="49"/>
        <v>14110</v>
      </c>
      <c r="CK112" s="63" t="str">
        <f t="shared" si="50"/>
        <v>15110</v>
      </c>
      <c r="CL112" s="63" t="str">
        <f t="shared" si="51"/>
        <v>16110</v>
      </c>
      <c r="CM112" s="63" t="str">
        <f t="shared" si="52"/>
        <v>17110</v>
      </c>
      <c r="CN112" s="63" t="str">
        <f t="shared" si="53"/>
        <v>18110</v>
      </c>
      <c r="CO112" s="63" t="str">
        <f t="shared" si="54"/>
        <v>19110</v>
      </c>
      <c r="CP112" s="63" t="str">
        <f t="shared" si="55"/>
        <v>20110</v>
      </c>
      <c r="CQ112" s="63" t="str">
        <f t="shared" si="56"/>
        <v>21110</v>
      </c>
      <c r="CR112" s="63" t="str">
        <f t="shared" si="57"/>
        <v>22110</v>
      </c>
      <c r="CS112" s="63" t="str">
        <f t="shared" si="58"/>
        <v>23110</v>
      </c>
      <c r="CT112" s="63" t="str">
        <f t="shared" si="59"/>
        <v>24110</v>
      </c>
      <c r="CU112" s="63" t="str">
        <f t="shared" si="60"/>
        <v>25110</v>
      </c>
      <c r="CV112" s="63" t="str">
        <f t="shared" si="61"/>
        <v>26110</v>
      </c>
      <c r="CW112" s="63" t="str">
        <f t="shared" si="62"/>
        <v>27110</v>
      </c>
      <c r="CX112" s="63" t="str">
        <f t="shared" si="63"/>
        <v>28110</v>
      </c>
      <c r="CY112" s="63" t="str">
        <f t="shared" si="64"/>
        <v>29110</v>
      </c>
      <c r="CZ112" s="63" t="str">
        <f t="shared" si="65"/>
        <v>30110</v>
      </c>
      <c r="DA112" s="63" t="str">
        <f t="shared" si="66"/>
        <v>31110</v>
      </c>
      <c r="DB112" s="63" t="str">
        <f t="shared" si="67"/>
        <v>32110</v>
      </c>
      <c r="DD112" s="72" t="s">
        <v>240</v>
      </c>
      <c r="DE112" s="77">
        <f t="shared" si="73"/>
        <v>2.359</v>
      </c>
      <c r="DF112" s="77">
        <f t="shared" si="73"/>
        <v>2.3769999999999998</v>
      </c>
      <c r="DG112" s="77">
        <f t="shared" si="73"/>
        <v>2.395</v>
      </c>
      <c r="DH112" s="77">
        <f t="shared" si="73"/>
        <v>2.4140000000000001</v>
      </c>
      <c r="DI112" s="77">
        <f t="shared" si="73"/>
        <v>2.431</v>
      </c>
      <c r="DJ112" s="77">
        <f t="shared" si="73"/>
        <v>2.448</v>
      </c>
      <c r="DK112" s="77">
        <f t="shared" si="73"/>
        <v>2.464</v>
      </c>
      <c r="DL112" s="77">
        <f t="shared" si="73"/>
        <v>2.4790000000000001</v>
      </c>
      <c r="DM112" s="77">
        <f t="shared" si="73"/>
        <v>2.4940000000000002</v>
      </c>
      <c r="DN112" s="77">
        <f t="shared" si="73"/>
        <v>2.508</v>
      </c>
      <c r="DO112" s="77">
        <f t="shared" si="73"/>
        <v>2.5219999999999998</v>
      </c>
      <c r="DP112" s="77">
        <f t="shared" si="73"/>
        <v>2.5350000000000001</v>
      </c>
      <c r="DQ112" s="77">
        <f t="shared" si="73"/>
        <v>2.5489999999999999</v>
      </c>
      <c r="DR112" s="77">
        <f t="shared" si="73"/>
        <v>2.5640000000000001</v>
      </c>
      <c r="DS112" s="77">
        <f t="shared" si="73"/>
        <v>2.58</v>
      </c>
      <c r="DT112" s="77">
        <f t="shared" si="70"/>
        <v>2.5950000000000002</v>
      </c>
      <c r="DU112" s="77">
        <f t="shared" si="69"/>
        <v>2.61</v>
      </c>
      <c r="DV112" s="77">
        <f t="shared" si="69"/>
        <v>2.6240000000000001</v>
      </c>
      <c r="DW112" s="77">
        <f t="shared" si="69"/>
        <v>2.6379999999999999</v>
      </c>
      <c r="DX112" s="77">
        <f t="shared" si="68"/>
        <v>2.6520000000000001</v>
      </c>
      <c r="DY112" s="77">
        <f t="shared" si="68"/>
        <v>2.665</v>
      </c>
      <c r="DZ112" s="77">
        <f t="shared" si="68"/>
        <v>2.677</v>
      </c>
      <c r="EA112" s="77">
        <f t="shared" si="68"/>
        <v>2.6890000000000001</v>
      </c>
      <c r="EB112" s="77">
        <f t="shared" si="68"/>
        <v>2.7010000000000001</v>
      </c>
      <c r="EC112" s="77">
        <f t="shared" si="68"/>
        <v>2.7130000000000001</v>
      </c>
      <c r="ED112" s="77">
        <f t="shared" si="68"/>
        <v>2.7240000000000002</v>
      </c>
      <c r="EE112" s="77">
        <f t="shared" si="68"/>
        <v>2.734</v>
      </c>
      <c r="EF112" s="77">
        <f t="shared" si="72"/>
        <v>2.7440000000000002</v>
      </c>
      <c r="EG112" s="77">
        <f t="shared" si="72"/>
        <v>2.754</v>
      </c>
    </row>
    <row r="113" spans="1:137" ht="12.6" customHeight="1">
      <c r="A113" s="73">
        <v>111</v>
      </c>
      <c r="B113" s="74">
        <v>2.3679999999999999</v>
      </c>
      <c r="C113" s="74">
        <v>2.3860000000000001</v>
      </c>
      <c r="D113" s="74">
        <v>2.4039999999999999</v>
      </c>
      <c r="E113" s="74">
        <v>2.4219999999999997</v>
      </c>
      <c r="F113" s="74">
        <v>2.44</v>
      </c>
      <c r="G113" s="74">
        <v>2.456</v>
      </c>
      <c r="H113" s="74">
        <v>2.472</v>
      </c>
      <c r="I113" s="74">
        <v>2.4870000000000001</v>
      </c>
      <c r="J113" s="74">
        <v>2.5019999999999998</v>
      </c>
      <c r="K113" s="74">
        <v>2.516</v>
      </c>
      <c r="L113" s="74">
        <v>2.5299999999999998</v>
      </c>
      <c r="M113" s="74">
        <v>2.5429999999999997</v>
      </c>
      <c r="N113" s="74">
        <v>2.5569999999999999</v>
      </c>
      <c r="O113" s="74">
        <v>2.5720000000000001</v>
      </c>
      <c r="P113" s="74">
        <v>2.5869999999999997</v>
      </c>
      <c r="Q113" s="74">
        <v>2.6019999999999999</v>
      </c>
      <c r="R113" s="74">
        <v>2.617</v>
      </c>
      <c r="S113" s="74">
        <v>2.6309999999999998</v>
      </c>
      <c r="T113" s="74">
        <v>2.645</v>
      </c>
      <c r="U113" s="74">
        <v>2.6589999999999998</v>
      </c>
      <c r="V113" s="74">
        <v>2.6719999999999997</v>
      </c>
      <c r="W113" s="74">
        <v>2.6839999999999997</v>
      </c>
      <c r="X113" s="74">
        <v>2.6959999999999997</v>
      </c>
      <c r="Y113" s="74">
        <v>2.7079999999999997</v>
      </c>
      <c r="Z113" s="74">
        <v>2.7189999999999999</v>
      </c>
      <c r="AA113" s="74">
        <v>2.73</v>
      </c>
      <c r="AB113" s="74">
        <v>2.7410000000000001</v>
      </c>
      <c r="AC113" s="74">
        <v>2.7509999999999999</v>
      </c>
      <c r="AD113" s="75">
        <v>2.7610000000000001</v>
      </c>
      <c r="AE113" s="76"/>
      <c r="AF113" s="76"/>
      <c r="AG113" s="76"/>
      <c r="AH113" s="76"/>
      <c r="AI113" s="76"/>
      <c r="AJ113" s="76"/>
      <c r="AK113" s="76"/>
      <c r="AL113" s="76"/>
      <c r="AM113" s="76"/>
      <c r="AN113" s="76"/>
      <c r="AO113" s="76"/>
      <c r="AP113" s="76"/>
      <c r="AQ113" s="76"/>
      <c r="AR113" s="76"/>
      <c r="AS113" s="76"/>
      <c r="BZ113" s="63" t="str">
        <f t="shared" si="40"/>
        <v>4111</v>
      </c>
      <c r="CA113" s="63" t="str">
        <f t="shared" si="39"/>
        <v>5111</v>
      </c>
      <c r="CB113" s="63" t="str">
        <f t="shared" si="41"/>
        <v>6111</v>
      </c>
      <c r="CC113" s="63" t="str">
        <f t="shared" si="42"/>
        <v>7111</v>
      </c>
      <c r="CD113" s="63" t="str">
        <f t="shared" si="43"/>
        <v>8111</v>
      </c>
      <c r="CE113" s="63" t="str">
        <f t="shared" si="44"/>
        <v>9111</v>
      </c>
      <c r="CF113" s="63" t="str">
        <f t="shared" si="45"/>
        <v>10111</v>
      </c>
      <c r="CG113" s="63" t="str">
        <f t="shared" si="46"/>
        <v>11111</v>
      </c>
      <c r="CH113" s="63" t="str">
        <f t="shared" si="47"/>
        <v>12111</v>
      </c>
      <c r="CI113" s="63" t="str">
        <f t="shared" si="48"/>
        <v>13111</v>
      </c>
      <c r="CJ113" s="63" t="str">
        <f t="shared" si="49"/>
        <v>14111</v>
      </c>
      <c r="CK113" s="63" t="str">
        <f t="shared" si="50"/>
        <v>15111</v>
      </c>
      <c r="CL113" s="63" t="str">
        <f t="shared" si="51"/>
        <v>16111</v>
      </c>
      <c r="CM113" s="63" t="str">
        <f t="shared" si="52"/>
        <v>17111</v>
      </c>
      <c r="CN113" s="63" t="str">
        <f t="shared" si="53"/>
        <v>18111</v>
      </c>
      <c r="CO113" s="63" t="str">
        <f t="shared" si="54"/>
        <v>19111</v>
      </c>
      <c r="CP113" s="63" t="str">
        <f t="shared" si="55"/>
        <v>20111</v>
      </c>
      <c r="CQ113" s="63" t="str">
        <f t="shared" si="56"/>
        <v>21111</v>
      </c>
      <c r="CR113" s="63" t="str">
        <f t="shared" si="57"/>
        <v>22111</v>
      </c>
      <c r="CS113" s="63" t="str">
        <f t="shared" si="58"/>
        <v>23111</v>
      </c>
      <c r="CT113" s="63" t="str">
        <f t="shared" si="59"/>
        <v>24111</v>
      </c>
      <c r="CU113" s="63" t="str">
        <f t="shared" si="60"/>
        <v>25111</v>
      </c>
      <c r="CV113" s="63" t="str">
        <f t="shared" si="61"/>
        <v>26111</v>
      </c>
      <c r="CW113" s="63" t="str">
        <f t="shared" si="62"/>
        <v>27111</v>
      </c>
      <c r="CX113" s="63" t="str">
        <f t="shared" si="63"/>
        <v>28111</v>
      </c>
      <c r="CY113" s="63" t="str">
        <f t="shared" si="64"/>
        <v>29111</v>
      </c>
      <c r="CZ113" s="63" t="str">
        <f t="shared" si="65"/>
        <v>30111</v>
      </c>
      <c r="DA113" s="63" t="str">
        <f t="shared" si="66"/>
        <v>31111</v>
      </c>
      <c r="DB113" s="63" t="str">
        <f t="shared" si="67"/>
        <v>32111</v>
      </c>
      <c r="DD113" s="72" t="s">
        <v>241</v>
      </c>
      <c r="DE113" s="77">
        <f t="shared" si="73"/>
        <v>2.3679999999999999</v>
      </c>
      <c r="DF113" s="77">
        <f t="shared" si="73"/>
        <v>2.3860000000000001</v>
      </c>
      <c r="DG113" s="77">
        <f t="shared" si="73"/>
        <v>2.4039999999999999</v>
      </c>
      <c r="DH113" s="77">
        <f t="shared" si="73"/>
        <v>2.4220000000000002</v>
      </c>
      <c r="DI113" s="77">
        <f t="shared" si="73"/>
        <v>2.44</v>
      </c>
      <c r="DJ113" s="77">
        <f t="shared" si="73"/>
        <v>2.456</v>
      </c>
      <c r="DK113" s="77">
        <f t="shared" si="73"/>
        <v>2.472</v>
      </c>
      <c r="DL113" s="77">
        <f t="shared" si="73"/>
        <v>2.4870000000000001</v>
      </c>
      <c r="DM113" s="77">
        <f t="shared" si="73"/>
        <v>2.5019999999999998</v>
      </c>
      <c r="DN113" s="77">
        <f t="shared" si="73"/>
        <v>2.516</v>
      </c>
      <c r="DO113" s="77">
        <f t="shared" si="73"/>
        <v>2.5299999999999998</v>
      </c>
      <c r="DP113" s="77">
        <f t="shared" si="73"/>
        <v>2.5430000000000001</v>
      </c>
      <c r="DQ113" s="77">
        <f t="shared" si="73"/>
        <v>2.5569999999999999</v>
      </c>
      <c r="DR113" s="77">
        <f t="shared" si="73"/>
        <v>2.5720000000000001</v>
      </c>
      <c r="DS113" s="77">
        <f t="shared" si="73"/>
        <v>2.5870000000000002</v>
      </c>
      <c r="DT113" s="77">
        <f t="shared" si="70"/>
        <v>2.6019999999999999</v>
      </c>
      <c r="DU113" s="77">
        <f t="shared" si="69"/>
        <v>2.617</v>
      </c>
      <c r="DV113" s="77">
        <f t="shared" si="69"/>
        <v>2.6309999999999998</v>
      </c>
      <c r="DW113" s="77">
        <f t="shared" si="69"/>
        <v>2.645</v>
      </c>
      <c r="DX113" s="77">
        <f t="shared" si="68"/>
        <v>2.6589999999999998</v>
      </c>
      <c r="DY113" s="77">
        <f t="shared" si="68"/>
        <v>2.6720000000000002</v>
      </c>
      <c r="DZ113" s="77">
        <f t="shared" si="68"/>
        <v>2.6840000000000002</v>
      </c>
      <c r="EA113" s="77">
        <f t="shared" si="68"/>
        <v>2.6960000000000002</v>
      </c>
      <c r="EB113" s="77">
        <f t="shared" si="68"/>
        <v>2.7080000000000002</v>
      </c>
      <c r="EC113" s="77">
        <f t="shared" si="68"/>
        <v>2.7189999999999999</v>
      </c>
      <c r="ED113" s="77">
        <f t="shared" si="68"/>
        <v>2.73</v>
      </c>
      <c r="EE113" s="77">
        <f t="shared" si="68"/>
        <v>2.7410000000000001</v>
      </c>
      <c r="EF113" s="77">
        <f t="shared" si="72"/>
        <v>2.7509999999999999</v>
      </c>
      <c r="EG113" s="77">
        <f t="shared" si="72"/>
        <v>2.7610000000000001</v>
      </c>
    </row>
    <row r="114" spans="1:137" ht="12.6" customHeight="1">
      <c r="A114" s="73">
        <v>112</v>
      </c>
      <c r="B114" s="74">
        <v>2.3759999999999999</v>
      </c>
      <c r="C114" s="74">
        <v>2.3940000000000001</v>
      </c>
      <c r="D114" s="74">
        <v>2.4119999999999999</v>
      </c>
      <c r="E114" s="74">
        <v>2.4299999999999997</v>
      </c>
      <c r="F114" s="74">
        <v>2.448</v>
      </c>
      <c r="G114" s="74">
        <v>2.464</v>
      </c>
      <c r="H114" s="74">
        <v>2.48</v>
      </c>
      <c r="I114" s="74">
        <v>2.4950000000000001</v>
      </c>
      <c r="J114" s="74">
        <v>2.5099999999999998</v>
      </c>
      <c r="K114" s="74">
        <v>2.524</v>
      </c>
      <c r="L114" s="74">
        <v>2.5369999999999999</v>
      </c>
      <c r="M114" s="74">
        <v>2.5509999999999997</v>
      </c>
      <c r="N114" s="74">
        <v>2.5649999999999999</v>
      </c>
      <c r="O114" s="74">
        <v>2.5789999999999997</v>
      </c>
      <c r="P114" s="74">
        <v>2.5949999999999998</v>
      </c>
      <c r="Q114" s="74">
        <v>2.61</v>
      </c>
      <c r="R114" s="74">
        <v>2.6240000000000001</v>
      </c>
      <c r="S114" s="74">
        <v>2.6379999999999999</v>
      </c>
      <c r="T114" s="74">
        <v>2.6519999999999997</v>
      </c>
      <c r="U114" s="74">
        <v>2.6659999999999999</v>
      </c>
      <c r="V114" s="74">
        <v>2.6789999999999998</v>
      </c>
      <c r="W114" s="74">
        <v>2.6909999999999998</v>
      </c>
      <c r="X114" s="74">
        <v>2.7029999999999998</v>
      </c>
      <c r="Y114" s="74">
        <v>2.7149999999999999</v>
      </c>
      <c r="Z114" s="74">
        <v>2.726</v>
      </c>
      <c r="AA114" s="74">
        <v>2.7370000000000001</v>
      </c>
      <c r="AB114" s="74">
        <v>2.7469999999999999</v>
      </c>
      <c r="AC114" s="74">
        <v>2.758</v>
      </c>
      <c r="AD114" s="75">
        <v>2.7669999999999999</v>
      </c>
      <c r="AE114" s="76"/>
      <c r="AF114" s="76"/>
      <c r="AG114" s="76"/>
      <c r="AH114" s="76"/>
      <c r="AI114" s="76"/>
      <c r="AJ114" s="76"/>
      <c r="AK114" s="76"/>
      <c r="AL114" s="76"/>
      <c r="AM114" s="76"/>
      <c r="AN114" s="76"/>
      <c r="AO114" s="76"/>
      <c r="AP114" s="76"/>
      <c r="AQ114" s="76"/>
      <c r="AR114" s="76"/>
      <c r="AS114" s="76"/>
      <c r="BZ114" s="63" t="str">
        <f t="shared" si="40"/>
        <v>4112</v>
      </c>
      <c r="CA114" s="63" t="str">
        <f t="shared" si="39"/>
        <v>5112</v>
      </c>
      <c r="CB114" s="63" t="str">
        <f t="shared" si="41"/>
        <v>6112</v>
      </c>
      <c r="CC114" s="63" t="str">
        <f t="shared" si="42"/>
        <v>7112</v>
      </c>
      <c r="CD114" s="63" t="str">
        <f t="shared" si="43"/>
        <v>8112</v>
      </c>
      <c r="CE114" s="63" t="str">
        <f t="shared" si="44"/>
        <v>9112</v>
      </c>
      <c r="CF114" s="63" t="str">
        <f t="shared" si="45"/>
        <v>10112</v>
      </c>
      <c r="CG114" s="63" t="str">
        <f t="shared" si="46"/>
        <v>11112</v>
      </c>
      <c r="CH114" s="63" t="str">
        <f t="shared" si="47"/>
        <v>12112</v>
      </c>
      <c r="CI114" s="63" t="str">
        <f t="shared" si="48"/>
        <v>13112</v>
      </c>
      <c r="CJ114" s="63" t="str">
        <f t="shared" si="49"/>
        <v>14112</v>
      </c>
      <c r="CK114" s="63" t="str">
        <f t="shared" si="50"/>
        <v>15112</v>
      </c>
      <c r="CL114" s="63" t="str">
        <f t="shared" si="51"/>
        <v>16112</v>
      </c>
      <c r="CM114" s="63" t="str">
        <f t="shared" si="52"/>
        <v>17112</v>
      </c>
      <c r="CN114" s="63" t="str">
        <f t="shared" si="53"/>
        <v>18112</v>
      </c>
      <c r="CO114" s="63" t="str">
        <f t="shared" si="54"/>
        <v>19112</v>
      </c>
      <c r="CP114" s="63" t="str">
        <f t="shared" si="55"/>
        <v>20112</v>
      </c>
      <c r="CQ114" s="63" t="str">
        <f t="shared" si="56"/>
        <v>21112</v>
      </c>
      <c r="CR114" s="63" t="str">
        <f t="shared" si="57"/>
        <v>22112</v>
      </c>
      <c r="CS114" s="63" t="str">
        <f t="shared" si="58"/>
        <v>23112</v>
      </c>
      <c r="CT114" s="63" t="str">
        <f t="shared" si="59"/>
        <v>24112</v>
      </c>
      <c r="CU114" s="63" t="str">
        <f t="shared" si="60"/>
        <v>25112</v>
      </c>
      <c r="CV114" s="63" t="str">
        <f t="shared" si="61"/>
        <v>26112</v>
      </c>
      <c r="CW114" s="63" t="str">
        <f t="shared" si="62"/>
        <v>27112</v>
      </c>
      <c r="CX114" s="63" t="str">
        <f t="shared" si="63"/>
        <v>28112</v>
      </c>
      <c r="CY114" s="63" t="str">
        <f t="shared" si="64"/>
        <v>29112</v>
      </c>
      <c r="CZ114" s="63" t="str">
        <f t="shared" si="65"/>
        <v>30112</v>
      </c>
      <c r="DA114" s="63" t="str">
        <f t="shared" si="66"/>
        <v>31112</v>
      </c>
      <c r="DB114" s="63" t="str">
        <f t="shared" si="67"/>
        <v>32112</v>
      </c>
      <c r="DD114" s="72" t="s">
        <v>242</v>
      </c>
      <c r="DE114" s="77">
        <f t="shared" si="73"/>
        <v>2.3759999999999999</v>
      </c>
      <c r="DF114" s="77">
        <f t="shared" si="73"/>
        <v>2.3940000000000001</v>
      </c>
      <c r="DG114" s="77">
        <f t="shared" si="73"/>
        <v>2.4119999999999999</v>
      </c>
      <c r="DH114" s="77">
        <f t="shared" si="73"/>
        <v>2.4300000000000002</v>
      </c>
      <c r="DI114" s="77">
        <f t="shared" si="73"/>
        <v>2.448</v>
      </c>
      <c r="DJ114" s="77">
        <f t="shared" si="73"/>
        <v>2.464</v>
      </c>
      <c r="DK114" s="77">
        <f t="shared" si="73"/>
        <v>2.48</v>
      </c>
      <c r="DL114" s="77">
        <f t="shared" si="73"/>
        <v>2.4950000000000001</v>
      </c>
      <c r="DM114" s="77">
        <f t="shared" si="73"/>
        <v>2.5099999999999998</v>
      </c>
      <c r="DN114" s="77">
        <f t="shared" si="73"/>
        <v>2.524</v>
      </c>
      <c r="DO114" s="77">
        <f t="shared" si="73"/>
        <v>2.5369999999999999</v>
      </c>
      <c r="DP114" s="77">
        <f t="shared" si="73"/>
        <v>2.5510000000000002</v>
      </c>
      <c r="DQ114" s="77">
        <f t="shared" si="73"/>
        <v>2.5649999999999999</v>
      </c>
      <c r="DR114" s="77">
        <f t="shared" si="73"/>
        <v>2.5790000000000002</v>
      </c>
      <c r="DS114" s="77">
        <f t="shared" si="73"/>
        <v>2.5950000000000002</v>
      </c>
      <c r="DT114" s="77">
        <f t="shared" si="70"/>
        <v>2.61</v>
      </c>
      <c r="DU114" s="77">
        <f t="shared" si="69"/>
        <v>2.6240000000000001</v>
      </c>
      <c r="DV114" s="77">
        <f t="shared" si="69"/>
        <v>2.6379999999999999</v>
      </c>
      <c r="DW114" s="77">
        <f t="shared" si="69"/>
        <v>2.6520000000000001</v>
      </c>
      <c r="DX114" s="77">
        <f t="shared" si="68"/>
        <v>2.6659999999999999</v>
      </c>
      <c r="DY114" s="77">
        <f t="shared" si="68"/>
        <v>2.6789999999999998</v>
      </c>
      <c r="DZ114" s="77">
        <f t="shared" si="68"/>
        <v>2.6909999999999998</v>
      </c>
      <c r="EA114" s="77">
        <f t="shared" si="68"/>
        <v>2.7029999999999998</v>
      </c>
      <c r="EB114" s="77">
        <f t="shared" si="68"/>
        <v>2.7149999999999999</v>
      </c>
      <c r="EC114" s="77">
        <f t="shared" si="68"/>
        <v>2.726</v>
      </c>
      <c r="ED114" s="77">
        <f t="shared" si="68"/>
        <v>2.7370000000000001</v>
      </c>
      <c r="EE114" s="77">
        <f t="shared" si="68"/>
        <v>2.7469999999999999</v>
      </c>
      <c r="EF114" s="77">
        <f t="shared" si="72"/>
        <v>2.758</v>
      </c>
      <c r="EG114" s="77">
        <f t="shared" si="72"/>
        <v>2.7669999999999999</v>
      </c>
    </row>
    <row r="115" spans="1:137" ht="12.6" customHeight="1">
      <c r="A115" s="73">
        <v>113</v>
      </c>
      <c r="B115" s="74">
        <v>2.3849999999999998</v>
      </c>
      <c r="C115" s="74">
        <v>2.403</v>
      </c>
      <c r="D115" s="74">
        <v>2.42</v>
      </c>
      <c r="E115" s="74">
        <v>2.4379999999999997</v>
      </c>
      <c r="F115" s="74">
        <v>2.4550000000000001</v>
      </c>
      <c r="G115" s="74">
        <v>2.472</v>
      </c>
      <c r="H115" s="74">
        <v>2.488</v>
      </c>
      <c r="I115" s="74">
        <v>2.5030000000000001</v>
      </c>
      <c r="J115" s="74">
        <v>2.5169999999999999</v>
      </c>
      <c r="K115" s="74">
        <v>2.5309999999999997</v>
      </c>
      <c r="L115" s="74">
        <v>2.5449999999999999</v>
      </c>
      <c r="M115" s="74">
        <v>2.5579999999999998</v>
      </c>
      <c r="N115" s="74">
        <v>2.5720000000000001</v>
      </c>
      <c r="O115" s="74">
        <v>2.5869999999999997</v>
      </c>
      <c r="P115" s="74">
        <v>2.6019999999999999</v>
      </c>
      <c r="Q115" s="74">
        <v>2.617</v>
      </c>
      <c r="R115" s="74">
        <v>2.6309999999999998</v>
      </c>
      <c r="S115" s="74">
        <v>2.645</v>
      </c>
      <c r="T115" s="74">
        <v>2.6589999999999998</v>
      </c>
      <c r="U115" s="74">
        <v>2.6719999999999997</v>
      </c>
      <c r="V115" s="74">
        <v>2.6850000000000001</v>
      </c>
      <c r="W115" s="74">
        <v>2.698</v>
      </c>
      <c r="X115" s="74">
        <v>2.71</v>
      </c>
      <c r="Y115" s="74">
        <v>2.7210000000000001</v>
      </c>
      <c r="Z115" s="74">
        <v>2.7330000000000001</v>
      </c>
      <c r="AA115" s="74">
        <v>2.7429999999999999</v>
      </c>
      <c r="AB115" s="74">
        <v>2.754</v>
      </c>
      <c r="AC115" s="74">
        <v>2.7639999999999998</v>
      </c>
      <c r="AD115" s="75">
        <v>2.774</v>
      </c>
      <c r="AE115" s="76"/>
      <c r="AF115" s="76"/>
      <c r="AG115" s="76"/>
      <c r="AH115" s="76"/>
      <c r="AI115" s="76"/>
      <c r="AJ115" s="76"/>
      <c r="AK115" s="76"/>
      <c r="AL115" s="76"/>
      <c r="AM115" s="76"/>
      <c r="AN115" s="76"/>
      <c r="AO115" s="76"/>
      <c r="AP115" s="76"/>
      <c r="AQ115" s="76"/>
      <c r="AR115" s="76"/>
      <c r="AS115" s="76"/>
      <c r="BZ115" s="63" t="str">
        <f t="shared" si="40"/>
        <v>4113</v>
      </c>
      <c r="CA115" s="63" t="str">
        <f t="shared" si="39"/>
        <v>5113</v>
      </c>
      <c r="CB115" s="63" t="str">
        <f t="shared" si="41"/>
        <v>6113</v>
      </c>
      <c r="CC115" s="63" t="str">
        <f t="shared" si="42"/>
        <v>7113</v>
      </c>
      <c r="CD115" s="63" t="str">
        <f t="shared" si="43"/>
        <v>8113</v>
      </c>
      <c r="CE115" s="63" t="str">
        <f t="shared" si="44"/>
        <v>9113</v>
      </c>
      <c r="CF115" s="63" t="str">
        <f t="shared" si="45"/>
        <v>10113</v>
      </c>
      <c r="CG115" s="63" t="str">
        <f t="shared" si="46"/>
        <v>11113</v>
      </c>
      <c r="CH115" s="63" t="str">
        <f t="shared" si="47"/>
        <v>12113</v>
      </c>
      <c r="CI115" s="63" t="str">
        <f t="shared" si="48"/>
        <v>13113</v>
      </c>
      <c r="CJ115" s="63" t="str">
        <f t="shared" si="49"/>
        <v>14113</v>
      </c>
      <c r="CK115" s="63" t="str">
        <f t="shared" si="50"/>
        <v>15113</v>
      </c>
      <c r="CL115" s="63" t="str">
        <f t="shared" si="51"/>
        <v>16113</v>
      </c>
      <c r="CM115" s="63" t="str">
        <f t="shared" si="52"/>
        <v>17113</v>
      </c>
      <c r="CN115" s="63" t="str">
        <f t="shared" si="53"/>
        <v>18113</v>
      </c>
      <c r="CO115" s="63" t="str">
        <f t="shared" si="54"/>
        <v>19113</v>
      </c>
      <c r="CP115" s="63" t="str">
        <f t="shared" si="55"/>
        <v>20113</v>
      </c>
      <c r="CQ115" s="63" t="str">
        <f t="shared" si="56"/>
        <v>21113</v>
      </c>
      <c r="CR115" s="63" t="str">
        <f t="shared" si="57"/>
        <v>22113</v>
      </c>
      <c r="CS115" s="63" t="str">
        <f t="shared" si="58"/>
        <v>23113</v>
      </c>
      <c r="CT115" s="63" t="str">
        <f t="shared" si="59"/>
        <v>24113</v>
      </c>
      <c r="CU115" s="63" t="str">
        <f t="shared" si="60"/>
        <v>25113</v>
      </c>
      <c r="CV115" s="63" t="str">
        <f t="shared" si="61"/>
        <v>26113</v>
      </c>
      <c r="CW115" s="63" t="str">
        <f t="shared" si="62"/>
        <v>27113</v>
      </c>
      <c r="CX115" s="63" t="str">
        <f t="shared" si="63"/>
        <v>28113</v>
      </c>
      <c r="CY115" s="63" t="str">
        <f t="shared" si="64"/>
        <v>29113</v>
      </c>
      <c r="CZ115" s="63" t="str">
        <f t="shared" si="65"/>
        <v>30113</v>
      </c>
      <c r="DA115" s="63" t="str">
        <f t="shared" si="66"/>
        <v>31113</v>
      </c>
      <c r="DB115" s="63" t="str">
        <f t="shared" si="67"/>
        <v>32113</v>
      </c>
      <c r="DD115" s="72" t="s">
        <v>243</v>
      </c>
      <c r="DE115" s="77">
        <f t="shared" si="73"/>
        <v>2.3849999999999998</v>
      </c>
      <c r="DF115" s="77">
        <f t="shared" si="73"/>
        <v>2.403</v>
      </c>
      <c r="DG115" s="77">
        <f t="shared" si="73"/>
        <v>2.42</v>
      </c>
      <c r="DH115" s="77">
        <f t="shared" si="73"/>
        <v>2.4380000000000002</v>
      </c>
      <c r="DI115" s="77">
        <f t="shared" si="73"/>
        <v>2.4550000000000001</v>
      </c>
      <c r="DJ115" s="77">
        <f t="shared" si="73"/>
        <v>2.472</v>
      </c>
      <c r="DK115" s="77">
        <f t="shared" si="73"/>
        <v>2.488</v>
      </c>
      <c r="DL115" s="77">
        <f t="shared" si="73"/>
        <v>2.5030000000000001</v>
      </c>
      <c r="DM115" s="77">
        <f t="shared" si="73"/>
        <v>2.5169999999999999</v>
      </c>
      <c r="DN115" s="77">
        <f t="shared" si="73"/>
        <v>2.5310000000000001</v>
      </c>
      <c r="DO115" s="77">
        <f t="shared" si="73"/>
        <v>2.5449999999999999</v>
      </c>
      <c r="DP115" s="77">
        <f t="shared" si="73"/>
        <v>2.5579999999999998</v>
      </c>
      <c r="DQ115" s="77">
        <f t="shared" si="73"/>
        <v>2.5720000000000001</v>
      </c>
      <c r="DR115" s="77">
        <f t="shared" si="73"/>
        <v>2.5870000000000002</v>
      </c>
      <c r="DS115" s="77">
        <f t="shared" si="73"/>
        <v>2.6019999999999999</v>
      </c>
      <c r="DT115" s="77">
        <f t="shared" si="70"/>
        <v>2.617</v>
      </c>
      <c r="DU115" s="77">
        <f t="shared" si="69"/>
        <v>2.6309999999999998</v>
      </c>
      <c r="DV115" s="77">
        <f t="shared" si="69"/>
        <v>2.645</v>
      </c>
      <c r="DW115" s="77">
        <f t="shared" si="69"/>
        <v>2.6589999999999998</v>
      </c>
      <c r="DX115" s="77">
        <f t="shared" si="68"/>
        <v>2.6720000000000002</v>
      </c>
      <c r="DY115" s="77">
        <f t="shared" si="68"/>
        <v>2.6850000000000001</v>
      </c>
      <c r="DZ115" s="77">
        <f t="shared" si="68"/>
        <v>2.698</v>
      </c>
      <c r="EA115" s="77">
        <f t="shared" si="68"/>
        <v>2.71</v>
      </c>
      <c r="EB115" s="77">
        <f t="shared" si="68"/>
        <v>2.7210000000000001</v>
      </c>
      <c r="EC115" s="77">
        <f t="shared" si="68"/>
        <v>2.7330000000000001</v>
      </c>
      <c r="ED115" s="77">
        <f t="shared" si="68"/>
        <v>2.7429999999999999</v>
      </c>
      <c r="EE115" s="77">
        <f t="shared" si="68"/>
        <v>2.754</v>
      </c>
      <c r="EF115" s="77">
        <f t="shared" si="72"/>
        <v>2.7639999999999998</v>
      </c>
      <c r="EG115" s="77">
        <f t="shared" si="72"/>
        <v>2.774</v>
      </c>
    </row>
    <row r="116" spans="1:137" ht="12.6" customHeight="1">
      <c r="A116" s="73">
        <v>114</v>
      </c>
      <c r="B116" s="74">
        <v>2.3929999999999998</v>
      </c>
      <c r="C116" s="74">
        <v>2.411</v>
      </c>
      <c r="D116" s="74">
        <v>2.4279999999999999</v>
      </c>
      <c r="E116" s="74">
        <v>2.4459999999999997</v>
      </c>
      <c r="F116" s="74">
        <v>2.4630000000000001</v>
      </c>
      <c r="G116" s="74">
        <v>2.48</v>
      </c>
      <c r="H116" s="74">
        <v>2.4950000000000001</v>
      </c>
      <c r="I116" s="74">
        <v>2.5099999999999998</v>
      </c>
      <c r="J116" s="74">
        <v>2.5249999999999999</v>
      </c>
      <c r="K116" s="74">
        <v>2.5389999999999997</v>
      </c>
      <c r="L116" s="74">
        <v>2.552</v>
      </c>
      <c r="M116" s="74">
        <v>2.5649999999999999</v>
      </c>
      <c r="N116" s="74">
        <v>2.5789999999999997</v>
      </c>
      <c r="O116" s="74">
        <v>2.5939999999999999</v>
      </c>
      <c r="P116" s="74">
        <v>2.609</v>
      </c>
      <c r="Q116" s="74">
        <v>2.6240000000000001</v>
      </c>
      <c r="R116" s="74">
        <v>2.6379999999999999</v>
      </c>
      <c r="S116" s="74">
        <v>2.6519999999999997</v>
      </c>
      <c r="T116" s="74">
        <v>2.6659999999999999</v>
      </c>
      <c r="U116" s="74">
        <v>2.6789999999999998</v>
      </c>
      <c r="V116" s="74">
        <v>2.6919999999999997</v>
      </c>
      <c r="W116" s="74">
        <v>2.7039999999999997</v>
      </c>
      <c r="X116" s="74">
        <v>2.7159999999999997</v>
      </c>
      <c r="Y116" s="74">
        <v>2.7279999999999998</v>
      </c>
      <c r="Z116" s="74">
        <v>2.7389999999999999</v>
      </c>
      <c r="AA116" s="74">
        <v>2.75</v>
      </c>
      <c r="AB116" s="74">
        <v>2.76</v>
      </c>
      <c r="AC116" s="74">
        <v>2.77</v>
      </c>
      <c r="AD116" s="75">
        <v>2.78</v>
      </c>
      <c r="AE116" s="76"/>
      <c r="AF116" s="76"/>
      <c r="AG116" s="76"/>
      <c r="AH116" s="76"/>
      <c r="AI116" s="76"/>
      <c r="AJ116" s="76"/>
      <c r="AK116" s="76"/>
      <c r="AL116" s="76"/>
      <c r="AM116" s="76"/>
      <c r="AN116" s="76"/>
      <c r="AO116" s="76"/>
      <c r="AP116" s="76"/>
      <c r="AQ116" s="76"/>
      <c r="AR116" s="76"/>
      <c r="AS116" s="76"/>
      <c r="BZ116" s="63" t="str">
        <f t="shared" si="40"/>
        <v>4114</v>
      </c>
      <c r="CA116" s="63" t="str">
        <f t="shared" si="39"/>
        <v>5114</v>
      </c>
      <c r="CB116" s="63" t="str">
        <f t="shared" si="41"/>
        <v>6114</v>
      </c>
      <c r="CC116" s="63" t="str">
        <f t="shared" si="42"/>
        <v>7114</v>
      </c>
      <c r="CD116" s="63" t="str">
        <f t="shared" si="43"/>
        <v>8114</v>
      </c>
      <c r="CE116" s="63" t="str">
        <f t="shared" si="44"/>
        <v>9114</v>
      </c>
      <c r="CF116" s="63" t="str">
        <f t="shared" si="45"/>
        <v>10114</v>
      </c>
      <c r="CG116" s="63" t="str">
        <f t="shared" si="46"/>
        <v>11114</v>
      </c>
      <c r="CH116" s="63" t="str">
        <f t="shared" si="47"/>
        <v>12114</v>
      </c>
      <c r="CI116" s="63" t="str">
        <f t="shared" si="48"/>
        <v>13114</v>
      </c>
      <c r="CJ116" s="63" t="str">
        <f t="shared" si="49"/>
        <v>14114</v>
      </c>
      <c r="CK116" s="63" t="str">
        <f t="shared" si="50"/>
        <v>15114</v>
      </c>
      <c r="CL116" s="63" t="str">
        <f t="shared" si="51"/>
        <v>16114</v>
      </c>
      <c r="CM116" s="63" t="str">
        <f t="shared" si="52"/>
        <v>17114</v>
      </c>
      <c r="CN116" s="63" t="str">
        <f t="shared" si="53"/>
        <v>18114</v>
      </c>
      <c r="CO116" s="63" t="str">
        <f t="shared" si="54"/>
        <v>19114</v>
      </c>
      <c r="CP116" s="63" t="str">
        <f t="shared" si="55"/>
        <v>20114</v>
      </c>
      <c r="CQ116" s="63" t="str">
        <f t="shared" si="56"/>
        <v>21114</v>
      </c>
      <c r="CR116" s="63" t="str">
        <f t="shared" si="57"/>
        <v>22114</v>
      </c>
      <c r="CS116" s="63" t="str">
        <f t="shared" si="58"/>
        <v>23114</v>
      </c>
      <c r="CT116" s="63" t="str">
        <f t="shared" si="59"/>
        <v>24114</v>
      </c>
      <c r="CU116" s="63" t="str">
        <f t="shared" si="60"/>
        <v>25114</v>
      </c>
      <c r="CV116" s="63" t="str">
        <f t="shared" si="61"/>
        <v>26114</v>
      </c>
      <c r="CW116" s="63" t="str">
        <f t="shared" si="62"/>
        <v>27114</v>
      </c>
      <c r="CX116" s="63" t="str">
        <f t="shared" si="63"/>
        <v>28114</v>
      </c>
      <c r="CY116" s="63" t="str">
        <f t="shared" si="64"/>
        <v>29114</v>
      </c>
      <c r="CZ116" s="63" t="str">
        <f t="shared" si="65"/>
        <v>30114</v>
      </c>
      <c r="DA116" s="63" t="str">
        <f t="shared" si="66"/>
        <v>31114</v>
      </c>
      <c r="DB116" s="63" t="str">
        <f t="shared" si="67"/>
        <v>32114</v>
      </c>
      <c r="DD116" s="72" t="s">
        <v>244</v>
      </c>
      <c r="DE116" s="77">
        <f t="shared" si="73"/>
        <v>2.3929999999999998</v>
      </c>
      <c r="DF116" s="77">
        <f t="shared" si="73"/>
        <v>2.411</v>
      </c>
      <c r="DG116" s="77">
        <f t="shared" si="73"/>
        <v>2.4279999999999999</v>
      </c>
      <c r="DH116" s="77">
        <f t="shared" si="73"/>
        <v>2.4460000000000002</v>
      </c>
      <c r="DI116" s="77">
        <f t="shared" si="73"/>
        <v>2.4630000000000001</v>
      </c>
      <c r="DJ116" s="77">
        <f t="shared" si="73"/>
        <v>2.48</v>
      </c>
      <c r="DK116" s="77">
        <f t="shared" si="73"/>
        <v>2.4950000000000001</v>
      </c>
      <c r="DL116" s="77">
        <f t="shared" si="73"/>
        <v>2.5099999999999998</v>
      </c>
      <c r="DM116" s="77">
        <f t="shared" si="73"/>
        <v>2.5249999999999999</v>
      </c>
      <c r="DN116" s="77">
        <f t="shared" si="73"/>
        <v>2.5390000000000001</v>
      </c>
      <c r="DO116" s="77">
        <f t="shared" si="73"/>
        <v>2.552</v>
      </c>
      <c r="DP116" s="77">
        <f t="shared" si="73"/>
        <v>2.5649999999999999</v>
      </c>
      <c r="DQ116" s="77">
        <f t="shared" si="73"/>
        <v>2.5790000000000002</v>
      </c>
      <c r="DR116" s="77">
        <f t="shared" si="73"/>
        <v>2.5939999999999999</v>
      </c>
      <c r="DS116" s="77">
        <f t="shared" si="73"/>
        <v>2.609</v>
      </c>
      <c r="DT116" s="77">
        <f t="shared" si="70"/>
        <v>2.6240000000000001</v>
      </c>
      <c r="DU116" s="77">
        <f t="shared" si="69"/>
        <v>2.6379999999999999</v>
      </c>
      <c r="DV116" s="77">
        <f t="shared" si="69"/>
        <v>2.6520000000000001</v>
      </c>
      <c r="DW116" s="77">
        <f t="shared" si="69"/>
        <v>2.6659999999999999</v>
      </c>
      <c r="DX116" s="77">
        <f t="shared" si="68"/>
        <v>2.6789999999999998</v>
      </c>
      <c r="DY116" s="77">
        <f t="shared" si="68"/>
        <v>2.6920000000000002</v>
      </c>
      <c r="DZ116" s="77">
        <f t="shared" si="68"/>
        <v>2.7040000000000002</v>
      </c>
      <c r="EA116" s="77">
        <f t="shared" ref="EA116:EG164" si="74">ROUND(X116,3)</f>
        <v>2.7160000000000002</v>
      </c>
      <c r="EB116" s="77">
        <f t="shared" si="74"/>
        <v>2.7280000000000002</v>
      </c>
      <c r="EC116" s="77">
        <f t="shared" si="74"/>
        <v>2.7389999999999999</v>
      </c>
      <c r="ED116" s="77">
        <f t="shared" si="74"/>
        <v>2.75</v>
      </c>
      <c r="EE116" s="77">
        <f t="shared" si="74"/>
        <v>2.76</v>
      </c>
      <c r="EF116" s="77">
        <f t="shared" si="72"/>
        <v>2.77</v>
      </c>
      <c r="EG116" s="77">
        <f t="shared" si="72"/>
        <v>2.78</v>
      </c>
    </row>
    <row r="117" spans="1:137" ht="12.6" customHeight="1">
      <c r="A117" s="73">
        <v>115</v>
      </c>
      <c r="B117" s="74">
        <v>2.4009999999999998</v>
      </c>
      <c r="C117" s="74">
        <v>2.419</v>
      </c>
      <c r="D117" s="74">
        <v>2.4359999999999999</v>
      </c>
      <c r="E117" s="74">
        <v>2.4539999999999997</v>
      </c>
      <c r="F117" s="74">
        <v>2.4700000000000002</v>
      </c>
      <c r="G117" s="74">
        <v>2.4870000000000001</v>
      </c>
      <c r="H117" s="74">
        <v>2.5030000000000001</v>
      </c>
      <c r="I117" s="74">
        <v>2.5179999999999998</v>
      </c>
      <c r="J117" s="74">
        <v>2.532</v>
      </c>
      <c r="K117" s="74">
        <v>2.5459999999999998</v>
      </c>
      <c r="L117" s="74">
        <v>2.5589999999999997</v>
      </c>
      <c r="M117" s="74">
        <v>2.5720000000000001</v>
      </c>
      <c r="N117" s="74">
        <v>2.5859999999999999</v>
      </c>
      <c r="O117" s="74">
        <v>2.601</v>
      </c>
      <c r="P117" s="74">
        <v>2.6160000000000001</v>
      </c>
      <c r="Q117" s="74">
        <v>2.63</v>
      </c>
      <c r="R117" s="74">
        <v>2.645</v>
      </c>
      <c r="S117" s="74">
        <v>2.6589999999999998</v>
      </c>
      <c r="T117" s="74">
        <v>2.6719999999999997</v>
      </c>
      <c r="U117" s="74">
        <v>2.6859999999999999</v>
      </c>
      <c r="V117" s="74">
        <v>2.698</v>
      </c>
      <c r="W117" s="74">
        <v>2.7109999999999999</v>
      </c>
      <c r="X117" s="74">
        <v>2.7229999999999999</v>
      </c>
      <c r="Y117" s="74">
        <v>2.734</v>
      </c>
      <c r="Z117" s="74">
        <v>2.7450000000000001</v>
      </c>
      <c r="AA117" s="74">
        <v>2.7559999999999998</v>
      </c>
      <c r="AB117" s="74">
        <v>2.766</v>
      </c>
      <c r="AC117" s="74">
        <v>2.7759999999999998</v>
      </c>
      <c r="AD117" s="75">
        <v>2.786</v>
      </c>
      <c r="AE117" s="76"/>
      <c r="AF117" s="76"/>
      <c r="AG117" s="76"/>
      <c r="AH117" s="76"/>
      <c r="AI117" s="76"/>
      <c r="AJ117" s="76"/>
      <c r="AK117" s="76"/>
      <c r="AL117" s="76"/>
      <c r="AM117" s="76"/>
      <c r="AN117" s="76"/>
      <c r="AO117" s="76"/>
      <c r="AP117" s="76"/>
      <c r="AQ117" s="76"/>
      <c r="AR117" s="76"/>
      <c r="AS117" s="76"/>
      <c r="BZ117" s="63" t="str">
        <f t="shared" si="40"/>
        <v>4115</v>
      </c>
      <c r="CA117" s="63" t="str">
        <f t="shared" si="39"/>
        <v>5115</v>
      </c>
      <c r="CB117" s="63" t="str">
        <f t="shared" si="41"/>
        <v>6115</v>
      </c>
      <c r="CC117" s="63" t="str">
        <f t="shared" si="42"/>
        <v>7115</v>
      </c>
      <c r="CD117" s="63" t="str">
        <f t="shared" si="43"/>
        <v>8115</v>
      </c>
      <c r="CE117" s="63" t="str">
        <f t="shared" si="44"/>
        <v>9115</v>
      </c>
      <c r="CF117" s="63" t="str">
        <f t="shared" si="45"/>
        <v>10115</v>
      </c>
      <c r="CG117" s="63" t="str">
        <f t="shared" si="46"/>
        <v>11115</v>
      </c>
      <c r="CH117" s="63" t="str">
        <f t="shared" si="47"/>
        <v>12115</v>
      </c>
      <c r="CI117" s="63" t="str">
        <f t="shared" si="48"/>
        <v>13115</v>
      </c>
      <c r="CJ117" s="63" t="str">
        <f t="shared" si="49"/>
        <v>14115</v>
      </c>
      <c r="CK117" s="63" t="str">
        <f t="shared" si="50"/>
        <v>15115</v>
      </c>
      <c r="CL117" s="63" t="str">
        <f t="shared" si="51"/>
        <v>16115</v>
      </c>
      <c r="CM117" s="63" t="str">
        <f t="shared" si="52"/>
        <v>17115</v>
      </c>
      <c r="CN117" s="63" t="str">
        <f t="shared" si="53"/>
        <v>18115</v>
      </c>
      <c r="CO117" s="63" t="str">
        <f t="shared" si="54"/>
        <v>19115</v>
      </c>
      <c r="CP117" s="63" t="str">
        <f t="shared" si="55"/>
        <v>20115</v>
      </c>
      <c r="CQ117" s="63" t="str">
        <f t="shared" si="56"/>
        <v>21115</v>
      </c>
      <c r="CR117" s="63" t="str">
        <f t="shared" si="57"/>
        <v>22115</v>
      </c>
      <c r="CS117" s="63" t="str">
        <f t="shared" si="58"/>
        <v>23115</v>
      </c>
      <c r="CT117" s="63" t="str">
        <f t="shared" si="59"/>
        <v>24115</v>
      </c>
      <c r="CU117" s="63" t="str">
        <f t="shared" si="60"/>
        <v>25115</v>
      </c>
      <c r="CV117" s="63" t="str">
        <f t="shared" si="61"/>
        <v>26115</v>
      </c>
      <c r="CW117" s="63" t="str">
        <f t="shared" si="62"/>
        <v>27115</v>
      </c>
      <c r="CX117" s="63" t="str">
        <f t="shared" si="63"/>
        <v>28115</v>
      </c>
      <c r="CY117" s="63" t="str">
        <f t="shared" si="64"/>
        <v>29115</v>
      </c>
      <c r="CZ117" s="63" t="str">
        <f t="shared" si="65"/>
        <v>30115</v>
      </c>
      <c r="DA117" s="63" t="str">
        <f t="shared" si="66"/>
        <v>31115</v>
      </c>
      <c r="DB117" s="63" t="str">
        <f t="shared" si="67"/>
        <v>32115</v>
      </c>
      <c r="DD117" s="72" t="s">
        <v>245</v>
      </c>
      <c r="DE117" s="77">
        <f t="shared" ref="DE117:DS133" si="75">ROUND(B117,3)</f>
        <v>2.4009999999999998</v>
      </c>
      <c r="DF117" s="77">
        <f t="shared" si="75"/>
        <v>2.419</v>
      </c>
      <c r="DG117" s="77">
        <f t="shared" si="75"/>
        <v>2.4359999999999999</v>
      </c>
      <c r="DH117" s="77">
        <f t="shared" si="75"/>
        <v>2.4540000000000002</v>
      </c>
      <c r="DI117" s="77">
        <f t="shared" si="75"/>
        <v>2.4700000000000002</v>
      </c>
      <c r="DJ117" s="77">
        <f t="shared" si="75"/>
        <v>2.4870000000000001</v>
      </c>
      <c r="DK117" s="77">
        <f t="shared" si="75"/>
        <v>2.5030000000000001</v>
      </c>
      <c r="DL117" s="77">
        <f t="shared" si="75"/>
        <v>2.5179999999999998</v>
      </c>
      <c r="DM117" s="77">
        <f t="shared" si="75"/>
        <v>2.532</v>
      </c>
      <c r="DN117" s="77">
        <f t="shared" si="75"/>
        <v>2.5459999999999998</v>
      </c>
      <c r="DO117" s="77">
        <f t="shared" si="75"/>
        <v>2.5590000000000002</v>
      </c>
      <c r="DP117" s="77">
        <f t="shared" si="75"/>
        <v>2.5720000000000001</v>
      </c>
      <c r="DQ117" s="77">
        <f t="shared" si="75"/>
        <v>2.5859999999999999</v>
      </c>
      <c r="DR117" s="77">
        <f t="shared" si="75"/>
        <v>2.601</v>
      </c>
      <c r="DS117" s="77">
        <f t="shared" si="75"/>
        <v>2.6160000000000001</v>
      </c>
      <c r="DT117" s="77">
        <f t="shared" si="70"/>
        <v>2.63</v>
      </c>
      <c r="DU117" s="77">
        <f t="shared" si="69"/>
        <v>2.645</v>
      </c>
      <c r="DV117" s="77">
        <f t="shared" si="69"/>
        <v>2.6589999999999998</v>
      </c>
      <c r="DW117" s="77">
        <f t="shared" si="69"/>
        <v>2.6720000000000002</v>
      </c>
      <c r="DX117" s="77">
        <f t="shared" si="69"/>
        <v>2.6859999999999999</v>
      </c>
      <c r="DY117" s="77">
        <f t="shared" si="69"/>
        <v>2.698</v>
      </c>
      <c r="DZ117" s="77">
        <f t="shared" si="69"/>
        <v>2.7109999999999999</v>
      </c>
      <c r="EA117" s="77">
        <f t="shared" si="74"/>
        <v>2.7229999999999999</v>
      </c>
      <c r="EB117" s="77">
        <f t="shared" si="74"/>
        <v>2.734</v>
      </c>
      <c r="EC117" s="77">
        <f t="shared" si="74"/>
        <v>2.7450000000000001</v>
      </c>
      <c r="ED117" s="77">
        <f t="shared" si="74"/>
        <v>2.7559999999999998</v>
      </c>
      <c r="EE117" s="77">
        <f t="shared" si="74"/>
        <v>2.766</v>
      </c>
      <c r="EF117" s="77">
        <f t="shared" si="72"/>
        <v>2.7759999999999998</v>
      </c>
      <c r="EG117" s="77">
        <f t="shared" si="72"/>
        <v>2.786</v>
      </c>
    </row>
    <row r="118" spans="1:137" ht="12.6" customHeight="1">
      <c r="A118" s="73">
        <v>116</v>
      </c>
      <c r="B118" s="74">
        <v>2.4079999999999999</v>
      </c>
      <c r="C118" s="74">
        <v>2.4259999999999997</v>
      </c>
      <c r="D118" s="74">
        <v>2.4430000000000001</v>
      </c>
      <c r="E118" s="74">
        <v>2.4609999999999999</v>
      </c>
      <c r="F118" s="74">
        <v>2.4779999999999998</v>
      </c>
      <c r="G118" s="74">
        <v>2.4939999999999998</v>
      </c>
      <c r="H118" s="74">
        <v>2.5099999999999998</v>
      </c>
      <c r="I118" s="74">
        <v>2.5249999999999999</v>
      </c>
      <c r="J118" s="74">
        <v>2.5389999999999997</v>
      </c>
      <c r="K118" s="74">
        <v>2.5529999999999999</v>
      </c>
      <c r="L118" s="74">
        <v>2.5659999999999998</v>
      </c>
      <c r="M118" s="74">
        <v>2.5789999999999997</v>
      </c>
      <c r="N118" s="74">
        <v>2.593</v>
      </c>
      <c r="O118" s="74">
        <v>2.6080000000000001</v>
      </c>
      <c r="P118" s="74">
        <v>2.6219999999999999</v>
      </c>
      <c r="Q118" s="74">
        <v>2.637</v>
      </c>
      <c r="R118" s="74">
        <v>2.6509999999999998</v>
      </c>
      <c r="S118" s="74">
        <v>2.665</v>
      </c>
      <c r="T118" s="74">
        <v>2.6789999999999998</v>
      </c>
      <c r="U118" s="74">
        <v>2.6919999999999997</v>
      </c>
      <c r="V118" s="74">
        <v>2.7050000000000001</v>
      </c>
      <c r="W118" s="74">
        <v>2.7170000000000001</v>
      </c>
      <c r="X118" s="74">
        <v>2.7290000000000001</v>
      </c>
      <c r="Y118" s="74">
        <v>2.7399999999999998</v>
      </c>
      <c r="Z118" s="74">
        <v>2.7509999999999999</v>
      </c>
      <c r="AA118" s="74">
        <v>2.762</v>
      </c>
      <c r="AB118" s="74">
        <v>2.7719999999999998</v>
      </c>
      <c r="AC118" s="74">
        <v>2.782</v>
      </c>
      <c r="AD118" s="75">
        <v>2.7919999999999998</v>
      </c>
      <c r="AE118" s="76"/>
      <c r="AF118" s="76"/>
      <c r="AG118" s="76"/>
      <c r="AH118" s="76"/>
      <c r="AI118" s="76"/>
      <c r="AJ118" s="76"/>
      <c r="AK118" s="76"/>
      <c r="AL118" s="76"/>
      <c r="AM118" s="76"/>
      <c r="AN118" s="76"/>
      <c r="AO118" s="76"/>
      <c r="AP118" s="76"/>
      <c r="AQ118" s="76"/>
      <c r="AR118" s="76"/>
      <c r="AS118" s="76"/>
      <c r="BZ118" s="63" t="str">
        <f t="shared" si="40"/>
        <v>4116</v>
      </c>
      <c r="CA118" s="63" t="str">
        <f t="shared" si="39"/>
        <v>5116</v>
      </c>
      <c r="CB118" s="63" t="str">
        <f t="shared" si="41"/>
        <v>6116</v>
      </c>
      <c r="CC118" s="63" t="str">
        <f t="shared" si="42"/>
        <v>7116</v>
      </c>
      <c r="CD118" s="63" t="str">
        <f t="shared" si="43"/>
        <v>8116</v>
      </c>
      <c r="CE118" s="63" t="str">
        <f t="shared" si="44"/>
        <v>9116</v>
      </c>
      <c r="CF118" s="63" t="str">
        <f t="shared" si="45"/>
        <v>10116</v>
      </c>
      <c r="CG118" s="63" t="str">
        <f t="shared" si="46"/>
        <v>11116</v>
      </c>
      <c r="CH118" s="63" t="str">
        <f t="shared" si="47"/>
        <v>12116</v>
      </c>
      <c r="CI118" s="63" t="str">
        <f t="shared" si="48"/>
        <v>13116</v>
      </c>
      <c r="CJ118" s="63" t="str">
        <f t="shared" si="49"/>
        <v>14116</v>
      </c>
      <c r="CK118" s="63" t="str">
        <f t="shared" si="50"/>
        <v>15116</v>
      </c>
      <c r="CL118" s="63" t="str">
        <f t="shared" si="51"/>
        <v>16116</v>
      </c>
      <c r="CM118" s="63" t="str">
        <f t="shared" si="52"/>
        <v>17116</v>
      </c>
      <c r="CN118" s="63" t="str">
        <f t="shared" si="53"/>
        <v>18116</v>
      </c>
      <c r="CO118" s="63" t="str">
        <f t="shared" si="54"/>
        <v>19116</v>
      </c>
      <c r="CP118" s="63" t="str">
        <f t="shared" si="55"/>
        <v>20116</v>
      </c>
      <c r="CQ118" s="63" t="str">
        <f t="shared" si="56"/>
        <v>21116</v>
      </c>
      <c r="CR118" s="63" t="str">
        <f t="shared" si="57"/>
        <v>22116</v>
      </c>
      <c r="CS118" s="63" t="str">
        <f t="shared" si="58"/>
        <v>23116</v>
      </c>
      <c r="CT118" s="63" t="str">
        <f t="shared" si="59"/>
        <v>24116</v>
      </c>
      <c r="CU118" s="63" t="str">
        <f t="shared" si="60"/>
        <v>25116</v>
      </c>
      <c r="CV118" s="63" t="str">
        <f t="shared" si="61"/>
        <v>26116</v>
      </c>
      <c r="CW118" s="63" t="str">
        <f t="shared" si="62"/>
        <v>27116</v>
      </c>
      <c r="CX118" s="63" t="str">
        <f t="shared" si="63"/>
        <v>28116</v>
      </c>
      <c r="CY118" s="63" t="str">
        <f t="shared" si="64"/>
        <v>29116</v>
      </c>
      <c r="CZ118" s="63" t="str">
        <f t="shared" si="65"/>
        <v>30116</v>
      </c>
      <c r="DA118" s="63" t="str">
        <f t="shared" si="66"/>
        <v>31116</v>
      </c>
      <c r="DB118" s="63" t="str">
        <f t="shared" si="67"/>
        <v>32116</v>
      </c>
      <c r="DD118" s="72" t="s">
        <v>246</v>
      </c>
      <c r="DE118" s="77">
        <f t="shared" si="75"/>
        <v>2.4079999999999999</v>
      </c>
      <c r="DF118" s="77">
        <f t="shared" si="75"/>
        <v>2.4260000000000002</v>
      </c>
      <c r="DG118" s="77">
        <f t="shared" si="75"/>
        <v>2.4430000000000001</v>
      </c>
      <c r="DH118" s="77">
        <f t="shared" si="75"/>
        <v>2.4609999999999999</v>
      </c>
      <c r="DI118" s="77">
        <f t="shared" si="75"/>
        <v>2.4780000000000002</v>
      </c>
      <c r="DJ118" s="77">
        <f t="shared" si="75"/>
        <v>2.4940000000000002</v>
      </c>
      <c r="DK118" s="77">
        <f t="shared" si="75"/>
        <v>2.5099999999999998</v>
      </c>
      <c r="DL118" s="77">
        <f t="shared" si="75"/>
        <v>2.5249999999999999</v>
      </c>
      <c r="DM118" s="77">
        <f t="shared" si="75"/>
        <v>2.5390000000000001</v>
      </c>
      <c r="DN118" s="77">
        <f t="shared" si="75"/>
        <v>2.5529999999999999</v>
      </c>
      <c r="DO118" s="77">
        <f t="shared" si="75"/>
        <v>2.5659999999999998</v>
      </c>
      <c r="DP118" s="77">
        <f t="shared" si="75"/>
        <v>2.5790000000000002</v>
      </c>
      <c r="DQ118" s="77">
        <f t="shared" si="75"/>
        <v>2.593</v>
      </c>
      <c r="DR118" s="77">
        <f t="shared" si="75"/>
        <v>2.6080000000000001</v>
      </c>
      <c r="DS118" s="77">
        <f t="shared" si="75"/>
        <v>2.6219999999999999</v>
      </c>
      <c r="DT118" s="77">
        <f t="shared" si="70"/>
        <v>2.637</v>
      </c>
      <c r="DU118" s="77">
        <f t="shared" si="69"/>
        <v>2.6509999999999998</v>
      </c>
      <c r="DV118" s="77">
        <f t="shared" si="69"/>
        <v>2.665</v>
      </c>
      <c r="DW118" s="77">
        <f t="shared" si="69"/>
        <v>2.6789999999999998</v>
      </c>
      <c r="DX118" s="77">
        <f t="shared" si="69"/>
        <v>2.6920000000000002</v>
      </c>
      <c r="DY118" s="77">
        <f t="shared" si="69"/>
        <v>2.7050000000000001</v>
      </c>
      <c r="DZ118" s="77">
        <f t="shared" si="69"/>
        <v>2.7170000000000001</v>
      </c>
      <c r="EA118" s="77">
        <f t="shared" si="74"/>
        <v>2.7290000000000001</v>
      </c>
      <c r="EB118" s="77">
        <f t="shared" si="74"/>
        <v>2.74</v>
      </c>
      <c r="EC118" s="77">
        <f t="shared" si="74"/>
        <v>2.7509999999999999</v>
      </c>
      <c r="ED118" s="77">
        <f t="shared" si="74"/>
        <v>2.762</v>
      </c>
      <c r="EE118" s="77">
        <f t="shared" si="74"/>
        <v>2.7719999999999998</v>
      </c>
      <c r="EF118" s="77">
        <f t="shared" si="72"/>
        <v>2.782</v>
      </c>
      <c r="EG118" s="77">
        <f t="shared" si="72"/>
        <v>2.7919999999999998</v>
      </c>
    </row>
    <row r="119" spans="1:137" ht="12.6" customHeight="1">
      <c r="A119" s="73">
        <v>117</v>
      </c>
      <c r="B119" s="74">
        <v>2.4159999999999999</v>
      </c>
      <c r="C119" s="74">
        <v>2.4339999999999997</v>
      </c>
      <c r="D119" s="74">
        <v>2.4510000000000001</v>
      </c>
      <c r="E119" s="74">
        <v>2.4689999999999999</v>
      </c>
      <c r="F119" s="74">
        <v>2.4859999999999998</v>
      </c>
      <c r="G119" s="74">
        <v>2.5019999999999998</v>
      </c>
      <c r="H119" s="74">
        <v>2.5169999999999999</v>
      </c>
      <c r="I119" s="74">
        <v>2.532</v>
      </c>
      <c r="J119" s="74">
        <v>2.5459999999999998</v>
      </c>
      <c r="K119" s="74">
        <v>2.56</v>
      </c>
      <c r="L119" s="74">
        <v>2.573</v>
      </c>
      <c r="M119" s="74">
        <v>2.5859999999999999</v>
      </c>
      <c r="N119" s="74">
        <v>2.6</v>
      </c>
      <c r="O119" s="74">
        <v>2.6139999999999999</v>
      </c>
      <c r="P119" s="74">
        <v>2.629</v>
      </c>
      <c r="Q119" s="74">
        <v>2.6440000000000001</v>
      </c>
      <c r="R119" s="74">
        <v>2.6579999999999999</v>
      </c>
      <c r="S119" s="74">
        <v>2.6719999999999997</v>
      </c>
      <c r="T119" s="74">
        <v>2.6850000000000001</v>
      </c>
      <c r="U119" s="74">
        <v>2.698</v>
      </c>
      <c r="V119" s="74">
        <v>2.7109999999999999</v>
      </c>
      <c r="W119" s="74">
        <v>2.7229999999999999</v>
      </c>
      <c r="X119" s="74">
        <v>2.7349999999999999</v>
      </c>
      <c r="Y119" s="74">
        <v>2.746</v>
      </c>
      <c r="Z119" s="74">
        <v>2.7570000000000001</v>
      </c>
      <c r="AA119" s="74">
        <v>2.7679999999999998</v>
      </c>
      <c r="AB119" s="74">
        <v>2.778</v>
      </c>
      <c r="AC119" s="74">
        <v>2.7879999999999998</v>
      </c>
      <c r="AD119" s="75">
        <v>2.7969999999999997</v>
      </c>
      <c r="AE119" s="76"/>
      <c r="AF119" s="76"/>
      <c r="AG119" s="76"/>
      <c r="AH119" s="76"/>
      <c r="AI119" s="76"/>
      <c r="AJ119" s="76"/>
      <c r="AK119" s="76"/>
      <c r="AL119" s="76"/>
      <c r="AM119" s="76"/>
      <c r="AN119" s="76"/>
      <c r="AO119" s="76"/>
      <c r="AP119" s="76"/>
      <c r="AQ119" s="76"/>
      <c r="AR119" s="76"/>
      <c r="AS119" s="76"/>
      <c r="BZ119" s="63" t="str">
        <f t="shared" si="40"/>
        <v>4117</v>
      </c>
      <c r="CA119" s="63" t="str">
        <f t="shared" si="39"/>
        <v>5117</v>
      </c>
      <c r="CB119" s="63" t="str">
        <f t="shared" si="41"/>
        <v>6117</v>
      </c>
      <c r="CC119" s="63" t="str">
        <f t="shared" si="42"/>
        <v>7117</v>
      </c>
      <c r="CD119" s="63" t="str">
        <f t="shared" si="43"/>
        <v>8117</v>
      </c>
      <c r="CE119" s="63" t="str">
        <f t="shared" si="44"/>
        <v>9117</v>
      </c>
      <c r="CF119" s="63" t="str">
        <f t="shared" si="45"/>
        <v>10117</v>
      </c>
      <c r="CG119" s="63" t="str">
        <f t="shared" si="46"/>
        <v>11117</v>
      </c>
      <c r="CH119" s="63" t="str">
        <f t="shared" si="47"/>
        <v>12117</v>
      </c>
      <c r="CI119" s="63" t="str">
        <f t="shared" si="48"/>
        <v>13117</v>
      </c>
      <c r="CJ119" s="63" t="str">
        <f t="shared" si="49"/>
        <v>14117</v>
      </c>
      <c r="CK119" s="63" t="str">
        <f t="shared" si="50"/>
        <v>15117</v>
      </c>
      <c r="CL119" s="63" t="str">
        <f t="shared" si="51"/>
        <v>16117</v>
      </c>
      <c r="CM119" s="63" t="str">
        <f t="shared" si="52"/>
        <v>17117</v>
      </c>
      <c r="CN119" s="63" t="str">
        <f t="shared" si="53"/>
        <v>18117</v>
      </c>
      <c r="CO119" s="63" t="str">
        <f t="shared" si="54"/>
        <v>19117</v>
      </c>
      <c r="CP119" s="63" t="str">
        <f t="shared" si="55"/>
        <v>20117</v>
      </c>
      <c r="CQ119" s="63" t="str">
        <f t="shared" si="56"/>
        <v>21117</v>
      </c>
      <c r="CR119" s="63" t="str">
        <f t="shared" si="57"/>
        <v>22117</v>
      </c>
      <c r="CS119" s="63" t="str">
        <f t="shared" si="58"/>
        <v>23117</v>
      </c>
      <c r="CT119" s="63" t="str">
        <f t="shared" si="59"/>
        <v>24117</v>
      </c>
      <c r="CU119" s="63" t="str">
        <f t="shared" si="60"/>
        <v>25117</v>
      </c>
      <c r="CV119" s="63" t="str">
        <f t="shared" si="61"/>
        <v>26117</v>
      </c>
      <c r="CW119" s="63" t="str">
        <f t="shared" si="62"/>
        <v>27117</v>
      </c>
      <c r="CX119" s="63" t="str">
        <f t="shared" si="63"/>
        <v>28117</v>
      </c>
      <c r="CY119" s="63" t="str">
        <f t="shared" si="64"/>
        <v>29117</v>
      </c>
      <c r="CZ119" s="63" t="str">
        <f t="shared" si="65"/>
        <v>30117</v>
      </c>
      <c r="DA119" s="63" t="str">
        <f t="shared" si="66"/>
        <v>31117</v>
      </c>
      <c r="DB119" s="63" t="str">
        <f t="shared" si="67"/>
        <v>32117</v>
      </c>
      <c r="DD119" s="72" t="s">
        <v>247</v>
      </c>
      <c r="DE119" s="77">
        <f t="shared" si="75"/>
        <v>2.4159999999999999</v>
      </c>
      <c r="DF119" s="77">
        <f t="shared" si="75"/>
        <v>2.4340000000000002</v>
      </c>
      <c r="DG119" s="77">
        <f t="shared" si="75"/>
        <v>2.4510000000000001</v>
      </c>
      <c r="DH119" s="77">
        <f t="shared" si="75"/>
        <v>2.4689999999999999</v>
      </c>
      <c r="DI119" s="77">
        <f t="shared" si="75"/>
        <v>2.4860000000000002</v>
      </c>
      <c r="DJ119" s="77">
        <f t="shared" si="75"/>
        <v>2.5019999999999998</v>
      </c>
      <c r="DK119" s="77">
        <f t="shared" si="75"/>
        <v>2.5169999999999999</v>
      </c>
      <c r="DL119" s="77">
        <f t="shared" si="75"/>
        <v>2.532</v>
      </c>
      <c r="DM119" s="77">
        <f t="shared" si="75"/>
        <v>2.5459999999999998</v>
      </c>
      <c r="DN119" s="77">
        <f t="shared" si="75"/>
        <v>2.56</v>
      </c>
      <c r="DO119" s="77">
        <f t="shared" si="75"/>
        <v>2.573</v>
      </c>
      <c r="DP119" s="77">
        <f t="shared" si="75"/>
        <v>2.5859999999999999</v>
      </c>
      <c r="DQ119" s="77">
        <f t="shared" si="75"/>
        <v>2.6</v>
      </c>
      <c r="DR119" s="77">
        <f t="shared" si="75"/>
        <v>2.6139999999999999</v>
      </c>
      <c r="DS119" s="77">
        <f t="shared" si="75"/>
        <v>2.629</v>
      </c>
      <c r="DT119" s="77">
        <f t="shared" si="70"/>
        <v>2.6440000000000001</v>
      </c>
      <c r="DU119" s="77">
        <f t="shared" si="69"/>
        <v>2.6579999999999999</v>
      </c>
      <c r="DV119" s="77">
        <f t="shared" si="69"/>
        <v>2.6720000000000002</v>
      </c>
      <c r="DW119" s="77">
        <f t="shared" si="69"/>
        <v>2.6850000000000001</v>
      </c>
      <c r="DX119" s="77">
        <f t="shared" si="69"/>
        <v>2.698</v>
      </c>
      <c r="DY119" s="77">
        <f t="shared" si="69"/>
        <v>2.7109999999999999</v>
      </c>
      <c r="DZ119" s="77">
        <f t="shared" si="69"/>
        <v>2.7229999999999999</v>
      </c>
      <c r="EA119" s="77">
        <f t="shared" si="74"/>
        <v>2.7349999999999999</v>
      </c>
      <c r="EB119" s="77">
        <f t="shared" si="74"/>
        <v>2.746</v>
      </c>
      <c r="EC119" s="77">
        <f t="shared" si="74"/>
        <v>2.7570000000000001</v>
      </c>
      <c r="ED119" s="77">
        <f t="shared" si="74"/>
        <v>2.7679999999999998</v>
      </c>
      <c r="EE119" s="77">
        <f t="shared" si="74"/>
        <v>2.778</v>
      </c>
      <c r="EF119" s="77">
        <f t="shared" si="72"/>
        <v>2.7879999999999998</v>
      </c>
      <c r="EG119" s="77">
        <f t="shared" si="72"/>
        <v>2.7970000000000002</v>
      </c>
    </row>
    <row r="120" spans="1:137" ht="12.6" customHeight="1">
      <c r="A120" s="73">
        <v>118</v>
      </c>
      <c r="B120" s="74">
        <v>2.423</v>
      </c>
      <c r="C120" s="74">
        <v>2.4409999999999998</v>
      </c>
      <c r="D120" s="74">
        <v>2.4579999999999997</v>
      </c>
      <c r="E120" s="74">
        <v>2.476</v>
      </c>
      <c r="F120" s="74">
        <v>2.4929999999999999</v>
      </c>
      <c r="G120" s="74">
        <v>2.5089999999999999</v>
      </c>
      <c r="H120" s="74">
        <v>2.524</v>
      </c>
      <c r="I120" s="74">
        <v>2.5389999999999997</v>
      </c>
      <c r="J120" s="74">
        <v>2.5529999999999999</v>
      </c>
      <c r="K120" s="74">
        <v>2.5669999999999997</v>
      </c>
      <c r="L120" s="74">
        <v>2.58</v>
      </c>
      <c r="M120" s="74">
        <v>2.593</v>
      </c>
      <c r="N120" s="74">
        <v>2.6069999999999998</v>
      </c>
      <c r="O120" s="74">
        <v>2.621</v>
      </c>
      <c r="P120" s="74">
        <v>2.6360000000000001</v>
      </c>
      <c r="Q120" s="74">
        <v>2.65</v>
      </c>
      <c r="R120" s="74">
        <v>2.6639999999999997</v>
      </c>
      <c r="S120" s="74">
        <v>2.6779999999999999</v>
      </c>
      <c r="T120" s="74">
        <v>2.6909999999999998</v>
      </c>
      <c r="U120" s="74">
        <v>2.7039999999999997</v>
      </c>
      <c r="V120" s="74">
        <v>2.7170000000000001</v>
      </c>
      <c r="W120" s="74">
        <v>2.7290000000000001</v>
      </c>
      <c r="X120" s="74">
        <v>2.7410000000000001</v>
      </c>
      <c r="Y120" s="74">
        <v>2.7519999999999998</v>
      </c>
      <c r="Z120" s="74">
        <v>2.7629999999999999</v>
      </c>
      <c r="AA120" s="74">
        <v>2.7730000000000001</v>
      </c>
      <c r="AB120" s="74">
        <v>2.7839999999999998</v>
      </c>
      <c r="AC120" s="74">
        <v>2.7929999999999997</v>
      </c>
      <c r="AD120" s="75">
        <v>2.8029999999999999</v>
      </c>
      <c r="AE120" s="76"/>
      <c r="AF120" s="76"/>
      <c r="AG120" s="76"/>
      <c r="AH120" s="76"/>
      <c r="AI120" s="76"/>
      <c r="AJ120" s="76"/>
      <c r="AK120" s="76"/>
      <c r="AL120" s="76"/>
      <c r="AM120" s="76"/>
      <c r="AN120" s="76"/>
      <c r="AO120" s="76"/>
      <c r="AP120" s="76"/>
      <c r="AQ120" s="76"/>
      <c r="AR120" s="76"/>
      <c r="AS120" s="76"/>
      <c r="BZ120" s="63" t="str">
        <f t="shared" si="40"/>
        <v>4118</v>
      </c>
      <c r="CA120" s="63" t="str">
        <f t="shared" si="39"/>
        <v>5118</v>
      </c>
      <c r="CB120" s="63" t="str">
        <f t="shared" si="41"/>
        <v>6118</v>
      </c>
      <c r="CC120" s="63" t="str">
        <f t="shared" si="42"/>
        <v>7118</v>
      </c>
      <c r="CD120" s="63" t="str">
        <f t="shared" si="43"/>
        <v>8118</v>
      </c>
      <c r="CE120" s="63" t="str">
        <f t="shared" si="44"/>
        <v>9118</v>
      </c>
      <c r="CF120" s="63" t="str">
        <f t="shared" si="45"/>
        <v>10118</v>
      </c>
      <c r="CG120" s="63" t="str">
        <f t="shared" si="46"/>
        <v>11118</v>
      </c>
      <c r="CH120" s="63" t="str">
        <f t="shared" si="47"/>
        <v>12118</v>
      </c>
      <c r="CI120" s="63" t="str">
        <f t="shared" si="48"/>
        <v>13118</v>
      </c>
      <c r="CJ120" s="63" t="str">
        <f t="shared" si="49"/>
        <v>14118</v>
      </c>
      <c r="CK120" s="63" t="str">
        <f t="shared" si="50"/>
        <v>15118</v>
      </c>
      <c r="CL120" s="63" t="str">
        <f t="shared" si="51"/>
        <v>16118</v>
      </c>
      <c r="CM120" s="63" t="str">
        <f t="shared" si="52"/>
        <v>17118</v>
      </c>
      <c r="CN120" s="63" t="str">
        <f t="shared" si="53"/>
        <v>18118</v>
      </c>
      <c r="CO120" s="63" t="str">
        <f t="shared" si="54"/>
        <v>19118</v>
      </c>
      <c r="CP120" s="63" t="str">
        <f t="shared" si="55"/>
        <v>20118</v>
      </c>
      <c r="CQ120" s="63" t="str">
        <f t="shared" si="56"/>
        <v>21118</v>
      </c>
      <c r="CR120" s="63" t="str">
        <f t="shared" si="57"/>
        <v>22118</v>
      </c>
      <c r="CS120" s="63" t="str">
        <f t="shared" si="58"/>
        <v>23118</v>
      </c>
      <c r="CT120" s="63" t="str">
        <f t="shared" si="59"/>
        <v>24118</v>
      </c>
      <c r="CU120" s="63" t="str">
        <f t="shared" si="60"/>
        <v>25118</v>
      </c>
      <c r="CV120" s="63" t="str">
        <f t="shared" si="61"/>
        <v>26118</v>
      </c>
      <c r="CW120" s="63" t="str">
        <f t="shared" si="62"/>
        <v>27118</v>
      </c>
      <c r="CX120" s="63" t="str">
        <f t="shared" si="63"/>
        <v>28118</v>
      </c>
      <c r="CY120" s="63" t="str">
        <f t="shared" si="64"/>
        <v>29118</v>
      </c>
      <c r="CZ120" s="63" t="str">
        <f t="shared" si="65"/>
        <v>30118</v>
      </c>
      <c r="DA120" s="63" t="str">
        <f t="shared" si="66"/>
        <v>31118</v>
      </c>
      <c r="DB120" s="63" t="str">
        <f t="shared" si="67"/>
        <v>32118</v>
      </c>
      <c r="DD120" s="72" t="s">
        <v>248</v>
      </c>
      <c r="DE120" s="77">
        <f t="shared" si="75"/>
        <v>2.423</v>
      </c>
      <c r="DF120" s="77">
        <f t="shared" si="75"/>
        <v>2.4409999999999998</v>
      </c>
      <c r="DG120" s="77">
        <f t="shared" si="75"/>
        <v>2.4580000000000002</v>
      </c>
      <c r="DH120" s="77">
        <f t="shared" si="75"/>
        <v>2.476</v>
      </c>
      <c r="DI120" s="77">
        <f t="shared" si="75"/>
        <v>2.4929999999999999</v>
      </c>
      <c r="DJ120" s="77">
        <f t="shared" si="75"/>
        <v>2.5089999999999999</v>
      </c>
      <c r="DK120" s="77">
        <f t="shared" si="75"/>
        <v>2.524</v>
      </c>
      <c r="DL120" s="77">
        <f t="shared" si="75"/>
        <v>2.5390000000000001</v>
      </c>
      <c r="DM120" s="77">
        <f t="shared" si="75"/>
        <v>2.5529999999999999</v>
      </c>
      <c r="DN120" s="77">
        <f t="shared" si="75"/>
        <v>2.5670000000000002</v>
      </c>
      <c r="DO120" s="77">
        <f t="shared" si="75"/>
        <v>2.58</v>
      </c>
      <c r="DP120" s="77">
        <f t="shared" si="75"/>
        <v>2.593</v>
      </c>
      <c r="DQ120" s="77">
        <f t="shared" si="75"/>
        <v>2.6070000000000002</v>
      </c>
      <c r="DR120" s="77">
        <f t="shared" si="75"/>
        <v>2.621</v>
      </c>
      <c r="DS120" s="77">
        <f t="shared" si="75"/>
        <v>2.6360000000000001</v>
      </c>
      <c r="DT120" s="77">
        <f t="shared" si="70"/>
        <v>2.65</v>
      </c>
      <c r="DU120" s="77">
        <f t="shared" si="69"/>
        <v>2.6640000000000001</v>
      </c>
      <c r="DV120" s="77">
        <f t="shared" si="69"/>
        <v>2.6779999999999999</v>
      </c>
      <c r="DW120" s="77">
        <f t="shared" si="69"/>
        <v>2.6909999999999998</v>
      </c>
      <c r="DX120" s="77">
        <f t="shared" si="69"/>
        <v>2.7040000000000002</v>
      </c>
      <c r="DY120" s="77">
        <f t="shared" si="69"/>
        <v>2.7170000000000001</v>
      </c>
      <c r="DZ120" s="77">
        <f t="shared" si="69"/>
        <v>2.7290000000000001</v>
      </c>
      <c r="EA120" s="77">
        <f t="shared" si="74"/>
        <v>2.7410000000000001</v>
      </c>
      <c r="EB120" s="77">
        <f t="shared" si="74"/>
        <v>2.7519999999999998</v>
      </c>
      <c r="EC120" s="77">
        <f t="shared" si="74"/>
        <v>2.7629999999999999</v>
      </c>
      <c r="ED120" s="77">
        <f t="shared" si="74"/>
        <v>2.7730000000000001</v>
      </c>
      <c r="EE120" s="77">
        <f t="shared" si="74"/>
        <v>2.7839999999999998</v>
      </c>
      <c r="EF120" s="77">
        <f t="shared" si="72"/>
        <v>2.7930000000000001</v>
      </c>
      <c r="EG120" s="77">
        <f t="shared" si="72"/>
        <v>2.8029999999999999</v>
      </c>
    </row>
    <row r="121" spans="1:137" ht="12.6" customHeight="1">
      <c r="A121" s="73">
        <v>119</v>
      </c>
      <c r="B121" s="74">
        <v>2.4319999999999999</v>
      </c>
      <c r="C121" s="74">
        <v>2.4489999999999998</v>
      </c>
      <c r="D121" s="74">
        <v>2.4659999999999997</v>
      </c>
      <c r="E121" s="74">
        <v>2.4830000000000001</v>
      </c>
      <c r="F121" s="74">
        <v>2.5</v>
      </c>
      <c r="G121" s="74">
        <v>2.516</v>
      </c>
      <c r="H121" s="74">
        <v>2.5309999999999997</v>
      </c>
      <c r="I121" s="74">
        <v>2.5459999999999998</v>
      </c>
      <c r="J121" s="74">
        <v>2.56</v>
      </c>
      <c r="K121" s="74">
        <v>2.5739999999999998</v>
      </c>
      <c r="L121" s="74">
        <v>2.5869999999999997</v>
      </c>
      <c r="M121" s="74">
        <v>2.6</v>
      </c>
      <c r="N121" s="74">
        <v>2.613</v>
      </c>
      <c r="O121" s="74">
        <v>2.6269999999999998</v>
      </c>
      <c r="P121" s="74">
        <v>2.6419999999999999</v>
      </c>
      <c r="Q121" s="74">
        <v>2.6559999999999997</v>
      </c>
      <c r="R121" s="74">
        <v>2.67</v>
      </c>
      <c r="S121" s="74">
        <v>2.6839999999999997</v>
      </c>
      <c r="T121" s="74">
        <v>2.6970000000000001</v>
      </c>
      <c r="U121" s="74">
        <v>2.71</v>
      </c>
      <c r="V121" s="74">
        <v>2.7229999999999999</v>
      </c>
      <c r="W121" s="74">
        <v>2.7349999999999999</v>
      </c>
      <c r="X121" s="74">
        <v>2.746</v>
      </c>
      <c r="Y121" s="74">
        <v>2.758</v>
      </c>
      <c r="Z121" s="74">
        <v>2.7690000000000001</v>
      </c>
      <c r="AA121" s="74">
        <v>2.7789999999999999</v>
      </c>
      <c r="AB121" s="74">
        <v>2.7889999999999997</v>
      </c>
      <c r="AC121" s="74">
        <v>2.7989999999999999</v>
      </c>
      <c r="AD121" s="75">
        <v>2.8079999999999998</v>
      </c>
      <c r="AE121" s="76"/>
      <c r="AF121" s="76"/>
      <c r="AG121" s="76"/>
      <c r="AH121" s="76"/>
      <c r="AI121" s="76"/>
      <c r="AJ121" s="76"/>
      <c r="AK121" s="76"/>
      <c r="AL121" s="76"/>
      <c r="AM121" s="76"/>
      <c r="AN121" s="76"/>
      <c r="AO121" s="76"/>
      <c r="AP121" s="76"/>
      <c r="AQ121" s="76"/>
      <c r="AR121" s="76"/>
      <c r="AS121" s="76"/>
      <c r="BZ121" s="63" t="str">
        <f t="shared" si="40"/>
        <v>4119</v>
      </c>
      <c r="CA121" s="63" t="str">
        <f t="shared" si="39"/>
        <v>5119</v>
      </c>
      <c r="CB121" s="63" t="str">
        <f t="shared" si="41"/>
        <v>6119</v>
      </c>
      <c r="CC121" s="63" t="str">
        <f t="shared" si="42"/>
        <v>7119</v>
      </c>
      <c r="CD121" s="63" t="str">
        <f t="shared" si="43"/>
        <v>8119</v>
      </c>
      <c r="CE121" s="63" t="str">
        <f t="shared" si="44"/>
        <v>9119</v>
      </c>
      <c r="CF121" s="63" t="str">
        <f t="shared" si="45"/>
        <v>10119</v>
      </c>
      <c r="CG121" s="63" t="str">
        <f t="shared" si="46"/>
        <v>11119</v>
      </c>
      <c r="CH121" s="63" t="str">
        <f t="shared" si="47"/>
        <v>12119</v>
      </c>
      <c r="CI121" s="63" t="str">
        <f t="shared" si="48"/>
        <v>13119</v>
      </c>
      <c r="CJ121" s="63" t="str">
        <f t="shared" si="49"/>
        <v>14119</v>
      </c>
      <c r="CK121" s="63" t="str">
        <f t="shared" si="50"/>
        <v>15119</v>
      </c>
      <c r="CL121" s="63" t="str">
        <f t="shared" si="51"/>
        <v>16119</v>
      </c>
      <c r="CM121" s="63" t="str">
        <f t="shared" si="52"/>
        <v>17119</v>
      </c>
      <c r="CN121" s="63" t="str">
        <f t="shared" si="53"/>
        <v>18119</v>
      </c>
      <c r="CO121" s="63" t="str">
        <f t="shared" si="54"/>
        <v>19119</v>
      </c>
      <c r="CP121" s="63" t="str">
        <f t="shared" si="55"/>
        <v>20119</v>
      </c>
      <c r="CQ121" s="63" t="str">
        <f t="shared" si="56"/>
        <v>21119</v>
      </c>
      <c r="CR121" s="63" t="str">
        <f t="shared" si="57"/>
        <v>22119</v>
      </c>
      <c r="CS121" s="63" t="str">
        <f t="shared" si="58"/>
        <v>23119</v>
      </c>
      <c r="CT121" s="63" t="str">
        <f t="shared" si="59"/>
        <v>24119</v>
      </c>
      <c r="CU121" s="63" t="str">
        <f t="shared" si="60"/>
        <v>25119</v>
      </c>
      <c r="CV121" s="63" t="str">
        <f t="shared" si="61"/>
        <v>26119</v>
      </c>
      <c r="CW121" s="63" t="str">
        <f t="shared" si="62"/>
        <v>27119</v>
      </c>
      <c r="CX121" s="63" t="str">
        <f t="shared" si="63"/>
        <v>28119</v>
      </c>
      <c r="CY121" s="63" t="str">
        <f t="shared" si="64"/>
        <v>29119</v>
      </c>
      <c r="CZ121" s="63" t="str">
        <f t="shared" si="65"/>
        <v>30119</v>
      </c>
      <c r="DA121" s="63" t="str">
        <f t="shared" si="66"/>
        <v>31119</v>
      </c>
      <c r="DB121" s="63" t="str">
        <f t="shared" si="67"/>
        <v>32119</v>
      </c>
      <c r="DD121" s="72" t="s">
        <v>249</v>
      </c>
      <c r="DE121" s="77">
        <f t="shared" si="75"/>
        <v>2.4319999999999999</v>
      </c>
      <c r="DF121" s="77">
        <f t="shared" si="75"/>
        <v>2.4489999999999998</v>
      </c>
      <c r="DG121" s="77">
        <f t="shared" si="75"/>
        <v>2.4660000000000002</v>
      </c>
      <c r="DH121" s="77">
        <f t="shared" si="75"/>
        <v>2.4830000000000001</v>
      </c>
      <c r="DI121" s="77">
        <f t="shared" si="75"/>
        <v>2.5</v>
      </c>
      <c r="DJ121" s="77">
        <f t="shared" si="75"/>
        <v>2.516</v>
      </c>
      <c r="DK121" s="77">
        <f t="shared" si="75"/>
        <v>2.5310000000000001</v>
      </c>
      <c r="DL121" s="77">
        <f t="shared" si="75"/>
        <v>2.5459999999999998</v>
      </c>
      <c r="DM121" s="77">
        <f t="shared" si="75"/>
        <v>2.56</v>
      </c>
      <c r="DN121" s="77">
        <f t="shared" si="75"/>
        <v>2.5739999999999998</v>
      </c>
      <c r="DO121" s="77">
        <f t="shared" si="75"/>
        <v>2.5870000000000002</v>
      </c>
      <c r="DP121" s="77">
        <f t="shared" si="75"/>
        <v>2.6</v>
      </c>
      <c r="DQ121" s="77">
        <f t="shared" si="75"/>
        <v>2.613</v>
      </c>
      <c r="DR121" s="77">
        <f t="shared" si="75"/>
        <v>2.6269999999999998</v>
      </c>
      <c r="DS121" s="77">
        <f t="shared" si="75"/>
        <v>2.6419999999999999</v>
      </c>
      <c r="DT121" s="77">
        <f t="shared" si="70"/>
        <v>2.6560000000000001</v>
      </c>
      <c r="DU121" s="77">
        <f t="shared" si="69"/>
        <v>2.67</v>
      </c>
      <c r="DV121" s="77">
        <f t="shared" si="69"/>
        <v>2.6840000000000002</v>
      </c>
      <c r="DW121" s="77">
        <f t="shared" si="69"/>
        <v>2.6970000000000001</v>
      </c>
      <c r="DX121" s="77">
        <f t="shared" si="69"/>
        <v>2.71</v>
      </c>
      <c r="DY121" s="77">
        <f t="shared" si="69"/>
        <v>2.7229999999999999</v>
      </c>
      <c r="DZ121" s="77">
        <f t="shared" si="69"/>
        <v>2.7349999999999999</v>
      </c>
      <c r="EA121" s="77">
        <f t="shared" si="74"/>
        <v>2.746</v>
      </c>
      <c r="EB121" s="77">
        <f t="shared" si="74"/>
        <v>2.758</v>
      </c>
      <c r="EC121" s="77">
        <f t="shared" si="74"/>
        <v>2.7690000000000001</v>
      </c>
      <c r="ED121" s="77">
        <f t="shared" si="74"/>
        <v>2.7789999999999999</v>
      </c>
      <c r="EE121" s="77">
        <f t="shared" si="74"/>
        <v>2.7890000000000001</v>
      </c>
      <c r="EF121" s="77">
        <f t="shared" si="72"/>
        <v>2.7989999999999999</v>
      </c>
      <c r="EG121" s="77">
        <f t="shared" si="72"/>
        <v>2.8079999999999998</v>
      </c>
    </row>
    <row r="122" spans="1:137" ht="12.6" customHeight="1">
      <c r="A122" s="73">
        <v>120</v>
      </c>
      <c r="B122" s="74">
        <v>2.4390000000000001</v>
      </c>
      <c r="C122" s="74">
        <v>2.456</v>
      </c>
      <c r="D122" s="74">
        <v>2.4729999999999999</v>
      </c>
      <c r="E122" s="74">
        <v>2.4899999999999998</v>
      </c>
      <c r="F122" s="74">
        <v>2.5070000000000001</v>
      </c>
      <c r="G122" s="74">
        <v>2.5230000000000001</v>
      </c>
      <c r="H122" s="74">
        <v>2.5379999999999998</v>
      </c>
      <c r="I122" s="74">
        <v>2.5529999999999999</v>
      </c>
      <c r="J122" s="74">
        <v>2.5669999999999997</v>
      </c>
      <c r="K122" s="74">
        <v>2.58</v>
      </c>
      <c r="L122" s="74">
        <v>2.593</v>
      </c>
      <c r="M122" s="74">
        <v>2.6059999999999999</v>
      </c>
      <c r="N122" s="74">
        <v>2.62</v>
      </c>
      <c r="O122" s="74">
        <v>2.6339999999999999</v>
      </c>
      <c r="P122" s="74">
        <v>2.6480000000000001</v>
      </c>
      <c r="Q122" s="74">
        <v>2.6629999999999998</v>
      </c>
      <c r="R122" s="74">
        <v>2.677</v>
      </c>
      <c r="S122" s="74">
        <v>2.69</v>
      </c>
      <c r="T122" s="74">
        <v>2.7029999999999998</v>
      </c>
      <c r="U122" s="74">
        <v>2.7159999999999997</v>
      </c>
      <c r="V122" s="74">
        <v>2.7290000000000001</v>
      </c>
      <c r="W122" s="74">
        <v>2.7410000000000001</v>
      </c>
      <c r="X122" s="74">
        <v>2.7519999999999998</v>
      </c>
      <c r="Y122" s="74">
        <v>2.7629999999999999</v>
      </c>
      <c r="Z122" s="74">
        <v>2.774</v>
      </c>
      <c r="AA122" s="74">
        <v>2.7849999999999997</v>
      </c>
      <c r="AB122" s="74">
        <v>2.7949999999999999</v>
      </c>
      <c r="AC122" s="74">
        <v>2.8039999999999998</v>
      </c>
      <c r="AD122" s="75">
        <v>2.8140000000000001</v>
      </c>
      <c r="AE122" s="76"/>
      <c r="AF122" s="76"/>
      <c r="AG122" s="76"/>
      <c r="AH122" s="76"/>
      <c r="AI122" s="76"/>
      <c r="AJ122" s="76"/>
      <c r="AK122" s="76"/>
      <c r="AL122" s="76"/>
      <c r="AM122" s="76"/>
      <c r="AN122" s="76"/>
      <c r="AO122" s="76"/>
      <c r="AP122" s="76"/>
      <c r="AQ122" s="76"/>
      <c r="AR122" s="76"/>
      <c r="AS122" s="76"/>
      <c r="BZ122" s="63" t="str">
        <f t="shared" si="40"/>
        <v>4120</v>
      </c>
      <c r="CA122" s="63" t="str">
        <f t="shared" si="39"/>
        <v>5120</v>
      </c>
      <c r="CB122" s="63" t="str">
        <f t="shared" si="41"/>
        <v>6120</v>
      </c>
      <c r="CC122" s="63" t="str">
        <f t="shared" si="42"/>
        <v>7120</v>
      </c>
      <c r="CD122" s="63" t="str">
        <f t="shared" si="43"/>
        <v>8120</v>
      </c>
      <c r="CE122" s="63" t="str">
        <f t="shared" si="44"/>
        <v>9120</v>
      </c>
      <c r="CF122" s="63" t="str">
        <f t="shared" si="45"/>
        <v>10120</v>
      </c>
      <c r="CG122" s="63" t="str">
        <f t="shared" si="46"/>
        <v>11120</v>
      </c>
      <c r="CH122" s="63" t="str">
        <f t="shared" si="47"/>
        <v>12120</v>
      </c>
      <c r="CI122" s="63" t="str">
        <f t="shared" si="48"/>
        <v>13120</v>
      </c>
      <c r="CJ122" s="63" t="str">
        <f t="shared" si="49"/>
        <v>14120</v>
      </c>
      <c r="CK122" s="63" t="str">
        <f t="shared" si="50"/>
        <v>15120</v>
      </c>
      <c r="CL122" s="63" t="str">
        <f t="shared" si="51"/>
        <v>16120</v>
      </c>
      <c r="CM122" s="63" t="str">
        <f t="shared" si="52"/>
        <v>17120</v>
      </c>
      <c r="CN122" s="63" t="str">
        <f t="shared" si="53"/>
        <v>18120</v>
      </c>
      <c r="CO122" s="63" t="str">
        <f t="shared" si="54"/>
        <v>19120</v>
      </c>
      <c r="CP122" s="63" t="str">
        <f t="shared" si="55"/>
        <v>20120</v>
      </c>
      <c r="CQ122" s="63" t="str">
        <f t="shared" si="56"/>
        <v>21120</v>
      </c>
      <c r="CR122" s="63" t="str">
        <f t="shared" si="57"/>
        <v>22120</v>
      </c>
      <c r="CS122" s="63" t="str">
        <f t="shared" si="58"/>
        <v>23120</v>
      </c>
      <c r="CT122" s="63" t="str">
        <f t="shared" si="59"/>
        <v>24120</v>
      </c>
      <c r="CU122" s="63" t="str">
        <f t="shared" si="60"/>
        <v>25120</v>
      </c>
      <c r="CV122" s="63" t="str">
        <f t="shared" si="61"/>
        <v>26120</v>
      </c>
      <c r="CW122" s="63" t="str">
        <f t="shared" si="62"/>
        <v>27120</v>
      </c>
      <c r="CX122" s="63" t="str">
        <f t="shared" si="63"/>
        <v>28120</v>
      </c>
      <c r="CY122" s="63" t="str">
        <f t="shared" si="64"/>
        <v>29120</v>
      </c>
      <c r="CZ122" s="63" t="str">
        <f t="shared" si="65"/>
        <v>30120</v>
      </c>
      <c r="DA122" s="63" t="str">
        <f t="shared" si="66"/>
        <v>31120</v>
      </c>
      <c r="DB122" s="63" t="str">
        <f t="shared" si="67"/>
        <v>32120</v>
      </c>
      <c r="DD122" s="72" t="s">
        <v>250</v>
      </c>
      <c r="DE122" s="77">
        <f t="shared" si="75"/>
        <v>2.4390000000000001</v>
      </c>
      <c r="DF122" s="77">
        <f t="shared" si="75"/>
        <v>2.456</v>
      </c>
      <c r="DG122" s="77">
        <f t="shared" si="75"/>
        <v>2.4729999999999999</v>
      </c>
      <c r="DH122" s="77">
        <f t="shared" si="75"/>
        <v>2.4900000000000002</v>
      </c>
      <c r="DI122" s="77">
        <f t="shared" si="75"/>
        <v>2.5070000000000001</v>
      </c>
      <c r="DJ122" s="77">
        <f t="shared" si="75"/>
        <v>2.5230000000000001</v>
      </c>
      <c r="DK122" s="77">
        <f t="shared" si="75"/>
        <v>2.5379999999999998</v>
      </c>
      <c r="DL122" s="77">
        <f t="shared" si="75"/>
        <v>2.5529999999999999</v>
      </c>
      <c r="DM122" s="77">
        <f t="shared" si="75"/>
        <v>2.5670000000000002</v>
      </c>
      <c r="DN122" s="77">
        <f t="shared" si="75"/>
        <v>2.58</v>
      </c>
      <c r="DO122" s="77">
        <f t="shared" si="75"/>
        <v>2.593</v>
      </c>
      <c r="DP122" s="77">
        <f t="shared" si="75"/>
        <v>2.6059999999999999</v>
      </c>
      <c r="DQ122" s="77">
        <f t="shared" si="75"/>
        <v>2.62</v>
      </c>
      <c r="DR122" s="77">
        <f t="shared" si="75"/>
        <v>2.6339999999999999</v>
      </c>
      <c r="DS122" s="77">
        <f t="shared" si="75"/>
        <v>2.6480000000000001</v>
      </c>
      <c r="DT122" s="77">
        <f t="shared" si="70"/>
        <v>2.6629999999999998</v>
      </c>
      <c r="DU122" s="77">
        <f t="shared" si="69"/>
        <v>2.677</v>
      </c>
      <c r="DV122" s="77">
        <f t="shared" si="69"/>
        <v>2.69</v>
      </c>
      <c r="DW122" s="77">
        <f t="shared" si="69"/>
        <v>2.7029999999999998</v>
      </c>
      <c r="DX122" s="77">
        <f t="shared" si="69"/>
        <v>2.7160000000000002</v>
      </c>
      <c r="DY122" s="77">
        <f t="shared" si="69"/>
        <v>2.7290000000000001</v>
      </c>
      <c r="DZ122" s="77">
        <f t="shared" si="69"/>
        <v>2.7410000000000001</v>
      </c>
      <c r="EA122" s="77">
        <f t="shared" si="74"/>
        <v>2.7519999999999998</v>
      </c>
      <c r="EB122" s="77">
        <f t="shared" si="74"/>
        <v>2.7629999999999999</v>
      </c>
      <c r="EC122" s="77">
        <f t="shared" si="74"/>
        <v>2.774</v>
      </c>
      <c r="ED122" s="77">
        <f t="shared" si="74"/>
        <v>2.7850000000000001</v>
      </c>
      <c r="EE122" s="77">
        <f t="shared" si="74"/>
        <v>2.7949999999999999</v>
      </c>
      <c r="EF122" s="77">
        <f t="shared" si="72"/>
        <v>2.8039999999999998</v>
      </c>
      <c r="EG122" s="77">
        <f t="shared" si="72"/>
        <v>2.8140000000000001</v>
      </c>
    </row>
    <row r="123" spans="1:137" ht="12.6" customHeight="1">
      <c r="A123" s="73">
        <v>121</v>
      </c>
      <c r="B123" s="74">
        <v>2.4459999999999997</v>
      </c>
      <c r="C123" s="74">
        <v>2.4630000000000001</v>
      </c>
      <c r="D123" s="74">
        <v>2.48</v>
      </c>
      <c r="E123" s="74">
        <v>2.4969999999999999</v>
      </c>
      <c r="F123" s="74">
        <v>2.5139999999999998</v>
      </c>
      <c r="G123" s="74">
        <v>2.5299999999999998</v>
      </c>
      <c r="H123" s="74">
        <v>2.5449999999999999</v>
      </c>
      <c r="I123" s="74">
        <v>2.5589999999999997</v>
      </c>
      <c r="J123" s="74">
        <v>2.573</v>
      </c>
      <c r="K123" s="74">
        <v>2.5869999999999997</v>
      </c>
      <c r="L123" s="74">
        <v>2.6</v>
      </c>
      <c r="M123" s="74">
        <v>2.613</v>
      </c>
      <c r="N123" s="74">
        <v>2.6259999999999999</v>
      </c>
      <c r="O123" s="74">
        <v>2.64</v>
      </c>
      <c r="P123" s="74">
        <v>2.6549999999999998</v>
      </c>
      <c r="Q123" s="74">
        <v>2.669</v>
      </c>
      <c r="R123" s="74">
        <v>2.6829999999999998</v>
      </c>
      <c r="S123" s="74">
        <v>2.6959999999999997</v>
      </c>
      <c r="T123" s="74">
        <v>2.7090000000000001</v>
      </c>
      <c r="U123" s="74">
        <v>2.722</v>
      </c>
      <c r="V123" s="74">
        <v>2.734</v>
      </c>
      <c r="W123" s="74">
        <v>2.746</v>
      </c>
      <c r="X123" s="74">
        <v>2.758</v>
      </c>
      <c r="Y123" s="74">
        <v>2.7690000000000001</v>
      </c>
      <c r="Z123" s="74">
        <v>2.78</v>
      </c>
      <c r="AA123" s="74">
        <v>2.79</v>
      </c>
      <c r="AB123" s="74">
        <v>2.8</v>
      </c>
      <c r="AC123" s="74">
        <v>2.81</v>
      </c>
      <c r="AD123" s="75">
        <v>2.819</v>
      </c>
      <c r="AE123" s="76"/>
      <c r="AF123" s="76"/>
      <c r="AG123" s="76"/>
      <c r="AH123" s="76"/>
      <c r="AI123" s="76"/>
      <c r="AJ123" s="76"/>
      <c r="AK123" s="76"/>
      <c r="AL123" s="76"/>
      <c r="AM123" s="76"/>
      <c r="AN123" s="76"/>
      <c r="AO123" s="76"/>
      <c r="AP123" s="76"/>
      <c r="AQ123" s="76"/>
      <c r="AR123" s="76"/>
      <c r="AS123" s="76"/>
      <c r="BZ123" s="63" t="str">
        <f t="shared" si="40"/>
        <v>4121</v>
      </c>
      <c r="CA123" s="63" t="str">
        <f t="shared" si="39"/>
        <v>5121</v>
      </c>
      <c r="CB123" s="63" t="str">
        <f t="shared" si="41"/>
        <v>6121</v>
      </c>
      <c r="CC123" s="63" t="str">
        <f t="shared" si="42"/>
        <v>7121</v>
      </c>
      <c r="CD123" s="63" t="str">
        <f t="shared" si="43"/>
        <v>8121</v>
      </c>
      <c r="CE123" s="63" t="str">
        <f t="shared" si="44"/>
        <v>9121</v>
      </c>
      <c r="CF123" s="63" t="str">
        <f t="shared" si="45"/>
        <v>10121</v>
      </c>
      <c r="CG123" s="63" t="str">
        <f t="shared" si="46"/>
        <v>11121</v>
      </c>
      <c r="CH123" s="63" t="str">
        <f t="shared" si="47"/>
        <v>12121</v>
      </c>
      <c r="CI123" s="63" t="str">
        <f t="shared" si="48"/>
        <v>13121</v>
      </c>
      <c r="CJ123" s="63" t="str">
        <f t="shared" si="49"/>
        <v>14121</v>
      </c>
      <c r="CK123" s="63" t="str">
        <f t="shared" si="50"/>
        <v>15121</v>
      </c>
      <c r="CL123" s="63" t="str">
        <f t="shared" si="51"/>
        <v>16121</v>
      </c>
      <c r="CM123" s="63" t="str">
        <f t="shared" si="52"/>
        <v>17121</v>
      </c>
      <c r="CN123" s="63" t="str">
        <f t="shared" si="53"/>
        <v>18121</v>
      </c>
      <c r="CO123" s="63" t="str">
        <f t="shared" si="54"/>
        <v>19121</v>
      </c>
      <c r="CP123" s="63" t="str">
        <f t="shared" si="55"/>
        <v>20121</v>
      </c>
      <c r="CQ123" s="63" t="str">
        <f t="shared" si="56"/>
        <v>21121</v>
      </c>
      <c r="CR123" s="63" t="str">
        <f t="shared" si="57"/>
        <v>22121</v>
      </c>
      <c r="CS123" s="63" t="str">
        <f t="shared" si="58"/>
        <v>23121</v>
      </c>
      <c r="CT123" s="63" t="str">
        <f t="shared" si="59"/>
        <v>24121</v>
      </c>
      <c r="CU123" s="63" t="str">
        <f t="shared" si="60"/>
        <v>25121</v>
      </c>
      <c r="CV123" s="63" t="str">
        <f t="shared" si="61"/>
        <v>26121</v>
      </c>
      <c r="CW123" s="63" t="str">
        <f t="shared" si="62"/>
        <v>27121</v>
      </c>
      <c r="CX123" s="63" t="str">
        <f t="shared" si="63"/>
        <v>28121</v>
      </c>
      <c r="CY123" s="63" t="str">
        <f t="shared" si="64"/>
        <v>29121</v>
      </c>
      <c r="CZ123" s="63" t="str">
        <f t="shared" si="65"/>
        <v>30121</v>
      </c>
      <c r="DA123" s="63" t="str">
        <f t="shared" si="66"/>
        <v>31121</v>
      </c>
      <c r="DB123" s="63" t="str">
        <f t="shared" si="67"/>
        <v>32121</v>
      </c>
      <c r="DD123" s="72" t="s">
        <v>251</v>
      </c>
      <c r="DE123" s="77">
        <f t="shared" si="75"/>
        <v>2.4460000000000002</v>
      </c>
      <c r="DF123" s="77">
        <f t="shared" si="75"/>
        <v>2.4630000000000001</v>
      </c>
      <c r="DG123" s="77">
        <f t="shared" si="75"/>
        <v>2.48</v>
      </c>
      <c r="DH123" s="77">
        <f t="shared" si="75"/>
        <v>2.4969999999999999</v>
      </c>
      <c r="DI123" s="77">
        <f t="shared" si="75"/>
        <v>2.5139999999999998</v>
      </c>
      <c r="DJ123" s="77">
        <f t="shared" si="75"/>
        <v>2.5299999999999998</v>
      </c>
      <c r="DK123" s="77">
        <f t="shared" si="75"/>
        <v>2.5449999999999999</v>
      </c>
      <c r="DL123" s="77">
        <f t="shared" si="75"/>
        <v>2.5590000000000002</v>
      </c>
      <c r="DM123" s="77">
        <f t="shared" si="75"/>
        <v>2.573</v>
      </c>
      <c r="DN123" s="77">
        <f t="shared" si="75"/>
        <v>2.5870000000000002</v>
      </c>
      <c r="DO123" s="77">
        <f t="shared" si="75"/>
        <v>2.6</v>
      </c>
      <c r="DP123" s="77">
        <f t="shared" si="75"/>
        <v>2.613</v>
      </c>
      <c r="DQ123" s="77">
        <f t="shared" si="75"/>
        <v>2.6259999999999999</v>
      </c>
      <c r="DR123" s="77">
        <f t="shared" si="75"/>
        <v>2.64</v>
      </c>
      <c r="DS123" s="77">
        <f t="shared" si="75"/>
        <v>2.6549999999999998</v>
      </c>
      <c r="DT123" s="77">
        <f t="shared" si="70"/>
        <v>2.669</v>
      </c>
      <c r="DU123" s="77">
        <f t="shared" si="69"/>
        <v>2.6829999999999998</v>
      </c>
      <c r="DV123" s="77">
        <f t="shared" si="69"/>
        <v>2.6960000000000002</v>
      </c>
      <c r="DW123" s="77">
        <f t="shared" si="69"/>
        <v>2.7090000000000001</v>
      </c>
      <c r="DX123" s="77">
        <f t="shared" si="69"/>
        <v>2.722</v>
      </c>
      <c r="DY123" s="77">
        <f t="shared" si="69"/>
        <v>2.734</v>
      </c>
      <c r="DZ123" s="77">
        <f t="shared" si="69"/>
        <v>2.746</v>
      </c>
      <c r="EA123" s="77">
        <f t="shared" si="74"/>
        <v>2.758</v>
      </c>
      <c r="EB123" s="77">
        <f t="shared" si="74"/>
        <v>2.7690000000000001</v>
      </c>
      <c r="EC123" s="77">
        <f t="shared" si="74"/>
        <v>2.78</v>
      </c>
      <c r="ED123" s="77">
        <f t="shared" si="74"/>
        <v>2.79</v>
      </c>
      <c r="EE123" s="77">
        <f t="shared" si="74"/>
        <v>2.8</v>
      </c>
      <c r="EF123" s="77">
        <f t="shared" si="72"/>
        <v>2.81</v>
      </c>
      <c r="EG123" s="77">
        <f t="shared" si="72"/>
        <v>2.819</v>
      </c>
    </row>
    <row r="124" spans="1:137" ht="12.6" customHeight="1">
      <c r="A124" s="73">
        <v>122</v>
      </c>
      <c r="B124" s="74">
        <v>2.4529999999999998</v>
      </c>
      <c r="C124" s="74">
        <v>2.4699999999999998</v>
      </c>
      <c r="D124" s="74">
        <v>2.4870000000000001</v>
      </c>
      <c r="E124" s="74">
        <v>2.504</v>
      </c>
      <c r="F124" s="74">
        <v>2.5209999999999999</v>
      </c>
      <c r="G124" s="74">
        <v>2.536</v>
      </c>
      <c r="H124" s="74">
        <v>2.552</v>
      </c>
      <c r="I124" s="74">
        <v>2.5659999999999998</v>
      </c>
      <c r="J124" s="74">
        <v>2.58</v>
      </c>
      <c r="K124" s="74">
        <v>2.593</v>
      </c>
      <c r="L124" s="74">
        <v>2.6059999999999999</v>
      </c>
      <c r="M124" s="74">
        <v>2.6189999999999998</v>
      </c>
      <c r="N124" s="74">
        <v>2.6320000000000001</v>
      </c>
      <c r="O124" s="74">
        <v>2.6459999999999999</v>
      </c>
      <c r="P124" s="74">
        <v>2.661</v>
      </c>
      <c r="Q124" s="74">
        <v>2.6749999999999998</v>
      </c>
      <c r="R124" s="74">
        <v>2.6890000000000001</v>
      </c>
      <c r="S124" s="74">
        <v>2.702</v>
      </c>
      <c r="T124" s="74">
        <v>2.7149999999999999</v>
      </c>
      <c r="U124" s="74">
        <v>2.7279999999999998</v>
      </c>
      <c r="V124" s="74">
        <v>2.7399999999999998</v>
      </c>
      <c r="W124" s="74">
        <v>2.7519999999999998</v>
      </c>
      <c r="X124" s="74">
        <v>2.7639999999999998</v>
      </c>
      <c r="Y124" s="74">
        <v>2.7749999999999999</v>
      </c>
      <c r="Z124" s="74">
        <v>2.7849999999999997</v>
      </c>
      <c r="AA124" s="74">
        <v>2.7959999999999998</v>
      </c>
      <c r="AB124" s="74">
        <v>2.806</v>
      </c>
      <c r="AC124" s="74">
        <v>2.8149999999999999</v>
      </c>
      <c r="AD124" s="75">
        <v>2.8249999999999997</v>
      </c>
      <c r="AE124" s="76"/>
      <c r="AF124" s="76"/>
      <c r="AG124" s="76"/>
      <c r="AH124" s="76"/>
      <c r="AI124" s="76"/>
      <c r="AJ124" s="76"/>
      <c r="AK124" s="76"/>
      <c r="AL124" s="76"/>
      <c r="AM124" s="76"/>
      <c r="AN124" s="76"/>
      <c r="AO124" s="76"/>
      <c r="AP124" s="76"/>
      <c r="AQ124" s="76"/>
      <c r="AR124" s="76"/>
      <c r="AS124" s="76"/>
      <c r="BZ124" s="63" t="str">
        <f t="shared" si="40"/>
        <v>4122</v>
      </c>
      <c r="CA124" s="63" t="str">
        <f t="shared" si="39"/>
        <v>5122</v>
      </c>
      <c r="CB124" s="63" t="str">
        <f t="shared" si="41"/>
        <v>6122</v>
      </c>
      <c r="CC124" s="63" t="str">
        <f t="shared" si="42"/>
        <v>7122</v>
      </c>
      <c r="CD124" s="63" t="str">
        <f t="shared" si="43"/>
        <v>8122</v>
      </c>
      <c r="CE124" s="63" t="str">
        <f t="shared" si="44"/>
        <v>9122</v>
      </c>
      <c r="CF124" s="63" t="str">
        <f t="shared" si="45"/>
        <v>10122</v>
      </c>
      <c r="CG124" s="63" t="str">
        <f t="shared" si="46"/>
        <v>11122</v>
      </c>
      <c r="CH124" s="63" t="str">
        <f t="shared" si="47"/>
        <v>12122</v>
      </c>
      <c r="CI124" s="63" t="str">
        <f t="shared" si="48"/>
        <v>13122</v>
      </c>
      <c r="CJ124" s="63" t="str">
        <f t="shared" si="49"/>
        <v>14122</v>
      </c>
      <c r="CK124" s="63" t="str">
        <f t="shared" si="50"/>
        <v>15122</v>
      </c>
      <c r="CL124" s="63" t="str">
        <f t="shared" si="51"/>
        <v>16122</v>
      </c>
      <c r="CM124" s="63" t="str">
        <f t="shared" si="52"/>
        <v>17122</v>
      </c>
      <c r="CN124" s="63" t="str">
        <f t="shared" si="53"/>
        <v>18122</v>
      </c>
      <c r="CO124" s="63" t="str">
        <f t="shared" si="54"/>
        <v>19122</v>
      </c>
      <c r="CP124" s="63" t="str">
        <f t="shared" si="55"/>
        <v>20122</v>
      </c>
      <c r="CQ124" s="63" t="str">
        <f t="shared" si="56"/>
        <v>21122</v>
      </c>
      <c r="CR124" s="63" t="str">
        <f t="shared" si="57"/>
        <v>22122</v>
      </c>
      <c r="CS124" s="63" t="str">
        <f t="shared" si="58"/>
        <v>23122</v>
      </c>
      <c r="CT124" s="63" t="str">
        <f t="shared" si="59"/>
        <v>24122</v>
      </c>
      <c r="CU124" s="63" t="str">
        <f t="shared" si="60"/>
        <v>25122</v>
      </c>
      <c r="CV124" s="63" t="str">
        <f t="shared" si="61"/>
        <v>26122</v>
      </c>
      <c r="CW124" s="63" t="str">
        <f t="shared" si="62"/>
        <v>27122</v>
      </c>
      <c r="CX124" s="63" t="str">
        <f t="shared" si="63"/>
        <v>28122</v>
      </c>
      <c r="CY124" s="63" t="str">
        <f t="shared" si="64"/>
        <v>29122</v>
      </c>
      <c r="CZ124" s="63" t="str">
        <f t="shared" si="65"/>
        <v>30122</v>
      </c>
      <c r="DA124" s="63" t="str">
        <f t="shared" si="66"/>
        <v>31122</v>
      </c>
      <c r="DB124" s="63" t="str">
        <f t="shared" si="67"/>
        <v>32122</v>
      </c>
      <c r="DD124" s="72" t="s">
        <v>252</v>
      </c>
      <c r="DE124" s="77">
        <f t="shared" si="75"/>
        <v>2.4529999999999998</v>
      </c>
      <c r="DF124" s="77">
        <f t="shared" si="75"/>
        <v>2.4700000000000002</v>
      </c>
      <c r="DG124" s="77">
        <f t="shared" si="75"/>
        <v>2.4870000000000001</v>
      </c>
      <c r="DH124" s="77">
        <f t="shared" si="75"/>
        <v>2.504</v>
      </c>
      <c r="DI124" s="77">
        <f t="shared" si="75"/>
        <v>2.5209999999999999</v>
      </c>
      <c r="DJ124" s="77">
        <f t="shared" si="75"/>
        <v>2.536</v>
      </c>
      <c r="DK124" s="77">
        <f t="shared" si="75"/>
        <v>2.552</v>
      </c>
      <c r="DL124" s="77">
        <f t="shared" si="75"/>
        <v>2.5659999999999998</v>
      </c>
      <c r="DM124" s="77">
        <f t="shared" si="75"/>
        <v>2.58</v>
      </c>
      <c r="DN124" s="77">
        <f t="shared" si="75"/>
        <v>2.593</v>
      </c>
      <c r="DO124" s="77">
        <f t="shared" si="75"/>
        <v>2.6059999999999999</v>
      </c>
      <c r="DP124" s="77">
        <f t="shared" si="75"/>
        <v>2.6190000000000002</v>
      </c>
      <c r="DQ124" s="77">
        <f t="shared" si="75"/>
        <v>2.6320000000000001</v>
      </c>
      <c r="DR124" s="77">
        <f t="shared" si="75"/>
        <v>2.6459999999999999</v>
      </c>
      <c r="DS124" s="77">
        <f t="shared" si="75"/>
        <v>2.661</v>
      </c>
      <c r="DT124" s="77">
        <f t="shared" si="70"/>
        <v>2.6749999999999998</v>
      </c>
      <c r="DU124" s="77">
        <f t="shared" si="69"/>
        <v>2.6890000000000001</v>
      </c>
      <c r="DV124" s="77">
        <f t="shared" si="69"/>
        <v>2.702</v>
      </c>
      <c r="DW124" s="77">
        <f t="shared" si="69"/>
        <v>2.7149999999999999</v>
      </c>
      <c r="DX124" s="77">
        <f t="shared" si="69"/>
        <v>2.7280000000000002</v>
      </c>
      <c r="DY124" s="77">
        <f t="shared" si="69"/>
        <v>2.74</v>
      </c>
      <c r="DZ124" s="77">
        <f t="shared" si="69"/>
        <v>2.7519999999999998</v>
      </c>
      <c r="EA124" s="77">
        <f t="shared" si="74"/>
        <v>2.7639999999999998</v>
      </c>
      <c r="EB124" s="77">
        <f t="shared" si="74"/>
        <v>2.7749999999999999</v>
      </c>
      <c r="EC124" s="77">
        <f t="shared" si="74"/>
        <v>2.7850000000000001</v>
      </c>
      <c r="ED124" s="77">
        <f t="shared" si="74"/>
        <v>2.7959999999999998</v>
      </c>
      <c r="EE124" s="77">
        <f t="shared" si="74"/>
        <v>2.806</v>
      </c>
      <c r="EF124" s="77">
        <f t="shared" si="72"/>
        <v>2.8149999999999999</v>
      </c>
      <c r="EG124" s="77">
        <f t="shared" si="72"/>
        <v>2.8250000000000002</v>
      </c>
    </row>
    <row r="125" spans="1:137" ht="12.6" customHeight="1">
      <c r="A125" s="73">
        <v>123</v>
      </c>
      <c r="B125" s="74">
        <v>2.46</v>
      </c>
      <c r="C125" s="74">
        <v>2.4769999999999999</v>
      </c>
      <c r="D125" s="74">
        <v>2.4939999999999998</v>
      </c>
      <c r="E125" s="74">
        <v>2.5110000000000001</v>
      </c>
      <c r="F125" s="74">
        <v>2.528</v>
      </c>
      <c r="G125" s="74">
        <v>2.5429999999999997</v>
      </c>
      <c r="H125" s="74">
        <v>2.5579999999999998</v>
      </c>
      <c r="I125" s="74">
        <v>2.573</v>
      </c>
      <c r="J125" s="74">
        <v>2.5869999999999997</v>
      </c>
      <c r="K125" s="86">
        <v>2.6</v>
      </c>
      <c r="L125" s="74">
        <v>2.613</v>
      </c>
      <c r="M125" s="74">
        <v>2.625</v>
      </c>
      <c r="N125" s="74">
        <v>2.6389999999999998</v>
      </c>
      <c r="O125" s="74">
        <v>2.653</v>
      </c>
      <c r="P125" s="74">
        <v>2.6669999999999998</v>
      </c>
      <c r="Q125" s="74">
        <v>2.681</v>
      </c>
      <c r="R125" s="74">
        <v>2.6949999999999998</v>
      </c>
      <c r="S125" s="74">
        <v>2.7079999999999997</v>
      </c>
      <c r="T125" s="74">
        <v>2.7210000000000001</v>
      </c>
      <c r="U125" s="74">
        <v>2.734</v>
      </c>
      <c r="V125" s="74">
        <v>2.746</v>
      </c>
      <c r="W125" s="74">
        <v>2.758</v>
      </c>
      <c r="X125" s="74">
        <v>2.7690000000000001</v>
      </c>
      <c r="Y125" s="74">
        <v>2.78</v>
      </c>
      <c r="Z125" s="74">
        <v>2.7909999999999999</v>
      </c>
      <c r="AA125" s="74">
        <v>2.8009999999999997</v>
      </c>
      <c r="AB125" s="74">
        <v>2.8109999999999999</v>
      </c>
      <c r="AC125" s="74">
        <v>2.8209999999999997</v>
      </c>
      <c r="AD125" s="75">
        <v>2.83</v>
      </c>
      <c r="AE125" s="76"/>
      <c r="AF125" s="76"/>
      <c r="AG125" s="76"/>
      <c r="AH125" s="76"/>
      <c r="AI125" s="76"/>
      <c r="AJ125" s="76"/>
      <c r="AK125" s="76"/>
      <c r="AL125" s="76"/>
      <c r="AM125" s="76"/>
      <c r="AN125" s="76"/>
      <c r="AO125" s="76"/>
      <c r="AP125" s="76"/>
      <c r="AQ125" s="76"/>
      <c r="AR125" s="76"/>
      <c r="AS125" s="76"/>
      <c r="BZ125" s="63" t="str">
        <f t="shared" si="40"/>
        <v>4123</v>
      </c>
      <c r="CA125" s="63" t="str">
        <f t="shared" si="39"/>
        <v>5123</v>
      </c>
      <c r="CB125" s="63" t="str">
        <f t="shared" si="41"/>
        <v>6123</v>
      </c>
      <c r="CC125" s="63" t="str">
        <f t="shared" si="42"/>
        <v>7123</v>
      </c>
      <c r="CD125" s="63" t="str">
        <f t="shared" si="43"/>
        <v>8123</v>
      </c>
      <c r="CE125" s="63" t="str">
        <f t="shared" si="44"/>
        <v>9123</v>
      </c>
      <c r="CF125" s="63" t="str">
        <f t="shared" si="45"/>
        <v>10123</v>
      </c>
      <c r="CG125" s="63" t="str">
        <f t="shared" si="46"/>
        <v>11123</v>
      </c>
      <c r="CH125" s="63" t="str">
        <f t="shared" si="47"/>
        <v>12123</v>
      </c>
      <c r="CI125" s="63" t="str">
        <f t="shared" si="48"/>
        <v>13123</v>
      </c>
      <c r="CJ125" s="63" t="str">
        <f t="shared" si="49"/>
        <v>14123</v>
      </c>
      <c r="CK125" s="63" t="str">
        <f t="shared" si="50"/>
        <v>15123</v>
      </c>
      <c r="CL125" s="63" t="str">
        <f t="shared" si="51"/>
        <v>16123</v>
      </c>
      <c r="CM125" s="63" t="str">
        <f t="shared" si="52"/>
        <v>17123</v>
      </c>
      <c r="CN125" s="63" t="str">
        <f t="shared" si="53"/>
        <v>18123</v>
      </c>
      <c r="CO125" s="63" t="str">
        <f t="shared" si="54"/>
        <v>19123</v>
      </c>
      <c r="CP125" s="63" t="str">
        <f t="shared" si="55"/>
        <v>20123</v>
      </c>
      <c r="CQ125" s="63" t="str">
        <f t="shared" si="56"/>
        <v>21123</v>
      </c>
      <c r="CR125" s="63" t="str">
        <f t="shared" si="57"/>
        <v>22123</v>
      </c>
      <c r="CS125" s="63" t="str">
        <f t="shared" si="58"/>
        <v>23123</v>
      </c>
      <c r="CT125" s="63" t="str">
        <f t="shared" si="59"/>
        <v>24123</v>
      </c>
      <c r="CU125" s="63" t="str">
        <f t="shared" si="60"/>
        <v>25123</v>
      </c>
      <c r="CV125" s="63" t="str">
        <f t="shared" si="61"/>
        <v>26123</v>
      </c>
      <c r="CW125" s="63" t="str">
        <f t="shared" si="62"/>
        <v>27123</v>
      </c>
      <c r="CX125" s="63" t="str">
        <f t="shared" si="63"/>
        <v>28123</v>
      </c>
      <c r="CY125" s="63" t="str">
        <f t="shared" si="64"/>
        <v>29123</v>
      </c>
      <c r="CZ125" s="63" t="str">
        <f t="shared" si="65"/>
        <v>30123</v>
      </c>
      <c r="DA125" s="63" t="str">
        <f t="shared" si="66"/>
        <v>31123</v>
      </c>
      <c r="DB125" s="63" t="str">
        <f t="shared" si="67"/>
        <v>32123</v>
      </c>
      <c r="DD125" s="72" t="s">
        <v>253</v>
      </c>
      <c r="DE125" s="77">
        <f t="shared" si="75"/>
        <v>2.46</v>
      </c>
      <c r="DF125" s="77">
        <f t="shared" si="75"/>
        <v>2.4769999999999999</v>
      </c>
      <c r="DG125" s="77">
        <f t="shared" si="75"/>
        <v>2.4940000000000002</v>
      </c>
      <c r="DH125" s="77">
        <f t="shared" si="75"/>
        <v>2.5110000000000001</v>
      </c>
      <c r="DI125" s="77">
        <f t="shared" si="75"/>
        <v>2.528</v>
      </c>
      <c r="DJ125" s="77">
        <f t="shared" si="75"/>
        <v>2.5430000000000001</v>
      </c>
      <c r="DK125" s="77">
        <f t="shared" si="75"/>
        <v>2.5579999999999998</v>
      </c>
      <c r="DL125" s="77">
        <f t="shared" si="75"/>
        <v>2.573</v>
      </c>
      <c r="DM125" s="77">
        <f t="shared" si="75"/>
        <v>2.5870000000000002</v>
      </c>
      <c r="DN125" s="77">
        <f t="shared" si="75"/>
        <v>2.6</v>
      </c>
      <c r="DO125" s="77">
        <f t="shared" si="75"/>
        <v>2.613</v>
      </c>
      <c r="DP125" s="77">
        <f t="shared" si="75"/>
        <v>2.625</v>
      </c>
      <c r="DQ125" s="77">
        <f t="shared" si="75"/>
        <v>2.6389999999999998</v>
      </c>
      <c r="DR125" s="77">
        <f t="shared" si="75"/>
        <v>2.653</v>
      </c>
      <c r="DS125" s="77">
        <f t="shared" si="75"/>
        <v>2.6669999999999998</v>
      </c>
      <c r="DT125" s="77">
        <f t="shared" si="70"/>
        <v>2.681</v>
      </c>
      <c r="DU125" s="77">
        <f t="shared" si="69"/>
        <v>2.6949999999999998</v>
      </c>
      <c r="DV125" s="77">
        <f t="shared" si="69"/>
        <v>2.7080000000000002</v>
      </c>
      <c r="DW125" s="77">
        <f t="shared" si="69"/>
        <v>2.7210000000000001</v>
      </c>
      <c r="DX125" s="77">
        <f t="shared" si="69"/>
        <v>2.734</v>
      </c>
      <c r="DY125" s="77">
        <f t="shared" si="69"/>
        <v>2.746</v>
      </c>
      <c r="DZ125" s="77">
        <f t="shared" si="69"/>
        <v>2.758</v>
      </c>
      <c r="EA125" s="77">
        <f t="shared" si="74"/>
        <v>2.7690000000000001</v>
      </c>
      <c r="EB125" s="77">
        <f t="shared" si="74"/>
        <v>2.78</v>
      </c>
      <c r="EC125" s="77">
        <f t="shared" si="74"/>
        <v>2.7909999999999999</v>
      </c>
      <c r="ED125" s="77">
        <f t="shared" si="74"/>
        <v>2.8010000000000002</v>
      </c>
      <c r="EE125" s="77">
        <f t="shared" si="74"/>
        <v>2.8109999999999999</v>
      </c>
      <c r="EF125" s="77">
        <f t="shared" si="72"/>
        <v>2.8210000000000002</v>
      </c>
      <c r="EG125" s="77">
        <f t="shared" si="72"/>
        <v>2.83</v>
      </c>
    </row>
    <row r="126" spans="1:137" ht="12.6" customHeight="1">
      <c r="A126" s="73">
        <v>124</v>
      </c>
      <c r="B126" s="74">
        <v>2.468</v>
      </c>
      <c r="C126" s="74">
        <v>2.4849999999999999</v>
      </c>
      <c r="D126" s="74">
        <v>2.5009999999999999</v>
      </c>
      <c r="E126" s="74">
        <v>2.5179999999999998</v>
      </c>
      <c r="F126" s="74">
        <v>2.5339999999999998</v>
      </c>
      <c r="G126" s="74">
        <v>2.5499999999999998</v>
      </c>
      <c r="H126" s="74">
        <v>2.5649999999999999</v>
      </c>
      <c r="I126" s="74">
        <v>2.5789999999999997</v>
      </c>
      <c r="J126" s="74">
        <v>2.593</v>
      </c>
      <c r="K126" s="74">
        <v>2.6059999999999999</v>
      </c>
      <c r="L126" s="74">
        <v>2.6190000000000002</v>
      </c>
      <c r="M126" s="74">
        <v>2.6320000000000001</v>
      </c>
      <c r="N126" s="74">
        <v>2.645</v>
      </c>
      <c r="O126" s="74">
        <v>2.6589999999999998</v>
      </c>
      <c r="P126" s="74">
        <v>2.673</v>
      </c>
      <c r="Q126" s="74">
        <v>2.6869999999999998</v>
      </c>
      <c r="R126" s="74">
        <v>2.7010000000000001</v>
      </c>
      <c r="S126" s="74">
        <v>2.714</v>
      </c>
      <c r="T126" s="74">
        <v>2.7269999999999999</v>
      </c>
      <c r="U126" s="74">
        <v>2.7389999999999999</v>
      </c>
      <c r="V126" s="74">
        <v>2.7519999999999998</v>
      </c>
      <c r="W126" s="74">
        <v>2.7629999999999999</v>
      </c>
      <c r="X126" s="74">
        <v>2.7749999999999999</v>
      </c>
      <c r="Y126" s="74">
        <v>2.786</v>
      </c>
      <c r="Z126" s="74">
        <v>2.7959999999999998</v>
      </c>
      <c r="AA126" s="74">
        <v>2.8069999999999999</v>
      </c>
      <c r="AB126" s="74">
        <v>2.8159999999999998</v>
      </c>
      <c r="AC126" s="74">
        <v>2.8260000000000001</v>
      </c>
      <c r="AD126" s="75">
        <v>2.835</v>
      </c>
      <c r="AE126" s="76"/>
      <c r="AF126" s="76"/>
      <c r="AG126" s="76"/>
      <c r="AH126" s="76"/>
      <c r="AI126" s="76"/>
      <c r="AJ126" s="76"/>
      <c r="AK126" s="76"/>
      <c r="AL126" s="76"/>
      <c r="AM126" s="76"/>
      <c r="AN126" s="76"/>
      <c r="AO126" s="76"/>
      <c r="AP126" s="76"/>
      <c r="AQ126" s="76"/>
      <c r="AR126" s="76"/>
      <c r="AS126" s="76"/>
      <c r="BZ126" s="63" t="str">
        <f t="shared" si="40"/>
        <v>4124</v>
      </c>
      <c r="CA126" s="63" t="str">
        <f t="shared" si="39"/>
        <v>5124</v>
      </c>
      <c r="CB126" s="63" t="str">
        <f t="shared" si="41"/>
        <v>6124</v>
      </c>
      <c r="CC126" s="63" t="str">
        <f t="shared" si="42"/>
        <v>7124</v>
      </c>
      <c r="CD126" s="63" t="str">
        <f t="shared" si="43"/>
        <v>8124</v>
      </c>
      <c r="CE126" s="63" t="str">
        <f t="shared" si="44"/>
        <v>9124</v>
      </c>
      <c r="CF126" s="63" t="str">
        <f t="shared" si="45"/>
        <v>10124</v>
      </c>
      <c r="CG126" s="63" t="str">
        <f t="shared" si="46"/>
        <v>11124</v>
      </c>
      <c r="CH126" s="63" t="str">
        <f t="shared" si="47"/>
        <v>12124</v>
      </c>
      <c r="CI126" s="63" t="str">
        <f t="shared" si="48"/>
        <v>13124</v>
      </c>
      <c r="CJ126" s="63" t="str">
        <f t="shared" si="49"/>
        <v>14124</v>
      </c>
      <c r="CK126" s="63" t="str">
        <f t="shared" si="50"/>
        <v>15124</v>
      </c>
      <c r="CL126" s="63" t="str">
        <f t="shared" si="51"/>
        <v>16124</v>
      </c>
      <c r="CM126" s="63" t="str">
        <f t="shared" si="52"/>
        <v>17124</v>
      </c>
      <c r="CN126" s="63" t="str">
        <f t="shared" si="53"/>
        <v>18124</v>
      </c>
      <c r="CO126" s="63" t="str">
        <f t="shared" si="54"/>
        <v>19124</v>
      </c>
      <c r="CP126" s="63" t="str">
        <f t="shared" si="55"/>
        <v>20124</v>
      </c>
      <c r="CQ126" s="63" t="str">
        <f t="shared" si="56"/>
        <v>21124</v>
      </c>
      <c r="CR126" s="63" t="str">
        <f t="shared" si="57"/>
        <v>22124</v>
      </c>
      <c r="CS126" s="63" t="str">
        <f t="shared" si="58"/>
        <v>23124</v>
      </c>
      <c r="CT126" s="63" t="str">
        <f t="shared" si="59"/>
        <v>24124</v>
      </c>
      <c r="CU126" s="63" t="str">
        <f t="shared" si="60"/>
        <v>25124</v>
      </c>
      <c r="CV126" s="63" t="str">
        <f t="shared" si="61"/>
        <v>26124</v>
      </c>
      <c r="CW126" s="63" t="str">
        <f t="shared" si="62"/>
        <v>27124</v>
      </c>
      <c r="CX126" s="63" t="str">
        <f t="shared" si="63"/>
        <v>28124</v>
      </c>
      <c r="CY126" s="63" t="str">
        <f t="shared" si="64"/>
        <v>29124</v>
      </c>
      <c r="CZ126" s="63" t="str">
        <f t="shared" si="65"/>
        <v>30124</v>
      </c>
      <c r="DA126" s="63" t="str">
        <f t="shared" si="66"/>
        <v>31124</v>
      </c>
      <c r="DB126" s="63" t="str">
        <f t="shared" si="67"/>
        <v>32124</v>
      </c>
      <c r="DD126" s="72" t="s">
        <v>254</v>
      </c>
      <c r="DE126" s="77">
        <f t="shared" si="75"/>
        <v>2.468</v>
      </c>
      <c r="DF126" s="77">
        <f t="shared" si="75"/>
        <v>2.4849999999999999</v>
      </c>
      <c r="DG126" s="77">
        <f t="shared" si="75"/>
        <v>2.5009999999999999</v>
      </c>
      <c r="DH126" s="77">
        <f t="shared" si="75"/>
        <v>2.5179999999999998</v>
      </c>
      <c r="DI126" s="77">
        <f t="shared" si="75"/>
        <v>2.5339999999999998</v>
      </c>
      <c r="DJ126" s="77">
        <f t="shared" si="75"/>
        <v>2.5499999999999998</v>
      </c>
      <c r="DK126" s="77">
        <f t="shared" si="75"/>
        <v>2.5649999999999999</v>
      </c>
      <c r="DL126" s="77">
        <f t="shared" si="75"/>
        <v>2.5790000000000002</v>
      </c>
      <c r="DM126" s="77">
        <f t="shared" si="75"/>
        <v>2.593</v>
      </c>
      <c r="DN126" s="77">
        <f t="shared" si="75"/>
        <v>2.6059999999999999</v>
      </c>
      <c r="DO126" s="77">
        <f t="shared" si="75"/>
        <v>2.6190000000000002</v>
      </c>
      <c r="DP126" s="77">
        <f t="shared" si="75"/>
        <v>2.6320000000000001</v>
      </c>
      <c r="DQ126" s="77">
        <f t="shared" si="75"/>
        <v>2.645</v>
      </c>
      <c r="DR126" s="77">
        <f t="shared" si="75"/>
        <v>2.6589999999999998</v>
      </c>
      <c r="DS126" s="77">
        <f t="shared" si="75"/>
        <v>2.673</v>
      </c>
      <c r="DT126" s="77">
        <f t="shared" si="70"/>
        <v>2.6869999999999998</v>
      </c>
      <c r="DU126" s="77">
        <f t="shared" si="69"/>
        <v>2.7010000000000001</v>
      </c>
      <c r="DV126" s="77">
        <f t="shared" si="69"/>
        <v>2.714</v>
      </c>
      <c r="DW126" s="77">
        <f t="shared" si="69"/>
        <v>2.7269999999999999</v>
      </c>
      <c r="DX126" s="77">
        <f t="shared" si="69"/>
        <v>2.7389999999999999</v>
      </c>
      <c r="DY126" s="77">
        <f t="shared" si="69"/>
        <v>2.7519999999999998</v>
      </c>
      <c r="DZ126" s="77">
        <f t="shared" si="69"/>
        <v>2.7629999999999999</v>
      </c>
      <c r="EA126" s="77">
        <f t="shared" si="74"/>
        <v>2.7749999999999999</v>
      </c>
      <c r="EB126" s="77">
        <f t="shared" si="74"/>
        <v>2.786</v>
      </c>
      <c r="EC126" s="77">
        <f t="shared" si="74"/>
        <v>2.7959999999999998</v>
      </c>
      <c r="ED126" s="77">
        <f t="shared" si="74"/>
        <v>2.8069999999999999</v>
      </c>
      <c r="EE126" s="77">
        <f t="shared" si="74"/>
        <v>2.8159999999999998</v>
      </c>
      <c r="EF126" s="77">
        <f t="shared" si="72"/>
        <v>2.8260000000000001</v>
      </c>
      <c r="EG126" s="77">
        <f t="shared" si="72"/>
        <v>2.835</v>
      </c>
    </row>
    <row r="127" spans="1:137" ht="12.6" customHeight="1">
      <c r="A127" s="73">
        <v>125</v>
      </c>
      <c r="B127" s="74">
        <v>2.4750000000000001</v>
      </c>
      <c r="C127" s="74">
        <v>2.492</v>
      </c>
      <c r="D127" s="74">
        <v>2.508</v>
      </c>
      <c r="E127" s="74">
        <v>2.5249999999999999</v>
      </c>
      <c r="F127" s="74">
        <v>2.5409999999999999</v>
      </c>
      <c r="G127" s="74">
        <v>2.5569999999999999</v>
      </c>
      <c r="H127" s="74">
        <v>2.5709999999999997</v>
      </c>
      <c r="I127" s="74">
        <v>2.5859999999999999</v>
      </c>
      <c r="J127" s="74">
        <v>2.5989999999999998</v>
      </c>
      <c r="K127" s="74">
        <v>2.613</v>
      </c>
      <c r="L127" s="74">
        <v>2.625</v>
      </c>
      <c r="M127" s="74">
        <v>2.6379999999999999</v>
      </c>
      <c r="N127" s="74">
        <v>2.6509999999999998</v>
      </c>
      <c r="O127" s="74">
        <v>2.665</v>
      </c>
      <c r="P127" s="74">
        <v>2.6789999999999998</v>
      </c>
      <c r="Q127" s="74">
        <v>2.6930000000000001</v>
      </c>
      <c r="R127" s="74">
        <v>2.7069999999999999</v>
      </c>
      <c r="S127" s="74">
        <v>2.7199999999999998</v>
      </c>
      <c r="T127" s="74">
        <v>2.7330000000000001</v>
      </c>
      <c r="U127" s="74">
        <v>2.7450000000000001</v>
      </c>
      <c r="V127" s="74">
        <v>2.7570000000000001</v>
      </c>
      <c r="W127" s="74">
        <v>2.7690000000000001</v>
      </c>
      <c r="X127" s="74">
        <v>2.78</v>
      </c>
      <c r="Y127" s="74">
        <v>2.7909999999999999</v>
      </c>
      <c r="Z127" s="74">
        <v>2.802</v>
      </c>
      <c r="AA127" s="74">
        <v>2.8119999999999998</v>
      </c>
      <c r="AB127" s="74">
        <v>2.8220000000000001</v>
      </c>
      <c r="AC127" s="74">
        <v>2.831</v>
      </c>
      <c r="AD127" s="75">
        <v>2.84</v>
      </c>
      <c r="AE127" s="76"/>
      <c r="AF127" s="76"/>
      <c r="AG127" s="76"/>
      <c r="AH127" s="76"/>
      <c r="AI127" s="76"/>
      <c r="AJ127" s="76"/>
      <c r="AK127" s="76"/>
      <c r="AL127" s="76"/>
      <c r="AM127" s="76"/>
      <c r="AN127" s="76"/>
      <c r="AO127" s="76"/>
      <c r="AP127" s="76"/>
      <c r="AQ127" s="76"/>
      <c r="AR127" s="76"/>
      <c r="AS127" s="76"/>
      <c r="BZ127" s="63" t="str">
        <f t="shared" si="40"/>
        <v>4125</v>
      </c>
      <c r="CA127" s="63" t="str">
        <f t="shared" si="39"/>
        <v>5125</v>
      </c>
      <c r="CB127" s="63" t="str">
        <f t="shared" si="41"/>
        <v>6125</v>
      </c>
      <c r="CC127" s="63" t="str">
        <f t="shared" si="42"/>
        <v>7125</v>
      </c>
      <c r="CD127" s="63" t="str">
        <f t="shared" si="43"/>
        <v>8125</v>
      </c>
      <c r="CE127" s="63" t="str">
        <f t="shared" si="44"/>
        <v>9125</v>
      </c>
      <c r="CF127" s="63" t="str">
        <f t="shared" si="45"/>
        <v>10125</v>
      </c>
      <c r="CG127" s="63" t="str">
        <f t="shared" si="46"/>
        <v>11125</v>
      </c>
      <c r="CH127" s="63" t="str">
        <f t="shared" si="47"/>
        <v>12125</v>
      </c>
      <c r="CI127" s="63" t="str">
        <f t="shared" si="48"/>
        <v>13125</v>
      </c>
      <c r="CJ127" s="63" t="str">
        <f t="shared" si="49"/>
        <v>14125</v>
      </c>
      <c r="CK127" s="63" t="str">
        <f t="shared" si="50"/>
        <v>15125</v>
      </c>
      <c r="CL127" s="63" t="str">
        <f t="shared" si="51"/>
        <v>16125</v>
      </c>
      <c r="CM127" s="63" t="str">
        <f t="shared" si="52"/>
        <v>17125</v>
      </c>
      <c r="CN127" s="63" t="str">
        <f t="shared" si="53"/>
        <v>18125</v>
      </c>
      <c r="CO127" s="63" t="str">
        <f t="shared" si="54"/>
        <v>19125</v>
      </c>
      <c r="CP127" s="63" t="str">
        <f t="shared" si="55"/>
        <v>20125</v>
      </c>
      <c r="CQ127" s="63" t="str">
        <f t="shared" si="56"/>
        <v>21125</v>
      </c>
      <c r="CR127" s="63" t="str">
        <f t="shared" si="57"/>
        <v>22125</v>
      </c>
      <c r="CS127" s="63" t="str">
        <f t="shared" si="58"/>
        <v>23125</v>
      </c>
      <c r="CT127" s="63" t="str">
        <f t="shared" si="59"/>
        <v>24125</v>
      </c>
      <c r="CU127" s="63" t="str">
        <f t="shared" si="60"/>
        <v>25125</v>
      </c>
      <c r="CV127" s="63" t="str">
        <f t="shared" si="61"/>
        <v>26125</v>
      </c>
      <c r="CW127" s="63" t="str">
        <f t="shared" si="62"/>
        <v>27125</v>
      </c>
      <c r="CX127" s="63" t="str">
        <f t="shared" si="63"/>
        <v>28125</v>
      </c>
      <c r="CY127" s="63" t="str">
        <f t="shared" si="64"/>
        <v>29125</v>
      </c>
      <c r="CZ127" s="63" t="str">
        <f t="shared" si="65"/>
        <v>30125</v>
      </c>
      <c r="DA127" s="63" t="str">
        <f t="shared" si="66"/>
        <v>31125</v>
      </c>
      <c r="DB127" s="63" t="str">
        <f t="shared" si="67"/>
        <v>32125</v>
      </c>
      <c r="DD127" s="72" t="s">
        <v>255</v>
      </c>
      <c r="DE127" s="77">
        <f t="shared" si="75"/>
        <v>2.4750000000000001</v>
      </c>
      <c r="DF127" s="77">
        <f t="shared" si="75"/>
        <v>2.492</v>
      </c>
      <c r="DG127" s="77">
        <f t="shared" si="75"/>
        <v>2.508</v>
      </c>
      <c r="DH127" s="77">
        <f t="shared" si="75"/>
        <v>2.5249999999999999</v>
      </c>
      <c r="DI127" s="77">
        <f t="shared" si="75"/>
        <v>2.5409999999999999</v>
      </c>
      <c r="DJ127" s="77">
        <f t="shared" si="75"/>
        <v>2.5569999999999999</v>
      </c>
      <c r="DK127" s="77">
        <f t="shared" si="75"/>
        <v>2.5710000000000002</v>
      </c>
      <c r="DL127" s="77">
        <f t="shared" si="75"/>
        <v>2.5859999999999999</v>
      </c>
      <c r="DM127" s="77">
        <f t="shared" si="75"/>
        <v>2.5990000000000002</v>
      </c>
      <c r="DN127" s="77">
        <f t="shared" si="75"/>
        <v>2.613</v>
      </c>
      <c r="DO127" s="77">
        <f t="shared" si="75"/>
        <v>2.625</v>
      </c>
      <c r="DP127" s="77">
        <f t="shared" si="75"/>
        <v>2.6379999999999999</v>
      </c>
      <c r="DQ127" s="77">
        <f t="shared" si="75"/>
        <v>2.6509999999999998</v>
      </c>
      <c r="DR127" s="77">
        <f t="shared" si="75"/>
        <v>2.665</v>
      </c>
      <c r="DS127" s="77">
        <f t="shared" si="75"/>
        <v>2.6789999999999998</v>
      </c>
      <c r="DT127" s="77">
        <f t="shared" si="70"/>
        <v>2.6930000000000001</v>
      </c>
      <c r="DU127" s="77">
        <f t="shared" si="69"/>
        <v>2.7069999999999999</v>
      </c>
      <c r="DV127" s="77">
        <f t="shared" si="69"/>
        <v>2.72</v>
      </c>
      <c r="DW127" s="77">
        <f t="shared" si="69"/>
        <v>2.7330000000000001</v>
      </c>
      <c r="DX127" s="77">
        <f t="shared" si="69"/>
        <v>2.7450000000000001</v>
      </c>
      <c r="DY127" s="77">
        <f t="shared" si="69"/>
        <v>2.7570000000000001</v>
      </c>
      <c r="DZ127" s="77">
        <f t="shared" si="69"/>
        <v>2.7690000000000001</v>
      </c>
      <c r="EA127" s="77">
        <f t="shared" si="74"/>
        <v>2.78</v>
      </c>
      <c r="EB127" s="77">
        <f t="shared" si="74"/>
        <v>2.7909999999999999</v>
      </c>
      <c r="EC127" s="77">
        <f t="shared" si="74"/>
        <v>2.802</v>
      </c>
      <c r="ED127" s="77">
        <f t="shared" si="74"/>
        <v>2.8119999999999998</v>
      </c>
      <c r="EE127" s="77">
        <f t="shared" si="74"/>
        <v>2.8220000000000001</v>
      </c>
      <c r="EF127" s="77">
        <f t="shared" si="72"/>
        <v>2.831</v>
      </c>
      <c r="EG127" s="77">
        <f t="shared" si="72"/>
        <v>2.84</v>
      </c>
    </row>
    <row r="128" spans="1:137" ht="12.6" customHeight="1">
      <c r="A128" s="73">
        <v>126</v>
      </c>
      <c r="B128" s="74">
        <v>2.4809999999999999</v>
      </c>
      <c r="C128" s="74">
        <v>2.4990000000000001</v>
      </c>
      <c r="D128" s="74">
        <v>2.5150000000000001</v>
      </c>
      <c r="E128" s="74">
        <v>2.532</v>
      </c>
      <c r="F128" s="74">
        <v>2.548</v>
      </c>
      <c r="G128" s="74">
        <v>2.5629999999999997</v>
      </c>
      <c r="H128" s="74">
        <v>2.5779999999999998</v>
      </c>
      <c r="I128" s="74">
        <v>2.5920000000000001</v>
      </c>
      <c r="J128" s="74">
        <v>2.6059999999999999</v>
      </c>
      <c r="K128" s="74">
        <v>2.6189999999999998</v>
      </c>
      <c r="L128" s="74">
        <v>2.6320000000000001</v>
      </c>
      <c r="M128" s="74">
        <v>2.6440000000000001</v>
      </c>
      <c r="N128" s="74">
        <v>2.657</v>
      </c>
      <c r="O128" s="74">
        <v>2.6709999999999998</v>
      </c>
      <c r="P128" s="74">
        <v>2.6850000000000001</v>
      </c>
      <c r="Q128" s="74">
        <v>2.6989999999999998</v>
      </c>
      <c r="R128" s="74">
        <v>2.7119999999999997</v>
      </c>
      <c r="S128" s="74">
        <v>2.726</v>
      </c>
      <c r="T128" s="74">
        <v>2.738</v>
      </c>
      <c r="U128" s="74">
        <v>2.7509999999999999</v>
      </c>
      <c r="V128" s="74">
        <v>2.7629999999999999</v>
      </c>
      <c r="W128" s="74">
        <v>2.774</v>
      </c>
      <c r="X128" s="74">
        <v>2.786</v>
      </c>
      <c r="Y128" s="74">
        <v>2.7959999999999998</v>
      </c>
      <c r="Z128" s="74">
        <v>2.8069999999999999</v>
      </c>
      <c r="AA128" s="74">
        <v>2.8169999999999997</v>
      </c>
      <c r="AB128" s="74">
        <v>2.827</v>
      </c>
      <c r="AC128" s="74">
        <v>2.8359999999999999</v>
      </c>
      <c r="AD128" s="75">
        <v>2.8449999999999998</v>
      </c>
      <c r="AE128" s="76"/>
      <c r="AF128" s="76"/>
      <c r="AG128" s="76"/>
      <c r="AH128" s="76"/>
      <c r="AI128" s="76"/>
      <c r="AJ128" s="76"/>
      <c r="AK128" s="76"/>
      <c r="AL128" s="76"/>
      <c r="AM128" s="76"/>
      <c r="AN128" s="76"/>
      <c r="AO128" s="76"/>
      <c r="AP128" s="76"/>
      <c r="AQ128" s="76"/>
      <c r="AR128" s="76"/>
      <c r="AS128" s="76"/>
      <c r="BZ128" s="63" t="str">
        <f t="shared" si="40"/>
        <v>4126</v>
      </c>
      <c r="CA128" s="63" t="str">
        <f t="shared" si="39"/>
        <v>5126</v>
      </c>
      <c r="CB128" s="63" t="str">
        <f t="shared" si="41"/>
        <v>6126</v>
      </c>
      <c r="CC128" s="63" t="str">
        <f t="shared" si="42"/>
        <v>7126</v>
      </c>
      <c r="CD128" s="63" t="str">
        <f t="shared" si="43"/>
        <v>8126</v>
      </c>
      <c r="CE128" s="63" t="str">
        <f t="shared" si="44"/>
        <v>9126</v>
      </c>
      <c r="CF128" s="63" t="str">
        <f t="shared" si="45"/>
        <v>10126</v>
      </c>
      <c r="CG128" s="63" t="str">
        <f t="shared" si="46"/>
        <v>11126</v>
      </c>
      <c r="CH128" s="63" t="str">
        <f t="shared" si="47"/>
        <v>12126</v>
      </c>
      <c r="CI128" s="63" t="str">
        <f t="shared" si="48"/>
        <v>13126</v>
      </c>
      <c r="CJ128" s="63" t="str">
        <f t="shared" si="49"/>
        <v>14126</v>
      </c>
      <c r="CK128" s="63" t="str">
        <f t="shared" si="50"/>
        <v>15126</v>
      </c>
      <c r="CL128" s="63" t="str">
        <f t="shared" si="51"/>
        <v>16126</v>
      </c>
      <c r="CM128" s="63" t="str">
        <f t="shared" si="52"/>
        <v>17126</v>
      </c>
      <c r="CN128" s="63" t="str">
        <f t="shared" si="53"/>
        <v>18126</v>
      </c>
      <c r="CO128" s="63" t="str">
        <f t="shared" si="54"/>
        <v>19126</v>
      </c>
      <c r="CP128" s="63" t="str">
        <f t="shared" si="55"/>
        <v>20126</v>
      </c>
      <c r="CQ128" s="63" t="str">
        <f t="shared" si="56"/>
        <v>21126</v>
      </c>
      <c r="CR128" s="63" t="str">
        <f t="shared" si="57"/>
        <v>22126</v>
      </c>
      <c r="CS128" s="63" t="str">
        <f t="shared" si="58"/>
        <v>23126</v>
      </c>
      <c r="CT128" s="63" t="str">
        <f t="shared" si="59"/>
        <v>24126</v>
      </c>
      <c r="CU128" s="63" t="str">
        <f t="shared" si="60"/>
        <v>25126</v>
      </c>
      <c r="CV128" s="63" t="str">
        <f t="shared" si="61"/>
        <v>26126</v>
      </c>
      <c r="CW128" s="63" t="str">
        <f t="shared" si="62"/>
        <v>27126</v>
      </c>
      <c r="CX128" s="63" t="str">
        <f t="shared" si="63"/>
        <v>28126</v>
      </c>
      <c r="CY128" s="63" t="str">
        <f t="shared" si="64"/>
        <v>29126</v>
      </c>
      <c r="CZ128" s="63" t="str">
        <f t="shared" si="65"/>
        <v>30126</v>
      </c>
      <c r="DA128" s="63" t="str">
        <f t="shared" si="66"/>
        <v>31126</v>
      </c>
      <c r="DB128" s="63" t="str">
        <f t="shared" si="67"/>
        <v>32126</v>
      </c>
      <c r="DD128" s="72" t="s">
        <v>256</v>
      </c>
      <c r="DE128" s="77">
        <f t="shared" si="75"/>
        <v>2.4809999999999999</v>
      </c>
      <c r="DF128" s="77">
        <f t="shared" si="75"/>
        <v>2.4990000000000001</v>
      </c>
      <c r="DG128" s="77">
        <f t="shared" si="75"/>
        <v>2.5150000000000001</v>
      </c>
      <c r="DH128" s="77">
        <f t="shared" si="75"/>
        <v>2.532</v>
      </c>
      <c r="DI128" s="77">
        <f t="shared" si="75"/>
        <v>2.548</v>
      </c>
      <c r="DJ128" s="77">
        <f t="shared" si="75"/>
        <v>2.5630000000000002</v>
      </c>
      <c r="DK128" s="77">
        <f t="shared" si="75"/>
        <v>2.5779999999999998</v>
      </c>
      <c r="DL128" s="77">
        <f t="shared" si="75"/>
        <v>2.5920000000000001</v>
      </c>
      <c r="DM128" s="77">
        <f t="shared" si="75"/>
        <v>2.6059999999999999</v>
      </c>
      <c r="DN128" s="77">
        <f t="shared" si="75"/>
        <v>2.6190000000000002</v>
      </c>
      <c r="DO128" s="77">
        <f t="shared" si="75"/>
        <v>2.6320000000000001</v>
      </c>
      <c r="DP128" s="77">
        <f t="shared" si="75"/>
        <v>2.6440000000000001</v>
      </c>
      <c r="DQ128" s="77">
        <f t="shared" si="75"/>
        <v>2.657</v>
      </c>
      <c r="DR128" s="77">
        <f t="shared" si="75"/>
        <v>2.6709999999999998</v>
      </c>
      <c r="DS128" s="77">
        <f t="shared" si="75"/>
        <v>2.6850000000000001</v>
      </c>
      <c r="DT128" s="77">
        <f t="shared" si="70"/>
        <v>2.6989999999999998</v>
      </c>
      <c r="DU128" s="77">
        <f t="shared" si="69"/>
        <v>2.7120000000000002</v>
      </c>
      <c r="DV128" s="77">
        <f t="shared" si="69"/>
        <v>2.726</v>
      </c>
      <c r="DW128" s="77">
        <f t="shared" si="69"/>
        <v>2.738</v>
      </c>
      <c r="DX128" s="77">
        <f t="shared" si="69"/>
        <v>2.7509999999999999</v>
      </c>
      <c r="DY128" s="77">
        <f t="shared" si="69"/>
        <v>2.7629999999999999</v>
      </c>
      <c r="DZ128" s="77">
        <f t="shared" si="69"/>
        <v>2.774</v>
      </c>
      <c r="EA128" s="77">
        <f t="shared" si="74"/>
        <v>2.786</v>
      </c>
      <c r="EB128" s="77">
        <f t="shared" si="74"/>
        <v>2.7959999999999998</v>
      </c>
      <c r="EC128" s="77">
        <f t="shared" si="74"/>
        <v>2.8069999999999999</v>
      </c>
      <c r="ED128" s="77">
        <f t="shared" si="74"/>
        <v>2.8170000000000002</v>
      </c>
      <c r="EE128" s="77">
        <f t="shared" si="74"/>
        <v>2.827</v>
      </c>
      <c r="EF128" s="77">
        <f t="shared" si="72"/>
        <v>2.8359999999999999</v>
      </c>
      <c r="EG128" s="77">
        <f t="shared" si="72"/>
        <v>2.8450000000000002</v>
      </c>
    </row>
    <row r="129" spans="1:137" ht="12.6" customHeight="1">
      <c r="A129" s="73">
        <v>127</v>
      </c>
      <c r="B129" s="74">
        <v>2.488</v>
      </c>
      <c r="C129" s="74">
        <v>2.5049999999999999</v>
      </c>
      <c r="D129" s="74">
        <v>2.5209999999999999</v>
      </c>
      <c r="E129" s="74">
        <v>2.5379999999999998</v>
      </c>
      <c r="F129" s="74">
        <v>2.5539999999999998</v>
      </c>
      <c r="G129" s="74">
        <v>2.57</v>
      </c>
      <c r="H129" s="74">
        <v>2.5840000000000001</v>
      </c>
      <c r="I129" s="74">
        <v>2.5979999999999999</v>
      </c>
      <c r="J129" s="74">
        <v>2.6120000000000001</v>
      </c>
      <c r="K129" s="74">
        <v>2.625</v>
      </c>
      <c r="L129" s="74">
        <v>2.6379999999999999</v>
      </c>
      <c r="M129" s="74">
        <v>2.65</v>
      </c>
      <c r="N129" s="74">
        <v>2.6629999999999998</v>
      </c>
      <c r="O129" s="74">
        <v>2.677</v>
      </c>
      <c r="P129" s="74">
        <v>2.6909999999999998</v>
      </c>
      <c r="Q129" s="74">
        <v>2.7050000000000001</v>
      </c>
      <c r="R129" s="74">
        <v>2.718</v>
      </c>
      <c r="S129" s="74">
        <v>2.7309999999999999</v>
      </c>
      <c r="T129" s="74">
        <v>2.7439999999999998</v>
      </c>
      <c r="U129" s="74">
        <v>2.7559999999999998</v>
      </c>
      <c r="V129" s="74">
        <v>2.7679999999999998</v>
      </c>
      <c r="W129" s="74">
        <v>2.78</v>
      </c>
      <c r="X129" s="74">
        <v>2.7909999999999999</v>
      </c>
      <c r="Y129" s="74">
        <v>2.802</v>
      </c>
      <c r="Z129" s="74">
        <v>2.8119999999999998</v>
      </c>
      <c r="AA129" s="74">
        <v>2.8220000000000001</v>
      </c>
      <c r="AB129" s="74">
        <v>2.8319999999999999</v>
      </c>
      <c r="AC129" s="74">
        <v>2.8409999999999997</v>
      </c>
      <c r="AD129" s="75">
        <v>2.851</v>
      </c>
      <c r="AE129" s="76"/>
      <c r="AF129" s="76"/>
      <c r="AG129" s="76"/>
      <c r="AH129" s="76"/>
      <c r="AI129" s="76"/>
      <c r="AJ129" s="76"/>
      <c r="AK129" s="76"/>
      <c r="AL129" s="76"/>
      <c r="AM129" s="76"/>
      <c r="AN129" s="76"/>
      <c r="AO129" s="76"/>
      <c r="AP129" s="76"/>
      <c r="AQ129" s="76"/>
      <c r="AR129" s="76"/>
      <c r="AS129" s="76"/>
      <c r="BZ129" s="63" t="str">
        <f t="shared" si="40"/>
        <v>4127</v>
      </c>
      <c r="CA129" s="63" t="str">
        <f t="shared" si="39"/>
        <v>5127</v>
      </c>
      <c r="CB129" s="63" t="str">
        <f t="shared" si="41"/>
        <v>6127</v>
      </c>
      <c r="CC129" s="63" t="str">
        <f t="shared" si="42"/>
        <v>7127</v>
      </c>
      <c r="CD129" s="63" t="str">
        <f t="shared" si="43"/>
        <v>8127</v>
      </c>
      <c r="CE129" s="63" t="str">
        <f t="shared" si="44"/>
        <v>9127</v>
      </c>
      <c r="CF129" s="63" t="str">
        <f t="shared" si="45"/>
        <v>10127</v>
      </c>
      <c r="CG129" s="63" t="str">
        <f t="shared" si="46"/>
        <v>11127</v>
      </c>
      <c r="CH129" s="63" t="str">
        <f t="shared" si="47"/>
        <v>12127</v>
      </c>
      <c r="CI129" s="63" t="str">
        <f t="shared" si="48"/>
        <v>13127</v>
      </c>
      <c r="CJ129" s="63" t="str">
        <f t="shared" si="49"/>
        <v>14127</v>
      </c>
      <c r="CK129" s="63" t="str">
        <f t="shared" si="50"/>
        <v>15127</v>
      </c>
      <c r="CL129" s="63" t="str">
        <f t="shared" si="51"/>
        <v>16127</v>
      </c>
      <c r="CM129" s="63" t="str">
        <f t="shared" si="52"/>
        <v>17127</v>
      </c>
      <c r="CN129" s="63" t="str">
        <f t="shared" si="53"/>
        <v>18127</v>
      </c>
      <c r="CO129" s="63" t="str">
        <f t="shared" si="54"/>
        <v>19127</v>
      </c>
      <c r="CP129" s="63" t="str">
        <f t="shared" si="55"/>
        <v>20127</v>
      </c>
      <c r="CQ129" s="63" t="str">
        <f t="shared" si="56"/>
        <v>21127</v>
      </c>
      <c r="CR129" s="63" t="str">
        <f t="shared" si="57"/>
        <v>22127</v>
      </c>
      <c r="CS129" s="63" t="str">
        <f t="shared" si="58"/>
        <v>23127</v>
      </c>
      <c r="CT129" s="63" t="str">
        <f t="shared" si="59"/>
        <v>24127</v>
      </c>
      <c r="CU129" s="63" t="str">
        <f t="shared" si="60"/>
        <v>25127</v>
      </c>
      <c r="CV129" s="63" t="str">
        <f t="shared" si="61"/>
        <v>26127</v>
      </c>
      <c r="CW129" s="63" t="str">
        <f t="shared" si="62"/>
        <v>27127</v>
      </c>
      <c r="CX129" s="63" t="str">
        <f t="shared" si="63"/>
        <v>28127</v>
      </c>
      <c r="CY129" s="63" t="str">
        <f t="shared" si="64"/>
        <v>29127</v>
      </c>
      <c r="CZ129" s="63" t="str">
        <f t="shared" si="65"/>
        <v>30127</v>
      </c>
      <c r="DA129" s="63" t="str">
        <f t="shared" si="66"/>
        <v>31127</v>
      </c>
      <c r="DB129" s="63" t="str">
        <f t="shared" si="67"/>
        <v>32127</v>
      </c>
      <c r="DD129" s="72" t="s">
        <v>257</v>
      </c>
      <c r="DE129" s="77">
        <f t="shared" si="75"/>
        <v>2.488</v>
      </c>
      <c r="DF129" s="77">
        <f t="shared" si="75"/>
        <v>2.5049999999999999</v>
      </c>
      <c r="DG129" s="77">
        <f t="shared" si="75"/>
        <v>2.5209999999999999</v>
      </c>
      <c r="DH129" s="77">
        <f t="shared" si="75"/>
        <v>2.5379999999999998</v>
      </c>
      <c r="DI129" s="77">
        <f t="shared" si="75"/>
        <v>2.5539999999999998</v>
      </c>
      <c r="DJ129" s="77">
        <f t="shared" si="75"/>
        <v>2.57</v>
      </c>
      <c r="DK129" s="77">
        <f t="shared" si="75"/>
        <v>2.5840000000000001</v>
      </c>
      <c r="DL129" s="77">
        <f t="shared" si="75"/>
        <v>2.5979999999999999</v>
      </c>
      <c r="DM129" s="77">
        <f t="shared" si="75"/>
        <v>2.6120000000000001</v>
      </c>
      <c r="DN129" s="77">
        <f t="shared" si="75"/>
        <v>2.625</v>
      </c>
      <c r="DO129" s="77">
        <f t="shared" si="75"/>
        <v>2.6379999999999999</v>
      </c>
      <c r="DP129" s="77">
        <f t="shared" si="75"/>
        <v>2.65</v>
      </c>
      <c r="DQ129" s="77">
        <f t="shared" si="75"/>
        <v>2.6629999999999998</v>
      </c>
      <c r="DR129" s="77">
        <f t="shared" si="75"/>
        <v>2.677</v>
      </c>
      <c r="DS129" s="77">
        <f t="shared" si="75"/>
        <v>2.6909999999999998</v>
      </c>
      <c r="DT129" s="77">
        <f t="shared" si="70"/>
        <v>2.7050000000000001</v>
      </c>
      <c r="DU129" s="77">
        <f t="shared" si="69"/>
        <v>2.718</v>
      </c>
      <c r="DV129" s="77">
        <f t="shared" si="69"/>
        <v>2.7309999999999999</v>
      </c>
      <c r="DW129" s="77">
        <f t="shared" si="69"/>
        <v>2.7440000000000002</v>
      </c>
      <c r="DX129" s="77">
        <f t="shared" si="69"/>
        <v>2.7559999999999998</v>
      </c>
      <c r="DY129" s="77">
        <f t="shared" si="69"/>
        <v>2.7679999999999998</v>
      </c>
      <c r="DZ129" s="77">
        <f t="shared" si="69"/>
        <v>2.78</v>
      </c>
      <c r="EA129" s="77">
        <f t="shared" si="74"/>
        <v>2.7909999999999999</v>
      </c>
      <c r="EB129" s="77">
        <f t="shared" si="74"/>
        <v>2.802</v>
      </c>
      <c r="EC129" s="77">
        <f t="shared" si="74"/>
        <v>2.8119999999999998</v>
      </c>
      <c r="ED129" s="77">
        <f t="shared" si="74"/>
        <v>2.8220000000000001</v>
      </c>
      <c r="EE129" s="77">
        <f t="shared" si="74"/>
        <v>2.8319999999999999</v>
      </c>
      <c r="EF129" s="77">
        <f t="shared" si="72"/>
        <v>2.8410000000000002</v>
      </c>
      <c r="EG129" s="77">
        <f t="shared" si="72"/>
        <v>2.851</v>
      </c>
    </row>
    <row r="130" spans="1:137" ht="12.6" customHeight="1">
      <c r="A130" s="73">
        <v>128</v>
      </c>
      <c r="B130" s="74">
        <v>2.4950000000000001</v>
      </c>
      <c r="C130" s="74">
        <v>2.512</v>
      </c>
      <c r="D130" s="74">
        <v>2.528</v>
      </c>
      <c r="E130" s="74">
        <v>2.5449999999999999</v>
      </c>
      <c r="F130" s="74">
        <v>2.5609999999999999</v>
      </c>
      <c r="G130" s="74">
        <v>2.5760000000000001</v>
      </c>
      <c r="H130" s="74">
        <v>2.5909999999999997</v>
      </c>
      <c r="I130" s="74">
        <v>2.605</v>
      </c>
      <c r="J130" s="74">
        <v>2.6179999999999999</v>
      </c>
      <c r="K130" s="74">
        <v>2.6309999999999998</v>
      </c>
      <c r="L130" s="74">
        <v>2.6440000000000001</v>
      </c>
      <c r="M130" s="74">
        <v>2.6559999999999997</v>
      </c>
      <c r="N130" s="74">
        <v>2.669</v>
      </c>
      <c r="O130" s="74">
        <v>2.6829999999999998</v>
      </c>
      <c r="P130" s="74">
        <v>2.6970000000000001</v>
      </c>
      <c r="Q130" s="74">
        <v>2.7109999999999999</v>
      </c>
      <c r="R130" s="74">
        <v>2.7239999999999998</v>
      </c>
      <c r="S130" s="74">
        <v>2.7370000000000001</v>
      </c>
      <c r="T130" s="74">
        <v>2.75</v>
      </c>
      <c r="U130" s="74">
        <v>2.762</v>
      </c>
      <c r="V130" s="74">
        <v>2.774</v>
      </c>
      <c r="W130" s="74">
        <v>2.7849999999999997</v>
      </c>
      <c r="X130" s="74">
        <v>2.7959999999999998</v>
      </c>
      <c r="Y130" s="74">
        <v>2.8069999999999999</v>
      </c>
      <c r="Z130" s="74">
        <v>2.8169999999999997</v>
      </c>
      <c r="AA130" s="74">
        <v>2.8279999999999998</v>
      </c>
      <c r="AB130" s="74">
        <v>2.8369999999999997</v>
      </c>
      <c r="AC130" s="74">
        <v>2.847</v>
      </c>
      <c r="AD130" s="75">
        <v>2.8559999999999999</v>
      </c>
      <c r="AE130" s="76"/>
      <c r="AF130" s="76"/>
      <c r="AG130" s="76"/>
      <c r="AH130" s="76"/>
      <c r="AI130" s="76"/>
      <c r="AJ130" s="76"/>
      <c r="AK130" s="76"/>
      <c r="AL130" s="76"/>
      <c r="AM130" s="76"/>
      <c r="AN130" s="76"/>
      <c r="AO130" s="76"/>
      <c r="AP130" s="76"/>
      <c r="AQ130" s="76"/>
      <c r="AR130" s="76"/>
      <c r="AS130" s="76"/>
      <c r="BZ130" s="63" t="str">
        <f t="shared" si="40"/>
        <v>4128</v>
      </c>
      <c r="CA130" s="63" t="str">
        <f t="shared" si="39"/>
        <v>5128</v>
      </c>
      <c r="CB130" s="63" t="str">
        <f t="shared" si="41"/>
        <v>6128</v>
      </c>
      <c r="CC130" s="63" t="str">
        <f t="shared" si="42"/>
        <v>7128</v>
      </c>
      <c r="CD130" s="63" t="str">
        <f t="shared" si="43"/>
        <v>8128</v>
      </c>
      <c r="CE130" s="63" t="str">
        <f t="shared" si="44"/>
        <v>9128</v>
      </c>
      <c r="CF130" s="63" t="str">
        <f t="shared" si="45"/>
        <v>10128</v>
      </c>
      <c r="CG130" s="63" t="str">
        <f t="shared" si="46"/>
        <v>11128</v>
      </c>
      <c r="CH130" s="63" t="str">
        <f t="shared" si="47"/>
        <v>12128</v>
      </c>
      <c r="CI130" s="63" t="str">
        <f t="shared" si="48"/>
        <v>13128</v>
      </c>
      <c r="CJ130" s="63" t="str">
        <f t="shared" si="49"/>
        <v>14128</v>
      </c>
      <c r="CK130" s="63" t="str">
        <f t="shared" si="50"/>
        <v>15128</v>
      </c>
      <c r="CL130" s="63" t="str">
        <f t="shared" si="51"/>
        <v>16128</v>
      </c>
      <c r="CM130" s="63" t="str">
        <f t="shared" si="52"/>
        <v>17128</v>
      </c>
      <c r="CN130" s="63" t="str">
        <f t="shared" si="53"/>
        <v>18128</v>
      </c>
      <c r="CO130" s="63" t="str">
        <f t="shared" si="54"/>
        <v>19128</v>
      </c>
      <c r="CP130" s="63" t="str">
        <f t="shared" si="55"/>
        <v>20128</v>
      </c>
      <c r="CQ130" s="63" t="str">
        <f t="shared" si="56"/>
        <v>21128</v>
      </c>
      <c r="CR130" s="63" t="str">
        <f t="shared" si="57"/>
        <v>22128</v>
      </c>
      <c r="CS130" s="63" t="str">
        <f t="shared" si="58"/>
        <v>23128</v>
      </c>
      <c r="CT130" s="63" t="str">
        <f t="shared" si="59"/>
        <v>24128</v>
      </c>
      <c r="CU130" s="63" t="str">
        <f t="shared" si="60"/>
        <v>25128</v>
      </c>
      <c r="CV130" s="63" t="str">
        <f t="shared" si="61"/>
        <v>26128</v>
      </c>
      <c r="CW130" s="63" t="str">
        <f t="shared" si="62"/>
        <v>27128</v>
      </c>
      <c r="CX130" s="63" t="str">
        <f t="shared" si="63"/>
        <v>28128</v>
      </c>
      <c r="CY130" s="63" t="str">
        <f t="shared" si="64"/>
        <v>29128</v>
      </c>
      <c r="CZ130" s="63" t="str">
        <f t="shared" si="65"/>
        <v>30128</v>
      </c>
      <c r="DA130" s="63" t="str">
        <f t="shared" si="66"/>
        <v>31128</v>
      </c>
      <c r="DB130" s="63" t="str">
        <f t="shared" si="67"/>
        <v>32128</v>
      </c>
      <c r="DD130" s="72" t="s">
        <v>258</v>
      </c>
      <c r="DE130" s="77">
        <f t="shared" si="75"/>
        <v>2.4950000000000001</v>
      </c>
      <c r="DF130" s="77">
        <f t="shared" si="75"/>
        <v>2.512</v>
      </c>
      <c r="DG130" s="77">
        <f t="shared" si="75"/>
        <v>2.528</v>
      </c>
      <c r="DH130" s="77">
        <f t="shared" si="75"/>
        <v>2.5449999999999999</v>
      </c>
      <c r="DI130" s="77">
        <f t="shared" si="75"/>
        <v>2.5609999999999999</v>
      </c>
      <c r="DJ130" s="77">
        <f t="shared" si="75"/>
        <v>2.5760000000000001</v>
      </c>
      <c r="DK130" s="77">
        <f t="shared" si="75"/>
        <v>2.5910000000000002</v>
      </c>
      <c r="DL130" s="77">
        <f t="shared" si="75"/>
        <v>2.605</v>
      </c>
      <c r="DM130" s="77">
        <f t="shared" si="75"/>
        <v>2.6179999999999999</v>
      </c>
      <c r="DN130" s="77">
        <f t="shared" si="75"/>
        <v>2.6309999999999998</v>
      </c>
      <c r="DO130" s="77">
        <f t="shared" si="75"/>
        <v>2.6440000000000001</v>
      </c>
      <c r="DP130" s="77">
        <f t="shared" si="75"/>
        <v>2.6560000000000001</v>
      </c>
      <c r="DQ130" s="77">
        <f t="shared" si="75"/>
        <v>2.669</v>
      </c>
      <c r="DR130" s="77">
        <f t="shared" si="75"/>
        <v>2.6829999999999998</v>
      </c>
      <c r="DS130" s="77">
        <f t="shared" si="75"/>
        <v>2.6970000000000001</v>
      </c>
      <c r="DT130" s="77">
        <f t="shared" si="70"/>
        <v>2.7109999999999999</v>
      </c>
      <c r="DU130" s="77">
        <f t="shared" si="69"/>
        <v>2.7240000000000002</v>
      </c>
      <c r="DV130" s="77">
        <f t="shared" si="69"/>
        <v>2.7370000000000001</v>
      </c>
      <c r="DW130" s="77">
        <f t="shared" si="69"/>
        <v>2.75</v>
      </c>
      <c r="DX130" s="77">
        <f t="shared" si="69"/>
        <v>2.762</v>
      </c>
      <c r="DY130" s="77">
        <f t="shared" si="69"/>
        <v>2.774</v>
      </c>
      <c r="DZ130" s="77">
        <f t="shared" si="69"/>
        <v>2.7850000000000001</v>
      </c>
      <c r="EA130" s="77">
        <f t="shared" si="74"/>
        <v>2.7959999999999998</v>
      </c>
      <c r="EB130" s="77">
        <f t="shared" si="74"/>
        <v>2.8069999999999999</v>
      </c>
      <c r="EC130" s="77">
        <f t="shared" si="74"/>
        <v>2.8170000000000002</v>
      </c>
      <c r="ED130" s="77">
        <f t="shared" si="74"/>
        <v>2.8279999999999998</v>
      </c>
      <c r="EE130" s="77">
        <f t="shared" si="74"/>
        <v>2.8370000000000002</v>
      </c>
      <c r="EF130" s="77">
        <f t="shared" si="72"/>
        <v>2.847</v>
      </c>
      <c r="EG130" s="77">
        <f t="shared" si="72"/>
        <v>2.8559999999999999</v>
      </c>
    </row>
    <row r="131" spans="1:137" ht="12.6" customHeight="1">
      <c r="A131" s="73">
        <v>129</v>
      </c>
      <c r="B131" s="74">
        <v>2.5030000000000001</v>
      </c>
      <c r="C131" s="74">
        <v>2.5190000000000001</v>
      </c>
      <c r="D131" s="74">
        <v>2.5349999999999997</v>
      </c>
      <c r="E131" s="74">
        <v>2.5509999999999997</v>
      </c>
      <c r="F131" s="74">
        <v>2.5669999999999997</v>
      </c>
      <c r="G131" s="74">
        <v>2.5819999999999999</v>
      </c>
      <c r="H131" s="74">
        <v>2.597</v>
      </c>
      <c r="I131" s="74">
        <v>2.6109999999999998</v>
      </c>
      <c r="J131" s="74">
        <v>2.6240000000000001</v>
      </c>
      <c r="K131" s="74">
        <v>2.637</v>
      </c>
      <c r="L131" s="74">
        <v>2.65</v>
      </c>
      <c r="M131" s="74">
        <v>2.6619999999999999</v>
      </c>
      <c r="N131" s="74">
        <v>2.6749999999999998</v>
      </c>
      <c r="O131" s="74">
        <v>2.6890000000000001</v>
      </c>
      <c r="P131" s="74">
        <v>2.7029999999999998</v>
      </c>
      <c r="Q131" s="74">
        <v>2.7159999999999997</v>
      </c>
      <c r="R131" s="74">
        <v>2.73</v>
      </c>
      <c r="S131" s="74">
        <v>2.7429999999999999</v>
      </c>
      <c r="T131" s="74">
        <v>2.7549999999999999</v>
      </c>
      <c r="U131" s="74">
        <v>2.7669999999999999</v>
      </c>
      <c r="V131" s="74">
        <v>2.7789999999999999</v>
      </c>
      <c r="W131" s="74">
        <v>2.79</v>
      </c>
      <c r="X131" s="74">
        <v>2.802</v>
      </c>
      <c r="Y131" s="74">
        <v>2.8119999999999998</v>
      </c>
      <c r="Z131" s="74">
        <v>2.823</v>
      </c>
      <c r="AA131" s="74">
        <v>2.8329999999999997</v>
      </c>
      <c r="AB131" s="74">
        <v>2.8420000000000001</v>
      </c>
      <c r="AC131" s="74">
        <v>2.8519999999999999</v>
      </c>
      <c r="AD131" s="75">
        <v>2.8609999999999998</v>
      </c>
      <c r="AE131" s="76"/>
      <c r="AF131" s="76"/>
      <c r="AG131" s="76"/>
      <c r="AH131" s="76"/>
      <c r="AI131" s="76"/>
      <c r="AJ131" s="76"/>
      <c r="AK131" s="76"/>
      <c r="AL131" s="76"/>
      <c r="AM131" s="76"/>
      <c r="AN131" s="76"/>
      <c r="AO131" s="76"/>
      <c r="AP131" s="76"/>
      <c r="AQ131" s="76"/>
      <c r="AR131" s="76"/>
      <c r="AS131" s="76"/>
      <c r="BZ131" s="63" t="str">
        <f t="shared" si="40"/>
        <v>4129</v>
      </c>
      <c r="CA131" s="63" t="str">
        <f t="shared" si="39"/>
        <v>5129</v>
      </c>
      <c r="CB131" s="63" t="str">
        <f t="shared" si="41"/>
        <v>6129</v>
      </c>
      <c r="CC131" s="63" t="str">
        <f t="shared" si="42"/>
        <v>7129</v>
      </c>
      <c r="CD131" s="63" t="str">
        <f t="shared" si="43"/>
        <v>8129</v>
      </c>
      <c r="CE131" s="63" t="str">
        <f t="shared" si="44"/>
        <v>9129</v>
      </c>
      <c r="CF131" s="63" t="str">
        <f t="shared" si="45"/>
        <v>10129</v>
      </c>
      <c r="CG131" s="63" t="str">
        <f t="shared" si="46"/>
        <v>11129</v>
      </c>
      <c r="CH131" s="63" t="str">
        <f t="shared" si="47"/>
        <v>12129</v>
      </c>
      <c r="CI131" s="63" t="str">
        <f t="shared" si="48"/>
        <v>13129</v>
      </c>
      <c r="CJ131" s="63" t="str">
        <f t="shared" si="49"/>
        <v>14129</v>
      </c>
      <c r="CK131" s="63" t="str">
        <f t="shared" si="50"/>
        <v>15129</v>
      </c>
      <c r="CL131" s="63" t="str">
        <f t="shared" si="51"/>
        <v>16129</v>
      </c>
      <c r="CM131" s="63" t="str">
        <f t="shared" si="52"/>
        <v>17129</v>
      </c>
      <c r="CN131" s="63" t="str">
        <f t="shared" si="53"/>
        <v>18129</v>
      </c>
      <c r="CO131" s="63" t="str">
        <f t="shared" si="54"/>
        <v>19129</v>
      </c>
      <c r="CP131" s="63" t="str">
        <f t="shared" si="55"/>
        <v>20129</v>
      </c>
      <c r="CQ131" s="63" t="str">
        <f t="shared" si="56"/>
        <v>21129</v>
      </c>
      <c r="CR131" s="63" t="str">
        <f t="shared" si="57"/>
        <v>22129</v>
      </c>
      <c r="CS131" s="63" t="str">
        <f t="shared" si="58"/>
        <v>23129</v>
      </c>
      <c r="CT131" s="63" t="str">
        <f t="shared" si="59"/>
        <v>24129</v>
      </c>
      <c r="CU131" s="63" t="str">
        <f t="shared" si="60"/>
        <v>25129</v>
      </c>
      <c r="CV131" s="63" t="str">
        <f t="shared" si="61"/>
        <v>26129</v>
      </c>
      <c r="CW131" s="63" t="str">
        <f t="shared" si="62"/>
        <v>27129</v>
      </c>
      <c r="CX131" s="63" t="str">
        <f t="shared" si="63"/>
        <v>28129</v>
      </c>
      <c r="CY131" s="63" t="str">
        <f t="shared" si="64"/>
        <v>29129</v>
      </c>
      <c r="CZ131" s="63" t="str">
        <f t="shared" si="65"/>
        <v>30129</v>
      </c>
      <c r="DA131" s="63" t="str">
        <f t="shared" si="66"/>
        <v>31129</v>
      </c>
      <c r="DB131" s="63" t="str">
        <f t="shared" si="67"/>
        <v>32129</v>
      </c>
      <c r="DD131" s="72" t="s">
        <v>259</v>
      </c>
      <c r="DE131" s="77">
        <f t="shared" si="75"/>
        <v>2.5030000000000001</v>
      </c>
      <c r="DF131" s="77">
        <f t="shared" si="75"/>
        <v>2.5190000000000001</v>
      </c>
      <c r="DG131" s="77">
        <f t="shared" si="75"/>
        <v>2.5350000000000001</v>
      </c>
      <c r="DH131" s="77">
        <f t="shared" si="75"/>
        <v>2.5510000000000002</v>
      </c>
      <c r="DI131" s="77">
        <f t="shared" si="75"/>
        <v>2.5670000000000002</v>
      </c>
      <c r="DJ131" s="77">
        <f t="shared" si="75"/>
        <v>2.5819999999999999</v>
      </c>
      <c r="DK131" s="77">
        <f t="shared" si="75"/>
        <v>2.597</v>
      </c>
      <c r="DL131" s="77">
        <f t="shared" si="75"/>
        <v>2.6110000000000002</v>
      </c>
      <c r="DM131" s="77">
        <f t="shared" si="75"/>
        <v>2.6240000000000001</v>
      </c>
      <c r="DN131" s="77">
        <f t="shared" si="75"/>
        <v>2.637</v>
      </c>
      <c r="DO131" s="77">
        <f t="shared" si="75"/>
        <v>2.65</v>
      </c>
      <c r="DP131" s="77">
        <f t="shared" si="75"/>
        <v>2.6619999999999999</v>
      </c>
      <c r="DQ131" s="77">
        <f t="shared" si="75"/>
        <v>2.6749999999999998</v>
      </c>
      <c r="DR131" s="77">
        <f t="shared" si="75"/>
        <v>2.6890000000000001</v>
      </c>
      <c r="DS131" s="77">
        <f t="shared" si="75"/>
        <v>2.7029999999999998</v>
      </c>
      <c r="DT131" s="77">
        <f t="shared" si="70"/>
        <v>2.7160000000000002</v>
      </c>
      <c r="DU131" s="77">
        <f t="shared" si="69"/>
        <v>2.73</v>
      </c>
      <c r="DV131" s="77">
        <f t="shared" si="69"/>
        <v>2.7429999999999999</v>
      </c>
      <c r="DW131" s="77">
        <f t="shared" si="69"/>
        <v>2.7549999999999999</v>
      </c>
      <c r="DX131" s="77">
        <f t="shared" si="69"/>
        <v>2.7669999999999999</v>
      </c>
      <c r="DY131" s="77">
        <f t="shared" si="69"/>
        <v>2.7789999999999999</v>
      </c>
      <c r="DZ131" s="77">
        <f t="shared" si="69"/>
        <v>2.79</v>
      </c>
      <c r="EA131" s="77">
        <f t="shared" si="74"/>
        <v>2.802</v>
      </c>
      <c r="EB131" s="77">
        <f t="shared" si="74"/>
        <v>2.8119999999999998</v>
      </c>
      <c r="EC131" s="77">
        <f t="shared" si="74"/>
        <v>2.823</v>
      </c>
      <c r="ED131" s="77">
        <f t="shared" si="74"/>
        <v>2.8330000000000002</v>
      </c>
      <c r="EE131" s="77">
        <f t="shared" si="74"/>
        <v>2.8420000000000001</v>
      </c>
      <c r="EF131" s="77">
        <f t="shared" si="72"/>
        <v>2.8519999999999999</v>
      </c>
      <c r="EG131" s="77">
        <f t="shared" si="72"/>
        <v>2.8610000000000002</v>
      </c>
    </row>
    <row r="132" spans="1:137" ht="12.6" customHeight="1">
      <c r="A132" s="73">
        <v>130</v>
      </c>
      <c r="B132" s="74">
        <v>2.508</v>
      </c>
      <c r="C132" s="74">
        <v>2.5249999999999999</v>
      </c>
      <c r="D132" s="74">
        <v>2.5409999999999999</v>
      </c>
      <c r="E132" s="74">
        <v>2.5579999999999998</v>
      </c>
      <c r="F132" s="74">
        <v>2.5739999999999998</v>
      </c>
      <c r="G132" s="74">
        <v>2.589</v>
      </c>
      <c r="H132" s="74">
        <v>2.6029999999999998</v>
      </c>
      <c r="I132" s="74">
        <v>2.617</v>
      </c>
      <c r="J132" s="74">
        <v>2.6309999999999998</v>
      </c>
      <c r="K132" s="74">
        <v>2.6429999999999998</v>
      </c>
      <c r="L132" s="74">
        <v>2.6559999999999997</v>
      </c>
      <c r="M132" s="74">
        <v>2.6680000000000001</v>
      </c>
      <c r="N132" s="74">
        <v>2.681</v>
      </c>
      <c r="O132" s="74">
        <v>2.694</v>
      </c>
      <c r="P132" s="74">
        <v>2.7079999999999997</v>
      </c>
      <c r="Q132" s="74">
        <v>2.722</v>
      </c>
      <c r="R132" s="74">
        <v>2.7349999999999999</v>
      </c>
      <c r="S132" s="74">
        <v>2.7479999999999998</v>
      </c>
      <c r="T132" s="74">
        <v>2.7610000000000001</v>
      </c>
      <c r="U132" s="74">
        <v>2.7730000000000001</v>
      </c>
      <c r="V132" s="74">
        <v>2.7839999999999998</v>
      </c>
      <c r="W132" s="74">
        <v>2.7959999999999998</v>
      </c>
      <c r="X132" s="74">
        <v>2.8069999999999999</v>
      </c>
      <c r="Y132" s="74">
        <v>2.8169999999999997</v>
      </c>
      <c r="Z132" s="74">
        <v>2.8279999999999998</v>
      </c>
      <c r="AA132" s="74">
        <v>2.8380000000000001</v>
      </c>
      <c r="AB132" s="74">
        <v>2.847</v>
      </c>
      <c r="AC132" s="74">
        <v>2.8569999999999998</v>
      </c>
      <c r="AD132" s="75">
        <v>2.8660000000000001</v>
      </c>
      <c r="AE132" s="76"/>
      <c r="AF132" s="76"/>
      <c r="AG132" s="76"/>
      <c r="AH132" s="76"/>
      <c r="AI132" s="76"/>
      <c r="AJ132" s="76"/>
      <c r="AK132" s="76"/>
      <c r="AL132" s="76"/>
      <c r="AM132" s="76"/>
      <c r="AN132" s="76"/>
      <c r="AO132" s="76"/>
      <c r="AP132" s="76"/>
      <c r="AQ132" s="76"/>
      <c r="AR132" s="76"/>
      <c r="AS132" s="76"/>
      <c r="BZ132" s="63" t="str">
        <f t="shared" si="40"/>
        <v>4130</v>
      </c>
      <c r="CA132" s="63" t="str">
        <f t="shared" ref="CA132:CA172" si="76">$C$3&amp;A132</f>
        <v>5130</v>
      </c>
      <c r="CB132" s="63" t="str">
        <f t="shared" si="41"/>
        <v>6130</v>
      </c>
      <c r="CC132" s="63" t="str">
        <f t="shared" si="42"/>
        <v>7130</v>
      </c>
      <c r="CD132" s="63" t="str">
        <f t="shared" si="43"/>
        <v>8130</v>
      </c>
      <c r="CE132" s="63" t="str">
        <f t="shared" si="44"/>
        <v>9130</v>
      </c>
      <c r="CF132" s="63" t="str">
        <f t="shared" si="45"/>
        <v>10130</v>
      </c>
      <c r="CG132" s="63" t="str">
        <f t="shared" si="46"/>
        <v>11130</v>
      </c>
      <c r="CH132" s="63" t="str">
        <f t="shared" si="47"/>
        <v>12130</v>
      </c>
      <c r="CI132" s="63" t="str">
        <f t="shared" si="48"/>
        <v>13130</v>
      </c>
      <c r="CJ132" s="63" t="str">
        <f t="shared" si="49"/>
        <v>14130</v>
      </c>
      <c r="CK132" s="63" t="str">
        <f t="shared" si="50"/>
        <v>15130</v>
      </c>
      <c r="CL132" s="63" t="str">
        <f t="shared" si="51"/>
        <v>16130</v>
      </c>
      <c r="CM132" s="63" t="str">
        <f t="shared" si="52"/>
        <v>17130</v>
      </c>
      <c r="CN132" s="63" t="str">
        <f t="shared" si="53"/>
        <v>18130</v>
      </c>
      <c r="CO132" s="63" t="str">
        <f t="shared" si="54"/>
        <v>19130</v>
      </c>
      <c r="CP132" s="63" t="str">
        <f t="shared" si="55"/>
        <v>20130</v>
      </c>
      <c r="CQ132" s="63" t="str">
        <f t="shared" si="56"/>
        <v>21130</v>
      </c>
      <c r="CR132" s="63" t="str">
        <f t="shared" si="57"/>
        <v>22130</v>
      </c>
      <c r="CS132" s="63" t="str">
        <f t="shared" si="58"/>
        <v>23130</v>
      </c>
      <c r="CT132" s="63" t="str">
        <f t="shared" si="59"/>
        <v>24130</v>
      </c>
      <c r="CU132" s="63" t="str">
        <f t="shared" si="60"/>
        <v>25130</v>
      </c>
      <c r="CV132" s="63" t="str">
        <f t="shared" si="61"/>
        <v>26130</v>
      </c>
      <c r="CW132" s="63" t="str">
        <f t="shared" si="62"/>
        <v>27130</v>
      </c>
      <c r="CX132" s="63" t="str">
        <f t="shared" si="63"/>
        <v>28130</v>
      </c>
      <c r="CY132" s="63" t="str">
        <f t="shared" si="64"/>
        <v>29130</v>
      </c>
      <c r="CZ132" s="63" t="str">
        <f t="shared" si="65"/>
        <v>30130</v>
      </c>
      <c r="DA132" s="63" t="str">
        <f t="shared" si="66"/>
        <v>31130</v>
      </c>
      <c r="DB132" s="63" t="str">
        <f t="shared" si="67"/>
        <v>32130</v>
      </c>
      <c r="DD132" s="72" t="s">
        <v>260</v>
      </c>
      <c r="DE132" s="77">
        <f t="shared" si="75"/>
        <v>2.508</v>
      </c>
      <c r="DF132" s="77">
        <f t="shared" si="75"/>
        <v>2.5249999999999999</v>
      </c>
      <c r="DG132" s="77">
        <f t="shared" si="75"/>
        <v>2.5409999999999999</v>
      </c>
      <c r="DH132" s="77">
        <f t="shared" si="75"/>
        <v>2.5579999999999998</v>
      </c>
      <c r="DI132" s="77">
        <f t="shared" si="75"/>
        <v>2.5739999999999998</v>
      </c>
      <c r="DJ132" s="77">
        <f t="shared" si="75"/>
        <v>2.589</v>
      </c>
      <c r="DK132" s="77">
        <f t="shared" si="75"/>
        <v>2.6030000000000002</v>
      </c>
      <c r="DL132" s="77">
        <f t="shared" si="75"/>
        <v>2.617</v>
      </c>
      <c r="DM132" s="77">
        <f t="shared" si="75"/>
        <v>2.6309999999999998</v>
      </c>
      <c r="DN132" s="77">
        <f t="shared" si="75"/>
        <v>2.6429999999999998</v>
      </c>
      <c r="DO132" s="77">
        <f t="shared" si="75"/>
        <v>2.6560000000000001</v>
      </c>
      <c r="DP132" s="77">
        <f t="shared" si="75"/>
        <v>2.6680000000000001</v>
      </c>
      <c r="DQ132" s="77">
        <f t="shared" si="75"/>
        <v>2.681</v>
      </c>
      <c r="DR132" s="77">
        <f t="shared" si="75"/>
        <v>2.694</v>
      </c>
      <c r="DS132" s="77">
        <f t="shared" si="75"/>
        <v>2.7080000000000002</v>
      </c>
      <c r="DT132" s="77">
        <f t="shared" si="70"/>
        <v>2.722</v>
      </c>
      <c r="DU132" s="77">
        <f t="shared" si="69"/>
        <v>2.7349999999999999</v>
      </c>
      <c r="DV132" s="77">
        <f t="shared" si="69"/>
        <v>2.7480000000000002</v>
      </c>
      <c r="DW132" s="77">
        <f t="shared" si="69"/>
        <v>2.7610000000000001</v>
      </c>
      <c r="DX132" s="77">
        <f t="shared" si="69"/>
        <v>2.7730000000000001</v>
      </c>
      <c r="DY132" s="77">
        <f t="shared" si="69"/>
        <v>2.7839999999999998</v>
      </c>
      <c r="DZ132" s="77">
        <f t="shared" si="69"/>
        <v>2.7959999999999998</v>
      </c>
      <c r="EA132" s="77">
        <f t="shared" si="74"/>
        <v>2.8069999999999999</v>
      </c>
      <c r="EB132" s="77">
        <f t="shared" si="74"/>
        <v>2.8170000000000002</v>
      </c>
      <c r="EC132" s="77">
        <f t="shared" si="74"/>
        <v>2.8279999999999998</v>
      </c>
      <c r="ED132" s="77">
        <f t="shared" si="74"/>
        <v>2.8380000000000001</v>
      </c>
      <c r="EE132" s="77">
        <f t="shared" si="74"/>
        <v>2.847</v>
      </c>
      <c r="EF132" s="77">
        <f t="shared" si="72"/>
        <v>2.8570000000000002</v>
      </c>
      <c r="EG132" s="77">
        <f t="shared" si="72"/>
        <v>2.8660000000000001</v>
      </c>
    </row>
    <row r="133" spans="1:137" ht="12.6" customHeight="1">
      <c r="A133" s="73">
        <v>131</v>
      </c>
      <c r="B133" s="74">
        <v>2.516</v>
      </c>
      <c r="C133" s="74">
        <v>2.532</v>
      </c>
      <c r="D133" s="74">
        <v>2.548</v>
      </c>
      <c r="E133" s="74">
        <v>2.5640000000000001</v>
      </c>
      <c r="F133" s="74">
        <v>2.58</v>
      </c>
      <c r="G133" s="74">
        <v>2.5949999999999998</v>
      </c>
      <c r="H133" s="74">
        <v>2.609</v>
      </c>
      <c r="I133" s="74">
        <v>2.6229999999999998</v>
      </c>
      <c r="J133" s="74">
        <v>2.637</v>
      </c>
      <c r="K133" s="74">
        <v>2.649</v>
      </c>
      <c r="L133" s="74">
        <v>2.6619999999999999</v>
      </c>
      <c r="M133" s="74">
        <v>2.6739999999999999</v>
      </c>
      <c r="N133" s="74">
        <v>2.6869999999999998</v>
      </c>
      <c r="O133" s="74">
        <v>2.6999999999999997</v>
      </c>
      <c r="P133" s="74">
        <v>2.714</v>
      </c>
      <c r="Q133" s="74">
        <v>2.7279999999999998</v>
      </c>
      <c r="R133" s="74">
        <v>2.7410000000000001</v>
      </c>
      <c r="S133" s="74">
        <v>2.754</v>
      </c>
      <c r="T133" s="74">
        <v>2.766</v>
      </c>
      <c r="U133" s="74">
        <v>2.778</v>
      </c>
      <c r="V133" s="74">
        <v>2.79</v>
      </c>
      <c r="W133" s="74">
        <v>2.8009999999999997</v>
      </c>
      <c r="X133" s="74">
        <v>2.8119999999999998</v>
      </c>
      <c r="Y133" s="74">
        <v>2.823</v>
      </c>
      <c r="Z133" s="74">
        <v>2.8329999999999997</v>
      </c>
      <c r="AA133" s="74">
        <v>2.843</v>
      </c>
      <c r="AB133" s="74">
        <v>2.8519999999999999</v>
      </c>
      <c r="AC133" s="74">
        <v>2.8620000000000001</v>
      </c>
      <c r="AD133" s="75">
        <v>2.87</v>
      </c>
      <c r="AE133" s="76"/>
      <c r="AF133" s="76"/>
      <c r="AG133" s="76"/>
      <c r="AH133" s="76"/>
      <c r="AI133" s="76"/>
      <c r="AJ133" s="76"/>
      <c r="AK133" s="76"/>
      <c r="AL133" s="76"/>
      <c r="AM133" s="76"/>
      <c r="AN133" s="76"/>
      <c r="AO133" s="76"/>
      <c r="AP133" s="76"/>
      <c r="AQ133" s="76"/>
      <c r="AR133" s="76"/>
      <c r="AS133" s="76"/>
      <c r="BZ133" s="63" t="str">
        <f t="shared" ref="BZ133:BZ172" si="77">$B$3&amp;A133</f>
        <v>4131</v>
      </c>
      <c r="CA133" s="63" t="str">
        <f t="shared" si="76"/>
        <v>5131</v>
      </c>
      <c r="CB133" s="63" t="str">
        <f t="shared" ref="CB133:CB172" si="78">$D$3&amp;A133</f>
        <v>6131</v>
      </c>
      <c r="CC133" s="63" t="str">
        <f t="shared" ref="CC133:CC172" si="79">$E$3&amp;A133</f>
        <v>7131</v>
      </c>
      <c r="CD133" s="63" t="str">
        <f t="shared" ref="CD133:CD172" si="80">$F$3&amp;A133</f>
        <v>8131</v>
      </c>
      <c r="CE133" s="63" t="str">
        <f t="shared" ref="CE133:CE172" si="81">$G$3&amp;A133</f>
        <v>9131</v>
      </c>
      <c r="CF133" s="63" t="str">
        <f t="shared" ref="CF133:CF172" si="82">$H$3&amp;A133</f>
        <v>10131</v>
      </c>
      <c r="CG133" s="63" t="str">
        <f t="shared" ref="CG133:CG172" si="83">$I$3&amp;A133</f>
        <v>11131</v>
      </c>
      <c r="CH133" s="63" t="str">
        <f t="shared" ref="CH133:CH172" si="84">$J$3&amp;A133</f>
        <v>12131</v>
      </c>
      <c r="CI133" s="63" t="str">
        <f t="shared" ref="CI133:CI172" si="85">$K$3&amp;A133</f>
        <v>13131</v>
      </c>
      <c r="CJ133" s="63" t="str">
        <f t="shared" ref="CJ133:CJ172" si="86">$L$3&amp;A133</f>
        <v>14131</v>
      </c>
      <c r="CK133" s="63" t="str">
        <f t="shared" ref="CK133:CK172" si="87">$M$3&amp;A133</f>
        <v>15131</v>
      </c>
      <c r="CL133" s="63" t="str">
        <f t="shared" ref="CL133:CL172" si="88">$N$3&amp;A133</f>
        <v>16131</v>
      </c>
      <c r="CM133" s="63" t="str">
        <f t="shared" ref="CM133:CM172" si="89">$O$3&amp;A133</f>
        <v>17131</v>
      </c>
      <c r="CN133" s="63" t="str">
        <f t="shared" ref="CN133:CN172" si="90">$P$3&amp;A133</f>
        <v>18131</v>
      </c>
      <c r="CO133" s="63" t="str">
        <f t="shared" ref="CO133:CO172" si="91">$Q$3&amp;A133</f>
        <v>19131</v>
      </c>
      <c r="CP133" s="63" t="str">
        <f t="shared" ref="CP133:CP172" si="92">$R$3&amp;A133</f>
        <v>20131</v>
      </c>
      <c r="CQ133" s="63" t="str">
        <f t="shared" ref="CQ133:CQ172" si="93">$S$3&amp;A133</f>
        <v>21131</v>
      </c>
      <c r="CR133" s="63" t="str">
        <f t="shared" ref="CR133:CR172" si="94">$T$3&amp;A133</f>
        <v>22131</v>
      </c>
      <c r="CS133" s="63" t="str">
        <f t="shared" ref="CS133:CS172" si="95">$U$3&amp;A133</f>
        <v>23131</v>
      </c>
      <c r="CT133" s="63" t="str">
        <f t="shared" ref="CT133:CT172" si="96">$V$3&amp;A133</f>
        <v>24131</v>
      </c>
      <c r="CU133" s="63" t="str">
        <f t="shared" ref="CU133:CU172" si="97">$W$3&amp;A133</f>
        <v>25131</v>
      </c>
      <c r="CV133" s="63" t="str">
        <f t="shared" ref="CV133:CV172" si="98">$X$3&amp;A133</f>
        <v>26131</v>
      </c>
      <c r="CW133" s="63" t="str">
        <f t="shared" ref="CW133:CW172" si="99">$Y$3&amp;A133</f>
        <v>27131</v>
      </c>
      <c r="CX133" s="63" t="str">
        <f t="shared" ref="CX133:CX172" si="100">$Z$3&amp;A133</f>
        <v>28131</v>
      </c>
      <c r="CY133" s="63" t="str">
        <f t="shared" ref="CY133:CY172" si="101">$AA$3&amp;A133</f>
        <v>29131</v>
      </c>
      <c r="CZ133" s="63" t="str">
        <f t="shared" ref="CZ133:CZ172" si="102">$AB$3&amp;A133</f>
        <v>30131</v>
      </c>
      <c r="DA133" s="63" t="str">
        <f t="shared" ref="DA133:DA172" si="103">$AC$3&amp;A133</f>
        <v>31131</v>
      </c>
      <c r="DB133" s="63" t="str">
        <f t="shared" ref="DB133:DB172" si="104">$AD$3&amp;A133</f>
        <v>32131</v>
      </c>
      <c r="DD133" s="72" t="s">
        <v>261</v>
      </c>
      <c r="DE133" s="77">
        <f t="shared" si="75"/>
        <v>2.516</v>
      </c>
      <c r="DF133" s="77">
        <f t="shared" si="75"/>
        <v>2.532</v>
      </c>
      <c r="DG133" s="77">
        <f t="shared" si="75"/>
        <v>2.548</v>
      </c>
      <c r="DH133" s="77">
        <f t="shared" si="75"/>
        <v>2.5640000000000001</v>
      </c>
      <c r="DI133" s="77">
        <f t="shared" si="75"/>
        <v>2.58</v>
      </c>
      <c r="DJ133" s="77">
        <f t="shared" si="75"/>
        <v>2.5950000000000002</v>
      </c>
      <c r="DK133" s="77">
        <f t="shared" si="75"/>
        <v>2.609</v>
      </c>
      <c r="DL133" s="77">
        <f t="shared" si="75"/>
        <v>2.6230000000000002</v>
      </c>
      <c r="DM133" s="77">
        <f t="shared" si="75"/>
        <v>2.637</v>
      </c>
      <c r="DN133" s="77">
        <f t="shared" si="75"/>
        <v>2.649</v>
      </c>
      <c r="DO133" s="77">
        <f t="shared" si="75"/>
        <v>2.6619999999999999</v>
      </c>
      <c r="DP133" s="77">
        <f t="shared" si="75"/>
        <v>2.6739999999999999</v>
      </c>
      <c r="DQ133" s="77">
        <f t="shared" si="75"/>
        <v>2.6869999999999998</v>
      </c>
      <c r="DR133" s="77">
        <f t="shared" si="75"/>
        <v>2.7</v>
      </c>
      <c r="DS133" s="77">
        <f t="shared" si="75"/>
        <v>2.714</v>
      </c>
      <c r="DT133" s="77">
        <f t="shared" si="70"/>
        <v>2.7280000000000002</v>
      </c>
      <c r="DU133" s="77">
        <f t="shared" si="69"/>
        <v>2.7410000000000001</v>
      </c>
      <c r="DV133" s="77">
        <f t="shared" si="69"/>
        <v>2.754</v>
      </c>
      <c r="DW133" s="77">
        <f t="shared" si="69"/>
        <v>2.766</v>
      </c>
      <c r="DX133" s="77">
        <f t="shared" si="69"/>
        <v>2.778</v>
      </c>
      <c r="DY133" s="77">
        <f t="shared" si="69"/>
        <v>2.79</v>
      </c>
      <c r="DZ133" s="77">
        <f t="shared" si="69"/>
        <v>2.8010000000000002</v>
      </c>
      <c r="EA133" s="77">
        <f t="shared" si="74"/>
        <v>2.8119999999999998</v>
      </c>
      <c r="EB133" s="77">
        <f t="shared" si="74"/>
        <v>2.823</v>
      </c>
      <c r="EC133" s="77">
        <f t="shared" si="74"/>
        <v>2.8330000000000002</v>
      </c>
      <c r="ED133" s="77">
        <f t="shared" si="74"/>
        <v>2.843</v>
      </c>
      <c r="EE133" s="77">
        <f t="shared" si="74"/>
        <v>2.8519999999999999</v>
      </c>
      <c r="EF133" s="77">
        <f t="shared" si="72"/>
        <v>2.8620000000000001</v>
      </c>
      <c r="EG133" s="77">
        <f t="shared" si="72"/>
        <v>2.87</v>
      </c>
    </row>
    <row r="134" spans="1:137" ht="12.6" customHeight="1">
      <c r="A134" s="73">
        <v>132</v>
      </c>
      <c r="B134" s="74">
        <v>2.5219999999999998</v>
      </c>
      <c r="C134" s="74">
        <v>2.5379999999999998</v>
      </c>
      <c r="D134" s="74">
        <v>2.5539999999999998</v>
      </c>
      <c r="E134" s="74">
        <v>2.5709999999999997</v>
      </c>
      <c r="F134" s="74">
        <v>2.5859999999999999</v>
      </c>
      <c r="G134" s="74">
        <v>2.601</v>
      </c>
      <c r="H134" s="74">
        <v>2.6160000000000001</v>
      </c>
      <c r="I134" s="74">
        <v>2.629</v>
      </c>
      <c r="J134" s="74">
        <v>2.6429999999999998</v>
      </c>
      <c r="K134" s="74">
        <v>2.6549999999999998</v>
      </c>
      <c r="L134" s="74">
        <v>2.6679999999999997</v>
      </c>
      <c r="M134" s="74">
        <v>2.6799999999999997</v>
      </c>
      <c r="N134" s="74">
        <v>2.6930000000000001</v>
      </c>
      <c r="O134" s="74">
        <v>2.706</v>
      </c>
      <c r="P134" s="74">
        <v>2.7199999999999998</v>
      </c>
      <c r="Q134" s="74">
        <v>2.7330000000000001</v>
      </c>
      <c r="R134" s="74">
        <v>2.746</v>
      </c>
      <c r="S134" s="74">
        <v>2.7589999999999999</v>
      </c>
      <c r="T134" s="74">
        <v>2.7709999999999999</v>
      </c>
      <c r="U134" s="74">
        <v>2.7829999999999999</v>
      </c>
      <c r="V134" s="74">
        <v>2.7949999999999999</v>
      </c>
      <c r="W134" s="74">
        <v>2.806</v>
      </c>
      <c r="X134" s="74">
        <v>2.8169999999999997</v>
      </c>
      <c r="Y134" s="74">
        <v>2.8279999999999998</v>
      </c>
      <c r="Z134" s="74">
        <v>2.8380000000000001</v>
      </c>
      <c r="AA134" s="74">
        <v>2.8479999999999999</v>
      </c>
      <c r="AB134" s="74">
        <v>2.8569999999999998</v>
      </c>
      <c r="AC134" s="74">
        <v>2.8660000000000001</v>
      </c>
      <c r="AD134" s="75">
        <v>2.875</v>
      </c>
      <c r="AE134" s="76"/>
      <c r="AF134" s="76"/>
      <c r="AG134" s="76"/>
      <c r="AH134" s="76"/>
      <c r="AI134" s="76"/>
      <c r="AJ134" s="76"/>
      <c r="AK134" s="76"/>
      <c r="AL134" s="76"/>
      <c r="AM134" s="76"/>
      <c r="AN134" s="76"/>
      <c r="AO134" s="76"/>
      <c r="AP134" s="76"/>
      <c r="AQ134" s="76"/>
      <c r="AR134" s="76"/>
      <c r="AS134" s="76"/>
      <c r="BZ134" s="63" t="str">
        <f t="shared" si="77"/>
        <v>4132</v>
      </c>
      <c r="CA134" s="63" t="str">
        <f t="shared" si="76"/>
        <v>5132</v>
      </c>
      <c r="CB134" s="63" t="str">
        <f t="shared" si="78"/>
        <v>6132</v>
      </c>
      <c r="CC134" s="63" t="str">
        <f t="shared" si="79"/>
        <v>7132</v>
      </c>
      <c r="CD134" s="63" t="str">
        <f t="shared" si="80"/>
        <v>8132</v>
      </c>
      <c r="CE134" s="63" t="str">
        <f t="shared" si="81"/>
        <v>9132</v>
      </c>
      <c r="CF134" s="63" t="str">
        <f t="shared" si="82"/>
        <v>10132</v>
      </c>
      <c r="CG134" s="63" t="str">
        <f t="shared" si="83"/>
        <v>11132</v>
      </c>
      <c r="CH134" s="63" t="str">
        <f t="shared" si="84"/>
        <v>12132</v>
      </c>
      <c r="CI134" s="63" t="str">
        <f t="shared" si="85"/>
        <v>13132</v>
      </c>
      <c r="CJ134" s="63" t="str">
        <f t="shared" si="86"/>
        <v>14132</v>
      </c>
      <c r="CK134" s="63" t="str">
        <f t="shared" si="87"/>
        <v>15132</v>
      </c>
      <c r="CL134" s="63" t="str">
        <f t="shared" si="88"/>
        <v>16132</v>
      </c>
      <c r="CM134" s="63" t="str">
        <f t="shared" si="89"/>
        <v>17132</v>
      </c>
      <c r="CN134" s="63" t="str">
        <f t="shared" si="90"/>
        <v>18132</v>
      </c>
      <c r="CO134" s="63" t="str">
        <f t="shared" si="91"/>
        <v>19132</v>
      </c>
      <c r="CP134" s="63" t="str">
        <f t="shared" si="92"/>
        <v>20132</v>
      </c>
      <c r="CQ134" s="63" t="str">
        <f t="shared" si="93"/>
        <v>21132</v>
      </c>
      <c r="CR134" s="63" t="str">
        <f t="shared" si="94"/>
        <v>22132</v>
      </c>
      <c r="CS134" s="63" t="str">
        <f t="shared" si="95"/>
        <v>23132</v>
      </c>
      <c r="CT134" s="63" t="str">
        <f t="shared" si="96"/>
        <v>24132</v>
      </c>
      <c r="CU134" s="63" t="str">
        <f t="shared" si="97"/>
        <v>25132</v>
      </c>
      <c r="CV134" s="63" t="str">
        <f t="shared" si="98"/>
        <v>26132</v>
      </c>
      <c r="CW134" s="63" t="str">
        <f t="shared" si="99"/>
        <v>27132</v>
      </c>
      <c r="CX134" s="63" t="str">
        <f t="shared" si="100"/>
        <v>28132</v>
      </c>
      <c r="CY134" s="63" t="str">
        <f t="shared" si="101"/>
        <v>29132</v>
      </c>
      <c r="CZ134" s="63" t="str">
        <f t="shared" si="102"/>
        <v>30132</v>
      </c>
      <c r="DA134" s="63" t="str">
        <f t="shared" si="103"/>
        <v>31132</v>
      </c>
      <c r="DB134" s="63" t="str">
        <f t="shared" si="104"/>
        <v>32132</v>
      </c>
      <c r="DD134" s="72" t="s">
        <v>262</v>
      </c>
      <c r="DE134" s="77">
        <f t="shared" ref="DE134:DT149" si="105">ROUND(B134,3)</f>
        <v>2.5219999999999998</v>
      </c>
      <c r="DF134" s="77">
        <f t="shared" si="105"/>
        <v>2.5379999999999998</v>
      </c>
      <c r="DG134" s="77">
        <f t="shared" si="105"/>
        <v>2.5539999999999998</v>
      </c>
      <c r="DH134" s="77">
        <f t="shared" si="105"/>
        <v>2.5710000000000002</v>
      </c>
      <c r="DI134" s="77">
        <f t="shared" si="105"/>
        <v>2.5859999999999999</v>
      </c>
      <c r="DJ134" s="77">
        <f t="shared" si="105"/>
        <v>2.601</v>
      </c>
      <c r="DK134" s="77">
        <f t="shared" si="105"/>
        <v>2.6160000000000001</v>
      </c>
      <c r="DL134" s="77">
        <f t="shared" si="105"/>
        <v>2.629</v>
      </c>
      <c r="DM134" s="77">
        <f t="shared" si="105"/>
        <v>2.6429999999999998</v>
      </c>
      <c r="DN134" s="77">
        <f t="shared" si="105"/>
        <v>2.6549999999999998</v>
      </c>
      <c r="DO134" s="77">
        <f t="shared" si="105"/>
        <v>2.6680000000000001</v>
      </c>
      <c r="DP134" s="77">
        <f t="shared" si="105"/>
        <v>2.68</v>
      </c>
      <c r="DQ134" s="77">
        <f t="shared" si="105"/>
        <v>2.6930000000000001</v>
      </c>
      <c r="DR134" s="77">
        <f t="shared" si="105"/>
        <v>2.706</v>
      </c>
      <c r="DS134" s="77">
        <f t="shared" si="105"/>
        <v>2.72</v>
      </c>
      <c r="DT134" s="77">
        <f t="shared" si="70"/>
        <v>2.7330000000000001</v>
      </c>
      <c r="DU134" s="77">
        <f t="shared" si="69"/>
        <v>2.746</v>
      </c>
      <c r="DV134" s="77">
        <f t="shared" si="69"/>
        <v>2.7589999999999999</v>
      </c>
      <c r="DW134" s="77">
        <f t="shared" si="69"/>
        <v>2.7709999999999999</v>
      </c>
      <c r="DX134" s="77">
        <f t="shared" si="69"/>
        <v>2.7829999999999999</v>
      </c>
      <c r="DY134" s="77">
        <f t="shared" si="69"/>
        <v>2.7949999999999999</v>
      </c>
      <c r="DZ134" s="77">
        <f t="shared" si="69"/>
        <v>2.806</v>
      </c>
      <c r="EA134" s="77">
        <f t="shared" si="74"/>
        <v>2.8170000000000002</v>
      </c>
      <c r="EB134" s="77">
        <f t="shared" si="74"/>
        <v>2.8279999999999998</v>
      </c>
      <c r="EC134" s="77">
        <f t="shared" si="74"/>
        <v>2.8380000000000001</v>
      </c>
      <c r="ED134" s="77">
        <f t="shared" si="74"/>
        <v>2.8479999999999999</v>
      </c>
      <c r="EE134" s="77">
        <f t="shared" si="74"/>
        <v>2.8570000000000002</v>
      </c>
      <c r="EF134" s="77">
        <f t="shared" si="72"/>
        <v>2.8660000000000001</v>
      </c>
      <c r="EG134" s="77">
        <f t="shared" si="72"/>
        <v>2.875</v>
      </c>
    </row>
    <row r="135" spans="1:137" ht="12.6" customHeight="1">
      <c r="A135" s="73">
        <v>133</v>
      </c>
      <c r="B135" s="74">
        <v>2.5289999999999999</v>
      </c>
      <c r="C135" s="74">
        <v>2.5449999999999999</v>
      </c>
      <c r="D135" s="74">
        <v>2.5609999999999999</v>
      </c>
      <c r="E135" s="74">
        <v>2.577</v>
      </c>
      <c r="F135" s="74">
        <v>2.593</v>
      </c>
      <c r="G135" s="74">
        <v>2.6069999999999998</v>
      </c>
      <c r="H135" s="74">
        <v>2.6219999999999999</v>
      </c>
      <c r="I135" s="74">
        <v>2.6349999999999998</v>
      </c>
      <c r="J135" s="74">
        <v>2.649</v>
      </c>
      <c r="K135" s="74">
        <v>2.661</v>
      </c>
      <c r="L135" s="74">
        <v>2.6739999999999999</v>
      </c>
      <c r="M135" s="74">
        <v>2.6859999999999999</v>
      </c>
      <c r="N135" s="74">
        <v>2.6989999999999998</v>
      </c>
      <c r="O135" s="74">
        <v>2.7119999999999997</v>
      </c>
      <c r="P135" s="74">
        <v>2.7250000000000001</v>
      </c>
      <c r="Q135" s="74">
        <v>2.7389999999999999</v>
      </c>
      <c r="R135" s="74">
        <v>2.7519999999999998</v>
      </c>
      <c r="S135" s="74">
        <v>2.7639999999999998</v>
      </c>
      <c r="T135" s="74">
        <v>2.7769999999999997</v>
      </c>
      <c r="U135" s="74">
        <v>2.7889999999999997</v>
      </c>
      <c r="V135" s="74">
        <v>2.8</v>
      </c>
      <c r="W135" s="74">
        <v>2.8109999999999999</v>
      </c>
      <c r="X135" s="74">
        <v>2.8220000000000001</v>
      </c>
      <c r="Y135" s="74">
        <v>2.8329999999999997</v>
      </c>
      <c r="Z135" s="74">
        <v>2.843</v>
      </c>
      <c r="AA135" s="74">
        <v>2.8529999999999998</v>
      </c>
      <c r="AB135" s="74">
        <v>2.8620000000000001</v>
      </c>
      <c r="AC135" s="74">
        <v>2.871</v>
      </c>
      <c r="AD135" s="75">
        <v>2.88</v>
      </c>
      <c r="AE135" s="76"/>
      <c r="AF135" s="76"/>
      <c r="AG135" s="76"/>
      <c r="AH135" s="76"/>
      <c r="AI135" s="76"/>
      <c r="AJ135" s="76"/>
      <c r="AK135" s="76"/>
      <c r="AL135" s="76"/>
      <c r="AM135" s="76"/>
      <c r="AN135" s="76"/>
      <c r="AO135" s="76"/>
      <c r="AP135" s="76"/>
      <c r="AQ135" s="76"/>
      <c r="AR135" s="76"/>
      <c r="AS135" s="76"/>
      <c r="BZ135" s="63" t="str">
        <f t="shared" si="77"/>
        <v>4133</v>
      </c>
      <c r="CA135" s="63" t="str">
        <f t="shared" si="76"/>
        <v>5133</v>
      </c>
      <c r="CB135" s="63" t="str">
        <f t="shared" si="78"/>
        <v>6133</v>
      </c>
      <c r="CC135" s="63" t="str">
        <f t="shared" si="79"/>
        <v>7133</v>
      </c>
      <c r="CD135" s="63" t="str">
        <f t="shared" si="80"/>
        <v>8133</v>
      </c>
      <c r="CE135" s="63" t="str">
        <f t="shared" si="81"/>
        <v>9133</v>
      </c>
      <c r="CF135" s="63" t="str">
        <f t="shared" si="82"/>
        <v>10133</v>
      </c>
      <c r="CG135" s="63" t="str">
        <f t="shared" si="83"/>
        <v>11133</v>
      </c>
      <c r="CH135" s="63" t="str">
        <f t="shared" si="84"/>
        <v>12133</v>
      </c>
      <c r="CI135" s="63" t="str">
        <f t="shared" si="85"/>
        <v>13133</v>
      </c>
      <c r="CJ135" s="63" t="str">
        <f t="shared" si="86"/>
        <v>14133</v>
      </c>
      <c r="CK135" s="63" t="str">
        <f t="shared" si="87"/>
        <v>15133</v>
      </c>
      <c r="CL135" s="63" t="str">
        <f t="shared" si="88"/>
        <v>16133</v>
      </c>
      <c r="CM135" s="63" t="str">
        <f t="shared" si="89"/>
        <v>17133</v>
      </c>
      <c r="CN135" s="63" t="str">
        <f t="shared" si="90"/>
        <v>18133</v>
      </c>
      <c r="CO135" s="63" t="str">
        <f t="shared" si="91"/>
        <v>19133</v>
      </c>
      <c r="CP135" s="63" t="str">
        <f t="shared" si="92"/>
        <v>20133</v>
      </c>
      <c r="CQ135" s="63" t="str">
        <f t="shared" si="93"/>
        <v>21133</v>
      </c>
      <c r="CR135" s="63" t="str">
        <f t="shared" si="94"/>
        <v>22133</v>
      </c>
      <c r="CS135" s="63" t="str">
        <f t="shared" si="95"/>
        <v>23133</v>
      </c>
      <c r="CT135" s="63" t="str">
        <f t="shared" si="96"/>
        <v>24133</v>
      </c>
      <c r="CU135" s="63" t="str">
        <f t="shared" si="97"/>
        <v>25133</v>
      </c>
      <c r="CV135" s="63" t="str">
        <f t="shared" si="98"/>
        <v>26133</v>
      </c>
      <c r="CW135" s="63" t="str">
        <f t="shared" si="99"/>
        <v>27133</v>
      </c>
      <c r="CX135" s="63" t="str">
        <f t="shared" si="100"/>
        <v>28133</v>
      </c>
      <c r="CY135" s="63" t="str">
        <f t="shared" si="101"/>
        <v>29133</v>
      </c>
      <c r="CZ135" s="63" t="str">
        <f t="shared" si="102"/>
        <v>30133</v>
      </c>
      <c r="DA135" s="63" t="str">
        <f t="shared" si="103"/>
        <v>31133</v>
      </c>
      <c r="DB135" s="63" t="str">
        <f t="shared" si="104"/>
        <v>32133</v>
      </c>
      <c r="DD135" s="72" t="s">
        <v>263</v>
      </c>
      <c r="DE135" s="77">
        <f t="shared" si="105"/>
        <v>2.5289999999999999</v>
      </c>
      <c r="DF135" s="77">
        <f t="shared" si="105"/>
        <v>2.5449999999999999</v>
      </c>
      <c r="DG135" s="77">
        <f t="shared" si="105"/>
        <v>2.5609999999999999</v>
      </c>
      <c r="DH135" s="77">
        <f t="shared" si="105"/>
        <v>2.577</v>
      </c>
      <c r="DI135" s="77">
        <f t="shared" si="105"/>
        <v>2.593</v>
      </c>
      <c r="DJ135" s="77">
        <f t="shared" si="105"/>
        <v>2.6070000000000002</v>
      </c>
      <c r="DK135" s="77">
        <f t="shared" si="105"/>
        <v>2.6219999999999999</v>
      </c>
      <c r="DL135" s="77">
        <f t="shared" si="105"/>
        <v>2.6349999999999998</v>
      </c>
      <c r="DM135" s="77">
        <f t="shared" si="105"/>
        <v>2.649</v>
      </c>
      <c r="DN135" s="77">
        <f t="shared" si="105"/>
        <v>2.661</v>
      </c>
      <c r="DO135" s="77">
        <f t="shared" si="105"/>
        <v>2.6739999999999999</v>
      </c>
      <c r="DP135" s="77">
        <f t="shared" si="105"/>
        <v>2.6859999999999999</v>
      </c>
      <c r="DQ135" s="77">
        <f t="shared" si="105"/>
        <v>2.6989999999999998</v>
      </c>
      <c r="DR135" s="77">
        <f t="shared" si="105"/>
        <v>2.7120000000000002</v>
      </c>
      <c r="DS135" s="77">
        <f t="shared" si="105"/>
        <v>2.7250000000000001</v>
      </c>
      <c r="DT135" s="77">
        <f t="shared" si="70"/>
        <v>2.7389999999999999</v>
      </c>
      <c r="DU135" s="77">
        <f t="shared" si="69"/>
        <v>2.7519999999999998</v>
      </c>
      <c r="DV135" s="77">
        <f t="shared" si="69"/>
        <v>2.7639999999999998</v>
      </c>
      <c r="DW135" s="77">
        <f t="shared" si="69"/>
        <v>2.7770000000000001</v>
      </c>
      <c r="DX135" s="77">
        <f t="shared" si="69"/>
        <v>2.7890000000000001</v>
      </c>
      <c r="DY135" s="77">
        <f t="shared" si="69"/>
        <v>2.8</v>
      </c>
      <c r="DZ135" s="77">
        <f t="shared" si="69"/>
        <v>2.8109999999999999</v>
      </c>
      <c r="EA135" s="77">
        <f t="shared" si="74"/>
        <v>2.8220000000000001</v>
      </c>
      <c r="EB135" s="77">
        <f t="shared" si="74"/>
        <v>2.8330000000000002</v>
      </c>
      <c r="EC135" s="77">
        <f t="shared" si="74"/>
        <v>2.843</v>
      </c>
      <c r="ED135" s="77">
        <f t="shared" si="74"/>
        <v>2.8530000000000002</v>
      </c>
      <c r="EE135" s="77">
        <f t="shared" si="74"/>
        <v>2.8620000000000001</v>
      </c>
      <c r="EF135" s="77">
        <f t="shared" si="72"/>
        <v>2.871</v>
      </c>
      <c r="EG135" s="77">
        <f t="shared" si="72"/>
        <v>2.88</v>
      </c>
    </row>
    <row r="136" spans="1:137" ht="12.6" customHeight="1">
      <c r="A136" s="73">
        <v>134</v>
      </c>
      <c r="B136" s="74">
        <v>2.5349999999999997</v>
      </c>
      <c r="C136" s="74">
        <v>2.5509999999999997</v>
      </c>
      <c r="D136" s="74">
        <v>2.5669999999999997</v>
      </c>
      <c r="E136" s="74">
        <v>2.5829999999999997</v>
      </c>
      <c r="F136" s="74">
        <v>2.5989999999999998</v>
      </c>
      <c r="G136" s="74">
        <v>2.613</v>
      </c>
      <c r="H136" s="74">
        <v>2.6280000000000001</v>
      </c>
      <c r="I136" s="74">
        <v>2.641</v>
      </c>
      <c r="J136" s="74">
        <v>2.6549999999999998</v>
      </c>
      <c r="K136" s="74">
        <v>2.6669999999999998</v>
      </c>
      <c r="L136" s="74">
        <v>2.6799999999999997</v>
      </c>
      <c r="M136" s="74">
        <v>2.6919999999999997</v>
      </c>
      <c r="N136" s="74">
        <v>2.7039999999999997</v>
      </c>
      <c r="O136" s="74">
        <v>2.7170000000000001</v>
      </c>
      <c r="P136" s="74">
        <v>2.7309999999999999</v>
      </c>
      <c r="Q136" s="74">
        <v>2.7439999999999998</v>
      </c>
      <c r="R136" s="74">
        <v>2.7570000000000001</v>
      </c>
      <c r="S136" s="74">
        <v>2.77</v>
      </c>
      <c r="T136" s="74">
        <v>2.782</v>
      </c>
      <c r="U136" s="74">
        <v>2.794</v>
      </c>
      <c r="V136" s="74">
        <v>2.8049999999999997</v>
      </c>
      <c r="W136" s="74">
        <v>2.8169999999999997</v>
      </c>
      <c r="X136" s="74">
        <v>2.827</v>
      </c>
      <c r="Y136" s="74">
        <v>2.8380000000000001</v>
      </c>
      <c r="Z136" s="74">
        <v>2.8479999999999999</v>
      </c>
      <c r="AA136" s="74">
        <v>2.8580000000000001</v>
      </c>
      <c r="AB136" s="74">
        <v>2.867</v>
      </c>
      <c r="AC136" s="74">
        <v>2.8759999999999999</v>
      </c>
      <c r="AD136" s="75">
        <v>2.8849999999999998</v>
      </c>
      <c r="AE136" s="76"/>
      <c r="AF136" s="76"/>
      <c r="AG136" s="76"/>
      <c r="AH136" s="76"/>
      <c r="AI136" s="76"/>
      <c r="AJ136" s="76"/>
      <c r="AK136" s="76"/>
      <c r="AL136" s="76"/>
      <c r="AM136" s="76"/>
      <c r="AN136" s="76"/>
      <c r="AO136" s="76"/>
      <c r="AP136" s="76"/>
      <c r="AQ136" s="76"/>
      <c r="AR136" s="76"/>
      <c r="AS136" s="76"/>
      <c r="BZ136" s="63" t="str">
        <f t="shared" si="77"/>
        <v>4134</v>
      </c>
      <c r="CA136" s="63" t="str">
        <f t="shared" si="76"/>
        <v>5134</v>
      </c>
      <c r="CB136" s="63" t="str">
        <f t="shared" si="78"/>
        <v>6134</v>
      </c>
      <c r="CC136" s="63" t="str">
        <f t="shared" si="79"/>
        <v>7134</v>
      </c>
      <c r="CD136" s="63" t="str">
        <f t="shared" si="80"/>
        <v>8134</v>
      </c>
      <c r="CE136" s="63" t="str">
        <f t="shared" si="81"/>
        <v>9134</v>
      </c>
      <c r="CF136" s="63" t="str">
        <f t="shared" si="82"/>
        <v>10134</v>
      </c>
      <c r="CG136" s="63" t="str">
        <f t="shared" si="83"/>
        <v>11134</v>
      </c>
      <c r="CH136" s="63" t="str">
        <f t="shared" si="84"/>
        <v>12134</v>
      </c>
      <c r="CI136" s="63" t="str">
        <f t="shared" si="85"/>
        <v>13134</v>
      </c>
      <c r="CJ136" s="63" t="str">
        <f t="shared" si="86"/>
        <v>14134</v>
      </c>
      <c r="CK136" s="63" t="str">
        <f t="shared" si="87"/>
        <v>15134</v>
      </c>
      <c r="CL136" s="63" t="str">
        <f t="shared" si="88"/>
        <v>16134</v>
      </c>
      <c r="CM136" s="63" t="str">
        <f t="shared" si="89"/>
        <v>17134</v>
      </c>
      <c r="CN136" s="63" t="str">
        <f t="shared" si="90"/>
        <v>18134</v>
      </c>
      <c r="CO136" s="63" t="str">
        <f t="shared" si="91"/>
        <v>19134</v>
      </c>
      <c r="CP136" s="63" t="str">
        <f t="shared" si="92"/>
        <v>20134</v>
      </c>
      <c r="CQ136" s="63" t="str">
        <f t="shared" si="93"/>
        <v>21134</v>
      </c>
      <c r="CR136" s="63" t="str">
        <f t="shared" si="94"/>
        <v>22134</v>
      </c>
      <c r="CS136" s="63" t="str">
        <f t="shared" si="95"/>
        <v>23134</v>
      </c>
      <c r="CT136" s="63" t="str">
        <f t="shared" si="96"/>
        <v>24134</v>
      </c>
      <c r="CU136" s="63" t="str">
        <f t="shared" si="97"/>
        <v>25134</v>
      </c>
      <c r="CV136" s="63" t="str">
        <f t="shared" si="98"/>
        <v>26134</v>
      </c>
      <c r="CW136" s="63" t="str">
        <f t="shared" si="99"/>
        <v>27134</v>
      </c>
      <c r="CX136" s="63" t="str">
        <f t="shared" si="100"/>
        <v>28134</v>
      </c>
      <c r="CY136" s="63" t="str">
        <f t="shared" si="101"/>
        <v>29134</v>
      </c>
      <c r="CZ136" s="63" t="str">
        <f t="shared" si="102"/>
        <v>30134</v>
      </c>
      <c r="DA136" s="63" t="str">
        <f t="shared" si="103"/>
        <v>31134</v>
      </c>
      <c r="DB136" s="63" t="str">
        <f t="shared" si="104"/>
        <v>32134</v>
      </c>
      <c r="DD136" s="72" t="s">
        <v>264</v>
      </c>
      <c r="DE136" s="77">
        <f t="shared" si="105"/>
        <v>2.5350000000000001</v>
      </c>
      <c r="DF136" s="77">
        <f t="shared" si="105"/>
        <v>2.5510000000000002</v>
      </c>
      <c r="DG136" s="77">
        <f t="shared" si="105"/>
        <v>2.5670000000000002</v>
      </c>
      <c r="DH136" s="77">
        <f t="shared" si="105"/>
        <v>2.5830000000000002</v>
      </c>
      <c r="DI136" s="77">
        <f t="shared" si="105"/>
        <v>2.5990000000000002</v>
      </c>
      <c r="DJ136" s="77">
        <f t="shared" si="105"/>
        <v>2.613</v>
      </c>
      <c r="DK136" s="77">
        <f t="shared" si="105"/>
        <v>2.6280000000000001</v>
      </c>
      <c r="DL136" s="77">
        <f t="shared" si="105"/>
        <v>2.641</v>
      </c>
      <c r="DM136" s="77">
        <f t="shared" si="105"/>
        <v>2.6549999999999998</v>
      </c>
      <c r="DN136" s="77">
        <f t="shared" si="105"/>
        <v>2.6669999999999998</v>
      </c>
      <c r="DO136" s="77">
        <f t="shared" si="105"/>
        <v>2.68</v>
      </c>
      <c r="DP136" s="77">
        <f t="shared" si="105"/>
        <v>2.6920000000000002</v>
      </c>
      <c r="DQ136" s="77">
        <f t="shared" si="105"/>
        <v>2.7040000000000002</v>
      </c>
      <c r="DR136" s="77">
        <f t="shared" si="105"/>
        <v>2.7170000000000001</v>
      </c>
      <c r="DS136" s="77">
        <f t="shared" si="105"/>
        <v>2.7309999999999999</v>
      </c>
      <c r="DT136" s="77">
        <f t="shared" si="70"/>
        <v>2.7440000000000002</v>
      </c>
      <c r="DU136" s="77">
        <f t="shared" si="69"/>
        <v>2.7570000000000001</v>
      </c>
      <c r="DV136" s="77">
        <f t="shared" si="69"/>
        <v>2.77</v>
      </c>
      <c r="DW136" s="77">
        <f t="shared" si="69"/>
        <v>2.782</v>
      </c>
      <c r="DX136" s="77">
        <f t="shared" si="69"/>
        <v>2.794</v>
      </c>
      <c r="DY136" s="77">
        <f t="shared" si="69"/>
        <v>2.8050000000000002</v>
      </c>
      <c r="DZ136" s="77">
        <f t="shared" si="69"/>
        <v>2.8170000000000002</v>
      </c>
      <c r="EA136" s="77">
        <f t="shared" si="74"/>
        <v>2.827</v>
      </c>
      <c r="EB136" s="77">
        <f t="shared" si="74"/>
        <v>2.8380000000000001</v>
      </c>
      <c r="EC136" s="77">
        <f t="shared" si="74"/>
        <v>2.8479999999999999</v>
      </c>
      <c r="ED136" s="77">
        <f t="shared" si="74"/>
        <v>2.8580000000000001</v>
      </c>
      <c r="EE136" s="77">
        <f t="shared" si="74"/>
        <v>2.867</v>
      </c>
      <c r="EF136" s="77">
        <f t="shared" si="72"/>
        <v>2.8759999999999999</v>
      </c>
      <c r="EG136" s="77">
        <f t="shared" si="72"/>
        <v>2.8849999999999998</v>
      </c>
    </row>
    <row r="137" spans="1:137" ht="12.6" customHeight="1">
      <c r="A137" s="73">
        <v>135</v>
      </c>
      <c r="B137" s="74">
        <v>2.5409999999999999</v>
      </c>
      <c r="C137" s="74">
        <v>2.5569999999999999</v>
      </c>
      <c r="D137" s="74">
        <v>2.573</v>
      </c>
      <c r="E137" s="74">
        <v>2.59</v>
      </c>
      <c r="F137" s="74">
        <v>2.605</v>
      </c>
      <c r="G137" s="74">
        <v>2.62</v>
      </c>
      <c r="H137" s="74">
        <v>2.6339999999999999</v>
      </c>
      <c r="I137" s="74">
        <v>2.6469999999999998</v>
      </c>
      <c r="J137" s="74">
        <v>2.6599999999999997</v>
      </c>
      <c r="K137" s="74">
        <v>2.673</v>
      </c>
      <c r="L137" s="74">
        <v>2.6850000000000001</v>
      </c>
      <c r="M137" s="74">
        <v>2.6970000000000001</v>
      </c>
      <c r="N137" s="74">
        <v>2.71</v>
      </c>
      <c r="O137" s="74">
        <v>2.7229999999999999</v>
      </c>
      <c r="P137" s="74">
        <v>2.7359999999999998</v>
      </c>
      <c r="Q137" s="74">
        <v>2.75</v>
      </c>
      <c r="R137" s="74">
        <v>2.7629999999999999</v>
      </c>
      <c r="S137" s="74">
        <v>2.7749999999999999</v>
      </c>
      <c r="T137" s="74">
        <v>2.7869999999999999</v>
      </c>
      <c r="U137" s="74">
        <v>2.7989999999999999</v>
      </c>
      <c r="V137" s="74">
        <v>2.8109999999999999</v>
      </c>
      <c r="W137" s="74">
        <v>2.8220000000000001</v>
      </c>
      <c r="X137" s="74">
        <v>2.8329999999999997</v>
      </c>
      <c r="Y137" s="74">
        <v>2.843</v>
      </c>
      <c r="Z137" s="74">
        <v>2.8529999999999998</v>
      </c>
      <c r="AA137" s="74">
        <v>2.863</v>
      </c>
      <c r="AB137" s="74">
        <v>2.6719999999999997</v>
      </c>
      <c r="AC137" s="74">
        <v>2.8809999999999998</v>
      </c>
      <c r="AD137" s="75">
        <v>2.89</v>
      </c>
      <c r="AE137" s="76"/>
      <c r="AF137" s="76"/>
      <c r="AG137" s="76"/>
      <c r="AH137" s="76"/>
      <c r="AI137" s="76"/>
      <c r="AJ137" s="76"/>
      <c r="AK137" s="76"/>
      <c r="AL137" s="76"/>
      <c r="AM137" s="76"/>
      <c r="AN137" s="76"/>
      <c r="AO137" s="76"/>
      <c r="AP137" s="76"/>
      <c r="AQ137" s="76"/>
      <c r="AR137" s="76"/>
      <c r="AS137" s="76"/>
      <c r="BZ137" s="63" t="str">
        <f t="shared" si="77"/>
        <v>4135</v>
      </c>
      <c r="CA137" s="63" t="str">
        <f t="shared" si="76"/>
        <v>5135</v>
      </c>
      <c r="CB137" s="63" t="str">
        <f t="shared" si="78"/>
        <v>6135</v>
      </c>
      <c r="CC137" s="63" t="str">
        <f t="shared" si="79"/>
        <v>7135</v>
      </c>
      <c r="CD137" s="63" t="str">
        <f t="shared" si="80"/>
        <v>8135</v>
      </c>
      <c r="CE137" s="63" t="str">
        <f t="shared" si="81"/>
        <v>9135</v>
      </c>
      <c r="CF137" s="63" t="str">
        <f t="shared" si="82"/>
        <v>10135</v>
      </c>
      <c r="CG137" s="63" t="str">
        <f t="shared" si="83"/>
        <v>11135</v>
      </c>
      <c r="CH137" s="63" t="str">
        <f t="shared" si="84"/>
        <v>12135</v>
      </c>
      <c r="CI137" s="63" t="str">
        <f t="shared" si="85"/>
        <v>13135</v>
      </c>
      <c r="CJ137" s="63" t="str">
        <f t="shared" si="86"/>
        <v>14135</v>
      </c>
      <c r="CK137" s="63" t="str">
        <f t="shared" si="87"/>
        <v>15135</v>
      </c>
      <c r="CL137" s="63" t="str">
        <f t="shared" si="88"/>
        <v>16135</v>
      </c>
      <c r="CM137" s="63" t="str">
        <f t="shared" si="89"/>
        <v>17135</v>
      </c>
      <c r="CN137" s="63" t="str">
        <f t="shared" si="90"/>
        <v>18135</v>
      </c>
      <c r="CO137" s="63" t="str">
        <f t="shared" si="91"/>
        <v>19135</v>
      </c>
      <c r="CP137" s="63" t="str">
        <f t="shared" si="92"/>
        <v>20135</v>
      </c>
      <c r="CQ137" s="63" t="str">
        <f t="shared" si="93"/>
        <v>21135</v>
      </c>
      <c r="CR137" s="63" t="str">
        <f t="shared" si="94"/>
        <v>22135</v>
      </c>
      <c r="CS137" s="63" t="str">
        <f t="shared" si="95"/>
        <v>23135</v>
      </c>
      <c r="CT137" s="63" t="str">
        <f t="shared" si="96"/>
        <v>24135</v>
      </c>
      <c r="CU137" s="63" t="str">
        <f t="shared" si="97"/>
        <v>25135</v>
      </c>
      <c r="CV137" s="63" t="str">
        <f t="shared" si="98"/>
        <v>26135</v>
      </c>
      <c r="CW137" s="63" t="str">
        <f t="shared" si="99"/>
        <v>27135</v>
      </c>
      <c r="CX137" s="63" t="str">
        <f t="shared" si="100"/>
        <v>28135</v>
      </c>
      <c r="CY137" s="63" t="str">
        <f t="shared" si="101"/>
        <v>29135</v>
      </c>
      <c r="CZ137" s="63" t="str">
        <f t="shared" si="102"/>
        <v>30135</v>
      </c>
      <c r="DA137" s="63" t="str">
        <f t="shared" si="103"/>
        <v>31135</v>
      </c>
      <c r="DB137" s="63" t="str">
        <f t="shared" si="104"/>
        <v>32135</v>
      </c>
      <c r="DD137" s="72" t="s">
        <v>265</v>
      </c>
      <c r="DE137" s="77">
        <f t="shared" si="105"/>
        <v>2.5409999999999999</v>
      </c>
      <c r="DF137" s="77">
        <f t="shared" si="105"/>
        <v>2.5569999999999999</v>
      </c>
      <c r="DG137" s="77">
        <f t="shared" si="105"/>
        <v>2.573</v>
      </c>
      <c r="DH137" s="77">
        <f t="shared" si="105"/>
        <v>2.59</v>
      </c>
      <c r="DI137" s="77">
        <f t="shared" si="105"/>
        <v>2.605</v>
      </c>
      <c r="DJ137" s="77">
        <f t="shared" si="105"/>
        <v>2.62</v>
      </c>
      <c r="DK137" s="77">
        <f t="shared" si="105"/>
        <v>2.6339999999999999</v>
      </c>
      <c r="DL137" s="77">
        <f t="shared" si="105"/>
        <v>2.6469999999999998</v>
      </c>
      <c r="DM137" s="77">
        <f t="shared" si="105"/>
        <v>2.66</v>
      </c>
      <c r="DN137" s="77">
        <f t="shared" si="105"/>
        <v>2.673</v>
      </c>
      <c r="DO137" s="77">
        <f t="shared" si="105"/>
        <v>2.6850000000000001</v>
      </c>
      <c r="DP137" s="77">
        <f t="shared" si="105"/>
        <v>2.6970000000000001</v>
      </c>
      <c r="DQ137" s="77">
        <f t="shared" si="105"/>
        <v>2.71</v>
      </c>
      <c r="DR137" s="77">
        <f t="shared" si="105"/>
        <v>2.7229999999999999</v>
      </c>
      <c r="DS137" s="77">
        <f t="shared" si="105"/>
        <v>2.7360000000000002</v>
      </c>
      <c r="DT137" s="77">
        <f t="shared" si="70"/>
        <v>2.75</v>
      </c>
      <c r="DU137" s="77">
        <f t="shared" si="69"/>
        <v>2.7629999999999999</v>
      </c>
      <c r="DV137" s="77">
        <f t="shared" si="69"/>
        <v>2.7749999999999999</v>
      </c>
      <c r="DW137" s="77">
        <f t="shared" si="69"/>
        <v>2.7869999999999999</v>
      </c>
      <c r="DX137" s="77">
        <f t="shared" si="69"/>
        <v>2.7989999999999999</v>
      </c>
      <c r="DY137" s="77">
        <f t="shared" si="69"/>
        <v>2.8109999999999999</v>
      </c>
      <c r="DZ137" s="77">
        <f t="shared" si="69"/>
        <v>2.8220000000000001</v>
      </c>
      <c r="EA137" s="77">
        <f t="shared" si="74"/>
        <v>2.8330000000000002</v>
      </c>
      <c r="EB137" s="77">
        <f t="shared" si="74"/>
        <v>2.843</v>
      </c>
      <c r="EC137" s="77">
        <f t="shared" si="74"/>
        <v>2.8530000000000002</v>
      </c>
      <c r="ED137" s="77">
        <f t="shared" si="74"/>
        <v>2.863</v>
      </c>
      <c r="EE137" s="77">
        <f t="shared" si="74"/>
        <v>2.6720000000000002</v>
      </c>
      <c r="EF137" s="77">
        <f t="shared" si="72"/>
        <v>2.8809999999999998</v>
      </c>
      <c r="EG137" s="77">
        <f t="shared" si="72"/>
        <v>2.89</v>
      </c>
    </row>
    <row r="138" spans="1:137" ht="12.6" customHeight="1">
      <c r="A138" s="73">
        <v>136</v>
      </c>
      <c r="B138" s="74">
        <v>2.5469999999999997</v>
      </c>
      <c r="C138" s="74">
        <v>2.5629999999999997</v>
      </c>
      <c r="D138" s="74">
        <v>2.5789999999999997</v>
      </c>
      <c r="E138" s="74">
        <v>2.5960000000000001</v>
      </c>
      <c r="F138" s="74">
        <v>2.6109999999999998</v>
      </c>
      <c r="G138" s="74">
        <v>2.6259999999999999</v>
      </c>
      <c r="H138" s="74">
        <v>2.64</v>
      </c>
      <c r="I138" s="74">
        <v>2.653</v>
      </c>
      <c r="J138" s="74">
        <v>2.6659999999999999</v>
      </c>
      <c r="K138" s="74">
        <v>2.6789999999999998</v>
      </c>
      <c r="L138" s="74">
        <v>2.6909999999999998</v>
      </c>
      <c r="M138" s="74">
        <v>2.7029999999999998</v>
      </c>
      <c r="N138" s="74">
        <v>2.7159999999999997</v>
      </c>
      <c r="O138" s="74">
        <v>2.7279999999999998</v>
      </c>
      <c r="P138" s="74">
        <v>2.742</v>
      </c>
      <c r="Q138" s="74">
        <v>2.7549999999999999</v>
      </c>
      <c r="R138" s="74">
        <v>2.7679999999999998</v>
      </c>
      <c r="S138" s="74">
        <v>2.78</v>
      </c>
      <c r="T138" s="74">
        <v>2.7929999999999997</v>
      </c>
      <c r="U138" s="74">
        <v>2.8039999999999998</v>
      </c>
      <c r="V138" s="74">
        <v>2.8159999999999998</v>
      </c>
      <c r="W138" s="74">
        <v>2.827</v>
      </c>
      <c r="X138" s="74">
        <v>2.8380000000000001</v>
      </c>
      <c r="Y138" s="74">
        <v>2.8479999999999999</v>
      </c>
      <c r="Z138" s="74">
        <v>2.8580000000000001</v>
      </c>
      <c r="AA138" s="74">
        <v>2.8679999999999999</v>
      </c>
      <c r="AB138" s="74">
        <v>2.8769999999999998</v>
      </c>
      <c r="AC138" s="74">
        <v>2.8860000000000001</v>
      </c>
      <c r="AD138" s="75">
        <v>2.895</v>
      </c>
      <c r="AE138" s="76"/>
      <c r="AF138" s="76"/>
      <c r="AG138" s="76"/>
      <c r="AH138" s="76"/>
      <c r="AI138" s="76"/>
      <c r="AJ138" s="76"/>
      <c r="AK138" s="76"/>
      <c r="AL138" s="76"/>
      <c r="AM138" s="76"/>
      <c r="AN138" s="76"/>
      <c r="AO138" s="76"/>
      <c r="AP138" s="76"/>
      <c r="AQ138" s="76"/>
      <c r="AR138" s="76"/>
      <c r="AS138" s="76"/>
      <c r="BZ138" s="63" t="str">
        <f t="shared" si="77"/>
        <v>4136</v>
      </c>
      <c r="CA138" s="63" t="str">
        <f t="shared" si="76"/>
        <v>5136</v>
      </c>
      <c r="CB138" s="63" t="str">
        <f t="shared" si="78"/>
        <v>6136</v>
      </c>
      <c r="CC138" s="63" t="str">
        <f t="shared" si="79"/>
        <v>7136</v>
      </c>
      <c r="CD138" s="63" t="str">
        <f t="shared" si="80"/>
        <v>8136</v>
      </c>
      <c r="CE138" s="63" t="str">
        <f t="shared" si="81"/>
        <v>9136</v>
      </c>
      <c r="CF138" s="63" t="str">
        <f t="shared" si="82"/>
        <v>10136</v>
      </c>
      <c r="CG138" s="63" t="str">
        <f t="shared" si="83"/>
        <v>11136</v>
      </c>
      <c r="CH138" s="63" t="str">
        <f t="shared" si="84"/>
        <v>12136</v>
      </c>
      <c r="CI138" s="63" t="str">
        <f t="shared" si="85"/>
        <v>13136</v>
      </c>
      <c r="CJ138" s="63" t="str">
        <f t="shared" si="86"/>
        <v>14136</v>
      </c>
      <c r="CK138" s="63" t="str">
        <f t="shared" si="87"/>
        <v>15136</v>
      </c>
      <c r="CL138" s="63" t="str">
        <f t="shared" si="88"/>
        <v>16136</v>
      </c>
      <c r="CM138" s="63" t="str">
        <f t="shared" si="89"/>
        <v>17136</v>
      </c>
      <c r="CN138" s="63" t="str">
        <f t="shared" si="90"/>
        <v>18136</v>
      </c>
      <c r="CO138" s="63" t="str">
        <f t="shared" si="91"/>
        <v>19136</v>
      </c>
      <c r="CP138" s="63" t="str">
        <f t="shared" si="92"/>
        <v>20136</v>
      </c>
      <c r="CQ138" s="63" t="str">
        <f t="shared" si="93"/>
        <v>21136</v>
      </c>
      <c r="CR138" s="63" t="str">
        <f t="shared" si="94"/>
        <v>22136</v>
      </c>
      <c r="CS138" s="63" t="str">
        <f t="shared" si="95"/>
        <v>23136</v>
      </c>
      <c r="CT138" s="63" t="str">
        <f t="shared" si="96"/>
        <v>24136</v>
      </c>
      <c r="CU138" s="63" t="str">
        <f t="shared" si="97"/>
        <v>25136</v>
      </c>
      <c r="CV138" s="63" t="str">
        <f t="shared" si="98"/>
        <v>26136</v>
      </c>
      <c r="CW138" s="63" t="str">
        <f t="shared" si="99"/>
        <v>27136</v>
      </c>
      <c r="CX138" s="63" t="str">
        <f t="shared" si="100"/>
        <v>28136</v>
      </c>
      <c r="CY138" s="63" t="str">
        <f t="shared" si="101"/>
        <v>29136</v>
      </c>
      <c r="CZ138" s="63" t="str">
        <f t="shared" si="102"/>
        <v>30136</v>
      </c>
      <c r="DA138" s="63" t="str">
        <f t="shared" si="103"/>
        <v>31136</v>
      </c>
      <c r="DB138" s="63" t="str">
        <f t="shared" si="104"/>
        <v>32136</v>
      </c>
      <c r="DD138" s="72" t="s">
        <v>266</v>
      </c>
      <c r="DE138" s="77">
        <f t="shared" si="105"/>
        <v>2.5470000000000002</v>
      </c>
      <c r="DF138" s="77">
        <f t="shared" si="105"/>
        <v>2.5630000000000002</v>
      </c>
      <c r="DG138" s="77">
        <f t="shared" si="105"/>
        <v>2.5790000000000002</v>
      </c>
      <c r="DH138" s="77">
        <f t="shared" si="105"/>
        <v>2.5960000000000001</v>
      </c>
      <c r="DI138" s="77">
        <f t="shared" si="105"/>
        <v>2.6110000000000002</v>
      </c>
      <c r="DJ138" s="77">
        <f t="shared" si="105"/>
        <v>2.6259999999999999</v>
      </c>
      <c r="DK138" s="77">
        <f t="shared" si="105"/>
        <v>2.64</v>
      </c>
      <c r="DL138" s="77">
        <f t="shared" si="105"/>
        <v>2.653</v>
      </c>
      <c r="DM138" s="77">
        <f t="shared" si="105"/>
        <v>2.6659999999999999</v>
      </c>
      <c r="DN138" s="77">
        <f t="shared" si="105"/>
        <v>2.6789999999999998</v>
      </c>
      <c r="DO138" s="77">
        <f t="shared" si="105"/>
        <v>2.6909999999999998</v>
      </c>
      <c r="DP138" s="77">
        <f t="shared" si="105"/>
        <v>2.7029999999999998</v>
      </c>
      <c r="DQ138" s="77">
        <f t="shared" si="105"/>
        <v>2.7160000000000002</v>
      </c>
      <c r="DR138" s="77">
        <f t="shared" si="105"/>
        <v>2.7280000000000002</v>
      </c>
      <c r="DS138" s="77">
        <f t="shared" si="105"/>
        <v>2.742</v>
      </c>
      <c r="DT138" s="77">
        <f t="shared" si="70"/>
        <v>2.7549999999999999</v>
      </c>
      <c r="DU138" s="77">
        <f t="shared" si="70"/>
        <v>2.7679999999999998</v>
      </c>
      <c r="DV138" s="77">
        <f t="shared" si="70"/>
        <v>2.78</v>
      </c>
      <c r="DW138" s="77">
        <f t="shared" si="70"/>
        <v>2.7930000000000001</v>
      </c>
      <c r="DX138" s="77">
        <f t="shared" si="70"/>
        <v>2.8039999999999998</v>
      </c>
      <c r="DY138" s="77">
        <f t="shared" si="70"/>
        <v>2.8159999999999998</v>
      </c>
      <c r="DZ138" s="77">
        <f t="shared" si="70"/>
        <v>2.827</v>
      </c>
      <c r="EA138" s="77">
        <f t="shared" si="74"/>
        <v>2.8380000000000001</v>
      </c>
      <c r="EB138" s="77">
        <f t="shared" si="74"/>
        <v>2.8479999999999999</v>
      </c>
      <c r="EC138" s="77">
        <f t="shared" si="74"/>
        <v>2.8580000000000001</v>
      </c>
      <c r="ED138" s="77">
        <f t="shared" si="74"/>
        <v>2.8679999999999999</v>
      </c>
      <c r="EE138" s="77">
        <f t="shared" si="74"/>
        <v>2.8769999999999998</v>
      </c>
      <c r="EF138" s="77">
        <f t="shared" si="72"/>
        <v>2.8860000000000001</v>
      </c>
      <c r="EG138" s="77">
        <f t="shared" si="72"/>
        <v>2.895</v>
      </c>
    </row>
    <row r="139" spans="1:137" ht="12.6" customHeight="1">
      <c r="A139" s="73">
        <v>137</v>
      </c>
      <c r="B139" s="74">
        <v>2.5549999999999997</v>
      </c>
      <c r="C139" s="74">
        <v>2.5709999999999997</v>
      </c>
      <c r="D139" s="74">
        <v>2.5859999999999999</v>
      </c>
      <c r="E139" s="74">
        <v>2.6019999999999999</v>
      </c>
      <c r="F139" s="74">
        <v>2.617</v>
      </c>
      <c r="G139" s="74">
        <v>2.6320000000000001</v>
      </c>
      <c r="H139" s="74">
        <v>2.6459999999999999</v>
      </c>
      <c r="I139" s="74">
        <v>2.6589999999999998</v>
      </c>
      <c r="J139" s="74">
        <v>2.6719999999999997</v>
      </c>
      <c r="K139" s="74">
        <v>2.6850000000000001</v>
      </c>
      <c r="L139" s="74">
        <v>2.6970000000000001</v>
      </c>
      <c r="M139" s="74">
        <v>2.7090000000000001</v>
      </c>
      <c r="N139" s="74">
        <v>2.7210000000000001</v>
      </c>
      <c r="O139" s="74">
        <v>2.734</v>
      </c>
      <c r="P139" s="74">
        <v>2.7469999999999999</v>
      </c>
      <c r="Q139" s="74">
        <v>2.7610000000000001</v>
      </c>
      <c r="R139" s="74">
        <v>2.7730000000000001</v>
      </c>
      <c r="S139" s="74">
        <v>2.786</v>
      </c>
      <c r="T139" s="74">
        <v>2.798</v>
      </c>
      <c r="U139" s="74">
        <v>2.81</v>
      </c>
      <c r="V139" s="74">
        <v>2.8209999999999997</v>
      </c>
      <c r="W139" s="74">
        <v>2.8319999999999999</v>
      </c>
      <c r="X139" s="74">
        <v>2.843</v>
      </c>
      <c r="Y139" s="74">
        <v>2.8529999999999998</v>
      </c>
      <c r="Z139" s="74">
        <v>2.863</v>
      </c>
      <c r="AA139" s="74">
        <v>2.8719999999999999</v>
      </c>
      <c r="AB139" s="74">
        <v>2.8820000000000001</v>
      </c>
      <c r="AC139" s="74">
        <v>2.891</v>
      </c>
      <c r="AD139" s="75">
        <v>2.899</v>
      </c>
      <c r="AE139" s="76"/>
      <c r="AF139" s="76"/>
      <c r="AG139" s="76"/>
      <c r="AH139" s="76"/>
      <c r="AI139" s="76"/>
      <c r="AJ139" s="76"/>
      <c r="AK139" s="76"/>
      <c r="AL139" s="76"/>
      <c r="AM139" s="76"/>
      <c r="AN139" s="76"/>
      <c r="AO139" s="76"/>
      <c r="AP139" s="76"/>
      <c r="AQ139" s="76"/>
      <c r="AR139" s="76"/>
      <c r="AS139" s="76"/>
      <c r="BZ139" s="63" t="str">
        <f t="shared" si="77"/>
        <v>4137</v>
      </c>
      <c r="CA139" s="63" t="str">
        <f t="shared" si="76"/>
        <v>5137</v>
      </c>
      <c r="CB139" s="63" t="str">
        <f t="shared" si="78"/>
        <v>6137</v>
      </c>
      <c r="CC139" s="63" t="str">
        <f t="shared" si="79"/>
        <v>7137</v>
      </c>
      <c r="CD139" s="63" t="str">
        <f t="shared" si="80"/>
        <v>8137</v>
      </c>
      <c r="CE139" s="63" t="str">
        <f t="shared" si="81"/>
        <v>9137</v>
      </c>
      <c r="CF139" s="63" t="str">
        <f t="shared" si="82"/>
        <v>10137</v>
      </c>
      <c r="CG139" s="63" t="str">
        <f t="shared" si="83"/>
        <v>11137</v>
      </c>
      <c r="CH139" s="63" t="str">
        <f t="shared" si="84"/>
        <v>12137</v>
      </c>
      <c r="CI139" s="63" t="str">
        <f t="shared" si="85"/>
        <v>13137</v>
      </c>
      <c r="CJ139" s="63" t="str">
        <f t="shared" si="86"/>
        <v>14137</v>
      </c>
      <c r="CK139" s="63" t="str">
        <f t="shared" si="87"/>
        <v>15137</v>
      </c>
      <c r="CL139" s="63" t="str">
        <f t="shared" si="88"/>
        <v>16137</v>
      </c>
      <c r="CM139" s="63" t="str">
        <f t="shared" si="89"/>
        <v>17137</v>
      </c>
      <c r="CN139" s="63" t="str">
        <f t="shared" si="90"/>
        <v>18137</v>
      </c>
      <c r="CO139" s="63" t="str">
        <f t="shared" si="91"/>
        <v>19137</v>
      </c>
      <c r="CP139" s="63" t="str">
        <f t="shared" si="92"/>
        <v>20137</v>
      </c>
      <c r="CQ139" s="63" t="str">
        <f t="shared" si="93"/>
        <v>21137</v>
      </c>
      <c r="CR139" s="63" t="str">
        <f t="shared" si="94"/>
        <v>22137</v>
      </c>
      <c r="CS139" s="63" t="str">
        <f t="shared" si="95"/>
        <v>23137</v>
      </c>
      <c r="CT139" s="63" t="str">
        <f t="shared" si="96"/>
        <v>24137</v>
      </c>
      <c r="CU139" s="63" t="str">
        <f t="shared" si="97"/>
        <v>25137</v>
      </c>
      <c r="CV139" s="63" t="str">
        <f t="shared" si="98"/>
        <v>26137</v>
      </c>
      <c r="CW139" s="63" t="str">
        <f t="shared" si="99"/>
        <v>27137</v>
      </c>
      <c r="CX139" s="63" t="str">
        <f t="shared" si="100"/>
        <v>28137</v>
      </c>
      <c r="CY139" s="63" t="str">
        <f t="shared" si="101"/>
        <v>29137</v>
      </c>
      <c r="CZ139" s="63" t="str">
        <f t="shared" si="102"/>
        <v>30137</v>
      </c>
      <c r="DA139" s="63" t="str">
        <f t="shared" si="103"/>
        <v>31137</v>
      </c>
      <c r="DB139" s="63" t="str">
        <f t="shared" si="104"/>
        <v>32137</v>
      </c>
      <c r="DD139" s="72" t="s">
        <v>267</v>
      </c>
      <c r="DE139" s="77">
        <f t="shared" si="105"/>
        <v>2.5550000000000002</v>
      </c>
      <c r="DF139" s="77">
        <f t="shared" si="105"/>
        <v>2.5710000000000002</v>
      </c>
      <c r="DG139" s="77">
        <f t="shared" si="105"/>
        <v>2.5859999999999999</v>
      </c>
      <c r="DH139" s="77">
        <f t="shared" si="105"/>
        <v>2.6019999999999999</v>
      </c>
      <c r="DI139" s="77">
        <f t="shared" si="105"/>
        <v>2.617</v>
      </c>
      <c r="DJ139" s="77">
        <f t="shared" si="105"/>
        <v>2.6320000000000001</v>
      </c>
      <c r="DK139" s="77">
        <f t="shared" si="105"/>
        <v>2.6459999999999999</v>
      </c>
      <c r="DL139" s="77">
        <f t="shared" si="105"/>
        <v>2.6589999999999998</v>
      </c>
      <c r="DM139" s="77">
        <f t="shared" si="105"/>
        <v>2.6720000000000002</v>
      </c>
      <c r="DN139" s="77">
        <f t="shared" si="105"/>
        <v>2.6850000000000001</v>
      </c>
      <c r="DO139" s="77">
        <f t="shared" si="105"/>
        <v>2.6970000000000001</v>
      </c>
      <c r="DP139" s="77">
        <f t="shared" si="105"/>
        <v>2.7090000000000001</v>
      </c>
      <c r="DQ139" s="77">
        <f t="shared" si="105"/>
        <v>2.7210000000000001</v>
      </c>
      <c r="DR139" s="77">
        <f t="shared" si="105"/>
        <v>2.734</v>
      </c>
      <c r="DS139" s="77">
        <f t="shared" si="105"/>
        <v>2.7469999999999999</v>
      </c>
      <c r="DT139" s="77">
        <f t="shared" si="70"/>
        <v>2.7610000000000001</v>
      </c>
      <c r="DU139" s="77">
        <f t="shared" si="70"/>
        <v>2.7730000000000001</v>
      </c>
      <c r="DV139" s="77">
        <f t="shared" si="70"/>
        <v>2.786</v>
      </c>
      <c r="DW139" s="77">
        <f t="shared" si="70"/>
        <v>2.798</v>
      </c>
      <c r="DX139" s="77">
        <f t="shared" si="70"/>
        <v>2.81</v>
      </c>
      <c r="DY139" s="77">
        <f t="shared" si="70"/>
        <v>2.8210000000000002</v>
      </c>
      <c r="DZ139" s="77">
        <f t="shared" si="70"/>
        <v>2.8319999999999999</v>
      </c>
      <c r="EA139" s="77">
        <f t="shared" si="74"/>
        <v>2.843</v>
      </c>
      <c r="EB139" s="77">
        <f t="shared" si="74"/>
        <v>2.8530000000000002</v>
      </c>
      <c r="EC139" s="77">
        <f t="shared" si="74"/>
        <v>2.863</v>
      </c>
      <c r="ED139" s="77">
        <f t="shared" si="74"/>
        <v>2.8719999999999999</v>
      </c>
      <c r="EE139" s="77">
        <f t="shared" si="74"/>
        <v>2.8820000000000001</v>
      </c>
      <c r="EF139" s="77">
        <f t="shared" si="72"/>
        <v>2.891</v>
      </c>
      <c r="EG139" s="77">
        <f t="shared" si="72"/>
        <v>2.899</v>
      </c>
    </row>
    <row r="140" spans="1:137" ht="12.6" customHeight="1">
      <c r="A140" s="73">
        <v>138</v>
      </c>
      <c r="B140" s="74">
        <v>2.5609999999999999</v>
      </c>
      <c r="C140" s="74">
        <v>2.577</v>
      </c>
      <c r="D140" s="74">
        <v>2.5920000000000001</v>
      </c>
      <c r="E140" s="74">
        <v>2.6080000000000001</v>
      </c>
      <c r="F140" s="74">
        <v>2.6229999999999998</v>
      </c>
      <c r="G140" s="74">
        <v>2.6379999999999999</v>
      </c>
      <c r="H140" s="74">
        <v>2.6519999999999997</v>
      </c>
      <c r="I140" s="74">
        <v>2.665</v>
      </c>
      <c r="J140" s="74">
        <v>2.6779999999999999</v>
      </c>
      <c r="K140" s="74">
        <v>2.69</v>
      </c>
      <c r="L140" s="74">
        <v>2.702</v>
      </c>
      <c r="M140" s="74">
        <v>2.714</v>
      </c>
      <c r="N140" s="74">
        <v>2.7269999999999999</v>
      </c>
      <c r="O140" s="74">
        <v>2.7389999999999999</v>
      </c>
      <c r="P140" s="74">
        <v>2.7530000000000001</v>
      </c>
      <c r="Q140" s="74">
        <v>2.766</v>
      </c>
      <c r="R140" s="74">
        <v>2.7789999999999999</v>
      </c>
      <c r="S140" s="74">
        <v>2.7909999999999999</v>
      </c>
      <c r="T140" s="74">
        <v>2.8029999999999999</v>
      </c>
      <c r="U140" s="74">
        <v>2.8149999999999999</v>
      </c>
      <c r="V140" s="74">
        <v>2.8260000000000001</v>
      </c>
      <c r="W140" s="74">
        <v>2.8369999999999997</v>
      </c>
      <c r="X140" s="74">
        <v>2.8479999999999999</v>
      </c>
      <c r="Y140" s="74">
        <v>2.8580000000000001</v>
      </c>
      <c r="Z140" s="74">
        <v>2.8679999999999999</v>
      </c>
      <c r="AA140" s="74">
        <v>2.8769999999999998</v>
      </c>
      <c r="AB140" s="74">
        <v>2.887</v>
      </c>
      <c r="AC140" s="74">
        <v>2.895</v>
      </c>
      <c r="AD140" s="75">
        <v>2.9039999999999999</v>
      </c>
      <c r="AE140" s="76"/>
      <c r="AF140" s="76"/>
      <c r="AG140" s="76"/>
      <c r="AH140" s="76"/>
      <c r="AI140" s="76"/>
      <c r="AJ140" s="76"/>
      <c r="AK140" s="76"/>
      <c r="AL140" s="76"/>
      <c r="AM140" s="76"/>
      <c r="AN140" s="76"/>
      <c r="AO140" s="76"/>
      <c r="AP140" s="76"/>
      <c r="AQ140" s="76"/>
      <c r="AR140" s="76"/>
      <c r="AS140" s="76"/>
      <c r="BZ140" s="63" t="str">
        <f t="shared" si="77"/>
        <v>4138</v>
      </c>
      <c r="CA140" s="63" t="str">
        <f t="shared" si="76"/>
        <v>5138</v>
      </c>
      <c r="CB140" s="63" t="str">
        <f t="shared" si="78"/>
        <v>6138</v>
      </c>
      <c r="CC140" s="63" t="str">
        <f t="shared" si="79"/>
        <v>7138</v>
      </c>
      <c r="CD140" s="63" t="str">
        <f t="shared" si="80"/>
        <v>8138</v>
      </c>
      <c r="CE140" s="63" t="str">
        <f t="shared" si="81"/>
        <v>9138</v>
      </c>
      <c r="CF140" s="63" t="str">
        <f t="shared" si="82"/>
        <v>10138</v>
      </c>
      <c r="CG140" s="63" t="str">
        <f t="shared" si="83"/>
        <v>11138</v>
      </c>
      <c r="CH140" s="63" t="str">
        <f t="shared" si="84"/>
        <v>12138</v>
      </c>
      <c r="CI140" s="63" t="str">
        <f t="shared" si="85"/>
        <v>13138</v>
      </c>
      <c r="CJ140" s="63" t="str">
        <f t="shared" si="86"/>
        <v>14138</v>
      </c>
      <c r="CK140" s="63" t="str">
        <f t="shared" si="87"/>
        <v>15138</v>
      </c>
      <c r="CL140" s="63" t="str">
        <f t="shared" si="88"/>
        <v>16138</v>
      </c>
      <c r="CM140" s="63" t="str">
        <f t="shared" si="89"/>
        <v>17138</v>
      </c>
      <c r="CN140" s="63" t="str">
        <f t="shared" si="90"/>
        <v>18138</v>
      </c>
      <c r="CO140" s="63" t="str">
        <f t="shared" si="91"/>
        <v>19138</v>
      </c>
      <c r="CP140" s="63" t="str">
        <f t="shared" si="92"/>
        <v>20138</v>
      </c>
      <c r="CQ140" s="63" t="str">
        <f t="shared" si="93"/>
        <v>21138</v>
      </c>
      <c r="CR140" s="63" t="str">
        <f t="shared" si="94"/>
        <v>22138</v>
      </c>
      <c r="CS140" s="63" t="str">
        <f t="shared" si="95"/>
        <v>23138</v>
      </c>
      <c r="CT140" s="63" t="str">
        <f t="shared" si="96"/>
        <v>24138</v>
      </c>
      <c r="CU140" s="63" t="str">
        <f t="shared" si="97"/>
        <v>25138</v>
      </c>
      <c r="CV140" s="63" t="str">
        <f t="shared" si="98"/>
        <v>26138</v>
      </c>
      <c r="CW140" s="63" t="str">
        <f t="shared" si="99"/>
        <v>27138</v>
      </c>
      <c r="CX140" s="63" t="str">
        <f t="shared" si="100"/>
        <v>28138</v>
      </c>
      <c r="CY140" s="63" t="str">
        <f t="shared" si="101"/>
        <v>29138</v>
      </c>
      <c r="CZ140" s="63" t="str">
        <f t="shared" si="102"/>
        <v>30138</v>
      </c>
      <c r="DA140" s="63" t="str">
        <f t="shared" si="103"/>
        <v>31138</v>
      </c>
      <c r="DB140" s="63" t="str">
        <f t="shared" si="104"/>
        <v>32138</v>
      </c>
      <c r="DD140" s="72" t="s">
        <v>268</v>
      </c>
      <c r="DE140" s="77">
        <f t="shared" si="105"/>
        <v>2.5609999999999999</v>
      </c>
      <c r="DF140" s="77">
        <f t="shared" si="105"/>
        <v>2.577</v>
      </c>
      <c r="DG140" s="77">
        <f t="shared" si="105"/>
        <v>2.5920000000000001</v>
      </c>
      <c r="DH140" s="77">
        <f t="shared" si="105"/>
        <v>2.6080000000000001</v>
      </c>
      <c r="DI140" s="77">
        <f t="shared" si="105"/>
        <v>2.6230000000000002</v>
      </c>
      <c r="DJ140" s="77">
        <f t="shared" si="105"/>
        <v>2.6379999999999999</v>
      </c>
      <c r="DK140" s="77">
        <f t="shared" si="105"/>
        <v>2.6520000000000001</v>
      </c>
      <c r="DL140" s="77">
        <f t="shared" si="105"/>
        <v>2.665</v>
      </c>
      <c r="DM140" s="77">
        <f t="shared" si="105"/>
        <v>2.6779999999999999</v>
      </c>
      <c r="DN140" s="77">
        <f t="shared" si="105"/>
        <v>2.69</v>
      </c>
      <c r="DO140" s="77">
        <f t="shared" si="105"/>
        <v>2.702</v>
      </c>
      <c r="DP140" s="77">
        <f t="shared" si="105"/>
        <v>2.714</v>
      </c>
      <c r="DQ140" s="77">
        <f t="shared" si="105"/>
        <v>2.7269999999999999</v>
      </c>
      <c r="DR140" s="77">
        <f t="shared" si="105"/>
        <v>2.7389999999999999</v>
      </c>
      <c r="DS140" s="77">
        <f t="shared" si="105"/>
        <v>2.7530000000000001</v>
      </c>
      <c r="DT140" s="77">
        <f t="shared" si="70"/>
        <v>2.766</v>
      </c>
      <c r="DU140" s="77">
        <f t="shared" si="70"/>
        <v>2.7789999999999999</v>
      </c>
      <c r="DV140" s="77">
        <f t="shared" si="70"/>
        <v>2.7909999999999999</v>
      </c>
      <c r="DW140" s="77">
        <f t="shared" si="70"/>
        <v>2.8029999999999999</v>
      </c>
      <c r="DX140" s="77">
        <f t="shared" si="70"/>
        <v>2.8149999999999999</v>
      </c>
      <c r="DY140" s="77">
        <f t="shared" si="70"/>
        <v>2.8260000000000001</v>
      </c>
      <c r="DZ140" s="77">
        <f t="shared" si="70"/>
        <v>2.8370000000000002</v>
      </c>
      <c r="EA140" s="77">
        <f t="shared" si="74"/>
        <v>2.8479999999999999</v>
      </c>
      <c r="EB140" s="77">
        <f t="shared" si="74"/>
        <v>2.8580000000000001</v>
      </c>
      <c r="EC140" s="77">
        <f t="shared" si="74"/>
        <v>2.8679999999999999</v>
      </c>
      <c r="ED140" s="77">
        <f t="shared" si="74"/>
        <v>2.8769999999999998</v>
      </c>
      <c r="EE140" s="77">
        <f t="shared" si="74"/>
        <v>2.887</v>
      </c>
      <c r="EF140" s="77">
        <f t="shared" si="72"/>
        <v>2.895</v>
      </c>
      <c r="EG140" s="77">
        <f t="shared" si="72"/>
        <v>2.9039999999999999</v>
      </c>
    </row>
    <row r="141" spans="1:137" ht="12.6" customHeight="1">
      <c r="A141" s="73">
        <v>139</v>
      </c>
      <c r="B141" s="74">
        <v>2.5669999999999997</v>
      </c>
      <c r="C141" s="74">
        <v>2.5829999999999997</v>
      </c>
      <c r="D141" s="74">
        <v>2.5979999999999999</v>
      </c>
      <c r="E141" s="74">
        <v>2.6139999999999999</v>
      </c>
      <c r="F141" s="74">
        <v>2.629</v>
      </c>
      <c r="G141" s="74">
        <v>2.6429999999999998</v>
      </c>
      <c r="H141" s="74">
        <v>2.657</v>
      </c>
      <c r="I141" s="74">
        <v>2.6709999999999998</v>
      </c>
      <c r="J141" s="74">
        <v>2.6839999999999997</v>
      </c>
      <c r="K141" s="74">
        <v>2.6959999999999997</v>
      </c>
      <c r="L141" s="74">
        <v>2.7079999999999997</v>
      </c>
      <c r="M141" s="74">
        <v>2.7199999999999998</v>
      </c>
      <c r="N141" s="74">
        <v>2.7319999999999998</v>
      </c>
      <c r="O141" s="74">
        <v>2.7450000000000001</v>
      </c>
      <c r="P141" s="74">
        <v>2.758</v>
      </c>
      <c r="Q141" s="74">
        <v>2.7709999999999999</v>
      </c>
      <c r="R141" s="74">
        <v>2.7839999999999998</v>
      </c>
      <c r="S141" s="74">
        <v>2.7959999999999998</v>
      </c>
      <c r="T141" s="74">
        <v>2.8079999999999998</v>
      </c>
      <c r="U141" s="74">
        <v>2.82</v>
      </c>
      <c r="V141" s="74">
        <v>2.831</v>
      </c>
      <c r="W141" s="74">
        <v>2.8420000000000001</v>
      </c>
      <c r="X141" s="74">
        <v>2.8519999999999999</v>
      </c>
      <c r="Y141" s="74">
        <v>2.863</v>
      </c>
      <c r="Z141" s="74">
        <v>2.8729999999999998</v>
      </c>
      <c r="AA141" s="74">
        <v>2.8832</v>
      </c>
      <c r="AB141" s="74">
        <v>2.891</v>
      </c>
      <c r="AC141" s="74">
        <v>2.9</v>
      </c>
      <c r="AD141" s="75">
        <v>2.9089999999999998</v>
      </c>
      <c r="AE141" s="76"/>
      <c r="AF141" s="76"/>
      <c r="AG141" s="76"/>
      <c r="AH141" s="76"/>
      <c r="AI141" s="76"/>
      <c r="AJ141" s="76"/>
      <c r="AK141" s="76"/>
      <c r="AL141" s="76"/>
      <c r="AM141" s="76"/>
      <c r="AN141" s="76"/>
      <c r="AO141" s="76"/>
      <c r="AP141" s="76"/>
      <c r="AQ141" s="76"/>
      <c r="AR141" s="76"/>
      <c r="AS141" s="76"/>
      <c r="BZ141" s="63" t="str">
        <f t="shared" si="77"/>
        <v>4139</v>
      </c>
      <c r="CA141" s="63" t="str">
        <f t="shared" si="76"/>
        <v>5139</v>
      </c>
      <c r="CB141" s="63" t="str">
        <f t="shared" si="78"/>
        <v>6139</v>
      </c>
      <c r="CC141" s="63" t="str">
        <f t="shared" si="79"/>
        <v>7139</v>
      </c>
      <c r="CD141" s="63" t="str">
        <f t="shared" si="80"/>
        <v>8139</v>
      </c>
      <c r="CE141" s="63" t="str">
        <f t="shared" si="81"/>
        <v>9139</v>
      </c>
      <c r="CF141" s="63" t="str">
        <f t="shared" si="82"/>
        <v>10139</v>
      </c>
      <c r="CG141" s="63" t="str">
        <f t="shared" si="83"/>
        <v>11139</v>
      </c>
      <c r="CH141" s="63" t="str">
        <f t="shared" si="84"/>
        <v>12139</v>
      </c>
      <c r="CI141" s="63" t="str">
        <f t="shared" si="85"/>
        <v>13139</v>
      </c>
      <c r="CJ141" s="63" t="str">
        <f t="shared" si="86"/>
        <v>14139</v>
      </c>
      <c r="CK141" s="63" t="str">
        <f t="shared" si="87"/>
        <v>15139</v>
      </c>
      <c r="CL141" s="63" t="str">
        <f t="shared" si="88"/>
        <v>16139</v>
      </c>
      <c r="CM141" s="63" t="str">
        <f t="shared" si="89"/>
        <v>17139</v>
      </c>
      <c r="CN141" s="63" t="str">
        <f t="shared" si="90"/>
        <v>18139</v>
      </c>
      <c r="CO141" s="63" t="str">
        <f t="shared" si="91"/>
        <v>19139</v>
      </c>
      <c r="CP141" s="63" t="str">
        <f t="shared" si="92"/>
        <v>20139</v>
      </c>
      <c r="CQ141" s="63" t="str">
        <f t="shared" si="93"/>
        <v>21139</v>
      </c>
      <c r="CR141" s="63" t="str">
        <f t="shared" si="94"/>
        <v>22139</v>
      </c>
      <c r="CS141" s="63" t="str">
        <f t="shared" si="95"/>
        <v>23139</v>
      </c>
      <c r="CT141" s="63" t="str">
        <f t="shared" si="96"/>
        <v>24139</v>
      </c>
      <c r="CU141" s="63" t="str">
        <f t="shared" si="97"/>
        <v>25139</v>
      </c>
      <c r="CV141" s="63" t="str">
        <f t="shared" si="98"/>
        <v>26139</v>
      </c>
      <c r="CW141" s="63" t="str">
        <f t="shared" si="99"/>
        <v>27139</v>
      </c>
      <c r="CX141" s="63" t="str">
        <f t="shared" si="100"/>
        <v>28139</v>
      </c>
      <c r="CY141" s="63" t="str">
        <f t="shared" si="101"/>
        <v>29139</v>
      </c>
      <c r="CZ141" s="63" t="str">
        <f t="shared" si="102"/>
        <v>30139</v>
      </c>
      <c r="DA141" s="63" t="str">
        <f t="shared" si="103"/>
        <v>31139</v>
      </c>
      <c r="DB141" s="63" t="str">
        <f t="shared" si="104"/>
        <v>32139</v>
      </c>
      <c r="DD141" s="72" t="s">
        <v>269</v>
      </c>
      <c r="DE141" s="77">
        <f t="shared" si="105"/>
        <v>2.5670000000000002</v>
      </c>
      <c r="DF141" s="77">
        <f t="shared" si="105"/>
        <v>2.5830000000000002</v>
      </c>
      <c r="DG141" s="77">
        <f t="shared" si="105"/>
        <v>2.5979999999999999</v>
      </c>
      <c r="DH141" s="77">
        <f t="shared" si="105"/>
        <v>2.6139999999999999</v>
      </c>
      <c r="DI141" s="77">
        <f t="shared" si="105"/>
        <v>2.629</v>
      </c>
      <c r="DJ141" s="77">
        <f t="shared" si="105"/>
        <v>2.6429999999999998</v>
      </c>
      <c r="DK141" s="77">
        <f t="shared" si="105"/>
        <v>2.657</v>
      </c>
      <c r="DL141" s="77">
        <f t="shared" si="105"/>
        <v>2.6709999999999998</v>
      </c>
      <c r="DM141" s="77">
        <f t="shared" si="105"/>
        <v>2.6840000000000002</v>
      </c>
      <c r="DN141" s="77">
        <f t="shared" si="105"/>
        <v>2.6960000000000002</v>
      </c>
      <c r="DO141" s="77">
        <f t="shared" si="105"/>
        <v>2.7080000000000002</v>
      </c>
      <c r="DP141" s="77">
        <f t="shared" si="105"/>
        <v>2.72</v>
      </c>
      <c r="DQ141" s="77">
        <f t="shared" si="105"/>
        <v>2.7320000000000002</v>
      </c>
      <c r="DR141" s="77">
        <f t="shared" si="105"/>
        <v>2.7450000000000001</v>
      </c>
      <c r="DS141" s="77">
        <f t="shared" si="105"/>
        <v>2.758</v>
      </c>
      <c r="DT141" s="77">
        <f t="shared" si="70"/>
        <v>2.7709999999999999</v>
      </c>
      <c r="DU141" s="77">
        <f t="shared" si="70"/>
        <v>2.7839999999999998</v>
      </c>
      <c r="DV141" s="77">
        <f t="shared" si="70"/>
        <v>2.7959999999999998</v>
      </c>
      <c r="DW141" s="77">
        <f t="shared" si="70"/>
        <v>2.8079999999999998</v>
      </c>
      <c r="DX141" s="77">
        <f t="shared" si="70"/>
        <v>2.82</v>
      </c>
      <c r="DY141" s="77">
        <f t="shared" si="70"/>
        <v>2.831</v>
      </c>
      <c r="DZ141" s="77">
        <f t="shared" si="70"/>
        <v>2.8420000000000001</v>
      </c>
      <c r="EA141" s="77">
        <f t="shared" si="74"/>
        <v>2.8519999999999999</v>
      </c>
      <c r="EB141" s="77">
        <f t="shared" si="74"/>
        <v>2.863</v>
      </c>
      <c r="EC141" s="77">
        <f t="shared" si="74"/>
        <v>2.8730000000000002</v>
      </c>
      <c r="ED141" s="77">
        <f t="shared" si="74"/>
        <v>2.883</v>
      </c>
      <c r="EE141" s="77">
        <f t="shared" si="74"/>
        <v>2.891</v>
      </c>
      <c r="EF141" s="77">
        <f t="shared" si="72"/>
        <v>2.9</v>
      </c>
      <c r="EG141" s="77">
        <f t="shared" si="72"/>
        <v>2.9089999999999998</v>
      </c>
    </row>
    <row r="142" spans="1:137" ht="12.75" customHeight="1">
      <c r="A142" s="73">
        <v>140</v>
      </c>
      <c r="B142" s="74">
        <v>2.573</v>
      </c>
      <c r="C142" s="74">
        <v>2.589</v>
      </c>
      <c r="D142" s="74">
        <v>2.6040000000000001</v>
      </c>
      <c r="E142" s="74">
        <v>2.62</v>
      </c>
      <c r="F142" s="74">
        <v>2.6349999999999998</v>
      </c>
      <c r="G142" s="74">
        <v>2.649</v>
      </c>
      <c r="H142" s="74">
        <v>2.6629999999999998</v>
      </c>
      <c r="I142" s="74">
        <v>2.6759999999999997</v>
      </c>
      <c r="J142" s="74">
        <v>2.6890000000000001</v>
      </c>
      <c r="K142" s="74">
        <v>2.702</v>
      </c>
      <c r="L142" s="74">
        <v>2.714</v>
      </c>
      <c r="M142" s="74">
        <v>2.7250000000000001</v>
      </c>
      <c r="N142" s="74">
        <v>2.738</v>
      </c>
      <c r="O142" s="74">
        <v>2.75</v>
      </c>
      <c r="P142" s="74">
        <v>2.7639999999999998</v>
      </c>
      <c r="Q142" s="74">
        <v>2.7769999999999997</v>
      </c>
      <c r="R142" s="74">
        <v>2.7889999999999997</v>
      </c>
      <c r="S142" s="74">
        <v>2.8009999999999997</v>
      </c>
      <c r="T142" s="74">
        <v>2.8129999999999997</v>
      </c>
      <c r="U142" s="74">
        <v>2.8249999999999997</v>
      </c>
      <c r="V142" s="74">
        <v>2.8359999999999999</v>
      </c>
      <c r="W142" s="74">
        <v>2.847</v>
      </c>
      <c r="X142" s="74">
        <v>2.8569999999999998</v>
      </c>
      <c r="Y142" s="74">
        <v>2.8679999999999999</v>
      </c>
      <c r="Z142" s="74">
        <v>2.8769999999999998</v>
      </c>
      <c r="AA142" s="74">
        <v>2.887</v>
      </c>
      <c r="AB142" s="74">
        <v>2.8959999999999999</v>
      </c>
      <c r="AC142" s="74">
        <v>2.9049999999999998</v>
      </c>
      <c r="AD142" s="75">
        <v>2.9129999999999998</v>
      </c>
      <c r="AE142" s="76"/>
      <c r="AF142" s="76"/>
      <c r="AG142" s="76"/>
      <c r="AH142" s="76"/>
      <c r="AI142" s="76"/>
      <c r="AJ142" s="76"/>
      <c r="AK142" s="76"/>
      <c r="AL142" s="76"/>
      <c r="AM142" s="76"/>
      <c r="AN142" s="76"/>
      <c r="AO142" s="76"/>
      <c r="AP142" s="76"/>
      <c r="AQ142" s="76"/>
      <c r="AR142" s="76"/>
      <c r="AS142" s="76"/>
      <c r="BZ142" s="63" t="str">
        <f t="shared" si="77"/>
        <v>4140</v>
      </c>
      <c r="CA142" s="63" t="str">
        <f t="shared" si="76"/>
        <v>5140</v>
      </c>
      <c r="CB142" s="63" t="str">
        <f t="shared" si="78"/>
        <v>6140</v>
      </c>
      <c r="CC142" s="63" t="str">
        <f t="shared" si="79"/>
        <v>7140</v>
      </c>
      <c r="CD142" s="63" t="str">
        <f t="shared" si="80"/>
        <v>8140</v>
      </c>
      <c r="CE142" s="63" t="str">
        <f t="shared" si="81"/>
        <v>9140</v>
      </c>
      <c r="CF142" s="63" t="str">
        <f t="shared" si="82"/>
        <v>10140</v>
      </c>
      <c r="CG142" s="63" t="str">
        <f t="shared" si="83"/>
        <v>11140</v>
      </c>
      <c r="CH142" s="63" t="str">
        <f t="shared" si="84"/>
        <v>12140</v>
      </c>
      <c r="CI142" s="63" t="str">
        <f t="shared" si="85"/>
        <v>13140</v>
      </c>
      <c r="CJ142" s="63" t="str">
        <f t="shared" si="86"/>
        <v>14140</v>
      </c>
      <c r="CK142" s="63" t="str">
        <f t="shared" si="87"/>
        <v>15140</v>
      </c>
      <c r="CL142" s="63" t="str">
        <f t="shared" si="88"/>
        <v>16140</v>
      </c>
      <c r="CM142" s="63" t="str">
        <f t="shared" si="89"/>
        <v>17140</v>
      </c>
      <c r="CN142" s="63" t="str">
        <f t="shared" si="90"/>
        <v>18140</v>
      </c>
      <c r="CO142" s="63" t="str">
        <f t="shared" si="91"/>
        <v>19140</v>
      </c>
      <c r="CP142" s="63" t="str">
        <f t="shared" si="92"/>
        <v>20140</v>
      </c>
      <c r="CQ142" s="63" t="str">
        <f t="shared" si="93"/>
        <v>21140</v>
      </c>
      <c r="CR142" s="63" t="str">
        <f t="shared" si="94"/>
        <v>22140</v>
      </c>
      <c r="CS142" s="63" t="str">
        <f t="shared" si="95"/>
        <v>23140</v>
      </c>
      <c r="CT142" s="63" t="str">
        <f t="shared" si="96"/>
        <v>24140</v>
      </c>
      <c r="CU142" s="63" t="str">
        <f t="shared" si="97"/>
        <v>25140</v>
      </c>
      <c r="CV142" s="63" t="str">
        <f t="shared" si="98"/>
        <v>26140</v>
      </c>
      <c r="CW142" s="63" t="str">
        <f t="shared" si="99"/>
        <v>27140</v>
      </c>
      <c r="CX142" s="63" t="str">
        <f t="shared" si="100"/>
        <v>28140</v>
      </c>
      <c r="CY142" s="63" t="str">
        <f t="shared" si="101"/>
        <v>29140</v>
      </c>
      <c r="CZ142" s="63" t="str">
        <f t="shared" si="102"/>
        <v>30140</v>
      </c>
      <c r="DA142" s="63" t="str">
        <f t="shared" si="103"/>
        <v>31140</v>
      </c>
      <c r="DB142" s="63" t="str">
        <f t="shared" si="104"/>
        <v>32140</v>
      </c>
      <c r="DD142" s="72" t="s">
        <v>270</v>
      </c>
      <c r="DE142" s="77">
        <f t="shared" si="105"/>
        <v>2.573</v>
      </c>
      <c r="DF142" s="77">
        <f t="shared" si="105"/>
        <v>2.589</v>
      </c>
      <c r="DG142" s="77">
        <f t="shared" si="105"/>
        <v>2.6040000000000001</v>
      </c>
      <c r="DH142" s="77">
        <f t="shared" si="105"/>
        <v>2.62</v>
      </c>
      <c r="DI142" s="77">
        <f t="shared" si="105"/>
        <v>2.6349999999999998</v>
      </c>
      <c r="DJ142" s="77">
        <f t="shared" si="105"/>
        <v>2.649</v>
      </c>
      <c r="DK142" s="77">
        <f t="shared" si="105"/>
        <v>2.6629999999999998</v>
      </c>
      <c r="DL142" s="77">
        <f t="shared" si="105"/>
        <v>2.6760000000000002</v>
      </c>
      <c r="DM142" s="77">
        <f t="shared" si="105"/>
        <v>2.6890000000000001</v>
      </c>
      <c r="DN142" s="77">
        <f t="shared" si="105"/>
        <v>2.702</v>
      </c>
      <c r="DO142" s="77">
        <f t="shared" si="105"/>
        <v>2.714</v>
      </c>
      <c r="DP142" s="77">
        <f t="shared" si="105"/>
        <v>2.7250000000000001</v>
      </c>
      <c r="DQ142" s="77">
        <f t="shared" si="105"/>
        <v>2.738</v>
      </c>
      <c r="DR142" s="77">
        <f t="shared" si="105"/>
        <v>2.75</v>
      </c>
      <c r="DS142" s="77">
        <f t="shared" si="105"/>
        <v>2.7639999999999998</v>
      </c>
      <c r="DT142" s="77">
        <f t="shared" si="70"/>
        <v>2.7770000000000001</v>
      </c>
      <c r="DU142" s="77">
        <f t="shared" si="70"/>
        <v>2.7890000000000001</v>
      </c>
      <c r="DV142" s="77">
        <f t="shared" si="70"/>
        <v>2.8010000000000002</v>
      </c>
      <c r="DW142" s="77">
        <f t="shared" si="70"/>
        <v>2.8130000000000002</v>
      </c>
      <c r="DX142" s="77">
        <f t="shared" si="70"/>
        <v>2.8250000000000002</v>
      </c>
      <c r="DY142" s="77">
        <f t="shared" si="70"/>
        <v>2.8359999999999999</v>
      </c>
      <c r="DZ142" s="77">
        <f t="shared" si="70"/>
        <v>2.847</v>
      </c>
      <c r="EA142" s="77">
        <f t="shared" si="74"/>
        <v>2.8570000000000002</v>
      </c>
      <c r="EB142" s="77">
        <f t="shared" si="74"/>
        <v>2.8679999999999999</v>
      </c>
      <c r="EC142" s="77">
        <f t="shared" si="74"/>
        <v>2.8769999999999998</v>
      </c>
      <c r="ED142" s="77">
        <f t="shared" si="74"/>
        <v>2.887</v>
      </c>
      <c r="EE142" s="77">
        <f t="shared" si="74"/>
        <v>2.8959999999999999</v>
      </c>
      <c r="EF142" s="77">
        <f t="shared" si="72"/>
        <v>2.9049999999999998</v>
      </c>
      <c r="EG142" s="77">
        <f t="shared" si="72"/>
        <v>2.9129999999999998</v>
      </c>
    </row>
    <row r="143" spans="1:137" s="91" customFormat="1" ht="11.25" customHeight="1">
      <c r="A143" s="87">
        <v>141</v>
      </c>
      <c r="B143" s="88">
        <f>+B142+0.006</f>
        <v>2.5789999999999997</v>
      </c>
      <c r="C143" s="88">
        <f>+C142+0.006</f>
        <v>2.5949999999999998</v>
      </c>
      <c r="D143" s="88">
        <f>+D142+0.006</f>
        <v>2.61</v>
      </c>
      <c r="E143" s="88">
        <f t="shared" ref="E143:AD152" si="106">+E142+0.006</f>
        <v>2.6259999999999999</v>
      </c>
      <c r="F143" s="88">
        <f t="shared" si="106"/>
        <v>2.6409999999999996</v>
      </c>
      <c r="G143" s="88">
        <f t="shared" si="106"/>
        <v>2.6549999999999998</v>
      </c>
      <c r="H143" s="88">
        <f t="shared" si="106"/>
        <v>2.6689999999999996</v>
      </c>
      <c r="I143" s="88">
        <f t="shared" si="106"/>
        <v>2.6819999999999995</v>
      </c>
      <c r="J143" s="88">
        <f t="shared" si="106"/>
        <v>2.6949999999999998</v>
      </c>
      <c r="K143" s="88">
        <f t="shared" si="106"/>
        <v>2.7079999999999997</v>
      </c>
      <c r="L143" s="88">
        <f t="shared" si="106"/>
        <v>2.7199999999999998</v>
      </c>
      <c r="M143" s="88">
        <f t="shared" si="106"/>
        <v>2.7309999999999999</v>
      </c>
      <c r="N143" s="88">
        <f t="shared" si="106"/>
        <v>2.7439999999999998</v>
      </c>
      <c r="O143" s="88">
        <f t="shared" si="106"/>
        <v>2.7559999999999998</v>
      </c>
      <c r="P143" s="88">
        <f t="shared" si="106"/>
        <v>2.7699999999999996</v>
      </c>
      <c r="Q143" s="88">
        <f t="shared" si="106"/>
        <v>2.7829999999999995</v>
      </c>
      <c r="R143" s="88">
        <f t="shared" si="106"/>
        <v>2.7949999999999995</v>
      </c>
      <c r="S143" s="88">
        <f t="shared" si="106"/>
        <v>2.8069999999999995</v>
      </c>
      <c r="T143" s="88">
        <f t="shared" si="106"/>
        <v>2.8189999999999995</v>
      </c>
      <c r="U143" s="88">
        <f t="shared" si="106"/>
        <v>2.8309999999999995</v>
      </c>
      <c r="V143" s="88">
        <f t="shared" si="106"/>
        <v>2.8419999999999996</v>
      </c>
      <c r="W143" s="88">
        <f t="shared" si="106"/>
        <v>2.8529999999999998</v>
      </c>
      <c r="X143" s="88">
        <f t="shared" si="106"/>
        <v>2.8629999999999995</v>
      </c>
      <c r="Y143" s="88">
        <f t="shared" si="106"/>
        <v>2.8739999999999997</v>
      </c>
      <c r="Z143" s="88">
        <f t="shared" si="106"/>
        <v>2.8829999999999996</v>
      </c>
      <c r="AA143" s="88">
        <f t="shared" si="106"/>
        <v>2.8929999999999998</v>
      </c>
      <c r="AB143" s="88">
        <f t="shared" si="106"/>
        <v>2.9019999999999997</v>
      </c>
      <c r="AC143" s="88">
        <f t="shared" si="106"/>
        <v>2.9109999999999996</v>
      </c>
      <c r="AD143" s="89">
        <f t="shared" si="106"/>
        <v>2.9189999999999996</v>
      </c>
      <c r="AE143" s="90"/>
      <c r="AF143" s="90"/>
      <c r="AG143" s="90"/>
      <c r="AH143" s="90"/>
      <c r="AI143" s="90"/>
      <c r="AJ143" s="90"/>
      <c r="AK143" s="90"/>
      <c r="AL143" s="90"/>
      <c r="AM143" s="90"/>
      <c r="AN143" s="90"/>
      <c r="AO143" s="90"/>
      <c r="AP143" s="90"/>
      <c r="AQ143" s="90"/>
      <c r="AR143" s="90"/>
      <c r="AS143" s="90"/>
      <c r="BZ143" s="63" t="str">
        <f t="shared" si="77"/>
        <v>4141</v>
      </c>
      <c r="CA143" s="63" t="str">
        <f t="shared" si="76"/>
        <v>5141</v>
      </c>
      <c r="CB143" s="63" t="str">
        <f t="shared" si="78"/>
        <v>6141</v>
      </c>
      <c r="CC143" s="63" t="str">
        <f t="shared" si="79"/>
        <v>7141</v>
      </c>
      <c r="CD143" s="63" t="str">
        <f t="shared" si="80"/>
        <v>8141</v>
      </c>
      <c r="CE143" s="63" t="str">
        <f t="shared" si="81"/>
        <v>9141</v>
      </c>
      <c r="CF143" s="63" t="str">
        <f t="shared" si="82"/>
        <v>10141</v>
      </c>
      <c r="CG143" s="63" t="str">
        <f t="shared" si="83"/>
        <v>11141</v>
      </c>
      <c r="CH143" s="63" t="str">
        <f t="shared" si="84"/>
        <v>12141</v>
      </c>
      <c r="CI143" s="63" t="str">
        <f t="shared" si="85"/>
        <v>13141</v>
      </c>
      <c r="CJ143" s="63" t="str">
        <f t="shared" si="86"/>
        <v>14141</v>
      </c>
      <c r="CK143" s="63" t="str">
        <f t="shared" si="87"/>
        <v>15141</v>
      </c>
      <c r="CL143" s="63" t="str">
        <f t="shared" si="88"/>
        <v>16141</v>
      </c>
      <c r="CM143" s="63" t="str">
        <f t="shared" si="89"/>
        <v>17141</v>
      </c>
      <c r="CN143" s="63" t="str">
        <f t="shared" si="90"/>
        <v>18141</v>
      </c>
      <c r="CO143" s="63" t="str">
        <f t="shared" si="91"/>
        <v>19141</v>
      </c>
      <c r="CP143" s="63" t="str">
        <f t="shared" si="92"/>
        <v>20141</v>
      </c>
      <c r="CQ143" s="63" t="str">
        <f t="shared" si="93"/>
        <v>21141</v>
      </c>
      <c r="CR143" s="63" t="str">
        <f t="shared" si="94"/>
        <v>22141</v>
      </c>
      <c r="CS143" s="63" t="str">
        <f t="shared" si="95"/>
        <v>23141</v>
      </c>
      <c r="CT143" s="63" t="str">
        <f t="shared" si="96"/>
        <v>24141</v>
      </c>
      <c r="CU143" s="63" t="str">
        <f t="shared" si="97"/>
        <v>25141</v>
      </c>
      <c r="CV143" s="63" t="str">
        <f t="shared" si="98"/>
        <v>26141</v>
      </c>
      <c r="CW143" s="63" t="str">
        <f t="shared" si="99"/>
        <v>27141</v>
      </c>
      <c r="CX143" s="63" t="str">
        <f t="shared" si="100"/>
        <v>28141</v>
      </c>
      <c r="CY143" s="63" t="str">
        <f t="shared" si="101"/>
        <v>29141</v>
      </c>
      <c r="CZ143" s="63" t="str">
        <f t="shared" si="102"/>
        <v>30141</v>
      </c>
      <c r="DA143" s="63" t="str">
        <f t="shared" si="103"/>
        <v>31141</v>
      </c>
      <c r="DB143" s="63" t="str">
        <f t="shared" si="104"/>
        <v>32141</v>
      </c>
      <c r="DD143" s="72" t="s">
        <v>271</v>
      </c>
      <c r="DE143" s="77">
        <f t="shared" si="105"/>
        <v>2.5790000000000002</v>
      </c>
      <c r="DF143" s="77">
        <f t="shared" si="105"/>
        <v>2.5950000000000002</v>
      </c>
      <c r="DG143" s="77">
        <f t="shared" si="105"/>
        <v>2.61</v>
      </c>
      <c r="DH143" s="77">
        <f t="shared" si="105"/>
        <v>2.6259999999999999</v>
      </c>
      <c r="DI143" s="77">
        <f t="shared" si="105"/>
        <v>2.641</v>
      </c>
      <c r="DJ143" s="77">
        <f t="shared" si="105"/>
        <v>2.6549999999999998</v>
      </c>
      <c r="DK143" s="77">
        <f t="shared" si="105"/>
        <v>2.669</v>
      </c>
      <c r="DL143" s="77">
        <f t="shared" si="105"/>
        <v>2.6819999999999999</v>
      </c>
      <c r="DM143" s="77">
        <f t="shared" si="105"/>
        <v>2.6949999999999998</v>
      </c>
      <c r="DN143" s="77">
        <f t="shared" si="105"/>
        <v>2.7080000000000002</v>
      </c>
      <c r="DO143" s="77">
        <f t="shared" si="105"/>
        <v>2.72</v>
      </c>
      <c r="DP143" s="77">
        <f t="shared" si="105"/>
        <v>2.7309999999999999</v>
      </c>
      <c r="DQ143" s="77">
        <f t="shared" si="105"/>
        <v>2.7440000000000002</v>
      </c>
      <c r="DR143" s="77">
        <f t="shared" si="105"/>
        <v>2.7559999999999998</v>
      </c>
      <c r="DS143" s="77">
        <f t="shared" si="105"/>
        <v>2.77</v>
      </c>
      <c r="DT143" s="77">
        <f t="shared" si="70"/>
        <v>2.7829999999999999</v>
      </c>
      <c r="DU143" s="77">
        <f t="shared" si="70"/>
        <v>2.7949999999999999</v>
      </c>
      <c r="DV143" s="77">
        <f t="shared" si="70"/>
        <v>2.8069999999999999</v>
      </c>
      <c r="DW143" s="77">
        <f t="shared" si="70"/>
        <v>2.819</v>
      </c>
      <c r="DX143" s="77">
        <f t="shared" si="70"/>
        <v>2.831</v>
      </c>
      <c r="DY143" s="77">
        <f t="shared" si="70"/>
        <v>2.8420000000000001</v>
      </c>
      <c r="DZ143" s="77">
        <f t="shared" si="70"/>
        <v>2.8530000000000002</v>
      </c>
      <c r="EA143" s="77">
        <f t="shared" si="74"/>
        <v>2.863</v>
      </c>
      <c r="EB143" s="77">
        <f t="shared" si="74"/>
        <v>2.8740000000000001</v>
      </c>
      <c r="EC143" s="77">
        <f t="shared" si="74"/>
        <v>2.883</v>
      </c>
      <c r="ED143" s="77">
        <f t="shared" si="74"/>
        <v>2.8929999999999998</v>
      </c>
      <c r="EE143" s="77">
        <f t="shared" si="74"/>
        <v>2.9020000000000001</v>
      </c>
      <c r="EF143" s="77">
        <f t="shared" si="72"/>
        <v>2.911</v>
      </c>
      <c r="EG143" s="77">
        <f t="shared" si="72"/>
        <v>2.919</v>
      </c>
    </row>
    <row r="144" spans="1:137" s="91" customFormat="1" ht="11.25" customHeight="1">
      <c r="A144" s="87">
        <v>142</v>
      </c>
      <c r="B144" s="88">
        <f t="shared" ref="B144:Q159" si="107">+B143+0.006</f>
        <v>2.5849999999999995</v>
      </c>
      <c r="C144" s="88">
        <f t="shared" si="107"/>
        <v>2.6009999999999995</v>
      </c>
      <c r="D144" s="88">
        <f t="shared" si="107"/>
        <v>2.6159999999999997</v>
      </c>
      <c r="E144" s="88">
        <f t="shared" si="106"/>
        <v>2.6319999999999997</v>
      </c>
      <c r="F144" s="88">
        <f t="shared" si="106"/>
        <v>2.6469999999999994</v>
      </c>
      <c r="G144" s="88">
        <f t="shared" si="106"/>
        <v>2.6609999999999996</v>
      </c>
      <c r="H144" s="88">
        <f t="shared" si="106"/>
        <v>2.6749999999999994</v>
      </c>
      <c r="I144" s="88">
        <f t="shared" si="106"/>
        <v>2.6879999999999993</v>
      </c>
      <c r="J144" s="88">
        <f t="shared" si="106"/>
        <v>2.7009999999999996</v>
      </c>
      <c r="K144" s="88">
        <f t="shared" si="106"/>
        <v>2.7139999999999995</v>
      </c>
      <c r="L144" s="88">
        <f t="shared" si="106"/>
        <v>2.7259999999999995</v>
      </c>
      <c r="M144" s="88">
        <f t="shared" si="106"/>
        <v>2.7369999999999997</v>
      </c>
      <c r="N144" s="88">
        <f t="shared" si="106"/>
        <v>2.7499999999999996</v>
      </c>
      <c r="O144" s="88">
        <f t="shared" si="106"/>
        <v>2.7619999999999996</v>
      </c>
      <c r="P144" s="88">
        <f t="shared" si="106"/>
        <v>2.7759999999999994</v>
      </c>
      <c r="Q144" s="88">
        <f t="shared" si="106"/>
        <v>2.7889999999999993</v>
      </c>
      <c r="R144" s="88">
        <f t="shared" si="106"/>
        <v>2.8009999999999993</v>
      </c>
      <c r="S144" s="88">
        <f t="shared" si="106"/>
        <v>2.8129999999999993</v>
      </c>
      <c r="T144" s="88">
        <f t="shared" si="106"/>
        <v>2.8249999999999993</v>
      </c>
      <c r="U144" s="88">
        <f t="shared" si="106"/>
        <v>2.8369999999999993</v>
      </c>
      <c r="V144" s="88">
        <f t="shared" si="106"/>
        <v>2.8479999999999994</v>
      </c>
      <c r="W144" s="88">
        <f t="shared" si="106"/>
        <v>2.8589999999999995</v>
      </c>
      <c r="X144" s="88">
        <f t="shared" si="106"/>
        <v>2.8689999999999993</v>
      </c>
      <c r="Y144" s="88">
        <f t="shared" si="106"/>
        <v>2.8799999999999994</v>
      </c>
      <c r="Z144" s="88">
        <f t="shared" si="106"/>
        <v>2.8889999999999993</v>
      </c>
      <c r="AA144" s="88">
        <f t="shared" si="106"/>
        <v>2.8989999999999996</v>
      </c>
      <c r="AB144" s="88">
        <f t="shared" si="106"/>
        <v>2.9079999999999995</v>
      </c>
      <c r="AC144" s="88">
        <f t="shared" si="106"/>
        <v>2.9169999999999994</v>
      </c>
      <c r="AD144" s="89">
        <f t="shared" si="106"/>
        <v>2.9249999999999994</v>
      </c>
      <c r="AE144" s="90"/>
      <c r="AF144" s="90"/>
      <c r="AG144" s="90"/>
      <c r="AH144" s="90"/>
      <c r="AI144" s="90"/>
      <c r="AJ144" s="90"/>
      <c r="AK144" s="90"/>
      <c r="AL144" s="90"/>
      <c r="AM144" s="90"/>
      <c r="AN144" s="90"/>
      <c r="AO144" s="90"/>
      <c r="AP144" s="90"/>
      <c r="AQ144" s="90"/>
      <c r="AR144" s="90"/>
      <c r="AS144" s="90"/>
      <c r="BZ144" s="63" t="str">
        <f t="shared" si="77"/>
        <v>4142</v>
      </c>
      <c r="CA144" s="63" t="str">
        <f t="shared" si="76"/>
        <v>5142</v>
      </c>
      <c r="CB144" s="63" t="str">
        <f t="shared" si="78"/>
        <v>6142</v>
      </c>
      <c r="CC144" s="63" t="str">
        <f t="shared" si="79"/>
        <v>7142</v>
      </c>
      <c r="CD144" s="63" t="str">
        <f t="shared" si="80"/>
        <v>8142</v>
      </c>
      <c r="CE144" s="63" t="str">
        <f t="shared" si="81"/>
        <v>9142</v>
      </c>
      <c r="CF144" s="63" t="str">
        <f t="shared" si="82"/>
        <v>10142</v>
      </c>
      <c r="CG144" s="63" t="str">
        <f t="shared" si="83"/>
        <v>11142</v>
      </c>
      <c r="CH144" s="63" t="str">
        <f t="shared" si="84"/>
        <v>12142</v>
      </c>
      <c r="CI144" s="63" t="str">
        <f t="shared" si="85"/>
        <v>13142</v>
      </c>
      <c r="CJ144" s="63" t="str">
        <f t="shared" si="86"/>
        <v>14142</v>
      </c>
      <c r="CK144" s="63" t="str">
        <f t="shared" si="87"/>
        <v>15142</v>
      </c>
      <c r="CL144" s="63" t="str">
        <f t="shared" si="88"/>
        <v>16142</v>
      </c>
      <c r="CM144" s="63" t="str">
        <f t="shared" si="89"/>
        <v>17142</v>
      </c>
      <c r="CN144" s="63" t="str">
        <f t="shared" si="90"/>
        <v>18142</v>
      </c>
      <c r="CO144" s="63" t="str">
        <f t="shared" si="91"/>
        <v>19142</v>
      </c>
      <c r="CP144" s="63" t="str">
        <f t="shared" si="92"/>
        <v>20142</v>
      </c>
      <c r="CQ144" s="63" t="str">
        <f t="shared" si="93"/>
        <v>21142</v>
      </c>
      <c r="CR144" s="63" t="str">
        <f t="shared" si="94"/>
        <v>22142</v>
      </c>
      <c r="CS144" s="63" t="str">
        <f t="shared" si="95"/>
        <v>23142</v>
      </c>
      <c r="CT144" s="63" t="str">
        <f t="shared" si="96"/>
        <v>24142</v>
      </c>
      <c r="CU144" s="63" t="str">
        <f t="shared" si="97"/>
        <v>25142</v>
      </c>
      <c r="CV144" s="63" t="str">
        <f t="shared" si="98"/>
        <v>26142</v>
      </c>
      <c r="CW144" s="63" t="str">
        <f t="shared" si="99"/>
        <v>27142</v>
      </c>
      <c r="CX144" s="63" t="str">
        <f t="shared" si="100"/>
        <v>28142</v>
      </c>
      <c r="CY144" s="63" t="str">
        <f t="shared" si="101"/>
        <v>29142</v>
      </c>
      <c r="CZ144" s="63" t="str">
        <f t="shared" si="102"/>
        <v>30142</v>
      </c>
      <c r="DA144" s="63" t="str">
        <f t="shared" si="103"/>
        <v>31142</v>
      </c>
      <c r="DB144" s="63" t="str">
        <f t="shared" si="104"/>
        <v>32142</v>
      </c>
      <c r="DD144" s="72" t="s">
        <v>272</v>
      </c>
      <c r="DE144" s="77">
        <f t="shared" si="105"/>
        <v>2.585</v>
      </c>
      <c r="DF144" s="77">
        <f t="shared" si="105"/>
        <v>2.601</v>
      </c>
      <c r="DG144" s="77">
        <f t="shared" si="105"/>
        <v>2.6160000000000001</v>
      </c>
      <c r="DH144" s="77">
        <f t="shared" si="105"/>
        <v>2.6320000000000001</v>
      </c>
      <c r="DI144" s="77">
        <f t="shared" si="105"/>
        <v>2.6469999999999998</v>
      </c>
      <c r="DJ144" s="77">
        <f t="shared" si="105"/>
        <v>2.661</v>
      </c>
      <c r="DK144" s="77">
        <f t="shared" si="105"/>
        <v>2.6749999999999998</v>
      </c>
      <c r="DL144" s="77">
        <f t="shared" si="105"/>
        <v>2.6880000000000002</v>
      </c>
      <c r="DM144" s="77">
        <f t="shared" si="105"/>
        <v>2.7010000000000001</v>
      </c>
      <c r="DN144" s="77">
        <f t="shared" si="105"/>
        <v>2.714</v>
      </c>
      <c r="DO144" s="77">
        <f t="shared" si="105"/>
        <v>2.726</v>
      </c>
      <c r="DP144" s="77">
        <f t="shared" si="105"/>
        <v>2.7370000000000001</v>
      </c>
      <c r="DQ144" s="77">
        <f t="shared" si="105"/>
        <v>2.75</v>
      </c>
      <c r="DR144" s="77">
        <f t="shared" si="105"/>
        <v>2.762</v>
      </c>
      <c r="DS144" s="77">
        <f t="shared" si="105"/>
        <v>2.7759999999999998</v>
      </c>
      <c r="DT144" s="77">
        <f t="shared" si="70"/>
        <v>2.7890000000000001</v>
      </c>
      <c r="DU144" s="77">
        <f t="shared" si="70"/>
        <v>2.8010000000000002</v>
      </c>
      <c r="DV144" s="77">
        <f t="shared" si="70"/>
        <v>2.8130000000000002</v>
      </c>
      <c r="DW144" s="77">
        <f t="shared" si="70"/>
        <v>2.8250000000000002</v>
      </c>
      <c r="DX144" s="77">
        <f t="shared" si="70"/>
        <v>2.8370000000000002</v>
      </c>
      <c r="DY144" s="77">
        <f t="shared" si="70"/>
        <v>2.8479999999999999</v>
      </c>
      <c r="DZ144" s="77">
        <f t="shared" si="70"/>
        <v>2.859</v>
      </c>
      <c r="EA144" s="77">
        <f t="shared" si="74"/>
        <v>2.8690000000000002</v>
      </c>
      <c r="EB144" s="77">
        <f t="shared" si="74"/>
        <v>2.88</v>
      </c>
      <c r="EC144" s="77">
        <f t="shared" si="74"/>
        <v>2.8889999999999998</v>
      </c>
      <c r="ED144" s="77">
        <f t="shared" si="74"/>
        <v>2.899</v>
      </c>
      <c r="EE144" s="77">
        <f t="shared" si="74"/>
        <v>2.9079999999999999</v>
      </c>
      <c r="EF144" s="77">
        <f t="shared" si="72"/>
        <v>2.9169999999999998</v>
      </c>
      <c r="EG144" s="77">
        <f t="shared" si="72"/>
        <v>2.9249999999999998</v>
      </c>
    </row>
    <row r="145" spans="1:137" s="91" customFormat="1" ht="11.25" customHeight="1">
      <c r="A145" s="87">
        <v>143</v>
      </c>
      <c r="B145" s="88">
        <f t="shared" si="107"/>
        <v>2.5909999999999993</v>
      </c>
      <c r="C145" s="88">
        <f t="shared" si="107"/>
        <v>2.6069999999999993</v>
      </c>
      <c r="D145" s="88">
        <f t="shared" si="107"/>
        <v>2.6219999999999994</v>
      </c>
      <c r="E145" s="88">
        <f t="shared" si="106"/>
        <v>2.6379999999999995</v>
      </c>
      <c r="F145" s="88">
        <f t="shared" si="106"/>
        <v>2.6529999999999991</v>
      </c>
      <c r="G145" s="88">
        <f t="shared" si="106"/>
        <v>2.6669999999999994</v>
      </c>
      <c r="H145" s="88">
        <f t="shared" si="106"/>
        <v>2.6809999999999992</v>
      </c>
      <c r="I145" s="88">
        <f t="shared" si="106"/>
        <v>2.6939999999999991</v>
      </c>
      <c r="J145" s="88">
        <f t="shared" si="106"/>
        <v>2.7069999999999994</v>
      </c>
      <c r="K145" s="88">
        <f t="shared" si="106"/>
        <v>2.7199999999999993</v>
      </c>
      <c r="L145" s="88">
        <f t="shared" si="106"/>
        <v>2.7319999999999993</v>
      </c>
      <c r="M145" s="88">
        <f t="shared" si="106"/>
        <v>2.7429999999999994</v>
      </c>
      <c r="N145" s="88">
        <f t="shared" si="106"/>
        <v>2.7559999999999993</v>
      </c>
      <c r="O145" s="88">
        <f t="shared" si="106"/>
        <v>2.7679999999999993</v>
      </c>
      <c r="P145" s="88">
        <f t="shared" si="106"/>
        <v>2.7819999999999991</v>
      </c>
      <c r="Q145" s="88">
        <f t="shared" si="106"/>
        <v>2.794999999999999</v>
      </c>
      <c r="R145" s="88">
        <f t="shared" si="106"/>
        <v>2.8069999999999991</v>
      </c>
      <c r="S145" s="88">
        <f t="shared" si="106"/>
        <v>2.8189999999999991</v>
      </c>
      <c r="T145" s="88">
        <f t="shared" si="106"/>
        <v>2.8309999999999991</v>
      </c>
      <c r="U145" s="88">
        <f t="shared" si="106"/>
        <v>2.8429999999999991</v>
      </c>
      <c r="V145" s="88">
        <f t="shared" si="106"/>
        <v>2.8539999999999992</v>
      </c>
      <c r="W145" s="88">
        <f t="shared" si="106"/>
        <v>2.8649999999999993</v>
      </c>
      <c r="X145" s="88">
        <f t="shared" si="106"/>
        <v>2.8749999999999991</v>
      </c>
      <c r="Y145" s="88">
        <f t="shared" si="106"/>
        <v>2.8859999999999992</v>
      </c>
      <c r="Z145" s="88">
        <f t="shared" si="106"/>
        <v>2.8949999999999991</v>
      </c>
      <c r="AA145" s="88">
        <f t="shared" si="106"/>
        <v>2.9049999999999994</v>
      </c>
      <c r="AB145" s="88">
        <f t="shared" si="106"/>
        <v>2.9139999999999993</v>
      </c>
      <c r="AC145" s="88">
        <f t="shared" si="106"/>
        <v>2.9229999999999992</v>
      </c>
      <c r="AD145" s="89">
        <f t="shared" si="106"/>
        <v>2.9309999999999992</v>
      </c>
      <c r="AE145" s="90"/>
      <c r="AF145" s="90"/>
      <c r="AG145" s="90"/>
      <c r="AH145" s="90"/>
      <c r="AI145" s="90"/>
      <c r="AJ145" s="90"/>
      <c r="AK145" s="90"/>
      <c r="AL145" s="90"/>
      <c r="AM145" s="90"/>
      <c r="AN145" s="90"/>
      <c r="AO145" s="90"/>
      <c r="AP145" s="90"/>
      <c r="AQ145" s="90"/>
      <c r="AR145" s="90"/>
      <c r="AS145" s="90"/>
      <c r="BZ145" s="63" t="str">
        <f t="shared" si="77"/>
        <v>4143</v>
      </c>
      <c r="CA145" s="63" t="str">
        <f t="shared" si="76"/>
        <v>5143</v>
      </c>
      <c r="CB145" s="63" t="str">
        <f t="shared" si="78"/>
        <v>6143</v>
      </c>
      <c r="CC145" s="63" t="str">
        <f t="shared" si="79"/>
        <v>7143</v>
      </c>
      <c r="CD145" s="63" t="str">
        <f t="shared" si="80"/>
        <v>8143</v>
      </c>
      <c r="CE145" s="63" t="str">
        <f t="shared" si="81"/>
        <v>9143</v>
      </c>
      <c r="CF145" s="63" t="str">
        <f t="shared" si="82"/>
        <v>10143</v>
      </c>
      <c r="CG145" s="63" t="str">
        <f t="shared" si="83"/>
        <v>11143</v>
      </c>
      <c r="CH145" s="63" t="str">
        <f t="shared" si="84"/>
        <v>12143</v>
      </c>
      <c r="CI145" s="63" t="str">
        <f t="shared" si="85"/>
        <v>13143</v>
      </c>
      <c r="CJ145" s="63" t="str">
        <f t="shared" si="86"/>
        <v>14143</v>
      </c>
      <c r="CK145" s="63" t="str">
        <f t="shared" si="87"/>
        <v>15143</v>
      </c>
      <c r="CL145" s="63" t="str">
        <f t="shared" si="88"/>
        <v>16143</v>
      </c>
      <c r="CM145" s="63" t="str">
        <f t="shared" si="89"/>
        <v>17143</v>
      </c>
      <c r="CN145" s="63" t="str">
        <f t="shared" si="90"/>
        <v>18143</v>
      </c>
      <c r="CO145" s="63" t="str">
        <f t="shared" si="91"/>
        <v>19143</v>
      </c>
      <c r="CP145" s="63" t="str">
        <f t="shared" si="92"/>
        <v>20143</v>
      </c>
      <c r="CQ145" s="63" t="str">
        <f t="shared" si="93"/>
        <v>21143</v>
      </c>
      <c r="CR145" s="63" t="str">
        <f t="shared" si="94"/>
        <v>22143</v>
      </c>
      <c r="CS145" s="63" t="str">
        <f t="shared" si="95"/>
        <v>23143</v>
      </c>
      <c r="CT145" s="63" t="str">
        <f t="shared" si="96"/>
        <v>24143</v>
      </c>
      <c r="CU145" s="63" t="str">
        <f t="shared" si="97"/>
        <v>25143</v>
      </c>
      <c r="CV145" s="63" t="str">
        <f t="shared" si="98"/>
        <v>26143</v>
      </c>
      <c r="CW145" s="63" t="str">
        <f t="shared" si="99"/>
        <v>27143</v>
      </c>
      <c r="CX145" s="63" t="str">
        <f t="shared" si="100"/>
        <v>28143</v>
      </c>
      <c r="CY145" s="63" t="str">
        <f t="shared" si="101"/>
        <v>29143</v>
      </c>
      <c r="CZ145" s="63" t="str">
        <f t="shared" si="102"/>
        <v>30143</v>
      </c>
      <c r="DA145" s="63" t="str">
        <f t="shared" si="103"/>
        <v>31143</v>
      </c>
      <c r="DB145" s="63" t="str">
        <f t="shared" si="104"/>
        <v>32143</v>
      </c>
      <c r="DD145" s="72" t="s">
        <v>273</v>
      </c>
      <c r="DE145" s="77">
        <f t="shared" si="105"/>
        <v>2.5910000000000002</v>
      </c>
      <c r="DF145" s="77">
        <f t="shared" si="105"/>
        <v>2.6070000000000002</v>
      </c>
      <c r="DG145" s="77">
        <f t="shared" si="105"/>
        <v>2.6219999999999999</v>
      </c>
      <c r="DH145" s="77">
        <f t="shared" si="105"/>
        <v>2.6379999999999999</v>
      </c>
      <c r="DI145" s="77">
        <f t="shared" si="105"/>
        <v>2.653</v>
      </c>
      <c r="DJ145" s="77">
        <f t="shared" si="105"/>
        <v>2.6669999999999998</v>
      </c>
      <c r="DK145" s="77">
        <f t="shared" si="105"/>
        <v>2.681</v>
      </c>
      <c r="DL145" s="77">
        <f t="shared" si="105"/>
        <v>2.694</v>
      </c>
      <c r="DM145" s="77">
        <f t="shared" si="105"/>
        <v>2.7069999999999999</v>
      </c>
      <c r="DN145" s="77">
        <f t="shared" si="105"/>
        <v>2.72</v>
      </c>
      <c r="DO145" s="77">
        <f t="shared" si="105"/>
        <v>2.7320000000000002</v>
      </c>
      <c r="DP145" s="77">
        <f t="shared" si="105"/>
        <v>2.7429999999999999</v>
      </c>
      <c r="DQ145" s="77">
        <f t="shared" si="105"/>
        <v>2.7559999999999998</v>
      </c>
      <c r="DR145" s="77">
        <f t="shared" si="105"/>
        <v>2.7679999999999998</v>
      </c>
      <c r="DS145" s="77">
        <f t="shared" si="105"/>
        <v>2.782</v>
      </c>
      <c r="DT145" s="77">
        <f t="shared" si="70"/>
        <v>2.7949999999999999</v>
      </c>
      <c r="DU145" s="77">
        <f t="shared" si="70"/>
        <v>2.8069999999999999</v>
      </c>
      <c r="DV145" s="77">
        <f t="shared" si="70"/>
        <v>2.819</v>
      </c>
      <c r="DW145" s="77">
        <f t="shared" si="70"/>
        <v>2.831</v>
      </c>
      <c r="DX145" s="77">
        <f t="shared" si="70"/>
        <v>2.843</v>
      </c>
      <c r="DY145" s="77">
        <f t="shared" si="70"/>
        <v>2.8540000000000001</v>
      </c>
      <c r="DZ145" s="77">
        <f t="shared" si="70"/>
        <v>2.8650000000000002</v>
      </c>
      <c r="EA145" s="77">
        <f t="shared" si="74"/>
        <v>2.875</v>
      </c>
      <c r="EB145" s="77">
        <f t="shared" si="74"/>
        <v>2.8860000000000001</v>
      </c>
      <c r="EC145" s="77">
        <f t="shared" si="74"/>
        <v>2.895</v>
      </c>
      <c r="ED145" s="77">
        <f t="shared" si="74"/>
        <v>2.9049999999999998</v>
      </c>
      <c r="EE145" s="77">
        <f t="shared" si="74"/>
        <v>2.9140000000000001</v>
      </c>
      <c r="EF145" s="77">
        <f t="shared" si="72"/>
        <v>2.923</v>
      </c>
      <c r="EG145" s="77">
        <f t="shared" si="72"/>
        <v>2.931</v>
      </c>
    </row>
    <row r="146" spans="1:137" s="91" customFormat="1" ht="11.25" customHeight="1">
      <c r="A146" s="87">
        <v>144</v>
      </c>
      <c r="B146" s="88">
        <f t="shared" si="107"/>
        <v>2.5969999999999991</v>
      </c>
      <c r="C146" s="88">
        <f t="shared" si="107"/>
        <v>2.6129999999999991</v>
      </c>
      <c r="D146" s="88">
        <f t="shared" si="107"/>
        <v>2.6279999999999992</v>
      </c>
      <c r="E146" s="88">
        <f t="shared" si="106"/>
        <v>2.6439999999999992</v>
      </c>
      <c r="F146" s="88">
        <f t="shared" si="106"/>
        <v>2.6589999999999989</v>
      </c>
      <c r="G146" s="88">
        <f t="shared" si="106"/>
        <v>2.6729999999999992</v>
      </c>
      <c r="H146" s="88">
        <f t="shared" si="106"/>
        <v>2.6869999999999989</v>
      </c>
      <c r="I146" s="88">
        <f t="shared" si="106"/>
        <v>2.6999999999999988</v>
      </c>
      <c r="J146" s="88">
        <f t="shared" si="106"/>
        <v>2.7129999999999992</v>
      </c>
      <c r="K146" s="88">
        <f t="shared" si="106"/>
        <v>2.7259999999999991</v>
      </c>
      <c r="L146" s="88">
        <f t="shared" si="106"/>
        <v>2.7379999999999991</v>
      </c>
      <c r="M146" s="88">
        <f t="shared" si="106"/>
        <v>2.7489999999999992</v>
      </c>
      <c r="N146" s="88">
        <f t="shared" si="106"/>
        <v>2.7619999999999991</v>
      </c>
      <c r="O146" s="88">
        <f t="shared" si="106"/>
        <v>2.7739999999999991</v>
      </c>
      <c r="P146" s="88">
        <f t="shared" si="106"/>
        <v>2.7879999999999989</v>
      </c>
      <c r="Q146" s="88">
        <f t="shared" si="106"/>
        <v>2.8009999999999988</v>
      </c>
      <c r="R146" s="88">
        <f t="shared" si="106"/>
        <v>2.8129999999999988</v>
      </c>
      <c r="S146" s="88">
        <f t="shared" si="106"/>
        <v>2.8249999999999988</v>
      </c>
      <c r="T146" s="88">
        <f t="shared" si="106"/>
        <v>2.8369999999999989</v>
      </c>
      <c r="U146" s="88">
        <f t="shared" si="106"/>
        <v>2.8489999999999989</v>
      </c>
      <c r="V146" s="88">
        <f t="shared" si="106"/>
        <v>2.859999999999999</v>
      </c>
      <c r="W146" s="88">
        <f t="shared" si="106"/>
        <v>2.8709999999999991</v>
      </c>
      <c r="X146" s="88">
        <f t="shared" si="106"/>
        <v>2.8809999999999989</v>
      </c>
      <c r="Y146" s="88">
        <f t="shared" si="106"/>
        <v>2.891999999999999</v>
      </c>
      <c r="Z146" s="88">
        <f t="shared" si="106"/>
        <v>2.9009999999999989</v>
      </c>
      <c r="AA146" s="88">
        <f t="shared" si="106"/>
        <v>2.9109999999999991</v>
      </c>
      <c r="AB146" s="88">
        <f t="shared" si="106"/>
        <v>2.919999999999999</v>
      </c>
      <c r="AC146" s="88">
        <f t="shared" si="106"/>
        <v>2.9289999999999989</v>
      </c>
      <c r="AD146" s="89">
        <f t="shared" si="106"/>
        <v>2.9369999999999989</v>
      </c>
      <c r="AE146" s="90"/>
      <c r="AF146" s="90"/>
      <c r="AG146" s="90"/>
      <c r="AH146" s="90"/>
      <c r="AI146" s="90"/>
      <c r="AJ146" s="90"/>
      <c r="AK146" s="90"/>
      <c r="AL146" s="90"/>
      <c r="AM146" s="90"/>
      <c r="AN146" s="90"/>
      <c r="AO146" s="90"/>
      <c r="AP146" s="90"/>
      <c r="AQ146" s="90"/>
      <c r="AR146" s="90"/>
      <c r="AS146" s="90"/>
      <c r="BZ146" s="63" t="str">
        <f t="shared" si="77"/>
        <v>4144</v>
      </c>
      <c r="CA146" s="63" t="str">
        <f t="shared" si="76"/>
        <v>5144</v>
      </c>
      <c r="CB146" s="63" t="str">
        <f t="shared" si="78"/>
        <v>6144</v>
      </c>
      <c r="CC146" s="63" t="str">
        <f t="shared" si="79"/>
        <v>7144</v>
      </c>
      <c r="CD146" s="63" t="str">
        <f t="shared" si="80"/>
        <v>8144</v>
      </c>
      <c r="CE146" s="63" t="str">
        <f t="shared" si="81"/>
        <v>9144</v>
      </c>
      <c r="CF146" s="63" t="str">
        <f t="shared" si="82"/>
        <v>10144</v>
      </c>
      <c r="CG146" s="63" t="str">
        <f t="shared" si="83"/>
        <v>11144</v>
      </c>
      <c r="CH146" s="63" t="str">
        <f t="shared" si="84"/>
        <v>12144</v>
      </c>
      <c r="CI146" s="63" t="str">
        <f t="shared" si="85"/>
        <v>13144</v>
      </c>
      <c r="CJ146" s="63" t="str">
        <f t="shared" si="86"/>
        <v>14144</v>
      </c>
      <c r="CK146" s="63" t="str">
        <f t="shared" si="87"/>
        <v>15144</v>
      </c>
      <c r="CL146" s="63" t="str">
        <f t="shared" si="88"/>
        <v>16144</v>
      </c>
      <c r="CM146" s="63" t="str">
        <f t="shared" si="89"/>
        <v>17144</v>
      </c>
      <c r="CN146" s="63" t="str">
        <f t="shared" si="90"/>
        <v>18144</v>
      </c>
      <c r="CO146" s="63" t="str">
        <f t="shared" si="91"/>
        <v>19144</v>
      </c>
      <c r="CP146" s="63" t="str">
        <f t="shared" si="92"/>
        <v>20144</v>
      </c>
      <c r="CQ146" s="63" t="str">
        <f t="shared" si="93"/>
        <v>21144</v>
      </c>
      <c r="CR146" s="63" t="str">
        <f t="shared" si="94"/>
        <v>22144</v>
      </c>
      <c r="CS146" s="63" t="str">
        <f t="shared" si="95"/>
        <v>23144</v>
      </c>
      <c r="CT146" s="63" t="str">
        <f t="shared" si="96"/>
        <v>24144</v>
      </c>
      <c r="CU146" s="63" t="str">
        <f t="shared" si="97"/>
        <v>25144</v>
      </c>
      <c r="CV146" s="63" t="str">
        <f t="shared" si="98"/>
        <v>26144</v>
      </c>
      <c r="CW146" s="63" t="str">
        <f t="shared" si="99"/>
        <v>27144</v>
      </c>
      <c r="CX146" s="63" t="str">
        <f t="shared" si="100"/>
        <v>28144</v>
      </c>
      <c r="CY146" s="63" t="str">
        <f t="shared" si="101"/>
        <v>29144</v>
      </c>
      <c r="CZ146" s="63" t="str">
        <f t="shared" si="102"/>
        <v>30144</v>
      </c>
      <c r="DA146" s="63" t="str">
        <f t="shared" si="103"/>
        <v>31144</v>
      </c>
      <c r="DB146" s="63" t="str">
        <f t="shared" si="104"/>
        <v>32144</v>
      </c>
      <c r="DD146" s="72" t="s">
        <v>274</v>
      </c>
      <c r="DE146" s="77">
        <f t="shared" si="105"/>
        <v>2.597</v>
      </c>
      <c r="DF146" s="77">
        <f t="shared" si="105"/>
        <v>2.613</v>
      </c>
      <c r="DG146" s="77">
        <f t="shared" si="105"/>
        <v>2.6280000000000001</v>
      </c>
      <c r="DH146" s="77">
        <f t="shared" si="105"/>
        <v>2.6440000000000001</v>
      </c>
      <c r="DI146" s="77">
        <f t="shared" si="105"/>
        <v>2.6589999999999998</v>
      </c>
      <c r="DJ146" s="77">
        <f t="shared" si="105"/>
        <v>2.673</v>
      </c>
      <c r="DK146" s="77">
        <f t="shared" si="105"/>
        <v>2.6869999999999998</v>
      </c>
      <c r="DL146" s="77">
        <f t="shared" si="105"/>
        <v>2.7</v>
      </c>
      <c r="DM146" s="77">
        <f t="shared" si="105"/>
        <v>2.7130000000000001</v>
      </c>
      <c r="DN146" s="77">
        <f t="shared" si="105"/>
        <v>2.726</v>
      </c>
      <c r="DO146" s="77">
        <f t="shared" si="105"/>
        <v>2.738</v>
      </c>
      <c r="DP146" s="77">
        <f t="shared" si="105"/>
        <v>2.7490000000000001</v>
      </c>
      <c r="DQ146" s="77">
        <f t="shared" si="105"/>
        <v>2.762</v>
      </c>
      <c r="DR146" s="77">
        <f t="shared" si="105"/>
        <v>2.774</v>
      </c>
      <c r="DS146" s="77">
        <f t="shared" si="105"/>
        <v>2.7879999999999998</v>
      </c>
      <c r="DT146" s="77">
        <f t="shared" si="105"/>
        <v>2.8010000000000002</v>
      </c>
      <c r="DU146" s="77">
        <f t="shared" ref="DU146:DZ161" si="108">ROUND(R146,3)</f>
        <v>2.8130000000000002</v>
      </c>
      <c r="DV146" s="77">
        <f t="shared" si="108"/>
        <v>2.8250000000000002</v>
      </c>
      <c r="DW146" s="77">
        <f t="shared" si="108"/>
        <v>2.8370000000000002</v>
      </c>
      <c r="DX146" s="77">
        <f t="shared" si="108"/>
        <v>2.8490000000000002</v>
      </c>
      <c r="DY146" s="77">
        <f t="shared" si="108"/>
        <v>2.86</v>
      </c>
      <c r="DZ146" s="77">
        <f t="shared" si="108"/>
        <v>2.871</v>
      </c>
      <c r="EA146" s="77">
        <f t="shared" si="74"/>
        <v>2.8809999999999998</v>
      </c>
      <c r="EB146" s="77">
        <f t="shared" si="74"/>
        <v>2.8919999999999999</v>
      </c>
      <c r="EC146" s="77">
        <f t="shared" si="74"/>
        <v>2.9009999999999998</v>
      </c>
      <c r="ED146" s="77">
        <f t="shared" si="74"/>
        <v>2.911</v>
      </c>
      <c r="EE146" s="77">
        <f t="shared" si="74"/>
        <v>2.92</v>
      </c>
      <c r="EF146" s="77">
        <f t="shared" si="72"/>
        <v>2.9289999999999998</v>
      </c>
      <c r="EG146" s="77">
        <f t="shared" si="72"/>
        <v>2.9369999999999998</v>
      </c>
    </row>
    <row r="147" spans="1:137" s="91" customFormat="1" ht="11.25" customHeight="1">
      <c r="A147" s="87">
        <v>145</v>
      </c>
      <c r="B147" s="88">
        <f t="shared" si="107"/>
        <v>2.6029999999999989</v>
      </c>
      <c r="C147" s="88">
        <f t="shared" si="107"/>
        <v>2.6189999999999989</v>
      </c>
      <c r="D147" s="88">
        <f t="shared" si="107"/>
        <v>2.633999999999999</v>
      </c>
      <c r="E147" s="88">
        <f t="shared" si="106"/>
        <v>2.649999999999999</v>
      </c>
      <c r="F147" s="88">
        <f t="shared" si="106"/>
        <v>2.6649999999999987</v>
      </c>
      <c r="G147" s="88">
        <f t="shared" si="106"/>
        <v>2.6789999999999989</v>
      </c>
      <c r="H147" s="88">
        <f t="shared" si="106"/>
        <v>2.6929999999999987</v>
      </c>
      <c r="I147" s="88">
        <f t="shared" si="106"/>
        <v>2.7059999999999986</v>
      </c>
      <c r="J147" s="88">
        <f t="shared" si="106"/>
        <v>2.718999999999999</v>
      </c>
      <c r="K147" s="88">
        <f t="shared" si="106"/>
        <v>2.7319999999999989</v>
      </c>
      <c r="L147" s="88">
        <f t="shared" si="106"/>
        <v>2.7439999999999989</v>
      </c>
      <c r="M147" s="88">
        <f t="shared" si="106"/>
        <v>2.754999999999999</v>
      </c>
      <c r="N147" s="88">
        <f t="shared" si="106"/>
        <v>2.7679999999999989</v>
      </c>
      <c r="O147" s="88">
        <f t="shared" si="106"/>
        <v>2.7799999999999989</v>
      </c>
      <c r="P147" s="88">
        <f t="shared" si="106"/>
        <v>2.7939999999999987</v>
      </c>
      <c r="Q147" s="88">
        <f t="shared" si="106"/>
        <v>2.8069999999999986</v>
      </c>
      <c r="R147" s="88">
        <f t="shared" si="106"/>
        <v>2.8189999999999986</v>
      </c>
      <c r="S147" s="88">
        <f t="shared" si="106"/>
        <v>2.8309999999999986</v>
      </c>
      <c r="T147" s="88">
        <f t="shared" si="106"/>
        <v>2.8429999999999986</v>
      </c>
      <c r="U147" s="88">
        <f t="shared" si="106"/>
        <v>2.8549999999999986</v>
      </c>
      <c r="V147" s="88">
        <f t="shared" si="106"/>
        <v>2.8659999999999988</v>
      </c>
      <c r="W147" s="88">
        <f t="shared" si="106"/>
        <v>2.8769999999999989</v>
      </c>
      <c r="X147" s="88">
        <f t="shared" si="106"/>
        <v>2.8869999999999987</v>
      </c>
      <c r="Y147" s="88">
        <f t="shared" si="106"/>
        <v>2.8979999999999988</v>
      </c>
      <c r="Z147" s="88">
        <f t="shared" si="106"/>
        <v>2.9069999999999987</v>
      </c>
      <c r="AA147" s="88">
        <f t="shared" si="106"/>
        <v>2.9169999999999989</v>
      </c>
      <c r="AB147" s="88">
        <f t="shared" si="106"/>
        <v>2.9259999999999988</v>
      </c>
      <c r="AC147" s="88">
        <f t="shared" si="106"/>
        <v>2.9349999999999987</v>
      </c>
      <c r="AD147" s="89">
        <f t="shared" si="106"/>
        <v>2.9429999999999987</v>
      </c>
      <c r="AE147" s="90"/>
      <c r="AF147" s="90"/>
      <c r="AG147" s="90"/>
      <c r="AH147" s="90"/>
      <c r="AI147" s="90"/>
      <c r="AJ147" s="90"/>
      <c r="AK147" s="90"/>
      <c r="AL147" s="90"/>
      <c r="AM147" s="90"/>
      <c r="AN147" s="90"/>
      <c r="AO147" s="90"/>
      <c r="AP147" s="90"/>
      <c r="AQ147" s="90"/>
      <c r="AR147" s="90"/>
      <c r="AS147" s="90"/>
      <c r="BZ147" s="63" t="str">
        <f t="shared" si="77"/>
        <v>4145</v>
      </c>
      <c r="CA147" s="63" t="str">
        <f t="shared" si="76"/>
        <v>5145</v>
      </c>
      <c r="CB147" s="63" t="str">
        <f t="shared" si="78"/>
        <v>6145</v>
      </c>
      <c r="CC147" s="63" t="str">
        <f t="shared" si="79"/>
        <v>7145</v>
      </c>
      <c r="CD147" s="63" t="str">
        <f t="shared" si="80"/>
        <v>8145</v>
      </c>
      <c r="CE147" s="63" t="str">
        <f t="shared" si="81"/>
        <v>9145</v>
      </c>
      <c r="CF147" s="63" t="str">
        <f t="shared" si="82"/>
        <v>10145</v>
      </c>
      <c r="CG147" s="63" t="str">
        <f t="shared" si="83"/>
        <v>11145</v>
      </c>
      <c r="CH147" s="63" t="str">
        <f t="shared" si="84"/>
        <v>12145</v>
      </c>
      <c r="CI147" s="63" t="str">
        <f t="shared" si="85"/>
        <v>13145</v>
      </c>
      <c r="CJ147" s="63" t="str">
        <f t="shared" si="86"/>
        <v>14145</v>
      </c>
      <c r="CK147" s="63" t="str">
        <f t="shared" si="87"/>
        <v>15145</v>
      </c>
      <c r="CL147" s="63" t="str">
        <f t="shared" si="88"/>
        <v>16145</v>
      </c>
      <c r="CM147" s="63" t="str">
        <f t="shared" si="89"/>
        <v>17145</v>
      </c>
      <c r="CN147" s="63" t="str">
        <f t="shared" si="90"/>
        <v>18145</v>
      </c>
      <c r="CO147" s="63" t="str">
        <f t="shared" si="91"/>
        <v>19145</v>
      </c>
      <c r="CP147" s="63" t="str">
        <f t="shared" si="92"/>
        <v>20145</v>
      </c>
      <c r="CQ147" s="63" t="str">
        <f t="shared" si="93"/>
        <v>21145</v>
      </c>
      <c r="CR147" s="63" t="str">
        <f t="shared" si="94"/>
        <v>22145</v>
      </c>
      <c r="CS147" s="63" t="str">
        <f t="shared" si="95"/>
        <v>23145</v>
      </c>
      <c r="CT147" s="63" t="str">
        <f t="shared" si="96"/>
        <v>24145</v>
      </c>
      <c r="CU147" s="63" t="str">
        <f t="shared" si="97"/>
        <v>25145</v>
      </c>
      <c r="CV147" s="63" t="str">
        <f t="shared" si="98"/>
        <v>26145</v>
      </c>
      <c r="CW147" s="63" t="str">
        <f t="shared" si="99"/>
        <v>27145</v>
      </c>
      <c r="CX147" s="63" t="str">
        <f t="shared" si="100"/>
        <v>28145</v>
      </c>
      <c r="CY147" s="63" t="str">
        <f t="shared" si="101"/>
        <v>29145</v>
      </c>
      <c r="CZ147" s="63" t="str">
        <f t="shared" si="102"/>
        <v>30145</v>
      </c>
      <c r="DA147" s="63" t="str">
        <f t="shared" si="103"/>
        <v>31145</v>
      </c>
      <c r="DB147" s="63" t="str">
        <f t="shared" si="104"/>
        <v>32145</v>
      </c>
      <c r="DD147" s="72" t="s">
        <v>275</v>
      </c>
      <c r="DE147" s="77">
        <f t="shared" si="105"/>
        <v>2.6030000000000002</v>
      </c>
      <c r="DF147" s="77">
        <f t="shared" si="105"/>
        <v>2.6190000000000002</v>
      </c>
      <c r="DG147" s="77">
        <f t="shared" si="105"/>
        <v>2.6339999999999999</v>
      </c>
      <c r="DH147" s="77">
        <f t="shared" si="105"/>
        <v>2.65</v>
      </c>
      <c r="DI147" s="77">
        <f t="shared" si="105"/>
        <v>2.665</v>
      </c>
      <c r="DJ147" s="77">
        <f t="shared" si="105"/>
        <v>2.6789999999999998</v>
      </c>
      <c r="DK147" s="77">
        <f t="shared" si="105"/>
        <v>2.6930000000000001</v>
      </c>
      <c r="DL147" s="77">
        <f t="shared" si="105"/>
        <v>2.706</v>
      </c>
      <c r="DM147" s="77">
        <f t="shared" si="105"/>
        <v>2.7189999999999999</v>
      </c>
      <c r="DN147" s="77">
        <f t="shared" si="105"/>
        <v>2.7320000000000002</v>
      </c>
      <c r="DO147" s="77">
        <f t="shared" si="105"/>
        <v>2.7440000000000002</v>
      </c>
      <c r="DP147" s="77">
        <f t="shared" si="105"/>
        <v>2.7549999999999999</v>
      </c>
      <c r="DQ147" s="77">
        <f t="shared" si="105"/>
        <v>2.7679999999999998</v>
      </c>
      <c r="DR147" s="77">
        <f t="shared" si="105"/>
        <v>2.78</v>
      </c>
      <c r="DS147" s="77">
        <f t="shared" si="105"/>
        <v>2.794</v>
      </c>
      <c r="DT147" s="77">
        <f t="shared" si="105"/>
        <v>2.8069999999999999</v>
      </c>
      <c r="DU147" s="77">
        <f t="shared" si="108"/>
        <v>2.819</v>
      </c>
      <c r="DV147" s="77">
        <f t="shared" si="108"/>
        <v>2.831</v>
      </c>
      <c r="DW147" s="77">
        <f t="shared" si="108"/>
        <v>2.843</v>
      </c>
      <c r="DX147" s="77">
        <f t="shared" si="108"/>
        <v>2.855</v>
      </c>
      <c r="DY147" s="77">
        <f t="shared" si="108"/>
        <v>2.8660000000000001</v>
      </c>
      <c r="DZ147" s="77">
        <f t="shared" si="108"/>
        <v>2.8769999999999998</v>
      </c>
      <c r="EA147" s="77">
        <f t="shared" si="74"/>
        <v>2.887</v>
      </c>
      <c r="EB147" s="77">
        <f t="shared" si="74"/>
        <v>2.8980000000000001</v>
      </c>
      <c r="EC147" s="77">
        <f t="shared" si="74"/>
        <v>2.907</v>
      </c>
      <c r="ED147" s="77">
        <f t="shared" si="74"/>
        <v>2.9169999999999998</v>
      </c>
      <c r="EE147" s="77">
        <f t="shared" si="74"/>
        <v>2.9260000000000002</v>
      </c>
      <c r="EF147" s="77">
        <f t="shared" si="72"/>
        <v>2.9350000000000001</v>
      </c>
      <c r="EG147" s="77">
        <f t="shared" si="72"/>
        <v>2.9430000000000001</v>
      </c>
    </row>
    <row r="148" spans="1:137" s="91" customFormat="1" ht="11.25" customHeight="1">
      <c r="A148" s="87">
        <v>146</v>
      </c>
      <c r="B148" s="88">
        <f t="shared" si="107"/>
        <v>2.6089999999999987</v>
      </c>
      <c r="C148" s="88">
        <f t="shared" si="107"/>
        <v>2.6249999999999987</v>
      </c>
      <c r="D148" s="88">
        <f t="shared" si="107"/>
        <v>2.6399999999999988</v>
      </c>
      <c r="E148" s="88">
        <f t="shared" si="106"/>
        <v>2.6559999999999988</v>
      </c>
      <c r="F148" s="88">
        <f t="shared" si="106"/>
        <v>2.6709999999999985</v>
      </c>
      <c r="G148" s="88">
        <f t="shared" si="106"/>
        <v>2.6849999999999987</v>
      </c>
      <c r="H148" s="88">
        <f t="shared" si="106"/>
        <v>2.6989999999999985</v>
      </c>
      <c r="I148" s="88">
        <f t="shared" si="106"/>
        <v>2.7119999999999984</v>
      </c>
      <c r="J148" s="88">
        <f t="shared" si="106"/>
        <v>2.7249999999999988</v>
      </c>
      <c r="K148" s="88">
        <f t="shared" si="106"/>
        <v>2.7379999999999987</v>
      </c>
      <c r="L148" s="88">
        <f t="shared" si="106"/>
        <v>2.7499999999999987</v>
      </c>
      <c r="M148" s="88">
        <f t="shared" si="106"/>
        <v>2.7609999999999988</v>
      </c>
      <c r="N148" s="88">
        <f t="shared" si="106"/>
        <v>2.7739999999999987</v>
      </c>
      <c r="O148" s="88">
        <f t="shared" si="106"/>
        <v>2.7859999999999987</v>
      </c>
      <c r="P148" s="88">
        <f t="shared" si="106"/>
        <v>2.7999999999999985</v>
      </c>
      <c r="Q148" s="88">
        <f t="shared" si="106"/>
        <v>2.8129999999999984</v>
      </c>
      <c r="R148" s="88">
        <f t="shared" si="106"/>
        <v>2.8249999999999984</v>
      </c>
      <c r="S148" s="88">
        <f t="shared" si="106"/>
        <v>2.8369999999999984</v>
      </c>
      <c r="T148" s="88">
        <f t="shared" si="106"/>
        <v>2.8489999999999984</v>
      </c>
      <c r="U148" s="88">
        <f t="shared" si="106"/>
        <v>2.8609999999999984</v>
      </c>
      <c r="V148" s="88">
        <f t="shared" si="106"/>
        <v>2.8719999999999986</v>
      </c>
      <c r="W148" s="88">
        <f t="shared" si="106"/>
        <v>2.8829999999999987</v>
      </c>
      <c r="X148" s="88">
        <f t="shared" si="106"/>
        <v>2.8929999999999985</v>
      </c>
      <c r="Y148" s="88">
        <f t="shared" si="106"/>
        <v>2.9039999999999986</v>
      </c>
      <c r="Z148" s="88">
        <f t="shared" si="106"/>
        <v>2.9129999999999985</v>
      </c>
      <c r="AA148" s="88">
        <f t="shared" si="106"/>
        <v>2.9229999999999987</v>
      </c>
      <c r="AB148" s="88">
        <f t="shared" si="106"/>
        <v>2.9319999999999986</v>
      </c>
      <c r="AC148" s="88">
        <f t="shared" si="106"/>
        <v>2.9409999999999985</v>
      </c>
      <c r="AD148" s="89">
        <f t="shared" si="106"/>
        <v>2.9489999999999985</v>
      </c>
      <c r="AE148" s="90"/>
      <c r="AF148" s="90"/>
      <c r="AG148" s="90"/>
      <c r="AH148" s="90"/>
      <c r="AI148" s="90"/>
      <c r="AJ148" s="90"/>
      <c r="AK148" s="90"/>
      <c r="AL148" s="90"/>
      <c r="AM148" s="90"/>
      <c r="AN148" s="90"/>
      <c r="AO148" s="90"/>
      <c r="AP148" s="90"/>
      <c r="AQ148" s="90"/>
      <c r="AR148" s="90"/>
      <c r="AS148" s="90"/>
      <c r="BZ148" s="63" t="str">
        <f t="shared" si="77"/>
        <v>4146</v>
      </c>
      <c r="CA148" s="63" t="str">
        <f t="shared" si="76"/>
        <v>5146</v>
      </c>
      <c r="CB148" s="63" t="str">
        <f t="shared" si="78"/>
        <v>6146</v>
      </c>
      <c r="CC148" s="63" t="str">
        <f t="shared" si="79"/>
        <v>7146</v>
      </c>
      <c r="CD148" s="63" t="str">
        <f t="shared" si="80"/>
        <v>8146</v>
      </c>
      <c r="CE148" s="63" t="str">
        <f t="shared" si="81"/>
        <v>9146</v>
      </c>
      <c r="CF148" s="63" t="str">
        <f t="shared" si="82"/>
        <v>10146</v>
      </c>
      <c r="CG148" s="63" t="str">
        <f t="shared" si="83"/>
        <v>11146</v>
      </c>
      <c r="CH148" s="63" t="str">
        <f t="shared" si="84"/>
        <v>12146</v>
      </c>
      <c r="CI148" s="63" t="str">
        <f t="shared" si="85"/>
        <v>13146</v>
      </c>
      <c r="CJ148" s="63" t="str">
        <f t="shared" si="86"/>
        <v>14146</v>
      </c>
      <c r="CK148" s="63" t="str">
        <f t="shared" si="87"/>
        <v>15146</v>
      </c>
      <c r="CL148" s="63" t="str">
        <f t="shared" si="88"/>
        <v>16146</v>
      </c>
      <c r="CM148" s="63" t="str">
        <f t="shared" si="89"/>
        <v>17146</v>
      </c>
      <c r="CN148" s="63" t="str">
        <f t="shared" si="90"/>
        <v>18146</v>
      </c>
      <c r="CO148" s="63" t="str">
        <f t="shared" si="91"/>
        <v>19146</v>
      </c>
      <c r="CP148" s="63" t="str">
        <f t="shared" si="92"/>
        <v>20146</v>
      </c>
      <c r="CQ148" s="63" t="str">
        <f t="shared" si="93"/>
        <v>21146</v>
      </c>
      <c r="CR148" s="63" t="str">
        <f t="shared" si="94"/>
        <v>22146</v>
      </c>
      <c r="CS148" s="63" t="str">
        <f t="shared" si="95"/>
        <v>23146</v>
      </c>
      <c r="CT148" s="63" t="str">
        <f t="shared" si="96"/>
        <v>24146</v>
      </c>
      <c r="CU148" s="63" t="str">
        <f t="shared" si="97"/>
        <v>25146</v>
      </c>
      <c r="CV148" s="63" t="str">
        <f t="shared" si="98"/>
        <v>26146</v>
      </c>
      <c r="CW148" s="63" t="str">
        <f t="shared" si="99"/>
        <v>27146</v>
      </c>
      <c r="CX148" s="63" t="str">
        <f t="shared" si="100"/>
        <v>28146</v>
      </c>
      <c r="CY148" s="63" t="str">
        <f t="shared" si="101"/>
        <v>29146</v>
      </c>
      <c r="CZ148" s="63" t="str">
        <f t="shared" si="102"/>
        <v>30146</v>
      </c>
      <c r="DA148" s="63" t="str">
        <f t="shared" si="103"/>
        <v>31146</v>
      </c>
      <c r="DB148" s="63" t="str">
        <f t="shared" si="104"/>
        <v>32146</v>
      </c>
      <c r="DD148" s="72" t="s">
        <v>276</v>
      </c>
      <c r="DE148" s="77">
        <f t="shared" si="105"/>
        <v>2.609</v>
      </c>
      <c r="DF148" s="77">
        <f t="shared" si="105"/>
        <v>2.625</v>
      </c>
      <c r="DG148" s="77">
        <f t="shared" si="105"/>
        <v>2.64</v>
      </c>
      <c r="DH148" s="77">
        <f t="shared" si="105"/>
        <v>2.6560000000000001</v>
      </c>
      <c r="DI148" s="77">
        <f t="shared" si="105"/>
        <v>2.6709999999999998</v>
      </c>
      <c r="DJ148" s="77">
        <f t="shared" si="105"/>
        <v>2.6850000000000001</v>
      </c>
      <c r="DK148" s="77">
        <f t="shared" si="105"/>
        <v>2.6989999999999998</v>
      </c>
      <c r="DL148" s="77">
        <f t="shared" si="105"/>
        <v>2.7120000000000002</v>
      </c>
      <c r="DM148" s="77">
        <f t="shared" si="105"/>
        <v>2.7250000000000001</v>
      </c>
      <c r="DN148" s="77">
        <f t="shared" si="105"/>
        <v>2.738</v>
      </c>
      <c r="DO148" s="77">
        <f t="shared" si="105"/>
        <v>2.75</v>
      </c>
      <c r="DP148" s="77">
        <f t="shared" si="105"/>
        <v>2.7610000000000001</v>
      </c>
      <c r="DQ148" s="77">
        <f t="shared" si="105"/>
        <v>2.774</v>
      </c>
      <c r="DR148" s="77">
        <f t="shared" si="105"/>
        <v>2.786</v>
      </c>
      <c r="DS148" s="77">
        <f t="shared" si="105"/>
        <v>2.8</v>
      </c>
      <c r="DT148" s="77">
        <f t="shared" si="105"/>
        <v>2.8130000000000002</v>
      </c>
      <c r="DU148" s="77">
        <f t="shared" si="108"/>
        <v>2.8250000000000002</v>
      </c>
      <c r="DV148" s="77">
        <f t="shared" si="108"/>
        <v>2.8370000000000002</v>
      </c>
      <c r="DW148" s="77">
        <f t="shared" si="108"/>
        <v>2.8490000000000002</v>
      </c>
      <c r="DX148" s="77">
        <f t="shared" si="108"/>
        <v>2.8610000000000002</v>
      </c>
      <c r="DY148" s="77">
        <f t="shared" si="108"/>
        <v>2.8719999999999999</v>
      </c>
      <c r="DZ148" s="77">
        <f t="shared" si="108"/>
        <v>2.883</v>
      </c>
      <c r="EA148" s="77">
        <f t="shared" si="74"/>
        <v>2.8929999999999998</v>
      </c>
      <c r="EB148" s="77">
        <f t="shared" si="74"/>
        <v>2.9039999999999999</v>
      </c>
      <c r="EC148" s="77">
        <f t="shared" si="74"/>
        <v>2.9129999999999998</v>
      </c>
      <c r="ED148" s="77">
        <f t="shared" si="74"/>
        <v>2.923</v>
      </c>
      <c r="EE148" s="77">
        <f t="shared" si="74"/>
        <v>2.9319999999999999</v>
      </c>
      <c r="EF148" s="77">
        <f t="shared" si="72"/>
        <v>2.9409999999999998</v>
      </c>
      <c r="EG148" s="77">
        <f t="shared" si="72"/>
        <v>2.9489999999999998</v>
      </c>
    </row>
    <row r="149" spans="1:137" s="91" customFormat="1" ht="11.25" customHeight="1">
      <c r="A149" s="87">
        <v>147</v>
      </c>
      <c r="B149" s="88">
        <f t="shared" si="107"/>
        <v>2.6149999999999984</v>
      </c>
      <c r="C149" s="88">
        <f t="shared" si="107"/>
        <v>2.6309999999999985</v>
      </c>
      <c r="D149" s="88">
        <f t="shared" si="107"/>
        <v>2.6459999999999986</v>
      </c>
      <c r="E149" s="88">
        <f t="shared" si="106"/>
        <v>2.6619999999999986</v>
      </c>
      <c r="F149" s="88">
        <f t="shared" si="106"/>
        <v>2.6769999999999983</v>
      </c>
      <c r="G149" s="88">
        <f t="shared" si="106"/>
        <v>2.6909999999999985</v>
      </c>
      <c r="H149" s="88">
        <f t="shared" si="106"/>
        <v>2.7049999999999983</v>
      </c>
      <c r="I149" s="88">
        <f t="shared" si="106"/>
        <v>2.7179999999999982</v>
      </c>
      <c r="J149" s="88">
        <f t="shared" si="106"/>
        <v>2.7309999999999985</v>
      </c>
      <c r="K149" s="88">
        <f t="shared" si="106"/>
        <v>2.7439999999999984</v>
      </c>
      <c r="L149" s="88">
        <f t="shared" si="106"/>
        <v>2.7559999999999985</v>
      </c>
      <c r="M149" s="88">
        <f t="shared" si="106"/>
        <v>2.7669999999999986</v>
      </c>
      <c r="N149" s="88">
        <f t="shared" si="106"/>
        <v>2.7799999999999985</v>
      </c>
      <c r="O149" s="88">
        <f t="shared" si="106"/>
        <v>2.7919999999999985</v>
      </c>
      <c r="P149" s="88">
        <f t="shared" si="106"/>
        <v>2.8059999999999983</v>
      </c>
      <c r="Q149" s="88">
        <f t="shared" si="106"/>
        <v>2.8189999999999982</v>
      </c>
      <c r="R149" s="88">
        <f t="shared" si="106"/>
        <v>2.8309999999999982</v>
      </c>
      <c r="S149" s="88">
        <f t="shared" si="106"/>
        <v>2.8429999999999982</v>
      </c>
      <c r="T149" s="88">
        <f t="shared" si="106"/>
        <v>2.8549999999999982</v>
      </c>
      <c r="U149" s="88">
        <f t="shared" si="106"/>
        <v>2.8669999999999982</v>
      </c>
      <c r="V149" s="88">
        <f t="shared" si="106"/>
        <v>2.8779999999999983</v>
      </c>
      <c r="W149" s="88">
        <f t="shared" si="106"/>
        <v>2.8889999999999985</v>
      </c>
      <c r="X149" s="88">
        <f t="shared" si="106"/>
        <v>2.8989999999999982</v>
      </c>
      <c r="Y149" s="88">
        <f t="shared" si="106"/>
        <v>2.9099999999999984</v>
      </c>
      <c r="Z149" s="88">
        <f t="shared" si="106"/>
        <v>2.9189999999999983</v>
      </c>
      <c r="AA149" s="88">
        <f t="shared" si="106"/>
        <v>2.9289999999999985</v>
      </c>
      <c r="AB149" s="88">
        <f t="shared" si="106"/>
        <v>2.9379999999999984</v>
      </c>
      <c r="AC149" s="88">
        <f t="shared" si="106"/>
        <v>2.9469999999999983</v>
      </c>
      <c r="AD149" s="89">
        <f t="shared" si="106"/>
        <v>2.9549999999999983</v>
      </c>
      <c r="AE149" s="90"/>
      <c r="AF149" s="90"/>
      <c r="AG149" s="90"/>
      <c r="AH149" s="90"/>
      <c r="AI149" s="90"/>
      <c r="AJ149" s="90"/>
      <c r="AK149" s="90"/>
      <c r="AL149" s="90"/>
      <c r="AM149" s="90"/>
      <c r="AN149" s="90"/>
      <c r="AO149" s="90"/>
      <c r="AP149" s="90"/>
      <c r="AQ149" s="90"/>
      <c r="AR149" s="90"/>
      <c r="AS149" s="90"/>
      <c r="BZ149" s="63" t="str">
        <f t="shared" si="77"/>
        <v>4147</v>
      </c>
      <c r="CA149" s="63" t="str">
        <f t="shared" si="76"/>
        <v>5147</v>
      </c>
      <c r="CB149" s="63" t="str">
        <f t="shared" si="78"/>
        <v>6147</v>
      </c>
      <c r="CC149" s="63" t="str">
        <f t="shared" si="79"/>
        <v>7147</v>
      </c>
      <c r="CD149" s="63" t="str">
        <f t="shared" si="80"/>
        <v>8147</v>
      </c>
      <c r="CE149" s="63" t="str">
        <f t="shared" si="81"/>
        <v>9147</v>
      </c>
      <c r="CF149" s="63" t="str">
        <f t="shared" si="82"/>
        <v>10147</v>
      </c>
      <c r="CG149" s="63" t="str">
        <f t="shared" si="83"/>
        <v>11147</v>
      </c>
      <c r="CH149" s="63" t="str">
        <f t="shared" si="84"/>
        <v>12147</v>
      </c>
      <c r="CI149" s="63" t="str">
        <f t="shared" si="85"/>
        <v>13147</v>
      </c>
      <c r="CJ149" s="63" t="str">
        <f t="shared" si="86"/>
        <v>14147</v>
      </c>
      <c r="CK149" s="63" t="str">
        <f t="shared" si="87"/>
        <v>15147</v>
      </c>
      <c r="CL149" s="63" t="str">
        <f t="shared" si="88"/>
        <v>16147</v>
      </c>
      <c r="CM149" s="63" t="str">
        <f t="shared" si="89"/>
        <v>17147</v>
      </c>
      <c r="CN149" s="63" t="str">
        <f t="shared" si="90"/>
        <v>18147</v>
      </c>
      <c r="CO149" s="63" t="str">
        <f t="shared" si="91"/>
        <v>19147</v>
      </c>
      <c r="CP149" s="63" t="str">
        <f t="shared" si="92"/>
        <v>20147</v>
      </c>
      <c r="CQ149" s="63" t="str">
        <f t="shared" si="93"/>
        <v>21147</v>
      </c>
      <c r="CR149" s="63" t="str">
        <f t="shared" si="94"/>
        <v>22147</v>
      </c>
      <c r="CS149" s="63" t="str">
        <f t="shared" si="95"/>
        <v>23147</v>
      </c>
      <c r="CT149" s="63" t="str">
        <f t="shared" si="96"/>
        <v>24147</v>
      </c>
      <c r="CU149" s="63" t="str">
        <f t="shared" si="97"/>
        <v>25147</v>
      </c>
      <c r="CV149" s="63" t="str">
        <f t="shared" si="98"/>
        <v>26147</v>
      </c>
      <c r="CW149" s="63" t="str">
        <f t="shared" si="99"/>
        <v>27147</v>
      </c>
      <c r="CX149" s="63" t="str">
        <f t="shared" si="100"/>
        <v>28147</v>
      </c>
      <c r="CY149" s="63" t="str">
        <f t="shared" si="101"/>
        <v>29147</v>
      </c>
      <c r="CZ149" s="63" t="str">
        <f t="shared" si="102"/>
        <v>30147</v>
      </c>
      <c r="DA149" s="63" t="str">
        <f t="shared" si="103"/>
        <v>31147</v>
      </c>
      <c r="DB149" s="63" t="str">
        <f t="shared" si="104"/>
        <v>32147</v>
      </c>
      <c r="DD149" s="72" t="s">
        <v>277</v>
      </c>
      <c r="DE149" s="77">
        <f t="shared" si="105"/>
        <v>2.6150000000000002</v>
      </c>
      <c r="DF149" s="77">
        <f t="shared" si="105"/>
        <v>2.6309999999999998</v>
      </c>
      <c r="DG149" s="77">
        <f t="shared" si="105"/>
        <v>2.6459999999999999</v>
      </c>
      <c r="DH149" s="77">
        <f t="shared" si="105"/>
        <v>2.6619999999999999</v>
      </c>
      <c r="DI149" s="77">
        <f t="shared" si="105"/>
        <v>2.677</v>
      </c>
      <c r="DJ149" s="77">
        <f t="shared" si="105"/>
        <v>2.6909999999999998</v>
      </c>
      <c r="DK149" s="77">
        <f t="shared" si="105"/>
        <v>2.7050000000000001</v>
      </c>
      <c r="DL149" s="77">
        <f t="shared" si="105"/>
        <v>2.718</v>
      </c>
      <c r="DM149" s="77">
        <f t="shared" si="105"/>
        <v>2.7309999999999999</v>
      </c>
      <c r="DN149" s="77">
        <f t="shared" si="105"/>
        <v>2.7440000000000002</v>
      </c>
      <c r="DO149" s="77">
        <f t="shared" si="105"/>
        <v>2.7559999999999998</v>
      </c>
      <c r="DP149" s="77">
        <f t="shared" si="105"/>
        <v>2.7669999999999999</v>
      </c>
      <c r="DQ149" s="77">
        <f t="shared" si="105"/>
        <v>2.78</v>
      </c>
      <c r="DR149" s="77">
        <f t="shared" si="105"/>
        <v>2.7919999999999998</v>
      </c>
      <c r="DS149" s="77">
        <f t="shared" si="105"/>
        <v>2.806</v>
      </c>
      <c r="DT149" s="77">
        <f t="shared" si="105"/>
        <v>2.819</v>
      </c>
      <c r="DU149" s="77">
        <f t="shared" si="108"/>
        <v>2.831</v>
      </c>
      <c r="DV149" s="77">
        <f t="shared" si="108"/>
        <v>2.843</v>
      </c>
      <c r="DW149" s="77">
        <f t="shared" si="108"/>
        <v>2.855</v>
      </c>
      <c r="DX149" s="77">
        <f t="shared" si="108"/>
        <v>2.867</v>
      </c>
      <c r="DY149" s="77">
        <f t="shared" si="108"/>
        <v>2.8780000000000001</v>
      </c>
      <c r="DZ149" s="77">
        <f t="shared" si="108"/>
        <v>2.8889999999999998</v>
      </c>
      <c r="EA149" s="77">
        <f t="shared" si="74"/>
        <v>2.899</v>
      </c>
      <c r="EB149" s="77">
        <f t="shared" si="74"/>
        <v>2.91</v>
      </c>
      <c r="EC149" s="77">
        <f t="shared" si="74"/>
        <v>2.919</v>
      </c>
      <c r="ED149" s="77">
        <f t="shared" si="74"/>
        <v>2.9289999999999998</v>
      </c>
      <c r="EE149" s="77">
        <f t="shared" si="74"/>
        <v>2.9380000000000002</v>
      </c>
      <c r="EF149" s="77">
        <f t="shared" si="72"/>
        <v>2.9470000000000001</v>
      </c>
      <c r="EG149" s="77">
        <f t="shared" si="72"/>
        <v>2.9550000000000001</v>
      </c>
    </row>
    <row r="150" spans="1:137" s="91" customFormat="1" ht="11.25" customHeight="1">
      <c r="A150" s="87">
        <v>148</v>
      </c>
      <c r="B150" s="88">
        <f t="shared" si="107"/>
        <v>2.6209999999999982</v>
      </c>
      <c r="C150" s="88">
        <f t="shared" si="107"/>
        <v>2.6369999999999982</v>
      </c>
      <c r="D150" s="88">
        <f t="shared" si="107"/>
        <v>2.6519999999999984</v>
      </c>
      <c r="E150" s="88">
        <f t="shared" si="106"/>
        <v>2.6679999999999984</v>
      </c>
      <c r="F150" s="88">
        <f t="shared" si="106"/>
        <v>2.6829999999999981</v>
      </c>
      <c r="G150" s="88">
        <f t="shared" si="106"/>
        <v>2.6969999999999983</v>
      </c>
      <c r="H150" s="88">
        <f t="shared" si="106"/>
        <v>2.7109999999999981</v>
      </c>
      <c r="I150" s="88">
        <f t="shared" si="106"/>
        <v>2.723999999999998</v>
      </c>
      <c r="J150" s="88">
        <f t="shared" si="106"/>
        <v>2.7369999999999983</v>
      </c>
      <c r="K150" s="88">
        <f t="shared" si="106"/>
        <v>2.7499999999999982</v>
      </c>
      <c r="L150" s="88">
        <f t="shared" si="106"/>
        <v>2.7619999999999982</v>
      </c>
      <c r="M150" s="88">
        <f t="shared" si="106"/>
        <v>2.7729999999999984</v>
      </c>
      <c r="N150" s="88">
        <f t="shared" si="106"/>
        <v>2.7859999999999983</v>
      </c>
      <c r="O150" s="88">
        <f t="shared" si="106"/>
        <v>2.7979999999999983</v>
      </c>
      <c r="P150" s="88">
        <f t="shared" si="106"/>
        <v>2.8119999999999981</v>
      </c>
      <c r="Q150" s="88">
        <f t="shared" si="106"/>
        <v>2.824999999999998</v>
      </c>
      <c r="R150" s="88">
        <f t="shared" si="106"/>
        <v>2.836999999999998</v>
      </c>
      <c r="S150" s="88">
        <f t="shared" si="106"/>
        <v>2.848999999999998</v>
      </c>
      <c r="T150" s="88">
        <f t="shared" si="106"/>
        <v>2.860999999999998</v>
      </c>
      <c r="U150" s="88">
        <f t="shared" si="106"/>
        <v>2.872999999999998</v>
      </c>
      <c r="V150" s="88">
        <f t="shared" si="106"/>
        <v>2.8839999999999981</v>
      </c>
      <c r="W150" s="88">
        <f t="shared" si="106"/>
        <v>2.8949999999999982</v>
      </c>
      <c r="X150" s="88">
        <f t="shared" si="106"/>
        <v>2.904999999999998</v>
      </c>
      <c r="Y150" s="88">
        <f t="shared" si="106"/>
        <v>2.9159999999999981</v>
      </c>
      <c r="Z150" s="88">
        <f t="shared" si="106"/>
        <v>2.924999999999998</v>
      </c>
      <c r="AA150" s="88">
        <f t="shared" si="106"/>
        <v>2.9349999999999983</v>
      </c>
      <c r="AB150" s="88">
        <f t="shared" si="106"/>
        <v>2.9439999999999982</v>
      </c>
      <c r="AC150" s="88">
        <f t="shared" si="106"/>
        <v>2.9529999999999981</v>
      </c>
      <c r="AD150" s="89">
        <f t="shared" si="106"/>
        <v>2.9609999999999981</v>
      </c>
      <c r="AE150" s="90"/>
      <c r="AF150" s="90"/>
      <c r="AG150" s="90"/>
      <c r="AH150" s="90"/>
      <c r="AI150" s="90"/>
      <c r="AJ150" s="90"/>
      <c r="AK150" s="90"/>
      <c r="AL150" s="90"/>
      <c r="AM150" s="90"/>
      <c r="AN150" s="90"/>
      <c r="AO150" s="90"/>
      <c r="AP150" s="90"/>
      <c r="AQ150" s="90"/>
      <c r="AR150" s="90"/>
      <c r="AS150" s="90"/>
      <c r="BZ150" s="63" t="str">
        <f t="shared" si="77"/>
        <v>4148</v>
      </c>
      <c r="CA150" s="63" t="str">
        <f t="shared" si="76"/>
        <v>5148</v>
      </c>
      <c r="CB150" s="63" t="str">
        <f t="shared" si="78"/>
        <v>6148</v>
      </c>
      <c r="CC150" s="63" t="str">
        <f t="shared" si="79"/>
        <v>7148</v>
      </c>
      <c r="CD150" s="63" t="str">
        <f t="shared" si="80"/>
        <v>8148</v>
      </c>
      <c r="CE150" s="63" t="str">
        <f t="shared" si="81"/>
        <v>9148</v>
      </c>
      <c r="CF150" s="63" t="str">
        <f t="shared" si="82"/>
        <v>10148</v>
      </c>
      <c r="CG150" s="63" t="str">
        <f t="shared" si="83"/>
        <v>11148</v>
      </c>
      <c r="CH150" s="63" t="str">
        <f t="shared" si="84"/>
        <v>12148</v>
      </c>
      <c r="CI150" s="63" t="str">
        <f t="shared" si="85"/>
        <v>13148</v>
      </c>
      <c r="CJ150" s="63" t="str">
        <f t="shared" si="86"/>
        <v>14148</v>
      </c>
      <c r="CK150" s="63" t="str">
        <f t="shared" si="87"/>
        <v>15148</v>
      </c>
      <c r="CL150" s="63" t="str">
        <f t="shared" si="88"/>
        <v>16148</v>
      </c>
      <c r="CM150" s="63" t="str">
        <f t="shared" si="89"/>
        <v>17148</v>
      </c>
      <c r="CN150" s="63" t="str">
        <f t="shared" si="90"/>
        <v>18148</v>
      </c>
      <c r="CO150" s="63" t="str">
        <f t="shared" si="91"/>
        <v>19148</v>
      </c>
      <c r="CP150" s="63" t="str">
        <f t="shared" si="92"/>
        <v>20148</v>
      </c>
      <c r="CQ150" s="63" t="str">
        <f t="shared" si="93"/>
        <v>21148</v>
      </c>
      <c r="CR150" s="63" t="str">
        <f t="shared" si="94"/>
        <v>22148</v>
      </c>
      <c r="CS150" s="63" t="str">
        <f t="shared" si="95"/>
        <v>23148</v>
      </c>
      <c r="CT150" s="63" t="str">
        <f t="shared" si="96"/>
        <v>24148</v>
      </c>
      <c r="CU150" s="63" t="str">
        <f t="shared" si="97"/>
        <v>25148</v>
      </c>
      <c r="CV150" s="63" t="str">
        <f t="shared" si="98"/>
        <v>26148</v>
      </c>
      <c r="CW150" s="63" t="str">
        <f t="shared" si="99"/>
        <v>27148</v>
      </c>
      <c r="CX150" s="63" t="str">
        <f t="shared" si="100"/>
        <v>28148</v>
      </c>
      <c r="CY150" s="63" t="str">
        <f t="shared" si="101"/>
        <v>29148</v>
      </c>
      <c r="CZ150" s="63" t="str">
        <f t="shared" si="102"/>
        <v>30148</v>
      </c>
      <c r="DA150" s="63" t="str">
        <f t="shared" si="103"/>
        <v>31148</v>
      </c>
      <c r="DB150" s="63" t="str">
        <f t="shared" si="104"/>
        <v>32148</v>
      </c>
      <c r="DD150" s="72" t="s">
        <v>278</v>
      </c>
      <c r="DE150" s="77">
        <f t="shared" ref="DE150:DT165" si="109">ROUND(B150,3)</f>
        <v>2.621</v>
      </c>
      <c r="DF150" s="77">
        <f t="shared" si="109"/>
        <v>2.637</v>
      </c>
      <c r="DG150" s="77">
        <f t="shared" si="109"/>
        <v>2.6520000000000001</v>
      </c>
      <c r="DH150" s="77">
        <f t="shared" si="109"/>
        <v>2.6680000000000001</v>
      </c>
      <c r="DI150" s="77">
        <f t="shared" si="109"/>
        <v>2.6829999999999998</v>
      </c>
      <c r="DJ150" s="77">
        <f t="shared" si="109"/>
        <v>2.6970000000000001</v>
      </c>
      <c r="DK150" s="77">
        <f t="shared" si="109"/>
        <v>2.7109999999999999</v>
      </c>
      <c r="DL150" s="77">
        <f t="shared" si="109"/>
        <v>2.7240000000000002</v>
      </c>
      <c r="DM150" s="77">
        <f t="shared" si="109"/>
        <v>2.7370000000000001</v>
      </c>
      <c r="DN150" s="77">
        <f t="shared" si="109"/>
        <v>2.75</v>
      </c>
      <c r="DO150" s="77">
        <f t="shared" si="109"/>
        <v>2.762</v>
      </c>
      <c r="DP150" s="77">
        <f t="shared" si="109"/>
        <v>2.7730000000000001</v>
      </c>
      <c r="DQ150" s="77">
        <f t="shared" si="109"/>
        <v>2.786</v>
      </c>
      <c r="DR150" s="77">
        <f t="shared" si="109"/>
        <v>2.798</v>
      </c>
      <c r="DS150" s="77">
        <f t="shared" si="109"/>
        <v>2.8119999999999998</v>
      </c>
      <c r="DT150" s="77">
        <f t="shared" si="109"/>
        <v>2.8250000000000002</v>
      </c>
      <c r="DU150" s="77">
        <f t="shared" si="108"/>
        <v>2.8370000000000002</v>
      </c>
      <c r="DV150" s="77">
        <f t="shared" si="108"/>
        <v>2.8490000000000002</v>
      </c>
      <c r="DW150" s="77">
        <f t="shared" si="108"/>
        <v>2.8610000000000002</v>
      </c>
      <c r="DX150" s="77">
        <f t="shared" si="108"/>
        <v>2.8730000000000002</v>
      </c>
      <c r="DY150" s="77">
        <f t="shared" si="108"/>
        <v>2.8839999999999999</v>
      </c>
      <c r="DZ150" s="77">
        <f t="shared" si="108"/>
        <v>2.895</v>
      </c>
      <c r="EA150" s="77">
        <f t="shared" si="74"/>
        <v>2.9049999999999998</v>
      </c>
      <c r="EB150" s="77">
        <f t="shared" si="74"/>
        <v>2.9159999999999999</v>
      </c>
      <c r="EC150" s="77">
        <f t="shared" si="74"/>
        <v>2.9249999999999998</v>
      </c>
      <c r="ED150" s="77">
        <f t="shared" si="74"/>
        <v>2.9350000000000001</v>
      </c>
      <c r="EE150" s="77">
        <f t="shared" si="74"/>
        <v>2.944</v>
      </c>
      <c r="EF150" s="77">
        <f t="shared" si="72"/>
        <v>2.9529999999999998</v>
      </c>
      <c r="EG150" s="77">
        <f t="shared" si="72"/>
        <v>2.9609999999999999</v>
      </c>
    </row>
    <row r="151" spans="1:137" s="91" customFormat="1" ht="11.25" customHeight="1">
      <c r="A151" s="87">
        <v>149</v>
      </c>
      <c r="B151" s="88">
        <f t="shared" si="107"/>
        <v>2.626999999999998</v>
      </c>
      <c r="C151" s="88">
        <f t="shared" si="107"/>
        <v>2.642999999999998</v>
      </c>
      <c r="D151" s="88">
        <f t="shared" si="107"/>
        <v>2.6579999999999981</v>
      </c>
      <c r="E151" s="88">
        <f t="shared" si="106"/>
        <v>2.6739999999999982</v>
      </c>
      <c r="F151" s="88">
        <f t="shared" si="106"/>
        <v>2.6889999999999978</v>
      </c>
      <c r="G151" s="88">
        <f t="shared" si="106"/>
        <v>2.7029999999999981</v>
      </c>
      <c r="H151" s="88">
        <f t="shared" si="106"/>
        <v>2.7169999999999979</v>
      </c>
      <c r="I151" s="88">
        <f t="shared" si="106"/>
        <v>2.7299999999999978</v>
      </c>
      <c r="J151" s="88">
        <f t="shared" si="106"/>
        <v>2.7429999999999981</v>
      </c>
      <c r="K151" s="88">
        <f t="shared" si="106"/>
        <v>2.755999999999998</v>
      </c>
      <c r="L151" s="88">
        <f t="shared" si="106"/>
        <v>2.767999999999998</v>
      </c>
      <c r="M151" s="88">
        <f t="shared" si="106"/>
        <v>2.7789999999999981</v>
      </c>
      <c r="N151" s="88">
        <f t="shared" si="106"/>
        <v>2.791999999999998</v>
      </c>
      <c r="O151" s="88">
        <f t="shared" si="106"/>
        <v>2.803999999999998</v>
      </c>
      <c r="P151" s="88">
        <f t="shared" si="106"/>
        <v>2.8179999999999978</v>
      </c>
      <c r="Q151" s="88">
        <f t="shared" si="106"/>
        <v>2.8309999999999977</v>
      </c>
      <c r="R151" s="88">
        <f t="shared" si="106"/>
        <v>2.8429999999999978</v>
      </c>
      <c r="S151" s="88">
        <f t="shared" si="106"/>
        <v>2.8549999999999978</v>
      </c>
      <c r="T151" s="88">
        <f t="shared" si="106"/>
        <v>2.8669999999999978</v>
      </c>
      <c r="U151" s="88">
        <f t="shared" si="106"/>
        <v>2.8789999999999978</v>
      </c>
      <c r="V151" s="88">
        <f t="shared" si="106"/>
        <v>2.8899999999999979</v>
      </c>
      <c r="W151" s="88">
        <f t="shared" si="106"/>
        <v>2.900999999999998</v>
      </c>
      <c r="X151" s="88">
        <f t="shared" si="106"/>
        <v>2.9109999999999978</v>
      </c>
      <c r="Y151" s="88">
        <f t="shared" si="106"/>
        <v>2.9219999999999979</v>
      </c>
      <c r="Z151" s="88">
        <f t="shared" si="106"/>
        <v>2.9309999999999978</v>
      </c>
      <c r="AA151" s="88">
        <f t="shared" si="106"/>
        <v>2.9409999999999981</v>
      </c>
      <c r="AB151" s="88">
        <f t="shared" si="106"/>
        <v>2.949999999999998</v>
      </c>
      <c r="AC151" s="88">
        <f t="shared" si="106"/>
        <v>2.9589999999999979</v>
      </c>
      <c r="AD151" s="89">
        <f t="shared" si="106"/>
        <v>2.9669999999999979</v>
      </c>
      <c r="AE151" s="90"/>
      <c r="AF151" s="90"/>
      <c r="AG151" s="90"/>
      <c r="AH151" s="90"/>
      <c r="AI151" s="90"/>
      <c r="AJ151" s="90"/>
      <c r="AK151" s="90"/>
      <c r="AL151" s="90"/>
      <c r="AM151" s="90"/>
      <c r="AN151" s="90"/>
      <c r="AO151" s="90"/>
      <c r="AP151" s="90"/>
      <c r="AQ151" s="90"/>
      <c r="AR151" s="90"/>
      <c r="AS151" s="90"/>
      <c r="BZ151" s="63" t="str">
        <f t="shared" si="77"/>
        <v>4149</v>
      </c>
      <c r="CA151" s="63" t="str">
        <f t="shared" si="76"/>
        <v>5149</v>
      </c>
      <c r="CB151" s="63" t="str">
        <f t="shared" si="78"/>
        <v>6149</v>
      </c>
      <c r="CC151" s="63" t="str">
        <f t="shared" si="79"/>
        <v>7149</v>
      </c>
      <c r="CD151" s="63" t="str">
        <f t="shared" si="80"/>
        <v>8149</v>
      </c>
      <c r="CE151" s="63" t="str">
        <f t="shared" si="81"/>
        <v>9149</v>
      </c>
      <c r="CF151" s="63" t="str">
        <f t="shared" si="82"/>
        <v>10149</v>
      </c>
      <c r="CG151" s="63" t="str">
        <f t="shared" si="83"/>
        <v>11149</v>
      </c>
      <c r="CH151" s="63" t="str">
        <f t="shared" si="84"/>
        <v>12149</v>
      </c>
      <c r="CI151" s="63" t="str">
        <f t="shared" si="85"/>
        <v>13149</v>
      </c>
      <c r="CJ151" s="63" t="str">
        <f t="shared" si="86"/>
        <v>14149</v>
      </c>
      <c r="CK151" s="63" t="str">
        <f t="shared" si="87"/>
        <v>15149</v>
      </c>
      <c r="CL151" s="63" t="str">
        <f t="shared" si="88"/>
        <v>16149</v>
      </c>
      <c r="CM151" s="63" t="str">
        <f t="shared" si="89"/>
        <v>17149</v>
      </c>
      <c r="CN151" s="63" t="str">
        <f t="shared" si="90"/>
        <v>18149</v>
      </c>
      <c r="CO151" s="63" t="str">
        <f t="shared" si="91"/>
        <v>19149</v>
      </c>
      <c r="CP151" s="63" t="str">
        <f t="shared" si="92"/>
        <v>20149</v>
      </c>
      <c r="CQ151" s="63" t="str">
        <f t="shared" si="93"/>
        <v>21149</v>
      </c>
      <c r="CR151" s="63" t="str">
        <f t="shared" si="94"/>
        <v>22149</v>
      </c>
      <c r="CS151" s="63" t="str">
        <f t="shared" si="95"/>
        <v>23149</v>
      </c>
      <c r="CT151" s="63" t="str">
        <f t="shared" si="96"/>
        <v>24149</v>
      </c>
      <c r="CU151" s="63" t="str">
        <f t="shared" si="97"/>
        <v>25149</v>
      </c>
      <c r="CV151" s="63" t="str">
        <f t="shared" si="98"/>
        <v>26149</v>
      </c>
      <c r="CW151" s="63" t="str">
        <f t="shared" si="99"/>
        <v>27149</v>
      </c>
      <c r="CX151" s="63" t="str">
        <f t="shared" si="100"/>
        <v>28149</v>
      </c>
      <c r="CY151" s="63" t="str">
        <f t="shared" si="101"/>
        <v>29149</v>
      </c>
      <c r="CZ151" s="63" t="str">
        <f t="shared" si="102"/>
        <v>30149</v>
      </c>
      <c r="DA151" s="63" t="str">
        <f t="shared" si="103"/>
        <v>31149</v>
      </c>
      <c r="DB151" s="63" t="str">
        <f t="shared" si="104"/>
        <v>32149</v>
      </c>
      <c r="DD151" s="72" t="s">
        <v>279</v>
      </c>
      <c r="DE151" s="92">
        <f>ROUND(B151,3)</f>
        <v>2.6269999999999998</v>
      </c>
      <c r="DF151" s="77">
        <f t="shared" si="109"/>
        <v>2.6429999999999998</v>
      </c>
      <c r="DG151" s="77">
        <f t="shared" si="109"/>
        <v>2.6579999999999999</v>
      </c>
      <c r="DH151" s="77">
        <f t="shared" si="109"/>
        <v>2.6739999999999999</v>
      </c>
      <c r="DI151" s="77">
        <f t="shared" si="109"/>
        <v>2.6890000000000001</v>
      </c>
      <c r="DJ151" s="77">
        <f t="shared" si="109"/>
        <v>2.7029999999999998</v>
      </c>
      <c r="DK151" s="77">
        <f t="shared" si="109"/>
        <v>2.7170000000000001</v>
      </c>
      <c r="DL151" s="77">
        <f t="shared" si="109"/>
        <v>2.73</v>
      </c>
      <c r="DM151" s="77">
        <f t="shared" si="109"/>
        <v>2.7429999999999999</v>
      </c>
      <c r="DN151" s="77">
        <f t="shared" si="109"/>
        <v>2.7559999999999998</v>
      </c>
      <c r="DO151" s="77">
        <f t="shared" si="109"/>
        <v>2.7679999999999998</v>
      </c>
      <c r="DP151" s="77">
        <f t="shared" si="109"/>
        <v>2.7789999999999999</v>
      </c>
      <c r="DQ151" s="77">
        <f t="shared" si="109"/>
        <v>2.7919999999999998</v>
      </c>
      <c r="DR151" s="77">
        <f t="shared" si="109"/>
        <v>2.8039999999999998</v>
      </c>
      <c r="DS151" s="77">
        <f t="shared" si="109"/>
        <v>2.8180000000000001</v>
      </c>
      <c r="DT151" s="77">
        <f t="shared" si="109"/>
        <v>2.831</v>
      </c>
      <c r="DU151" s="77">
        <f t="shared" si="108"/>
        <v>2.843</v>
      </c>
      <c r="DV151" s="77">
        <f t="shared" si="108"/>
        <v>2.855</v>
      </c>
      <c r="DW151" s="77">
        <f t="shared" si="108"/>
        <v>2.867</v>
      </c>
      <c r="DX151" s="77">
        <f t="shared" si="108"/>
        <v>2.879</v>
      </c>
      <c r="DY151" s="77">
        <f t="shared" si="108"/>
        <v>2.89</v>
      </c>
      <c r="DZ151" s="77">
        <f t="shared" si="108"/>
        <v>2.9009999999999998</v>
      </c>
      <c r="EA151" s="77">
        <f t="shared" si="74"/>
        <v>2.911</v>
      </c>
      <c r="EB151" s="77">
        <f t="shared" si="74"/>
        <v>2.9220000000000002</v>
      </c>
      <c r="EC151" s="77">
        <f t="shared" si="74"/>
        <v>2.931</v>
      </c>
      <c r="ED151" s="77">
        <f t="shared" si="74"/>
        <v>2.9409999999999998</v>
      </c>
      <c r="EE151" s="77">
        <f t="shared" si="74"/>
        <v>2.95</v>
      </c>
      <c r="EF151" s="77">
        <f t="shared" si="72"/>
        <v>2.9590000000000001</v>
      </c>
      <c r="EG151" s="77">
        <f t="shared" si="72"/>
        <v>2.9670000000000001</v>
      </c>
    </row>
    <row r="152" spans="1:137" s="91" customFormat="1" ht="11.25" customHeight="1">
      <c r="A152" s="87">
        <v>150</v>
      </c>
      <c r="B152" s="88">
        <f t="shared" si="107"/>
        <v>2.6329999999999978</v>
      </c>
      <c r="C152" s="88">
        <f t="shared" si="107"/>
        <v>2.6489999999999978</v>
      </c>
      <c r="D152" s="88">
        <f t="shared" si="107"/>
        <v>2.6639999999999979</v>
      </c>
      <c r="E152" s="88">
        <f t="shared" si="106"/>
        <v>2.6799999999999979</v>
      </c>
      <c r="F152" s="88">
        <f t="shared" si="106"/>
        <v>2.6949999999999976</v>
      </c>
      <c r="G152" s="88">
        <f t="shared" si="106"/>
        <v>2.7089999999999979</v>
      </c>
      <c r="H152" s="88">
        <f t="shared" si="106"/>
        <v>2.7229999999999976</v>
      </c>
      <c r="I152" s="88">
        <f t="shared" si="106"/>
        <v>2.7359999999999975</v>
      </c>
      <c r="J152" s="88">
        <f t="shared" si="106"/>
        <v>2.7489999999999979</v>
      </c>
      <c r="K152" s="88">
        <f t="shared" si="106"/>
        <v>2.7619999999999978</v>
      </c>
      <c r="L152" s="88">
        <f t="shared" si="106"/>
        <v>2.7739999999999978</v>
      </c>
      <c r="M152" s="88">
        <f t="shared" si="106"/>
        <v>2.7849999999999979</v>
      </c>
      <c r="N152" s="88">
        <f t="shared" si="106"/>
        <v>2.7979999999999978</v>
      </c>
      <c r="O152" s="88">
        <f t="shared" si="106"/>
        <v>2.8099999999999978</v>
      </c>
      <c r="P152" s="88">
        <f t="shared" si="106"/>
        <v>2.8239999999999976</v>
      </c>
      <c r="Q152" s="88">
        <f t="shared" si="106"/>
        <v>2.8369999999999975</v>
      </c>
      <c r="R152" s="88">
        <f t="shared" si="106"/>
        <v>2.8489999999999975</v>
      </c>
      <c r="S152" s="88">
        <f t="shared" si="106"/>
        <v>2.8609999999999975</v>
      </c>
      <c r="T152" s="88">
        <f t="shared" si="106"/>
        <v>2.8729999999999976</v>
      </c>
      <c r="U152" s="88">
        <f t="shared" si="106"/>
        <v>2.8849999999999976</v>
      </c>
      <c r="V152" s="88">
        <f t="shared" si="106"/>
        <v>2.8959999999999977</v>
      </c>
      <c r="W152" s="88">
        <f t="shared" si="106"/>
        <v>2.9069999999999978</v>
      </c>
      <c r="X152" s="88">
        <f t="shared" si="106"/>
        <v>2.9169999999999976</v>
      </c>
      <c r="Y152" s="88">
        <f t="shared" si="106"/>
        <v>2.9279999999999977</v>
      </c>
      <c r="Z152" s="88">
        <f>+Z151+0.006</f>
        <v>2.9369999999999976</v>
      </c>
      <c r="AA152" s="88">
        <f>+AA151+0.006</f>
        <v>2.9469999999999978</v>
      </c>
      <c r="AB152" s="88">
        <f>+AB151+0.006</f>
        <v>2.9559999999999977</v>
      </c>
      <c r="AC152" s="88">
        <f>+AC151+0.006</f>
        <v>2.9649999999999976</v>
      </c>
      <c r="AD152" s="89">
        <f>+AD151+0.006</f>
        <v>2.9729999999999976</v>
      </c>
      <c r="AE152" s="90"/>
      <c r="AF152" s="90"/>
      <c r="AG152" s="90"/>
      <c r="AH152" s="90"/>
      <c r="AI152" s="90"/>
      <c r="AJ152" s="90"/>
      <c r="AK152" s="90"/>
      <c r="AL152" s="90"/>
      <c r="AM152" s="90"/>
      <c r="AN152" s="90"/>
      <c r="AO152" s="90"/>
      <c r="AP152" s="90"/>
      <c r="AQ152" s="90"/>
      <c r="AR152" s="90"/>
      <c r="AS152" s="90"/>
      <c r="BZ152" s="63" t="str">
        <f t="shared" si="77"/>
        <v>4150</v>
      </c>
      <c r="CA152" s="63" t="str">
        <f t="shared" si="76"/>
        <v>5150</v>
      </c>
      <c r="CB152" s="63" t="str">
        <f t="shared" si="78"/>
        <v>6150</v>
      </c>
      <c r="CC152" s="63" t="str">
        <f t="shared" si="79"/>
        <v>7150</v>
      </c>
      <c r="CD152" s="63" t="str">
        <f t="shared" si="80"/>
        <v>8150</v>
      </c>
      <c r="CE152" s="63" t="str">
        <f t="shared" si="81"/>
        <v>9150</v>
      </c>
      <c r="CF152" s="63" t="str">
        <f t="shared" si="82"/>
        <v>10150</v>
      </c>
      <c r="CG152" s="63" t="str">
        <f t="shared" si="83"/>
        <v>11150</v>
      </c>
      <c r="CH152" s="63" t="str">
        <f t="shared" si="84"/>
        <v>12150</v>
      </c>
      <c r="CI152" s="63" t="str">
        <f t="shared" si="85"/>
        <v>13150</v>
      </c>
      <c r="CJ152" s="63" t="str">
        <f t="shared" si="86"/>
        <v>14150</v>
      </c>
      <c r="CK152" s="63" t="str">
        <f t="shared" si="87"/>
        <v>15150</v>
      </c>
      <c r="CL152" s="63" t="str">
        <f t="shared" si="88"/>
        <v>16150</v>
      </c>
      <c r="CM152" s="63" t="str">
        <f t="shared" si="89"/>
        <v>17150</v>
      </c>
      <c r="CN152" s="63" t="str">
        <f t="shared" si="90"/>
        <v>18150</v>
      </c>
      <c r="CO152" s="63" t="str">
        <f t="shared" si="91"/>
        <v>19150</v>
      </c>
      <c r="CP152" s="63" t="str">
        <f t="shared" si="92"/>
        <v>20150</v>
      </c>
      <c r="CQ152" s="63" t="str">
        <f t="shared" si="93"/>
        <v>21150</v>
      </c>
      <c r="CR152" s="63" t="str">
        <f t="shared" si="94"/>
        <v>22150</v>
      </c>
      <c r="CS152" s="63" t="str">
        <f t="shared" si="95"/>
        <v>23150</v>
      </c>
      <c r="CT152" s="63" t="str">
        <f t="shared" si="96"/>
        <v>24150</v>
      </c>
      <c r="CU152" s="63" t="str">
        <f t="shared" si="97"/>
        <v>25150</v>
      </c>
      <c r="CV152" s="63" t="str">
        <f t="shared" si="98"/>
        <v>26150</v>
      </c>
      <c r="CW152" s="63" t="str">
        <f t="shared" si="99"/>
        <v>27150</v>
      </c>
      <c r="CX152" s="63" t="str">
        <f t="shared" si="100"/>
        <v>28150</v>
      </c>
      <c r="CY152" s="63" t="str">
        <f t="shared" si="101"/>
        <v>29150</v>
      </c>
      <c r="CZ152" s="63" t="str">
        <f t="shared" si="102"/>
        <v>30150</v>
      </c>
      <c r="DA152" s="63" t="str">
        <f t="shared" si="103"/>
        <v>31150</v>
      </c>
      <c r="DB152" s="63" t="str">
        <f t="shared" si="104"/>
        <v>32150</v>
      </c>
      <c r="DD152" s="72" t="s">
        <v>280</v>
      </c>
      <c r="DE152" s="92">
        <f>ROUND(B152,3)</f>
        <v>2.633</v>
      </c>
      <c r="DF152" s="92">
        <f>ROUND(C152,3)</f>
        <v>2.649</v>
      </c>
      <c r="DG152" s="77">
        <f t="shared" si="109"/>
        <v>2.6640000000000001</v>
      </c>
      <c r="DH152" s="77">
        <f t="shared" si="109"/>
        <v>2.68</v>
      </c>
      <c r="DI152" s="77">
        <f t="shared" si="109"/>
        <v>2.6949999999999998</v>
      </c>
      <c r="DJ152" s="77">
        <f t="shared" si="109"/>
        <v>2.7090000000000001</v>
      </c>
      <c r="DK152" s="77">
        <f t="shared" si="109"/>
        <v>2.7229999999999999</v>
      </c>
      <c r="DL152" s="77">
        <f t="shared" si="109"/>
        <v>2.7360000000000002</v>
      </c>
      <c r="DM152" s="77">
        <f t="shared" si="109"/>
        <v>2.7490000000000001</v>
      </c>
      <c r="DN152" s="77">
        <f t="shared" si="109"/>
        <v>2.762</v>
      </c>
      <c r="DO152" s="77">
        <f t="shared" si="109"/>
        <v>2.774</v>
      </c>
      <c r="DP152" s="77">
        <f t="shared" si="109"/>
        <v>2.7850000000000001</v>
      </c>
      <c r="DQ152" s="77">
        <f t="shared" si="109"/>
        <v>2.798</v>
      </c>
      <c r="DR152" s="77">
        <f t="shared" si="109"/>
        <v>2.81</v>
      </c>
      <c r="DS152" s="77">
        <f t="shared" si="109"/>
        <v>2.8239999999999998</v>
      </c>
      <c r="DT152" s="77">
        <f t="shared" si="109"/>
        <v>2.8370000000000002</v>
      </c>
      <c r="DU152" s="77">
        <f t="shared" si="108"/>
        <v>2.8490000000000002</v>
      </c>
      <c r="DV152" s="77">
        <f t="shared" si="108"/>
        <v>2.8610000000000002</v>
      </c>
      <c r="DW152" s="77">
        <f t="shared" si="108"/>
        <v>2.8730000000000002</v>
      </c>
      <c r="DX152" s="77">
        <f t="shared" si="108"/>
        <v>2.8849999999999998</v>
      </c>
      <c r="DY152" s="77">
        <f t="shared" si="108"/>
        <v>2.8959999999999999</v>
      </c>
      <c r="DZ152" s="77">
        <f t="shared" si="108"/>
        <v>2.907</v>
      </c>
      <c r="EA152" s="77">
        <f t="shared" si="74"/>
        <v>2.9169999999999998</v>
      </c>
      <c r="EB152" s="77">
        <f t="shared" si="74"/>
        <v>2.9279999999999999</v>
      </c>
      <c r="EC152" s="77">
        <f t="shared" si="74"/>
        <v>2.9369999999999998</v>
      </c>
      <c r="ED152" s="77">
        <f t="shared" si="74"/>
        <v>2.9470000000000001</v>
      </c>
      <c r="EE152" s="77">
        <f t="shared" si="74"/>
        <v>2.956</v>
      </c>
      <c r="EF152" s="77">
        <f t="shared" si="72"/>
        <v>2.9649999999999999</v>
      </c>
      <c r="EG152" s="77">
        <f t="shared" si="72"/>
        <v>2.9729999999999999</v>
      </c>
    </row>
    <row r="153" spans="1:137" ht="12.75" customHeight="1">
      <c r="A153" s="87">
        <v>151</v>
      </c>
      <c r="B153" s="88">
        <f t="shared" si="107"/>
        <v>2.6389999999999976</v>
      </c>
      <c r="C153" s="88">
        <f t="shared" si="107"/>
        <v>2.6549999999999976</v>
      </c>
      <c r="D153" s="88">
        <f t="shared" si="107"/>
        <v>2.6699999999999977</v>
      </c>
      <c r="E153" s="88">
        <f t="shared" si="107"/>
        <v>2.6859999999999977</v>
      </c>
      <c r="F153" s="88">
        <f t="shared" si="107"/>
        <v>2.7009999999999974</v>
      </c>
      <c r="G153" s="88">
        <f t="shared" si="107"/>
        <v>2.7149999999999976</v>
      </c>
      <c r="H153" s="88">
        <f t="shared" si="107"/>
        <v>2.7289999999999974</v>
      </c>
      <c r="I153" s="88">
        <f t="shared" si="107"/>
        <v>2.7419999999999973</v>
      </c>
      <c r="J153" s="88">
        <f t="shared" si="107"/>
        <v>2.7549999999999977</v>
      </c>
      <c r="K153" s="88">
        <f t="shared" si="107"/>
        <v>2.7679999999999976</v>
      </c>
      <c r="L153" s="88">
        <f t="shared" si="107"/>
        <v>2.7799999999999976</v>
      </c>
      <c r="M153" s="88">
        <f t="shared" si="107"/>
        <v>2.7909999999999977</v>
      </c>
      <c r="N153" s="88">
        <f t="shared" si="107"/>
        <v>2.8039999999999976</v>
      </c>
      <c r="O153" s="88">
        <f t="shared" si="107"/>
        <v>2.8159999999999976</v>
      </c>
      <c r="P153" s="88">
        <f t="shared" si="107"/>
        <v>2.8299999999999974</v>
      </c>
      <c r="Q153" s="88">
        <f t="shared" si="107"/>
        <v>2.8429999999999973</v>
      </c>
      <c r="R153" s="88">
        <f t="shared" ref="E153:AD163" si="110">+R152+0.006</f>
        <v>2.8549999999999973</v>
      </c>
      <c r="S153" s="88">
        <f t="shared" si="110"/>
        <v>2.8669999999999973</v>
      </c>
      <c r="T153" s="88">
        <f t="shared" si="110"/>
        <v>2.8789999999999973</v>
      </c>
      <c r="U153" s="88">
        <f t="shared" si="110"/>
        <v>2.8909999999999973</v>
      </c>
      <c r="V153" s="88">
        <f t="shared" si="110"/>
        <v>2.9019999999999975</v>
      </c>
      <c r="W153" s="88">
        <f t="shared" si="110"/>
        <v>2.9129999999999976</v>
      </c>
      <c r="X153" s="88">
        <f t="shared" si="110"/>
        <v>2.9229999999999974</v>
      </c>
      <c r="Y153" s="88">
        <f t="shared" si="110"/>
        <v>2.9339999999999975</v>
      </c>
      <c r="Z153" s="88">
        <f t="shared" si="110"/>
        <v>2.9429999999999974</v>
      </c>
      <c r="AA153" s="88">
        <f t="shared" si="110"/>
        <v>2.9529999999999976</v>
      </c>
      <c r="AB153" s="88">
        <f t="shared" si="110"/>
        <v>2.9619999999999975</v>
      </c>
      <c r="AC153" s="88">
        <f t="shared" si="110"/>
        <v>2.9709999999999974</v>
      </c>
      <c r="AD153" s="89">
        <f t="shared" si="110"/>
        <v>2.9789999999999974</v>
      </c>
      <c r="AE153" s="90"/>
      <c r="AF153" s="90"/>
      <c r="AG153" s="90"/>
      <c r="AH153" s="90"/>
      <c r="AI153" s="90"/>
      <c r="AJ153" s="90"/>
      <c r="AK153" s="90"/>
      <c r="AL153" s="90"/>
      <c r="AM153" s="90"/>
      <c r="AN153" s="90"/>
      <c r="AO153" s="90"/>
      <c r="AP153" s="90"/>
      <c r="AQ153" s="90"/>
      <c r="AR153" s="90"/>
      <c r="AS153" s="90"/>
      <c r="BZ153" s="63" t="str">
        <f t="shared" si="77"/>
        <v>4151</v>
      </c>
      <c r="CA153" s="63" t="str">
        <f t="shared" si="76"/>
        <v>5151</v>
      </c>
      <c r="CB153" s="63" t="str">
        <f t="shared" si="78"/>
        <v>6151</v>
      </c>
      <c r="CC153" s="63" t="str">
        <f t="shared" si="79"/>
        <v>7151</v>
      </c>
      <c r="CD153" s="63" t="str">
        <f t="shared" si="80"/>
        <v>8151</v>
      </c>
      <c r="CE153" s="63" t="str">
        <f t="shared" si="81"/>
        <v>9151</v>
      </c>
      <c r="CF153" s="63" t="str">
        <f t="shared" si="82"/>
        <v>10151</v>
      </c>
      <c r="CG153" s="63" t="str">
        <f t="shared" si="83"/>
        <v>11151</v>
      </c>
      <c r="CH153" s="63" t="str">
        <f t="shared" si="84"/>
        <v>12151</v>
      </c>
      <c r="CI153" s="63" t="str">
        <f t="shared" si="85"/>
        <v>13151</v>
      </c>
      <c r="CJ153" s="63" t="str">
        <f t="shared" si="86"/>
        <v>14151</v>
      </c>
      <c r="CK153" s="63" t="str">
        <f t="shared" si="87"/>
        <v>15151</v>
      </c>
      <c r="CL153" s="63" t="str">
        <f t="shared" si="88"/>
        <v>16151</v>
      </c>
      <c r="CM153" s="63" t="str">
        <f t="shared" si="89"/>
        <v>17151</v>
      </c>
      <c r="CN153" s="63" t="str">
        <f t="shared" si="90"/>
        <v>18151</v>
      </c>
      <c r="CO153" s="63" t="str">
        <f t="shared" si="91"/>
        <v>19151</v>
      </c>
      <c r="CP153" s="63" t="str">
        <f t="shared" si="92"/>
        <v>20151</v>
      </c>
      <c r="CQ153" s="63" t="str">
        <f t="shared" si="93"/>
        <v>21151</v>
      </c>
      <c r="CR153" s="63" t="str">
        <f t="shared" si="94"/>
        <v>22151</v>
      </c>
      <c r="CS153" s="63" t="str">
        <f t="shared" si="95"/>
        <v>23151</v>
      </c>
      <c r="CT153" s="63" t="str">
        <f t="shared" si="96"/>
        <v>24151</v>
      </c>
      <c r="CU153" s="63" t="str">
        <f t="shared" si="97"/>
        <v>25151</v>
      </c>
      <c r="CV153" s="63" t="str">
        <f t="shared" si="98"/>
        <v>26151</v>
      </c>
      <c r="CW153" s="63" t="str">
        <f t="shared" si="99"/>
        <v>27151</v>
      </c>
      <c r="CX153" s="63" t="str">
        <f t="shared" si="100"/>
        <v>28151</v>
      </c>
      <c r="CY153" s="63" t="str">
        <f t="shared" si="101"/>
        <v>29151</v>
      </c>
      <c r="CZ153" s="63" t="str">
        <f t="shared" si="102"/>
        <v>30151</v>
      </c>
      <c r="DA153" s="63" t="str">
        <f t="shared" si="103"/>
        <v>31151</v>
      </c>
      <c r="DB153" s="63" t="str">
        <f t="shared" si="104"/>
        <v>32151</v>
      </c>
      <c r="DD153" s="72" t="s">
        <v>281</v>
      </c>
      <c r="DE153" s="92">
        <f t="shared" ref="DE153:DT171" si="111">ROUND(B153,3)</f>
        <v>2.6389999999999998</v>
      </c>
      <c r="DF153" s="92">
        <f t="shared" si="111"/>
        <v>2.6549999999999998</v>
      </c>
      <c r="DG153" s="77">
        <f t="shared" si="109"/>
        <v>2.67</v>
      </c>
      <c r="DH153" s="77">
        <f t="shared" si="109"/>
        <v>2.6859999999999999</v>
      </c>
      <c r="DI153" s="77">
        <f t="shared" si="109"/>
        <v>2.7010000000000001</v>
      </c>
      <c r="DJ153" s="77">
        <f t="shared" si="109"/>
        <v>2.7149999999999999</v>
      </c>
      <c r="DK153" s="77">
        <f t="shared" si="109"/>
        <v>2.7290000000000001</v>
      </c>
      <c r="DL153" s="77">
        <f t="shared" si="109"/>
        <v>2.742</v>
      </c>
      <c r="DM153" s="77">
        <f t="shared" si="109"/>
        <v>2.7549999999999999</v>
      </c>
      <c r="DN153" s="77">
        <f t="shared" si="109"/>
        <v>2.7679999999999998</v>
      </c>
      <c r="DO153" s="77">
        <f t="shared" si="109"/>
        <v>2.78</v>
      </c>
      <c r="DP153" s="77">
        <f t="shared" si="109"/>
        <v>2.7909999999999999</v>
      </c>
      <c r="DQ153" s="77">
        <f t="shared" si="109"/>
        <v>2.8039999999999998</v>
      </c>
      <c r="DR153" s="77">
        <f t="shared" si="109"/>
        <v>2.8159999999999998</v>
      </c>
      <c r="DS153" s="77">
        <f t="shared" si="109"/>
        <v>2.83</v>
      </c>
      <c r="DT153" s="77">
        <f t="shared" si="109"/>
        <v>2.843</v>
      </c>
      <c r="DU153" s="77">
        <f t="shared" si="108"/>
        <v>2.855</v>
      </c>
      <c r="DV153" s="77">
        <f t="shared" si="108"/>
        <v>2.867</v>
      </c>
      <c r="DW153" s="77">
        <f t="shared" si="108"/>
        <v>2.879</v>
      </c>
      <c r="DX153" s="77">
        <f t="shared" si="108"/>
        <v>2.891</v>
      </c>
      <c r="DY153" s="77">
        <f t="shared" si="108"/>
        <v>2.9020000000000001</v>
      </c>
      <c r="DZ153" s="77">
        <f t="shared" si="108"/>
        <v>2.9129999999999998</v>
      </c>
      <c r="EA153" s="77">
        <f t="shared" si="74"/>
        <v>2.923</v>
      </c>
      <c r="EB153" s="77">
        <f t="shared" si="74"/>
        <v>2.9340000000000002</v>
      </c>
      <c r="EC153" s="77">
        <f t="shared" si="74"/>
        <v>2.9430000000000001</v>
      </c>
      <c r="ED153" s="77">
        <f t="shared" si="74"/>
        <v>2.9529999999999998</v>
      </c>
      <c r="EE153" s="77">
        <f t="shared" si="74"/>
        <v>2.9620000000000002</v>
      </c>
      <c r="EF153" s="77">
        <f t="shared" si="72"/>
        <v>2.9710000000000001</v>
      </c>
      <c r="EG153" s="77">
        <f t="shared" si="72"/>
        <v>2.9790000000000001</v>
      </c>
    </row>
    <row r="154" spans="1:137" ht="12.75" customHeight="1">
      <c r="A154" s="87">
        <v>152</v>
      </c>
      <c r="B154" s="88">
        <f t="shared" si="107"/>
        <v>2.6449999999999974</v>
      </c>
      <c r="C154" s="88">
        <f t="shared" si="107"/>
        <v>2.6609999999999974</v>
      </c>
      <c r="D154" s="88">
        <f t="shared" si="107"/>
        <v>2.6759999999999975</v>
      </c>
      <c r="E154" s="88">
        <f t="shared" si="110"/>
        <v>2.6919999999999975</v>
      </c>
      <c r="F154" s="88">
        <f t="shared" si="110"/>
        <v>2.7069999999999972</v>
      </c>
      <c r="G154" s="88">
        <f t="shared" si="110"/>
        <v>2.7209999999999974</v>
      </c>
      <c r="H154" s="88">
        <f t="shared" si="110"/>
        <v>2.7349999999999972</v>
      </c>
      <c r="I154" s="88">
        <f t="shared" si="110"/>
        <v>2.7479999999999971</v>
      </c>
      <c r="J154" s="88">
        <f t="shared" si="110"/>
        <v>2.7609999999999975</v>
      </c>
      <c r="K154" s="88">
        <f t="shared" si="110"/>
        <v>2.7739999999999974</v>
      </c>
      <c r="L154" s="88">
        <f t="shared" si="110"/>
        <v>2.7859999999999974</v>
      </c>
      <c r="M154" s="88">
        <f t="shared" si="110"/>
        <v>2.7969999999999975</v>
      </c>
      <c r="N154" s="88">
        <f t="shared" si="110"/>
        <v>2.8099999999999974</v>
      </c>
      <c r="O154" s="88">
        <f t="shared" si="110"/>
        <v>2.8219999999999974</v>
      </c>
      <c r="P154" s="88">
        <f t="shared" si="110"/>
        <v>2.8359999999999972</v>
      </c>
      <c r="Q154" s="88">
        <f t="shared" si="110"/>
        <v>2.8489999999999971</v>
      </c>
      <c r="R154" s="88">
        <f t="shared" si="110"/>
        <v>2.8609999999999971</v>
      </c>
      <c r="S154" s="88">
        <f t="shared" si="110"/>
        <v>2.8729999999999971</v>
      </c>
      <c r="T154" s="88">
        <f t="shared" si="110"/>
        <v>2.8849999999999971</v>
      </c>
      <c r="U154" s="88">
        <f t="shared" si="110"/>
        <v>2.8969999999999971</v>
      </c>
      <c r="V154" s="88">
        <f t="shared" si="110"/>
        <v>2.9079999999999973</v>
      </c>
      <c r="W154" s="88">
        <f t="shared" si="110"/>
        <v>2.9189999999999974</v>
      </c>
      <c r="X154" s="88">
        <f t="shared" si="110"/>
        <v>2.9289999999999972</v>
      </c>
      <c r="Y154" s="88">
        <f t="shared" si="110"/>
        <v>2.9399999999999973</v>
      </c>
      <c r="Z154" s="88">
        <f t="shared" si="110"/>
        <v>2.9489999999999972</v>
      </c>
      <c r="AA154" s="88">
        <f t="shared" si="110"/>
        <v>2.9589999999999974</v>
      </c>
      <c r="AB154" s="88">
        <f t="shared" si="110"/>
        <v>2.9679999999999973</v>
      </c>
      <c r="AC154" s="88">
        <f t="shared" si="110"/>
        <v>2.9769999999999972</v>
      </c>
      <c r="AD154" s="89">
        <f t="shared" si="110"/>
        <v>2.9849999999999972</v>
      </c>
      <c r="AE154" s="90"/>
      <c r="AF154" s="90"/>
      <c r="AG154" s="90"/>
      <c r="AH154" s="90"/>
      <c r="AI154" s="90"/>
      <c r="AJ154" s="90"/>
      <c r="AK154" s="90"/>
      <c r="AL154" s="90"/>
      <c r="AM154" s="90"/>
      <c r="AN154" s="90"/>
      <c r="AO154" s="90"/>
      <c r="AP154" s="90"/>
      <c r="AQ154" s="90"/>
      <c r="AR154" s="90"/>
      <c r="AS154" s="90"/>
      <c r="BZ154" s="63" t="str">
        <f t="shared" si="77"/>
        <v>4152</v>
      </c>
      <c r="CA154" s="63" t="str">
        <f t="shared" si="76"/>
        <v>5152</v>
      </c>
      <c r="CB154" s="63" t="str">
        <f t="shared" si="78"/>
        <v>6152</v>
      </c>
      <c r="CC154" s="63" t="str">
        <f t="shared" si="79"/>
        <v>7152</v>
      </c>
      <c r="CD154" s="63" t="str">
        <f t="shared" si="80"/>
        <v>8152</v>
      </c>
      <c r="CE154" s="63" t="str">
        <f t="shared" si="81"/>
        <v>9152</v>
      </c>
      <c r="CF154" s="63" t="str">
        <f t="shared" si="82"/>
        <v>10152</v>
      </c>
      <c r="CG154" s="63" t="str">
        <f t="shared" si="83"/>
        <v>11152</v>
      </c>
      <c r="CH154" s="63" t="str">
        <f t="shared" si="84"/>
        <v>12152</v>
      </c>
      <c r="CI154" s="63" t="str">
        <f t="shared" si="85"/>
        <v>13152</v>
      </c>
      <c r="CJ154" s="63" t="str">
        <f t="shared" si="86"/>
        <v>14152</v>
      </c>
      <c r="CK154" s="63" t="str">
        <f t="shared" si="87"/>
        <v>15152</v>
      </c>
      <c r="CL154" s="63" t="str">
        <f t="shared" si="88"/>
        <v>16152</v>
      </c>
      <c r="CM154" s="63" t="str">
        <f t="shared" si="89"/>
        <v>17152</v>
      </c>
      <c r="CN154" s="63" t="str">
        <f t="shared" si="90"/>
        <v>18152</v>
      </c>
      <c r="CO154" s="63" t="str">
        <f t="shared" si="91"/>
        <v>19152</v>
      </c>
      <c r="CP154" s="63" t="str">
        <f t="shared" si="92"/>
        <v>20152</v>
      </c>
      <c r="CQ154" s="63" t="str">
        <f t="shared" si="93"/>
        <v>21152</v>
      </c>
      <c r="CR154" s="63" t="str">
        <f t="shared" si="94"/>
        <v>22152</v>
      </c>
      <c r="CS154" s="63" t="str">
        <f t="shared" si="95"/>
        <v>23152</v>
      </c>
      <c r="CT154" s="63" t="str">
        <f t="shared" si="96"/>
        <v>24152</v>
      </c>
      <c r="CU154" s="63" t="str">
        <f t="shared" si="97"/>
        <v>25152</v>
      </c>
      <c r="CV154" s="63" t="str">
        <f t="shared" si="98"/>
        <v>26152</v>
      </c>
      <c r="CW154" s="63" t="str">
        <f t="shared" si="99"/>
        <v>27152</v>
      </c>
      <c r="CX154" s="63" t="str">
        <f t="shared" si="100"/>
        <v>28152</v>
      </c>
      <c r="CY154" s="63" t="str">
        <f t="shared" si="101"/>
        <v>29152</v>
      </c>
      <c r="CZ154" s="63" t="str">
        <f t="shared" si="102"/>
        <v>30152</v>
      </c>
      <c r="DA154" s="63" t="str">
        <f t="shared" si="103"/>
        <v>31152</v>
      </c>
      <c r="DB154" s="63" t="str">
        <f t="shared" si="104"/>
        <v>32152</v>
      </c>
      <c r="DD154" s="72" t="s">
        <v>282</v>
      </c>
      <c r="DE154" s="92">
        <f t="shared" si="111"/>
        <v>2.645</v>
      </c>
      <c r="DF154" s="92">
        <f t="shared" si="111"/>
        <v>2.661</v>
      </c>
      <c r="DG154" s="77">
        <f t="shared" si="109"/>
        <v>2.6760000000000002</v>
      </c>
      <c r="DH154" s="77">
        <f t="shared" si="109"/>
        <v>2.6920000000000002</v>
      </c>
      <c r="DI154" s="77">
        <f t="shared" si="109"/>
        <v>2.7069999999999999</v>
      </c>
      <c r="DJ154" s="77">
        <f t="shared" si="109"/>
        <v>2.7210000000000001</v>
      </c>
      <c r="DK154" s="77">
        <f t="shared" si="109"/>
        <v>2.7349999999999999</v>
      </c>
      <c r="DL154" s="77">
        <f t="shared" si="109"/>
        <v>2.7480000000000002</v>
      </c>
      <c r="DM154" s="77">
        <f t="shared" si="109"/>
        <v>2.7610000000000001</v>
      </c>
      <c r="DN154" s="77">
        <f t="shared" si="109"/>
        <v>2.774</v>
      </c>
      <c r="DO154" s="77">
        <f t="shared" si="109"/>
        <v>2.786</v>
      </c>
      <c r="DP154" s="77">
        <f t="shared" si="109"/>
        <v>2.7970000000000002</v>
      </c>
      <c r="DQ154" s="77">
        <f t="shared" si="109"/>
        <v>2.81</v>
      </c>
      <c r="DR154" s="77">
        <f t="shared" si="109"/>
        <v>2.8220000000000001</v>
      </c>
      <c r="DS154" s="77">
        <f t="shared" si="109"/>
        <v>2.8359999999999999</v>
      </c>
      <c r="DT154" s="77">
        <f t="shared" si="109"/>
        <v>2.8490000000000002</v>
      </c>
      <c r="DU154" s="77">
        <f t="shared" si="108"/>
        <v>2.8610000000000002</v>
      </c>
      <c r="DV154" s="77">
        <f t="shared" si="108"/>
        <v>2.8730000000000002</v>
      </c>
      <c r="DW154" s="77">
        <f t="shared" si="108"/>
        <v>2.8849999999999998</v>
      </c>
      <c r="DX154" s="77">
        <f t="shared" si="108"/>
        <v>2.8969999999999998</v>
      </c>
      <c r="DY154" s="77">
        <f t="shared" si="108"/>
        <v>2.9079999999999999</v>
      </c>
      <c r="DZ154" s="77">
        <f t="shared" si="108"/>
        <v>2.919</v>
      </c>
      <c r="EA154" s="77">
        <f t="shared" si="74"/>
        <v>2.9289999999999998</v>
      </c>
      <c r="EB154" s="77">
        <f t="shared" si="74"/>
        <v>2.94</v>
      </c>
      <c r="EC154" s="77">
        <f t="shared" si="74"/>
        <v>2.9489999999999998</v>
      </c>
      <c r="ED154" s="77">
        <f t="shared" si="74"/>
        <v>2.9590000000000001</v>
      </c>
      <c r="EE154" s="77">
        <f t="shared" si="74"/>
        <v>2.968</v>
      </c>
      <c r="EF154" s="77">
        <f t="shared" si="72"/>
        <v>2.9769999999999999</v>
      </c>
      <c r="EG154" s="77">
        <f t="shared" si="72"/>
        <v>2.9849999999999999</v>
      </c>
    </row>
    <row r="155" spans="1:137" ht="12.75" customHeight="1">
      <c r="A155" s="87">
        <v>153</v>
      </c>
      <c r="B155" s="88">
        <f t="shared" si="107"/>
        <v>2.6509999999999971</v>
      </c>
      <c r="C155" s="88">
        <f t="shared" si="107"/>
        <v>2.6669999999999972</v>
      </c>
      <c r="D155" s="88">
        <f t="shared" si="107"/>
        <v>2.6819999999999973</v>
      </c>
      <c r="E155" s="88">
        <f t="shared" si="110"/>
        <v>2.6979999999999973</v>
      </c>
      <c r="F155" s="88">
        <f t="shared" si="110"/>
        <v>2.712999999999997</v>
      </c>
      <c r="G155" s="88">
        <f t="shared" si="110"/>
        <v>2.7269999999999972</v>
      </c>
      <c r="H155" s="88">
        <f t="shared" si="110"/>
        <v>2.740999999999997</v>
      </c>
      <c r="I155" s="88">
        <f t="shared" si="110"/>
        <v>2.7539999999999969</v>
      </c>
      <c r="J155" s="88">
        <f t="shared" si="110"/>
        <v>2.7669999999999972</v>
      </c>
      <c r="K155" s="88">
        <f t="shared" si="110"/>
        <v>2.7799999999999971</v>
      </c>
      <c r="L155" s="88">
        <f t="shared" si="110"/>
        <v>2.7919999999999972</v>
      </c>
      <c r="M155" s="88">
        <f t="shared" si="110"/>
        <v>2.8029999999999973</v>
      </c>
      <c r="N155" s="88">
        <f t="shared" si="110"/>
        <v>2.8159999999999972</v>
      </c>
      <c r="O155" s="88">
        <f t="shared" si="110"/>
        <v>2.8279999999999972</v>
      </c>
      <c r="P155" s="88">
        <f t="shared" si="110"/>
        <v>2.841999999999997</v>
      </c>
      <c r="Q155" s="88">
        <f t="shared" si="110"/>
        <v>2.8549999999999969</v>
      </c>
      <c r="R155" s="88">
        <f t="shared" si="110"/>
        <v>2.8669999999999969</v>
      </c>
      <c r="S155" s="88">
        <f t="shared" si="110"/>
        <v>2.8789999999999969</v>
      </c>
      <c r="T155" s="88">
        <f t="shared" si="110"/>
        <v>2.8909999999999969</v>
      </c>
      <c r="U155" s="88">
        <f t="shared" si="110"/>
        <v>2.9029999999999969</v>
      </c>
      <c r="V155" s="88">
        <f t="shared" si="110"/>
        <v>2.913999999999997</v>
      </c>
      <c r="W155" s="88">
        <f t="shared" si="110"/>
        <v>2.9249999999999972</v>
      </c>
      <c r="X155" s="88">
        <f t="shared" si="110"/>
        <v>2.9349999999999969</v>
      </c>
      <c r="Y155" s="88">
        <f t="shared" si="110"/>
        <v>2.9459999999999971</v>
      </c>
      <c r="Z155" s="88">
        <f t="shared" si="110"/>
        <v>2.954999999999997</v>
      </c>
      <c r="AA155" s="88">
        <f t="shared" si="110"/>
        <v>2.9649999999999972</v>
      </c>
      <c r="AB155" s="88">
        <f t="shared" si="110"/>
        <v>2.9739999999999971</v>
      </c>
      <c r="AC155" s="88">
        <f t="shared" si="110"/>
        <v>2.982999999999997</v>
      </c>
      <c r="AD155" s="89">
        <f t="shared" si="110"/>
        <v>2.990999999999997</v>
      </c>
      <c r="AE155" s="90"/>
      <c r="AF155" s="90"/>
      <c r="AG155" s="90"/>
      <c r="AH155" s="90"/>
      <c r="AI155" s="90"/>
      <c r="AJ155" s="90"/>
      <c r="AK155" s="90"/>
      <c r="AL155" s="90"/>
      <c r="AM155" s="90"/>
      <c r="AN155" s="90"/>
      <c r="AO155" s="90"/>
      <c r="AP155" s="90"/>
      <c r="AQ155" s="90"/>
      <c r="AR155" s="90"/>
      <c r="AS155" s="90"/>
      <c r="BZ155" s="63" t="str">
        <f t="shared" si="77"/>
        <v>4153</v>
      </c>
      <c r="CA155" s="63" t="str">
        <f t="shared" si="76"/>
        <v>5153</v>
      </c>
      <c r="CB155" s="63" t="str">
        <f t="shared" si="78"/>
        <v>6153</v>
      </c>
      <c r="CC155" s="63" t="str">
        <f t="shared" si="79"/>
        <v>7153</v>
      </c>
      <c r="CD155" s="63" t="str">
        <f t="shared" si="80"/>
        <v>8153</v>
      </c>
      <c r="CE155" s="63" t="str">
        <f t="shared" si="81"/>
        <v>9153</v>
      </c>
      <c r="CF155" s="63" t="str">
        <f t="shared" si="82"/>
        <v>10153</v>
      </c>
      <c r="CG155" s="63" t="str">
        <f t="shared" si="83"/>
        <v>11153</v>
      </c>
      <c r="CH155" s="63" t="str">
        <f t="shared" si="84"/>
        <v>12153</v>
      </c>
      <c r="CI155" s="63" t="str">
        <f t="shared" si="85"/>
        <v>13153</v>
      </c>
      <c r="CJ155" s="63" t="str">
        <f t="shared" si="86"/>
        <v>14153</v>
      </c>
      <c r="CK155" s="63" t="str">
        <f t="shared" si="87"/>
        <v>15153</v>
      </c>
      <c r="CL155" s="63" t="str">
        <f t="shared" si="88"/>
        <v>16153</v>
      </c>
      <c r="CM155" s="63" t="str">
        <f t="shared" si="89"/>
        <v>17153</v>
      </c>
      <c r="CN155" s="63" t="str">
        <f t="shared" si="90"/>
        <v>18153</v>
      </c>
      <c r="CO155" s="63" t="str">
        <f t="shared" si="91"/>
        <v>19153</v>
      </c>
      <c r="CP155" s="63" t="str">
        <f t="shared" si="92"/>
        <v>20153</v>
      </c>
      <c r="CQ155" s="63" t="str">
        <f t="shared" si="93"/>
        <v>21153</v>
      </c>
      <c r="CR155" s="63" t="str">
        <f t="shared" si="94"/>
        <v>22153</v>
      </c>
      <c r="CS155" s="63" t="str">
        <f t="shared" si="95"/>
        <v>23153</v>
      </c>
      <c r="CT155" s="63" t="str">
        <f t="shared" si="96"/>
        <v>24153</v>
      </c>
      <c r="CU155" s="63" t="str">
        <f t="shared" si="97"/>
        <v>25153</v>
      </c>
      <c r="CV155" s="63" t="str">
        <f t="shared" si="98"/>
        <v>26153</v>
      </c>
      <c r="CW155" s="63" t="str">
        <f t="shared" si="99"/>
        <v>27153</v>
      </c>
      <c r="CX155" s="63" t="str">
        <f t="shared" si="100"/>
        <v>28153</v>
      </c>
      <c r="CY155" s="63" t="str">
        <f t="shared" si="101"/>
        <v>29153</v>
      </c>
      <c r="CZ155" s="63" t="str">
        <f t="shared" si="102"/>
        <v>30153</v>
      </c>
      <c r="DA155" s="63" t="str">
        <f t="shared" si="103"/>
        <v>31153</v>
      </c>
      <c r="DB155" s="63" t="str">
        <f t="shared" si="104"/>
        <v>32153</v>
      </c>
      <c r="DD155" s="72" t="s">
        <v>283</v>
      </c>
      <c r="DE155" s="92">
        <f t="shared" si="111"/>
        <v>2.6509999999999998</v>
      </c>
      <c r="DF155" s="92">
        <f t="shared" si="111"/>
        <v>2.6669999999999998</v>
      </c>
      <c r="DG155" s="77">
        <f t="shared" si="109"/>
        <v>2.6819999999999999</v>
      </c>
      <c r="DH155" s="77">
        <f t="shared" si="109"/>
        <v>2.698</v>
      </c>
      <c r="DI155" s="77">
        <f t="shared" si="109"/>
        <v>2.7130000000000001</v>
      </c>
      <c r="DJ155" s="77">
        <f t="shared" si="109"/>
        <v>2.7269999999999999</v>
      </c>
      <c r="DK155" s="77">
        <f t="shared" si="109"/>
        <v>2.7410000000000001</v>
      </c>
      <c r="DL155" s="77">
        <f t="shared" si="109"/>
        <v>2.754</v>
      </c>
      <c r="DM155" s="77">
        <f t="shared" si="109"/>
        <v>2.7669999999999999</v>
      </c>
      <c r="DN155" s="77">
        <f t="shared" si="109"/>
        <v>2.78</v>
      </c>
      <c r="DO155" s="77">
        <f t="shared" si="109"/>
        <v>2.7919999999999998</v>
      </c>
      <c r="DP155" s="77">
        <f t="shared" si="109"/>
        <v>2.8029999999999999</v>
      </c>
      <c r="DQ155" s="77">
        <f t="shared" si="109"/>
        <v>2.8159999999999998</v>
      </c>
      <c r="DR155" s="77">
        <f t="shared" si="109"/>
        <v>2.8279999999999998</v>
      </c>
      <c r="DS155" s="77">
        <f t="shared" si="109"/>
        <v>2.8420000000000001</v>
      </c>
      <c r="DT155" s="77">
        <f t="shared" si="109"/>
        <v>2.855</v>
      </c>
      <c r="DU155" s="77">
        <f t="shared" si="108"/>
        <v>2.867</v>
      </c>
      <c r="DV155" s="77">
        <f t="shared" si="108"/>
        <v>2.879</v>
      </c>
      <c r="DW155" s="77">
        <f t="shared" si="108"/>
        <v>2.891</v>
      </c>
      <c r="DX155" s="77">
        <f t="shared" si="108"/>
        <v>2.903</v>
      </c>
      <c r="DY155" s="77">
        <f t="shared" si="108"/>
        <v>2.9140000000000001</v>
      </c>
      <c r="DZ155" s="77">
        <f t="shared" si="108"/>
        <v>2.9249999999999998</v>
      </c>
      <c r="EA155" s="77">
        <f t="shared" si="74"/>
        <v>2.9350000000000001</v>
      </c>
      <c r="EB155" s="77">
        <f t="shared" si="74"/>
        <v>2.9460000000000002</v>
      </c>
      <c r="EC155" s="77">
        <f t="shared" si="74"/>
        <v>2.9550000000000001</v>
      </c>
      <c r="ED155" s="77">
        <f t="shared" si="74"/>
        <v>2.9649999999999999</v>
      </c>
      <c r="EE155" s="77">
        <f t="shared" si="74"/>
        <v>2.9740000000000002</v>
      </c>
      <c r="EF155" s="77">
        <f t="shared" si="72"/>
        <v>2.9830000000000001</v>
      </c>
      <c r="EG155" s="77">
        <f t="shared" si="72"/>
        <v>2.9910000000000001</v>
      </c>
    </row>
    <row r="156" spans="1:137" ht="12.75" customHeight="1">
      <c r="A156" s="87">
        <v>154</v>
      </c>
      <c r="B156" s="88">
        <f t="shared" si="107"/>
        <v>2.6569999999999969</v>
      </c>
      <c r="C156" s="88">
        <f t="shared" si="107"/>
        <v>2.6729999999999969</v>
      </c>
      <c r="D156" s="88">
        <f t="shared" si="107"/>
        <v>2.6879999999999971</v>
      </c>
      <c r="E156" s="88">
        <f t="shared" si="110"/>
        <v>2.7039999999999971</v>
      </c>
      <c r="F156" s="88">
        <f t="shared" si="110"/>
        <v>2.7189999999999968</v>
      </c>
      <c r="G156" s="88">
        <f t="shared" si="110"/>
        <v>2.732999999999997</v>
      </c>
      <c r="H156" s="88">
        <f t="shared" si="110"/>
        <v>2.7469999999999968</v>
      </c>
      <c r="I156" s="88">
        <f t="shared" si="110"/>
        <v>2.7599999999999967</v>
      </c>
      <c r="J156" s="88">
        <f t="shared" si="110"/>
        <v>2.772999999999997</v>
      </c>
      <c r="K156" s="88">
        <f t="shared" si="110"/>
        <v>2.7859999999999969</v>
      </c>
      <c r="L156" s="88">
        <f t="shared" si="110"/>
        <v>2.7979999999999969</v>
      </c>
      <c r="M156" s="88">
        <f t="shared" si="110"/>
        <v>2.8089999999999971</v>
      </c>
      <c r="N156" s="88">
        <f t="shared" si="110"/>
        <v>2.821999999999997</v>
      </c>
      <c r="O156" s="88">
        <f t="shared" si="110"/>
        <v>2.833999999999997</v>
      </c>
      <c r="P156" s="88">
        <f t="shared" si="110"/>
        <v>2.8479999999999968</v>
      </c>
      <c r="Q156" s="88">
        <f t="shared" si="110"/>
        <v>2.8609999999999967</v>
      </c>
      <c r="R156" s="88">
        <f t="shared" si="110"/>
        <v>2.8729999999999967</v>
      </c>
      <c r="S156" s="88">
        <f t="shared" si="110"/>
        <v>2.8849999999999967</v>
      </c>
      <c r="T156" s="88">
        <f t="shared" si="110"/>
        <v>2.8969999999999967</v>
      </c>
      <c r="U156" s="88">
        <f t="shared" si="110"/>
        <v>2.9089999999999967</v>
      </c>
      <c r="V156" s="88">
        <f t="shared" si="110"/>
        <v>2.9199999999999968</v>
      </c>
      <c r="W156" s="88">
        <f t="shared" si="110"/>
        <v>2.9309999999999969</v>
      </c>
      <c r="X156" s="88">
        <f t="shared" si="110"/>
        <v>2.9409999999999967</v>
      </c>
      <c r="Y156" s="88">
        <f t="shared" si="110"/>
        <v>2.9519999999999968</v>
      </c>
      <c r="Z156" s="88">
        <f t="shared" si="110"/>
        <v>2.9609999999999967</v>
      </c>
      <c r="AA156" s="88">
        <f t="shared" si="110"/>
        <v>2.970999999999997</v>
      </c>
      <c r="AB156" s="88">
        <f t="shared" si="110"/>
        <v>2.9799999999999969</v>
      </c>
      <c r="AC156" s="88">
        <f t="shared" si="110"/>
        <v>2.9889999999999968</v>
      </c>
      <c r="AD156" s="89">
        <f t="shared" si="110"/>
        <v>2.9969999999999968</v>
      </c>
      <c r="AE156" s="90"/>
      <c r="AF156" s="90"/>
      <c r="AG156" s="90"/>
      <c r="AH156" s="90"/>
      <c r="AI156" s="90"/>
      <c r="AJ156" s="90"/>
      <c r="AK156" s="90"/>
      <c r="AL156" s="90"/>
      <c r="AM156" s="90"/>
      <c r="AN156" s="90"/>
      <c r="AO156" s="90"/>
      <c r="AP156" s="90"/>
      <c r="AQ156" s="90"/>
      <c r="AR156" s="90"/>
      <c r="AS156" s="90"/>
      <c r="BZ156" s="63" t="str">
        <f t="shared" si="77"/>
        <v>4154</v>
      </c>
      <c r="CA156" s="63" t="str">
        <f t="shared" si="76"/>
        <v>5154</v>
      </c>
      <c r="CB156" s="63" t="str">
        <f t="shared" si="78"/>
        <v>6154</v>
      </c>
      <c r="CC156" s="63" t="str">
        <f t="shared" si="79"/>
        <v>7154</v>
      </c>
      <c r="CD156" s="63" t="str">
        <f t="shared" si="80"/>
        <v>8154</v>
      </c>
      <c r="CE156" s="63" t="str">
        <f t="shared" si="81"/>
        <v>9154</v>
      </c>
      <c r="CF156" s="63" t="str">
        <f t="shared" si="82"/>
        <v>10154</v>
      </c>
      <c r="CG156" s="63" t="str">
        <f t="shared" si="83"/>
        <v>11154</v>
      </c>
      <c r="CH156" s="63" t="str">
        <f t="shared" si="84"/>
        <v>12154</v>
      </c>
      <c r="CI156" s="63" t="str">
        <f t="shared" si="85"/>
        <v>13154</v>
      </c>
      <c r="CJ156" s="63" t="str">
        <f t="shared" si="86"/>
        <v>14154</v>
      </c>
      <c r="CK156" s="63" t="str">
        <f t="shared" si="87"/>
        <v>15154</v>
      </c>
      <c r="CL156" s="63" t="str">
        <f t="shared" si="88"/>
        <v>16154</v>
      </c>
      <c r="CM156" s="63" t="str">
        <f t="shared" si="89"/>
        <v>17154</v>
      </c>
      <c r="CN156" s="63" t="str">
        <f t="shared" si="90"/>
        <v>18154</v>
      </c>
      <c r="CO156" s="63" t="str">
        <f t="shared" si="91"/>
        <v>19154</v>
      </c>
      <c r="CP156" s="63" t="str">
        <f t="shared" si="92"/>
        <v>20154</v>
      </c>
      <c r="CQ156" s="63" t="str">
        <f t="shared" si="93"/>
        <v>21154</v>
      </c>
      <c r="CR156" s="63" t="str">
        <f t="shared" si="94"/>
        <v>22154</v>
      </c>
      <c r="CS156" s="63" t="str">
        <f t="shared" si="95"/>
        <v>23154</v>
      </c>
      <c r="CT156" s="63" t="str">
        <f t="shared" si="96"/>
        <v>24154</v>
      </c>
      <c r="CU156" s="63" t="str">
        <f t="shared" si="97"/>
        <v>25154</v>
      </c>
      <c r="CV156" s="63" t="str">
        <f t="shared" si="98"/>
        <v>26154</v>
      </c>
      <c r="CW156" s="63" t="str">
        <f t="shared" si="99"/>
        <v>27154</v>
      </c>
      <c r="CX156" s="63" t="str">
        <f t="shared" si="100"/>
        <v>28154</v>
      </c>
      <c r="CY156" s="63" t="str">
        <f t="shared" si="101"/>
        <v>29154</v>
      </c>
      <c r="CZ156" s="63" t="str">
        <f t="shared" si="102"/>
        <v>30154</v>
      </c>
      <c r="DA156" s="63" t="str">
        <f t="shared" si="103"/>
        <v>31154</v>
      </c>
      <c r="DB156" s="63" t="str">
        <f t="shared" si="104"/>
        <v>32154</v>
      </c>
      <c r="DD156" s="72" t="s">
        <v>284</v>
      </c>
      <c r="DE156" s="92">
        <f t="shared" si="111"/>
        <v>2.657</v>
      </c>
      <c r="DF156" s="92">
        <f t="shared" si="111"/>
        <v>2.673</v>
      </c>
      <c r="DG156" s="77">
        <f t="shared" si="109"/>
        <v>2.6880000000000002</v>
      </c>
      <c r="DH156" s="77">
        <f t="shared" si="109"/>
        <v>2.7040000000000002</v>
      </c>
      <c r="DI156" s="77">
        <f t="shared" si="109"/>
        <v>2.7189999999999999</v>
      </c>
      <c r="DJ156" s="77">
        <f t="shared" si="109"/>
        <v>2.7330000000000001</v>
      </c>
      <c r="DK156" s="77">
        <f t="shared" si="109"/>
        <v>2.7469999999999999</v>
      </c>
      <c r="DL156" s="77">
        <f t="shared" si="109"/>
        <v>2.76</v>
      </c>
      <c r="DM156" s="77">
        <f t="shared" si="109"/>
        <v>2.7730000000000001</v>
      </c>
      <c r="DN156" s="77">
        <f t="shared" si="109"/>
        <v>2.786</v>
      </c>
      <c r="DO156" s="77">
        <f t="shared" si="109"/>
        <v>2.798</v>
      </c>
      <c r="DP156" s="77">
        <f t="shared" si="109"/>
        <v>2.8090000000000002</v>
      </c>
      <c r="DQ156" s="77">
        <f t="shared" si="109"/>
        <v>2.8220000000000001</v>
      </c>
      <c r="DR156" s="77">
        <f t="shared" si="109"/>
        <v>2.8340000000000001</v>
      </c>
      <c r="DS156" s="77">
        <f t="shared" si="109"/>
        <v>2.8479999999999999</v>
      </c>
      <c r="DT156" s="77">
        <f t="shared" si="109"/>
        <v>2.8610000000000002</v>
      </c>
      <c r="DU156" s="77">
        <f t="shared" si="108"/>
        <v>2.8730000000000002</v>
      </c>
      <c r="DV156" s="77">
        <f t="shared" si="108"/>
        <v>2.8849999999999998</v>
      </c>
      <c r="DW156" s="77">
        <f t="shared" si="108"/>
        <v>2.8969999999999998</v>
      </c>
      <c r="DX156" s="77">
        <f t="shared" si="108"/>
        <v>2.9089999999999998</v>
      </c>
      <c r="DY156" s="77">
        <f t="shared" si="108"/>
        <v>2.92</v>
      </c>
      <c r="DZ156" s="77">
        <f t="shared" si="108"/>
        <v>2.931</v>
      </c>
      <c r="EA156" s="77">
        <f t="shared" si="74"/>
        <v>2.9409999999999998</v>
      </c>
      <c r="EB156" s="77">
        <f t="shared" si="74"/>
        <v>2.952</v>
      </c>
      <c r="EC156" s="77">
        <f t="shared" si="74"/>
        <v>2.9609999999999999</v>
      </c>
      <c r="ED156" s="77">
        <f t="shared" si="74"/>
        <v>2.9710000000000001</v>
      </c>
      <c r="EE156" s="77">
        <f t="shared" si="74"/>
        <v>2.98</v>
      </c>
      <c r="EF156" s="77">
        <f t="shared" si="72"/>
        <v>2.9889999999999999</v>
      </c>
      <c r="EG156" s="77">
        <f t="shared" si="72"/>
        <v>2.9969999999999999</v>
      </c>
    </row>
    <row r="157" spans="1:137" ht="12.75" customHeight="1">
      <c r="A157" s="87">
        <v>155</v>
      </c>
      <c r="B157" s="88">
        <f t="shared" si="107"/>
        <v>2.6629999999999967</v>
      </c>
      <c r="C157" s="88">
        <f t="shared" si="107"/>
        <v>2.6789999999999967</v>
      </c>
      <c r="D157" s="88">
        <f t="shared" si="107"/>
        <v>2.6939999999999968</v>
      </c>
      <c r="E157" s="88">
        <f t="shared" si="110"/>
        <v>2.7099999999999969</v>
      </c>
      <c r="F157" s="88">
        <f t="shared" si="110"/>
        <v>2.7249999999999965</v>
      </c>
      <c r="G157" s="88">
        <f t="shared" si="110"/>
        <v>2.7389999999999968</v>
      </c>
      <c r="H157" s="88">
        <f t="shared" si="110"/>
        <v>2.7529999999999966</v>
      </c>
      <c r="I157" s="88">
        <f t="shared" si="110"/>
        <v>2.7659999999999965</v>
      </c>
      <c r="J157" s="88">
        <f t="shared" si="110"/>
        <v>2.7789999999999968</v>
      </c>
      <c r="K157" s="88">
        <f t="shared" si="110"/>
        <v>2.7919999999999967</v>
      </c>
      <c r="L157" s="88">
        <f t="shared" si="110"/>
        <v>2.8039999999999967</v>
      </c>
      <c r="M157" s="88">
        <f t="shared" si="110"/>
        <v>2.8149999999999968</v>
      </c>
      <c r="N157" s="88">
        <f t="shared" si="110"/>
        <v>2.8279999999999967</v>
      </c>
      <c r="O157" s="88">
        <f t="shared" si="110"/>
        <v>2.8399999999999967</v>
      </c>
      <c r="P157" s="88">
        <f t="shared" si="110"/>
        <v>2.8539999999999965</v>
      </c>
      <c r="Q157" s="88">
        <f t="shared" si="110"/>
        <v>2.8669999999999964</v>
      </c>
      <c r="R157" s="88">
        <f t="shared" si="110"/>
        <v>2.8789999999999965</v>
      </c>
      <c r="S157" s="88">
        <f t="shared" si="110"/>
        <v>2.8909999999999965</v>
      </c>
      <c r="T157" s="88">
        <f t="shared" si="110"/>
        <v>2.9029999999999965</v>
      </c>
      <c r="U157" s="88">
        <f t="shared" si="110"/>
        <v>2.9149999999999965</v>
      </c>
      <c r="V157" s="88">
        <f t="shared" si="110"/>
        <v>2.9259999999999966</v>
      </c>
      <c r="W157" s="88">
        <f t="shared" si="110"/>
        <v>2.9369999999999967</v>
      </c>
      <c r="X157" s="88">
        <f t="shared" si="110"/>
        <v>2.9469999999999965</v>
      </c>
      <c r="Y157" s="88">
        <f t="shared" si="110"/>
        <v>2.9579999999999966</v>
      </c>
      <c r="Z157" s="88">
        <f t="shared" si="110"/>
        <v>2.9669999999999965</v>
      </c>
      <c r="AA157" s="88">
        <f t="shared" si="110"/>
        <v>2.9769999999999968</v>
      </c>
      <c r="AB157" s="88">
        <f t="shared" si="110"/>
        <v>2.9859999999999967</v>
      </c>
      <c r="AC157" s="88">
        <f t="shared" si="110"/>
        <v>2.9949999999999966</v>
      </c>
      <c r="AD157" s="89">
        <f t="shared" si="110"/>
        <v>3.0029999999999966</v>
      </c>
      <c r="AE157" s="90"/>
      <c r="AF157" s="90"/>
      <c r="AG157" s="90"/>
      <c r="AH157" s="90"/>
      <c r="AI157" s="90"/>
      <c r="AJ157" s="90"/>
      <c r="AK157" s="90"/>
      <c r="AL157" s="90"/>
      <c r="AM157" s="90"/>
      <c r="AN157" s="90"/>
      <c r="AO157" s="90"/>
      <c r="AP157" s="90"/>
      <c r="AQ157" s="90"/>
      <c r="AR157" s="90"/>
      <c r="AS157" s="90"/>
      <c r="BZ157" s="63" t="str">
        <f t="shared" si="77"/>
        <v>4155</v>
      </c>
      <c r="CA157" s="63" t="str">
        <f t="shared" si="76"/>
        <v>5155</v>
      </c>
      <c r="CB157" s="63" t="str">
        <f t="shared" si="78"/>
        <v>6155</v>
      </c>
      <c r="CC157" s="63" t="str">
        <f t="shared" si="79"/>
        <v>7155</v>
      </c>
      <c r="CD157" s="63" t="str">
        <f t="shared" si="80"/>
        <v>8155</v>
      </c>
      <c r="CE157" s="63" t="str">
        <f t="shared" si="81"/>
        <v>9155</v>
      </c>
      <c r="CF157" s="63" t="str">
        <f t="shared" si="82"/>
        <v>10155</v>
      </c>
      <c r="CG157" s="63" t="str">
        <f t="shared" si="83"/>
        <v>11155</v>
      </c>
      <c r="CH157" s="63" t="str">
        <f t="shared" si="84"/>
        <v>12155</v>
      </c>
      <c r="CI157" s="63" t="str">
        <f t="shared" si="85"/>
        <v>13155</v>
      </c>
      <c r="CJ157" s="63" t="str">
        <f t="shared" si="86"/>
        <v>14155</v>
      </c>
      <c r="CK157" s="63" t="str">
        <f t="shared" si="87"/>
        <v>15155</v>
      </c>
      <c r="CL157" s="63" t="str">
        <f t="shared" si="88"/>
        <v>16155</v>
      </c>
      <c r="CM157" s="63" t="str">
        <f t="shared" si="89"/>
        <v>17155</v>
      </c>
      <c r="CN157" s="63" t="str">
        <f t="shared" si="90"/>
        <v>18155</v>
      </c>
      <c r="CO157" s="63" t="str">
        <f t="shared" si="91"/>
        <v>19155</v>
      </c>
      <c r="CP157" s="63" t="str">
        <f t="shared" si="92"/>
        <v>20155</v>
      </c>
      <c r="CQ157" s="63" t="str">
        <f t="shared" si="93"/>
        <v>21155</v>
      </c>
      <c r="CR157" s="63" t="str">
        <f t="shared" si="94"/>
        <v>22155</v>
      </c>
      <c r="CS157" s="63" t="str">
        <f t="shared" si="95"/>
        <v>23155</v>
      </c>
      <c r="CT157" s="63" t="str">
        <f t="shared" si="96"/>
        <v>24155</v>
      </c>
      <c r="CU157" s="63" t="str">
        <f t="shared" si="97"/>
        <v>25155</v>
      </c>
      <c r="CV157" s="63" t="str">
        <f t="shared" si="98"/>
        <v>26155</v>
      </c>
      <c r="CW157" s="63" t="str">
        <f t="shared" si="99"/>
        <v>27155</v>
      </c>
      <c r="CX157" s="63" t="str">
        <f t="shared" si="100"/>
        <v>28155</v>
      </c>
      <c r="CY157" s="63" t="str">
        <f t="shared" si="101"/>
        <v>29155</v>
      </c>
      <c r="CZ157" s="63" t="str">
        <f t="shared" si="102"/>
        <v>30155</v>
      </c>
      <c r="DA157" s="63" t="str">
        <f t="shared" si="103"/>
        <v>31155</v>
      </c>
      <c r="DB157" s="63" t="str">
        <f t="shared" si="104"/>
        <v>32155</v>
      </c>
      <c r="DD157" s="72" t="s">
        <v>285</v>
      </c>
      <c r="DE157" s="92">
        <f t="shared" si="111"/>
        <v>2.6629999999999998</v>
      </c>
      <c r="DF157" s="92">
        <f t="shared" si="111"/>
        <v>2.6789999999999998</v>
      </c>
      <c r="DG157" s="77">
        <f t="shared" si="109"/>
        <v>2.694</v>
      </c>
      <c r="DH157" s="77">
        <f t="shared" si="109"/>
        <v>2.71</v>
      </c>
      <c r="DI157" s="77">
        <f t="shared" si="109"/>
        <v>2.7250000000000001</v>
      </c>
      <c r="DJ157" s="77">
        <f t="shared" si="109"/>
        <v>2.7389999999999999</v>
      </c>
      <c r="DK157" s="77">
        <f t="shared" si="109"/>
        <v>2.7530000000000001</v>
      </c>
      <c r="DL157" s="77">
        <f t="shared" si="109"/>
        <v>2.766</v>
      </c>
      <c r="DM157" s="77">
        <f t="shared" si="109"/>
        <v>2.7789999999999999</v>
      </c>
      <c r="DN157" s="77">
        <f t="shared" si="109"/>
        <v>2.7919999999999998</v>
      </c>
      <c r="DO157" s="77">
        <f t="shared" si="109"/>
        <v>2.8039999999999998</v>
      </c>
      <c r="DP157" s="77">
        <f t="shared" si="109"/>
        <v>2.8149999999999999</v>
      </c>
      <c r="DQ157" s="77">
        <f t="shared" si="109"/>
        <v>2.8279999999999998</v>
      </c>
      <c r="DR157" s="77">
        <f t="shared" si="109"/>
        <v>2.84</v>
      </c>
      <c r="DS157" s="77">
        <f t="shared" si="109"/>
        <v>2.8540000000000001</v>
      </c>
      <c r="DT157" s="77">
        <f t="shared" si="109"/>
        <v>2.867</v>
      </c>
      <c r="DU157" s="77">
        <f t="shared" si="108"/>
        <v>2.879</v>
      </c>
      <c r="DV157" s="77">
        <f t="shared" si="108"/>
        <v>2.891</v>
      </c>
      <c r="DW157" s="77">
        <f t="shared" si="108"/>
        <v>2.903</v>
      </c>
      <c r="DX157" s="77">
        <f t="shared" si="108"/>
        <v>2.915</v>
      </c>
      <c r="DY157" s="77">
        <f t="shared" si="108"/>
        <v>2.9260000000000002</v>
      </c>
      <c r="DZ157" s="77">
        <f t="shared" si="108"/>
        <v>2.9369999999999998</v>
      </c>
      <c r="EA157" s="77">
        <f t="shared" si="74"/>
        <v>2.9470000000000001</v>
      </c>
      <c r="EB157" s="77">
        <f t="shared" si="74"/>
        <v>2.9580000000000002</v>
      </c>
      <c r="EC157" s="77">
        <f t="shared" si="74"/>
        <v>2.9670000000000001</v>
      </c>
      <c r="ED157" s="77">
        <f t="shared" si="74"/>
        <v>2.9769999999999999</v>
      </c>
      <c r="EE157" s="77">
        <f t="shared" si="74"/>
        <v>2.9860000000000002</v>
      </c>
      <c r="EF157" s="77">
        <f t="shared" si="72"/>
        <v>2.9950000000000001</v>
      </c>
      <c r="EG157" s="77">
        <f t="shared" si="72"/>
        <v>3.0030000000000001</v>
      </c>
    </row>
    <row r="158" spans="1:137" ht="12.75" customHeight="1">
      <c r="A158" s="87">
        <v>156</v>
      </c>
      <c r="B158" s="88">
        <f t="shared" si="107"/>
        <v>2.6689999999999965</v>
      </c>
      <c r="C158" s="88">
        <f t="shared" si="107"/>
        <v>2.6849999999999965</v>
      </c>
      <c r="D158" s="88">
        <f t="shared" si="107"/>
        <v>2.6999999999999966</v>
      </c>
      <c r="E158" s="88">
        <f t="shared" si="110"/>
        <v>2.7159999999999966</v>
      </c>
      <c r="F158" s="88">
        <f t="shared" si="110"/>
        <v>2.7309999999999963</v>
      </c>
      <c r="G158" s="88">
        <f t="shared" si="110"/>
        <v>2.7449999999999966</v>
      </c>
      <c r="H158" s="88">
        <f t="shared" si="110"/>
        <v>2.7589999999999963</v>
      </c>
      <c r="I158" s="88">
        <f t="shared" si="110"/>
        <v>2.7719999999999962</v>
      </c>
      <c r="J158" s="88">
        <f t="shared" si="110"/>
        <v>2.7849999999999966</v>
      </c>
      <c r="K158" s="88">
        <f t="shared" si="110"/>
        <v>2.7979999999999965</v>
      </c>
      <c r="L158" s="88">
        <f t="shared" si="110"/>
        <v>2.8099999999999965</v>
      </c>
      <c r="M158" s="88">
        <f t="shared" si="110"/>
        <v>2.8209999999999966</v>
      </c>
      <c r="N158" s="88">
        <f t="shared" si="110"/>
        <v>2.8339999999999965</v>
      </c>
      <c r="O158" s="88">
        <f t="shared" si="110"/>
        <v>2.8459999999999965</v>
      </c>
      <c r="P158" s="88">
        <f t="shared" si="110"/>
        <v>2.8599999999999963</v>
      </c>
      <c r="Q158" s="88">
        <f t="shared" si="110"/>
        <v>2.8729999999999962</v>
      </c>
      <c r="R158" s="88">
        <f t="shared" si="110"/>
        <v>2.8849999999999962</v>
      </c>
      <c r="S158" s="88">
        <f t="shared" si="110"/>
        <v>2.8969999999999962</v>
      </c>
      <c r="T158" s="88">
        <f t="shared" si="110"/>
        <v>2.9089999999999963</v>
      </c>
      <c r="U158" s="88">
        <f t="shared" si="110"/>
        <v>2.9209999999999963</v>
      </c>
      <c r="V158" s="88">
        <f t="shared" si="110"/>
        <v>2.9319999999999964</v>
      </c>
      <c r="W158" s="88">
        <f t="shared" si="110"/>
        <v>2.9429999999999965</v>
      </c>
      <c r="X158" s="88">
        <f t="shared" si="110"/>
        <v>2.9529999999999963</v>
      </c>
      <c r="Y158" s="88">
        <f t="shared" si="110"/>
        <v>2.9639999999999964</v>
      </c>
      <c r="Z158" s="88">
        <f t="shared" si="110"/>
        <v>2.9729999999999963</v>
      </c>
      <c r="AA158" s="88">
        <f t="shared" si="110"/>
        <v>2.9829999999999965</v>
      </c>
      <c r="AB158" s="88">
        <f t="shared" si="110"/>
        <v>2.9919999999999964</v>
      </c>
      <c r="AC158" s="88">
        <f t="shared" si="110"/>
        <v>3.0009999999999963</v>
      </c>
      <c r="AD158" s="89">
        <f t="shared" si="110"/>
        <v>3.0089999999999963</v>
      </c>
      <c r="AE158" s="90"/>
      <c r="AF158" s="90"/>
      <c r="AG158" s="90"/>
      <c r="AH158" s="90"/>
      <c r="AI158" s="90"/>
      <c r="AJ158" s="90"/>
      <c r="AK158" s="90"/>
      <c r="AL158" s="90"/>
      <c r="AM158" s="90"/>
      <c r="AN158" s="90"/>
      <c r="AO158" s="90"/>
      <c r="AP158" s="90"/>
      <c r="AQ158" s="90"/>
      <c r="AR158" s="90"/>
      <c r="AS158" s="90"/>
      <c r="BZ158" s="63" t="str">
        <f t="shared" si="77"/>
        <v>4156</v>
      </c>
      <c r="CA158" s="63" t="str">
        <f t="shared" si="76"/>
        <v>5156</v>
      </c>
      <c r="CB158" s="63" t="str">
        <f t="shared" si="78"/>
        <v>6156</v>
      </c>
      <c r="CC158" s="63" t="str">
        <f t="shared" si="79"/>
        <v>7156</v>
      </c>
      <c r="CD158" s="63" t="str">
        <f t="shared" si="80"/>
        <v>8156</v>
      </c>
      <c r="CE158" s="63" t="str">
        <f t="shared" si="81"/>
        <v>9156</v>
      </c>
      <c r="CF158" s="63" t="str">
        <f t="shared" si="82"/>
        <v>10156</v>
      </c>
      <c r="CG158" s="63" t="str">
        <f t="shared" si="83"/>
        <v>11156</v>
      </c>
      <c r="CH158" s="63" t="str">
        <f t="shared" si="84"/>
        <v>12156</v>
      </c>
      <c r="CI158" s="63" t="str">
        <f t="shared" si="85"/>
        <v>13156</v>
      </c>
      <c r="CJ158" s="63" t="str">
        <f t="shared" si="86"/>
        <v>14156</v>
      </c>
      <c r="CK158" s="63" t="str">
        <f t="shared" si="87"/>
        <v>15156</v>
      </c>
      <c r="CL158" s="63" t="str">
        <f t="shared" si="88"/>
        <v>16156</v>
      </c>
      <c r="CM158" s="63" t="str">
        <f t="shared" si="89"/>
        <v>17156</v>
      </c>
      <c r="CN158" s="63" t="str">
        <f t="shared" si="90"/>
        <v>18156</v>
      </c>
      <c r="CO158" s="63" t="str">
        <f t="shared" si="91"/>
        <v>19156</v>
      </c>
      <c r="CP158" s="63" t="str">
        <f t="shared" si="92"/>
        <v>20156</v>
      </c>
      <c r="CQ158" s="63" t="str">
        <f t="shared" si="93"/>
        <v>21156</v>
      </c>
      <c r="CR158" s="63" t="str">
        <f t="shared" si="94"/>
        <v>22156</v>
      </c>
      <c r="CS158" s="63" t="str">
        <f t="shared" si="95"/>
        <v>23156</v>
      </c>
      <c r="CT158" s="63" t="str">
        <f t="shared" si="96"/>
        <v>24156</v>
      </c>
      <c r="CU158" s="63" t="str">
        <f t="shared" si="97"/>
        <v>25156</v>
      </c>
      <c r="CV158" s="63" t="str">
        <f t="shared" si="98"/>
        <v>26156</v>
      </c>
      <c r="CW158" s="63" t="str">
        <f t="shared" si="99"/>
        <v>27156</v>
      </c>
      <c r="CX158" s="63" t="str">
        <f t="shared" si="100"/>
        <v>28156</v>
      </c>
      <c r="CY158" s="63" t="str">
        <f t="shared" si="101"/>
        <v>29156</v>
      </c>
      <c r="CZ158" s="63" t="str">
        <f t="shared" si="102"/>
        <v>30156</v>
      </c>
      <c r="DA158" s="63" t="str">
        <f t="shared" si="103"/>
        <v>31156</v>
      </c>
      <c r="DB158" s="63" t="str">
        <f t="shared" si="104"/>
        <v>32156</v>
      </c>
      <c r="DD158" s="72" t="s">
        <v>286</v>
      </c>
      <c r="DE158" s="92">
        <f t="shared" si="111"/>
        <v>2.669</v>
      </c>
      <c r="DF158" s="92">
        <f t="shared" si="111"/>
        <v>2.6850000000000001</v>
      </c>
      <c r="DG158" s="77">
        <f t="shared" si="109"/>
        <v>2.7</v>
      </c>
      <c r="DH158" s="77">
        <f t="shared" si="109"/>
        <v>2.7160000000000002</v>
      </c>
      <c r="DI158" s="77">
        <f t="shared" si="109"/>
        <v>2.7309999999999999</v>
      </c>
      <c r="DJ158" s="77">
        <f t="shared" si="109"/>
        <v>2.7450000000000001</v>
      </c>
      <c r="DK158" s="77">
        <f t="shared" si="109"/>
        <v>2.7589999999999999</v>
      </c>
      <c r="DL158" s="77">
        <f t="shared" si="109"/>
        <v>2.7719999999999998</v>
      </c>
      <c r="DM158" s="77">
        <f t="shared" si="109"/>
        <v>2.7850000000000001</v>
      </c>
      <c r="DN158" s="77">
        <f t="shared" si="109"/>
        <v>2.798</v>
      </c>
      <c r="DO158" s="77">
        <f t="shared" si="109"/>
        <v>2.81</v>
      </c>
      <c r="DP158" s="77">
        <f t="shared" si="109"/>
        <v>2.8210000000000002</v>
      </c>
      <c r="DQ158" s="77">
        <f t="shared" si="109"/>
        <v>2.8340000000000001</v>
      </c>
      <c r="DR158" s="77">
        <f t="shared" si="109"/>
        <v>2.8460000000000001</v>
      </c>
      <c r="DS158" s="77">
        <f t="shared" si="109"/>
        <v>2.86</v>
      </c>
      <c r="DT158" s="77">
        <f t="shared" si="109"/>
        <v>2.8730000000000002</v>
      </c>
      <c r="DU158" s="77">
        <f t="shared" si="108"/>
        <v>2.8849999999999998</v>
      </c>
      <c r="DV158" s="77">
        <f t="shared" si="108"/>
        <v>2.8969999999999998</v>
      </c>
      <c r="DW158" s="77">
        <f t="shared" si="108"/>
        <v>2.9089999999999998</v>
      </c>
      <c r="DX158" s="77">
        <f t="shared" si="108"/>
        <v>2.9209999999999998</v>
      </c>
      <c r="DY158" s="77">
        <f t="shared" si="108"/>
        <v>2.9319999999999999</v>
      </c>
      <c r="DZ158" s="77">
        <f t="shared" si="108"/>
        <v>2.9430000000000001</v>
      </c>
      <c r="EA158" s="77">
        <f t="shared" si="74"/>
        <v>2.9529999999999998</v>
      </c>
      <c r="EB158" s="77">
        <f t="shared" si="74"/>
        <v>2.964</v>
      </c>
      <c r="EC158" s="77">
        <f t="shared" si="74"/>
        <v>2.9729999999999999</v>
      </c>
      <c r="ED158" s="77">
        <f t="shared" si="74"/>
        <v>2.9830000000000001</v>
      </c>
      <c r="EE158" s="77">
        <f t="shared" si="74"/>
        <v>2.992</v>
      </c>
      <c r="EF158" s="77">
        <f t="shared" si="72"/>
        <v>3.0009999999999999</v>
      </c>
      <c r="EG158" s="77">
        <f t="shared" si="72"/>
        <v>3.0089999999999999</v>
      </c>
    </row>
    <row r="159" spans="1:137" ht="12.75" customHeight="1">
      <c r="A159" s="87">
        <v>157</v>
      </c>
      <c r="B159" s="88">
        <f t="shared" si="107"/>
        <v>2.6749999999999963</v>
      </c>
      <c r="C159" s="88">
        <f t="shared" si="107"/>
        <v>2.6909999999999963</v>
      </c>
      <c r="D159" s="88">
        <f t="shared" si="107"/>
        <v>2.7059999999999964</v>
      </c>
      <c r="E159" s="88">
        <f t="shared" si="110"/>
        <v>2.7219999999999964</v>
      </c>
      <c r="F159" s="88">
        <f t="shared" si="110"/>
        <v>2.7369999999999961</v>
      </c>
      <c r="G159" s="88">
        <f t="shared" si="110"/>
        <v>2.7509999999999963</v>
      </c>
      <c r="H159" s="88">
        <f t="shared" si="110"/>
        <v>2.7649999999999961</v>
      </c>
      <c r="I159" s="88">
        <f t="shared" si="110"/>
        <v>2.777999999999996</v>
      </c>
      <c r="J159" s="88">
        <f t="shared" si="110"/>
        <v>2.7909999999999964</v>
      </c>
      <c r="K159" s="88">
        <f t="shared" si="110"/>
        <v>2.8039999999999963</v>
      </c>
      <c r="L159" s="88">
        <f t="shared" si="110"/>
        <v>2.8159999999999963</v>
      </c>
      <c r="M159" s="88">
        <f t="shared" si="110"/>
        <v>2.8269999999999964</v>
      </c>
      <c r="N159" s="88">
        <f t="shared" si="110"/>
        <v>2.8399999999999963</v>
      </c>
      <c r="O159" s="88">
        <f t="shared" si="110"/>
        <v>2.8519999999999963</v>
      </c>
      <c r="P159" s="88">
        <f t="shared" si="110"/>
        <v>2.8659999999999961</v>
      </c>
      <c r="Q159" s="88">
        <f t="shared" si="110"/>
        <v>2.878999999999996</v>
      </c>
      <c r="R159" s="88">
        <f t="shared" si="110"/>
        <v>2.890999999999996</v>
      </c>
      <c r="S159" s="88">
        <f t="shared" si="110"/>
        <v>2.902999999999996</v>
      </c>
      <c r="T159" s="88">
        <f t="shared" si="110"/>
        <v>2.914999999999996</v>
      </c>
      <c r="U159" s="88">
        <f t="shared" si="110"/>
        <v>2.926999999999996</v>
      </c>
      <c r="V159" s="88">
        <f t="shared" si="110"/>
        <v>2.9379999999999962</v>
      </c>
      <c r="W159" s="88">
        <f t="shared" si="110"/>
        <v>2.9489999999999963</v>
      </c>
      <c r="X159" s="88">
        <f t="shared" si="110"/>
        <v>2.9589999999999961</v>
      </c>
      <c r="Y159" s="88">
        <f t="shared" si="110"/>
        <v>2.9699999999999962</v>
      </c>
      <c r="Z159" s="88">
        <f t="shared" si="110"/>
        <v>2.9789999999999961</v>
      </c>
      <c r="AA159" s="88">
        <f t="shared" si="110"/>
        <v>2.9889999999999963</v>
      </c>
      <c r="AB159" s="88">
        <f t="shared" si="110"/>
        <v>2.9979999999999962</v>
      </c>
      <c r="AC159" s="88">
        <f t="shared" si="110"/>
        <v>3.0069999999999961</v>
      </c>
      <c r="AD159" s="89">
        <f t="shared" si="110"/>
        <v>3.0149999999999961</v>
      </c>
      <c r="AE159" s="90"/>
      <c r="AF159" s="90"/>
      <c r="AG159" s="90"/>
      <c r="AH159" s="90"/>
      <c r="AI159" s="90"/>
      <c r="AJ159" s="90"/>
      <c r="AK159" s="90"/>
      <c r="AL159" s="90"/>
      <c r="AM159" s="90"/>
      <c r="AN159" s="90"/>
      <c r="AO159" s="90"/>
      <c r="AP159" s="90"/>
      <c r="AQ159" s="90"/>
      <c r="AR159" s="90"/>
      <c r="AS159" s="90"/>
      <c r="BZ159" s="63" t="str">
        <f t="shared" si="77"/>
        <v>4157</v>
      </c>
      <c r="CA159" s="63" t="str">
        <f t="shared" si="76"/>
        <v>5157</v>
      </c>
      <c r="CB159" s="63" t="str">
        <f t="shared" si="78"/>
        <v>6157</v>
      </c>
      <c r="CC159" s="63" t="str">
        <f t="shared" si="79"/>
        <v>7157</v>
      </c>
      <c r="CD159" s="63" t="str">
        <f t="shared" si="80"/>
        <v>8157</v>
      </c>
      <c r="CE159" s="63" t="str">
        <f t="shared" si="81"/>
        <v>9157</v>
      </c>
      <c r="CF159" s="63" t="str">
        <f t="shared" si="82"/>
        <v>10157</v>
      </c>
      <c r="CG159" s="63" t="str">
        <f t="shared" si="83"/>
        <v>11157</v>
      </c>
      <c r="CH159" s="63" t="str">
        <f t="shared" si="84"/>
        <v>12157</v>
      </c>
      <c r="CI159" s="63" t="str">
        <f t="shared" si="85"/>
        <v>13157</v>
      </c>
      <c r="CJ159" s="63" t="str">
        <f t="shared" si="86"/>
        <v>14157</v>
      </c>
      <c r="CK159" s="63" t="str">
        <f t="shared" si="87"/>
        <v>15157</v>
      </c>
      <c r="CL159" s="63" t="str">
        <f t="shared" si="88"/>
        <v>16157</v>
      </c>
      <c r="CM159" s="63" t="str">
        <f t="shared" si="89"/>
        <v>17157</v>
      </c>
      <c r="CN159" s="63" t="str">
        <f t="shared" si="90"/>
        <v>18157</v>
      </c>
      <c r="CO159" s="63" t="str">
        <f t="shared" si="91"/>
        <v>19157</v>
      </c>
      <c r="CP159" s="63" t="str">
        <f t="shared" si="92"/>
        <v>20157</v>
      </c>
      <c r="CQ159" s="63" t="str">
        <f t="shared" si="93"/>
        <v>21157</v>
      </c>
      <c r="CR159" s="63" t="str">
        <f t="shared" si="94"/>
        <v>22157</v>
      </c>
      <c r="CS159" s="63" t="str">
        <f t="shared" si="95"/>
        <v>23157</v>
      </c>
      <c r="CT159" s="63" t="str">
        <f t="shared" si="96"/>
        <v>24157</v>
      </c>
      <c r="CU159" s="63" t="str">
        <f t="shared" si="97"/>
        <v>25157</v>
      </c>
      <c r="CV159" s="63" t="str">
        <f t="shared" si="98"/>
        <v>26157</v>
      </c>
      <c r="CW159" s="63" t="str">
        <f t="shared" si="99"/>
        <v>27157</v>
      </c>
      <c r="CX159" s="63" t="str">
        <f t="shared" si="100"/>
        <v>28157</v>
      </c>
      <c r="CY159" s="63" t="str">
        <f t="shared" si="101"/>
        <v>29157</v>
      </c>
      <c r="CZ159" s="63" t="str">
        <f t="shared" si="102"/>
        <v>30157</v>
      </c>
      <c r="DA159" s="63" t="str">
        <f t="shared" si="103"/>
        <v>31157</v>
      </c>
      <c r="DB159" s="63" t="str">
        <f t="shared" si="104"/>
        <v>32157</v>
      </c>
      <c r="DD159" s="72" t="s">
        <v>287</v>
      </c>
      <c r="DE159" s="92">
        <f t="shared" si="111"/>
        <v>2.6749999999999998</v>
      </c>
      <c r="DF159" s="92">
        <f t="shared" si="111"/>
        <v>2.6909999999999998</v>
      </c>
      <c r="DG159" s="77">
        <f t="shared" si="109"/>
        <v>2.706</v>
      </c>
      <c r="DH159" s="77">
        <f t="shared" si="109"/>
        <v>2.722</v>
      </c>
      <c r="DI159" s="77">
        <f t="shared" si="109"/>
        <v>2.7370000000000001</v>
      </c>
      <c r="DJ159" s="77">
        <f t="shared" si="109"/>
        <v>2.7509999999999999</v>
      </c>
      <c r="DK159" s="77">
        <f t="shared" si="109"/>
        <v>2.7650000000000001</v>
      </c>
      <c r="DL159" s="77">
        <f t="shared" si="109"/>
        <v>2.778</v>
      </c>
      <c r="DM159" s="77">
        <f t="shared" si="109"/>
        <v>2.7909999999999999</v>
      </c>
      <c r="DN159" s="77">
        <f t="shared" si="109"/>
        <v>2.8039999999999998</v>
      </c>
      <c r="DO159" s="77">
        <f t="shared" si="109"/>
        <v>2.8159999999999998</v>
      </c>
      <c r="DP159" s="77">
        <f t="shared" si="109"/>
        <v>2.827</v>
      </c>
      <c r="DQ159" s="77">
        <f t="shared" si="109"/>
        <v>2.84</v>
      </c>
      <c r="DR159" s="77">
        <f t="shared" si="109"/>
        <v>2.8519999999999999</v>
      </c>
      <c r="DS159" s="77">
        <f t="shared" si="109"/>
        <v>2.8660000000000001</v>
      </c>
      <c r="DT159" s="77">
        <f t="shared" si="109"/>
        <v>2.879</v>
      </c>
      <c r="DU159" s="77">
        <f t="shared" si="108"/>
        <v>2.891</v>
      </c>
      <c r="DV159" s="77">
        <f t="shared" si="108"/>
        <v>2.903</v>
      </c>
      <c r="DW159" s="77">
        <f t="shared" si="108"/>
        <v>2.915</v>
      </c>
      <c r="DX159" s="77">
        <f t="shared" si="108"/>
        <v>2.927</v>
      </c>
      <c r="DY159" s="77">
        <f t="shared" si="108"/>
        <v>2.9380000000000002</v>
      </c>
      <c r="DZ159" s="77">
        <f t="shared" si="108"/>
        <v>2.9489999999999998</v>
      </c>
      <c r="EA159" s="77">
        <f t="shared" si="74"/>
        <v>2.9590000000000001</v>
      </c>
      <c r="EB159" s="77">
        <f t="shared" si="74"/>
        <v>2.97</v>
      </c>
      <c r="EC159" s="77">
        <f t="shared" si="74"/>
        <v>2.9790000000000001</v>
      </c>
      <c r="ED159" s="77">
        <f t="shared" si="74"/>
        <v>2.9889999999999999</v>
      </c>
      <c r="EE159" s="77">
        <f t="shared" si="74"/>
        <v>2.9980000000000002</v>
      </c>
      <c r="EF159" s="77">
        <f t="shared" si="74"/>
        <v>3.0070000000000001</v>
      </c>
      <c r="EG159" s="77">
        <f t="shared" si="74"/>
        <v>3.0150000000000001</v>
      </c>
    </row>
    <row r="160" spans="1:137" ht="12.75" customHeight="1">
      <c r="A160" s="87">
        <v>158</v>
      </c>
      <c r="B160" s="88">
        <f t="shared" ref="B160:D172" si="112">+B159+0.006</f>
        <v>2.6809999999999961</v>
      </c>
      <c r="C160" s="88">
        <f t="shared" si="112"/>
        <v>2.6969999999999961</v>
      </c>
      <c r="D160" s="88">
        <f t="shared" si="112"/>
        <v>2.7119999999999962</v>
      </c>
      <c r="E160" s="88">
        <f t="shared" si="110"/>
        <v>2.7279999999999962</v>
      </c>
      <c r="F160" s="88">
        <f t="shared" si="110"/>
        <v>2.7429999999999959</v>
      </c>
      <c r="G160" s="88">
        <f t="shared" si="110"/>
        <v>2.7569999999999961</v>
      </c>
      <c r="H160" s="88">
        <f t="shared" si="110"/>
        <v>2.7709999999999959</v>
      </c>
      <c r="I160" s="88">
        <f t="shared" si="110"/>
        <v>2.7839999999999958</v>
      </c>
      <c r="J160" s="88">
        <f t="shared" si="110"/>
        <v>2.7969999999999962</v>
      </c>
      <c r="K160" s="88">
        <f t="shared" si="110"/>
        <v>2.8099999999999961</v>
      </c>
      <c r="L160" s="88">
        <f t="shared" si="110"/>
        <v>2.8219999999999961</v>
      </c>
      <c r="M160" s="88">
        <f t="shared" si="110"/>
        <v>2.8329999999999962</v>
      </c>
      <c r="N160" s="88">
        <f t="shared" si="110"/>
        <v>2.8459999999999961</v>
      </c>
      <c r="O160" s="88">
        <f t="shared" si="110"/>
        <v>2.8579999999999961</v>
      </c>
      <c r="P160" s="88">
        <f t="shared" si="110"/>
        <v>2.8719999999999959</v>
      </c>
      <c r="Q160" s="88">
        <f t="shared" si="110"/>
        <v>2.8849999999999958</v>
      </c>
      <c r="R160" s="88">
        <f t="shared" si="110"/>
        <v>2.8969999999999958</v>
      </c>
      <c r="S160" s="88">
        <f t="shared" si="110"/>
        <v>2.9089999999999958</v>
      </c>
      <c r="T160" s="88">
        <f t="shared" si="110"/>
        <v>2.9209999999999958</v>
      </c>
      <c r="U160" s="88">
        <f t="shared" si="110"/>
        <v>2.9329999999999958</v>
      </c>
      <c r="V160" s="88">
        <f t="shared" si="110"/>
        <v>2.943999999999996</v>
      </c>
      <c r="W160" s="88">
        <f t="shared" si="110"/>
        <v>2.9549999999999961</v>
      </c>
      <c r="X160" s="88">
        <f t="shared" si="110"/>
        <v>2.9649999999999959</v>
      </c>
      <c r="Y160" s="88">
        <f t="shared" si="110"/>
        <v>2.975999999999996</v>
      </c>
      <c r="Z160" s="88">
        <f t="shared" si="110"/>
        <v>2.9849999999999959</v>
      </c>
      <c r="AA160" s="88">
        <f t="shared" si="110"/>
        <v>2.9949999999999961</v>
      </c>
      <c r="AB160" s="88">
        <f t="shared" si="110"/>
        <v>3.003999999999996</v>
      </c>
      <c r="AC160" s="88">
        <f t="shared" si="110"/>
        <v>3.0129999999999959</v>
      </c>
      <c r="AD160" s="89">
        <f t="shared" si="110"/>
        <v>3.0209999999999959</v>
      </c>
      <c r="AE160" s="90"/>
      <c r="AF160" s="90"/>
      <c r="AG160" s="90"/>
      <c r="AH160" s="90"/>
      <c r="AI160" s="90"/>
      <c r="AJ160" s="90"/>
      <c r="AK160" s="90"/>
      <c r="AL160" s="90"/>
      <c r="AM160" s="90"/>
      <c r="AN160" s="90"/>
      <c r="AO160" s="90"/>
      <c r="AP160" s="90"/>
      <c r="AQ160" s="90"/>
      <c r="AR160" s="90"/>
      <c r="AS160" s="90"/>
      <c r="BZ160" s="63" t="str">
        <f t="shared" si="77"/>
        <v>4158</v>
      </c>
      <c r="CA160" s="63" t="str">
        <f t="shared" si="76"/>
        <v>5158</v>
      </c>
      <c r="CB160" s="63" t="str">
        <f t="shared" si="78"/>
        <v>6158</v>
      </c>
      <c r="CC160" s="63" t="str">
        <f t="shared" si="79"/>
        <v>7158</v>
      </c>
      <c r="CD160" s="63" t="str">
        <f t="shared" si="80"/>
        <v>8158</v>
      </c>
      <c r="CE160" s="63" t="str">
        <f t="shared" si="81"/>
        <v>9158</v>
      </c>
      <c r="CF160" s="63" t="str">
        <f t="shared" si="82"/>
        <v>10158</v>
      </c>
      <c r="CG160" s="63" t="str">
        <f t="shared" si="83"/>
        <v>11158</v>
      </c>
      <c r="CH160" s="63" t="str">
        <f t="shared" si="84"/>
        <v>12158</v>
      </c>
      <c r="CI160" s="63" t="str">
        <f t="shared" si="85"/>
        <v>13158</v>
      </c>
      <c r="CJ160" s="63" t="str">
        <f t="shared" si="86"/>
        <v>14158</v>
      </c>
      <c r="CK160" s="63" t="str">
        <f t="shared" si="87"/>
        <v>15158</v>
      </c>
      <c r="CL160" s="63" t="str">
        <f t="shared" si="88"/>
        <v>16158</v>
      </c>
      <c r="CM160" s="63" t="str">
        <f t="shared" si="89"/>
        <v>17158</v>
      </c>
      <c r="CN160" s="63" t="str">
        <f t="shared" si="90"/>
        <v>18158</v>
      </c>
      <c r="CO160" s="63" t="str">
        <f t="shared" si="91"/>
        <v>19158</v>
      </c>
      <c r="CP160" s="63" t="str">
        <f t="shared" si="92"/>
        <v>20158</v>
      </c>
      <c r="CQ160" s="63" t="str">
        <f t="shared" si="93"/>
        <v>21158</v>
      </c>
      <c r="CR160" s="63" t="str">
        <f t="shared" si="94"/>
        <v>22158</v>
      </c>
      <c r="CS160" s="63" t="str">
        <f t="shared" si="95"/>
        <v>23158</v>
      </c>
      <c r="CT160" s="63" t="str">
        <f t="shared" si="96"/>
        <v>24158</v>
      </c>
      <c r="CU160" s="63" t="str">
        <f t="shared" si="97"/>
        <v>25158</v>
      </c>
      <c r="CV160" s="63" t="str">
        <f t="shared" si="98"/>
        <v>26158</v>
      </c>
      <c r="CW160" s="63" t="str">
        <f t="shared" si="99"/>
        <v>27158</v>
      </c>
      <c r="CX160" s="63" t="str">
        <f t="shared" si="100"/>
        <v>28158</v>
      </c>
      <c r="CY160" s="63" t="str">
        <f t="shared" si="101"/>
        <v>29158</v>
      </c>
      <c r="CZ160" s="63" t="str">
        <f t="shared" si="102"/>
        <v>30158</v>
      </c>
      <c r="DA160" s="63" t="str">
        <f t="shared" si="103"/>
        <v>31158</v>
      </c>
      <c r="DB160" s="63" t="str">
        <f t="shared" si="104"/>
        <v>32158</v>
      </c>
      <c r="DD160" s="72" t="s">
        <v>288</v>
      </c>
      <c r="DE160" s="92">
        <f t="shared" si="111"/>
        <v>2.681</v>
      </c>
      <c r="DF160" s="92">
        <f t="shared" si="111"/>
        <v>2.6970000000000001</v>
      </c>
      <c r="DG160" s="77">
        <f t="shared" si="109"/>
        <v>2.7120000000000002</v>
      </c>
      <c r="DH160" s="77">
        <f t="shared" si="109"/>
        <v>2.7280000000000002</v>
      </c>
      <c r="DI160" s="77">
        <f t="shared" si="109"/>
        <v>2.7429999999999999</v>
      </c>
      <c r="DJ160" s="77">
        <f t="shared" si="109"/>
        <v>2.7570000000000001</v>
      </c>
      <c r="DK160" s="77">
        <f t="shared" si="109"/>
        <v>2.7709999999999999</v>
      </c>
      <c r="DL160" s="77">
        <f t="shared" si="109"/>
        <v>2.7839999999999998</v>
      </c>
      <c r="DM160" s="77">
        <f t="shared" si="109"/>
        <v>2.7970000000000002</v>
      </c>
      <c r="DN160" s="77">
        <f t="shared" si="109"/>
        <v>2.81</v>
      </c>
      <c r="DO160" s="77">
        <f t="shared" si="109"/>
        <v>2.8220000000000001</v>
      </c>
      <c r="DP160" s="77">
        <f t="shared" si="109"/>
        <v>2.8330000000000002</v>
      </c>
      <c r="DQ160" s="77">
        <f t="shared" si="109"/>
        <v>2.8460000000000001</v>
      </c>
      <c r="DR160" s="77">
        <f t="shared" si="109"/>
        <v>2.8580000000000001</v>
      </c>
      <c r="DS160" s="77">
        <f t="shared" si="109"/>
        <v>2.8719999999999999</v>
      </c>
      <c r="DT160" s="77">
        <f t="shared" si="109"/>
        <v>2.8849999999999998</v>
      </c>
      <c r="DU160" s="77">
        <f t="shared" si="108"/>
        <v>2.8969999999999998</v>
      </c>
      <c r="DV160" s="77">
        <f t="shared" si="108"/>
        <v>2.9089999999999998</v>
      </c>
      <c r="DW160" s="77">
        <f t="shared" si="108"/>
        <v>2.9209999999999998</v>
      </c>
      <c r="DX160" s="77">
        <f t="shared" si="108"/>
        <v>2.9329999999999998</v>
      </c>
      <c r="DY160" s="77">
        <f t="shared" si="108"/>
        <v>2.944</v>
      </c>
      <c r="DZ160" s="77">
        <f t="shared" si="108"/>
        <v>2.9550000000000001</v>
      </c>
      <c r="EA160" s="77">
        <f t="shared" si="74"/>
        <v>2.9649999999999999</v>
      </c>
      <c r="EB160" s="77">
        <f t="shared" si="74"/>
        <v>2.976</v>
      </c>
      <c r="EC160" s="77">
        <f t="shared" si="74"/>
        <v>2.9849999999999999</v>
      </c>
      <c r="ED160" s="77">
        <f t="shared" si="74"/>
        <v>2.9950000000000001</v>
      </c>
      <c r="EE160" s="77">
        <f t="shared" si="74"/>
        <v>3.004</v>
      </c>
      <c r="EF160" s="77">
        <f t="shared" si="74"/>
        <v>3.0129999999999999</v>
      </c>
      <c r="EG160" s="77">
        <f t="shared" si="74"/>
        <v>3.0209999999999999</v>
      </c>
    </row>
    <row r="161" spans="1:137" ht="12.75" customHeight="1">
      <c r="A161" s="87">
        <v>159</v>
      </c>
      <c r="B161" s="88">
        <f t="shared" si="112"/>
        <v>2.6869999999999958</v>
      </c>
      <c r="C161" s="88">
        <f t="shared" si="112"/>
        <v>2.7029999999999959</v>
      </c>
      <c r="D161" s="88">
        <f t="shared" si="112"/>
        <v>2.717999999999996</v>
      </c>
      <c r="E161" s="88">
        <f t="shared" si="110"/>
        <v>2.733999999999996</v>
      </c>
      <c r="F161" s="88">
        <f t="shared" si="110"/>
        <v>2.7489999999999957</v>
      </c>
      <c r="G161" s="88">
        <f t="shared" si="110"/>
        <v>2.7629999999999959</v>
      </c>
      <c r="H161" s="88">
        <f t="shared" si="110"/>
        <v>2.7769999999999957</v>
      </c>
      <c r="I161" s="88">
        <f t="shared" si="110"/>
        <v>2.7899999999999956</v>
      </c>
      <c r="J161" s="88">
        <f t="shared" si="110"/>
        <v>2.8029999999999959</v>
      </c>
      <c r="K161" s="88">
        <f t="shared" si="110"/>
        <v>2.8159999999999958</v>
      </c>
      <c r="L161" s="88">
        <f t="shared" si="110"/>
        <v>2.8279999999999959</v>
      </c>
      <c r="M161" s="88">
        <f t="shared" si="110"/>
        <v>2.838999999999996</v>
      </c>
      <c r="N161" s="88">
        <f t="shared" si="110"/>
        <v>2.8519999999999959</v>
      </c>
      <c r="O161" s="88">
        <f t="shared" si="110"/>
        <v>2.8639999999999959</v>
      </c>
      <c r="P161" s="88">
        <f t="shared" si="110"/>
        <v>2.8779999999999957</v>
      </c>
      <c r="Q161" s="88">
        <f t="shared" si="110"/>
        <v>2.8909999999999956</v>
      </c>
      <c r="R161" s="88">
        <f t="shared" si="110"/>
        <v>2.9029999999999956</v>
      </c>
      <c r="S161" s="88">
        <f t="shared" si="110"/>
        <v>2.9149999999999956</v>
      </c>
      <c r="T161" s="88">
        <f t="shared" si="110"/>
        <v>2.9269999999999956</v>
      </c>
      <c r="U161" s="88">
        <f t="shared" si="110"/>
        <v>2.9389999999999956</v>
      </c>
      <c r="V161" s="88">
        <f t="shared" si="110"/>
        <v>2.9499999999999957</v>
      </c>
      <c r="W161" s="88">
        <f t="shared" si="110"/>
        <v>2.9609999999999959</v>
      </c>
      <c r="X161" s="88">
        <f t="shared" si="110"/>
        <v>2.9709999999999956</v>
      </c>
      <c r="Y161" s="88">
        <f t="shared" si="110"/>
        <v>2.9819999999999958</v>
      </c>
      <c r="Z161" s="88">
        <f t="shared" si="110"/>
        <v>2.9909999999999957</v>
      </c>
      <c r="AA161" s="88">
        <f t="shared" si="110"/>
        <v>3.0009999999999959</v>
      </c>
      <c r="AB161" s="88">
        <f t="shared" si="110"/>
        <v>3.0099999999999958</v>
      </c>
      <c r="AC161" s="88">
        <f t="shared" si="110"/>
        <v>3.0189999999999957</v>
      </c>
      <c r="AD161" s="89">
        <f t="shared" si="110"/>
        <v>3.0269999999999957</v>
      </c>
      <c r="AE161" s="90"/>
      <c r="AF161" s="90"/>
      <c r="AG161" s="90"/>
      <c r="AH161" s="90"/>
      <c r="AI161" s="90"/>
      <c r="AJ161" s="90"/>
      <c r="AK161" s="90"/>
      <c r="AL161" s="90"/>
      <c r="AM161" s="90"/>
      <c r="AN161" s="90"/>
      <c r="AO161" s="90"/>
      <c r="AP161" s="90"/>
      <c r="AQ161" s="90"/>
      <c r="AR161" s="90"/>
      <c r="AS161" s="90"/>
      <c r="BZ161" s="63" t="str">
        <f t="shared" si="77"/>
        <v>4159</v>
      </c>
      <c r="CA161" s="63" t="str">
        <f t="shared" si="76"/>
        <v>5159</v>
      </c>
      <c r="CB161" s="63" t="str">
        <f t="shared" si="78"/>
        <v>6159</v>
      </c>
      <c r="CC161" s="63" t="str">
        <f t="shared" si="79"/>
        <v>7159</v>
      </c>
      <c r="CD161" s="63" t="str">
        <f t="shared" si="80"/>
        <v>8159</v>
      </c>
      <c r="CE161" s="63" t="str">
        <f t="shared" si="81"/>
        <v>9159</v>
      </c>
      <c r="CF161" s="63" t="str">
        <f t="shared" si="82"/>
        <v>10159</v>
      </c>
      <c r="CG161" s="63" t="str">
        <f t="shared" si="83"/>
        <v>11159</v>
      </c>
      <c r="CH161" s="63" t="str">
        <f t="shared" si="84"/>
        <v>12159</v>
      </c>
      <c r="CI161" s="63" t="str">
        <f t="shared" si="85"/>
        <v>13159</v>
      </c>
      <c r="CJ161" s="63" t="str">
        <f t="shared" si="86"/>
        <v>14159</v>
      </c>
      <c r="CK161" s="63" t="str">
        <f t="shared" si="87"/>
        <v>15159</v>
      </c>
      <c r="CL161" s="63" t="str">
        <f t="shared" si="88"/>
        <v>16159</v>
      </c>
      <c r="CM161" s="63" t="str">
        <f t="shared" si="89"/>
        <v>17159</v>
      </c>
      <c r="CN161" s="63" t="str">
        <f t="shared" si="90"/>
        <v>18159</v>
      </c>
      <c r="CO161" s="63" t="str">
        <f t="shared" si="91"/>
        <v>19159</v>
      </c>
      <c r="CP161" s="63" t="str">
        <f t="shared" si="92"/>
        <v>20159</v>
      </c>
      <c r="CQ161" s="63" t="str">
        <f t="shared" si="93"/>
        <v>21159</v>
      </c>
      <c r="CR161" s="63" t="str">
        <f t="shared" si="94"/>
        <v>22159</v>
      </c>
      <c r="CS161" s="63" t="str">
        <f t="shared" si="95"/>
        <v>23159</v>
      </c>
      <c r="CT161" s="63" t="str">
        <f t="shared" si="96"/>
        <v>24159</v>
      </c>
      <c r="CU161" s="63" t="str">
        <f t="shared" si="97"/>
        <v>25159</v>
      </c>
      <c r="CV161" s="63" t="str">
        <f t="shared" si="98"/>
        <v>26159</v>
      </c>
      <c r="CW161" s="63" t="str">
        <f t="shared" si="99"/>
        <v>27159</v>
      </c>
      <c r="CX161" s="63" t="str">
        <f t="shared" si="100"/>
        <v>28159</v>
      </c>
      <c r="CY161" s="63" t="str">
        <f t="shared" si="101"/>
        <v>29159</v>
      </c>
      <c r="CZ161" s="63" t="str">
        <f t="shared" si="102"/>
        <v>30159</v>
      </c>
      <c r="DA161" s="63" t="str">
        <f t="shared" si="103"/>
        <v>31159</v>
      </c>
      <c r="DB161" s="63" t="str">
        <f t="shared" si="104"/>
        <v>32159</v>
      </c>
      <c r="DD161" s="72" t="s">
        <v>289</v>
      </c>
      <c r="DE161" s="92">
        <f t="shared" si="111"/>
        <v>2.6869999999999998</v>
      </c>
      <c r="DF161" s="92">
        <f t="shared" si="111"/>
        <v>2.7029999999999998</v>
      </c>
      <c r="DG161" s="77">
        <f t="shared" si="109"/>
        <v>2.718</v>
      </c>
      <c r="DH161" s="77">
        <f t="shared" si="109"/>
        <v>2.734</v>
      </c>
      <c r="DI161" s="77">
        <f t="shared" si="109"/>
        <v>2.7490000000000001</v>
      </c>
      <c r="DJ161" s="77">
        <f t="shared" si="109"/>
        <v>2.7629999999999999</v>
      </c>
      <c r="DK161" s="77">
        <f t="shared" si="109"/>
        <v>2.7770000000000001</v>
      </c>
      <c r="DL161" s="77">
        <f t="shared" si="109"/>
        <v>2.79</v>
      </c>
      <c r="DM161" s="77">
        <f t="shared" si="109"/>
        <v>2.8029999999999999</v>
      </c>
      <c r="DN161" s="77">
        <f t="shared" si="109"/>
        <v>2.8159999999999998</v>
      </c>
      <c r="DO161" s="77">
        <f t="shared" si="109"/>
        <v>2.8279999999999998</v>
      </c>
      <c r="DP161" s="77">
        <f t="shared" si="109"/>
        <v>2.839</v>
      </c>
      <c r="DQ161" s="77">
        <f t="shared" si="109"/>
        <v>2.8519999999999999</v>
      </c>
      <c r="DR161" s="77">
        <f t="shared" si="109"/>
        <v>2.8639999999999999</v>
      </c>
      <c r="DS161" s="77">
        <f t="shared" si="109"/>
        <v>2.8780000000000001</v>
      </c>
      <c r="DT161" s="77">
        <f t="shared" si="109"/>
        <v>2.891</v>
      </c>
      <c r="DU161" s="77">
        <f t="shared" si="108"/>
        <v>2.903</v>
      </c>
      <c r="DV161" s="77">
        <f t="shared" si="108"/>
        <v>2.915</v>
      </c>
      <c r="DW161" s="77">
        <f t="shared" si="108"/>
        <v>2.927</v>
      </c>
      <c r="DX161" s="77">
        <f t="shared" si="108"/>
        <v>2.9390000000000001</v>
      </c>
      <c r="DY161" s="77">
        <f t="shared" si="108"/>
        <v>2.95</v>
      </c>
      <c r="DZ161" s="77">
        <f t="shared" si="108"/>
        <v>2.9609999999999999</v>
      </c>
      <c r="EA161" s="77">
        <f t="shared" si="74"/>
        <v>2.9710000000000001</v>
      </c>
      <c r="EB161" s="77">
        <f t="shared" si="74"/>
        <v>2.9820000000000002</v>
      </c>
      <c r="EC161" s="77">
        <f t="shared" si="74"/>
        <v>2.9910000000000001</v>
      </c>
      <c r="ED161" s="77">
        <f t="shared" si="74"/>
        <v>3.0009999999999999</v>
      </c>
      <c r="EE161" s="77">
        <f t="shared" si="74"/>
        <v>3.01</v>
      </c>
      <c r="EF161" s="77">
        <f t="shared" si="74"/>
        <v>3.0190000000000001</v>
      </c>
      <c r="EG161" s="77">
        <f t="shared" si="74"/>
        <v>3.0270000000000001</v>
      </c>
    </row>
    <row r="162" spans="1:137" ht="12.75" customHeight="1">
      <c r="A162" s="87">
        <v>160</v>
      </c>
      <c r="B162" s="88">
        <f t="shared" si="112"/>
        <v>2.6929999999999956</v>
      </c>
      <c r="C162" s="88">
        <f t="shared" si="112"/>
        <v>2.7089999999999956</v>
      </c>
      <c r="D162" s="88">
        <f t="shared" si="112"/>
        <v>2.7239999999999958</v>
      </c>
      <c r="E162" s="88">
        <f t="shared" si="110"/>
        <v>2.7399999999999958</v>
      </c>
      <c r="F162" s="88">
        <f t="shared" si="110"/>
        <v>2.7549999999999955</v>
      </c>
      <c r="G162" s="88">
        <f t="shared" si="110"/>
        <v>2.7689999999999957</v>
      </c>
      <c r="H162" s="88">
        <f t="shared" si="110"/>
        <v>2.7829999999999955</v>
      </c>
      <c r="I162" s="88">
        <f t="shared" si="110"/>
        <v>2.7959999999999954</v>
      </c>
      <c r="J162" s="88">
        <f t="shared" si="110"/>
        <v>2.8089999999999957</v>
      </c>
      <c r="K162" s="88">
        <f t="shared" si="110"/>
        <v>2.8219999999999956</v>
      </c>
      <c r="L162" s="88">
        <f t="shared" si="110"/>
        <v>2.8339999999999956</v>
      </c>
      <c r="M162" s="88">
        <f t="shared" si="110"/>
        <v>2.8449999999999958</v>
      </c>
      <c r="N162" s="88">
        <f t="shared" si="110"/>
        <v>2.8579999999999957</v>
      </c>
      <c r="O162" s="88">
        <f t="shared" si="110"/>
        <v>2.8699999999999957</v>
      </c>
      <c r="P162" s="88">
        <f t="shared" si="110"/>
        <v>2.8839999999999955</v>
      </c>
      <c r="Q162" s="88">
        <f t="shared" si="110"/>
        <v>2.8969999999999954</v>
      </c>
      <c r="R162" s="88">
        <f t="shared" si="110"/>
        <v>2.9089999999999954</v>
      </c>
      <c r="S162" s="88">
        <f t="shared" si="110"/>
        <v>2.9209999999999954</v>
      </c>
      <c r="T162" s="88">
        <f t="shared" si="110"/>
        <v>2.9329999999999954</v>
      </c>
      <c r="U162" s="88">
        <f t="shared" si="110"/>
        <v>2.9449999999999954</v>
      </c>
      <c r="V162" s="88">
        <f t="shared" si="110"/>
        <v>2.9559999999999955</v>
      </c>
      <c r="W162" s="88">
        <f t="shared" si="110"/>
        <v>2.9669999999999956</v>
      </c>
      <c r="X162" s="88">
        <f t="shared" si="110"/>
        <v>2.9769999999999954</v>
      </c>
      <c r="Y162" s="88">
        <f t="shared" si="110"/>
        <v>2.9879999999999955</v>
      </c>
      <c r="Z162" s="88">
        <f t="shared" si="110"/>
        <v>2.9969999999999954</v>
      </c>
      <c r="AA162" s="88">
        <f t="shared" si="110"/>
        <v>3.0069999999999957</v>
      </c>
      <c r="AB162" s="88">
        <f t="shared" si="110"/>
        <v>3.0159999999999956</v>
      </c>
      <c r="AC162" s="88">
        <f t="shared" si="110"/>
        <v>3.0249999999999955</v>
      </c>
      <c r="AD162" s="89">
        <f t="shared" si="110"/>
        <v>3.0329999999999955</v>
      </c>
      <c r="AE162" s="90"/>
      <c r="AF162" s="90"/>
      <c r="AG162" s="90"/>
      <c r="AH162" s="90"/>
      <c r="AI162" s="90"/>
      <c r="AJ162" s="90"/>
      <c r="AK162" s="90"/>
      <c r="AL162" s="90"/>
      <c r="AM162" s="90"/>
      <c r="AN162" s="90"/>
      <c r="AO162" s="90"/>
      <c r="AP162" s="90"/>
      <c r="AQ162" s="90"/>
      <c r="AR162" s="90"/>
      <c r="AS162" s="90"/>
      <c r="BZ162" s="63" t="str">
        <f t="shared" si="77"/>
        <v>4160</v>
      </c>
      <c r="CA162" s="63" t="str">
        <f t="shared" si="76"/>
        <v>5160</v>
      </c>
      <c r="CB162" s="63" t="str">
        <f t="shared" si="78"/>
        <v>6160</v>
      </c>
      <c r="CC162" s="63" t="str">
        <f t="shared" si="79"/>
        <v>7160</v>
      </c>
      <c r="CD162" s="63" t="str">
        <f t="shared" si="80"/>
        <v>8160</v>
      </c>
      <c r="CE162" s="63" t="str">
        <f t="shared" si="81"/>
        <v>9160</v>
      </c>
      <c r="CF162" s="63" t="str">
        <f t="shared" si="82"/>
        <v>10160</v>
      </c>
      <c r="CG162" s="63" t="str">
        <f t="shared" si="83"/>
        <v>11160</v>
      </c>
      <c r="CH162" s="63" t="str">
        <f t="shared" si="84"/>
        <v>12160</v>
      </c>
      <c r="CI162" s="63" t="str">
        <f t="shared" si="85"/>
        <v>13160</v>
      </c>
      <c r="CJ162" s="63" t="str">
        <f t="shared" si="86"/>
        <v>14160</v>
      </c>
      <c r="CK162" s="63" t="str">
        <f t="shared" si="87"/>
        <v>15160</v>
      </c>
      <c r="CL162" s="63" t="str">
        <f t="shared" si="88"/>
        <v>16160</v>
      </c>
      <c r="CM162" s="63" t="str">
        <f t="shared" si="89"/>
        <v>17160</v>
      </c>
      <c r="CN162" s="63" t="str">
        <f t="shared" si="90"/>
        <v>18160</v>
      </c>
      <c r="CO162" s="63" t="str">
        <f t="shared" si="91"/>
        <v>19160</v>
      </c>
      <c r="CP162" s="63" t="str">
        <f t="shared" si="92"/>
        <v>20160</v>
      </c>
      <c r="CQ162" s="63" t="str">
        <f t="shared" si="93"/>
        <v>21160</v>
      </c>
      <c r="CR162" s="63" t="str">
        <f t="shared" si="94"/>
        <v>22160</v>
      </c>
      <c r="CS162" s="63" t="str">
        <f t="shared" si="95"/>
        <v>23160</v>
      </c>
      <c r="CT162" s="63" t="str">
        <f t="shared" si="96"/>
        <v>24160</v>
      </c>
      <c r="CU162" s="63" t="str">
        <f t="shared" si="97"/>
        <v>25160</v>
      </c>
      <c r="CV162" s="63" t="str">
        <f t="shared" si="98"/>
        <v>26160</v>
      </c>
      <c r="CW162" s="63" t="str">
        <f t="shared" si="99"/>
        <v>27160</v>
      </c>
      <c r="CX162" s="63" t="str">
        <f t="shared" si="100"/>
        <v>28160</v>
      </c>
      <c r="CY162" s="63" t="str">
        <f t="shared" si="101"/>
        <v>29160</v>
      </c>
      <c r="CZ162" s="63" t="str">
        <f t="shared" si="102"/>
        <v>30160</v>
      </c>
      <c r="DA162" s="63" t="str">
        <f t="shared" si="103"/>
        <v>31160</v>
      </c>
      <c r="DB162" s="63" t="str">
        <f t="shared" si="104"/>
        <v>32160</v>
      </c>
      <c r="DD162" s="72" t="s">
        <v>290</v>
      </c>
      <c r="DE162" s="92">
        <f t="shared" si="111"/>
        <v>2.6930000000000001</v>
      </c>
      <c r="DF162" s="92">
        <f t="shared" si="111"/>
        <v>2.7090000000000001</v>
      </c>
      <c r="DG162" s="77">
        <f t="shared" si="109"/>
        <v>2.7240000000000002</v>
      </c>
      <c r="DH162" s="77">
        <f t="shared" si="109"/>
        <v>2.74</v>
      </c>
      <c r="DI162" s="77">
        <f t="shared" si="109"/>
        <v>2.7549999999999999</v>
      </c>
      <c r="DJ162" s="77">
        <f t="shared" si="109"/>
        <v>2.7690000000000001</v>
      </c>
      <c r="DK162" s="77">
        <f t="shared" si="109"/>
        <v>2.7829999999999999</v>
      </c>
      <c r="DL162" s="77">
        <f t="shared" si="109"/>
        <v>2.7959999999999998</v>
      </c>
      <c r="DM162" s="77">
        <f t="shared" si="109"/>
        <v>2.8090000000000002</v>
      </c>
      <c r="DN162" s="77">
        <f t="shared" si="109"/>
        <v>2.8220000000000001</v>
      </c>
      <c r="DO162" s="77">
        <f t="shared" si="109"/>
        <v>2.8340000000000001</v>
      </c>
      <c r="DP162" s="77">
        <f t="shared" si="109"/>
        <v>2.8450000000000002</v>
      </c>
      <c r="DQ162" s="77">
        <f t="shared" si="109"/>
        <v>2.8580000000000001</v>
      </c>
      <c r="DR162" s="77">
        <f t="shared" si="109"/>
        <v>2.87</v>
      </c>
      <c r="DS162" s="77">
        <f t="shared" si="109"/>
        <v>2.8839999999999999</v>
      </c>
      <c r="DT162" s="77">
        <f t="shared" si="109"/>
        <v>2.8969999999999998</v>
      </c>
      <c r="DU162" s="77">
        <f t="shared" ref="DU162:EE172" si="113">ROUND(R162,3)</f>
        <v>2.9089999999999998</v>
      </c>
      <c r="DV162" s="77">
        <f t="shared" si="113"/>
        <v>2.9209999999999998</v>
      </c>
      <c r="DW162" s="77">
        <f t="shared" si="113"/>
        <v>2.9329999999999998</v>
      </c>
      <c r="DX162" s="77">
        <f t="shared" si="113"/>
        <v>2.9449999999999998</v>
      </c>
      <c r="DY162" s="77">
        <f t="shared" si="113"/>
        <v>2.956</v>
      </c>
      <c r="DZ162" s="77">
        <f t="shared" si="113"/>
        <v>2.9670000000000001</v>
      </c>
      <c r="EA162" s="77">
        <f t="shared" si="74"/>
        <v>2.9769999999999999</v>
      </c>
      <c r="EB162" s="77">
        <f t="shared" si="74"/>
        <v>2.988</v>
      </c>
      <c r="EC162" s="77">
        <f t="shared" si="74"/>
        <v>2.9969999999999999</v>
      </c>
      <c r="ED162" s="77">
        <f t="shared" si="74"/>
        <v>3.0070000000000001</v>
      </c>
      <c r="EE162" s="77">
        <f t="shared" si="74"/>
        <v>3.016</v>
      </c>
      <c r="EF162" s="77">
        <f t="shared" si="74"/>
        <v>3.0249999999999999</v>
      </c>
      <c r="EG162" s="77">
        <f t="shared" si="74"/>
        <v>3.0329999999999999</v>
      </c>
    </row>
    <row r="163" spans="1:137" ht="12.75" customHeight="1">
      <c r="A163" s="87">
        <v>161</v>
      </c>
      <c r="B163" s="88">
        <f t="shared" si="112"/>
        <v>2.6989999999999954</v>
      </c>
      <c r="C163" s="88">
        <f t="shared" si="112"/>
        <v>2.7149999999999954</v>
      </c>
      <c r="D163" s="88">
        <f t="shared" si="112"/>
        <v>2.7299999999999955</v>
      </c>
      <c r="E163" s="88">
        <f t="shared" si="110"/>
        <v>2.7459999999999956</v>
      </c>
      <c r="F163" s="88">
        <f t="shared" si="110"/>
        <v>2.7609999999999952</v>
      </c>
      <c r="G163" s="88">
        <f t="shared" si="110"/>
        <v>2.7749999999999955</v>
      </c>
      <c r="H163" s="88">
        <f t="shared" si="110"/>
        <v>2.7889999999999953</v>
      </c>
      <c r="I163" s="88">
        <f t="shared" si="110"/>
        <v>2.8019999999999952</v>
      </c>
      <c r="J163" s="88">
        <f t="shared" si="110"/>
        <v>2.8149999999999955</v>
      </c>
      <c r="K163" s="88">
        <f t="shared" si="110"/>
        <v>2.8279999999999954</v>
      </c>
      <c r="L163" s="88">
        <f t="shared" si="110"/>
        <v>2.8399999999999954</v>
      </c>
      <c r="M163" s="88">
        <f t="shared" ref="E163:AD172" si="114">+M162+0.006</f>
        <v>2.8509999999999955</v>
      </c>
      <c r="N163" s="88">
        <f t="shared" si="114"/>
        <v>2.8639999999999954</v>
      </c>
      <c r="O163" s="88">
        <f t="shared" si="114"/>
        <v>2.8759999999999954</v>
      </c>
      <c r="P163" s="88">
        <f t="shared" si="114"/>
        <v>2.8899999999999952</v>
      </c>
      <c r="Q163" s="88">
        <f t="shared" si="114"/>
        <v>2.9029999999999951</v>
      </c>
      <c r="R163" s="88">
        <f t="shared" si="114"/>
        <v>2.9149999999999952</v>
      </c>
      <c r="S163" s="88">
        <f t="shared" si="114"/>
        <v>2.9269999999999952</v>
      </c>
      <c r="T163" s="88">
        <f t="shared" si="114"/>
        <v>2.9389999999999952</v>
      </c>
      <c r="U163" s="88">
        <f t="shared" si="114"/>
        <v>2.9509999999999952</v>
      </c>
      <c r="V163" s="88">
        <f t="shared" si="114"/>
        <v>2.9619999999999953</v>
      </c>
      <c r="W163" s="88">
        <f t="shared" si="114"/>
        <v>2.9729999999999954</v>
      </c>
      <c r="X163" s="88">
        <f t="shared" si="114"/>
        <v>2.9829999999999952</v>
      </c>
      <c r="Y163" s="88">
        <f t="shared" si="114"/>
        <v>2.9939999999999953</v>
      </c>
      <c r="Z163" s="88">
        <f t="shared" si="114"/>
        <v>3.0029999999999952</v>
      </c>
      <c r="AA163" s="88">
        <f t="shared" si="114"/>
        <v>3.0129999999999955</v>
      </c>
      <c r="AB163" s="88">
        <f t="shared" si="114"/>
        <v>3.0219999999999954</v>
      </c>
      <c r="AC163" s="88">
        <f t="shared" si="114"/>
        <v>3.0309999999999953</v>
      </c>
      <c r="AD163" s="89">
        <f t="shared" si="114"/>
        <v>3.0389999999999953</v>
      </c>
      <c r="AE163" s="90"/>
      <c r="AF163" s="90"/>
      <c r="AG163" s="90"/>
      <c r="AH163" s="90"/>
      <c r="AI163" s="90"/>
      <c r="AJ163" s="90"/>
      <c r="AK163" s="90"/>
      <c r="AL163" s="90"/>
      <c r="AM163" s="90"/>
      <c r="AN163" s="90"/>
      <c r="AO163" s="90"/>
      <c r="AP163" s="90"/>
      <c r="AQ163" s="90"/>
      <c r="AR163" s="90"/>
      <c r="AS163" s="90"/>
      <c r="BZ163" s="63" t="str">
        <f t="shared" si="77"/>
        <v>4161</v>
      </c>
      <c r="CA163" s="63" t="str">
        <f t="shared" si="76"/>
        <v>5161</v>
      </c>
      <c r="CB163" s="63" t="str">
        <f t="shared" si="78"/>
        <v>6161</v>
      </c>
      <c r="CC163" s="63" t="str">
        <f t="shared" si="79"/>
        <v>7161</v>
      </c>
      <c r="CD163" s="63" t="str">
        <f t="shared" si="80"/>
        <v>8161</v>
      </c>
      <c r="CE163" s="63" t="str">
        <f t="shared" si="81"/>
        <v>9161</v>
      </c>
      <c r="CF163" s="63" t="str">
        <f t="shared" si="82"/>
        <v>10161</v>
      </c>
      <c r="CG163" s="63" t="str">
        <f t="shared" si="83"/>
        <v>11161</v>
      </c>
      <c r="CH163" s="63" t="str">
        <f t="shared" si="84"/>
        <v>12161</v>
      </c>
      <c r="CI163" s="63" t="str">
        <f t="shared" si="85"/>
        <v>13161</v>
      </c>
      <c r="CJ163" s="63" t="str">
        <f t="shared" si="86"/>
        <v>14161</v>
      </c>
      <c r="CK163" s="63" t="str">
        <f t="shared" si="87"/>
        <v>15161</v>
      </c>
      <c r="CL163" s="63" t="str">
        <f t="shared" si="88"/>
        <v>16161</v>
      </c>
      <c r="CM163" s="63" t="str">
        <f t="shared" si="89"/>
        <v>17161</v>
      </c>
      <c r="CN163" s="63" t="str">
        <f t="shared" si="90"/>
        <v>18161</v>
      </c>
      <c r="CO163" s="63" t="str">
        <f t="shared" si="91"/>
        <v>19161</v>
      </c>
      <c r="CP163" s="63" t="str">
        <f t="shared" si="92"/>
        <v>20161</v>
      </c>
      <c r="CQ163" s="63" t="str">
        <f t="shared" si="93"/>
        <v>21161</v>
      </c>
      <c r="CR163" s="63" t="str">
        <f t="shared" si="94"/>
        <v>22161</v>
      </c>
      <c r="CS163" s="63" t="str">
        <f t="shared" si="95"/>
        <v>23161</v>
      </c>
      <c r="CT163" s="63" t="str">
        <f t="shared" si="96"/>
        <v>24161</v>
      </c>
      <c r="CU163" s="63" t="str">
        <f t="shared" si="97"/>
        <v>25161</v>
      </c>
      <c r="CV163" s="63" t="str">
        <f t="shared" si="98"/>
        <v>26161</v>
      </c>
      <c r="CW163" s="63" t="str">
        <f t="shared" si="99"/>
        <v>27161</v>
      </c>
      <c r="CX163" s="63" t="str">
        <f t="shared" si="100"/>
        <v>28161</v>
      </c>
      <c r="CY163" s="63" t="str">
        <f t="shared" si="101"/>
        <v>29161</v>
      </c>
      <c r="CZ163" s="63" t="str">
        <f t="shared" si="102"/>
        <v>30161</v>
      </c>
      <c r="DA163" s="63" t="str">
        <f t="shared" si="103"/>
        <v>31161</v>
      </c>
      <c r="DB163" s="63" t="str">
        <f t="shared" si="104"/>
        <v>32161</v>
      </c>
      <c r="DD163" s="72" t="s">
        <v>291</v>
      </c>
      <c r="DE163" s="92">
        <f t="shared" si="111"/>
        <v>2.6989999999999998</v>
      </c>
      <c r="DF163" s="92">
        <f t="shared" si="111"/>
        <v>2.7149999999999999</v>
      </c>
      <c r="DG163" s="77">
        <f t="shared" si="109"/>
        <v>2.73</v>
      </c>
      <c r="DH163" s="77">
        <f t="shared" si="109"/>
        <v>2.746</v>
      </c>
      <c r="DI163" s="77">
        <f t="shared" si="109"/>
        <v>2.7610000000000001</v>
      </c>
      <c r="DJ163" s="77">
        <f t="shared" si="109"/>
        <v>2.7749999999999999</v>
      </c>
      <c r="DK163" s="77">
        <f t="shared" si="109"/>
        <v>2.7890000000000001</v>
      </c>
      <c r="DL163" s="77">
        <f t="shared" si="109"/>
        <v>2.802</v>
      </c>
      <c r="DM163" s="77">
        <f t="shared" si="109"/>
        <v>2.8149999999999999</v>
      </c>
      <c r="DN163" s="77">
        <f t="shared" si="109"/>
        <v>2.8279999999999998</v>
      </c>
      <c r="DO163" s="77">
        <f t="shared" si="109"/>
        <v>2.84</v>
      </c>
      <c r="DP163" s="77">
        <f t="shared" si="109"/>
        <v>2.851</v>
      </c>
      <c r="DQ163" s="77">
        <f t="shared" si="109"/>
        <v>2.8639999999999999</v>
      </c>
      <c r="DR163" s="77">
        <f t="shared" si="109"/>
        <v>2.8759999999999999</v>
      </c>
      <c r="DS163" s="77">
        <f t="shared" si="109"/>
        <v>2.89</v>
      </c>
      <c r="DT163" s="77">
        <f t="shared" si="109"/>
        <v>2.903</v>
      </c>
      <c r="DU163" s="77">
        <f t="shared" si="113"/>
        <v>2.915</v>
      </c>
      <c r="DV163" s="77">
        <f t="shared" si="113"/>
        <v>2.927</v>
      </c>
      <c r="DW163" s="77">
        <f t="shared" si="113"/>
        <v>2.9390000000000001</v>
      </c>
      <c r="DX163" s="77">
        <f t="shared" si="113"/>
        <v>2.9510000000000001</v>
      </c>
      <c r="DY163" s="77">
        <f t="shared" si="113"/>
        <v>2.9620000000000002</v>
      </c>
      <c r="DZ163" s="77">
        <f t="shared" si="113"/>
        <v>2.9729999999999999</v>
      </c>
      <c r="EA163" s="77">
        <f t="shared" si="74"/>
        <v>2.9830000000000001</v>
      </c>
      <c r="EB163" s="77">
        <f t="shared" si="74"/>
        <v>2.9940000000000002</v>
      </c>
      <c r="EC163" s="77">
        <f t="shared" si="74"/>
        <v>3.0030000000000001</v>
      </c>
      <c r="ED163" s="77">
        <f t="shared" si="74"/>
        <v>3.0129999999999999</v>
      </c>
      <c r="EE163" s="77">
        <f t="shared" si="74"/>
        <v>3.0219999999999998</v>
      </c>
      <c r="EF163" s="77">
        <f t="shared" si="74"/>
        <v>3.0310000000000001</v>
      </c>
      <c r="EG163" s="77">
        <f t="shared" si="74"/>
        <v>3.0390000000000001</v>
      </c>
    </row>
    <row r="164" spans="1:137" ht="12.75" customHeight="1">
      <c r="A164" s="87">
        <v>162</v>
      </c>
      <c r="B164" s="88">
        <f t="shared" si="112"/>
        <v>2.7049999999999952</v>
      </c>
      <c r="C164" s="88">
        <f t="shared" si="112"/>
        <v>2.7209999999999952</v>
      </c>
      <c r="D164" s="88">
        <f t="shared" si="112"/>
        <v>2.7359999999999953</v>
      </c>
      <c r="E164" s="88">
        <f t="shared" si="114"/>
        <v>2.7519999999999953</v>
      </c>
      <c r="F164" s="88">
        <f t="shared" si="114"/>
        <v>2.766999999999995</v>
      </c>
      <c r="G164" s="88">
        <f t="shared" si="114"/>
        <v>2.7809999999999953</v>
      </c>
      <c r="H164" s="88">
        <f t="shared" si="114"/>
        <v>2.794999999999995</v>
      </c>
      <c r="I164" s="88">
        <f t="shared" si="114"/>
        <v>2.8079999999999949</v>
      </c>
      <c r="J164" s="88">
        <f t="shared" si="114"/>
        <v>2.8209999999999953</v>
      </c>
      <c r="K164" s="88">
        <f t="shared" si="114"/>
        <v>2.8339999999999952</v>
      </c>
      <c r="L164" s="88">
        <f t="shared" si="114"/>
        <v>2.8459999999999952</v>
      </c>
      <c r="M164" s="88">
        <f t="shared" si="114"/>
        <v>2.8569999999999953</v>
      </c>
      <c r="N164" s="88">
        <f t="shared" si="114"/>
        <v>2.8699999999999952</v>
      </c>
      <c r="O164" s="88">
        <f t="shared" si="114"/>
        <v>2.8819999999999952</v>
      </c>
      <c r="P164" s="88">
        <f t="shared" si="114"/>
        <v>2.895999999999995</v>
      </c>
      <c r="Q164" s="88">
        <f t="shared" si="114"/>
        <v>2.9089999999999949</v>
      </c>
      <c r="R164" s="88">
        <f t="shared" si="114"/>
        <v>2.9209999999999949</v>
      </c>
      <c r="S164" s="88">
        <f t="shared" si="114"/>
        <v>2.9329999999999949</v>
      </c>
      <c r="T164" s="88">
        <f t="shared" si="114"/>
        <v>2.944999999999995</v>
      </c>
      <c r="U164" s="88">
        <f t="shared" si="114"/>
        <v>2.956999999999995</v>
      </c>
      <c r="V164" s="88">
        <f t="shared" si="114"/>
        <v>2.9679999999999951</v>
      </c>
      <c r="W164" s="88">
        <f t="shared" si="114"/>
        <v>2.9789999999999952</v>
      </c>
      <c r="X164" s="88">
        <f t="shared" si="114"/>
        <v>2.988999999999995</v>
      </c>
      <c r="Y164" s="88">
        <f t="shared" si="114"/>
        <v>2.9999999999999951</v>
      </c>
      <c r="Z164" s="88">
        <f t="shared" si="114"/>
        <v>3.008999999999995</v>
      </c>
      <c r="AA164" s="88">
        <f t="shared" si="114"/>
        <v>3.0189999999999952</v>
      </c>
      <c r="AB164" s="88">
        <f t="shared" si="114"/>
        <v>3.0279999999999951</v>
      </c>
      <c r="AC164" s="88">
        <f t="shared" si="114"/>
        <v>3.036999999999995</v>
      </c>
      <c r="AD164" s="89">
        <f t="shared" si="114"/>
        <v>3.044999999999995</v>
      </c>
      <c r="AE164" s="90"/>
      <c r="AF164" s="90"/>
      <c r="AG164" s="90"/>
      <c r="AH164" s="90"/>
      <c r="AI164" s="90"/>
      <c r="AJ164" s="90"/>
      <c r="AK164" s="90"/>
      <c r="AL164" s="90"/>
      <c r="AM164" s="90"/>
      <c r="AN164" s="90"/>
      <c r="AO164" s="90"/>
      <c r="AP164" s="90"/>
      <c r="AQ164" s="90"/>
      <c r="AR164" s="90"/>
      <c r="AS164" s="90"/>
      <c r="BZ164" s="63" t="str">
        <f t="shared" si="77"/>
        <v>4162</v>
      </c>
      <c r="CA164" s="63" t="str">
        <f t="shared" si="76"/>
        <v>5162</v>
      </c>
      <c r="CB164" s="63" t="str">
        <f t="shared" si="78"/>
        <v>6162</v>
      </c>
      <c r="CC164" s="63" t="str">
        <f t="shared" si="79"/>
        <v>7162</v>
      </c>
      <c r="CD164" s="63" t="str">
        <f t="shared" si="80"/>
        <v>8162</v>
      </c>
      <c r="CE164" s="63" t="str">
        <f t="shared" si="81"/>
        <v>9162</v>
      </c>
      <c r="CF164" s="63" t="str">
        <f t="shared" si="82"/>
        <v>10162</v>
      </c>
      <c r="CG164" s="63" t="str">
        <f t="shared" si="83"/>
        <v>11162</v>
      </c>
      <c r="CH164" s="63" t="str">
        <f t="shared" si="84"/>
        <v>12162</v>
      </c>
      <c r="CI164" s="63" t="str">
        <f t="shared" si="85"/>
        <v>13162</v>
      </c>
      <c r="CJ164" s="63" t="str">
        <f t="shared" si="86"/>
        <v>14162</v>
      </c>
      <c r="CK164" s="63" t="str">
        <f t="shared" si="87"/>
        <v>15162</v>
      </c>
      <c r="CL164" s="63" t="str">
        <f t="shared" si="88"/>
        <v>16162</v>
      </c>
      <c r="CM164" s="63" t="str">
        <f t="shared" si="89"/>
        <v>17162</v>
      </c>
      <c r="CN164" s="63" t="str">
        <f t="shared" si="90"/>
        <v>18162</v>
      </c>
      <c r="CO164" s="63" t="str">
        <f t="shared" si="91"/>
        <v>19162</v>
      </c>
      <c r="CP164" s="63" t="str">
        <f t="shared" si="92"/>
        <v>20162</v>
      </c>
      <c r="CQ164" s="63" t="str">
        <f t="shared" si="93"/>
        <v>21162</v>
      </c>
      <c r="CR164" s="63" t="str">
        <f t="shared" si="94"/>
        <v>22162</v>
      </c>
      <c r="CS164" s="63" t="str">
        <f t="shared" si="95"/>
        <v>23162</v>
      </c>
      <c r="CT164" s="63" t="str">
        <f t="shared" si="96"/>
        <v>24162</v>
      </c>
      <c r="CU164" s="63" t="str">
        <f t="shared" si="97"/>
        <v>25162</v>
      </c>
      <c r="CV164" s="63" t="str">
        <f t="shared" si="98"/>
        <v>26162</v>
      </c>
      <c r="CW164" s="63" t="str">
        <f t="shared" si="99"/>
        <v>27162</v>
      </c>
      <c r="CX164" s="63" t="str">
        <f t="shared" si="100"/>
        <v>28162</v>
      </c>
      <c r="CY164" s="63" t="str">
        <f t="shared" si="101"/>
        <v>29162</v>
      </c>
      <c r="CZ164" s="63" t="str">
        <f t="shared" si="102"/>
        <v>30162</v>
      </c>
      <c r="DA164" s="63" t="str">
        <f t="shared" si="103"/>
        <v>31162</v>
      </c>
      <c r="DB164" s="63" t="str">
        <f t="shared" si="104"/>
        <v>32162</v>
      </c>
      <c r="DD164" s="72" t="s">
        <v>292</v>
      </c>
      <c r="DE164" s="92">
        <f t="shared" si="111"/>
        <v>2.7050000000000001</v>
      </c>
      <c r="DF164" s="92">
        <f t="shared" si="111"/>
        <v>2.7210000000000001</v>
      </c>
      <c r="DG164" s="77">
        <f t="shared" si="109"/>
        <v>2.7360000000000002</v>
      </c>
      <c r="DH164" s="77">
        <f t="shared" si="109"/>
        <v>2.7519999999999998</v>
      </c>
      <c r="DI164" s="77">
        <f t="shared" si="109"/>
        <v>2.7669999999999999</v>
      </c>
      <c r="DJ164" s="77">
        <f t="shared" si="109"/>
        <v>2.7810000000000001</v>
      </c>
      <c r="DK164" s="77">
        <f t="shared" si="109"/>
        <v>2.7949999999999999</v>
      </c>
      <c r="DL164" s="77">
        <f t="shared" si="109"/>
        <v>2.8079999999999998</v>
      </c>
      <c r="DM164" s="77">
        <f t="shared" si="109"/>
        <v>2.8210000000000002</v>
      </c>
      <c r="DN164" s="77">
        <f t="shared" si="109"/>
        <v>2.8340000000000001</v>
      </c>
      <c r="DO164" s="77">
        <f t="shared" si="109"/>
        <v>2.8460000000000001</v>
      </c>
      <c r="DP164" s="77">
        <f t="shared" si="109"/>
        <v>2.8570000000000002</v>
      </c>
      <c r="DQ164" s="77">
        <f t="shared" si="109"/>
        <v>2.87</v>
      </c>
      <c r="DR164" s="77">
        <f t="shared" si="109"/>
        <v>2.8820000000000001</v>
      </c>
      <c r="DS164" s="77">
        <f t="shared" si="109"/>
        <v>2.8959999999999999</v>
      </c>
      <c r="DT164" s="77">
        <f t="shared" si="109"/>
        <v>2.9089999999999998</v>
      </c>
      <c r="DU164" s="77">
        <f t="shared" si="113"/>
        <v>2.9209999999999998</v>
      </c>
      <c r="DV164" s="77">
        <f t="shared" si="113"/>
        <v>2.9329999999999998</v>
      </c>
      <c r="DW164" s="77">
        <f t="shared" si="113"/>
        <v>2.9449999999999998</v>
      </c>
      <c r="DX164" s="77">
        <f t="shared" si="113"/>
        <v>2.9569999999999999</v>
      </c>
      <c r="DY164" s="77">
        <f t="shared" si="113"/>
        <v>2.968</v>
      </c>
      <c r="DZ164" s="77">
        <f t="shared" si="113"/>
        <v>2.9790000000000001</v>
      </c>
      <c r="EA164" s="77">
        <f t="shared" si="74"/>
        <v>2.9889999999999999</v>
      </c>
      <c r="EB164" s="77">
        <f t="shared" si="74"/>
        <v>3</v>
      </c>
      <c r="EC164" s="77">
        <f t="shared" si="74"/>
        <v>3.0089999999999999</v>
      </c>
      <c r="ED164" s="77">
        <f t="shared" si="74"/>
        <v>3.0190000000000001</v>
      </c>
      <c r="EE164" s="77">
        <f t="shared" si="74"/>
        <v>3.028</v>
      </c>
      <c r="EF164" s="77">
        <f t="shared" ref="EF164:EG172" si="115">ROUND(AC164,3)</f>
        <v>3.0369999999999999</v>
      </c>
      <c r="EG164" s="77">
        <f t="shared" si="115"/>
        <v>3.0449999999999999</v>
      </c>
    </row>
    <row r="165" spans="1:137" ht="12.75" customHeight="1">
      <c r="A165" s="87">
        <v>163</v>
      </c>
      <c r="B165" s="88">
        <f t="shared" si="112"/>
        <v>2.710999999999995</v>
      </c>
      <c r="C165" s="88">
        <f t="shared" si="112"/>
        <v>2.726999999999995</v>
      </c>
      <c r="D165" s="88">
        <f t="shared" si="112"/>
        <v>2.7419999999999951</v>
      </c>
      <c r="E165" s="88">
        <f t="shared" si="114"/>
        <v>2.7579999999999951</v>
      </c>
      <c r="F165" s="88">
        <f t="shared" si="114"/>
        <v>2.7729999999999948</v>
      </c>
      <c r="G165" s="88">
        <f t="shared" si="114"/>
        <v>2.786999999999995</v>
      </c>
      <c r="H165" s="88">
        <f t="shared" si="114"/>
        <v>2.8009999999999948</v>
      </c>
      <c r="I165" s="88">
        <f t="shared" si="114"/>
        <v>2.8139999999999947</v>
      </c>
      <c r="J165" s="88">
        <f t="shared" si="114"/>
        <v>2.8269999999999951</v>
      </c>
      <c r="K165" s="88">
        <f t="shared" si="114"/>
        <v>2.839999999999995</v>
      </c>
      <c r="L165" s="88">
        <f t="shared" si="114"/>
        <v>2.851999999999995</v>
      </c>
      <c r="M165" s="88">
        <f t="shared" si="114"/>
        <v>2.8629999999999951</v>
      </c>
      <c r="N165" s="88">
        <f t="shared" si="114"/>
        <v>2.875999999999995</v>
      </c>
      <c r="O165" s="88">
        <f t="shared" si="114"/>
        <v>2.887999999999995</v>
      </c>
      <c r="P165" s="88">
        <f t="shared" si="114"/>
        <v>2.9019999999999948</v>
      </c>
      <c r="Q165" s="88">
        <f t="shared" si="114"/>
        <v>2.9149999999999947</v>
      </c>
      <c r="R165" s="88">
        <f t="shared" si="114"/>
        <v>2.9269999999999947</v>
      </c>
      <c r="S165" s="88">
        <f t="shared" si="114"/>
        <v>2.9389999999999947</v>
      </c>
      <c r="T165" s="88">
        <f t="shared" si="114"/>
        <v>2.9509999999999947</v>
      </c>
      <c r="U165" s="88">
        <f t="shared" si="114"/>
        <v>2.9629999999999947</v>
      </c>
      <c r="V165" s="88">
        <f t="shared" si="114"/>
        <v>2.9739999999999949</v>
      </c>
      <c r="W165" s="88">
        <f t="shared" si="114"/>
        <v>2.984999999999995</v>
      </c>
      <c r="X165" s="88">
        <f t="shared" si="114"/>
        <v>2.9949999999999948</v>
      </c>
      <c r="Y165" s="88">
        <f t="shared" si="114"/>
        <v>3.0059999999999949</v>
      </c>
      <c r="Z165" s="88">
        <f t="shared" si="114"/>
        <v>3.0149999999999948</v>
      </c>
      <c r="AA165" s="88">
        <f t="shared" si="114"/>
        <v>3.024999999999995</v>
      </c>
      <c r="AB165" s="88">
        <f t="shared" si="114"/>
        <v>3.0339999999999949</v>
      </c>
      <c r="AC165" s="88">
        <f t="shared" si="114"/>
        <v>3.0429999999999948</v>
      </c>
      <c r="AD165" s="89">
        <f t="shared" si="114"/>
        <v>3.0509999999999948</v>
      </c>
      <c r="AE165" s="90"/>
      <c r="AF165" s="90"/>
      <c r="AG165" s="90"/>
      <c r="AH165" s="90"/>
      <c r="AI165" s="90"/>
      <c r="AJ165" s="90"/>
      <c r="AK165" s="90"/>
      <c r="AL165" s="90"/>
      <c r="AM165" s="90"/>
      <c r="AN165" s="90"/>
      <c r="AO165" s="90"/>
      <c r="AP165" s="90"/>
      <c r="AQ165" s="90"/>
      <c r="AR165" s="90"/>
      <c r="AS165" s="90"/>
      <c r="BZ165" s="63" t="str">
        <f t="shared" si="77"/>
        <v>4163</v>
      </c>
      <c r="CA165" s="63" t="str">
        <f t="shared" si="76"/>
        <v>5163</v>
      </c>
      <c r="CB165" s="63" t="str">
        <f t="shared" si="78"/>
        <v>6163</v>
      </c>
      <c r="CC165" s="63" t="str">
        <f t="shared" si="79"/>
        <v>7163</v>
      </c>
      <c r="CD165" s="63" t="str">
        <f t="shared" si="80"/>
        <v>8163</v>
      </c>
      <c r="CE165" s="63" t="str">
        <f t="shared" si="81"/>
        <v>9163</v>
      </c>
      <c r="CF165" s="63" t="str">
        <f t="shared" si="82"/>
        <v>10163</v>
      </c>
      <c r="CG165" s="63" t="str">
        <f t="shared" si="83"/>
        <v>11163</v>
      </c>
      <c r="CH165" s="63" t="str">
        <f t="shared" si="84"/>
        <v>12163</v>
      </c>
      <c r="CI165" s="63" t="str">
        <f t="shared" si="85"/>
        <v>13163</v>
      </c>
      <c r="CJ165" s="63" t="str">
        <f t="shared" si="86"/>
        <v>14163</v>
      </c>
      <c r="CK165" s="63" t="str">
        <f t="shared" si="87"/>
        <v>15163</v>
      </c>
      <c r="CL165" s="63" t="str">
        <f t="shared" si="88"/>
        <v>16163</v>
      </c>
      <c r="CM165" s="63" t="str">
        <f t="shared" si="89"/>
        <v>17163</v>
      </c>
      <c r="CN165" s="63" t="str">
        <f t="shared" si="90"/>
        <v>18163</v>
      </c>
      <c r="CO165" s="63" t="str">
        <f t="shared" si="91"/>
        <v>19163</v>
      </c>
      <c r="CP165" s="63" t="str">
        <f t="shared" si="92"/>
        <v>20163</v>
      </c>
      <c r="CQ165" s="63" t="str">
        <f t="shared" si="93"/>
        <v>21163</v>
      </c>
      <c r="CR165" s="63" t="str">
        <f t="shared" si="94"/>
        <v>22163</v>
      </c>
      <c r="CS165" s="63" t="str">
        <f t="shared" si="95"/>
        <v>23163</v>
      </c>
      <c r="CT165" s="63" t="str">
        <f t="shared" si="96"/>
        <v>24163</v>
      </c>
      <c r="CU165" s="63" t="str">
        <f t="shared" si="97"/>
        <v>25163</v>
      </c>
      <c r="CV165" s="63" t="str">
        <f t="shared" si="98"/>
        <v>26163</v>
      </c>
      <c r="CW165" s="63" t="str">
        <f t="shared" si="99"/>
        <v>27163</v>
      </c>
      <c r="CX165" s="63" t="str">
        <f t="shared" si="100"/>
        <v>28163</v>
      </c>
      <c r="CY165" s="63" t="str">
        <f t="shared" si="101"/>
        <v>29163</v>
      </c>
      <c r="CZ165" s="63" t="str">
        <f t="shared" si="102"/>
        <v>30163</v>
      </c>
      <c r="DA165" s="63" t="str">
        <f t="shared" si="103"/>
        <v>31163</v>
      </c>
      <c r="DB165" s="63" t="str">
        <f t="shared" si="104"/>
        <v>32163</v>
      </c>
      <c r="DD165" s="72" t="s">
        <v>293</v>
      </c>
      <c r="DE165" s="92">
        <f t="shared" si="111"/>
        <v>2.7109999999999999</v>
      </c>
      <c r="DF165" s="92">
        <f t="shared" si="111"/>
        <v>2.7269999999999999</v>
      </c>
      <c r="DG165" s="77">
        <f t="shared" si="109"/>
        <v>2.742</v>
      </c>
      <c r="DH165" s="77">
        <f t="shared" si="109"/>
        <v>2.758</v>
      </c>
      <c r="DI165" s="77">
        <f t="shared" si="109"/>
        <v>2.7730000000000001</v>
      </c>
      <c r="DJ165" s="77">
        <f t="shared" si="109"/>
        <v>2.7869999999999999</v>
      </c>
      <c r="DK165" s="77">
        <f t="shared" si="109"/>
        <v>2.8010000000000002</v>
      </c>
      <c r="DL165" s="77">
        <f t="shared" si="109"/>
        <v>2.8140000000000001</v>
      </c>
      <c r="DM165" s="77">
        <f t="shared" si="109"/>
        <v>2.827</v>
      </c>
      <c r="DN165" s="77">
        <f t="shared" si="109"/>
        <v>2.84</v>
      </c>
      <c r="DO165" s="77">
        <f t="shared" si="109"/>
        <v>2.8519999999999999</v>
      </c>
      <c r="DP165" s="77">
        <f t="shared" si="109"/>
        <v>2.863</v>
      </c>
      <c r="DQ165" s="77">
        <f t="shared" si="109"/>
        <v>2.8759999999999999</v>
      </c>
      <c r="DR165" s="77">
        <f t="shared" si="109"/>
        <v>2.8879999999999999</v>
      </c>
      <c r="DS165" s="77">
        <f t="shared" si="109"/>
        <v>2.9020000000000001</v>
      </c>
      <c r="DT165" s="77">
        <f t="shared" si="109"/>
        <v>2.915</v>
      </c>
      <c r="DU165" s="77">
        <f t="shared" si="113"/>
        <v>2.927</v>
      </c>
      <c r="DV165" s="77">
        <f t="shared" si="113"/>
        <v>2.9390000000000001</v>
      </c>
      <c r="DW165" s="77">
        <f t="shared" si="113"/>
        <v>2.9510000000000001</v>
      </c>
      <c r="DX165" s="77">
        <f t="shared" si="113"/>
        <v>2.9630000000000001</v>
      </c>
      <c r="DY165" s="77">
        <f t="shared" si="113"/>
        <v>2.9740000000000002</v>
      </c>
      <c r="DZ165" s="77">
        <f t="shared" si="113"/>
        <v>2.9849999999999999</v>
      </c>
      <c r="EA165" s="77">
        <f t="shared" si="113"/>
        <v>2.9950000000000001</v>
      </c>
      <c r="EB165" s="77">
        <f t="shared" si="113"/>
        <v>3.0059999999999998</v>
      </c>
      <c r="EC165" s="77">
        <f t="shared" si="113"/>
        <v>3.0150000000000001</v>
      </c>
      <c r="ED165" s="77">
        <f t="shared" si="113"/>
        <v>3.0249999999999999</v>
      </c>
      <c r="EE165" s="77">
        <f t="shared" si="113"/>
        <v>3.0339999999999998</v>
      </c>
      <c r="EF165" s="77">
        <f t="shared" si="115"/>
        <v>3.0430000000000001</v>
      </c>
      <c r="EG165" s="77">
        <f t="shared" si="115"/>
        <v>3.0510000000000002</v>
      </c>
    </row>
    <row r="166" spans="1:137" ht="12.75" customHeight="1">
      <c r="A166" s="87">
        <v>164</v>
      </c>
      <c r="B166" s="88">
        <f t="shared" si="112"/>
        <v>2.7169999999999948</v>
      </c>
      <c r="C166" s="88">
        <f t="shared" si="112"/>
        <v>2.7329999999999948</v>
      </c>
      <c r="D166" s="88">
        <f t="shared" si="112"/>
        <v>2.7479999999999949</v>
      </c>
      <c r="E166" s="88">
        <f t="shared" si="114"/>
        <v>2.7639999999999949</v>
      </c>
      <c r="F166" s="88">
        <f t="shared" si="114"/>
        <v>2.7789999999999946</v>
      </c>
      <c r="G166" s="88">
        <f t="shared" si="114"/>
        <v>2.7929999999999948</v>
      </c>
      <c r="H166" s="88">
        <f t="shared" si="114"/>
        <v>2.8069999999999946</v>
      </c>
      <c r="I166" s="88">
        <f t="shared" si="114"/>
        <v>2.8199999999999945</v>
      </c>
      <c r="J166" s="88">
        <f t="shared" si="114"/>
        <v>2.8329999999999949</v>
      </c>
      <c r="K166" s="88">
        <f t="shared" si="114"/>
        <v>2.8459999999999948</v>
      </c>
      <c r="L166" s="88">
        <f t="shared" si="114"/>
        <v>2.8579999999999948</v>
      </c>
      <c r="M166" s="88">
        <f t="shared" si="114"/>
        <v>2.8689999999999949</v>
      </c>
      <c r="N166" s="88">
        <f t="shared" si="114"/>
        <v>2.8819999999999948</v>
      </c>
      <c r="O166" s="88">
        <f t="shared" si="114"/>
        <v>2.8939999999999948</v>
      </c>
      <c r="P166" s="88">
        <f t="shared" si="114"/>
        <v>2.9079999999999946</v>
      </c>
      <c r="Q166" s="88">
        <f t="shared" si="114"/>
        <v>2.9209999999999945</v>
      </c>
      <c r="R166" s="88">
        <f t="shared" si="114"/>
        <v>2.9329999999999945</v>
      </c>
      <c r="S166" s="88">
        <f t="shared" si="114"/>
        <v>2.9449999999999945</v>
      </c>
      <c r="T166" s="88">
        <f t="shared" si="114"/>
        <v>2.9569999999999945</v>
      </c>
      <c r="U166" s="88">
        <f t="shared" si="114"/>
        <v>2.9689999999999945</v>
      </c>
      <c r="V166" s="88">
        <f t="shared" si="114"/>
        <v>2.9799999999999947</v>
      </c>
      <c r="W166" s="88">
        <f t="shared" si="114"/>
        <v>2.9909999999999948</v>
      </c>
      <c r="X166" s="88">
        <f t="shared" si="114"/>
        <v>3.0009999999999946</v>
      </c>
      <c r="Y166" s="88">
        <f t="shared" si="114"/>
        <v>3.0119999999999947</v>
      </c>
      <c r="Z166" s="88">
        <f t="shared" si="114"/>
        <v>3.0209999999999946</v>
      </c>
      <c r="AA166" s="88">
        <f t="shared" si="114"/>
        <v>3.0309999999999948</v>
      </c>
      <c r="AB166" s="88">
        <f t="shared" si="114"/>
        <v>3.0399999999999947</v>
      </c>
      <c r="AC166" s="88">
        <f t="shared" si="114"/>
        <v>3.0489999999999946</v>
      </c>
      <c r="AD166" s="89">
        <f t="shared" si="114"/>
        <v>3.0569999999999946</v>
      </c>
      <c r="AE166" s="90"/>
      <c r="AF166" s="90"/>
      <c r="AG166" s="90"/>
      <c r="AH166" s="90"/>
      <c r="AI166" s="90"/>
      <c r="AJ166" s="90"/>
      <c r="AK166" s="90"/>
      <c r="AL166" s="90"/>
      <c r="AM166" s="90"/>
      <c r="AN166" s="90"/>
      <c r="AO166" s="90"/>
      <c r="AP166" s="90"/>
      <c r="AQ166" s="90"/>
      <c r="AR166" s="90"/>
      <c r="AS166" s="90"/>
      <c r="BZ166" s="63" t="str">
        <f t="shared" si="77"/>
        <v>4164</v>
      </c>
      <c r="CA166" s="63" t="str">
        <f t="shared" si="76"/>
        <v>5164</v>
      </c>
      <c r="CB166" s="63" t="str">
        <f t="shared" si="78"/>
        <v>6164</v>
      </c>
      <c r="CC166" s="63" t="str">
        <f t="shared" si="79"/>
        <v>7164</v>
      </c>
      <c r="CD166" s="63" t="str">
        <f t="shared" si="80"/>
        <v>8164</v>
      </c>
      <c r="CE166" s="63" t="str">
        <f t="shared" si="81"/>
        <v>9164</v>
      </c>
      <c r="CF166" s="63" t="str">
        <f t="shared" si="82"/>
        <v>10164</v>
      </c>
      <c r="CG166" s="63" t="str">
        <f t="shared" si="83"/>
        <v>11164</v>
      </c>
      <c r="CH166" s="63" t="str">
        <f t="shared" si="84"/>
        <v>12164</v>
      </c>
      <c r="CI166" s="63" t="str">
        <f t="shared" si="85"/>
        <v>13164</v>
      </c>
      <c r="CJ166" s="63" t="str">
        <f t="shared" si="86"/>
        <v>14164</v>
      </c>
      <c r="CK166" s="63" t="str">
        <f t="shared" si="87"/>
        <v>15164</v>
      </c>
      <c r="CL166" s="63" t="str">
        <f t="shared" si="88"/>
        <v>16164</v>
      </c>
      <c r="CM166" s="63" t="str">
        <f t="shared" si="89"/>
        <v>17164</v>
      </c>
      <c r="CN166" s="63" t="str">
        <f t="shared" si="90"/>
        <v>18164</v>
      </c>
      <c r="CO166" s="63" t="str">
        <f t="shared" si="91"/>
        <v>19164</v>
      </c>
      <c r="CP166" s="63" t="str">
        <f t="shared" si="92"/>
        <v>20164</v>
      </c>
      <c r="CQ166" s="63" t="str">
        <f t="shared" si="93"/>
        <v>21164</v>
      </c>
      <c r="CR166" s="63" t="str">
        <f t="shared" si="94"/>
        <v>22164</v>
      </c>
      <c r="CS166" s="63" t="str">
        <f t="shared" si="95"/>
        <v>23164</v>
      </c>
      <c r="CT166" s="63" t="str">
        <f t="shared" si="96"/>
        <v>24164</v>
      </c>
      <c r="CU166" s="63" t="str">
        <f t="shared" si="97"/>
        <v>25164</v>
      </c>
      <c r="CV166" s="63" t="str">
        <f t="shared" si="98"/>
        <v>26164</v>
      </c>
      <c r="CW166" s="63" t="str">
        <f t="shared" si="99"/>
        <v>27164</v>
      </c>
      <c r="CX166" s="63" t="str">
        <f t="shared" si="100"/>
        <v>28164</v>
      </c>
      <c r="CY166" s="63" t="str">
        <f t="shared" si="101"/>
        <v>29164</v>
      </c>
      <c r="CZ166" s="63" t="str">
        <f t="shared" si="102"/>
        <v>30164</v>
      </c>
      <c r="DA166" s="63" t="str">
        <f t="shared" si="103"/>
        <v>31164</v>
      </c>
      <c r="DB166" s="63" t="str">
        <f t="shared" si="104"/>
        <v>32164</v>
      </c>
      <c r="DD166" s="72" t="s">
        <v>294</v>
      </c>
      <c r="DE166" s="92">
        <f t="shared" si="111"/>
        <v>2.7170000000000001</v>
      </c>
      <c r="DF166" s="92">
        <f t="shared" si="111"/>
        <v>2.7330000000000001</v>
      </c>
      <c r="DG166" s="77">
        <f t="shared" si="111"/>
        <v>2.7480000000000002</v>
      </c>
      <c r="DH166" s="77">
        <f t="shared" si="111"/>
        <v>2.7639999999999998</v>
      </c>
      <c r="DI166" s="77">
        <f t="shared" si="111"/>
        <v>2.7789999999999999</v>
      </c>
      <c r="DJ166" s="77">
        <f t="shared" si="111"/>
        <v>2.7930000000000001</v>
      </c>
      <c r="DK166" s="77">
        <f t="shared" si="111"/>
        <v>2.8069999999999999</v>
      </c>
      <c r="DL166" s="77">
        <f t="shared" si="111"/>
        <v>2.82</v>
      </c>
      <c r="DM166" s="77">
        <f t="shared" si="111"/>
        <v>2.8330000000000002</v>
      </c>
      <c r="DN166" s="77">
        <f t="shared" si="111"/>
        <v>2.8460000000000001</v>
      </c>
      <c r="DO166" s="77">
        <f t="shared" si="111"/>
        <v>2.8580000000000001</v>
      </c>
      <c r="DP166" s="77">
        <f t="shared" si="111"/>
        <v>2.8690000000000002</v>
      </c>
      <c r="DQ166" s="77">
        <f t="shared" si="111"/>
        <v>2.8820000000000001</v>
      </c>
      <c r="DR166" s="77">
        <f t="shared" si="111"/>
        <v>2.8940000000000001</v>
      </c>
      <c r="DS166" s="77">
        <f t="shared" si="111"/>
        <v>2.9079999999999999</v>
      </c>
      <c r="DT166" s="77">
        <f t="shared" si="111"/>
        <v>2.9209999999999998</v>
      </c>
      <c r="DU166" s="77">
        <f t="shared" si="113"/>
        <v>2.9329999999999998</v>
      </c>
      <c r="DV166" s="77">
        <f t="shared" si="113"/>
        <v>2.9449999999999998</v>
      </c>
      <c r="DW166" s="77">
        <f t="shared" si="113"/>
        <v>2.9569999999999999</v>
      </c>
      <c r="DX166" s="77">
        <f t="shared" si="113"/>
        <v>2.9689999999999999</v>
      </c>
      <c r="DY166" s="77">
        <f t="shared" si="113"/>
        <v>2.98</v>
      </c>
      <c r="DZ166" s="77">
        <f t="shared" si="113"/>
        <v>2.9910000000000001</v>
      </c>
      <c r="EA166" s="77">
        <f t="shared" si="113"/>
        <v>3.0009999999999999</v>
      </c>
      <c r="EB166" s="77">
        <f t="shared" si="113"/>
        <v>3.012</v>
      </c>
      <c r="EC166" s="77">
        <f t="shared" si="113"/>
        <v>3.0209999999999999</v>
      </c>
      <c r="ED166" s="77">
        <f t="shared" si="113"/>
        <v>3.0310000000000001</v>
      </c>
      <c r="EE166" s="77">
        <f t="shared" si="113"/>
        <v>3.04</v>
      </c>
      <c r="EF166" s="77">
        <f t="shared" si="115"/>
        <v>3.0489999999999999</v>
      </c>
      <c r="EG166" s="77">
        <f t="shared" si="115"/>
        <v>3.0569999999999999</v>
      </c>
    </row>
    <row r="167" spans="1:137" ht="12.75" customHeight="1">
      <c r="A167" s="87">
        <v>165</v>
      </c>
      <c r="B167" s="88">
        <f t="shared" si="112"/>
        <v>2.7229999999999945</v>
      </c>
      <c r="C167" s="88">
        <f t="shared" si="112"/>
        <v>2.7389999999999946</v>
      </c>
      <c r="D167" s="88">
        <f t="shared" si="112"/>
        <v>2.7539999999999947</v>
      </c>
      <c r="E167" s="88">
        <f t="shared" si="114"/>
        <v>2.7699999999999947</v>
      </c>
      <c r="F167" s="88">
        <f t="shared" si="114"/>
        <v>2.7849999999999944</v>
      </c>
      <c r="G167" s="88">
        <f t="shared" si="114"/>
        <v>2.7989999999999946</v>
      </c>
      <c r="H167" s="88">
        <f t="shared" si="114"/>
        <v>2.8129999999999944</v>
      </c>
      <c r="I167" s="88">
        <f t="shared" si="114"/>
        <v>2.8259999999999943</v>
      </c>
      <c r="J167" s="88">
        <f t="shared" si="114"/>
        <v>2.8389999999999946</v>
      </c>
      <c r="K167" s="88">
        <f t="shared" si="114"/>
        <v>2.8519999999999945</v>
      </c>
      <c r="L167" s="88">
        <f t="shared" si="114"/>
        <v>2.8639999999999946</v>
      </c>
      <c r="M167" s="88">
        <f t="shared" si="114"/>
        <v>2.8749999999999947</v>
      </c>
      <c r="N167" s="88">
        <f t="shared" si="114"/>
        <v>2.8879999999999946</v>
      </c>
      <c r="O167" s="88">
        <f t="shared" si="114"/>
        <v>2.8999999999999946</v>
      </c>
      <c r="P167" s="88">
        <f t="shared" si="114"/>
        <v>2.9139999999999944</v>
      </c>
      <c r="Q167" s="88">
        <f t="shared" si="114"/>
        <v>2.9269999999999943</v>
      </c>
      <c r="R167" s="88">
        <f t="shared" si="114"/>
        <v>2.9389999999999943</v>
      </c>
      <c r="S167" s="88">
        <f t="shared" si="114"/>
        <v>2.9509999999999943</v>
      </c>
      <c r="T167" s="88">
        <f t="shared" si="114"/>
        <v>2.9629999999999943</v>
      </c>
      <c r="U167" s="88">
        <f t="shared" si="114"/>
        <v>2.9749999999999943</v>
      </c>
      <c r="V167" s="88">
        <f t="shared" si="114"/>
        <v>2.9859999999999944</v>
      </c>
      <c r="W167" s="88">
        <f t="shared" si="114"/>
        <v>2.9969999999999946</v>
      </c>
      <c r="X167" s="88">
        <f t="shared" si="114"/>
        <v>3.0069999999999943</v>
      </c>
      <c r="Y167" s="88">
        <f t="shared" si="114"/>
        <v>3.0179999999999945</v>
      </c>
      <c r="Z167" s="88">
        <f t="shared" si="114"/>
        <v>3.0269999999999944</v>
      </c>
      <c r="AA167" s="88">
        <f t="shared" si="114"/>
        <v>3.0369999999999946</v>
      </c>
      <c r="AB167" s="88">
        <f t="shared" si="114"/>
        <v>3.0459999999999945</v>
      </c>
      <c r="AC167" s="88">
        <f t="shared" si="114"/>
        <v>3.0549999999999944</v>
      </c>
      <c r="AD167" s="89">
        <f t="shared" si="114"/>
        <v>3.0629999999999944</v>
      </c>
      <c r="AE167" s="90"/>
      <c r="AF167" s="90"/>
      <c r="AG167" s="90"/>
      <c r="AH167" s="90"/>
      <c r="AI167" s="90"/>
      <c r="AJ167" s="90"/>
      <c r="AK167" s="90"/>
      <c r="AL167" s="90"/>
      <c r="AM167" s="90"/>
      <c r="AN167" s="90"/>
      <c r="AO167" s="90"/>
      <c r="AP167" s="90"/>
      <c r="AQ167" s="90"/>
      <c r="AR167" s="90"/>
      <c r="AS167" s="90"/>
      <c r="BZ167" s="63" t="str">
        <f t="shared" si="77"/>
        <v>4165</v>
      </c>
      <c r="CA167" s="63" t="str">
        <f t="shared" si="76"/>
        <v>5165</v>
      </c>
      <c r="CB167" s="63" t="str">
        <f t="shared" si="78"/>
        <v>6165</v>
      </c>
      <c r="CC167" s="63" t="str">
        <f t="shared" si="79"/>
        <v>7165</v>
      </c>
      <c r="CD167" s="63" t="str">
        <f t="shared" si="80"/>
        <v>8165</v>
      </c>
      <c r="CE167" s="63" t="str">
        <f t="shared" si="81"/>
        <v>9165</v>
      </c>
      <c r="CF167" s="63" t="str">
        <f t="shared" si="82"/>
        <v>10165</v>
      </c>
      <c r="CG167" s="63" t="str">
        <f t="shared" si="83"/>
        <v>11165</v>
      </c>
      <c r="CH167" s="63" t="str">
        <f t="shared" si="84"/>
        <v>12165</v>
      </c>
      <c r="CI167" s="63" t="str">
        <f t="shared" si="85"/>
        <v>13165</v>
      </c>
      <c r="CJ167" s="63" t="str">
        <f t="shared" si="86"/>
        <v>14165</v>
      </c>
      <c r="CK167" s="63" t="str">
        <f t="shared" si="87"/>
        <v>15165</v>
      </c>
      <c r="CL167" s="63" t="str">
        <f t="shared" si="88"/>
        <v>16165</v>
      </c>
      <c r="CM167" s="63" t="str">
        <f t="shared" si="89"/>
        <v>17165</v>
      </c>
      <c r="CN167" s="63" t="str">
        <f t="shared" si="90"/>
        <v>18165</v>
      </c>
      <c r="CO167" s="63" t="str">
        <f t="shared" si="91"/>
        <v>19165</v>
      </c>
      <c r="CP167" s="63" t="str">
        <f t="shared" si="92"/>
        <v>20165</v>
      </c>
      <c r="CQ167" s="63" t="str">
        <f t="shared" si="93"/>
        <v>21165</v>
      </c>
      <c r="CR167" s="63" t="str">
        <f t="shared" si="94"/>
        <v>22165</v>
      </c>
      <c r="CS167" s="63" t="str">
        <f t="shared" si="95"/>
        <v>23165</v>
      </c>
      <c r="CT167" s="63" t="str">
        <f t="shared" si="96"/>
        <v>24165</v>
      </c>
      <c r="CU167" s="63" t="str">
        <f t="shared" si="97"/>
        <v>25165</v>
      </c>
      <c r="CV167" s="63" t="str">
        <f t="shared" si="98"/>
        <v>26165</v>
      </c>
      <c r="CW167" s="63" t="str">
        <f t="shared" si="99"/>
        <v>27165</v>
      </c>
      <c r="CX167" s="63" t="str">
        <f t="shared" si="100"/>
        <v>28165</v>
      </c>
      <c r="CY167" s="63" t="str">
        <f t="shared" si="101"/>
        <v>29165</v>
      </c>
      <c r="CZ167" s="63" t="str">
        <f t="shared" si="102"/>
        <v>30165</v>
      </c>
      <c r="DA167" s="63" t="str">
        <f t="shared" si="103"/>
        <v>31165</v>
      </c>
      <c r="DB167" s="63" t="str">
        <f t="shared" si="104"/>
        <v>32165</v>
      </c>
      <c r="DD167" s="72" t="s">
        <v>295</v>
      </c>
      <c r="DE167" s="92">
        <f t="shared" si="111"/>
        <v>2.7229999999999999</v>
      </c>
      <c r="DF167" s="92">
        <f t="shared" si="111"/>
        <v>2.7389999999999999</v>
      </c>
      <c r="DG167" s="77">
        <f t="shared" si="111"/>
        <v>2.754</v>
      </c>
      <c r="DH167" s="77">
        <f t="shared" si="111"/>
        <v>2.77</v>
      </c>
      <c r="DI167" s="77">
        <f t="shared" si="111"/>
        <v>2.7850000000000001</v>
      </c>
      <c r="DJ167" s="77">
        <f t="shared" si="111"/>
        <v>2.7989999999999999</v>
      </c>
      <c r="DK167" s="77">
        <f t="shared" si="111"/>
        <v>2.8130000000000002</v>
      </c>
      <c r="DL167" s="77">
        <f t="shared" si="111"/>
        <v>2.8260000000000001</v>
      </c>
      <c r="DM167" s="77">
        <f t="shared" si="111"/>
        <v>2.839</v>
      </c>
      <c r="DN167" s="77">
        <f t="shared" si="111"/>
        <v>2.8519999999999999</v>
      </c>
      <c r="DO167" s="77">
        <f t="shared" si="111"/>
        <v>2.8639999999999999</v>
      </c>
      <c r="DP167" s="77">
        <f t="shared" si="111"/>
        <v>2.875</v>
      </c>
      <c r="DQ167" s="77">
        <f t="shared" si="111"/>
        <v>2.8879999999999999</v>
      </c>
      <c r="DR167" s="77">
        <f t="shared" si="111"/>
        <v>2.9</v>
      </c>
      <c r="DS167" s="77">
        <f t="shared" si="111"/>
        <v>2.9140000000000001</v>
      </c>
      <c r="DT167" s="77">
        <f t="shared" si="111"/>
        <v>2.927</v>
      </c>
      <c r="DU167" s="77">
        <f t="shared" si="113"/>
        <v>2.9390000000000001</v>
      </c>
      <c r="DV167" s="77">
        <f t="shared" si="113"/>
        <v>2.9510000000000001</v>
      </c>
      <c r="DW167" s="77">
        <f t="shared" si="113"/>
        <v>2.9630000000000001</v>
      </c>
      <c r="DX167" s="77">
        <f t="shared" si="113"/>
        <v>2.9750000000000001</v>
      </c>
      <c r="DY167" s="77">
        <f t="shared" si="113"/>
        <v>2.9860000000000002</v>
      </c>
      <c r="DZ167" s="77">
        <f t="shared" si="113"/>
        <v>2.9969999999999999</v>
      </c>
      <c r="EA167" s="77">
        <f t="shared" si="113"/>
        <v>3.0070000000000001</v>
      </c>
      <c r="EB167" s="77">
        <f t="shared" si="113"/>
        <v>3.0179999999999998</v>
      </c>
      <c r="EC167" s="77">
        <f t="shared" si="113"/>
        <v>3.0270000000000001</v>
      </c>
      <c r="ED167" s="77">
        <f t="shared" si="113"/>
        <v>3.0369999999999999</v>
      </c>
      <c r="EE167" s="77">
        <f t="shared" si="113"/>
        <v>3.0459999999999998</v>
      </c>
      <c r="EF167" s="77">
        <f t="shared" si="115"/>
        <v>3.0550000000000002</v>
      </c>
      <c r="EG167" s="77">
        <f t="shared" si="115"/>
        <v>3.0630000000000002</v>
      </c>
    </row>
    <row r="168" spans="1:137" ht="12.75" customHeight="1">
      <c r="A168" s="87">
        <v>166</v>
      </c>
      <c r="B168" s="88">
        <f t="shared" si="112"/>
        <v>2.7289999999999943</v>
      </c>
      <c r="C168" s="88">
        <f t="shared" si="112"/>
        <v>2.7449999999999943</v>
      </c>
      <c r="D168" s="88">
        <f t="shared" si="112"/>
        <v>2.7599999999999945</v>
      </c>
      <c r="E168" s="88">
        <f t="shared" si="114"/>
        <v>2.7759999999999945</v>
      </c>
      <c r="F168" s="88">
        <f t="shared" si="114"/>
        <v>2.7909999999999942</v>
      </c>
      <c r="G168" s="88">
        <f t="shared" si="114"/>
        <v>2.8049999999999944</v>
      </c>
      <c r="H168" s="88">
        <f t="shared" si="114"/>
        <v>2.8189999999999942</v>
      </c>
      <c r="I168" s="88">
        <f t="shared" si="114"/>
        <v>2.8319999999999941</v>
      </c>
      <c r="J168" s="88">
        <f t="shared" si="114"/>
        <v>2.8449999999999944</v>
      </c>
      <c r="K168" s="88">
        <f t="shared" si="114"/>
        <v>2.8579999999999943</v>
      </c>
      <c r="L168" s="88">
        <f t="shared" si="114"/>
        <v>2.8699999999999943</v>
      </c>
      <c r="M168" s="88">
        <f t="shared" si="114"/>
        <v>2.8809999999999945</v>
      </c>
      <c r="N168" s="88">
        <f t="shared" si="114"/>
        <v>2.8939999999999944</v>
      </c>
      <c r="O168" s="88">
        <f t="shared" si="114"/>
        <v>2.9059999999999944</v>
      </c>
      <c r="P168" s="88">
        <f t="shared" si="114"/>
        <v>2.9199999999999942</v>
      </c>
      <c r="Q168" s="88">
        <f t="shared" si="114"/>
        <v>2.9329999999999941</v>
      </c>
      <c r="R168" s="88">
        <f t="shared" si="114"/>
        <v>2.9449999999999941</v>
      </c>
      <c r="S168" s="88">
        <f t="shared" si="114"/>
        <v>2.9569999999999941</v>
      </c>
      <c r="T168" s="88">
        <f t="shared" si="114"/>
        <v>2.9689999999999941</v>
      </c>
      <c r="U168" s="88">
        <f t="shared" si="114"/>
        <v>2.9809999999999941</v>
      </c>
      <c r="V168" s="88">
        <f t="shared" si="114"/>
        <v>2.9919999999999942</v>
      </c>
      <c r="W168" s="88">
        <f t="shared" si="114"/>
        <v>3.0029999999999943</v>
      </c>
      <c r="X168" s="88">
        <f t="shared" si="114"/>
        <v>3.0129999999999941</v>
      </c>
      <c r="Y168" s="88">
        <f t="shared" si="114"/>
        <v>3.0239999999999942</v>
      </c>
      <c r="Z168" s="88">
        <f t="shared" si="114"/>
        <v>3.0329999999999941</v>
      </c>
      <c r="AA168" s="88">
        <f t="shared" si="114"/>
        <v>3.0429999999999944</v>
      </c>
      <c r="AB168" s="88">
        <f t="shared" si="114"/>
        <v>3.0519999999999943</v>
      </c>
      <c r="AC168" s="88">
        <f t="shared" si="114"/>
        <v>3.0609999999999942</v>
      </c>
      <c r="AD168" s="89">
        <f t="shared" si="114"/>
        <v>3.0689999999999942</v>
      </c>
      <c r="AE168" s="90"/>
      <c r="AF168" s="90"/>
      <c r="AG168" s="90"/>
      <c r="AH168" s="90"/>
      <c r="AI168" s="90"/>
      <c r="AJ168" s="90"/>
      <c r="AK168" s="90"/>
      <c r="AL168" s="90"/>
      <c r="AM168" s="90"/>
      <c r="AN168" s="90"/>
      <c r="AO168" s="90"/>
      <c r="AP168" s="90"/>
      <c r="AQ168" s="90"/>
      <c r="AR168" s="90"/>
      <c r="AS168" s="90"/>
      <c r="BZ168" s="63" t="str">
        <f t="shared" si="77"/>
        <v>4166</v>
      </c>
      <c r="CA168" s="63" t="str">
        <f t="shared" si="76"/>
        <v>5166</v>
      </c>
      <c r="CB168" s="63" t="str">
        <f t="shared" si="78"/>
        <v>6166</v>
      </c>
      <c r="CC168" s="63" t="str">
        <f t="shared" si="79"/>
        <v>7166</v>
      </c>
      <c r="CD168" s="63" t="str">
        <f t="shared" si="80"/>
        <v>8166</v>
      </c>
      <c r="CE168" s="63" t="str">
        <f t="shared" si="81"/>
        <v>9166</v>
      </c>
      <c r="CF168" s="63" t="str">
        <f t="shared" si="82"/>
        <v>10166</v>
      </c>
      <c r="CG168" s="63" t="str">
        <f t="shared" si="83"/>
        <v>11166</v>
      </c>
      <c r="CH168" s="63" t="str">
        <f t="shared" si="84"/>
        <v>12166</v>
      </c>
      <c r="CI168" s="63" t="str">
        <f t="shared" si="85"/>
        <v>13166</v>
      </c>
      <c r="CJ168" s="63" t="str">
        <f t="shared" si="86"/>
        <v>14166</v>
      </c>
      <c r="CK168" s="63" t="str">
        <f t="shared" si="87"/>
        <v>15166</v>
      </c>
      <c r="CL168" s="63" t="str">
        <f t="shared" si="88"/>
        <v>16166</v>
      </c>
      <c r="CM168" s="63" t="str">
        <f t="shared" si="89"/>
        <v>17166</v>
      </c>
      <c r="CN168" s="63" t="str">
        <f t="shared" si="90"/>
        <v>18166</v>
      </c>
      <c r="CO168" s="63" t="str">
        <f t="shared" si="91"/>
        <v>19166</v>
      </c>
      <c r="CP168" s="63" t="str">
        <f t="shared" si="92"/>
        <v>20166</v>
      </c>
      <c r="CQ168" s="63" t="str">
        <f t="shared" si="93"/>
        <v>21166</v>
      </c>
      <c r="CR168" s="63" t="str">
        <f t="shared" si="94"/>
        <v>22166</v>
      </c>
      <c r="CS168" s="63" t="str">
        <f t="shared" si="95"/>
        <v>23166</v>
      </c>
      <c r="CT168" s="63" t="str">
        <f t="shared" si="96"/>
        <v>24166</v>
      </c>
      <c r="CU168" s="63" t="str">
        <f t="shared" si="97"/>
        <v>25166</v>
      </c>
      <c r="CV168" s="63" t="str">
        <f t="shared" si="98"/>
        <v>26166</v>
      </c>
      <c r="CW168" s="63" t="str">
        <f t="shared" si="99"/>
        <v>27166</v>
      </c>
      <c r="CX168" s="63" t="str">
        <f t="shared" si="100"/>
        <v>28166</v>
      </c>
      <c r="CY168" s="63" t="str">
        <f t="shared" si="101"/>
        <v>29166</v>
      </c>
      <c r="CZ168" s="63" t="str">
        <f t="shared" si="102"/>
        <v>30166</v>
      </c>
      <c r="DA168" s="63" t="str">
        <f t="shared" si="103"/>
        <v>31166</v>
      </c>
      <c r="DB168" s="63" t="str">
        <f t="shared" si="104"/>
        <v>32166</v>
      </c>
      <c r="DD168" s="72" t="s">
        <v>296</v>
      </c>
      <c r="DE168" s="92">
        <f t="shared" si="111"/>
        <v>2.7290000000000001</v>
      </c>
      <c r="DF168" s="92">
        <f t="shared" si="111"/>
        <v>2.7450000000000001</v>
      </c>
      <c r="DG168" s="77">
        <f t="shared" si="111"/>
        <v>2.76</v>
      </c>
      <c r="DH168" s="77">
        <f t="shared" si="111"/>
        <v>2.7759999999999998</v>
      </c>
      <c r="DI168" s="77">
        <f t="shared" si="111"/>
        <v>2.7909999999999999</v>
      </c>
      <c r="DJ168" s="77">
        <f t="shared" si="111"/>
        <v>2.8050000000000002</v>
      </c>
      <c r="DK168" s="77">
        <f t="shared" si="111"/>
        <v>2.819</v>
      </c>
      <c r="DL168" s="77">
        <f t="shared" si="111"/>
        <v>2.8319999999999999</v>
      </c>
      <c r="DM168" s="77">
        <f t="shared" si="111"/>
        <v>2.8450000000000002</v>
      </c>
      <c r="DN168" s="77">
        <f t="shared" si="111"/>
        <v>2.8580000000000001</v>
      </c>
      <c r="DO168" s="77">
        <f t="shared" si="111"/>
        <v>2.87</v>
      </c>
      <c r="DP168" s="77">
        <f t="shared" si="111"/>
        <v>2.8809999999999998</v>
      </c>
      <c r="DQ168" s="77">
        <f t="shared" si="111"/>
        <v>2.8940000000000001</v>
      </c>
      <c r="DR168" s="77">
        <f t="shared" si="111"/>
        <v>2.9060000000000001</v>
      </c>
      <c r="DS168" s="77">
        <f t="shared" si="111"/>
        <v>2.92</v>
      </c>
      <c r="DT168" s="77">
        <f t="shared" si="111"/>
        <v>2.9329999999999998</v>
      </c>
      <c r="DU168" s="77">
        <f t="shared" si="113"/>
        <v>2.9449999999999998</v>
      </c>
      <c r="DV168" s="77">
        <f t="shared" si="113"/>
        <v>2.9569999999999999</v>
      </c>
      <c r="DW168" s="77">
        <f t="shared" si="113"/>
        <v>2.9689999999999999</v>
      </c>
      <c r="DX168" s="77">
        <f t="shared" si="113"/>
        <v>2.9809999999999999</v>
      </c>
      <c r="DY168" s="77">
        <f t="shared" si="113"/>
        <v>2.992</v>
      </c>
      <c r="DZ168" s="77">
        <f t="shared" si="113"/>
        <v>3.0030000000000001</v>
      </c>
      <c r="EA168" s="77">
        <f t="shared" si="113"/>
        <v>3.0129999999999999</v>
      </c>
      <c r="EB168" s="77">
        <f t="shared" si="113"/>
        <v>3.024</v>
      </c>
      <c r="EC168" s="77">
        <f t="shared" si="113"/>
        <v>3.0329999999999999</v>
      </c>
      <c r="ED168" s="77">
        <f t="shared" si="113"/>
        <v>3.0430000000000001</v>
      </c>
      <c r="EE168" s="77">
        <f t="shared" si="113"/>
        <v>3.052</v>
      </c>
      <c r="EF168" s="77">
        <f t="shared" si="115"/>
        <v>3.0609999999999999</v>
      </c>
      <c r="EG168" s="77">
        <f t="shared" si="115"/>
        <v>3.069</v>
      </c>
    </row>
    <row r="169" spans="1:137" ht="12.75" customHeight="1">
      <c r="A169" s="87">
        <v>167</v>
      </c>
      <c r="B169" s="88">
        <f t="shared" si="112"/>
        <v>2.7349999999999941</v>
      </c>
      <c r="C169" s="88">
        <f t="shared" si="112"/>
        <v>2.7509999999999941</v>
      </c>
      <c r="D169" s="88">
        <f t="shared" si="112"/>
        <v>2.7659999999999942</v>
      </c>
      <c r="E169" s="88">
        <f t="shared" si="114"/>
        <v>2.7819999999999943</v>
      </c>
      <c r="F169" s="88">
        <f t="shared" si="114"/>
        <v>2.7969999999999939</v>
      </c>
      <c r="G169" s="88">
        <f t="shared" si="114"/>
        <v>2.8109999999999942</v>
      </c>
      <c r="H169" s="88">
        <f t="shared" si="114"/>
        <v>2.824999999999994</v>
      </c>
      <c r="I169" s="88">
        <f t="shared" si="114"/>
        <v>2.8379999999999939</v>
      </c>
      <c r="J169" s="88">
        <f t="shared" si="114"/>
        <v>2.8509999999999942</v>
      </c>
      <c r="K169" s="88">
        <f t="shared" si="114"/>
        <v>2.8639999999999941</v>
      </c>
      <c r="L169" s="88">
        <f t="shared" si="114"/>
        <v>2.8759999999999941</v>
      </c>
      <c r="M169" s="88">
        <f t="shared" si="114"/>
        <v>2.8869999999999942</v>
      </c>
      <c r="N169" s="88">
        <f t="shared" si="114"/>
        <v>2.8999999999999941</v>
      </c>
      <c r="O169" s="88">
        <f t="shared" si="114"/>
        <v>2.9119999999999941</v>
      </c>
      <c r="P169" s="88">
        <f t="shared" si="114"/>
        <v>2.9259999999999939</v>
      </c>
      <c r="Q169" s="88">
        <f t="shared" si="114"/>
        <v>2.9389999999999938</v>
      </c>
      <c r="R169" s="88">
        <f t="shared" si="114"/>
        <v>2.9509999999999939</v>
      </c>
      <c r="S169" s="88">
        <f t="shared" si="114"/>
        <v>2.9629999999999939</v>
      </c>
      <c r="T169" s="88">
        <f t="shared" si="114"/>
        <v>2.9749999999999939</v>
      </c>
      <c r="U169" s="88">
        <f t="shared" si="114"/>
        <v>2.9869999999999939</v>
      </c>
      <c r="V169" s="88">
        <f t="shared" si="114"/>
        <v>2.997999999999994</v>
      </c>
      <c r="W169" s="88">
        <f t="shared" si="114"/>
        <v>3.0089999999999941</v>
      </c>
      <c r="X169" s="88">
        <f t="shared" si="114"/>
        <v>3.0189999999999939</v>
      </c>
      <c r="Y169" s="88">
        <f t="shared" si="114"/>
        <v>3.029999999999994</v>
      </c>
      <c r="Z169" s="88">
        <f t="shared" si="114"/>
        <v>3.0389999999999939</v>
      </c>
      <c r="AA169" s="88">
        <f t="shared" si="114"/>
        <v>3.0489999999999942</v>
      </c>
      <c r="AB169" s="88">
        <f t="shared" si="114"/>
        <v>3.0579999999999941</v>
      </c>
      <c r="AC169" s="88">
        <f t="shared" si="114"/>
        <v>3.066999999999994</v>
      </c>
      <c r="AD169" s="89">
        <f t="shared" si="114"/>
        <v>3.074999999999994</v>
      </c>
      <c r="AE169" s="90"/>
      <c r="AF169" s="90"/>
      <c r="AG169" s="90"/>
      <c r="AH169" s="90"/>
      <c r="AI169" s="90"/>
      <c r="AJ169" s="90"/>
      <c r="AK169" s="90"/>
      <c r="AL169" s="90"/>
      <c r="AM169" s="90"/>
      <c r="AN169" s="90"/>
      <c r="AO169" s="90"/>
      <c r="AP169" s="90"/>
      <c r="AQ169" s="90"/>
      <c r="AR169" s="90"/>
      <c r="AS169" s="90"/>
      <c r="BZ169" s="63" t="str">
        <f t="shared" si="77"/>
        <v>4167</v>
      </c>
      <c r="CA169" s="63" t="str">
        <f t="shared" si="76"/>
        <v>5167</v>
      </c>
      <c r="CB169" s="63" t="str">
        <f t="shared" si="78"/>
        <v>6167</v>
      </c>
      <c r="CC169" s="63" t="str">
        <f t="shared" si="79"/>
        <v>7167</v>
      </c>
      <c r="CD169" s="63" t="str">
        <f t="shared" si="80"/>
        <v>8167</v>
      </c>
      <c r="CE169" s="63" t="str">
        <f t="shared" si="81"/>
        <v>9167</v>
      </c>
      <c r="CF169" s="63" t="str">
        <f t="shared" si="82"/>
        <v>10167</v>
      </c>
      <c r="CG169" s="63" t="str">
        <f t="shared" si="83"/>
        <v>11167</v>
      </c>
      <c r="CH169" s="63" t="str">
        <f t="shared" si="84"/>
        <v>12167</v>
      </c>
      <c r="CI169" s="63" t="str">
        <f t="shared" si="85"/>
        <v>13167</v>
      </c>
      <c r="CJ169" s="63" t="str">
        <f t="shared" si="86"/>
        <v>14167</v>
      </c>
      <c r="CK169" s="63" t="str">
        <f t="shared" si="87"/>
        <v>15167</v>
      </c>
      <c r="CL169" s="63" t="str">
        <f t="shared" si="88"/>
        <v>16167</v>
      </c>
      <c r="CM169" s="63" t="str">
        <f t="shared" si="89"/>
        <v>17167</v>
      </c>
      <c r="CN169" s="63" t="str">
        <f t="shared" si="90"/>
        <v>18167</v>
      </c>
      <c r="CO169" s="63" t="str">
        <f t="shared" si="91"/>
        <v>19167</v>
      </c>
      <c r="CP169" s="63" t="str">
        <f t="shared" si="92"/>
        <v>20167</v>
      </c>
      <c r="CQ169" s="63" t="str">
        <f t="shared" si="93"/>
        <v>21167</v>
      </c>
      <c r="CR169" s="63" t="str">
        <f t="shared" si="94"/>
        <v>22167</v>
      </c>
      <c r="CS169" s="63" t="str">
        <f t="shared" si="95"/>
        <v>23167</v>
      </c>
      <c r="CT169" s="63" t="str">
        <f t="shared" si="96"/>
        <v>24167</v>
      </c>
      <c r="CU169" s="63" t="str">
        <f t="shared" si="97"/>
        <v>25167</v>
      </c>
      <c r="CV169" s="63" t="str">
        <f t="shared" si="98"/>
        <v>26167</v>
      </c>
      <c r="CW169" s="63" t="str">
        <f t="shared" si="99"/>
        <v>27167</v>
      </c>
      <c r="CX169" s="63" t="str">
        <f t="shared" si="100"/>
        <v>28167</v>
      </c>
      <c r="CY169" s="63" t="str">
        <f t="shared" si="101"/>
        <v>29167</v>
      </c>
      <c r="CZ169" s="63" t="str">
        <f t="shared" si="102"/>
        <v>30167</v>
      </c>
      <c r="DA169" s="63" t="str">
        <f t="shared" si="103"/>
        <v>31167</v>
      </c>
      <c r="DB169" s="63" t="str">
        <f t="shared" si="104"/>
        <v>32167</v>
      </c>
      <c r="DD169" s="72" t="s">
        <v>297</v>
      </c>
      <c r="DE169" s="92">
        <f t="shared" si="111"/>
        <v>2.7349999999999999</v>
      </c>
      <c r="DF169" s="92">
        <f t="shared" si="111"/>
        <v>2.7509999999999999</v>
      </c>
      <c r="DG169" s="77">
        <f t="shared" si="111"/>
        <v>2.766</v>
      </c>
      <c r="DH169" s="77">
        <f t="shared" si="111"/>
        <v>2.782</v>
      </c>
      <c r="DI169" s="77">
        <f t="shared" si="111"/>
        <v>2.7970000000000002</v>
      </c>
      <c r="DJ169" s="77">
        <f t="shared" si="111"/>
        <v>2.8109999999999999</v>
      </c>
      <c r="DK169" s="77">
        <f t="shared" si="111"/>
        <v>2.8250000000000002</v>
      </c>
      <c r="DL169" s="77">
        <f t="shared" si="111"/>
        <v>2.8380000000000001</v>
      </c>
      <c r="DM169" s="77">
        <f t="shared" si="111"/>
        <v>2.851</v>
      </c>
      <c r="DN169" s="77">
        <f t="shared" si="111"/>
        <v>2.8639999999999999</v>
      </c>
      <c r="DO169" s="77">
        <f t="shared" si="111"/>
        <v>2.8759999999999999</v>
      </c>
      <c r="DP169" s="77">
        <f t="shared" si="111"/>
        <v>2.887</v>
      </c>
      <c r="DQ169" s="77">
        <f t="shared" si="111"/>
        <v>2.9</v>
      </c>
      <c r="DR169" s="77">
        <f t="shared" si="111"/>
        <v>2.9119999999999999</v>
      </c>
      <c r="DS169" s="77">
        <f t="shared" si="111"/>
        <v>2.9260000000000002</v>
      </c>
      <c r="DT169" s="77">
        <f t="shared" si="111"/>
        <v>2.9390000000000001</v>
      </c>
      <c r="DU169" s="77">
        <f t="shared" si="113"/>
        <v>2.9510000000000001</v>
      </c>
      <c r="DV169" s="77">
        <f t="shared" si="113"/>
        <v>2.9630000000000001</v>
      </c>
      <c r="DW169" s="77">
        <f t="shared" si="113"/>
        <v>2.9750000000000001</v>
      </c>
      <c r="DX169" s="77">
        <f t="shared" si="113"/>
        <v>2.9870000000000001</v>
      </c>
      <c r="DY169" s="77">
        <f t="shared" si="113"/>
        <v>2.9980000000000002</v>
      </c>
      <c r="DZ169" s="77">
        <f t="shared" si="113"/>
        <v>3.0089999999999999</v>
      </c>
      <c r="EA169" s="77">
        <f t="shared" si="113"/>
        <v>3.0190000000000001</v>
      </c>
      <c r="EB169" s="77">
        <f t="shared" si="113"/>
        <v>3.03</v>
      </c>
      <c r="EC169" s="77">
        <f t="shared" si="113"/>
        <v>3.0390000000000001</v>
      </c>
      <c r="ED169" s="77">
        <f t="shared" si="113"/>
        <v>3.0489999999999999</v>
      </c>
      <c r="EE169" s="77">
        <f t="shared" si="113"/>
        <v>3.0579999999999998</v>
      </c>
      <c r="EF169" s="77">
        <f t="shared" si="115"/>
        <v>3.0670000000000002</v>
      </c>
      <c r="EG169" s="77">
        <f t="shared" si="115"/>
        <v>3.0750000000000002</v>
      </c>
    </row>
    <row r="170" spans="1:137" ht="12.75" customHeight="1">
      <c r="A170" s="87">
        <v>168</v>
      </c>
      <c r="B170" s="88">
        <f t="shared" si="112"/>
        <v>2.7409999999999939</v>
      </c>
      <c r="C170" s="88">
        <f t="shared" si="112"/>
        <v>2.7569999999999939</v>
      </c>
      <c r="D170" s="88">
        <f t="shared" si="112"/>
        <v>2.771999999999994</v>
      </c>
      <c r="E170" s="88">
        <f t="shared" si="114"/>
        <v>2.787999999999994</v>
      </c>
      <c r="F170" s="88">
        <f t="shared" si="114"/>
        <v>2.8029999999999937</v>
      </c>
      <c r="G170" s="88">
        <f t="shared" si="114"/>
        <v>2.816999999999994</v>
      </c>
      <c r="H170" s="88">
        <f t="shared" si="114"/>
        <v>2.8309999999999937</v>
      </c>
      <c r="I170" s="88">
        <f t="shared" si="114"/>
        <v>2.8439999999999936</v>
      </c>
      <c r="J170" s="88">
        <f t="shared" si="114"/>
        <v>2.856999999999994</v>
      </c>
      <c r="K170" s="88">
        <f t="shared" si="114"/>
        <v>2.8699999999999939</v>
      </c>
      <c r="L170" s="88">
        <f t="shared" si="114"/>
        <v>2.8819999999999939</v>
      </c>
      <c r="M170" s="88">
        <f t="shared" si="114"/>
        <v>2.892999999999994</v>
      </c>
      <c r="N170" s="88">
        <f t="shared" si="114"/>
        <v>2.9059999999999939</v>
      </c>
      <c r="O170" s="88">
        <f t="shared" si="114"/>
        <v>2.9179999999999939</v>
      </c>
      <c r="P170" s="88">
        <f t="shared" si="114"/>
        <v>2.9319999999999937</v>
      </c>
      <c r="Q170" s="88">
        <f t="shared" si="114"/>
        <v>2.9449999999999936</v>
      </c>
      <c r="R170" s="88">
        <f t="shared" si="114"/>
        <v>2.9569999999999936</v>
      </c>
      <c r="S170" s="88">
        <f t="shared" si="114"/>
        <v>2.9689999999999936</v>
      </c>
      <c r="T170" s="88">
        <f t="shared" si="114"/>
        <v>2.9809999999999937</v>
      </c>
      <c r="U170" s="88">
        <f t="shared" si="114"/>
        <v>2.9929999999999937</v>
      </c>
      <c r="V170" s="88">
        <f t="shared" si="114"/>
        <v>3.0039999999999938</v>
      </c>
      <c r="W170" s="88">
        <f t="shared" si="114"/>
        <v>3.0149999999999939</v>
      </c>
      <c r="X170" s="88">
        <f t="shared" si="114"/>
        <v>3.0249999999999937</v>
      </c>
      <c r="Y170" s="88">
        <f t="shared" si="114"/>
        <v>3.0359999999999938</v>
      </c>
      <c r="Z170" s="88">
        <f t="shared" si="114"/>
        <v>3.0449999999999937</v>
      </c>
      <c r="AA170" s="88">
        <f t="shared" si="114"/>
        <v>3.0549999999999939</v>
      </c>
      <c r="AB170" s="88">
        <f t="shared" si="114"/>
        <v>3.0639999999999938</v>
      </c>
      <c r="AC170" s="88">
        <f t="shared" si="114"/>
        <v>3.0729999999999937</v>
      </c>
      <c r="AD170" s="89">
        <f t="shared" si="114"/>
        <v>3.0809999999999937</v>
      </c>
      <c r="AE170" s="90"/>
      <c r="AF170" s="90"/>
      <c r="AG170" s="90"/>
      <c r="AH170" s="90"/>
      <c r="AI170" s="90"/>
      <c r="AJ170" s="90"/>
      <c r="AK170" s="90"/>
      <c r="AL170" s="90"/>
      <c r="AM170" s="90"/>
      <c r="AN170" s="90"/>
      <c r="AO170" s="90"/>
      <c r="AP170" s="90"/>
      <c r="AQ170" s="90"/>
      <c r="AR170" s="90"/>
      <c r="AS170" s="90"/>
      <c r="BZ170" s="63" t="str">
        <f t="shared" si="77"/>
        <v>4168</v>
      </c>
      <c r="CA170" s="63" t="str">
        <f t="shared" si="76"/>
        <v>5168</v>
      </c>
      <c r="CB170" s="63" t="str">
        <f t="shared" si="78"/>
        <v>6168</v>
      </c>
      <c r="CC170" s="63" t="str">
        <f t="shared" si="79"/>
        <v>7168</v>
      </c>
      <c r="CD170" s="63" t="str">
        <f t="shared" si="80"/>
        <v>8168</v>
      </c>
      <c r="CE170" s="63" t="str">
        <f t="shared" si="81"/>
        <v>9168</v>
      </c>
      <c r="CF170" s="63" t="str">
        <f t="shared" si="82"/>
        <v>10168</v>
      </c>
      <c r="CG170" s="63" t="str">
        <f t="shared" si="83"/>
        <v>11168</v>
      </c>
      <c r="CH170" s="63" t="str">
        <f t="shared" si="84"/>
        <v>12168</v>
      </c>
      <c r="CI170" s="63" t="str">
        <f t="shared" si="85"/>
        <v>13168</v>
      </c>
      <c r="CJ170" s="63" t="str">
        <f t="shared" si="86"/>
        <v>14168</v>
      </c>
      <c r="CK170" s="63" t="str">
        <f t="shared" si="87"/>
        <v>15168</v>
      </c>
      <c r="CL170" s="63" t="str">
        <f t="shared" si="88"/>
        <v>16168</v>
      </c>
      <c r="CM170" s="63" t="str">
        <f t="shared" si="89"/>
        <v>17168</v>
      </c>
      <c r="CN170" s="63" t="str">
        <f t="shared" si="90"/>
        <v>18168</v>
      </c>
      <c r="CO170" s="63" t="str">
        <f t="shared" si="91"/>
        <v>19168</v>
      </c>
      <c r="CP170" s="63" t="str">
        <f t="shared" si="92"/>
        <v>20168</v>
      </c>
      <c r="CQ170" s="63" t="str">
        <f t="shared" si="93"/>
        <v>21168</v>
      </c>
      <c r="CR170" s="63" t="str">
        <f t="shared" si="94"/>
        <v>22168</v>
      </c>
      <c r="CS170" s="63" t="str">
        <f t="shared" si="95"/>
        <v>23168</v>
      </c>
      <c r="CT170" s="63" t="str">
        <f t="shared" si="96"/>
        <v>24168</v>
      </c>
      <c r="CU170" s="63" t="str">
        <f t="shared" si="97"/>
        <v>25168</v>
      </c>
      <c r="CV170" s="63" t="str">
        <f t="shared" si="98"/>
        <v>26168</v>
      </c>
      <c r="CW170" s="63" t="str">
        <f t="shared" si="99"/>
        <v>27168</v>
      </c>
      <c r="CX170" s="63" t="str">
        <f t="shared" si="100"/>
        <v>28168</v>
      </c>
      <c r="CY170" s="63" t="str">
        <f t="shared" si="101"/>
        <v>29168</v>
      </c>
      <c r="CZ170" s="63" t="str">
        <f t="shared" si="102"/>
        <v>30168</v>
      </c>
      <c r="DA170" s="63" t="str">
        <f t="shared" si="103"/>
        <v>31168</v>
      </c>
      <c r="DB170" s="63" t="str">
        <f t="shared" si="104"/>
        <v>32168</v>
      </c>
      <c r="DD170" s="72" t="s">
        <v>298</v>
      </c>
      <c r="DE170" s="92">
        <f t="shared" si="111"/>
        <v>2.7410000000000001</v>
      </c>
      <c r="DF170" s="92">
        <f t="shared" si="111"/>
        <v>2.7570000000000001</v>
      </c>
      <c r="DG170" s="77">
        <f t="shared" si="111"/>
        <v>2.7719999999999998</v>
      </c>
      <c r="DH170" s="77">
        <f t="shared" si="111"/>
        <v>2.7879999999999998</v>
      </c>
      <c r="DI170" s="77">
        <f t="shared" si="111"/>
        <v>2.8029999999999999</v>
      </c>
      <c r="DJ170" s="77">
        <f t="shared" si="111"/>
        <v>2.8170000000000002</v>
      </c>
      <c r="DK170" s="77">
        <f t="shared" si="111"/>
        <v>2.831</v>
      </c>
      <c r="DL170" s="77">
        <f t="shared" si="111"/>
        <v>2.8439999999999999</v>
      </c>
      <c r="DM170" s="77">
        <f t="shared" si="111"/>
        <v>2.8570000000000002</v>
      </c>
      <c r="DN170" s="77">
        <f t="shared" si="111"/>
        <v>2.87</v>
      </c>
      <c r="DO170" s="77">
        <f t="shared" si="111"/>
        <v>2.8820000000000001</v>
      </c>
      <c r="DP170" s="77">
        <f t="shared" si="111"/>
        <v>2.8929999999999998</v>
      </c>
      <c r="DQ170" s="77">
        <f t="shared" si="111"/>
        <v>2.9060000000000001</v>
      </c>
      <c r="DR170" s="77">
        <f t="shared" si="111"/>
        <v>2.9180000000000001</v>
      </c>
      <c r="DS170" s="77">
        <f t="shared" si="111"/>
        <v>2.9319999999999999</v>
      </c>
      <c r="DT170" s="77">
        <f t="shared" si="111"/>
        <v>2.9449999999999998</v>
      </c>
      <c r="DU170" s="77">
        <f t="shared" si="113"/>
        <v>2.9569999999999999</v>
      </c>
      <c r="DV170" s="77">
        <f t="shared" si="113"/>
        <v>2.9689999999999999</v>
      </c>
      <c r="DW170" s="77">
        <f t="shared" si="113"/>
        <v>2.9809999999999999</v>
      </c>
      <c r="DX170" s="77">
        <f t="shared" si="113"/>
        <v>2.9929999999999999</v>
      </c>
      <c r="DY170" s="77">
        <f t="shared" si="113"/>
        <v>3.004</v>
      </c>
      <c r="DZ170" s="77">
        <f t="shared" si="113"/>
        <v>3.0150000000000001</v>
      </c>
      <c r="EA170" s="77">
        <f t="shared" si="113"/>
        <v>3.0249999999999999</v>
      </c>
      <c r="EB170" s="77">
        <f t="shared" si="113"/>
        <v>3.036</v>
      </c>
      <c r="EC170" s="77">
        <f t="shared" si="113"/>
        <v>3.0449999999999999</v>
      </c>
      <c r="ED170" s="77">
        <f t="shared" si="113"/>
        <v>3.0550000000000002</v>
      </c>
      <c r="EE170" s="77">
        <f t="shared" si="113"/>
        <v>3.0640000000000001</v>
      </c>
      <c r="EF170" s="77">
        <f t="shared" si="115"/>
        <v>3.073</v>
      </c>
      <c r="EG170" s="77">
        <f t="shared" si="115"/>
        <v>3.081</v>
      </c>
    </row>
    <row r="171" spans="1:137" ht="12.75" customHeight="1">
      <c r="A171" s="87">
        <v>169</v>
      </c>
      <c r="B171" s="88">
        <f t="shared" si="112"/>
        <v>2.7469999999999937</v>
      </c>
      <c r="C171" s="88">
        <f t="shared" si="112"/>
        <v>2.7629999999999937</v>
      </c>
      <c r="D171" s="88">
        <f t="shared" si="112"/>
        <v>2.7779999999999938</v>
      </c>
      <c r="E171" s="88">
        <f t="shared" si="114"/>
        <v>2.7939999999999938</v>
      </c>
      <c r="F171" s="88">
        <f t="shared" si="114"/>
        <v>2.8089999999999935</v>
      </c>
      <c r="G171" s="88">
        <f t="shared" si="114"/>
        <v>2.8229999999999937</v>
      </c>
      <c r="H171" s="88">
        <f t="shared" si="114"/>
        <v>2.8369999999999935</v>
      </c>
      <c r="I171" s="88">
        <f t="shared" si="114"/>
        <v>2.8499999999999934</v>
      </c>
      <c r="J171" s="88">
        <f t="shared" si="114"/>
        <v>2.8629999999999938</v>
      </c>
      <c r="K171" s="88">
        <f t="shared" si="114"/>
        <v>2.8759999999999937</v>
      </c>
      <c r="L171" s="88">
        <f t="shared" si="114"/>
        <v>2.8879999999999937</v>
      </c>
      <c r="M171" s="88">
        <f t="shared" si="114"/>
        <v>2.8989999999999938</v>
      </c>
      <c r="N171" s="88">
        <f t="shared" si="114"/>
        <v>2.9119999999999937</v>
      </c>
      <c r="O171" s="88">
        <f t="shared" si="114"/>
        <v>2.9239999999999937</v>
      </c>
      <c r="P171" s="88">
        <f t="shared" si="114"/>
        <v>2.9379999999999935</v>
      </c>
      <c r="Q171" s="88">
        <f t="shared" si="114"/>
        <v>2.9509999999999934</v>
      </c>
      <c r="R171" s="88">
        <f t="shared" si="114"/>
        <v>2.9629999999999934</v>
      </c>
      <c r="S171" s="88">
        <f t="shared" si="114"/>
        <v>2.9749999999999934</v>
      </c>
      <c r="T171" s="88">
        <f t="shared" si="114"/>
        <v>2.9869999999999934</v>
      </c>
      <c r="U171" s="88">
        <f t="shared" si="114"/>
        <v>2.9989999999999934</v>
      </c>
      <c r="V171" s="88">
        <f t="shared" si="114"/>
        <v>3.0099999999999936</v>
      </c>
      <c r="W171" s="88">
        <f t="shared" si="114"/>
        <v>3.0209999999999937</v>
      </c>
      <c r="X171" s="88">
        <f t="shared" si="114"/>
        <v>3.0309999999999935</v>
      </c>
      <c r="Y171" s="88">
        <f t="shared" si="114"/>
        <v>3.0419999999999936</v>
      </c>
      <c r="Z171" s="88">
        <f t="shared" si="114"/>
        <v>3.0509999999999935</v>
      </c>
      <c r="AA171" s="88">
        <f t="shared" si="114"/>
        <v>3.0609999999999937</v>
      </c>
      <c r="AB171" s="88">
        <f t="shared" si="114"/>
        <v>3.0699999999999936</v>
      </c>
      <c r="AC171" s="88">
        <f t="shared" si="114"/>
        <v>3.0789999999999935</v>
      </c>
      <c r="AD171" s="89">
        <f t="shared" si="114"/>
        <v>3.0869999999999935</v>
      </c>
      <c r="AE171" s="90"/>
      <c r="AF171" s="90"/>
      <c r="AG171" s="90"/>
      <c r="AH171" s="90"/>
      <c r="AI171" s="90"/>
      <c r="AJ171" s="90"/>
      <c r="AK171" s="90"/>
      <c r="AL171" s="90"/>
      <c r="AM171" s="90"/>
      <c r="AN171" s="90"/>
      <c r="AO171" s="90"/>
      <c r="AP171" s="90"/>
      <c r="AQ171" s="90"/>
      <c r="AR171" s="90"/>
      <c r="AS171" s="90"/>
      <c r="BZ171" s="63" t="str">
        <f t="shared" si="77"/>
        <v>4169</v>
      </c>
      <c r="CA171" s="63" t="str">
        <f t="shared" si="76"/>
        <v>5169</v>
      </c>
      <c r="CB171" s="63" t="str">
        <f t="shared" si="78"/>
        <v>6169</v>
      </c>
      <c r="CC171" s="63" t="str">
        <f t="shared" si="79"/>
        <v>7169</v>
      </c>
      <c r="CD171" s="63" t="str">
        <f t="shared" si="80"/>
        <v>8169</v>
      </c>
      <c r="CE171" s="63" t="str">
        <f t="shared" si="81"/>
        <v>9169</v>
      </c>
      <c r="CF171" s="63" t="str">
        <f t="shared" si="82"/>
        <v>10169</v>
      </c>
      <c r="CG171" s="63" t="str">
        <f t="shared" si="83"/>
        <v>11169</v>
      </c>
      <c r="CH171" s="63" t="str">
        <f t="shared" si="84"/>
        <v>12169</v>
      </c>
      <c r="CI171" s="63" t="str">
        <f t="shared" si="85"/>
        <v>13169</v>
      </c>
      <c r="CJ171" s="63" t="str">
        <f t="shared" si="86"/>
        <v>14169</v>
      </c>
      <c r="CK171" s="63" t="str">
        <f t="shared" si="87"/>
        <v>15169</v>
      </c>
      <c r="CL171" s="63" t="str">
        <f t="shared" si="88"/>
        <v>16169</v>
      </c>
      <c r="CM171" s="63" t="str">
        <f t="shared" si="89"/>
        <v>17169</v>
      </c>
      <c r="CN171" s="63" t="str">
        <f t="shared" si="90"/>
        <v>18169</v>
      </c>
      <c r="CO171" s="63" t="str">
        <f t="shared" si="91"/>
        <v>19169</v>
      </c>
      <c r="CP171" s="63" t="str">
        <f t="shared" si="92"/>
        <v>20169</v>
      </c>
      <c r="CQ171" s="63" t="str">
        <f t="shared" si="93"/>
        <v>21169</v>
      </c>
      <c r="CR171" s="63" t="str">
        <f t="shared" si="94"/>
        <v>22169</v>
      </c>
      <c r="CS171" s="63" t="str">
        <f t="shared" si="95"/>
        <v>23169</v>
      </c>
      <c r="CT171" s="63" t="str">
        <f t="shared" si="96"/>
        <v>24169</v>
      </c>
      <c r="CU171" s="63" t="str">
        <f t="shared" si="97"/>
        <v>25169</v>
      </c>
      <c r="CV171" s="63" t="str">
        <f t="shared" si="98"/>
        <v>26169</v>
      </c>
      <c r="CW171" s="63" t="str">
        <f t="shared" si="99"/>
        <v>27169</v>
      </c>
      <c r="CX171" s="63" t="str">
        <f t="shared" si="100"/>
        <v>28169</v>
      </c>
      <c r="CY171" s="63" t="str">
        <f t="shared" si="101"/>
        <v>29169</v>
      </c>
      <c r="CZ171" s="63" t="str">
        <f t="shared" si="102"/>
        <v>30169</v>
      </c>
      <c r="DA171" s="63" t="str">
        <f t="shared" si="103"/>
        <v>31169</v>
      </c>
      <c r="DB171" s="63" t="str">
        <f t="shared" si="104"/>
        <v>32169</v>
      </c>
      <c r="DD171" s="72" t="s">
        <v>299</v>
      </c>
      <c r="DE171" s="92">
        <f t="shared" si="111"/>
        <v>2.7469999999999999</v>
      </c>
      <c r="DF171" s="92">
        <f t="shared" si="111"/>
        <v>2.7629999999999999</v>
      </c>
      <c r="DG171" s="77">
        <f t="shared" si="111"/>
        <v>2.778</v>
      </c>
      <c r="DH171" s="77">
        <f t="shared" si="111"/>
        <v>2.794</v>
      </c>
      <c r="DI171" s="77">
        <f t="shared" si="111"/>
        <v>2.8090000000000002</v>
      </c>
      <c r="DJ171" s="77">
        <f t="shared" si="111"/>
        <v>2.823</v>
      </c>
      <c r="DK171" s="77">
        <f t="shared" si="111"/>
        <v>2.8370000000000002</v>
      </c>
      <c r="DL171" s="77">
        <f t="shared" si="111"/>
        <v>2.85</v>
      </c>
      <c r="DM171" s="77">
        <f t="shared" si="111"/>
        <v>2.863</v>
      </c>
      <c r="DN171" s="77">
        <f t="shared" si="111"/>
        <v>2.8759999999999999</v>
      </c>
      <c r="DO171" s="77">
        <f t="shared" si="111"/>
        <v>2.8879999999999999</v>
      </c>
      <c r="DP171" s="77">
        <f t="shared" si="111"/>
        <v>2.899</v>
      </c>
      <c r="DQ171" s="77">
        <f t="shared" si="111"/>
        <v>2.9119999999999999</v>
      </c>
      <c r="DR171" s="77">
        <f t="shared" si="111"/>
        <v>2.9239999999999999</v>
      </c>
      <c r="DS171" s="77">
        <f t="shared" si="111"/>
        <v>2.9380000000000002</v>
      </c>
      <c r="DT171" s="77">
        <f t="shared" si="111"/>
        <v>2.9510000000000001</v>
      </c>
      <c r="DU171" s="77">
        <f t="shared" si="113"/>
        <v>2.9630000000000001</v>
      </c>
      <c r="DV171" s="77">
        <f t="shared" si="113"/>
        <v>2.9750000000000001</v>
      </c>
      <c r="DW171" s="77">
        <f t="shared" si="113"/>
        <v>2.9870000000000001</v>
      </c>
      <c r="DX171" s="77">
        <f t="shared" si="113"/>
        <v>2.9990000000000001</v>
      </c>
      <c r="DY171" s="77">
        <f t="shared" si="113"/>
        <v>3.01</v>
      </c>
      <c r="DZ171" s="77">
        <f t="shared" si="113"/>
        <v>3.0209999999999999</v>
      </c>
      <c r="EA171" s="77">
        <f t="shared" si="113"/>
        <v>3.0310000000000001</v>
      </c>
      <c r="EB171" s="77">
        <f t="shared" si="113"/>
        <v>3.0419999999999998</v>
      </c>
      <c r="EC171" s="77">
        <f t="shared" si="113"/>
        <v>3.0510000000000002</v>
      </c>
      <c r="ED171" s="77">
        <f t="shared" si="113"/>
        <v>3.0609999999999999</v>
      </c>
      <c r="EE171" s="77">
        <f t="shared" si="113"/>
        <v>3.07</v>
      </c>
      <c r="EF171" s="77">
        <f t="shared" si="115"/>
        <v>3.0790000000000002</v>
      </c>
      <c r="EG171" s="77">
        <f t="shared" si="115"/>
        <v>3.0870000000000002</v>
      </c>
    </row>
    <row r="172" spans="1:137" ht="12.75" customHeight="1">
      <c r="A172" s="93">
        <v>170</v>
      </c>
      <c r="B172" s="94">
        <f t="shared" si="112"/>
        <v>2.7529999999999935</v>
      </c>
      <c r="C172" s="94">
        <f t="shared" si="112"/>
        <v>2.7689999999999935</v>
      </c>
      <c r="D172" s="94">
        <f t="shared" si="112"/>
        <v>2.7839999999999936</v>
      </c>
      <c r="E172" s="94">
        <f t="shared" si="114"/>
        <v>2.7999999999999936</v>
      </c>
      <c r="F172" s="94">
        <f t="shared" si="114"/>
        <v>2.8149999999999933</v>
      </c>
      <c r="G172" s="94">
        <f t="shared" si="114"/>
        <v>2.8289999999999935</v>
      </c>
      <c r="H172" s="94">
        <f t="shared" si="114"/>
        <v>2.8429999999999933</v>
      </c>
      <c r="I172" s="94">
        <f t="shared" si="114"/>
        <v>2.8559999999999932</v>
      </c>
      <c r="J172" s="94">
        <f t="shared" si="114"/>
        <v>2.8689999999999936</v>
      </c>
      <c r="K172" s="94">
        <f t="shared" si="114"/>
        <v>2.8819999999999935</v>
      </c>
      <c r="L172" s="94">
        <f t="shared" si="114"/>
        <v>2.8939999999999935</v>
      </c>
      <c r="M172" s="94">
        <f t="shared" si="114"/>
        <v>2.9049999999999936</v>
      </c>
      <c r="N172" s="94">
        <f t="shared" si="114"/>
        <v>2.9179999999999935</v>
      </c>
      <c r="O172" s="94">
        <f t="shared" si="114"/>
        <v>2.9299999999999935</v>
      </c>
      <c r="P172" s="94">
        <f t="shared" si="114"/>
        <v>2.9439999999999933</v>
      </c>
      <c r="Q172" s="94">
        <f t="shared" si="114"/>
        <v>2.9569999999999932</v>
      </c>
      <c r="R172" s="94">
        <f t="shared" si="114"/>
        <v>2.9689999999999932</v>
      </c>
      <c r="S172" s="94">
        <f t="shared" si="114"/>
        <v>2.9809999999999932</v>
      </c>
      <c r="T172" s="94">
        <f t="shared" si="114"/>
        <v>2.9929999999999932</v>
      </c>
      <c r="U172" s="94">
        <f t="shared" si="114"/>
        <v>3.0049999999999932</v>
      </c>
      <c r="V172" s="94">
        <f t="shared" si="114"/>
        <v>3.0159999999999934</v>
      </c>
      <c r="W172" s="94">
        <f t="shared" si="114"/>
        <v>3.0269999999999935</v>
      </c>
      <c r="X172" s="94">
        <f t="shared" si="114"/>
        <v>3.0369999999999933</v>
      </c>
      <c r="Y172" s="94">
        <f t="shared" si="114"/>
        <v>3.0479999999999934</v>
      </c>
      <c r="Z172" s="94">
        <f t="shared" si="114"/>
        <v>3.0569999999999933</v>
      </c>
      <c r="AA172" s="94">
        <f t="shared" si="114"/>
        <v>3.0669999999999935</v>
      </c>
      <c r="AB172" s="94">
        <f t="shared" si="114"/>
        <v>3.0759999999999934</v>
      </c>
      <c r="AC172" s="94">
        <f t="shared" si="114"/>
        <v>3.0849999999999933</v>
      </c>
      <c r="AD172" s="95">
        <f t="shared" si="114"/>
        <v>3.0929999999999933</v>
      </c>
      <c r="AE172" s="90"/>
      <c r="AF172" s="90"/>
      <c r="AG172" s="90"/>
      <c r="AH172" s="90"/>
      <c r="AI172" s="90"/>
      <c r="AJ172" s="90"/>
      <c r="AK172" s="90"/>
      <c r="AL172" s="90"/>
      <c r="AM172" s="90"/>
      <c r="AN172" s="90"/>
      <c r="AO172" s="90"/>
      <c r="AP172" s="90"/>
      <c r="AQ172" s="90"/>
      <c r="AR172" s="90"/>
      <c r="AS172" s="90"/>
      <c r="BZ172" s="63" t="str">
        <f t="shared" si="77"/>
        <v>4170</v>
      </c>
      <c r="CA172" s="63" t="str">
        <f t="shared" si="76"/>
        <v>5170</v>
      </c>
      <c r="CB172" s="63" t="str">
        <f t="shared" si="78"/>
        <v>6170</v>
      </c>
      <c r="CC172" s="63" t="str">
        <f t="shared" si="79"/>
        <v>7170</v>
      </c>
      <c r="CD172" s="63" t="str">
        <f t="shared" si="80"/>
        <v>8170</v>
      </c>
      <c r="CE172" s="63" t="str">
        <f t="shared" si="81"/>
        <v>9170</v>
      </c>
      <c r="CF172" s="63" t="str">
        <f t="shared" si="82"/>
        <v>10170</v>
      </c>
      <c r="CG172" s="63" t="str">
        <f t="shared" si="83"/>
        <v>11170</v>
      </c>
      <c r="CH172" s="63" t="str">
        <f t="shared" si="84"/>
        <v>12170</v>
      </c>
      <c r="CI172" s="63" t="str">
        <f t="shared" si="85"/>
        <v>13170</v>
      </c>
      <c r="CJ172" s="63" t="str">
        <f t="shared" si="86"/>
        <v>14170</v>
      </c>
      <c r="CK172" s="63" t="str">
        <f t="shared" si="87"/>
        <v>15170</v>
      </c>
      <c r="CL172" s="63" t="str">
        <f t="shared" si="88"/>
        <v>16170</v>
      </c>
      <c r="CM172" s="63" t="str">
        <f t="shared" si="89"/>
        <v>17170</v>
      </c>
      <c r="CN172" s="63" t="str">
        <f t="shared" si="90"/>
        <v>18170</v>
      </c>
      <c r="CO172" s="63" t="str">
        <f t="shared" si="91"/>
        <v>19170</v>
      </c>
      <c r="CP172" s="63" t="str">
        <f t="shared" si="92"/>
        <v>20170</v>
      </c>
      <c r="CQ172" s="63" t="str">
        <f t="shared" si="93"/>
        <v>21170</v>
      </c>
      <c r="CR172" s="63" t="str">
        <f t="shared" si="94"/>
        <v>22170</v>
      </c>
      <c r="CS172" s="63" t="str">
        <f t="shared" si="95"/>
        <v>23170</v>
      </c>
      <c r="CT172" s="63" t="str">
        <f t="shared" si="96"/>
        <v>24170</v>
      </c>
      <c r="CU172" s="63" t="str">
        <f t="shared" si="97"/>
        <v>25170</v>
      </c>
      <c r="CV172" s="63" t="str">
        <f t="shared" si="98"/>
        <v>26170</v>
      </c>
      <c r="CW172" s="63" t="str">
        <f t="shared" si="99"/>
        <v>27170</v>
      </c>
      <c r="CX172" s="63" t="str">
        <f t="shared" si="100"/>
        <v>28170</v>
      </c>
      <c r="CY172" s="63" t="str">
        <f t="shared" si="101"/>
        <v>29170</v>
      </c>
      <c r="CZ172" s="63" t="str">
        <f t="shared" si="102"/>
        <v>30170</v>
      </c>
      <c r="DA172" s="63" t="str">
        <f t="shared" si="103"/>
        <v>31170</v>
      </c>
      <c r="DB172" s="63" t="str">
        <f t="shared" si="104"/>
        <v>32170</v>
      </c>
      <c r="DD172" s="72" t="s">
        <v>300</v>
      </c>
      <c r="DE172" s="92">
        <f>ROUND(B172,3)</f>
        <v>2.7530000000000001</v>
      </c>
      <c r="DF172" s="92">
        <f t="shared" ref="DF172:DT172" si="116">ROUND(C172,3)</f>
        <v>2.7690000000000001</v>
      </c>
      <c r="DG172" s="77">
        <f t="shared" si="116"/>
        <v>2.7839999999999998</v>
      </c>
      <c r="DH172" s="77">
        <f t="shared" si="116"/>
        <v>2.8</v>
      </c>
      <c r="DI172" s="77">
        <f t="shared" si="116"/>
        <v>2.8149999999999999</v>
      </c>
      <c r="DJ172" s="77">
        <f t="shared" si="116"/>
        <v>2.8290000000000002</v>
      </c>
      <c r="DK172" s="77">
        <f t="shared" si="116"/>
        <v>2.843</v>
      </c>
      <c r="DL172" s="77">
        <f t="shared" si="116"/>
        <v>2.8559999999999999</v>
      </c>
      <c r="DM172" s="77">
        <f t="shared" si="116"/>
        <v>2.8690000000000002</v>
      </c>
      <c r="DN172" s="77">
        <f t="shared" si="116"/>
        <v>2.8820000000000001</v>
      </c>
      <c r="DO172" s="77">
        <f t="shared" si="116"/>
        <v>2.8940000000000001</v>
      </c>
      <c r="DP172" s="77">
        <f t="shared" si="116"/>
        <v>2.9049999999999998</v>
      </c>
      <c r="DQ172" s="77">
        <f t="shared" si="116"/>
        <v>2.9180000000000001</v>
      </c>
      <c r="DR172" s="77">
        <f t="shared" si="116"/>
        <v>2.93</v>
      </c>
      <c r="DS172" s="77">
        <f t="shared" si="116"/>
        <v>2.944</v>
      </c>
      <c r="DT172" s="77">
        <f t="shared" si="116"/>
        <v>2.9569999999999999</v>
      </c>
      <c r="DU172" s="77">
        <f t="shared" si="113"/>
        <v>2.9689999999999999</v>
      </c>
      <c r="DV172" s="77">
        <f t="shared" si="113"/>
        <v>2.9809999999999999</v>
      </c>
      <c r="DW172" s="77">
        <f t="shared" si="113"/>
        <v>2.9929999999999999</v>
      </c>
      <c r="DX172" s="77">
        <f t="shared" si="113"/>
        <v>3.0049999999999999</v>
      </c>
      <c r="DY172" s="77">
        <f t="shared" si="113"/>
        <v>3.016</v>
      </c>
      <c r="DZ172" s="77">
        <f t="shared" si="113"/>
        <v>3.0270000000000001</v>
      </c>
      <c r="EA172" s="77">
        <f t="shared" si="113"/>
        <v>3.0369999999999999</v>
      </c>
      <c r="EB172" s="77">
        <f t="shared" si="113"/>
        <v>3.048</v>
      </c>
      <c r="EC172" s="77">
        <f t="shared" si="113"/>
        <v>3.0569999999999999</v>
      </c>
      <c r="ED172" s="77">
        <f t="shared" si="113"/>
        <v>3.0670000000000002</v>
      </c>
      <c r="EE172" s="77">
        <f t="shared" si="113"/>
        <v>3.0760000000000001</v>
      </c>
      <c r="EF172" s="77">
        <f t="shared" si="115"/>
        <v>3.085</v>
      </c>
      <c r="EG172" s="77">
        <f t="shared" si="115"/>
        <v>3.093</v>
      </c>
    </row>
    <row r="173" spans="1:137" ht="12.75" customHeight="1">
      <c r="A173" s="96"/>
      <c r="B173" s="91"/>
      <c r="C173" s="91"/>
      <c r="D173" s="91"/>
      <c r="E173" s="91"/>
      <c r="F173" s="91"/>
      <c r="G173" s="91"/>
      <c r="H173" s="91"/>
      <c r="I173" s="91"/>
      <c r="J173" s="91"/>
      <c r="K173" s="91"/>
      <c r="L173" s="91"/>
      <c r="M173" s="91"/>
      <c r="N173" s="91"/>
      <c r="O173" s="91"/>
      <c r="P173" s="91"/>
      <c r="Q173" s="91"/>
      <c r="R173" s="91"/>
      <c r="S173" s="91"/>
      <c r="T173" s="91"/>
      <c r="U173" s="91"/>
      <c r="V173" s="91"/>
      <c r="W173" s="91"/>
      <c r="X173" s="91"/>
      <c r="Y173" s="91"/>
      <c r="Z173" s="91"/>
      <c r="AA173" s="97"/>
      <c r="AB173" s="97"/>
      <c r="AC173" s="97"/>
      <c r="AD173" s="97"/>
      <c r="AE173" s="97"/>
      <c r="AF173" s="97"/>
      <c r="AG173" s="97"/>
      <c r="AH173" s="97"/>
      <c r="AI173" s="97"/>
      <c r="AJ173" s="97"/>
      <c r="AK173" s="97"/>
      <c r="AL173" s="97"/>
      <c r="AM173" s="97"/>
      <c r="AN173" s="97"/>
      <c r="AO173" s="97"/>
      <c r="AP173" s="97"/>
      <c r="AQ173" s="97"/>
      <c r="AR173" s="97"/>
      <c r="AS173" s="97"/>
    </row>
    <row r="174" spans="1:137" ht="12.75" customHeight="1">
      <c r="A174" s="96"/>
      <c r="B174" s="91"/>
      <c r="C174" s="91"/>
      <c r="D174" s="91"/>
      <c r="E174" s="91"/>
      <c r="F174" s="91"/>
      <c r="G174" s="91"/>
      <c r="H174" s="91"/>
      <c r="I174" s="91"/>
      <c r="J174" s="91"/>
      <c r="K174" s="91"/>
      <c r="L174" s="91"/>
      <c r="M174" s="91"/>
      <c r="N174" s="91"/>
      <c r="O174" s="91"/>
      <c r="P174" s="91"/>
      <c r="Q174" s="91"/>
      <c r="R174" s="91"/>
      <c r="S174" s="91"/>
      <c r="T174" s="91"/>
      <c r="U174" s="91"/>
      <c r="V174" s="91"/>
      <c r="W174" s="91"/>
      <c r="X174" s="91"/>
      <c r="Y174" s="91"/>
      <c r="Z174" s="91"/>
      <c r="AA174" s="97"/>
      <c r="AB174" s="97"/>
      <c r="AC174" s="97"/>
      <c r="AD174" s="97"/>
      <c r="AE174" s="97"/>
      <c r="AF174" s="97"/>
      <c r="AG174" s="97"/>
      <c r="AH174" s="97"/>
      <c r="AI174" s="97"/>
      <c r="AJ174" s="97"/>
      <c r="AK174" s="97"/>
      <c r="AL174" s="97"/>
      <c r="AM174" s="97"/>
      <c r="AN174" s="97"/>
      <c r="AO174" s="97"/>
      <c r="AP174" s="97"/>
      <c r="AQ174" s="97"/>
      <c r="AR174" s="97"/>
      <c r="AS174" s="97"/>
    </row>
    <row r="175" spans="1:137" ht="12.75" customHeight="1">
      <c r="A175" s="96"/>
      <c r="B175" s="91"/>
      <c r="C175" s="91"/>
      <c r="D175" s="91"/>
      <c r="E175" s="91"/>
      <c r="F175" s="91"/>
      <c r="G175" s="91"/>
      <c r="H175" s="91"/>
      <c r="I175" s="91"/>
      <c r="J175" s="91"/>
      <c r="K175" s="91"/>
      <c r="L175" s="91"/>
      <c r="M175" s="91"/>
      <c r="N175" s="91"/>
      <c r="O175" s="91"/>
      <c r="P175" s="91"/>
      <c r="Q175" s="91"/>
      <c r="R175" s="91"/>
      <c r="S175" s="91"/>
      <c r="T175" s="91"/>
      <c r="U175" s="91"/>
      <c r="V175" s="91"/>
      <c r="W175" s="91"/>
      <c r="X175" s="91"/>
      <c r="Y175" s="91"/>
      <c r="Z175" s="91"/>
      <c r="AA175" s="97"/>
      <c r="AB175" s="97"/>
      <c r="AC175" s="97"/>
      <c r="AD175" s="97"/>
      <c r="AE175" s="97"/>
      <c r="AF175" s="97"/>
      <c r="AG175" s="97"/>
      <c r="AH175" s="97"/>
      <c r="AI175" s="97"/>
      <c r="AJ175" s="97"/>
      <c r="AK175" s="97"/>
      <c r="AL175" s="97"/>
      <c r="AM175" s="97"/>
      <c r="AN175" s="97"/>
      <c r="AO175" s="97"/>
      <c r="AP175" s="97"/>
      <c r="AQ175" s="97"/>
      <c r="AR175" s="97"/>
      <c r="AS175" s="97"/>
    </row>
    <row r="176" spans="1:137" ht="12.75" customHeight="1">
      <c r="A176" s="96"/>
      <c r="B176" s="91"/>
      <c r="C176" s="91"/>
      <c r="D176" s="91"/>
      <c r="E176" s="91"/>
      <c r="F176" s="91"/>
      <c r="G176" s="91"/>
      <c r="H176" s="91"/>
      <c r="I176" s="91"/>
      <c r="J176" s="91"/>
      <c r="K176" s="91"/>
      <c r="L176" s="91"/>
      <c r="M176" s="91"/>
      <c r="N176" s="91"/>
      <c r="O176" s="91"/>
      <c r="P176" s="91"/>
      <c r="Q176" s="91"/>
      <c r="R176" s="91"/>
      <c r="S176" s="91"/>
      <c r="T176" s="91"/>
      <c r="U176" s="91"/>
      <c r="V176" s="91"/>
      <c r="W176" s="91"/>
      <c r="X176" s="91"/>
      <c r="Y176" s="91"/>
      <c r="Z176" s="91"/>
      <c r="AA176" s="97"/>
      <c r="AB176" s="97"/>
      <c r="AC176" s="97"/>
      <c r="AD176" s="97"/>
      <c r="AE176" s="97"/>
      <c r="AF176" s="97"/>
      <c r="AG176" s="97"/>
      <c r="AH176" s="97"/>
      <c r="AI176" s="97"/>
      <c r="AJ176" s="97"/>
      <c r="AK176" s="97"/>
      <c r="AL176" s="97"/>
      <c r="AM176" s="97"/>
      <c r="AN176" s="97"/>
      <c r="AO176" s="97"/>
      <c r="AP176" s="97"/>
      <c r="AQ176" s="97"/>
      <c r="AR176" s="97"/>
      <c r="AS176" s="97"/>
    </row>
    <row r="177" spans="1:45" ht="12.75" customHeight="1">
      <c r="A177" s="96"/>
      <c r="B177" s="91"/>
      <c r="C177" s="91"/>
      <c r="D177" s="91"/>
      <c r="E177" s="91"/>
      <c r="F177" s="91"/>
      <c r="G177" s="91"/>
      <c r="H177" s="91"/>
      <c r="I177" s="91"/>
      <c r="J177" s="91"/>
      <c r="K177" s="91"/>
      <c r="L177" s="91"/>
      <c r="M177" s="91"/>
      <c r="N177" s="91"/>
      <c r="O177" s="91"/>
      <c r="P177" s="91"/>
      <c r="Q177" s="91"/>
      <c r="R177" s="91"/>
      <c r="S177" s="91"/>
      <c r="T177" s="91"/>
      <c r="U177" s="91"/>
      <c r="V177" s="91"/>
      <c r="W177" s="91"/>
      <c r="X177" s="91"/>
      <c r="Y177" s="91"/>
      <c r="Z177" s="91"/>
      <c r="AA177" s="97"/>
      <c r="AB177" s="97"/>
      <c r="AC177" s="97"/>
      <c r="AD177" s="97"/>
      <c r="AE177" s="97"/>
      <c r="AF177" s="97"/>
      <c r="AG177" s="97"/>
      <c r="AH177" s="97"/>
      <c r="AI177" s="97"/>
      <c r="AJ177" s="97"/>
      <c r="AK177" s="97"/>
      <c r="AL177" s="97"/>
      <c r="AM177" s="97"/>
      <c r="AN177" s="97"/>
      <c r="AO177" s="97"/>
      <c r="AP177" s="97"/>
      <c r="AQ177" s="97"/>
      <c r="AR177" s="97"/>
      <c r="AS177" s="97"/>
    </row>
    <row r="178" spans="1:45" ht="12.75" customHeight="1">
      <c r="A178" s="96"/>
      <c r="B178" s="91"/>
      <c r="C178" s="91"/>
      <c r="D178" s="91"/>
      <c r="E178" s="91"/>
      <c r="F178" s="91"/>
      <c r="G178" s="91"/>
      <c r="H178" s="91"/>
      <c r="I178" s="91"/>
      <c r="J178" s="91"/>
      <c r="K178" s="91"/>
      <c r="L178" s="91"/>
      <c r="M178" s="91"/>
      <c r="N178" s="91"/>
      <c r="O178" s="91"/>
      <c r="P178" s="91"/>
      <c r="Q178" s="91"/>
      <c r="R178" s="91"/>
      <c r="S178" s="91"/>
      <c r="T178" s="91"/>
      <c r="U178" s="91"/>
      <c r="V178" s="91"/>
      <c r="W178" s="91"/>
      <c r="X178" s="91"/>
      <c r="Y178" s="91"/>
      <c r="Z178" s="91"/>
      <c r="AA178" s="97"/>
      <c r="AB178" s="97"/>
      <c r="AC178" s="97"/>
      <c r="AD178" s="97"/>
      <c r="AE178" s="97"/>
      <c r="AF178" s="97"/>
      <c r="AG178" s="97"/>
      <c r="AH178" s="97"/>
      <c r="AI178" s="97"/>
      <c r="AJ178" s="97"/>
      <c r="AK178" s="97"/>
      <c r="AL178" s="97"/>
      <c r="AM178" s="97"/>
      <c r="AN178" s="97"/>
      <c r="AO178" s="97"/>
      <c r="AP178" s="97"/>
      <c r="AQ178" s="97"/>
      <c r="AR178" s="97"/>
      <c r="AS178" s="97"/>
    </row>
    <row r="179" spans="1:45" ht="12.75" customHeight="1">
      <c r="A179" s="96"/>
      <c r="B179" s="91"/>
      <c r="C179" s="91"/>
      <c r="D179" s="91"/>
      <c r="E179" s="91"/>
      <c r="F179" s="91"/>
      <c r="G179" s="91"/>
      <c r="H179" s="91"/>
      <c r="I179" s="91"/>
      <c r="J179" s="91"/>
      <c r="K179" s="91"/>
      <c r="L179" s="91"/>
      <c r="M179" s="91"/>
      <c r="N179" s="91"/>
      <c r="O179" s="91"/>
      <c r="P179" s="91"/>
      <c r="Q179" s="91"/>
      <c r="R179" s="91"/>
      <c r="S179" s="91"/>
      <c r="T179" s="91"/>
      <c r="U179" s="91"/>
      <c r="V179" s="91"/>
      <c r="W179" s="91"/>
      <c r="X179" s="91"/>
      <c r="Y179" s="91"/>
      <c r="Z179" s="91"/>
      <c r="AA179" s="97"/>
      <c r="AB179" s="97"/>
      <c r="AC179" s="97"/>
      <c r="AD179" s="97"/>
      <c r="AE179" s="97"/>
      <c r="AF179" s="97"/>
      <c r="AG179" s="97"/>
      <c r="AH179" s="97"/>
      <c r="AI179" s="97"/>
      <c r="AJ179" s="97"/>
      <c r="AK179" s="97"/>
      <c r="AL179" s="97"/>
      <c r="AM179" s="97"/>
      <c r="AN179" s="97"/>
      <c r="AO179" s="97"/>
      <c r="AP179" s="97"/>
      <c r="AQ179" s="97"/>
      <c r="AR179" s="97"/>
      <c r="AS179" s="97"/>
    </row>
    <row r="180" spans="1:45" ht="12.75" customHeight="1">
      <c r="A180" s="96"/>
      <c r="B180" s="91"/>
      <c r="C180" s="91"/>
      <c r="D180" s="91"/>
      <c r="E180" s="91"/>
      <c r="F180" s="91"/>
      <c r="G180" s="91"/>
      <c r="H180" s="91"/>
      <c r="I180" s="91"/>
      <c r="J180" s="91"/>
      <c r="K180" s="91"/>
      <c r="L180" s="91"/>
      <c r="M180" s="91"/>
      <c r="N180" s="91"/>
      <c r="O180" s="91"/>
      <c r="P180" s="91"/>
      <c r="Q180" s="91"/>
      <c r="R180" s="91"/>
      <c r="S180" s="91"/>
      <c r="T180" s="91"/>
      <c r="U180" s="91"/>
      <c r="V180" s="91"/>
      <c r="W180" s="91"/>
      <c r="X180" s="91"/>
      <c r="Y180" s="91"/>
      <c r="Z180" s="91"/>
      <c r="AA180" s="97"/>
      <c r="AB180" s="97"/>
      <c r="AC180" s="97"/>
      <c r="AD180" s="97"/>
      <c r="AE180" s="97"/>
      <c r="AF180" s="97"/>
      <c r="AG180" s="97"/>
      <c r="AH180" s="97"/>
      <c r="AI180" s="97"/>
      <c r="AJ180" s="97"/>
      <c r="AK180" s="97"/>
      <c r="AL180" s="97"/>
      <c r="AM180" s="97"/>
      <c r="AN180" s="97"/>
      <c r="AO180" s="97"/>
      <c r="AP180" s="97"/>
      <c r="AQ180" s="97"/>
      <c r="AR180" s="97"/>
      <c r="AS180" s="97"/>
    </row>
    <row r="181" spans="1:45" ht="12.75" customHeight="1">
      <c r="A181" s="96"/>
      <c r="B181" s="91"/>
      <c r="C181" s="91"/>
      <c r="D181" s="91"/>
      <c r="E181" s="91"/>
      <c r="F181" s="91"/>
      <c r="G181" s="91"/>
      <c r="H181" s="91"/>
      <c r="I181" s="91"/>
      <c r="J181" s="91"/>
      <c r="K181" s="91"/>
      <c r="L181" s="91"/>
      <c r="M181" s="91"/>
      <c r="N181" s="91"/>
      <c r="O181" s="91"/>
      <c r="P181" s="91"/>
      <c r="Q181" s="91"/>
      <c r="R181" s="91"/>
      <c r="S181" s="91"/>
      <c r="T181" s="91"/>
      <c r="U181" s="91"/>
      <c r="V181" s="91"/>
      <c r="W181" s="91"/>
      <c r="X181" s="91"/>
      <c r="Y181" s="91"/>
      <c r="Z181" s="91"/>
      <c r="AA181" s="97"/>
      <c r="AB181" s="97"/>
      <c r="AC181" s="97"/>
      <c r="AD181" s="97"/>
      <c r="AE181" s="97"/>
      <c r="AF181" s="97"/>
      <c r="AG181" s="97"/>
      <c r="AH181" s="97"/>
      <c r="AI181" s="97"/>
      <c r="AJ181" s="97"/>
      <c r="AK181" s="97"/>
      <c r="AL181" s="97"/>
      <c r="AM181" s="97"/>
      <c r="AN181" s="97"/>
      <c r="AO181" s="97"/>
      <c r="AP181" s="97"/>
      <c r="AQ181" s="97"/>
      <c r="AR181" s="97"/>
      <c r="AS181" s="97"/>
    </row>
    <row r="182" spans="1:45" ht="12.75" customHeight="1">
      <c r="A182" s="96"/>
      <c r="B182" s="91"/>
      <c r="C182" s="91"/>
      <c r="D182" s="91"/>
      <c r="E182" s="91"/>
      <c r="F182" s="91"/>
      <c r="G182" s="91"/>
      <c r="H182" s="91"/>
      <c r="I182" s="91"/>
      <c r="J182" s="91"/>
      <c r="K182" s="91"/>
      <c r="L182" s="91"/>
      <c r="M182" s="91"/>
      <c r="N182" s="91"/>
      <c r="O182" s="91"/>
      <c r="P182" s="91"/>
      <c r="Q182" s="91"/>
      <c r="R182" s="91"/>
      <c r="S182" s="91"/>
      <c r="T182" s="91"/>
      <c r="U182" s="91"/>
      <c r="V182" s="91"/>
      <c r="W182" s="91"/>
      <c r="X182" s="91"/>
      <c r="Y182" s="91"/>
      <c r="Z182" s="91"/>
      <c r="AA182" s="97"/>
      <c r="AB182" s="97"/>
      <c r="AC182" s="97"/>
      <c r="AD182" s="97"/>
      <c r="AE182" s="97"/>
      <c r="AF182" s="97"/>
      <c r="AG182" s="97"/>
      <c r="AH182" s="97"/>
      <c r="AI182" s="97"/>
      <c r="AJ182" s="97"/>
      <c r="AK182" s="97"/>
      <c r="AL182" s="97"/>
      <c r="AM182" s="97"/>
      <c r="AN182" s="97"/>
      <c r="AO182" s="97"/>
      <c r="AP182" s="97"/>
      <c r="AQ182" s="97"/>
      <c r="AR182" s="97"/>
      <c r="AS182" s="97"/>
    </row>
    <row r="183" spans="1:45" ht="12.75" customHeight="1">
      <c r="A183" s="96"/>
      <c r="B183" s="91"/>
      <c r="C183" s="91"/>
      <c r="D183" s="91"/>
      <c r="E183" s="91"/>
      <c r="F183" s="91"/>
      <c r="G183" s="91"/>
      <c r="H183" s="91"/>
      <c r="I183" s="91"/>
      <c r="J183" s="91"/>
      <c r="K183" s="91"/>
      <c r="L183" s="91"/>
      <c r="M183" s="91"/>
      <c r="N183" s="91"/>
      <c r="O183" s="91"/>
      <c r="P183" s="91"/>
      <c r="Q183" s="91"/>
      <c r="R183" s="91"/>
      <c r="S183" s="91"/>
      <c r="T183" s="91"/>
      <c r="U183" s="91"/>
      <c r="V183" s="91"/>
      <c r="W183" s="91"/>
      <c r="X183" s="91"/>
      <c r="Y183" s="91"/>
      <c r="Z183" s="91"/>
      <c r="AA183" s="97"/>
      <c r="AB183" s="97"/>
      <c r="AC183" s="97"/>
      <c r="AD183" s="97"/>
      <c r="AE183" s="97"/>
      <c r="AF183" s="97"/>
      <c r="AG183" s="97"/>
      <c r="AH183" s="97"/>
      <c r="AI183" s="97"/>
      <c r="AJ183" s="97"/>
      <c r="AK183" s="97"/>
      <c r="AL183" s="97"/>
      <c r="AM183" s="97"/>
      <c r="AN183" s="97"/>
      <c r="AO183" s="97"/>
      <c r="AP183" s="97"/>
      <c r="AQ183" s="97"/>
      <c r="AR183" s="97"/>
      <c r="AS183" s="97"/>
    </row>
    <row r="184" spans="1:45" ht="12.75" customHeight="1">
      <c r="A184" s="96"/>
      <c r="B184" s="91"/>
      <c r="C184" s="91"/>
      <c r="D184" s="91"/>
      <c r="E184" s="91"/>
      <c r="F184" s="91"/>
      <c r="G184" s="91"/>
      <c r="H184" s="91"/>
      <c r="I184" s="91"/>
      <c r="J184" s="91"/>
      <c r="K184" s="91"/>
      <c r="L184" s="91"/>
      <c r="M184" s="91"/>
      <c r="N184" s="91"/>
      <c r="O184" s="91"/>
      <c r="P184" s="91"/>
      <c r="Q184" s="91"/>
      <c r="R184" s="91"/>
      <c r="S184" s="91"/>
      <c r="T184" s="91"/>
      <c r="U184" s="91"/>
      <c r="V184" s="91"/>
      <c r="W184" s="91"/>
      <c r="X184" s="91"/>
      <c r="Y184" s="91"/>
      <c r="Z184" s="91"/>
      <c r="AA184" s="97"/>
      <c r="AB184" s="97"/>
      <c r="AC184" s="97"/>
      <c r="AD184" s="97"/>
      <c r="AE184" s="97"/>
      <c r="AF184" s="97"/>
      <c r="AG184" s="97"/>
      <c r="AH184" s="97"/>
      <c r="AI184" s="97"/>
      <c r="AJ184" s="97"/>
      <c r="AK184" s="97"/>
      <c r="AL184" s="97"/>
      <c r="AM184" s="97"/>
      <c r="AN184" s="97"/>
      <c r="AO184" s="97"/>
      <c r="AP184" s="97"/>
      <c r="AQ184" s="97"/>
      <c r="AR184" s="97"/>
      <c r="AS184" s="97"/>
    </row>
    <row r="185" spans="1:45" ht="12.75" customHeight="1">
      <c r="A185" s="96"/>
      <c r="B185" s="91"/>
      <c r="C185" s="91"/>
      <c r="D185" s="91"/>
      <c r="E185" s="91"/>
      <c r="F185" s="91"/>
      <c r="G185" s="91"/>
      <c r="H185" s="91"/>
      <c r="I185" s="91"/>
      <c r="J185" s="91"/>
      <c r="K185" s="91"/>
      <c r="L185" s="91"/>
      <c r="M185" s="91"/>
      <c r="N185" s="91"/>
      <c r="O185" s="91"/>
      <c r="P185" s="91"/>
      <c r="Q185" s="91"/>
      <c r="R185" s="91"/>
      <c r="S185" s="91"/>
      <c r="T185" s="91"/>
      <c r="U185" s="91"/>
      <c r="V185" s="91"/>
      <c r="W185" s="91"/>
      <c r="X185" s="91"/>
      <c r="Y185" s="91"/>
      <c r="Z185" s="91"/>
      <c r="AA185" s="97"/>
      <c r="AB185" s="97"/>
      <c r="AC185" s="97"/>
      <c r="AD185" s="97"/>
      <c r="AE185" s="97"/>
      <c r="AF185" s="97"/>
      <c r="AG185" s="97"/>
      <c r="AH185" s="97"/>
      <c r="AI185" s="97"/>
      <c r="AJ185" s="97"/>
      <c r="AK185" s="97"/>
      <c r="AL185" s="97"/>
      <c r="AM185" s="97"/>
      <c r="AN185" s="97"/>
      <c r="AO185" s="97"/>
      <c r="AP185" s="97"/>
      <c r="AQ185" s="97"/>
      <c r="AR185" s="97"/>
      <c r="AS185" s="97"/>
    </row>
    <row r="186" spans="1:45" ht="12.75" customHeight="1">
      <c r="A186" s="96"/>
      <c r="B186" s="91"/>
      <c r="C186" s="91"/>
      <c r="D186" s="91"/>
      <c r="E186" s="91"/>
      <c r="F186" s="91"/>
      <c r="G186" s="91"/>
      <c r="H186" s="91"/>
      <c r="I186" s="91"/>
      <c r="J186" s="91"/>
      <c r="K186" s="91"/>
      <c r="L186" s="91"/>
      <c r="M186" s="91"/>
      <c r="N186" s="91"/>
      <c r="O186" s="91"/>
      <c r="P186" s="91"/>
      <c r="Q186" s="91"/>
      <c r="R186" s="91"/>
      <c r="S186" s="91"/>
      <c r="T186" s="91"/>
      <c r="U186" s="91"/>
      <c r="V186" s="91"/>
      <c r="W186" s="91"/>
      <c r="X186" s="91"/>
      <c r="Y186" s="91"/>
      <c r="Z186" s="91"/>
      <c r="AA186" s="97"/>
      <c r="AB186" s="97"/>
      <c r="AC186" s="97"/>
      <c r="AD186" s="97"/>
      <c r="AE186" s="97"/>
      <c r="AF186" s="97"/>
      <c r="AG186" s="97"/>
      <c r="AH186" s="97"/>
      <c r="AI186" s="97"/>
      <c r="AJ186" s="97"/>
      <c r="AK186" s="97"/>
      <c r="AL186" s="97"/>
      <c r="AM186" s="97"/>
      <c r="AN186" s="97"/>
      <c r="AO186" s="97"/>
      <c r="AP186" s="97"/>
      <c r="AQ186" s="97"/>
      <c r="AR186" s="97"/>
      <c r="AS186" s="97"/>
    </row>
    <row r="187" spans="1:45" ht="12.75" customHeight="1">
      <c r="A187" s="96"/>
      <c r="B187" s="91"/>
      <c r="C187" s="91"/>
      <c r="D187" s="91"/>
      <c r="E187" s="91"/>
      <c r="F187" s="91"/>
      <c r="G187" s="91"/>
      <c r="H187" s="91"/>
      <c r="I187" s="91"/>
      <c r="J187" s="91"/>
      <c r="K187" s="91"/>
      <c r="L187" s="91"/>
      <c r="M187" s="91"/>
      <c r="N187" s="91"/>
      <c r="O187" s="91"/>
      <c r="P187" s="91"/>
      <c r="Q187" s="91"/>
      <c r="R187" s="91"/>
      <c r="S187" s="91"/>
      <c r="T187" s="91"/>
      <c r="U187" s="91"/>
      <c r="V187" s="91"/>
      <c r="W187" s="91"/>
      <c r="X187" s="91"/>
      <c r="Y187" s="91"/>
      <c r="Z187" s="91"/>
      <c r="AA187" s="97"/>
      <c r="AB187" s="97"/>
      <c r="AC187" s="97"/>
      <c r="AD187" s="97"/>
      <c r="AE187" s="97"/>
      <c r="AF187" s="97"/>
      <c r="AG187" s="97"/>
      <c r="AH187" s="97"/>
      <c r="AI187" s="97"/>
      <c r="AJ187" s="97"/>
      <c r="AK187" s="97"/>
      <c r="AL187" s="97"/>
      <c r="AM187" s="97"/>
      <c r="AN187" s="97"/>
      <c r="AO187" s="97"/>
      <c r="AP187" s="97"/>
      <c r="AQ187" s="97"/>
      <c r="AR187" s="97"/>
      <c r="AS187" s="97"/>
    </row>
    <row r="188" spans="1:45" ht="12.75" customHeight="1">
      <c r="A188" s="96"/>
      <c r="B188" s="91"/>
      <c r="C188" s="91"/>
      <c r="D188" s="91"/>
      <c r="E188" s="91"/>
      <c r="F188" s="91"/>
      <c r="G188" s="91"/>
      <c r="H188" s="91"/>
      <c r="I188" s="91"/>
      <c r="J188" s="91"/>
      <c r="K188" s="91"/>
      <c r="L188" s="91"/>
      <c r="M188" s="91"/>
      <c r="N188" s="91"/>
      <c r="O188" s="91"/>
      <c r="P188" s="91"/>
      <c r="Q188" s="91"/>
      <c r="R188" s="91"/>
      <c r="S188" s="91"/>
      <c r="T188" s="91"/>
      <c r="U188" s="91"/>
      <c r="V188" s="91"/>
      <c r="W188" s="91"/>
      <c r="X188" s="91"/>
      <c r="Y188" s="91"/>
      <c r="Z188" s="91"/>
      <c r="AA188" s="97"/>
      <c r="AB188" s="97"/>
      <c r="AC188" s="97"/>
      <c r="AD188" s="97"/>
      <c r="AE188" s="97"/>
      <c r="AF188" s="97"/>
      <c r="AG188" s="97"/>
      <c r="AH188" s="97"/>
      <c r="AI188" s="97"/>
      <c r="AJ188" s="97"/>
      <c r="AK188" s="97"/>
      <c r="AL188" s="97"/>
      <c r="AM188" s="97"/>
      <c r="AN188" s="97"/>
      <c r="AO188" s="97"/>
      <c r="AP188" s="97"/>
      <c r="AQ188" s="97"/>
      <c r="AR188" s="97"/>
      <c r="AS188" s="97"/>
    </row>
    <row r="189" spans="1:45" ht="12.75" customHeight="1">
      <c r="A189" s="96"/>
      <c r="B189" s="91"/>
      <c r="C189" s="91"/>
      <c r="D189" s="91"/>
      <c r="E189" s="91"/>
      <c r="F189" s="91"/>
      <c r="G189" s="91"/>
      <c r="H189" s="91"/>
      <c r="I189" s="91"/>
      <c r="J189" s="91"/>
      <c r="K189" s="91"/>
      <c r="L189" s="91"/>
      <c r="M189" s="91"/>
      <c r="N189" s="91"/>
      <c r="O189" s="91"/>
      <c r="P189" s="91"/>
      <c r="Q189" s="91"/>
      <c r="R189" s="91"/>
      <c r="S189" s="91"/>
      <c r="T189" s="91"/>
      <c r="U189" s="91"/>
      <c r="V189" s="91"/>
      <c r="W189" s="91"/>
      <c r="X189" s="91"/>
      <c r="Y189" s="91"/>
      <c r="Z189" s="91"/>
      <c r="AA189" s="97"/>
      <c r="AB189" s="97"/>
      <c r="AC189" s="97"/>
      <c r="AD189" s="97"/>
      <c r="AE189" s="97"/>
      <c r="AF189" s="97"/>
      <c r="AG189" s="97"/>
      <c r="AH189" s="97"/>
      <c r="AI189" s="97"/>
      <c r="AJ189" s="97"/>
      <c r="AK189" s="97"/>
      <c r="AL189" s="97"/>
      <c r="AM189" s="97"/>
      <c r="AN189" s="97"/>
      <c r="AO189" s="97"/>
      <c r="AP189" s="97"/>
      <c r="AQ189" s="97"/>
      <c r="AR189" s="97"/>
      <c r="AS189" s="97"/>
    </row>
    <row r="190" spans="1:45" ht="12.75" customHeight="1">
      <c r="A190" s="91"/>
      <c r="B190" s="91"/>
      <c r="C190" s="91"/>
      <c r="D190" s="91"/>
      <c r="E190" s="91"/>
      <c r="F190" s="91"/>
      <c r="G190" s="91"/>
      <c r="H190" s="91"/>
      <c r="I190" s="91"/>
      <c r="J190" s="91"/>
      <c r="K190" s="91"/>
      <c r="L190" s="91"/>
      <c r="M190" s="91"/>
      <c r="N190" s="91"/>
      <c r="O190" s="91"/>
      <c r="P190" s="91"/>
      <c r="Q190" s="91"/>
      <c r="R190" s="91"/>
      <c r="S190" s="91"/>
      <c r="T190" s="91"/>
      <c r="U190" s="91"/>
      <c r="V190" s="91"/>
      <c r="W190" s="91"/>
      <c r="X190" s="91"/>
      <c r="Y190" s="91"/>
      <c r="Z190" s="91"/>
      <c r="AA190" s="97"/>
      <c r="AB190" s="97"/>
      <c r="AC190" s="97"/>
      <c r="AD190" s="97"/>
      <c r="AE190" s="97"/>
      <c r="AF190" s="97"/>
      <c r="AG190" s="97"/>
      <c r="AH190" s="97"/>
      <c r="AI190" s="97"/>
      <c r="AJ190" s="97"/>
      <c r="AK190" s="97"/>
      <c r="AL190" s="97"/>
      <c r="AM190" s="97"/>
      <c r="AN190" s="97"/>
      <c r="AO190" s="97"/>
      <c r="AP190" s="97"/>
      <c r="AQ190" s="97"/>
      <c r="AR190" s="97"/>
      <c r="AS190" s="97"/>
    </row>
    <row r="191" spans="1:45" ht="21" customHeight="1">
      <c r="A191" s="91"/>
      <c r="B191" s="91"/>
      <c r="C191" s="91"/>
      <c r="D191" s="91"/>
      <c r="E191" s="91"/>
      <c r="F191" s="91"/>
      <c r="G191" s="91"/>
      <c r="H191" s="91"/>
      <c r="I191" s="91"/>
      <c r="J191" s="91"/>
      <c r="K191" s="91"/>
      <c r="L191" s="91"/>
      <c r="M191" s="91"/>
      <c r="N191" s="91"/>
      <c r="O191" s="91"/>
      <c r="P191" s="91"/>
      <c r="Q191" s="91"/>
      <c r="R191" s="91"/>
      <c r="S191" s="91"/>
      <c r="T191" s="91"/>
      <c r="U191" s="91"/>
      <c r="V191" s="91"/>
      <c r="W191" s="91"/>
      <c r="X191" s="91"/>
      <c r="Y191" s="91"/>
      <c r="Z191" s="91"/>
      <c r="AA191" s="97"/>
      <c r="AB191" s="97"/>
      <c r="AC191" s="97"/>
      <c r="AD191" s="97"/>
      <c r="AE191" s="97"/>
      <c r="AF191" s="97"/>
      <c r="AG191" s="97"/>
      <c r="AH191" s="97"/>
      <c r="AI191" s="97"/>
      <c r="AJ191" s="97"/>
      <c r="AK191" s="97"/>
      <c r="AL191" s="97"/>
      <c r="AM191" s="97"/>
      <c r="AN191" s="97"/>
      <c r="AO191" s="97"/>
      <c r="AP191" s="97"/>
      <c r="AQ191" s="97"/>
      <c r="AR191" s="97"/>
      <c r="AS191" s="97"/>
    </row>
    <row r="192" spans="1:45" ht="14.25" customHeight="1">
      <c r="A192" s="91"/>
      <c r="B192" s="98" t="s">
        <v>301</v>
      </c>
      <c r="C192" s="91"/>
      <c r="D192" s="91"/>
      <c r="E192" s="91"/>
      <c r="F192" s="91"/>
      <c r="G192" s="91"/>
      <c r="H192" s="91"/>
      <c r="I192" s="91"/>
      <c r="J192" s="91"/>
      <c r="K192" s="91"/>
      <c r="L192" s="91"/>
      <c r="M192" s="91"/>
      <c r="N192" s="91"/>
      <c r="O192" s="91"/>
      <c r="P192" s="91"/>
      <c r="Q192" s="91"/>
      <c r="R192" s="91"/>
      <c r="S192" s="91"/>
      <c r="T192" s="99" t="s">
        <v>302</v>
      </c>
      <c r="V192" s="91"/>
      <c r="W192" s="91"/>
      <c r="X192" s="91"/>
      <c r="Y192" s="91"/>
      <c r="Z192" s="91"/>
      <c r="AA192" s="62"/>
      <c r="AB192" s="100"/>
      <c r="AC192" s="100"/>
      <c r="AD192" s="100"/>
      <c r="AE192" s="100"/>
      <c r="AF192" s="100"/>
      <c r="AG192" s="100"/>
      <c r="AH192" s="100"/>
      <c r="AI192" s="100"/>
      <c r="AJ192" s="100"/>
      <c r="AK192" s="100"/>
      <c r="AL192" s="100"/>
      <c r="AM192" s="100"/>
      <c r="AN192" s="100"/>
      <c r="AO192" s="100"/>
      <c r="AP192" s="100"/>
      <c r="AQ192" s="100"/>
      <c r="AR192" s="100"/>
      <c r="AS192" s="100"/>
    </row>
    <row r="193" spans="1:24" ht="16.5" customHeight="1">
      <c r="A193" s="63" t="s">
        <v>11</v>
      </c>
      <c r="B193" s="101" t="s">
        <v>303</v>
      </c>
      <c r="X193" s="102"/>
    </row>
    <row r="194" spans="1:24">
      <c r="A194" s="63" t="s">
        <v>11</v>
      </c>
      <c r="B194" s="101" t="s">
        <v>304</v>
      </c>
    </row>
    <row r="195" spans="1:24">
      <c r="A195" s="63" t="s">
        <v>11</v>
      </c>
      <c r="B195" s="103" t="s">
        <v>305</v>
      </c>
    </row>
    <row r="196" spans="1:24">
      <c r="B196" s="101" t="s">
        <v>306</v>
      </c>
    </row>
    <row r="197" spans="1:24">
      <c r="B197" s="101" t="s">
        <v>307</v>
      </c>
    </row>
  </sheetData>
  <mergeCells count="2">
    <mergeCell ref="A2:M2"/>
    <mergeCell ref="BZ2:DB2"/>
  </mergeCells>
  <pageMargins left="0.25" right="0.18" top="0" bottom="0" header="0" footer="0"/>
  <pageSetup paperSize="9" scale="88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:AJ454"/>
  <sheetViews>
    <sheetView topLeftCell="D1" workbookViewId="0">
      <selection activeCell="Z1" sqref="Z1"/>
    </sheetView>
  </sheetViews>
  <sheetFormatPr defaultColWidth="14.42578125" defaultRowHeight="15" customHeight="1"/>
  <cols>
    <col min="1" max="1" width="91.140625" style="2" customWidth="1"/>
    <col min="2" max="2" width="17.140625" style="2" customWidth="1"/>
    <col min="3" max="3" width="12.5703125" style="2" customWidth="1"/>
    <col min="4" max="4" width="13.28515625" style="2" customWidth="1"/>
    <col min="5" max="25" width="2.7109375" style="2" customWidth="1"/>
    <col min="26" max="26" width="14.42578125" style="2"/>
    <col min="27" max="27" width="9.85546875" style="2" customWidth="1"/>
    <col min="28" max="28" width="14.42578125" style="2"/>
    <col min="29" max="29" width="14.42578125" style="17"/>
    <col min="30" max="16384" width="14.42578125" style="2"/>
  </cols>
  <sheetData>
    <row r="1" spans="1:36" ht="14.25">
      <c r="A1" s="1"/>
      <c r="B1" s="10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>
        <v>38</v>
      </c>
      <c r="AA1" s="1"/>
      <c r="AB1" s="1" t="s">
        <v>0</v>
      </c>
      <c r="AC1" s="16" t="s">
        <v>1</v>
      </c>
    </row>
    <row r="2" spans="1:36" ht="14.25">
      <c r="A2" s="1"/>
      <c r="B2" s="11"/>
      <c r="C2" s="1"/>
      <c r="D2" s="1"/>
      <c r="Z2" s="1" t="str">
        <f>+ADDRESS(4,28,4)&amp;":"&amp;ADDRESS(Z1+4,28+Z3,4)</f>
        <v>AB4:AC42</v>
      </c>
      <c r="AB2" s="3" t="s">
        <v>2</v>
      </c>
    </row>
    <row r="3" spans="1:36" ht="14.25">
      <c r="A3" s="1"/>
      <c r="B3" s="11"/>
      <c r="C3" s="1"/>
      <c r="D3" s="1"/>
      <c r="Z3" s="1">
        <v>1</v>
      </c>
      <c r="AA3" s="1"/>
      <c r="AC3" s="17" t="s">
        <v>4</v>
      </c>
    </row>
    <row r="4" spans="1:36" ht="14.25">
      <c r="A4" s="1"/>
      <c r="B4" s="11"/>
      <c r="C4" s="1"/>
      <c r="D4" s="1"/>
      <c r="Z4" s="1"/>
      <c r="AA4" s="2" t="s">
        <v>3</v>
      </c>
      <c r="AB4" s="2" t="s">
        <v>13</v>
      </c>
      <c r="AC4" s="17" t="s">
        <v>12</v>
      </c>
      <c r="AD4" s="12" t="s">
        <v>323</v>
      </c>
      <c r="AE4" s="2" t="s">
        <v>12</v>
      </c>
      <c r="AF4" s="2" t="s">
        <v>12</v>
      </c>
      <c r="AG4" s="2" t="s">
        <v>12</v>
      </c>
      <c r="AH4" s="2" t="s">
        <v>12</v>
      </c>
      <c r="AI4" s="2" t="s">
        <v>12</v>
      </c>
      <c r="AJ4" s="2" t="s">
        <v>12</v>
      </c>
    </row>
    <row r="5" spans="1:36" ht="14.25">
      <c r="A5" s="1"/>
      <c r="B5" s="11"/>
      <c r="C5" s="1"/>
      <c r="D5" s="1"/>
      <c r="K5" s="15"/>
      <c r="L5" s="15"/>
      <c r="Z5" s="1"/>
      <c r="AA5" s="1" t="s">
        <v>339</v>
      </c>
      <c r="AB5" s="2" t="s">
        <v>340</v>
      </c>
      <c r="AC5" s="17">
        <v>0</v>
      </c>
      <c r="AD5" s="2">
        <v>0</v>
      </c>
      <c r="AE5" s="2">
        <v>0</v>
      </c>
      <c r="AF5" s="2">
        <v>0</v>
      </c>
      <c r="AG5" s="2">
        <v>0</v>
      </c>
      <c r="AH5" s="2">
        <v>0</v>
      </c>
      <c r="AI5" s="2">
        <v>0</v>
      </c>
      <c r="AJ5" s="2">
        <v>0</v>
      </c>
    </row>
    <row r="6" spans="1:36" ht="14.25">
      <c r="A6" s="1"/>
      <c r="B6" s="11"/>
      <c r="C6" s="1"/>
      <c r="D6" s="1"/>
      <c r="K6" s="15"/>
      <c r="L6" s="15"/>
      <c r="Z6" s="1"/>
      <c r="AA6" s="1" t="s">
        <v>341</v>
      </c>
      <c r="AB6" s="2" t="s">
        <v>342</v>
      </c>
      <c r="AC6" s="17">
        <v>0</v>
      </c>
      <c r="AD6" s="2">
        <v>0</v>
      </c>
      <c r="AE6" s="2">
        <v>0</v>
      </c>
      <c r="AF6" s="2">
        <v>0</v>
      </c>
      <c r="AG6" s="2">
        <v>0</v>
      </c>
      <c r="AH6" s="2">
        <v>0</v>
      </c>
      <c r="AI6" s="2">
        <v>0</v>
      </c>
      <c r="AJ6" s="2">
        <v>0</v>
      </c>
    </row>
    <row r="7" spans="1:36" ht="14.25">
      <c r="A7" s="1"/>
      <c r="B7" s="11"/>
      <c r="C7" s="1"/>
      <c r="D7" s="1"/>
      <c r="K7" s="15"/>
      <c r="Z7" s="1"/>
      <c r="AA7" s="1" t="s">
        <v>343</v>
      </c>
      <c r="AB7" s="2" t="s">
        <v>344</v>
      </c>
      <c r="AC7" s="17">
        <v>0</v>
      </c>
      <c r="AD7" s="2">
        <v>0</v>
      </c>
      <c r="AE7" s="2">
        <v>50</v>
      </c>
      <c r="AF7" s="2">
        <v>50</v>
      </c>
      <c r="AG7" s="2">
        <v>50</v>
      </c>
      <c r="AH7" s="2">
        <v>50</v>
      </c>
      <c r="AI7" s="2">
        <v>50</v>
      </c>
      <c r="AJ7" s="2">
        <v>50</v>
      </c>
    </row>
    <row r="8" spans="1:36" ht="14.25">
      <c r="A8" s="1"/>
      <c r="B8" s="11"/>
      <c r="C8" s="1"/>
      <c r="D8" s="1"/>
      <c r="K8" s="15"/>
      <c r="AA8" s="1" t="s">
        <v>345</v>
      </c>
      <c r="AB8" s="2" t="s">
        <v>346</v>
      </c>
      <c r="AC8" s="17">
        <v>0</v>
      </c>
      <c r="AD8" s="2">
        <v>0</v>
      </c>
      <c r="AE8" s="2">
        <v>0</v>
      </c>
      <c r="AF8" s="2">
        <v>0</v>
      </c>
      <c r="AG8" s="2">
        <v>0</v>
      </c>
      <c r="AH8" s="2">
        <v>0</v>
      </c>
      <c r="AI8" s="2">
        <v>0</v>
      </c>
      <c r="AJ8" s="2">
        <v>0</v>
      </c>
    </row>
    <row r="9" spans="1:36" ht="14.25">
      <c r="A9" s="1"/>
      <c r="B9" s="11"/>
      <c r="C9" s="1"/>
      <c r="D9" s="1"/>
      <c r="K9" s="15"/>
      <c r="AA9" s="1" t="s">
        <v>347</v>
      </c>
      <c r="AB9" s="2" t="s">
        <v>348</v>
      </c>
      <c r="AC9" s="17">
        <v>0</v>
      </c>
      <c r="AD9" s="2">
        <v>0</v>
      </c>
      <c r="AE9" s="2">
        <v>0</v>
      </c>
      <c r="AF9" s="2">
        <v>0</v>
      </c>
      <c r="AG9" s="2">
        <v>0</v>
      </c>
      <c r="AH9" s="2">
        <v>0</v>
      </c>
      <c r="AI9" s="2">
        <v>0</v>
      </c>
      <c r="AJ9" s="2">
        <v>0</v>
      </c>
    </row>
    <row r="10" spans="1:36" ht="14.25">
      <c r="A10" s="1"/>
      <c r="B10" s="11"/>
      <c r="C10" s="1"/>
      <c r="D10" s="1"/>
      <c r="K10" s="15"/>
      <c r="AA10" s="1" t="s">
        <v>349</v>
      </c>
      <c r="AB10" s="2" t="s">
        <v>350</v>
      </c>
      <c r="AC10" s="17">
        <v>0</v>
      </c>
      <c r="AD10" s="2">
        <v>0</v>
      </c>
      <c r="AE10" s="2">
        <v>0</v>
      </c>
      <c r="AF10" s="2">
        <v>0</v>
      </c>
      <c r="AG10" s="2">
        <v>0</v>
      </c>
      <c r="AH10" s="2">
        <v>0</v>
      </c>
      <c r="AI10" s="2">
        <v>0</v>
      </c>
      <c r="AJ10" s="2">
        <v>0</v>
      </c>
    </row>
    <row r="11" spans="1:36" ht="14.25">
      <c r="A11" s="1"/>
      <c r="B11" s="11"/>
      <c r="C11" s="1"/>
      <c r="D11" s="1"/>
      <c r="K11" s="15"/>
      <c r="AA11" s="1" t="s">
        <v>351</v>
      </c>
      <c r="AB11" s="2" t="s">
        <v>352</v>
      </c>
      <c r="AC11" s="17">
        <v>0</v>
      </c>
      <c r="AD11" s="2">
        <v>0</v>
      </c>
      <c r="AE11" s="2">
        <v>0</v>
      </c>
      <c r="AF11" s="2">
        <v>0</v>
      </c>
      <c r="AG11" s="2">
        <v>0</v>
      </c>
      <c r="AH11" s="2">
        <v>0</v>
      </c>
      <c r="AI11" s="2">
        <v>0</v>
      </c>
      <c r="AJ11" s="2">
        <v>0</v>
      </c>
    </row>
    <row r="12" spans="1:36" ht="14.25">
      <c r="A12" s="1"/>
      <c r="B12" s="11"/>
      <c r="C12" s="1"/>
      <c r="D12" s="1"/>
      <c r="K12" s="15"/>
      <c r="AA12" s="1" t="s">
        <v>353</v>
      </c>
      <c r="AB12" s="2" t="s">
        <v>354</v>
      </c>
      <c r="AC12" s="17">
        <v>0</v>
      </c>
      <c r="AD12" s="2">
        <v>0</v>
      </c>
      <c r="AE12" s="2">
        <v>0</v>
      </c>
      <c r="AF12" s="2">
        <v>0</v>
      </c>
      <c r="AG12" s="2">
        <v>0</v>
      </c>
      <c r="AH12" s="2">
        <v>0</v>
      </c>
      <c r="AI12" s="2">
        <v>0</v>
      </c>
      <c r="AJ12" s="2">
        <v>0</v>
      </c>
    </row>
    <row r="13" spans="1:36" ht="14.25">
      <c r="A13" s="1"/>
      <c r="B13" s="11"/>
      <c r="C13" s="1"/>
      <c r="D13" s="1"/>
      <c r="K13" s="15"/>
      <c r="AA13" s="1" t="s">
        <v>355</v>
      </c>
      <c r="AB13" s="2" t="s">
        <v>356</v>
      </c>
      <c r="AC13" s="17">
        <v>0</v>
      </c>
      <c r="AD13" s="2">
        <v>0</v>
      </c>
      <c r="AE13" s="2">
        <v>0</v>
      </c>
      <c r="AF13" s="2">
        <v>0</v>
      </c>
      <c r="AG13" s="2">
        <v>0</v>
      </c>
      <c r="AH13" s="2">
        <v>0</v>
      </c>
      <c r="AI13" s="2">
        <v>0</v>
      </c>
      <c r="AJ13" s="2">
        <v>0</v>
      </c>
    </row>
    <row r="14" spans="1:36" ht="14.25">
      <c r="A14" s="1"/>
      <c r="B14" s="11"/>
      <c r="C14" s="1"/>
      <c r="D14" s="1"/>
      <c r="K14" s="15"/>
      <c r="AA14" s="1" t="s">
        <v>357</v>
      </c>
      <c r="AB14" s="2" t="s">
        <v>358</v>
      </c>
      <c r="AC14" s="17">
        <v>0</v>
      </c>
      <c r="AD14" s="2">
        <v>0</v>
      </c>
      <c r="AE14" s="2">
        <v>0</v>
      </c>
      <c r="AF14" s="2">
        <v>0</v>
      </c>
      <c r="AG14" s="2">
        <v>0</v>
      </c>
      <c r="AH14" s="2">
        <v>0</v>
      </c>
      <c r="AI14" s="2">
        <v>0</v>
      </c>
      <c r="AJ14" s="2">
        <v>0</v>
      </c>
    </row>
    <row r="15" spans="1:36" ht="14.25">
      <c r="A15" s="1"/>
      <c r="B15" s="11"/>
      <c r="C15" s="1"/>
      <c r="D15" s="1"/>
      <c r="K15" s="15"/>
      <c r="AA15" s="1" t="s">
        <v>359</v>
      </c>
      <c r="AB15" s="2" t="s">
        <v>360</v>
      </c>
      <c r="AC15" s="17">
        <v>0</v>
      </c>
      <c r="AD15" s="2">
        <v>0</v>
      </c>
      <c r="AE15" s="2">
        <v>0</v>
      </c>
      <c r="AF15" s="2">
        <v>0</v>
      </c>
      <c r="AG15" s="2">
        <v>0</v>
      </c>
      <c r="AH15" s="2">
        <v>0</v>
      </c>
      <c r="AI15" s="2">
        <v>0</v>
      </c>
      <c r="AJ15" s="2">
        <v>0</v>
      </c>
    </row>
    <row r="16" spans="1:36" ht="14.25">
      <c r="A16" s="1"/>
      <c r="B16" s="11"/>
      <c r="C16" s="1"/>
      <c r="D16" s="1"/>
      <c r="K16" s="15"/>
      <c r="AA16" s="1" t="s">
        <v>361</v>
      </c>
      <c r="AB16" s="2" t="s">
        <v>362</v>
      </c>
      <c r="AC16" s="17">
        <v>0</v>
      </c>
      <c r="AD16" s="2">
        <v>0</v>
      </c>
      <c r="AE16" s="2">
        <v>0</v>
      </c>
      <c r="AF16" s="2">
        <v>0</v>
      </c>
      <c r="AG16" s="2">
        <v>0</v>
      </c>
      <c r="AH16" s="2">
        <v>0</v>
      </c>
      <c r="AI16" s="2">
        <v>0</v>
      </c>
      <c r="AJ16" s="2">
        <v>0</v>
      </c>
    </row>
    <row r="17" spans="1:36" ht="14.25">
      <c r="A17" s="1"/>
      <c r="B17" s="11"/>
      <c r="C17" s="1"/>
      <c r="D17" s="1"/>
      <c r="AA17" s="2" t="s">
        <v>363</v>
      </c>
      <c r="AB17" s="2" t="s">
        <v>364</v>
      </c>
      <c r="AC17" s="17">
        <v>0</v>
      </c>
      <c r="AD17" s="2">
        <v>0</v>
      </c>
      <c r="AE17" s="2">
        <v>0</v>
      </c>
      <c r="AF17" s="2">
        <v>0</v>
      </c>
      <c r="AG17" s="2">
        <v>0</v>
      </c>
      <c r="AH17" s="2">
        <v>0</v>
      </c>
      <c r="AI17" s="2">
        <v>0</v>
      </c>
      <c r="AJ17" s="2">
        <v>0</v>
      </c>
    </row>
    <row r="18" spans="1:36" ht="14.25">
      <c r="A18" s="1"/>
      <c r="B18" s="11"/>
      <c r="C18" s="1"/>
      <c r="D18" s="1"/>
      <c r="AA18" s="2" t="s">
        <v>365</v>
      </c>
      <c r="AB18" s="2" t="s">
        <v>366</v>
      </c>
      <c r="AC18" s="17">
        <v>0</v>
      </c>
      <c r="AD18" s="2">
        <v>0</v>
      </c>
      <c r="AE18" s="2">
        <v>0</v>
      </c>
      <c r="AF18" s="2">
        <v>0</v>
      </c>
      <c r="AG18" s="2">
        <v>0</v>
      </c>
      <c r="AH18" s="2">
        <v>0</v>
      </c>
      <c r="AI18" s="2">
        <v>0</v>
      </c>
      <c r="AJ18" s="2">
        <v>0</v>
      </c>
    </row>
    <row r="19" spans="1:36" ht="14.25">
      <c r="A19" s="1"/>
      <c r="B19" s="11"/>
      <c r="C19" s="1"/>
      <c r="D19" s="1"/>
      <c r="AA19" s="2" t="s">
        <v>367</v>
      </c>
      <c r="AB19" s="2" t="s">
        <v>368</v>
      </c>
      <c r="AC19" s="17">
        <v>0</v>
      </c>
      <c r="AD19" s="2">
        <v>0</v>
      </c>
      <c r="AE19" s="2">
        <v>0</v>
      </c>
      <c r="AF19" s="2">
        <v>0</v>
      </c>
      <c r="AG19" s="2">
        <v>0</v>
      </c>
      <c r="AH19" s="2">
        <v>0</v>
      </c>
      <c r="AI19" s="2">
        <v>0</v>
      </c>
      <c r="AJ19" s="2">
        <v>0</v>
      </c>
    </row>
    <row r="20" spans="1:36" ht="14.25">
      <c r="A20" s="1"/>
      <c r="B20" s="11"/>
      <c r="C20" s="1"/>
      <c r="D20" s="1"/>
      <c r="AA20" s="2" t="s">
        <v>369</v>
      </c>
      <c r="AB20" s="2" t="s">
        <v>370</v>
      </c>
      <c r="AC20" s="17">
        <v>0</v>
      </c>
      <c r="AD20" s="2">
        <v>0</v>
      </c>
      <c r="AE20" s="2">
        <v>0</v>
      </c>
      <c r="AF20" s="2">
        <v>0</v>
      </c>
      <c r="AG20" s="2">
        <v>0</v>
      </c>
      <c r="AH20" s="2">
        <v>0</v>
      </c>
      <c r="AI20" s="2">
        <v>0</v>
      </c>
      <c r="AJ20" s="2">
        <v>0</v>
      </c>
    </row>
    <row r="21" spans="1:36" ht="15.75" customHeight="1">
      <c r="A21" s="1"/>
      <c r="B21" s="11"/>
      <c r="C21" s="1"/>
      <c r="D21" s="1"/>
      <c r="AA21" s="2" t="s">
        <v>371</v>
      </c>
      <c r="AB21" s="2" t="s">
        <v>372</v>
      </c>
      <c r="AC21" s="17">
        <v>0</v>
      </c>
      <c r="AD21" s="2">
        <v>0</v>
      </c>
      <c r="AE21" s="2">
        <v>0</v>
      </c>
      <c r="AF21" s="2">
        <v>0</v>
      </c>
      <c r="AG21" s="2">
        <v>0</v>
      </c>
      <c r="AH21" s="2">
        <v>0</v>
      </c>
      <c r="AI21" s="2">
        <v>0</v>
      </c>
      <c r="AJ21" s="2">
        <v>0</v>
      </c>
    </row>
    <row r="22" spans="1:36" ht="15.75" customHeight="1">
      <c r="A22" s="1"/>
      <c r="B22" s="11"/>
      <c r="C22" s="1"/>
      <c r="D22" s="1"/>
      <c r="AA22" s="2" t="s">
        <v>373</v>
      </c>
      <c r="AB22" s="2" t="s">
        <v>374</v>
      </c>
      <c r="AC22" s="17">
        <v>0</v>
      </c>
      <c r="AD22" s="2">
        <v>0</v>
      </c>
      <c r="AE22" s="2">
        <v>0</v>
      </c>
      <c r="AF22" s="2">
        <v>0</v>
      </c>
      <c r="AG22" s="2">
        <v>0</v>
      </c>
      <c r="AH22" s="2">
        <v>0</v>
      </c>
      <c r="AI22" s="2">
        <v>0</v>
      </c>
      <c r="AJ22" s="2">
        <v>0</v>
      </c>
    </row>
    <row r="23" spans="1:36" ht="15.75" customHeight="1">
      <c r="A23" s="1"/>
      <c r="B23" s="11"/>
      <c r="C23" s="1"/>
      <c r="D23" s="1"/>
      <c r="AA23" s="2" t="s">
        <v>375</v>
      </c>
      <c r="AB23" s="2" t="s">
        <v>376</v>
      </c>
      <c r="AC23" s="17">
        <v>0</v>
      </c>
      <c r="AD23" s="2">
        <v>0</v>
      </c>
      <c r="AE23" s="2">
        <v>0</v>
      </c>
      <c r="AF23" s="2">
        <v>0</v>
      </c>
      <c r="AG23" s="2">
        <v>0</v>
      </c>
      <c r="AH23" s="2">
        <v>0</v>
      </c>
      <c r="AI23" s="2">
        <v>0</v>
      </c>
      <c r="AJ23" s="2">
        <v>0</v>
      </c>
    </row>
    <row r="24" spans="1:36" ht="15.75" customHeight="1">
      <c r="A24" s="1"/>
      <c r="B24" s="11"/>
      <c r="C24" s="1"/>
      <c r="D24" s="1"/>
      <c r="AA24" s="2" t="s">
        <v>377</v>
      </c>
      <c r="AB24" s="2" t="s">
        <v>378</v>
      </c>
      <c r="AC24" s="17">
        <v>0</v>
      </c>
      <c r="AD24" s="2">
        <v>0</v>
      </c>
      <c r="AE24" s="2">
        <v>0</v>
      </c>
      <c r="AF24" s="2">
        <v>0</v>
      </c>
      <c r="AG24" s="2">
        <v>0</v>
      </c>
      <c r="AH24" s="2">
        <v>0</v>
      </c>
      <c r="AI24" s="2">
        <v>0</v>
      </c>
      <c r="AJ24" s="2">
        <v>0</v>
      </c>
    </row>
    <row r="25" spans="1:36" ht="15.75" customHeight="1">
      <c r="A25" s="1"/>
      <c r="B25" s="11"/>
      <c r="C25" s="1"/>
      <c r="D25" s="1"/>
      <c r="AA25" s="2" t="s">
        <v>379</v>
      </c>
      <c r="AB25" s="2" t="s">
        <v>380</v>
      </c>
      <c r="AC25" s="17">
        <v>0</v>
      </c>
      <c r="AD25" s="2">
        <v>0</v>
      </c>
      <c r="AE25" s="2">
        <v>0</v>
      </c>
      <c r="AF25" s="2">
        <v>0</v>
      </c>
      <c r="AG25" s="2">
        <v>0</v>
      </c>
      <c r="AH25" s="2">
        <v>0</v>
      </c>
      <c r="AI25" s="2">
        <v>0</v>
      </c>
      <c r="AJ25" s="2">
        <v>0</v>
      </c>
    </row>
    <row r="26" spans="1:36" ht="15.75" customHeight="1">
      <c r="A26" s="1"/>
      <c r="B26" s="11"/>
      <c r="C26" s="1"/>
      <c r="D26" s="1"/>
      <c r="AA26" s="2" t="s">
        <v>381</v>
      </c>
      <c r="AB26" s="2" t="s">
        <v>382</v>
      </c>
      <c r="AC26" s="17">
        <v>0</v>
      </c>
      <c r="AD26" s="2">
        <v>0</v>
      </c>
      <c r="AE26" s="2">
        <v>0</v>
      </c>
      <c r="AF26" s="2">
        <v>0</v>
      </c>
      <c r="AG26" s="2">
        <v>0</v>
      </c>
      <c r="AH26" s="2">
        <v>0</v>
      </c>
      <c r="AI26" s="2">
        <v>0</v>
      </c>
      <c r="AJ26" s="2">
        <v>0</v>
      </c>
    </row>
    <row r="27" spans="1:36" ht="15.75" customHeight="1">
      <c r="A27" s="1"/>
      <c r="B27" s="11"/>
      <c r="C27" s="1"/>
      <c r="D27" s="1"/>
      <c r="AA27" s="2" t="s">
        <v>383</v>
      </c>
      <c r="AB27" s="2" t="s">
        <v>384</v>
      </c>
      <c r="AC27" s="17">
        <v>0</v>
      </c>
      <c r="AD27" s="2">
        <v>0</v>
      </c>
      <c r="AE27" s="2">
        <v>0</v>
      </c>
      <c r="AF27" s="2">
        <v>0</v>
      </c>
      <c r="AG27" s="2">
        <v>0</v>
      </c>
      <c r="AH27" s="2">
        <v>0</v>
      </c>
      <c r="AI27" s="2">
        <v>0</v>
      </c>
      <c r="AJ27" s="2">
        <v>0</v>
      </c>
    </row>
    <row r="28" spans="1:36" ht="15.75" customHeight="1">
      <c r="A28" s="1"/>
      <c r="B28" s="11"/>
      <c r="C28" s="1"/>
      <c r="D28" s="1"/>
      <c r="AA28" s="2" t="s">
        <v>385</v>
      </c>
      <c r="AB28" s="2" t="s">
        <v>386</v>
      </c>
      <c r="AC28" s="17">
        <v>0</v>
      </c>
      <c r="AD28" s="2">
        <v>0</v>
      </c>
      <c r="AE28" s="2">
        <v>0</v>
      </c>
      <c r="AF28" s="2">
        <v>0</v>
      </c>
      <c r="AG28" s="2">
        <v>0</v>
      </c>
      <c r="AH28" s="2">
        <v>0</v>
      </c>
      <c r="AI28" s="2">
        <v>0</v>
      </c>
      <c r="AJ28" s="2">
        <v>0</v>
      </c>
    </row>
    <row r="29" spans="1:36" ht="15.75" customHeight="1">
      <c r="A29" s="1"/>
      <c r="B29" s="11"/>
      <c r="C29" s="1"/>
      <c r="D29" s="1"/>
      <c r="AA29" s="2" t="s">
        <v>387</v>
      </c>
      <c r="AB29" s="2" t="s">
        <v>388</v>
      </c>
      <c r="AC29" s="17">
        <v>0</v>
      </c>
      <c r="AD29" s="2">
        <v>0</v>
      </c>
      <c r="AE29" s="2">
        <v>0</v>
      </c>
      <c r="AF29" s="2">
        <v>0</v>
      </c>
      <c r="AG29" s="2">
        <v>0</v>
      </c>
      <c r="AH29" s="2">
        <v>0</v>
      </c>
      <c r="AI29" s="2">
        <v>0</v>
      </c>
      <c r="AJ29" s="2">
        <v>0</v>
      </c>
    </row>
    <row r="30" spans="1:36" ht="15.75" customHeight="1">
      <c r="A30" s="1"/>
      <c r="B30" s="11"/>
      <c r="C30" s="1"/>
      <c r="D30" s="1"/>
      <c r="AA30" s="2" t="s">
        <v>389</v>
      </c>
      <c r="AB30" s="2" t="s">
        <v>390</v>
      </c>
      <c r="AC30" s="17">
        <v>0</v>
      </c>
      <c r="AD30" s="2">
        <v>0</v>
      </c>
      <c r="AE30" s="2">
        <v>0</v>
      </c>
      <c r="AF30" s="2">
        <v>0</v>
      </c>
      <c r="AG30" s="2">
        <v>0</v>
      </c>
      <c r="AH30" s="2">
        <v>0</v>
      </c>
      <c r="AI30" s="2">
        <v>0</v>
      </c>
      <c r="AJ30" s="2">
        <v>0</v>
      </c>
    </row>
    <row r="31" spans="1:36" ht="15.75" customHeight="1">
      <c r="A31" s="1"/>
      <c r="B31" s="11"/>
      <c r="C31" s="1"/>
      <c r="D31" s="1"/>
      <c r="AA31" s="2" t="s">
        <v>391</v>
      </c>
      <c r="AB31" s="2" t="s">
        <v>392</v>
      </c>
      <c r="AC31" s="17">
        <v>0</v>
      </c>
      <c r="AD31" s="2">
        <v>0</v>
      </c>
      <c r="AE31" s="2">
        <v>0</v>
      </c>
      <c r="AF31" s="2">
        <v>0</v>
      </c>
      <c r="AG31" s="2">
        <v>0</v>
      </c>
      <c r="AH31" s="2">
        <v>0</v>
      </c>
      <c r="AI31" s="2">
        <v>0</v>
      </c>
      <c r="AJ31" s="2">
        <v>0</v>
      </c>
    </row>
    <row r="32" spans="1:36" ht="15.75" customHeight="1">
      <c r="A32" s="1"/>
      <c r="B32" s="11"/>
      <c r="C32" s="1"/>
      <c r="D32" s="1"/>
      <c r="AA32" s="2" t="s">
        <v>393</v>
      </c>
      <c r="AB32" s="2" t="s">
        <v>394</v>
      </c>
      <c r="AC32" s="17">
        <v>0</v>
      </c>
      <c r="AD32" s="2">
        <v>0</v>
      </c>
      <c r="AE32" s="2">
        <v>0</v>
      </c>
      <c r="AF32" s="2">
        <v>0</v>
      </c>
      <c r="AG32" s="2">
        <v>0</v>
      </c>
      <c r="AH32" s="2">
        <v>0</v>
      </c>
      <c r="AI32" s="2">
        <v>0</v>
      </c>
      <c r="AJ32" s="2">
        <v>0</v>
      </c>
    </row>
    <row r="33" spans="1:36" ht="15.75" customHeight="1">
      <c r="A33" s="1"/>
      <c r="B33" s="11"/>
      <c r="C33" s="1"/>
      <c r="D33" s="1"/>
      <c r="AA33" s="2" t="s">
        <v>395</v>
      </c>
      <c r="AB33" s="2" t="s">
        <v>396</v>
      </c>
      <c r="AC33" s="17">
        <v>0</v>
      </c>
      <c r="AD33" s="2">
        <v>0</v>
      </c>
      <c r="AE33" s="2">
        <v>0</v>
      </c>
      <c r="AF33" s="2">
        <v>0</v>
      </c>
      <c r="AG33" s="2">
        <v>0</v>
      </c>
      <c r="AH33" s="2">
        <v>0</v>
      </c>
      <c r="AI33" s="2">
        <v>0</v>
      </c>
      <c r="AJ33" s="2">
        <v>0</v>
      </c>
    </row>
    <row r="34" spans="1:36" ht="15.75" customHeight="1">
      <c r="A34" s="1"/>
      <c r="B34" s="11"/>
      <c r="C34" s="1"/>
      <c r="D34" s="1"/>
      <c r="AA34" s="2" t="s">
        <v>397</v>
      </c>
      <c r="AB34" s="2" t="s">
        <v>398</v>
      </c>
      <c r="AC34" s="17">
        <v>0</v>
      </c>
      <c r="AD34" s="2">
        <v>0</v>
      </c>
      <c r="AE34" s="2">
        <v>0</v>
      </c>
      <c r="AF34" s="2">
        <v>0</v>
      </c>
      <c r="AG34" s="2">
        <v>0</v>
      </c>
      <c r="AH34" s="2">
        <v>0</v>
      </c>
      <c r="AI34" s="2">
        <v>0</v>
      </c>
      <c r="AJ34" s="2">
        <v>0</v>
      </c>
    </row>
    <row r="35" spans="1:36" ht="15.75" customHeight="1">
      <c r="A35" s="1"/>
      <c r="B35" s="11"/>
      <c r="C35" s="1"/>
      <c r="D35" s="1"/>
      <c r="AA35" s="2" t="s">
        <v>399</v>
      </c>
      <c r="AB35" s="2" t="s">
        <v>400</v>
      </c>
      <c r="AC35" s="17">
        <v>0</v>
      </c>
      <c r="AD35" s="2">
        <v>0</v>
      </c>
      <c r="AE35" s="2">
        <v>0</v>
      </c>
      <c r="AF35" s="2">
        <v>0</v>
      </c>
      <c r="AG35" s="2">
        <v>0</v>
      </c>
      <c r="AH35" s="2">
        <v>0</v>
      </c>
      <c r="AI35" s="2">
        <v>0</v>
      </c>
      <c r="AJ35" s="2">
        <v>0</v>
      </c>
    </row>
    <row r="36" spans="1:36" ht="15.75" customHeight="1">
      <c r="A36" s="1"/>
      <c r="B36" s="11"/>
      <c r="C36" s="1"/>
      <c r="D36" s="1"/>
      <c r="AA36" s="2" t="s">
        <v>401</v>
      </c>
      <c r="AB36" s="2" t="s">
        <v>402</v>
      </c>
      <c r="AC36" s="17">
        <v>0</v>
      </c>
      <c r="AD36" s="2">
        <v>0</v>
      </c>
      <c r="AE36" s="2">
        <v>0</v>
      </c>
      <c r="AF36" s="2">
        <v>0</v>
      </c>
      <c r="AG36" s="2">
        <v>0</v>
      </c>
      <c r="AH36" s="2">
        <v>0</v>
      </c>
      <c r="AI36" s="2">
        <v>0</v>
      </c>
      <c r="AJ36" s="2">
        <v>0</v>
      </c>
    </row>
    <row r="37" spans="1:36" ht="15.75" customHeight="1">
      <c r="A37" s="1"/>
      <c r="B37" s="11"/>
      <c r="C37" s="1"/>
      <c r="D37" s="1"/>
      <c r="AA37" s="2" t="s">
        <v>403</v>
      </c>
      <c r="AB37" s="2" t="s">
        <v>404</v>
      </c>
      <c r="AC37" s="17">
        <v>0</v>
      </c>
    </row>
    <row r="38" spans="1:36" ht="15.75" customHeight="1">
      <c r="A38" s="1"/>
      <c r="B38" s="11"/>
      <c r="C38" s="1"/>
      <c r="D38" s="1"/>
      <c r="AA38" s="2" t="s">
        <v>405</v>
      </c>
      <c r="AB38" s="2" t="s">
        <v>406</v>
      </c>
      <c r="AC38" s="17">
        <v>0</v>
      </c>
    </row>
    <row r="39" spans="1:36" ht="15.75" customHeight="1">
      <c r="A39" s="1"/>
      <c r="B39" s="11"/>
      <c r="C39" s="1"/>
      <c r="D39" s="1"/>
      <c r="AA39" s="2" t="s">
        <v>339</v>
      </c>
      <c r="AB39" s="2" t="s">
        <v>340</v>
      </c>
      <c r="AC39" s="17">
        <v>0</v>
      </c>
    </row>
    <row r="40" spans="1:36" ht="15.75" customHeight="1">
      <c r="A40" s="1"/>
      <c r="B40" s="11"/>
      <c r="C40" s="1"/>
      <c r="D40" s="1"/>
      <c r="AA40" s="2" t="s">
        <v>347</v>
      </c>
      <c r="AB40" s="2" t="s">
        <v>348</v>
      </c>
      <c r="AC40" s="17">
        <v>0</v>
      </c>
    </row>
    <row r="41" spans="1:36" ht="15.75" customHeight="1">
      <c r="A41" s="1"/>
      <c r="B41" s="11"/>
      <c r="C41" s="1"/>
      <c r="D41" s="1"/>
      <c r="AA41" s="2" t="s">
        <v>407</v>
      </c>
      <c r="AB41" s="2" t="s">
        <v>408</v>
      </c>
      <c r="AC41" s="17">
        <v>0</v>
      </c>
    </row>
    <row r="42" spans="1:36" ht="15.75" customHeight="1">
      <c r="A42" s="1"/>
      <c r="B42" s="11"/>
      <c r="C42" s="1"/>
      <c r="D42" s="1"/>
      <c r="AA42" s="2" t="s">
        <v>409</v>
      </c>
      <c r="AB42" s="2" t="s">
        <v>410</v>
      </c>
      <c r="AC42" s="17">
        <v>0</v>
      </c>
    </row>
    <row r="43" spans="1:36" ht="15.75" customHeight="1">
      <c r="A43" s="1"/>
      <c r="B43" s="11"/>
      <c r="C43" s="1"/>
      <c r="D43" s="1"/>
    </row>
    <row r="44" spans="1:36" ht="15.75" customHeight="1">
      <c r="A44" s="1"/>
      <c r="B44" s="11"/>
      <c r="C44" s="1"/>
      <c r="D44" s="1"/>
    </row>
    <row r="45" spans="1:36" ht="15.75" customHeight="1">
      <c r="A45" s="1"/>
      <c r="B45" s="11"/>
      <c r="C45" s="1"/>
      <c r="D45" s="1"/>
    </row>
    <row r="46" spans="1:36" ht="15.75" customHeight="1">
      <c r="A46" s="1"/>
      <c r="B46" s="11"/>
      <c r="C46" s="1"/>
      <c r="D46" s="1"/>
    </row>
    <row r="47" spans="1:36" ht="15.75" customHeight="1">
      <c r="A47" s="1"/>
      <c r="B47" s="11"/>
      <c r="C47" s="1"/>
      <c r="D47" s="1"/>
    </row>
    <row r="48" spans="1:36" ht="15.75" customHeight="1">
      <c r="A48" s="1"/>
      <c r="B48" s="11"/>
      <c r="C48" s="1"/>
      <c r="D48" s="1"/>
    </row>
    <row r="49" spans="1:4" ht="15.75" customHeight="1">
      <c r="A49" s="1"/>
      <c r="B49" s="11"/>
      <c r="C49" s="1"/>
      <c r="D49" s="1"/>
    </row>
    <row r="50" spans="1:4" ht="15.75" customHeight="1">
      <c r="A50" s="1"/>
      <c r="B50" s="11"/>
      <c r="C50" s="1"/>
      <c r="D50" s="1"/>
    </row>
    <row r="51" spans="1:4" ht="15.75" customHeight="1">
      <c r="A51" s="1"/>
      <c r="B51" s="11"/>
      <c r="C51" s="1"/>
      <c r="D51" s="1"/>
    </row>
    <row r="52" spans="1:4" ht="15.75" customHeight="1">
      <c r="A52" s="1"/>
      <c r="B52" s="11"/>
      <c r="C52" s="1"/>
      <c r="D52" s="1"/>
    </row>
    <row r="53" spans="1:4" ht="15.75" customHeight="1">
      <c r="A53" s="1"/>
      <c r="B53" s="11"/>
      <c r="C53" s="1"/>
      <c r="D53" s="1"/>
    </row>
    <row r="54" spans="1:4" ht="15.75" customHeight="1">
      <c r="A54" s="1"/>
      <c r="B54" s="11"/>
      <c r="C54" s="1"/>
      <c r="D54" s="1"/>
    </row>
    <row r="55" spans="1:4" ht="15.75" customHeight="1">
      <c r="A55" s="1"/>
      <c r="B55" s="11"/>
      <c r="C55" s="1"/>
      <c r="D55" s="1"/>
    </row>
    <row r="56" spans="1:4" ht="15.75" customHeight="1">
      <c r="A56" s="1"/>
      <c r="B56" s="11"/>
      <c r="C56" s="1"/>
      <c r="D56" s="1"/>
    </row>
    <row r="57" spans="1:4" ht="15.75" customHeight="1">
      <c r="A57" s="1"/>
      <c r="B57" s="11"/>
      <c r="C57" s="1"/>
      <c r="D57" s="1"/>
    </row>
    <row r="58" spans="1:4" ht="15.75" customHeight="1">
      <c r="A58" s="1"/>
      <c r="B58" s="11"/>
      <c r="C58" s="1"/>
      <c r="D58" s="1"/>
    </row>
    <row r="59" spans="1:4" ht="15.75" customHeight="1">
      <c r="A59" s="1"/>
      <c r="B59" s="11"/>
      <c r="C59" s="1"/>
      <c r="D59" s="1"/>
    </row>
    <row r="60" spans="1:4" ht="15.75" customHeight="1">
      <c r="A60" s="1"/>
      <c r="B60" s="11"/>
      <c r="C60" s="1"/>
      <c r="D60" s="1"/>
    </row>
    <row r="61" spans="1:4" ht="15.75" customHeight="1">
      <c r="A61" s="1"/>
      <c r="B61" s="11"/>
      <c r="C61" s="1"/>
      <c r="D61" s="1"/>
    </row>
    <row r="62" spans="1:4" ht="15.75" customHeight="1">
      <c r="A62" s="1"/>
      <c r="B62" s="11"/>
      <c r="C62" s="1"/>
      <c r="D62" s="1"/>
    </row>
    <row r="63" spans="1:4" ht="15.75" customHeight="1">
      <c r="A63" s="1"/>
      <c r="B63" s="11"/>
      <c r="C63" s="1"/>
      <c r="D63" s="1"/>
    </row>
    <row r="64" spans="1:4" ht="15.75" customHeight="1">
      <c r="A64" s="1"/>
      <c r="B64" s="11"/>
      <c r="C64" s="1"/>
      <c r="D64" s="1"/>
    </row>
    <row r="65" spans="1:4" ht="15.75" customHeight="1">
      <c r="A65" s="1"/>
      <c r="B65" s="11"/>
      <c r="C65" s="1"/>
      <c r="D65" s="1"/>
    </row>
    <row r="66" spans="1:4" ht="15.75" customHeight="1">
      <c r="A66" s="1"/>
      <c r="B66" s="11"/>
      <c r="C66" s="1"/>
      <c r="D66" s="1"/>
    </row>
    <row r="67" spans="1:4" ht="15.75" customHeight="1">
      <c r="A67" s="1"/>
      <c r="B67" s="11"/>
      <c r="C67" s="1"/>
      <c r="D67" s="1"/>
    </row>
    <row r="68" spans="1:4" ht="15.75" customHeight="1">
      <c r="A68" s="1"/>
      <c r="B68" s="11"/>
      <c r="C68" s="1"/>
      <c r="D68" s="1"/>
    </row>
    <row r="69" spans="1:4" ht="15.75" customHeight="1">
      <c r="A69" s="1"/>
      <c r="B69" s="11"/>
      <c r="C69" s="1"/>
      <c r="D69" s="1"/>
    </row>
    <row r="70" spans="1:4" ht="15.75" customHeight="1">
      <c r="A70" s="1"/>
      <c r="B70" s="11"/>
      <c r="C70" s="1"/>
      <c r="D70" s="1"/>
    </row>
    <row r="71" spans="1:4" ht="15.75" customHeight="1">
      <c r="A71" s="1"/>
      <c r="B71" s="11"/>
      <c r="C71" s="1"/>
      <c r="D71" s="1"/>
    </row>
    <row r="72" spans="1:4" ht="15.75" customHeight="1">
      <c r="A72" s="1"/>
      <c r="B72" s="11"/>
      <c r="C72" s="1"/>
      <c r="D72" s="1"/>
    </row>
    <row r="73" spans="1:4" ht="15.75" customHeight="1">
      <c r="A73" s="1"/>
      <c r="B73" s="11"/>
      <c r="C73" s="1"/>
      <c r="D73" s="1"/>
    </row>
    <row r="74" spans="1:4" ht="15.75" customHeight="1">
      <c r="A74" s="1"/>
      <c r="B74" s="11"/>
      <c r="C74" s="1"/>
      <c r="D74" s="1"/>
    </row>
    <row r="75" spans="1:4" ht="15.75" customHeight="1">
      <c r="A75" s="1"/>
      <c r="B75" s="11"/>
      <c r="C75" s="1"/>
      <c r="D75" s="1"/>
    </row>
    <row r="76" spans="1:4" ht="15.75" customHeight="1">
      <c r="A76" s="1"/>
      <c r="B76" s="11"/>
      <c r="C76" s="1"/>
      <c r="D76" s="1"/>
    </row>
    <row r="77" spans="1:4" ht="15.75" customHeight="1">
      <c r="A77" s="1"/>
      <c r="B77" s="11"/>
      <c r="C77" s="1"/>
      <c r="D77" s="1"/>
    </row>
    <row r="78" spans="1:4" ht="15.75" customHeight="1">
      <c r="A78" s="1"/>
      <c r="B78" s="11"/>
      <c r="C78" s="1"/>
      <c r="D78" s="1"/>
    </row>
    <row r="79" spans="1:4" ht="15.75" customHeight="1">
      <c r="A79" s="1"/>
      <c r="B79" s="11"/>
      <c r="C79" s="1"/>
      <c r="D79" s="1"/>
    </row>
    <row r="80" spans="1:4" ht="15.75" customHeight="1">
      <c r="A80" s="1"/>
      <c r="B80" s="11"/>
      <c r="C80" s="1"/>
      <c r="D80" s="1"/>
    </row>
    <row r="81" spans="1:4" ht="15.75" customHeight="1">
      <c r="A81" s="1"/>
      <c r="B81" s="11"/>
      <c r="C81" s="1"/>
      <c r="D81" s="1"/>
    </row>
    <row r="82" spans="1:4" ht="15.75" customHeight="1">
      <c r="A82" s="1"/>
      <c r="B82" s="11"/>
      <c r="C82" s="1"/>
      <c r="D82" s="1"/>
    </row>
    <row r="83" spans="1:4" ht="15.75" customHeight="1">
      <c r="A83" s="1"/>
      <c r="B83" s="11"/>
      <c r="C83" s="1"/>
      <c r="D83" s="1"/>
    </row>
    <row r="84" spans="1:4" ht="15.75" customHeight="1">
      <c r="A84" s="1"/>
      <c r="B84" s="11"/>
      <c r="C84" s="1"/>
      <c r="D84" s="1"/>
    </row>
    <row r="85" spans="1:4" ht="15.75" customHeight="1">
      <c r="A85" s="1"/>
      <c r="B85" s="11"/>
      <c r="C85" s="1"/>
      <c r="D85" s="1"/>
    </row>
    <row r="86" spans="1:4" ht="15.75" customHeight="1">
      <c r="A86" s="1"/>
      <c r="B86" s="11"/>
      <c r="C86" s="1"/>
      <c r="D86" s="1"/>
    </row>
    <row r="87" spans="1:4" ht="15.75" customHeight="1">
      <c r="A87" s="1"/>
      <c r="B87" s="11"/>
      <c r="C87" s="1"/>
      <c r="D87" s="1"/>
    </row>
    <row r="88" spans="1:4" ht="15.75" customHeight="1">
      <c r="A88" s="1"/>
      <c r="B88" s="11"/>
      <c r="C88" s="1"/>
      <c r="D88" s="1"/>
    </row>
    <row r="89" spans="1:4" ht="15.75" customHeight="1">
      <c r="A89" s="1"/>
      <c r="B89" s="11"/>
      <c r="C89" s="1"/>
      <c r="D89" s="1"/>
    </row>
    <row r="90" spans="1:4" ht="15.75" customHeight="1">
      <c r="A90" s="1"/>
      <c r="B90" s="11"/>
      <c r="C90" s="1"/>
      <c r="D90" s="1"/>
    </row>
    <row r="91" spans="1:4" ht="15.75" customHeight="1">
      <c r="A91" s="1"/>
      <c r="B91" s="11"/>
      <c r="C91" s="1"/>
      <c r="D91" s="1"/>
    </row>
    <row r="92" spans="1:4" ht="15.75" customHeight="1">
      <c r="A92" s="1"/>
      <c r="B92" s="11"/>
      <c r="C92" s="1"/>
      <c r="D92" s="1"/>
    </row>
    <row r="93" spans="1:4" ht="15.75" customHeight="1">
      <c r="A93" s="1"/>
      <c r="B93" s="11"/>
      <c r="C93" s="1"/>
      <c r="D93" s="1"/>
    </row>
    <row r="94" spans="1:4" ht="15.75" customHeight="1">
      <c r="A94" s="1"/>
      <c r="B94" s="11"/>
      <c r="C94" s="1"/>
      <c r="D94" s="1"/>
    </row>
    <row r="95" spans="1:4" ht="15.75" customHeight="1">
      <c r="A95" s="1"/>
      <c r="B95" s="11"/>
      <c r="C95" s="1"/>
      <c r="D95" s="1"/>
    </row>
    <row r="96" spans="1:4" ht="15.75" customHeight="1">
      <c r="A96" s="1"/>
      <c r="B96" s="11"/>
      <c r="C96" s="1"/>
      <c r="D96" s="1"/>
    </row>
    <row r="97" spans="1:4" ht="15.75" customHeight="1">
      <c r="A97" s="1"/>
      <c r="B97" s="11"/>
      <c r="C97" s="1"/>
      <c r="D97" s="1"/>
    </row>
    <row r="98" spans="1:4" ht="15.75" customHeight="1">
      <c r="A98" s="1"/>
      <c r="B98" s="11"/>
      <c r="C98" s="1"/>
      <c r="D98" s="1"/>
    </row>
    <row r="99" spans="1:4" ht="15.75" customHeight="1">
      <c r="A99" s="1"/>
      <c r="B99" s="11"/>
      <c r="C99" s="1"/>
      <c r="D99" s="1"/>
    </row>
    <row r="100" spans="1:4" ht="15.75" customHeight="1">
      <c r="A100" s="1"/>
      <c r="B100" s="11"/>
      <c r="C100" s="1"/>
      <c r="D100" s="1"/>
    </row>
    <row r="101" spans="1:4" ht="15.75" customHeight="1">
      <c r="A101" s="1"/>
      <c r="B101" s="11"/>
      <c r="C101" s="1"/>
      <c r="D101" s="1"/>
    </row>
    <row r="102" spans="1:4" ht="15.75" customHeight="1">
      <c r="A102" s="1"/>
      <c r="B102" s="11"/>
      <c r="C102" s="1"/>
      <c r="D102" s="1"/>
    </row>
    <row r="103" spans="1:4" ht="15.75" customHeight="1">
      <c r="A103" s="1"/>
      <c r="B103" s="11"/>
      <c r="C103" s="1"/>
      <c r="D103" s="1"/>
    </row>
    <row r="104" spans="1:4" ht="15.75" customHeight="1">
      <c r="A104" s="1"/>
      <c r="B104" s="11"/>
      <c r="C104" s="1"/>
      <c r="D104" s="1"/>
    </row>
    <row r="105" spans="1:4" ht="15.75" customHeight="1">
      <c r="A105" s="1"/>
      <c r="B105" s="11"/>
      <c r="C105" s="1"/>
      <c r="D105" s="1"/>
    </row>
    <row r="106" spans="1:4" ht="15.75" customHeight="1">
      <c r="A106" s="1"/>
      <c r="B106" s="11"/>
      <c r="C106" s="1"/>
      <c r="D106" s="1"/>
    </row>
    <row r="107" spans="1:4" ht="15.75" customHeight="1">
      <c r="A107" s="1"/>
      <c r="B107" s="11"/>
      <c r="C107" s="1"/>
      <c r="D107" s="1"/>
    </row>
    <row r="108" spans="1:4" ht="15.75" customHeight="1">
      <c r="A108" s="1"/>
      <c r="B108" s="11"/>
      <c r="C108" s="1"/>
      <c r="D108" s="1"/>
    </row>
    <row r="109" spans="1:4" ht="15.75" customHeight="1">
      <c r="A109" s="1"/>
      <c r="B109" s="11"/>
      <c r="C109" s="1"/>
      <c r="D109" s="1"/>
    </row>
    <row r="110" spans="1:4" ht="15.75" customHeight="1">
      <c r="A110" s="1"/>
      <c r="B110" s="11"/>
      <c r="C110" s="1"/>
      <c r="D110" s="1"/>
    </row>
    <row r="111" spans="1:4" ht="15.75" customHeight="1">
      <c r="A111" s="1"/>
      <c r="B111" s="11"/>
      <c r="C111" s="1"/>
      <c r="D111" s="1"/>
    </row>
    <row r="112" spans="1:4" ht="15.75" customHeight="1">
      <c r="A112" s="1"/>
      <c r="B112" s="11"/>
      <c r="C112" s="1"/>
      <c r="D112" s="1"/>
    </row>
    <row r="113" spans="1:4" ht="15.75" customHeight="1">
      <c r="A113" s="1"/>
      <c r="B113" s="11"/>
      <c r="C113" s="1"/>
      <c r="D113" s="1"/>
    </row>
    <row r="114" spans="1:4" ht="15.75" customHeight="1">
      <c r="A114" s="1"/>
      <c r="B114" s="11"/>
      <c r="C114" s="1"/>
      <c r="D114" s="1"/>
    </row>
    <row r="115" spans="1:4" ht="15.75" customHeight="1">
      <c r="A115" s="1"/>
      <c r="B115" s="11"/>
      <c r="C115" s="1"/>
      <c r="D115" s="1"/>
    </row>
    <row r="116" spans="1:4" ht="15.75" customHeight="1">
      <c r="A116" s="1"/>
      <c r="B116" s="11"/>
      <c r="C116" s="1"/>
      <c r="D116" s="1"/>
    </row>
    <row r="117" spans="1:4" ht="15.75" customHeight="1">
      <c r="A117" s="1"/>
      <c r="B117" s="11"/>
      <c r="C117" s="1"/>
      <c r="D117" s="1"/>
    </row>
    <row r="118" spans="1:4" ht="15.75" customHeight="1">
      <c r="A118" s="1"/>
      <c r="B118" s="11"/>
      <c r="C118" s="1"/>
      <c r="D118" s="1"/>
    </row>
    <row r="119" spans="1:4" ht="15.75" customHeight="1">
      <c r="A119" s="1"/>
      <c r="B119" s="11"/>
      <c r="C119" s="1"/>
      <c r="D119" s="1"/>
    </row>
    <row r="120" spans="1:4" ht="15.75" customHeight="1">
      <c r="A120" s="1"/>
      <c r="B120" s="11"/>
      <c r="C120" s="1"/>
      <c r="D120" s="1"/>
    </row>
    <row r="121" spans="1:4" ht="15.75" customHeight="1">
      <c r="A121" s="1"/>
      <c r="B121" s="11"/>
      <c r="C121" s="1"/>
      <c r="D121" s="1"/>
    </row>
    <row r="122" spans="1:4" ht="15.75" customHeight="1">
      <c r="A122" s="1"/>
      <c r="B122" s="11"/>
      <c r="C122" s="1"/>
      <c r="D122" s="1"/>
    </row>
    <row r="123" spans="1:4" ht="15.75" customHeight="1">
      <c r="A123" s="1"/>
      <c r="B123" s="11"/>
      <c r="C123" s="1"/>
      <c r="D123" s="1"/>
    </row>
    <row r="124" spans="1:4" ht="15.75" customHeight="1">
      <c r="A124" s="1"/>
      <c r="B124" s="11"/>
      <c r="C124" s="1"/>
      <c r="D124" s="1"/>
    </row>
    <row r="125" spans="1:4" ht="15.75" customHeight="1">
      <c r="A125" s="1"/>
      <c r="B125" s="11"/>
      <c r="C125" s="1"/>
      <c r="D125" s="1"/>
    </row>
    <row r="126" spans="1:4" ht="15.75" customHeight="1">
      <c r="A126" s="1"/>
      <c r="B126" s="11"/>
      <c r="C126" s="1"/>
      <c r="D126" s="1"/>
    </row>
    <row r="127" spans="1:4" ht="15.75" customHeight="1">
      <c r="A127" s="1"/>
      <c r="B127" s="11"/>
      <c r="C127" s="1"/>
      <c r="D127" s="1"/>
    </row>
    <row r="128" spans="1:4" ht="15.75" customHeight="1">
      <c r="A128" s="1"/>
      <c r="B128" s="11"/>
      <c r="C128" s="1"/>
      <c r="D128" s="1"/>
    </row>
    <row r="129" spans="1:4" ht="15.75" customHeight="1">
      <c r="A129" s="1"/>
      <c r="B129" s="11"/>
      <c r="C129" s="1"/>
      <c r="D129" s="1"/>
    </row>
    <row r="130" spans="1:4" ht="15.75" customHeight="1">
      <c r="A130" s="1"/>
      <c r="B130" s="11"/>
      <c r="C130" s="1"/>
      <c r="D130" s="1"/>
    </row>
    <row r="131" spans="1:4" ht="15.75" customHeight="1">
      <c r="A131" s="1"/>
      <c r="B131" s="11"/>
      <c r="C131" s="1"/>
      <c r="D131" s="1"/>
    </row>
    <row r="132" spans="1:4" ht="15.75" customHeight="1">
      <c r="A132" s="1"/>
      <c r="B132" s="11"/>
      <c r="C132" s="1"/>
      <c r="D132" s="1"/>
    </row>
    <row r="133" spans="1:4" ht="15.75" customHeight="1">
      <c r="A133" s="1"/>
      <c r="B133" s="11"/>
      <c r="C133" s="1"/>
      <c r="D133" s="1"/>
    </row>
    <row r="134" spans="1:4" ht="15.75" customHeight="1">
      <c r="A134" s="1"/>
      <c r="B134" s="11"/>
      <c r="C134" s="1"/>
      <c r="D134" s="1"/>
    </row>
    <row r="135" spans="1:4" ht="15.75" customHeight="1">
      <c r="A135" s="1"/>
      <c r="B135" s="11"/>
      <c r="C135" s="1"/>
      <c r="D135" s="1"/>
    </row>
    <row r="136" spans="1:4" ht="15.75" customHeight="1">
      <c r="A136" s="1"/>
      <c r="B136" s="11"/>
      <c r="C136" s="1"/>
      <c r="D136" s="1"/>
    </row>
    <row r="137" spans="1:4" ht="15.75" customHeight="1">
      <c r="A137" s="1"/>
      <c r="B137" s="11"/>
      <c r="C137" s="1"/>
      <c r="D137" s="1"/>
    </row>
    <row r="138" spans="1:4" ht="15.75" customHeight="1">
      <c r="A138" s="1"/>
      <c r="B138" s="11"/>
      <c r="C138" s="1"/>
      <c r="D138" s="1"/>
    </row>
    <row r="139" spans="1:4" ht="15.75" customHeight="1">
      <c r="A139" s="1"/>
      <c r="B139" s="11"/>
      <c r="C139" s="1"/>
      <c r="D139" s="1"/>
    </row>
    <row r="140" spans="1:4" ht="15.75" customHeight="1">
      <c r="A140" s="1"/>
      <c r="B140" s="11"/>
      <c r="C140" s="1"/>
      <c r="D140" s="1"/>
    </row>
    <row r="141" spans="1:4" ht="15.75" customHeight="1">
      <c r="A141" s="1"/>
      <c r="B141" s="11"/>
      <c r="C141" s="1"/>
      <c r="D141" s="1"/>
    </row>
    <row r="142" spans="1:4" ht="15.75" customHeight="1">
      <c r="A142" s="1"/>
      <c r="B142" s="11"/>
      <c r="C142" s="1"/>
      <c r="D142" s="1"/>
    </row>
    <row r="143" spans="1:4" ht="15.75" customHeight="1">
      <c r="A143" s="1"/>
      <c r="B143" s="11"/>
      <c r="C143" s="1"/>
      <c r="D143" s="1"/>
    </row>
    <row r="144" spans="1:4" ht="15.75" customHeight="1">
      <c r="A144" s="1"/>
      <c r="B144" s="11"/>
      <c r="C144" s="1"/>
      <c r="D144" s="1"/>
    </row>
    <row r="145" spans="1:4" ht="15.75" customHeight="1">
      <c r="A145" s="1"/>
      <c r="B145" s="11"/>
      <c r="C145" s="1"/>
      <c r="D145" s="1"/>
    </row>
    <row r="146" spans="1:4" ht="15.75" customHeight="1">
      <c r="A146" s="1"/>
      <c r="B146" s="11"/>
      <c r="C146" s="1"/>
      <c r="D146" s="1"/>
    </row>
    <row r="147" spans="1:4" ht="15.75" customHeight="1">
      <c r="A147" s="1"/>
      <c r="B147" s="11"/>
      <c r="C147" s="1"/>
      <c r="D147" s="1"/>
    </row>
    <row r="148" spans="1:4" ht="15.75" customHeight="1">
      <c r="A148" s="1"/>
      <c r="B148" s="11"/>
      <c r="C148" s="1"/>
      <c r="D148" s="1"/>
    </row>
    <row r="149" spans="1:4" ht="15.75" customHeight="1">
      <c r="A149" s="1"/>
      <c r="B149" s="11"/>
      <c r="C149" s="1"/>
      <c r="D149" s="1"/>
    </row>
    <row r="150" spans="1:4" ht="15.75" customHeight="1">
      <c r="A150" s="1"/>
      <c r="B150" s="11"/>
      <c r="C150" s="1"/>
      <c r="D150" s="1"/>
    </row>
    <row r="151" spans="1:4" ht="15.75" customHeight="1">
      <c r="A151" s="1"/>
      <c r="B151" s="11"/>
      <c r="C151" s="1"/>
      <c r="D151" s="1"/>
    </row>
    <row r="152" spans="1:4" ht="15.75" customHeight="1">
      <c r="A152" s="1"/>
      <c r="B152" s="11"/>
      <c r="C152" s="1"/>
      <c r="D152" s="1"/>
    </row>
    <row r="153" spans="1:4" ht="15.75" customHeight="1">
      <c r="A153" s="1"/>
      <c r="B153" s="11"/>
      <c r="C153" s="1"/>
      <c r="D153" s="1"/>
    </row>
    <row r="154" spans="1:4" ht="15.75" customHeight="1">
      <c r="A154" s="1"/>
      <c r="B154" s="11"/>
      <c r="C154" s="1"/>
      <c r="D154" s="1"/>
    </row>
    <row r="155" spans="1:4" ht="15.75" customHeight="1">
      <c r="A155" s="1"/>
      <c r="B155" s="11"/>
      <c r="C155" s="1"/>
      <c r="D155" s="1"/>
    </row>
    <row r="156" spans="1:4" ht="15.75" customHeight="1">
      <c r="A156" s="1"/>
      <c r="B156" s="11"/>
      <c r="C156" s="1"/>
      <c r="D156" s="1"/>
    </row>
    <row r="157" spans="1:4" ht="15.75" customHeight="1">
      <c r="A157" s="1"/>
      <c r="B157" s="11"/>
      <c r="C157" s="1"/>
      <c r="D157" s="1"/>
    </row>
    <row r="158" spans="1:4" ht="15.75" customHeight="1">
      <c r="A158" s="1"/>
      <c r="B158" s="11"/>
      <c r="C158" s="1"/>
      <c r="D158" s="1"/>
    </row>
    <row r="159" spans="1:4" ht="15.75" customHeight="1">
      <c r="A159" s="1"/>
      <c r="B159" s="11"/>
      <c r="C159" s="1"/>
      <c r="D159" s="1"/>
    </row>
    <row r="160" spans="1:4" ht="15.75" customHeight="1">
      <c r="A160" s="1"/>
      <c r="B160" s="11"/>
      <c r="C160" s="1"/>
      <c r="D160" s="1"/>
    </row>
    <row r="161" spans="1:6" ht="15.75" customHeight="1">
      <c r="A161" s="1"/>
      <c r="B161" s="11"/>
      <c r="C161" s="1"/>
      <c r="D161" s="1"/>
    </row>
    <row r="162" spans="1:6" ht="15.75" customHeight="1">
      <c r="A162" s="1"/>
      <c r="B162" s="11"/>
      <c r="C162" s="1"/>
      <c r="D162" s="1"/>
    </row>
    <row r="163" spans="1:6" ht="15.75" customHeight="1">
      <c r="A163" s="1"/>
      <c r="B163" s="11"/>
      <c r="C163" s="1"/>
      <c r="D163" s="1"/>
    </row>
    <row r="164" spans="1:6" ht="15.75" customHeight="1">
      <c r="A164" s="1"/>
      <c r="B164" s="11"/>
      <c r="C164" s="1"/>
      <c r="D164" s="1"/>
    </row>
    <row r="165" spans="1:6" ht="15.75" customHeight="1">
      <c r="A165" s="1"/>
      <c r="B165" s="11"/>
      <c r="C165" s="1"/>
      <c r="D165" s="1"/>
    </row>
    <row r="166" spans="1:6" ht="15.75" customHeight="1">
      <c r="A166" s="1"/>
      <c r="B166" s="11"/>
      <c r="C166" s="1"/>
      <c r="D166" s="1"/>
    </row>
    <row r="167" spans="1:6" ht="15.75" customHeight="1">
      <c r="A167" s="1"/>
      <c r="B167" s="11"/>
      <c r="C167" s="1"/>
      <c r="D167" s="1"/>
    </row>
    <row r="168" spans="1:6" ht="15.75" customHeight="1">
      <c r="A168" s="1"/>
      <c r="B168" s="11"/>
      <c r="C168" s="1"/>
      <c r="D168" s="1"/>
    </row>
    <row r="169" spans="1:6" ht="15.75" customHeight="1">
      <c r="A169" s="1"/>
      <c r="B169" s="11"/>
      <c r="C169" s="1"/>
      <c r="D169" s="1"/>
    </row>
    <row r="170" spans="1:6" ht="15.75" customHeight="1">
      <c r="A170" s="1"/>
      <c r="B170" s="11"/>
      <c r="C170" s="1"/>
      <c r="D170" s="1"/>
    </row>
    <row r="171" spans="1:6" ht="15.75" customHeight="1">
      <c r="A171" s="1"/>
      <c r="B171" s="11"/>
      <c r="C171" s="1"/>
      <c r="D171" s="1"/>
    </row>
    <row r="172" spans="1:6" ht="15.75" customHeight="1">
      <c r="A172" s="1"/>
      <c r="B172" s="11"/>
      <c r="C172" s="1"/>
      <c r="D172" s="1"/>
    </row>
    <row r="173" spans="1:6" ht="15.75" customHeight="1">
      <c r="A173" s="1"/>
      <c r="B173" s="11"/>
      <c r="C173" s="1"/>
      <c r="D173" s="1"/>
    </row>
    <row r="174" spans="1:6" ht="15.75" customHeight="1">
      <c r="A174" s="1"/>
      <c r="B174" s="11"/>
      <c r="C174" s="1"/>
      <c r="D174" s="1"/>
    </row>
    <row r="175" spans="1:6" ht="15.75" customHeight="1">
      <c r="A175" s="1"/>
      <c r="B175" s="11"/>
      <c r="C175" s="1"/>
      <c r="D175" s="1"/>
    </row>
    <row r="176" spans="1:6" ht="15.75" customHeight="1">
      <c r="A176" s="4"/>
      <c r="B176" s="14"/>
      <c r="C176" s="4"/>
      <c r="D176" s="4"/>
      <c r="E176" s="6"/>
      <c r="F176" s="6"/>
    </row>
    <row r="177" spans="1:6" ht="15.75" customHeight="1">
      <c r="A177" s="4"/>
      <c r="B177" s="14"/>
      <c r="C177" s="4"/>
      <c r="D177" s="4"/>
      <c r="E177" s="6"/>
      <c r="F177" s="6"/>
    </row>
    <row r="178" spans="1:6" ht="15.75" customHeight="1">
      <c r="A178" s="4"/>
      <c r="B178" s="14"/>
      <c r="C178" s="4"/>
      <c r="D178" s="4"/>
      <c r="E178" s="6"/>
      <c r="F178" s="6"/>
    </row>
    <row r="179" spans="1:6" ht="15.75" customHeight="1">
      <c r="A179" s="4"/>
      <c r="B179" s="14"/>
      <c r="C179" s="4"/>
      <c r="D179" s="4"/>
      <c r="E179" s="6"/>
      <c r="F179" s="6"/>
    </row>
    <row r="180" spans="1:6" ht="15.75" customHeight="1">
      <c r="A180" s="4"/>
      <c r="B180" s="14"/>
      <c r="C180" s="4"/>
      <c r="D180" s="4"/>
      <c r="E180" s="6"/>
      <c r="F180" s="6"/>
    </row>
    <row r="181" spans="1:6" ht="15.75" customHeight="1">
      <c r="A181" s="4"/>
      <c r="B181" s="14"/>
      <c r="C181" s="4"/>
      <c r="D181" s="4"/>
      <c r="E181" s="6"/>
      <c r="F181" s="6"/>
    </row>
    <row r="182" spans="1:6" ht="15.75" customHeight="1">
      <c r="A182" s="4"/>
      <c r="B182" s="14"/>
      <c r="C182" s="4"/>
      <c r="D182" s="4"/>
      <c r="E182" s="6"/>
      <c r="F182" s="6"/>
    </row>
    <row r="183" spans="1:6" ht="15.75" customHeight="1">
      <c r="A183" s="4"/>
      <c r="B183" s="14"/>
      <c r="C183" s="4"/>
      <c r="D183" s="4"/>
      <c r="E183" s="6"/>
      <c r="F183" s="6"/>
    </row>
    <row r="184" spans="1:6" ht="15.75" customHeight="1">
      <c r="A184" s="4"/>
      <c r="B184" s="14"/>
      <c r="C184" s="4"/>
      <c r="D184" s="4"/>
      <c r="E184" s="6"/>
      <c r="F184" s="6"/>
    </row>
    <row r="185" spans="1:6" ht="15.75" customHeight="1">
      <c r="A185" s="4"/>
      <c r="B185" s="14"/>
      <c r="C185" s="4"/>
      <c r="D185" s="4"/>
      <c r="E185" s="6"/>
      <c r="F185" s="6"/>
    </row>
    <row r="186" spans="1:6" ht="15.75" customHeight="1">
      <c r="A186" s="4"/>
      <c r="B186" s="14"/>
      <c r="C186" s="4"/>
      <c r="D186" s="4"/>
      <c r="E186" s="6"/>
      <c r="F186" s="6"/>
    </row>
    <row r="187" spans="1:6" ht="15.75" customHeight="1">
      <c r="A187" s="4"/>
      <c r="B187" s="14"/>
      <c r="C187" s="4"/>
      <c r="D187" s="4"/>
      <c r="E187" s="6"/>
      <c r="F187" s="6"/>
    </row>
    <row r="188" spans="1:6" ht="15.75" customHeight="1">
      <c r="A188" s="4"/>
      <c r="B188" s="14"/>
      <c r="C188" s="4"/>
      <c r="D188" s="4"/>
      <c r="E188" s="6"/>
      <c r="F188" s="6"/>
    </row>
    <row r="189" spans="1:6" ht="15.75" customHeight="1">
      <c r="A189" s="4"/>
      <c r="B189" s="14"/>
      <c r="C189" s="4"/>
      <c r="D189" s="4"/>
      <c r="E189" s="6"/>
      <c r="F189" s="6"/>
    </row>
    <row r="190" spans="1:6" ht="15.75" customHeight="1">
      <c r="A190" s="4"/>
      <c r="B190" s="14"/>
      <c r="C190" s="4"/>
      <c r="D190" s="4"/>
      <c r="E190" s="6"/>
      <c r="F190" s="6"/>
    </row>
    <row r="191" spans="1:6" ht="15.75" customHeight="1">
      <c r="A191" s="4"/>
      <c r="B191" s="14"/>
      <c r="C191" s="4"/>
      <c r="D191" s="4"/>
      <c r="E191" s="6"/>
      <c r="F191" s="6"/>
    </row>
    <row r="192" spans="1:6" ht="15.75" customHeight="1">
      <c r="A192" s="4"/>
      <c r="B192" s="14"/>
      <c r="C192" s="4"/>
      <c r="D192" s="4"/>
      <c r="E192" s="6"/>
      <c r="F192" s="6"/>
    </row>
    <row r="193" spans="1:6" ht="15.75" customHeight="1">
      <c r="A193" s="4"/>
      <c r="B193" s="14"/>
      <c r="C193" s="4"/>
      <c r="D193" s="4"/>
      <c r="E193" s="6"/>
      <c r="F193" s="6"/>
    </row>
    <row r="194" spans="1:6" ht="15.75" customHeight="1">
      <c r="A194" s="4"/>
      <c r="B194" s="14"/>
      <c r="C194" s="4"/>
      <c r="D194" s="4"/>
      <c r="E194" s="6"/>
      <c r="F194" s="6"/>
    </row>
    <row r="195" spans="1:6" ht="15.75" customHeight="1">
      <c r="A195" s="4"/>
      <c r="B195" s="14"/>
      <c r="C195" s="4"/>
      <c r="D195" s="4"/>
      <c r="E195" s="6"/>
      <c r="F195" s="6"/>
    </row>
    <row r="196" spans="1:6" ht="15.75" customHeight="1">
      <c r="A196" s="4"/>
      <c r="B196" s="14"/>
      <c r="C196" s="4"/>
      <c r="D196" s="4"/>
      <c r="E196" s="6"/>
      <c r="F196" s="6"/>
    </row>
    <row r="197" spans="1:6" ht="15.75" customHeight="1">
      <c r="A197" s="4"/>
      <c r="B197" s="14"/>
      <c r="C197" s="4"/>
      <c r="D197" s="4"/>
      <c r="E197" s="6"/>
      <c r="F197" s="6"/>
    </row>
    <row r="198" spans="1:6" ht="15.75" customHeight="1">
      <c r="A198" s="4"/>
      <c r="B198" s="14"/>
      <c r="C198" s="4"/>
      <c r="D198" s="4"/>
      <c r="E198" s="6"/>
      <c r="F198" s="6"/>
    </row>
    <row r="199" spans="1:6" ht="15.75" customHeight="1">
      <c r="A199" s="4"/>
      <c r="B199" s="14"/>
      <c r="C199" s="4"/>
      <c r="D199" s="4"/>
      <c r="E199" s="6"/>
      <c r="F199" s="6"/>
    </row>
    <row r="200" spans="1:6" ht="15.75" customHeight="1">
      <c r="A200" s="4"/>
      <c r="B200" s="14"/>
      <c r="C200" s="4"/>
      <c r="D200" s="4"/>
      <c r="E200" s="6"/>
      <c r="F200" s="6"/>
    </row>
    <row r="201" spans="1:6" ht="15.75" customHeight="1">
      <c r="A201" s="4"/>
      <c r="B201" s="14"/>
      <c r="C201" s="4"/>
      <c r="D201" s="4"/>
      <c r="E201" s="6"/>
      <c r="F201" s="6"/>
    </row>
    <row r="202" spans="1:6" ht="15.75" customHeight="1">
      <c r="A202" s="4"/>
      <c r="B202" s="14"/>
      <c r="C202" s="4"/>
      <c r="D202" s="4"/>
      <c r="E202" s="6"/>
      <c r="F202" s="6"/>
    </row>
    <row r="203" spans="1:6" ht="15.75" customHeight="1">
      <c r="A203" s="4"/>
      <c r="B203" s="14"/>
      <c r="C203" s="4"/>
      <c r="D203" s="4"/>
      <c r="E203" s="6"/>
      <c r="F203" s="6"/>
    </row>
    <row r="204" spans="1:6" ht="15.75" customHeight="1">
      <c r="A204" s="4"/>
      <c r="B204" s="14"/>
      <c r="C204" s="4"/>
      <c r="D204" s="4"/>
      <c r="E204" s="6"/>
      <c r="F204" s="6"/>
    </row>
    <row r="205" spans="1:6" ht="15.75" customHeight="1">
      <c r="A205" s="4"/>
      <c r="B205" s="14"/>
      <c r="C205" s="4"/>
      <c r="D205" s="4"/>
      <c r="E205" s="6"/>
      <c r="F205" s="6"/>
    </row>
    <row r="206" spans="1:6" ht="15.75" customHeight="1">
      <c r="A206" s="4"/>
      <c r="B206" s="14"/>
      <c r="C206" s="4"/>
      <c r="D206" s="4"/>
      <c r="E206" s="6"/>
      <c r="F206" s="6"/>
    </row>
    <row r="207" spans="1:6" ht="15.75" customHeight="1">
      <c r="A207" s="4"/>
      <c r="B207" s="14"/>
      <c r="C207" s="4"/>
      <c r="D207" s="4"/>
      <c r="E207" s="6"/>
      <c r="F207" s="6"/>
    </row>
    <row r="208" spans="1:6" ht="15.75" customHeight="1">
      <c r="A208" s="4"/>
      <c r="B208" s="14"/>
      <c r="C208" s="4"/>
      <c r="D208" s="4"/>
      <c r="E208" s="6"/>
      <c r="F208" s="6"/>
    </row>
    <row r="209" spans="1:6" ht="15.75" customHeight="1">
      <c r="A209" s="4"/>
      <c r="B209" s="14"/>
      <c r="C209" s="4"/>
      <c r="D209" s="4"/>
      <c r="E209" s="6"/>
      <c r="F209" s="6"/>
    </row>
    <row r="210" spans="1:6" ht="15.75" customHeight="1">
      <c r="A210" s="4"/>
      <c r="B210" s="14"/>
      <c r="C210" s="4"/>
      <c r="D210" s="4"/>
      <c r="E210" s="6"/>
      <c r="F210" s="6"/>
    </row>
    <row r="211" spans="1:6" ht="15.75" customHeight="1">
      <c r="A211" s="4"/>
      <c r="B211" s="14"/>
      <c r="C211" s="4"/>
      <c r="D211" s="4"/>
      <c r="E211" s="6"/>
      <c r="F211" s="6"/>
    </row>
    <row r="212" spans="1:6" ht="15.75" customHeight="1">
      <c r="A212" s="4"/>
      <c r="B212" s="14"/>
      <c r="C212" s="4"/>
      <c r="D212" s="4"/>
      <c r="E212" s="6"/>
      <c r="F212" s="6"/>
    </row>
    <row r="213" spans="1:6" ht="15.75" customHeight="1">
      <c r="A213" s="4"/>
      <c r="B213" s="14"/>
      <c r="C213" s="4"/>
      <c r="D213" s="4"/>
      <c r="E213" s="6"/>
      <c r="F213" s="6"/>
    </row>
    <row r="214" spans="1:6" ht="15.75" customHeight="1">
      <c r="A214" s="4"/>
      <c r="B214" s="14"/>
      <c r="C214" s="4"/>
      <c r="D214" s="4"/>
      <c r="E214" s="6"/>
      <c r="F214" s="6"/>
    </row>
    <row r="215" spans="1:6" ht="15.75" customHeight="1">
      <c r="A215" s="4"/>
      <c r="B215" s="14"/>
      <c r="C215" s="4"/>
      <c r="D215" s="4"/>
      <c r="E215" s="6"/>
      <c r="F215" s="6"/>
    </row>
    <row r="216" spans="1:6" ht="15.75" customHeight="1">
      <c r="A216" s="4"/>
      <c r="B216" s="14"/>
      <c r="C216" s="4"/>
      <c r="D216" s="4"/>
      <c r="E216" s="6"/>
      <c r="F216" s="6"/>
    </row>
    <row r="217" spans="1:6" ht="15.75" customHeight="1">
      <c r="A217" s="4"/>
      <c r="B217" s="14"/>
      <c r="C217" s="4"/>
      <c r="D217" s="4"/>
      <c r="E217" s="6"/>
      <c r="F217" s="6"/>
    </row>
    <row r="218" spans="1:6" ht="15.75" customHeight="1">
      <c r="A218" s="4"/>
      <c r="B218" s="14"/>
      <c r="C218" s="4"/>
      <c r="D218" s="4"/>
      <c r="E218" s="6"/>
      <c r="F218" s="6"/>
    </row>
    <row r="219" spans="1:6" ht="15.75" customHeight="1">
      <c r="A219" s="4"/>
      <c r="B219" s="14"/>
      <c r="C219" s="4"/>
      <c r="D219" s="4"/>
      <c r="E219" s="6"/>
      <c r="F219" s="6"/>
    </row>
    <row r="220" spans="1:6" ht="15.75" customHeight="1">
      <c r="A220" s="4"/>
      <c r="B220" s="14"/>
      <c r="C220" s="4"/>
      <c r="D220" s="4"/>
      <c r="E220" s="6"/>
      <c r="F220" s="6"/>
    </row>
    <row r="221" spans="1:6" ht="15.75" customHeight="1">
      <c r="A221" s="4"/>
      <c r="B221" s="14"/>
      <c r="C221" s="4"/>
      <c r="D221" s="4"/>
      <c r="E221" s="6"/>
      <c r="F221" s="6"/>
    </row>
    <row r="222" spans="1:6" ht="15.75" customHeight="1">
      <c r="A222" s="4"/>
      <c r="B222" s="14"/>
      <c r="C222" s="4"/>
      <c r="D222" s="4"/>
      <c r="E222" s="6"/>
      <c r="F222" s="6"/>
    </row>
    <row r="223" spans="1:6" ht="15.75" customHeight="1">
      <c r="A223" s="4"/>
      <c r="B223" s="14"/>
      <c r="C223" s="4"/>
      <c r="D223" s="4"/>
      <c r="E223" s="6"/>
      <c r="F223" s="6"/>
    </row>
    <row r="224" spans="1:6" ht="15.75" customHeight="1">
      <c r="A224" s="4"/>
      <c r="B224" s="14"/>
      <c r="C224" s="4"/>
      <c r="D224" s="4"/>
      <c r="E224" s="6"/>
      <c r="F224" s="6"/>
    </row>
    <row r="225" spans="1:6" ht="15.75" customHeight="1">
      <c r="A225" s="4"/>
      <c r="B225" s="14"/>
      <c r="C225" s="4"/>
      <c r="D225" s="4"/>
      <c r="E225" s="6"/>
      <c r="F225" s="6"/>
    </row>
    <row r="226" spans="1:6" ht="15.75" customHeight="1">
      <c r="A226" s="4"/>
      <c r="B226" s="14"/>
      <c r="C226" s="4"/>
      <c r="D226" s="4"/>
      <c r="E226" s="6"/>
      <c r="F226" s="6"/>
    </row>
    <row r="227" spans="1:6" ht="15.75" customHeight="1">
      <c r="A227" s="4"/>
      <c r="B227" s="14"/>
      <c r="C227" s="4"/>
      <c r="D227" s="4"/>
      <c r="E227" s="6"/>
      <c r="F227" s="6"/>
    </row>
    <row r="228" spans="1:6" ht="15.75" customHeight="1">
      <c r="A228" s="4"/>
      <c r="B228" s="14"/>
      <c r="C228" s="4"/>
      <c r="D228" s="4"/>
      <c r="E228" s="6"/>
      <c r="F228" s="6"/>
    </row>
    <row r="229" spans="1:6" ht="15.75" customHeight="1">
      <c r="A229" s="4"/>
      <c r="B229" s="14"/>
      <c r="C229" s="4"/>
      <c r="D229" s="4"/>
      <c r="E229" s="6"/>
      <c r="F229" s="6"/>
    </row>
    <row r="230" spans="1:6" ht="15.75" customHeight="1">
      <c r="A230" s="4"/>
      <c r="B230" s="14"/>
      <c r="C230" s="4"/>
      <c r="D230" s="4"/>
      <c r="E230" s="6"/>
      <c r="F230" s="6"/>
    </row>
    <row r="231" spans="1:6" ht="15.75" customHeight="1">
      <c r="A231" s="4"/>
      <c r="B231" s="14"/>
      <c r="C231" s="4"/>
      <c r="D231" s="4"/>
      <c r="E231" s="6"/>
      <c r="F231" s="6"/>
    </row>
    <row r="232" spans="1:6" ht="15.75" customHeight="1">
      <c r="A232" s="4"/>
      <c r="B232" s="14"/>
      <c r="C232" s="4"/>
      <c r="D232" s="4"/>
      <c r="E232" s="6"/>
      <c r="F232" s="6"/>
    </row>
    <row r="233" spans="1:6" ht="15.75" customHeight="1">
      <c r="A233" s="4"/>
      <c r="B233" s="14"/>
      <c r="C233" s="4"/>
      <c r="D233" s="4"/>
      <c r="E233" s="6"/>
      <c r="F233" s="6"/>
    </row>
    <row r="234" spans="1:6" ht="15.75" customHeight="1">
      <c r="A234" s="4"/>
      <c r="B234" s="14"/>
      <c r="C234" s="4"/>
      <c r="D234" s="4"/>
      <c r="E234" s="6"/>
      <c r="F234" s="6"/>
    </row>
    <row r="235" spans="1:6" ht="15.75" customHeight="1">
      <c r="A235" s="4"/>
      <c r="B235" s="14"/>
      <c r="C235" s="4"/>
      <c r="D235" s="4"/>
      <c r="E235" s="6"/>
      <c r="F235" s="6"/>
    </row>
    <row r="236" spans="1:6" ht="15.75" customHeight="1">
      <c r="A236" s="4"/>
      <c r="B236" s="14"/>
      <c r="C236" s="4"/>
      <c r="D236" s="4"/>
      <c r="E236" s="6"/>
      <c r="F236" s="6"/>
    </row>
    <row r="237" spans="1:6" ht="15.75" customHeight="1">
      <c r="A237" s="4"/>
      <c r="B237" s="14"/>
      <c r="C237" s="4"/>
      <c r="D237" s="4"/>
      <c r="E237" s="6"/>
      <c r="F237" s="6"/>
    </row>
    <row r="238" spans="1:6" ht="15.75" customHeight="1">
      <c r="A238" s="4"/>
      <c r="B238" s="14"/>
      <c r="C238" s="4"/>
      <c r="D238" s="4"/>
      <c r="E238" s="6"/>
      <c r="F238" s="6"/>
    </row>
    <row r="239" spans="1:6" ht="15.75" customHeight="1">
      <c r="A239" s="4"/>
      <c r="B239" s="14"/>
      <c r="C239" s="4"/>
      <c r="D239" s="4"/>
      <c r="E239" s="6"/>
      <c r="F239" s="6"/>
    </row>
    <row r="240" spans="1:6" ht="15.75" customHeight="1">
      <c r="A240" s="4"/>
      <c r="B240" s="14"/>
      <c r="C240" s="4"/>
      <c r="D240" s="4"/>
      <c r="E240" s="6"/>
      <c r="F240" s="6"/>
    </row>
    <row r="241" spans="1:6" ht="15.75" customHeight="1">
      <c r="A241" s="4"/>
      <c r="B241" s="14"/>
      <c r="C241" s="4"/>
      <c r="D241" s="4"/>
      <c r="E241" s="6"/>
      <c r="F241" s="6"/>
    </row>
    <row r="242" spans="1:6" ht="15.75" customHeight="1">
      <c r="A242" s="4"/>
      <c r="B242" s="14"/>
      <c r="C242" s="4"/>
      <c r="D242" s="4"/>
      <c r="E242" s="6"/>
      <c r="F242" s="6"/>
    </row>
    <row r="243" spans="1:6" ht="15.75" customHeight="1">
      <c r="A243" s="4"/>
      <c r="B243" s="14"/>
      <c r="C243" s="4"/>
      <c r="D243" s="4"/>
      <c r="E243" s="6"/>
      <c r="F243" s="6"/>
    </row>
    <row r="244" spans="1:6" ht="15.75" customHeight="1">
      <c r="A244" s="4"/>
      <c r="B244" s="14"/>
      <c r="C244" s="4"/>
      <c r="D244" s="4"/>
      <c r="E244" s="6"/>
      <c r="F244" s="6"/>
    </row>
    <row r="245" spans="1:6" ht="15.75" customHeight="1">
      <c r="A245" s="4"/>
      <c r="B245" s="14"/>
      <c r="C245" s="4"/>
      <c r="D245" s="4"/>
      <c r="E245" s="6"/>
      <c r="F245" s="6"/>
    </row>
    <row r="246" spans="1:6" ht="15.75" customHeight="1">
      <c r="A246" s="4"/>
      <c r="B246" s="14"/>
      <c r="C246" s="4"/>
      <c r="D246" s="4"/>
      <c r="E246" s="6"/>
      <c r="F246" s="6"/>
    </row>
    <row r="247" spans="1:6" ht="15.75" customHeight="1">
      <c r="A247" s="4"/>
      <c r="B247" s="14"/>
      <c r="C247" s="4"/>
      <c r="D247" s="4"/>
      <c r="E247" s="6"/>
      <c r="F247" s="6"/>
    </row>
    <row r="248" spans="1:6" ht="15.75" customHeight="1">
      <c r="A248" s="4"/>
      <c r="B248" s="14"/>
      <c r="C248" s="4"/>
      <c r="D248" s="4"/>
      <c r="E248" s="6"/>
      <c r="F248" s="6"/>
    </row>
    <row r="249" spans="1:6" ht="15.75" customHeight="1">
      <c r="A249" s="4"/>
      <c r="B249" s="14"/>
      <c r="C249" s="4"/>
      <c r="D249" s="4"/>
      <c r="E249" s="6"/>
      <c r="F249" s="6"/>
    </row>
    <row r="250" spans="1:6" ht="15.75" customHeight="1">
      <c r="A250" s="4"/>
      <c r="B250" s="14"/>
      <c r="C250" s="4"/>
      <c r="D250" s="4"/>
      <c r="E250" s="6"/>
      <c r="F250" s="6"/>
    </row>
    <row r="251" spans="1:6" ht="15.75" customHeight="1">
      <c r="A251" s="4"/>
      <c r="B251" s="14"/>
      <c r="C251" s="4"/>
      <c r="D251" s="4"/>
      <c r="E251" s="6"/>
      <c r="F251" s="6"/>
    </row>
    <row r="252" spans="1:6" ht="15.75" customHeight="1">
      <c r="A252" s="4"/>
      <c r="B252" s="14"/>
      <c r="C252" s="4"/>
      <c r="D252" s="4"/>
      <c r="E252" s="6"/>
      <c r="F252" s="6"/>
    </row>
    <row r="253" spans="1:6" ht="15.75" customHeight="1">
      <c r="A253" s="4"/>
      <c r="B253" s="14"/>
      <c r="C253" s="4"/>
      <c r="D253" s="4"/>
      <c r="E253" s="6"/>
      <c r="F253" s="6"/>
    </row>
    <row r="254" spans="1:6" ht="15.75" customHeight="1">
      <c r="A254" s="4"/>
      <c r="B254" s="14"/>
      <c r="C254" s="4"/>
      <c r="D254" s="4"/>
      <c r="E254" s="6"/>
      <c r="F254" s="6"/>
    </row>
    <row r="255" spans="1:6" ht="15.75" customHeight="1">
      <c r="A255" s="4"/>
      <c r="B255" s="14"/>
      <c r="C255" s="4"/>
      <c r="D255" s="4"/>
      <c r="E255" s="6"/>
      <c r="F255" s="6"/>
    </row>
    <row r="256" spans="1:6" ht="15.75" customHeight="1">
      <c r="A256" s="4"/>
      <c r="B256" s="14"/>
      <c r="C256" s="4"/>
      <c r="D256" s="4"/>
      <c r="E256" s="6"/>
      <c r="F256" s="6"/>
    </row>
    <row r="257" spans="1:6" ht="15.75" customHeight="1">
      <c r="A257" s="4"/>
      <c r="B257" s="14"/>
      <c r="C257" s="4"/>
      <c r="D257" s="4"/>
      <c r="E257" s="6"/>
      <c r="F257" s="6"/>
    </row>
    <row r="258" spans="1:6" ht="15.75" customHeight="1">
      <c r="A258" s="4"/>
      <c r="B258" s="14"/>
      <c r="C258" s="4"/>
      <c r="D258" s="4"/>
      <c r="E258" s="6"/>
      <c r="F258" s="6"/>
    </row>
    <row r="259" spans="1:6" ht="15.75" customHeight="1">
      <c r="A259" s="4"/>
      <c r="B259" s="14"/>
      <c r="C259" s="4"/>
      <c r="D259" s="4"/>
      <c r="E259" s="6"/>
      <c r="F259" s="6"/>
    </row>
    <row r="260" spans="1:6" ht="15.75" customHeight="1">
      <c r="A260" s="4"/>
      <c r="B260" s="14"/>
      <c r="C260" s="4"/>
      <c r="D260" s="4"/>
      <c r="E260" s="6"/>
      <c r="F260" s="6"/>
    </row>
    <row r="261" spans="1:6" ht="15.75" customHeight="1">
      <c r="A261" s="4"/>
      <c r="B261" s="14"/>
      <c r="C261" s="4"/>
      <c r="D261" s="4"/>
      <c r="E261" s="6"/>
      <c r="F261" s="6"/>
    </row>
    <row r="262" spans="1:6" ht="15.75" customHeight="1">
      <c r="A262" s="4"/>
      <c r="B262" s="14"/>
      <c r="C262" s="4"/>
      <c r="D262" s="4"/>
      <c r="E262" s="6"/>
      <c r="F262" s="6"/>
    </row>
    <row r="263" spans="1:6" ht="15.75" customHeight="1">
      <c r="A263" s="4"/>
      <c r="B263" s="14"/>
      <c r="C263" s="4"/>
      <c r="D263" s="4"/>
      <c r="E263" s="6"/>
      <c r="F263" s="6"/>
    </row>
    <row r="264" spans="1:6" ht="15.75" customHeight="1">
      <c r="A264" s="4"/>
      <c r="B264" s="14"/>
      <c r="C264" s="4"/>
      <c r="D264" s="4"/>
      <c r="E264" s="6"/>
      <c r="F264" s="6"/>
    </row>
    <row r="265" spans="1:6" ht="15.75" customHeight="1">
      <c r="A265" s="4"/>
      <c r="B265" s="14"/>
      <c r="C265" s="4"/>
      <c r="D265" s="4"/>
      <c r="E265" s="6"/>
      <c r="F265" s="6"/>
    </row>
    <row r="266" spans="1:6" ht="15.75" customHeight="1">
      <c r="A266" s="4"/>
      <c r="B266" s="14"/>
      <c r="C266" s="4"/>
      <c r="D266" s="4"/>
      <c r="E266" s="6"/>
      <c r="F266" s="6"/>
    </row>
    <row r="267" spans="1:6" ht="15.75" customHeight="1">
      <c r="A267" s="4"/>
      <c r="B267" s="14"/>
      <c r="C267" s="4"/>
      <c r="D267" s="4"/>
      <c r="E267" s="6"/>
      <c r="F267" s="6"/>
    </row>
    <row r="268" spans="1:6" ht="15.75" customHeight="1">
      <c r="A268" s="4"/>
      <c r="B268" s="14"/>
      <c r="C268" s="4"/>
      <c r="D268" s="4"/>
      <c r="E268" s="6"/>
      <c r="F268" s="6"/>
    </row>
    <row r="269" spans="1:6" ht="15.75" customHeight="1">
      <c r="A269" s="4"/>
      <c r="B269" s="14"/>
      <c r="C269" s="4"/>
      <c r="D269" s="4"/>
      <c r="E269" s="6"/>
      <c r="F269" s="6"/>
    </row>
    <row r="270" spans="1:6" ht="15.75" customHeight="1">
      <c r="A270" s="4"/>
      <c r="B270" s="14"/>
      <c r="C270" s="4"/>
      <c r="D270" s="4"/>
      <c r="E270" s="6"/>
      <c r="F270" s="6"/>
    </row>
    <row r="271" spans="1:6" ht="15.75" customHeight="1">
      <c r="A271" s="4"/>
      <c r="B271" s="14"/>
      <c r="C271" s="4"/>
      <c r="D271" s="4"/>
      <c r="E271" s="6"/>
      <c r="F271" s="6"/>
    </row>
    <row r="272" spans="1:6" ht="15.75" customHeight="1">
      <c r="A272" s="4"/>
      <c r="B272" s="14"/>
      <c r="C272" s="4"/>
      <c r="D272" s="4"/>
      <c r="E272" s="6"/>
      <c r="F272" s="6"/>
    </row>
    <row r="273" spans="1:6" ht="15.75" customHeight="1">
      <c r="A273" s="4"/>
      <c r="B273" s="14"/>
      <c r="C273" s="4"/>
      <c r="D273" s="4"/>
      <c r="E273" s="6"/>
      <c r="F273" s="6"/>
    </row>
    <row r="274" spans="1:6" ht="15.75" customHeight="1">
      <c r="A274" s="4"/>
      <c r="B274" s="14"/>
      <c r="C274" s="4"/>
      <c r="D274" s="4"/>
      <c r="E274" s="6"/>
      <c r="F274" s="6"/>
    </row>
    <row r="275" spans="1:6" ht="15.75" customHeight="1">
      <c r="A275" s="4"/>
      <c r="B275" s="14"/>
      <c r="C275" s="4"/>
      <c r="D275" s="4"/>
      <c r="E275" s="6"/>
      <c r="F275" s="6"/>
    </row>
    <row r="276" spans="1:6" ht="15.75" customHeight="1">
      <c r="A276" s="4"/>
      <c r="B276" s="14"/>
      <c r="C276" s="4"/>
      <c r="D276" s="4"/>
      <c r="E276" s="6"/>
      <c r="F276" s="6"/>
    </row>
    <row r="277" spans="1:6" ht="15.75" customHeight="1">
      <c r="A277" s="4"/>
      <c r="B277" s="14"/>
      <c r="C277" s="4"/>
      <c r="D277" s="4"/>
      <c r="E277" s="6"/>
      <c r="F277" s="6"/>
    </row>
    <row r="278" spans="1:6" ht="15.75" customHeight="1">
      <c r="A278" s="4"/>
      <c r="B278" s="14"/>
      <c r="C278" s="4"/>
      <c r="D278" s="4"/>
      <c r="E278" s="6"/>
      <c r="F278" s="6"/>
    </row>
    <row r="279" spans="1:6" ht="15.75" customHeight="1">
      <c r="A279" s="4"/>
      <c r="B279" s="14"/>
      <c r="C279" s="4"/>
      <c r="D279" s="4"/>
      <c r="E279" s="6"/>
      <c r="F279" s="6"/>
    </row>
    <row r="280" spans="1:6" ht="15.75" customHeight="1">
      <c r="A280" s="4"/>
      <c r="B280" s="14"/>
      <c r="C280" s="4"/>
      <c r="D280" s="4"/>
      <c r="E280" s="6"/>
      <c r="F280" s="6"/>
    </row>
    <row r="281" spans="1:6" ht="15.75" customHeight="1">
      <c r="A281" s="4"/>
      <c r="B281" s="14"/>
      <c r="C281" s="4"/>
      <c r="D281" s="4"/>
      <c r="E281" s="6"/>
      <c r="F281" s="6"/>
    </row>
    <row r="282" spans="1:6" ht="15.75" customHeight="1">
      <c r="A282" s="4"/>
      <c r="B282" s="14"/>
      <c r="C282" s="4"/>
      <c r="D282" s="4"/>
      <c r="E282" s="6"/>
      <c r="F282" s="6"/>
    </row>
    <row r="283" spans="1:6" ht="15.75" customHeight="1">
      <c r="A283" s="4"/>
      <c r="B283" s="14"/>
      <c r="C283" s="4"/>
      <c r="D283" s="4"/>
      <c r="E283" s="6"/>
      <c r="F283" s="6"/>
    </row>
    <row r="284" spans="1:6" ht="15.75" customHeight="1">
      <c r="A284" s="4"/>
      <c r="B284" s="14"/>
      <c r="C284" s="4"/>
      <c r="D284" s="4"/>
      <c r="E284" s="6"/>
      <c r="F284" s="6"/>
    </row>
    <row r="285" spans="1:6" ht="15.75" customHeight="1">
      <c r="A285" s="4"/>
      <c r="B285" s="14"/>
      <c r="C285" s="4"/>
      <c r="D285" s="4"/>
      <c r="E285" s="6"/>
      <c r="F285" s="6"/>
    </row>
    <row r="286" spans="1:6" ht="15.75" customHeight="1">
      <c r="A286" s="4"/>
      <c r="B286" s="14"/>
      <c r="C286" s="4"/>
      <c r="D286" s="4"/>
      <c r="E286" s="6"/>
      <c r="F286" s="6"/>
    </row>
    <row r="287" spans="1:6" ht="15.75" customHeight="1">
      <c r="A287" s="4"/>
      <c r="B287" s="14"/>
      <c r="C287" s="4"/>
      <c r="D287" s="4"/>
      <c r="E287" s="6"/>
      <c r="F287" s="6"/>
    </row>
    <row r="288" spans="1:6" ht="15.75" customHeight="1">
      <c r="A288" s="4"/>
      <c r="B288" s="14"/>
      <c r="C288" s="4"/>
      <c r="D288" s="4"/>
      <c r="E288" s="6"/>
      <c r="F288" s="6"/>
    </row>
    <row r="289" spans="1:6" ht="15.75" customHeight="1">
      <c r="A289" s="4"/>
      <c r="B289" s="14"/>
      <c r="C289" s="4"/>
      <c r="D289" s="4"/>
      <c r="E289" s="6"/>
      <c r="F289" s="6"/>
    </row>
    <row r="290" spans="1:6" ht="15.75" customHeight="1">
      <c r="A290" s="4"/>
      <c r="B290" s="14"/>
      <c r="C290" s="4"/>
      <c r="D290" s="4"/>
      <c r="E290" s="6"/>
      <c r="F290" s="6"/>
    </row>
    <row r="291" spans="1:6" ht="15.75" customHeight="1">
      <c r="A291" s="4"/>
      <c r="B291" s="14"/>
      <c r="C291" s="4"/>
      <c r="D291" s="4"/>
      <c r="E291" s="6"/>
      <c r="F291" s="6"/>
    </row>
    <row r="292" spans="1:6" ht="15.75" customHeight="1">
      <c r="A292" s="4"/>
      <c r="B292" s="14"/>
      <c r="C292" s="4"/>
      <c r="D292" s="4"/>
      <c r="E292" s="6"/>
      <c r="F292" s="6"/>
    </row>
    <row r="293" spans="1:6" ht="15.75" customHeight="1">
      <c r="A293" s="4"/>
      <c r="B293" s="14"/>
      <c r="C293" s="4"/>
      <c r="D293" s="4"/>
      <c r="E293" s="6"/>
      <c r="F293" s="6"/>
    </row>
    <row r="294" spans="1:6" ht="15.75" customHeight="1">
      <c r="A294" s="4"/>
      <c r="B294" s="14"/>
      <c r="C294" s="4"/>
      <c r="D294" s="4"/>
      <c r="E294" s="6"/>
      <c r="F294" s="6"/>
    </row>
    <row r="295" spans="1:6" ht="15.75" customHeight="1">
      <c r="A295" s="4"/>
      <c r="B295" s="14"/>
      <c r="C295" s="4"/>
      <c r="D295" s="4"/>
      <c r="E295" s="6"/>
      <c r="F295" s="6"/>
    </row>
    <row r="296" spans="1:6" ht="15.75" customHeight="1">
      <c r="A296" s="4"/>
      <c r="B296" s="14"/>
      <c r="C296" s="4"/>
      <c r="D296" s="4"/>
      <c r="E296" s="6"/>
      <c r="F296" s="6"/>
    </row>
    <row r="297" spans="1:6" ht="15.75" customHeight="1">
      <c r="A297" s="4"/>
      <c r="B297" s="14"/>
      <c r="C297" s="4"/>
      <c r="D297" s="4"/>
      <c r="E297" s="6"/>
      <c r="F297" s="6"/>
    </row>
    <row r="298" spans="1:6" ht="15.75" customHeight="1">
      <c r="A298" s="4"/>
      <c r="B298" s="14"/>
      <c r="C298" s="4"/>
      <c r="D298" s="4"/>
      <c r="E298" s="6"/>
      <c r="F298" s="6"/>
    </row>
    <row r="299" spans="1:6" ht="15.75" customHeight="1">
      <c r="A299" s="4"/>
      <c r="B299" s="14"/>
      <c r="C299" s="4"/>
      <c r="D299" s="4"/>
      <c r="E299" s="6"/>
      <c r="F299" s="6"/>
    </row>
    <row r="300" spans="1:6" ht="15.75" customHeight="1">
      <c r="A300" s="4"/>
      <c r="B300" s="14"/>
      <c r="C300" s="4"/>
      <c r="D300" s="4"/>
      <c r="E300" s="6"/>
      <c r="F300" s="6"/>
    </row>
    <row r="301" spans="1:6" ht="15.75" customHeight="1">
      <c r="A301" s="4"/>
      <c r="B301" s="14"/>
      <c r="C301" s="4"/>
      <c r="D301" s="4"/>
      <c r="E301" s="6"/>
      <c r="F301" s="6"/>
    </row>
    <row r="302" spans="1:6" ht="15.75" customHeight="1">
      <c r="A302" s="4"/>
      <c r="B302" s="14"/>
      <c r="C302" s="4"/>
      <c r="D302" s="4"/>
      <c r="E302" s="6"/>
      <c r="F302" s="6"/>
    </row>
    <row r="303" spans="1:6" ht="15.75" customHeight="1">
      <c r="A303" s="4"/>
      <c r="B303" s="14"/>
      <c r="C303" s="4"/>
      <c r="D303" s="4"/>
      <c r="E303" s="6"/>
      <c r="F303" s="6"/>
    </row>
    <row r="304" spans="1:6" ht="15.75" customHeight="1">
      <c r="A304" s="4"/>
      <c r="B304" s="14"/>
      <c r="C304" s="4"/>
      <c r="D304" s="4"/>
      <c r="E304" s="6"/>
      <c r="F304" s="6"/>
    </row>
    <row r="305" spans="1:6" ht="15.75" customHeight="1">
      <c r="A305" s="4"/>
      <c r="B305" s="14"/>
      <c r="C305" s="4"/>
      <c r="D305" s="4"/>
      <c r="E305" s="6"/>
      <c r="F305" s="6"/>
    </row>
    <row r="306" spans="1:6" ht="15.75" customHeight="1">
      <c r="A306" s="4"/>
      <c r="B306" s="14"/>
      <c r="C306" s="4"/>
      <c r="D306" s="4"/>
      <c r="E306" s="6"/>
      <c r="F306" s="6"/>
    </row>
    <row r="307" spans="1:6" ht="15.75" customHeight="1">
      <c r="A307" s="4"/>
      <c r="B307" s="14"/>
      <c r="C307" s="4"/>
      <c r="D307" s="4"/>
      <c r="E307" s="6"/>
      <c r="F307" s="6"/>
    </row>
    <row r="308" spans="1:6" ht="15.75" customHeight="1">
      <c r="A308" s="4"/>
      <c r="B308" s="14"/>
      <c r="C308" s="4"/>
      <c r="D308" s="4"/>
      <c r="E308" s="6"/>
      <c r="F308" s="6"/>
    </row>
    <row r="309" spans="1:6" ht="15.75" customHeight="1">
      <c r="A309" s="4"/>
      <c r="B309" s="14"/>
      <c r="C309" s="4"/>
      <c r="D309" s="4"/>
      <c r="E309" s="6"/>
      <c r="F309" s="6"/>
    </row>
    <row r="310" spans="1:6" ht="15.75" customHeight="1">
      <c r="A310" s="4"/>
      <c r="B310" s="14"/>
      <c r="C310" s="4"/>
      <c r="D310" s="4"/>
      <c r="E310" s="6"/>
      <c r="F310" s="6"/>
    </row>
    <row r="311" spans="1:6" ht="15.75" customHeight="1">
      <c r="A311" s="4"/>
      <c r="B311" s="14"/>
      <c r="C311" s="4"/>
      <c r="D311" s="4"/>
      <c r="E311" s="6"/>
      <c r="F311" s="6"/>
    </row>
    <row r="312" spans="1:6" ht="15.75" customHeight="1">
      <c r="A312" s="4"/>
      <c r="B312" s="14"/>
      <c r="C312" s="4"/>
      <c r="D312" s="4"/>
      <c r="E312" s="6"/>
      <c r="F312" s="6"/>
    </row>
    <row r="313" spans="1:6" ht="15.75" customHeight="1">
      <c r="A313" s="4"/>
      <c r="B313" s="14"/>
      <c r="C313" s="4"/>
      <c r="D313" s="4"/>
      <c r="E313" s="6"/>
      <c r="F313" s="6"/>
    </row>
    <row r="314" spans="1:6" ht="15.75" customHeight="1">
      <c r="A314" s="4"/>
      <c r="B314" s="14"/>
      <c r="C314" s="4"/>
      <c r="D314" s="4"/>
      <c r="E314" s="6"/>
      <c r="F314" s="6"/>
    </row>
    <row r="315" spans="1:6" ht="15.75" customHeight="1">
      <c r="A315" s="4"/>
      <c r="B315" s="14"/>
      <c r="C315" s="4"/>
      <c r="D315" s="4"/>
      <c r="E315" s="6"/>
      <c r="F315" s="6"/>
    </row>
    <row r="316" spans="1:6" ht="15.75" customHeight="1">
      <c r="A316" s="4"/>
      <c r="B316" s="14"/>
      <c r="C316" s="4"/>
      <c r="D316" s="4"/>
      <c r="E316" s="6"/>
      <c r="F316" s="6"/>
    </row>
    <row r="317" spans="1:6" ht="15.75" customHeight="1">
      <c r="A317" s="4"/>
      <c r="B317" s="14"/>
      <c r="C317" s="4"/>
      <c r="D317" s="4"/>
      <c r="E317" s="6"/>
      <c r="F317" s="6"/>
    </row>
    <row r="318" spans="1:6" ht="15.75" customHeight="1">
      <c r="A318" s="4"/>
      <c r="B318" s="14"/>
      <c r="C318" s="4"/>
      <c r="D318" s="4"/>
      <c r="E318" s="6"/>
      <c r="F318" s="6"/>
    </row>
    <row r="319" spans="1:6" ht="15.75" customHeight="1">
      <c r="A319" s="4"/>
      <c r="B319" s="14"/>
      <c r="C319" s="4"/>
      <c r="D319" s="4"/>
      <c r="E319" s="6"/>
      <c r="F319" s="6"/>
    </row>
    <row r="320" spans="1:6" ht="15.75" customHeight="1">
      <c r="A320" s="4"/>
      <c r="B320" s="14"/>
      <c r="C320" s="4"/>
      <c r="D320" s="4"/>
      <c r="E320" s="6"/>
      <c r="F320" s="6"/>
    </row>
    <row r="321" spans="1:6" ht="15.75" customHeight="1">
      <c r="A321" s="4"/>
      <c r="B321" s="14"/>
      <c r="C321" s="4"/>
      <c r="D321" s="4"/>
      <c r="E321" s="6"/>
      <c r="F321" s="6"/>
    </row>
    <row r="322" spans="1:6" ht="15.75" customHeight="1">
      <c r="A322" s="4"/>
      <c r="B322" s="14"/>
      <c r="C322" s="4"/>
      <c r="D322" s="4"/>
      <c r="E322" s="6"/>
      <c r="F322" s="6"/>
    </row>
    <row r="323" spans="1:6" ht="15.75" customHeight="1">
      <c r="A323" s="4"/>
      <c r="B323" s="14"/>
      <c r="C323" s="4"/>
      <c r="D323" s="4"/>
      <c r="E323" s="6"/>
      <c r="F323" s="6"/>
    </row>
    <row r="324" spans="1:6" ht="15.75" customHeight="1">
      <c r="A324" s="4"/>
      <c r="B324" s="14"/>
      <c r="C324" s="4"/>
      <c r="D324" s="4"/>
      <c r="E324" s="6"/>
      <c r="F324" s="6"/>
    </row>
    <row r="325" spans="1:6" ht="15.75" customHeight="1">
      <c r="A325" s="4"/>
      <c r="B325" s="14"/>
      <c r="C325" s="4"/>
      <c r="D325" s="4"/>
      <c r="E325" s="6"/>
      <c r="F325" s="6"/>
    </row>
    <row r="326" spans="1:6" ht="15.75" customHeight="1">
      <c r="A326" s="4"/>
      <c r="B326" s="14"/>
      <c r="C326" s="4"/>
      <c r="D326" s="4"/>
      <c r="E326" s="6"/>
      <c r="F326" s="6"/>
    </row>
    <row r="327" spans="1:6" ht="15.75" customHeight="1">
      <c r="A327" s="4"/>
      <c r="B327" s="14"/>
      <c r="C327" s="4"/>
      <c r="D327" s="4"/>
      <c r="E327" s="6"/>
      <c r="F327" s="6"/>
    </row>
    <row r="328" spans="1:6" ht="15.75" customHeight="1">
      <c r="A328" s="4"/>
      <c r="B328" s="14"/>
      <c r="C328" s="4"/>
      <c r="D328" s="4"/>
      <c r="E328" s="6"/>
      <c r="F328" s="6"/>
    </row>
    <row r="329" spans="1:6" ht="15.75" customHeight="1">
      <c r="A329" s="4"/>
      <c r="B329" s="14"/>
      <c r="C329" s="4"/>
      <c r="D329" s="4"/>
      <c r="E329" s="6"/>
      <c r="F329" s="6"/>
    </row>
    <row r="330" spans="1:6" ht="15.75" customHeight="1">
      <c r="A330" s="4"/>
      <c r="B330" s="14"/>
      <c r="C330" s="4"/>
      <c r="D330" s="4"/>
      <c r="E330" s="6"/>
      <c r="F330" s="6"/>
    </row>
    <row r="331" spans="1:6" ht="15.75" customHeight="1">
      <c r="A331" s="4"/>
      <c r="B331" s="14"/>
      <c r="C331" s="4"/>
      <c r="D331" s="4"/>
      <c r="E331" s="6"/>
      <c r="F331" s="6"/>
    </row>
    <row r="332" spans="1:6" ht="15.75" customHeight="1">
      <c r="A332" s="4"/>
      <c r="B332" s="14"/>
      <c r="C332" s="4"/>
      <c r="D332" s="4"/>
      <c r="E332" s="6"/>
      <c r="F332" s="6"/>
    </row>
    <row r="333" spans="1:6" ht="15.75" customHeight="1">
      <c r="A333" s="4"/>
      <c r="B333" s="14"/>
      <c r="C333" s="4"/>
      <c r="D333" s="4"/>
      <c r="E333" s="6"/>
      <c r="F333" s="6"/>
    </row>
    <row r="334" spans="1:6" ht="15.75" customHeight="1">
      <c r="A334" s="4"/>
      <c r="B334" s="14"/>
      <c r="C334" s="4"/>
      <c r="D334" s="4"/>
      <c r="E334" s="6"/>
      <c r="F334" s="6"/>
    </row>
    <row r="335" spans="1:6" ht="15.75" customHeight="1">
      <c r="A335" s="4"/>
      <c r="B335" s="14"/>
      <c r="C335" s="4"/>
      <c r="D335" s="4"/>
      <c r="E335" s="6"/>
      <c r="F335" s="6"/>
    </row>
    <row r="336" spans="1:6" ht="15.75" customHeight="1">
      <c r="A336" s="4"/>
      <c r="B336" s="14"/>
      <c r="C336" s="4"/>
      <c r="D336" s="4"/>
      <c r="E336" s="6"/>
      <c r="F336" s="6"/>
    </row>
    <row r="337" spans="1:6" ht="15.75" customHeight="1">
      <c r="A337" s="4"/>
      <c r="B337" s="14"/>
      <c r="C337" s="4"/>
      <c r="D337" s="4"/>
      <c r="E337" s="6"/>
      <c r="F337" s="6"/>
    </row>
    <row r="338" spans="1:6" ht="15.75" customHeight="1">
      <c r="A338" s="4"/>
      <c r="B338" s="14"/>
      <c r="C338" s="4"/>
      <c r="D338" s="4"/>
      <c r="E338" s="6"/>
      <c r="F338" s="6"/>
    </row>
    <row r="339" spans="1:6" ht="15.75" customHeight="1">
      <c r="A339" s="4"/>
      <c r="B339" s="14"/>
      <c r="C339" s="4"/>
      <c r="D339" s="4"/>
      <c r="E339" s="6"/>
      <c r="F339" s="6"/>
    </row>
    <row r="340" spans="1:6" ht="15.75" customHeight="1">
      <c r="A340" s="4"/>
      <c r="B340" s="14"/>
      <c r="C340" s="4"/>
      <c r="D340" s="4"/>
      <c r="E340" s="6"/>
      <c r="F340" s="6"/>
    </row>
    <row r="341" spans="1:6" ht="15.75" customHeight="1">
      <c r="A341" s="4"/>
      <c r="B341" s="14"/>
      <c r="C341" s="4"/>
      <c r="D341" s="4"/>
      <c r="E341" s="6"/>
      <c r="F341" s="6"/>
    </row>
    <row r="342" spans="1:6" ht="15.75" customHeight="1">
      <c r="A342" s="4"/>
      <c r="B342" s="14"/>
      <c r="C342" s="4"/>
      <c r="D342" s="4"/>
      <c r="E342" s="6"/>
      <c r="F342" s="6"/>
    </row>
    <row r="343" spans="1:6" ht="15.75" customHeight="1">
      <c r="A343" s="4"/>
      <c r="B343" s="14"/>
      <c r="C343" s="4"/>
      <c r="D343" s="4"/>
      <c r="E343" s="6"/>
      <c r="F343" s="6"/>
    </row>
    <row r="344" spans="1:6" ht="15.75" customHeight="1">
      <c r="A344" s="4"/>
      <c r="B344" s="14"/>
      <c r="C344" s="4"/>
      <c r="D344" s="4"/>
      <c r="E344" s="6"/>
      <c r="F344" s="6"/>
    </row>
    <row r="345" spans="1:6" ht="15.75" customHeight="1">
      <c r="A345" s="4"/>
      <c r="B345" s="14"/>
      <c r="C345" s="4"/>
      <c r="D345" s="4"/>
      <c r="E345" s="6"/>
      <c r="F345" s="6"/>
    </row>
    <row r="346" spans="1:6" ht="15.75" customHeight="1">
      <c r="A346" s="4"/>
      <c r="B346" s="14"/>
      <c r="C346" s="4"/>
      <c r="D346" s="4"/>
      <c r="E346" s="6"/>
      <c r="F346" s="6"/>
    </row>
    <row r="347" spans="1:6" ht="15.75" customHeight="1">
      <c r="A347" s="4"/>
      <c r="B347" s="14"/>
      <c r="C347" s="4"/>
      <c r="D347" s="4"/>
      <c r="E347" s="6"/>
      <c r="F347" s="6"/>
    </row>
    <row r="348" spans="1:6" ht="15.75" customHeight="1">
      <c r="A348" s="4"/>
      <c r="B348" s="14"/>
      <c r="C348" s="4"/>
      <c r="D348" s="4"/>
      <c r="E348" s="6"/>
      <c r="F348" s="6"/>
    </row>
    <row r="349" spans="1:6" ht="15.75" customHeight="1">
      <c r="A349" s="4"/>
      <c r="B349" s="14"/>
      <c r="C349" s="4"/>
      <c r="D349" s="4"/>
      <c r="E349" s="6"/>
      <c r="F349" s="6"/>
    </row>
    <row r="350" spans="1:6" ht="15.75" customHeight="1">
      <c r="A350" s="4"/>
      <c r="B350" s="14"/>
      <c r="C350" s="4"/>
      <c r="D350" s="4"/>
      <c r="E350" s="6"/>
      <c r="F350" s="6"/>
    </row>
    <row r="351" spans="1:6" ht="15.75" customHeight="1">
      <c r="A351" s="4"/>
      <c r="B351" s="14"/>
      <c r="C351" s="4"/>
      <c r="D351" s="4"/>
      <c r="E351" s="6"/>
      <c r="F351" s="6"/>
    </row>
    <row r="352" spans="1:6" ht="15.75" customHeight="1">
      <c r="A352" s="4"/>
      <c r="B352" s="5"/>
      <c r="C352" s="4"/>
      <c r="D352" s="4"/>
      <c r="E352" s="6"/>
      <c r="F352" s="6"/>
    </row>
    <row r="353" spans="1:6" ht="15.75" customHeight="1">
      <c r="A353" s="4"/>
      <c r="B353" s="5"/>
      <c r="C353" s="4"/>
      <c r="D353" s="4"/>
      <c r="E353" s="6"/>
      <c r="F353" s="6"/>
    </row>
    <row r="354" spans="1:6" ht="15.75" customHeight="1">
      <c r="A354" s="4"/>
      <c r="B354" s="5"/>
      <c r="C354" s="4"/>
      <c r="D354" s="4"/>
      <c r="E354" s="6"/>
      <c r="F354" s="6"/>
    </row>
    <row r="355" spans="1:6" ht="15.75" customHeight="1">
      <c r="A355" s="4"/>
      <c r="B355" s="5"/>
      <c r="C355" s="4"/>
      <c r="D355" s="4"/>
      <c r="E355" s="6"/>
      <c r="F355" s="6"/>
    </row>
    <row r="356" spans="1:6" ht="15.75" customHeight="1">
      <c r="A356" s="4"/>
      <c r="B356" s="5"/>
      <c r="C356" s="4"/>
      <c r="D356" s="4"/>
      <c r="E356" s="6"/>
      <c r="F356" s="6"/>
    </row>
    <row r="357" spans="1:6" ht="15.75" customHeight="1">
      <c r="A357" s="4"/>
      <c r="B357" s="5"/>
      <c r="C357" s="4"/>
      <c r="D357" s="4"/>
      <c r="E357" s="6"/>
      <c r="F357" s="6"/>
    </row>
    <row r="358" spans="1:6" ht="15.75" customHeight="1">
      <c r="A358" s="4"/>
      <c r="B358" s="5"/>
      <c r="C358" s="4"/>
      <c r="D358" s="4"/>
      <c r="E358" s="6"/>
      <c r="F358" s="6"/>
    </row>
    <row r="359" spans="1:6" ht="15.75" customHeight="1">
      <c r="A359" s="4"/>
      <c r="B359" s="5"/>
      <c r="C359" s="4"/>
      <c r="D359" s="4"/>
      <c r="E359" s="6"/>
      <c r="F359" s="6"/>
    </row>
    <row r="360" spans="1:6" ht="15.75" customHeight="1">
      <c r="A360" s="4"/>
      <c r="B360" s="5"/>
      <c r="C360" s="4"/>
      <c r="D360" s="4"/>
      <c r="E360" s="6"/>
      <c r="F360" s="6"/>
    </row>
    <row r="361" spans="1:6" ht="15.75" customHeight="1">
      <c r="A361" s="4"/>
      <c r="B361" s="5"/>
      <c r="C361" s="4"/>
      <c r="D361" s="4"/>
      <c r="E361" s="6"/>
      <c r="F361" s="6"/>
    </row>
    <row r="362" spans="1:6" ht="15.75" customHeight="1">
      <c r="A362" s="4"/>
      <c r="B362" s="5"/>
      <c r="C362" s="4"/>
      <c r="D362" s="4"/>
      <c r="E362" s="6"/>
      <c r="F362" s="6"/>
    </row>
    <row r="363" spans="1:6" ht="15.75" customHeight="1">
      <c r="A363" s="4"/>
      <c r="B363" s="5"/>
      <c r="C363" s="4"/>
      <c r="D363" s="4"/>
      <c r="E363" s="6"/>
      <c r="F363" s="6"/>
    </row>
    <row r="364" spans="1:6" ht="15.75" customHeight="1">
      <c r="A364" s="4"/>
      <c r="B364" s="5"/>
      <c r="C364" s="4"/>
      <c r="D364" s="4"/>
      <c r="E364" s="6"/>
      <c r="F364" s="6"/>
    </row>
    <row r="365" spans="1:6" ht="15.75" customHeight="1">
      <c r="A365" s="4"/>
      <c r="B365" s="5"/>
      <c r="C365" s="4"/>
      <c r="D365" s="4"/>
      <c r="E365" s="6"/>
      <c r="F365" s="6"/>
    </row>
    <row r="366" spans="1:6" ht="15.75" customHeight="1">
      <c r="A366" s="4"/>
      <c r="B366" s="5"/>
      <c r="C366" s="4"/>
      <c r="D366" s="4"/>
      <c r="E366" s="6"/>
      <c r="F366" s="6"/>
    </row>
    <row r="367" spans="1:6" ht="15.75" customHeight="1">
      <c r="A367" s="4"/>
      <c r="B367" s="5"/>
      <c r="C367" s="4"/>
      <c r="D367" s="4"/>
      <c r="E367" s="6"/>
      <c r="F367" s="6"/>
    </row>
    <row r="368" spans="1:6" ht="15.75" customHeight="1">
      <c r="A368" s="4"/>
      <c r="B368" s="5"/>
      <c r="C368" s="4"/>
      <c r="D368" s="4"/>
      <c r="E368" s="6"/>
      <c r="F368" s="6"/>
    </row>
    <row r="369" spans="1:6" ht="15.75" customHeight="1">
      <c r="A369" s="4"/>
      <c r="B369" s="5"/>
      <c r="C369" s="4"/>
      <c r="D369" s="4"/>
      <c r="E369" s="6"/>
      <c r="F369" s="6"/>
    </row>
    <row r="370" spans="1:6" ht="15.75" customHeight="1">
      <c r="A370" s="4"/>
      <c r="B370" s="5"/>
      <c r="C370" s="4"/>
      <c r="D370" s="4"/>
      <c r="E370" s="6"/>
      <c r="F370" s="6"/>
    </row>
    <row r="371" spans="1:6" ht="15.75" customHeight="1">
      <c r="A371" s="4"/>
      <c r="B371" s="5"/>
      <c r="C371" s="4"/>
      <c r="D371" s="4"/>
      <c r="E371" s="6"/>
      <c r="F371" s="6"/>
    </row>
    <row r="372" spans="1:6" ht="15.75" customHeight="1">
      <c r="A372" s="4"/>
      <c r="B372" s="5"/>
      <c r="C372" s="4"/>
      <c r="D372" s="4"/>
      <c r="E372" s="6"/>
      <c r="F372" s="6"/>
    </row>
    <row r="373" spans="1:6" ht="15.75" customHeight="1">
      <c r="A373" s="4"/>
      <c r="B373" s="5"/>
      <c r="C373" s="4"/>
      <c r="D373" s="4"/>
      <c r="E373" s="6"/>
      <c r="F373" s="6"/>
    </row>
    <row r="374" spans="1:6" ht="15.75" customHeight="1">
      <c r="A374" s="4"/>
      <c r="B374" s="5"/>
      <c r="C374" s="4"/>
      <c r="D374" s="4"/>
      <c r="E374" s="6"/>
      <c r="F374" s="6"/>
    </row>
    <row r="375" spans="1:6" ht="15.75" customHeight="1">
      <c r="A375" s="4"/>
      <c r="B375" s="5"/>
      <c r="C375" s="4"/>
      <c r="D375" s="4"/>
      <c r="E375" s="6"/>
      <c r="F375" s="6"/>
    </row>
    <row r="376" spans="1:6" ht="15.75" customHeight="1">
      <c r="A376" s="4"/>
      <c r="B376" s="5"/>
      <c r="C376" s="4"/>
      <c r="D376" s="4"/>
      <c r="E376" s="6"/>
      <c r="F376" s="6"/>
    </row>
    <row r="377" spans="1:6" ht="15.75" customHeight="1">
      <c r="A377" s="4"/>
      <c r="B377" s="5"/>
      <c r="C377" s="4"/>
      <c r="D377" s="4"/>
      <c r="E377" s="6"/>
      <c r="F377" s="6"/>
    </row>
    <row r="378" spans="1:6" ht="15.75" customHeight="1">
      <c r="A378" s="4"/>
      <c r="B378" s="5"/>
      <c r="C378" s="4"/>
      <c r="D378" s="4"/>
      <c r="E378" s="6"/>
      <c r="F378" s="6"/>
    </row>
    <row r="379" spans="1:6" ht="15.75" customHeight="1">
      <c r="A379" s="4"/>
      <c r="B379" s="5"/>
      <c r="C379" s="4"/>
      <c r="D379" s="4"/>
      <c r="E379" s="6"/>
      <c r="F379" s="6"/>
    </row>
    <row r="380" spans="1:6" ht="15.75" customHeight="1">
      <c r="A380" s="4"/>
      <c r="B380" s="5"/>
      <c r="C380" s="4"/>
      <c r="D380" s="4"/>
      <c r="E380" s="6"/>
      <c r="F380" s="6"/>
    </row>
    <row r="381" spans="1:6" ht="15.75" customHeight="1">
      <c r="A381" s="4"/>
      <c r="B381" s="5"/>
      <c r="C381" s="4"/>
      <c r="D381" s="4"/>
      <c r="E381" s="6"/>
      <c r="F381" s="6"/>
    </row>
    <row r="382" spans="1:6" ht="15.75" customHeight="1">
      <c r="A382" s="4"/>
      <c r="B382" s="5"/>
      <c r="C382" s="4"/>
      <c r="D382" s="4"/>
      <c r="E382" s="6"/>
      <c r="F382" s="6"/>
    </row>
    <row r="383" spans="1:6" ht="15.75" customHeight="1">
      <c r="A383" s="4"/>
      <c r="B383" s="5"/>
      <c r="C383" s="4"/>
      <c r="D383" s="4"/>
      <c r="E383" s="6"/>
      <c r="F383" s="6"/>
    </row>
    <row r="384" spans="1:6" ht="15.75" customHeight="1">
      <c r="A384" s="4"/>
      <c r="B384" s="5"/>
      <c r="C384" s="4"/>
      <c r="D384" s="4"/>
      <c r="E384" s="6"/>
      <c r="F384" s="6"/>
    </row>
    <row r="385" spans="1:6" ht="15.75" customHeight="1">
      <c r="A385" s="4"/>
      <c r="B385" s="5"/>
      <c r="C385" s="4"/>
      <c r="D385" s="4"/>
      <c r="E385" s="6"/>
      <c r="F385" s="6"/>
    </row>
    <row r="386" spans="1:6" ht="15.75" customHeight="1">
      <c r="A386" s="4"/>
      <c r="B386" s="5"/>
      <c r="C386" s="4"/>
      <c r="D386" s="4"/>
      <c r="E386" s="6"/>
      <c r="F386" s="6"/>
    </row>
    <row r="387" spans="1:6" ht="15.75" customHeight="1">
      <c r="A387" s="4"/>
      <c r="B387" s="5"/>
      <c r="C387" s="4"/>
      <c r="D387" s="4"/>
      <c r="E387" s="6"/>
      <c r="F387" s="6"/>
    </row>
    <row r="388" spans="1:6" ht="15.75" customHeight="1">
      <c r="A388" s="4"/>
      <c r="B388" s="5"/>
      <c r="C388" s="4"/>
      <c r="D388" s="4"/>
      <c r="E388" s="6"/>
      <c r="F388" s="6"/>
    </row>
    <row r="389" spans="1:6" ht="15.75" customHeight="1">
      <c r="A389" s="4"/>
      <c r="B389" s="5"/>
      <c r="C389" s="4"/>
      <c r="D389" s="4"/>
      <c r="E389" s="6"/>
      <c r="F389" s="6"/>
    </row>
    <row r="390" spans="1:6" ht="15.75" customHeight="1">
      <c r="A390" s="4"/>
      <c r="B390" s="5"/>
      <c r="C390" s="4"/>
      <c r="D390" s="4"/>
      <c r="E390" s="6"/>
      <c r="F390" s="6"/>
    </row>
    <row r="391" spans="1:6" ht="15.75" customHeight="1">
      <c r="A391" s="4"/>
      <c r="B391" s="5"/>
      <c r="C391" s="4"/>
      <c r="D391" s="4"/>
      <c r="E391" s="6"/>
      <c r="F391" s="6"/>
    </row>
    <row r="392" spans="1:6" ht="15.75" customHeight="1">
      <c r="A392" s="4"/>
      <c r="B392" s="5"/>
      <c r="C392" s="4"/>
      <c r="D392" s="4"/>
      <c r="E392" s="6"/>
      <c r="F392" s="6"/>
    </row>
    <row r="393" spans="1:6" ht="15.75" customHeight="1">
      <c r="A393" s="4"/>
      <c r="B393" s="5"/>
      <c r="C393" s="4"/>
      <c r="D393" s="4"/>
      <c r="E393" s="6"/>
      <c r="F393" s="6"/>
    </row>
    <row r="394" spans="1:6" ht="15.75" customHeight="1">
      <c r="A394" s="4"/>
      <c r="B394" s="5"/>
      <c r="C394" s="4"/>
      <c r="D394" s="4"/>
      <c r="E394" s="6"/>
      <c r="F394" s="6"/>
    </row>
    <row r="395" spans="1:6" ht="15.75" customHeight="1">
      <c r="A395" s="4"/>
      <c r="B395" s="5"/>
      <c r="C395" s="4"/>
      <c r="D395" s="4"/>
      <c r="E395" s="6"/>
      <c r="F395" s="6"/>
    </row>
    <row r="396" spans="1:6" ht="15.75" customHeight="1">
      <c r="A396" s="4"/>
      <c r="B396" s="5"/>
      <c r="C396" s="4"/>
      <c r="D396" s="4"/>
      <c r="E396" s="6"/>
      <c r="F396" s="6"/>
    </row>
    <row r="397" spans="1:6" ht="15.75" customHeight="1">
      <c r="A397" s="4"/>
      <c r="B397" s="5"/>
      <c r="C397" s="4"/>
      <c r="D397" s="4"/>
      <c r="E397" s="6"/>
      <c r="F397" s="6"/>
    </row>
    <row r="398" spans="1:6" ht="15.75" customHeight="1">
      <c r="A398" s="4"/>
      <c r="B398" s="5"/>
      <c r="C398" s="4"/>
      <c r="D398" s="4"/>
      <c r="E398" s="6"/>
      <c r="F398" s="6"/>
    </row>
    <row r="399" spans="1:6" ht="15.75" customHeight="1">
      <c r="A399" s="4"/>
      <c r="B399" s="5"/>
      <c r="C399" s="4"/>
      <c r="D399" s="4"/>
      <c r="E399" s="6"/>
      <c r="F399" s="6"/>
    </row>
    <row r="400" spans="1:6" ht="15.75" customHeight="1">
      <c r="A400" s="4"/>
      <c r="B400" s="5"/>
      <c r="C400" s="4"/>
      <c r="D400" s="4"/>
      <c r="E400" s="6"/>
      <c r="F400" s="6"/>
    </row>
    <row r="401" spans="1:6" ht="15.75" customHeight="1">
      <c r="A401" s="4"/>
      <c r="B401" s="5"/>
      <c r="C401" s="4"/>
      <c r="D401" s="4"/>
      <c r="E401" s="6"/>
      <c r="F401" s="6"/>
    </row>
    <row r="402" spans="1:6" ht="15.75" customHeight="1">
      <c r="A402" s="4"/>
      <c r="B402" s="5"/>
      <c r="C402" s="4"/>
      <c r="D402" s="4"/>
      <c r="E402" s="6"/>
      <c r="F402" s="6"/>
    </row>
    <row r="403" spans="1:6" ht="15.75" customHeight="1">
      <c r="A403" s="4"/>
      <c r="B403" s="5"/>
      <c r="C403" s="4"/>
      <c r="D403" s="4"/>
      <c r="E403" s="6"/>
      <c r="F403" s="6"/>
    </row>
    <row r="404" spans="1:6" ht="15.75" customHeight="1">
      <c r="A404" s="4"/>
      <c r="B404" s="5"/>
      <c r="C404" s="4"/>
      <c r="D404" s="4"/>
      <c r="E404" s="6"/>
      <c r="F404" s="6"/>
    </row>
    <row r="405" spans="1:6" ht="15.75" customHeight="1">
      <c r="A405" s="4"/>
      <c r="B405" s="5"/>
      <c r="C405" s="4"/>
      <c r="D405" s="4"/>
      <c r="E405" s="6"/>
      <c r="F405" s="6"/>
    </row>
    <row r="406" spans="1:6" ht="15.75" customHeight="1">
      <c r="A406" s="4"/>
      <c r="B406" s="5"/>
      <c r="C406" s="4"/>
      <c r="D406" s="4"/>
      <c r="E406" s="6"/>
      <c r="F406" s="6"/>
    </row>
    <row r="407" spans="1:6" ht="15.75" customHeight="1">
      <c r="A407" s="4"/>
      <c r="B407" s="5"/>
      <c r="C407" s="4"/>
      <c r="D407" s="4"/>
      <c r="E407" s="6"/>
      <c r="F407" s="6"/>
    </row>
    <row r="408" spans="1:6" ht="15.75" customHeight="1">
      <c r="A408" s="4"/>
      <c r="B408" s="5"/>
      <c r="C408" s="4"/>
      <c r="D408" s="4"/>
      <c r="E408" s="6"/>
      <c r="F408" s="6"/>
    </row>
    <row r="409" spans="1:6" ht="15.75" customHeight="1">
      <c r="A409" s="4"/>
      <c r="B409" s="5"/>
      <c r="C409" s="4"/>
      <c r="D409" s="4"/>
      <c r="E409" s="6"/>
      <c r="F409" s="6"/>
    </row>
    <row r="410" spans="1:6" ht="15.75" customHeight="1">
      <c r="A410" s="4"/>
      <c r="B410" s="5"/>
      <c r="C410" s="4"/>
      <c r="D410" s="4"/>
      <c r="E410" s="6"/>
      <c r="F410" s="6"/>
    </row>
    <row r="411" spans="1:6" ht="15.75" customHeight="1">
      <c r="A411" s="4"/>
      <c r="B411" s="5"/>
      <c r="C411" s="4"/>
      <c r="D411" s="4"/>
      <c r="E411" s="6"/>
      <c r="F411" s="6"/>
    </row>
    <row r="412" spans="1:6" ht="15.75" customHeight="1">
      <c r="A412" s="4"/>
      <c r="B412" s="5"/>
      <c r="C412" s="4"/>
      <c r="D412" s="4"/>
      <c r="E412" s="6"/>
      <c r="F412" s="6"/>
    </row>
    <row r="413" spans="1:6" ht="15.75" customHeight="1">
      <c r="A413" s="4"/>
      <c r="B413" s="5"/>
      <c r="C413" s="4"/>
      <c r="D413" s="4"/>
      <c r="E413" s="6"/>
      <c r="F413" s="6"/>
    </row>
    <row r="414" spans="1:6" ht="15.75" customHeight="1">
      <c r="A414" s="4"/>
      <c r="B414" s="5"/>
      <c r="C414" s="4"/>
      <c r="D414" s="4"/>
      <c r="E414" s="6"/>
      <c r="F414" s="6"/>
    </row>
    <row r="415" spans="1:6" ht="15.75" customHeight="1">
      <c r="A415" s="4"/>
      <c r="B415" s="5"/>
      <c r="C415" s="4"/>
      <c r="D415" s="4"/>
      <c r="E415" s="6"/>
      <c r="F415" s="6"/>
    </row>
    <row r="416" spans="1:6" ht="15.75" customHeight="1">
      <c r="A416" s="4"/>
      <c r="B416" s="5"/>
      <c r="C416" s="4"/>
      <c r="D416" s="4"/>
      <c r="E416" s="6"/>
      <c r="F416" s="6"/>
    </row>
    <row r="417" spans="1:6" ht="15.75" customHeight="1">
      <c r="A417" s="4"/>
      <c r="B417" s="5"/>
      <c r="C417" s="4"/>
      <c r="D417" s="4"/>
      <c r="E417" s="6"/>
      <c r="F417" s="6"/>
    </row>
    <row r="418" spans="1:6" ht="15.75" customHeight="1">
      <c r="A418" s="4"/>
      <c r="B418" s="5"/>
      <c r="C418" s="4"/>
      <c r="D418" s="4"/>
      <c r="E418" s="6"/>
      <c r="F418" s="6"/>
    </row>
    <row r="419" spans="1:6" ht="15.75" customHeight="1">
      <c r="A419" s="4"/>
      <c r="B419" s="5"/>
      <c r="C419" s="4"/>
      <c r="D419" s="4"/>
      <c r="E419" s="6"/>
      <c r="F419" s="6"/>
    </row>
    <row r="420" spans="1:6" ht="15.75" customHeight="1">
      <c r="A420" s="4"/>
      <c r="B420" s="5"/>
      <c r="C420" s="4"/>
      <c r="D420" s="4"/>
      <c r="E420" s="6"/>
      <c r="F420" s="6"/>
    </row>
    <row r="421" spans="1:6" ht="15.75" customHeight="1">
      <c r="A421" s="4"/>
      <c r="B421" s="5"/>
      <c r="C421" s="4"/>
      <c r="D421" s="4"/>
      <c r="E421" s="6"/>
      <c r="F421" s="6"/>
    </row>
    <row r="422" spans="1:6" ht="15.75" customHeight="1">
      <c r="A422" s="4"/>
      <c r="B422" s="5"/>
      <c r="C422" s="4"/>
      <c r="D422" s="4"/>
      <c r="E422" s="6"/>
      <c r="F422" s="6"/>
    </row>
    <row r="423" spans="1:6" ht="15.75" customHeight="1">
      <c r="A423" s="4"/>
      <c r="B423" s="5"/>
      <c r="C423" s="4"/>
      <c r="D423" s="4"/>
      <c r="E423" s="6"/>
      <c r="F423" s="6"/>
    </row>
    <row r="424" spans="1:6" ht="15.75" customHeight="1">
      <c r="A424" s="4"/>
      <c r="B424" s="5"/>
      <c r="C424" s="4"/>
      <c r="D424" s="4"/>
      <c r="E424" s="6"/>
      <c r="F424" s="6"/>
    </row>
    <row r="425" spans="1:6" ht="15.75" customHeight="1">
      <c r="A425" s="4"/>
      <c r="B425" s="5"/>
      <c r="C425" s="4"/>
      <c r="D425" s="4"/>
      <c r="E425" s="6"/>
      <c r="F425" s="6"/>
    </row>
    <row r="426" spans="1:6" ht="15.75" customHeight="1">
      <c r="A426" s="4"/>
      <c r="B426" s="5"/>
      <c r="C426" s="4"/>
      <c r="D426" s="4"/>
      <c r="E426" s="6"/>
      <c r="F426" s="6"/>
    </row>
    <row r="427" spans="1:6" ht="15.75" customHeight="1">
      <c r="A427" s="4"/>
      <c r="B427" s="5"/>
      <c r="C427" s="4"/>
      <c r="D427" s="4"/>
      <c r="E427" s="6"/>
      <c r="F427" s="6"/>
    </row>
    <row r="428" spans="1:6" ht="15.75" customHeight="1">
      <c r="A428" s="4"/>
      <c r="B428" s="5"/>
      <c r="C428" s="4"/>
      <c r="D428" s="4"/>
      <c r="E428" s="6"/>
      <c r="F428" s="6"/>
    </row>
    <row r="429" spans="1:6" ht="15.75" customHeight="1">
      <c r="A429" s="4"/>
      <c r="B429" s="5"/>
      <c r="C429" s="4"/>
      <c r="D429" s="4"/>
      <c r="E429" s="6"/>
      <c r="F429" s="6"/>
    </row>
    <row r="430" spans="1:6" ht="15.75" customHeight="1">
      <c r="A430" s="4"/>
      <c r="B430" s="5"/>
      <c r="C430" s="4"/>
      <c r="D430" s="4"/>
      <c r="E430" s="6"/>
      <c r="F430" s="6"/>
    </row>
    <row r="431" spans="1:6" ht="15.75" customHeight="1">
      <c r="A431" s="4"/>
      <c r="B431" s="5"/>
      <c r="C431" s="4"/>
      <c r="D431" s="4"/>
      <c r="E431" s="6"/>
      <c r="F431" s="6"/>
    </row>
    <row r="432" spans="1:6" ht="15.75" customHeight="1">
      <c r="A432" s="4"/>
      <c r="B432" s="5"/>
      <c r="C432" s="4"/>
      <c r="D432" s="4"/>
      <c r="E432" s="6"/>
      <c r="F432" s="6"/>
    </row>
    <row r="433" spans="1:6" ht="15.75" customHeight="1">
      <c r="A433" s="4"/>
      <c r="B433" s="5"/>
      <c r="C433" s="4"/>
      <c r="D433" s="4"/>
      <c r="E433" s="6"/>
      <c r="F433" s="6"/>
    </row>
    <row r="434" spans="1:6" ht="15.75" customHeight="1">
      <c r="A434" s="4"/>
      <c r="B434" s="5"/>
      <c r="C434" s="4"/>
      <c r="D434" s="4"/>
      <c r="E434" s="6"/>
      <c r="F434" s="6"/>
    </row>
    <row r="435" spans="1:6" ht="15.75" customHeight="1">
      <c r="A435" s="4"/>
      <c r="B435" s="5"/>
      <c r="C435" s="4"/>
      <c r="D435" s="4"/>
      <c r="E435" s="6"/>
      <c r="F435" s="6"/>
    </row>
    <row r="436" spans="1:6" ht="15.75" customHeight="1">
      <c r="A436" s="4"/>
      <c r="B436" s="5"/>
      <c r="C436" s="4"/>
      <c r="D436" s="4"/>
      <c r="E436" s="6"/>
      <c r="F436" s="6"/>
    </row>
    <row r="437" spans="1:6" ht="15.75" customHeight="1">
      <c r="A437" s="4"/>
      <c r="B437" s="5"/>
      <c r="C437" s="4"/>
      <c r="D437" s="4"/>
      <c r="E437" s="6"/>
      <c r="F437" s="6"/>
    </row>
    <row r="438" spans="1:6" ht="15.75" customHeight="1">
      <c r="A438" s="4"/>
      <c r="B438" s="5"/>
      <c r="C438" s="4"/>
      <c r="D438" s="4"/>
      <c r="E438" s="6"/>
      <c r="F438" s="6"/>
    </row>
    <row r="439" spans="1:6" ht="15.75" customHeight="1">
      <c r="A439" s="4"/>
      <c r="B439" s="5"/>
      <c r="C439" s="4"/>
      <c r="D439" s="4"/>
      <c r="E439" s="6"/>
      <c r="F439" s="6"/>
    </row>
    <row r="440" spans="1:6" ht="15.75" customHeight="1">
      <c r="A440" s="4"/>
      <c r="B440" s="5"/>
      <c r="C440" s="4"/>
      <c r="D440" s="4"/>
      <c r="E440" s="6"/>
      <c r="F440" s="6"/>
    </row>
    <row r="441" spans="1:6" ht="15.75" customHeight="1">
      <c r="A441" s="4"/>
      <c r="B441" s="5"/>
      <c r="C441" s="4"/>
      <c r="D441" s="4"/>
      <c r="E441" s="6"/>
      <c r="F441" s="6"/>
    </row>
    <row r="442" spans="1:6" ht="15.75" customHeight="1">
      <c r="A442" s="4"/>
      <c r="B442" s="5"/>
      <c r="C442" s="4"/>
      <c r="D442" s="4"/>
      <c r="E442" s="6"/>
      <c r="F442" s="6"/>
    </row>
    <row r="443" spans="1:6" ht="15.75" customHeight="1">
      <c r="A443" s="4"/>
      <c r="B443" s="5"/>
      <c r="C443" s="4"/>
      <c r="D443" s="4"/>
      <c r="E443" s="6"/>
      <c r="F443" s="6"/>
    </row>
    <row r="444" spans="1:6" ht="15.75" customHeight="1">
      <c r="A444" s="4"/>
      <c r="B444" s="5"/>
      <c r="C444" s="4"/>
      <c r="D444" s="4"/>
      <c r="E444" s="6"/>
      <c r="F444" s="6"/>
    </row>
    <row r="445" spans="1:6" ht="15.75" customHeight="1">
      <c r="A445" s="4"/>
      <c r="B445" s="5"/>
      <c r="C445" s="4"/>
      <c r="D445" s="4"/>
      <c r="E445" s="6"/>
      <c r="F445" s="6"/>
    </row>
    <row r="446" spans="1:6" ht="15.75" customHeight="1">
      <c r="A446" s="4"/>
      <c r="B446" s="5"/>
      <c r="C446" s="4"/>
      <c r="D446" s="4"/>
      <c r="E446" s="6"/>
      <c r="F446" s="6"/>
    </row>
    <row r="447" spans="1:6" ht="15.75" customHeight="1">
      <c r="A447" s="4"/>
      <c r="B447" s="5"/>
      <c r="C447" s="4"/>
      <c r="D447" s="4"/>
      <c r="E447" s="6"/>
      <c r="F447" s="6"/>
    </row>
    <row r="448" spans="1:6" ht="15.75" customHeight="1">
      <c r="A448" s="4"/>
      <c r="B448" s="5"/>
      <c r="C448" s="4"/>
      <c r="D448" s="4"/>
      <c r="E448" s="6"/>
      <c r="F448" s="6"/>
    </row>
    <row r="449" spans="1:6" ht="15.75" customHeight="1">
      <c r="A449" s="4"/>
      <c r="B449" s="5"/>
      <c r="C449" s="4"/>
      <c r="D449" s="4"/>
      <c r="E449" s="6"/>
      <c r="F449" s="6"/>
    </row>
    <row r="450" spans="1:6" ht="15.75" customHeight="1">
      <c r="A450" s="4"/>
      <c r="B450" s="5"/>
      <c r="C450" s="4"/>
      <c r="D450" s="4"/>
      <c r="E450" s="6"/>
      <c r="F450" s="6"/>
    </row>
    <row r="451" spans="1:6" ht="15.75" customHeight="1">
      <c r="A451" s="4"/>
      <c r="B451" s="5"/>
      <c r="C451" s="4"/>
      <c r="D451" s="4"/>
      <c r="E451" s="6"/>
      <c r="F451" s="6"/>
    </row>
    <row r="452" spans="1:6" ht="15.75" customHeight="1">
      <c r="A452" s="4"/>
      <c r="B452" s="5"/>
      <c r="C452" s="4"/>
      <c r="D452" s="4"/>
      <c r="E452" s="6"/>
      <c r="F452" s="6"/>
    </row>
    <row r="453" spans="1:6" ht="15.75" customHeight="1">
      <c r="A453" s="4"/>
      <c r="B453" s="5"/>
      <c r="C453" s="4"/>
      <c r="D453" s="4"/>
      <c r="E453" s="6"/>
      <c r="F453" s="6"/>
    </row>
    <row r="454" spans="1:6" ht="15.75" customHeight="1">
      <c r="A454" s="4"/>
      <c r="B454" s="5"/>
      <c r="C454" s="4"/>
      <c r="D454" s="4"/>
      <c r="E454" s="6"/>
      <c r="F454" s="6"/>
    </row>
  </sheetData>
  <conditionalFormatting sqref="B176:B182">
    <cfRule type="timePeriod" dxfId="0" priority="1" timePeriod="today">
      <formula>FLOOR(B176,1)=TODAY()</formula>
    </cfRule>
  </conditionalFormatting>
  <pageMargins left="0.7" right="0.7" top="0.75" bottom="0.75" header="0" footer="0"/>
  <pageSetup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5"/>
  <dimension ref="A1:BZ1000"/>
  <sheetViews>
    <sheetView workbookViewId="0">
      <selection activeCell="A5" sqref="A5"/>
    </sheetView>
  </sheetViews>
  <sheetFormatPr defaultColWidth="14.42578125" defaultRowHeight="15" customHeight="1"/>
  <cols>
    <col min="1" max="1" width="8.7109375" style="2" customWidth="1"/>
    <col min="2" max="2" width="13.42578125" style="17" customWidth="1"/>
    <col min="3" max="4" width="8.7109375" style="2" customWidth="1"/>
    <col min="5" max="5" width="12.85546875" style="2" customWidth="1"/>
    <col min="6" max="6" width="14.140625" style="2" customWidth="1"/>
    <col min="7" max="7" width="12.5703125" style="2" customWidth="1"/>
    <col min="8" max="8" width="15.5703125" style="2" customWidth="1"/>
    <col min="9" max="12" width="8.7109375" style="2" customWidth="1"/>
    <col min="13" max="13" width="15.140625" style="2" customWidth="1"/>
    <col min="14" max="78" width="8.7109375" style="2" customWidth="1"/>
    <col min="79" max="16384" width="14.42578125" style="2"/>
  </cols>
  <sheetData>
    <row r="1" spans="1:78">
      <c r="B1" s="15"/>
      <c r="M1" s="7" t="s">
        <v>5</v>
      </c>
      <c r="O1" s="7">
        <v>1</v>
      </c>
      <c r="P1" s="7">
        <v>2</v>
      </c>
      <c r="Q1" s="7">
        <v>3</v>
      </c>
      <c r="R1" s="7">
        <v>4</v>
      </c>
      <c r="S1" s="7">
        <v>5</v>
      </c>
      <c r="T1" s="7">
        <v>6</v>
      </c>
      <c r="U1" s="7">
        <v>7</v>
      </c>
      <c r="V1" s="7">
        <v>8</v>
      </c>
      <c r="W1" s="7">
        <v>9</v>
      </c>
      <c r="X1" s="7">
        <v>10</v>
      </c>
      <c r="Y1" s="7">
        <v>11</v>
      </c>
      <c r="Z1" s="7">
        <v>12</v>
      </c>
      <c r="AA1" s="7">
        <v>13</v>
      </c>
      <c r="AB1" s="7">
        <v>14</v>
      </c>
      <c r="AC1" s="7">
        <v>15</v>
      </c>
      <c r="AD1" s="7">
        <v>16</v>
      </c>
      <c r="AE1" s="7">
        <v>17</v>
      </c>
      <c r="AF1" s="7">
        <v>18</v>
      </c>
      <c r="AG1" s="7">
        <v>19</v>
      </c>
      <c r="AH1" s="7">
        <v>20</v>
      </c>
      <c r="AI1" s="7">
        <v>21</v>
      </c>
      <c r="AJ1" s="7">
        <v>22</v>
      </c>
      <c r="AK1" s="7">
        <v>23</v>
      </c>
      <c r="AL1" s="7">
        <v>24</v>
      </c>
      <c r="AM1" s="7">
        <v>25</v>
      </c>
      <c r="AN1" s="7">
        <v>26</v>
      </c>
      <c r="AO1" s="7">
        <v>27</v>
      </c>
      <c r="AP1" s="7">
        <v>28</v>
      </c>
      <c r="AQ1" s="7">
        <v>29</v>
      </c>
      <c r="AR1" s="7">
        <v>30</v>
      </c>
      <c r="AS1" s="7">
        <v>31</v>
      </c>
      <c r="AT1" s="7">
        <v>32</v>
      </c>
      <c r="AU1" s="7">
        <v>33</v>
      </c>
      <c r="AV1" s="7">
        <v>34</v>
      </c>
      <c r="AW1" s="7">
        <v>35</v>
      </c>
      <c r="AX1" s="7">
        <v>36</v>
      </c>
      <c r="AY1" s="7">
        <v>37</v>
      </c>
      <c r="AZ1" s="7">
        <v>38</v>
      </c>
      <c r="BA1" s="7">
        <v>39</v>
      </c>
      <c r="BB1" s="7">
        <v>40</v>
      </c>
      <c r="BC1" s="7">
        <v>41</v>
      </c>
      <c r="BD1" s="7">
        <v>42</v>
      </c>
      <c r="BE1" s="7">
        <v>43</v>
      </c>
      <c r="BF1" s="7">
        <v>44</v>
      </c>
      <c r="BG1" s="7">
        <v>45</v>
      </c>
      <c r="BH1" s="7">
        <v>46</v>
      </c>
      <c r="BI1" s="7">
        <v>47</v>
      </c>
      <c r="BJ1" s="7">
        <v>48</v>
      </c>
      <c r="BK1" s="7">
        <v>49</v>
      </c>
      <c r="BL1" s="7">
        <v>50</v>
      </c>
      <c r="BM1" s="7">
        <v>51</v>
      </c>
      <c r="BN1" s="7">
        <v>52</v>
      </c>
      <c r="BO1" s="7">
        <v>53</v>
      </c>
      <c r="BP1" s="7">
        <v>54</v>
      </c>
      <c r="BQ1" s="7">
        <v>55</v>
      </c>
      <c r="BR1" s="7">
        <v>56</v>
      </c>
      <c r="BS1" s="7">
        <v>57</v>
      </c>
      <c r="BT1" s="7">
        <v>58</v>
      </c>
      <c r="BU1" s="7">
        <v>59</v>
      </c>
      <c r="BV1" s="7">
        <v>60</v>
      </c>
      <c r="BW1" s="7">
        <v>61</v>
      </c>
      <c r="BX1" s="7">
        <v>62</v>
      </c>
      <c r="BY1" s="7"/>
      <c r="BZ1" s="7"/>
    </row>
    <row r="2" spans="1:78">
      <c r="B2" s="15"/>
      <c r="E2" s="7" t="s">
        <v>6</v>
      </c>
      <c r="F2" s="7" t="s">
        <v>7</v>
      </c>
      <c r="G2" s="7" t="s">
        <v>8</v>
      </c>
      <c r="H2" s="7" t="s">
        <v>9</v>
      </c>
      <c r="M2" s="7" t="s">
        <v>4</v>
      </c>
      <c r="O2" s="7" t="e">
        <f t="shared" ref="O2:BX2" ca="1" si="0">+VLOOKUP(O4,$E$3:$H$66,2,0)</f>
        <v>#N/A</v>
      </c>
      <c r="P2" s="7" t="e">
        <f t="shared" ca="1" si="0"/>
        <v>#N/A</v>
      </c>
      <c r="Q2" s="7" t="str">
        <f t="shared" ca="1" si="0"/>
        <v>LV06</v>
      </c>
      <c r="R2" s="7" t="e">
        <f t="shared" ca="1" si="0"/>
        <v>#N/A</v>
      </c>
      <c r="S2" s="7" t="e">
        <f t="shared" ca="1" si="0"/>
        <v>#N/A</v>
      </c>
      <c r="T2" s="7" t="e">
        <f t="shared" ca="1" si="0"/>
        <v>#N/A</v>
      </c>
      <c r="U2" s="7" t="e">
        <f t="shared" ca="1" si="0"/>
        <v>#N/A</v>
      </c>
      <c r="V2" s="7" t="e">
        <f t="shared" ca="1" si="0"/>
        <v>#N/A</v>
      </c>
      <c r="W2" s="7" t="e">
        <f t="shared" ca="1" si="0"/>
        <v>#N/A</v>
      </c>
      <c r="X2" s="7" t="e">
        <f t="shared" ref="X2:AB2" ca="1" si="1">+VLOOKUP(X4,$E$3:$H$66,2,0)</f>
        <v>#N/A</v>
      </c>
      <c r="Y2" s="7" t="e">
        <f t="shared" ca="1" si="1"/>
        <v>#N/A</v>
      </c>
      <c r="Z2" s="7" t="e">
        <f t="shared" ca="1" si="1"/>
        <v>#N/A</v>
      </c>
      <c r="AA2" s="7" t="e">
        <f t="shared" ca="1" si="1"/>
        <v>#N/A</v>
      </c>
      <c r="AB2" s="7" t="e">
        <f t="shared" ca="1" si="1"/>
        <v>#N/A</v>
      </c>
      <c r="AC2" s="7" t="e">
        <f t="shared" ca="1" si="0"/>
        <v>#N/A</v>
      </c>
      <c r="AD2" s="7" t="e">
        <f t="shared" ca="1" si="0"/>
        <v>#N/A</v>
      </c>
      <c r="AE2" s="7" t="e">
        <f t="shared" ca="1" si="0"/>
        <v>#N/A</v>
      </c>
      <c r="AF2" s="7" t="e">
        <f t="shared" ca="1" si="0"/>
        <v>#N/A</v>
      </c>
      <c r="AG2" s="7" t="e">
        <f t="shared" ca="1" si="0"/>
        <v>#N/A</v>
      </c>
      <c r="AH2" s="7" t="e">
        <f t="shared" ca="1" si="0"/>
        <v>#N/A</v>
      </c>
      <c r="AI2" s="7" t="e">
        <f t="shared" ca="1" si="0"/>
        <v>#N/A</v>
      </c>
      <c r="AJ2" s="7" t="e">
        <f t="shared" ca="1" si="0"/>
        <v>#N/A</v>
      </c>
      <c r="AK2" s="7" t="e">
        <f t="shared" ca="1" si="0"/>
        <v>#N/A</v>
      </c>
      <c r="AL2" s="7" t="e">
        <f t="shared" ca="1" si="0"/>
        <v>#N/A</v>
      </c>
      <c r="AM2" s="7" t="e">
        <f t="shared" ca="1" si="0"/>
        <v>#N/A</v>
      </c>
      <c r="AN2" s="7" t="e">
        <f t="shared" ca="1" si="0"/>
        <v>#N/A</v>
      </c>
      <c r="AO2" s="7" t="e">
        <f t="shared" ca="1" si="0"/>
        <v>#N/A</v>
      </c>
      <c r="AP2" s="7" t="e">
        <f t="shared" ca="1" si="0"/>
        <v>#N/A</v>
      </c>
      <c r="AQ2" s="7" t="e">
        <f t="shared" ca="1" si="0"/>
        <v>#N/A</v>
      </c>
      <c r="AR2" s="7" t="e">
        <f t="shared" ca="1" si="0"/>
        <v>#N/A</v>
      </c>
      <c r="AS2" s="7" t="e">
        <f t="shared" ca="1" si="0"/>
        <v>#N/A</v>
      </c>
      <c r="AT2" s="7" t="e">
        <f t="shared" ca="1" si="0"/>
        <v>#N/A</v>
      </c>
      <c r="AU2" s="7" t="e">
        <f t="shared" ca="1" si="0"/>
        <v>#N/A</v>
      </c>
      <c r="AV2" s="7" t="e">
        <f t="shared" ca="1" si="0"/>
        <v>#N/A</v>
      </c>
      <c r="AW2" s="7" t="e">
        <f t="shared" ca="1" si="0"/>
        <v>#N/A</v>
      </c>
      <c r="AX2" s="7" t="e">
        <f t="shared" ca="1" si="0"/>
        <v>#N/A</v>
      </c>
      <c r="AY2" s="7" t="e">
        <f t="shared" ca="1" si="0"/>
        <v>#N/A</v>
      </c>
      <c r="AZ2" s="7" t="e">
        <f t="shared" ca="1" si="0"/>
        <v>#N/A</v>
      </c>
      <c r="BA2" s="7" t="e">
        <f t="shared" ca="1" si="0"/>
        <v>#N/A</v>
      </c>
      <c r="BB2" s="7" t="e">
        <f t="shared" ca="1" si="0"/>
        <v>#N/A</v>
      </c>
      <c r="BC2" s="7" t="e">
        <f t="shared" ca="1" si="0"/>
        <v>#N/A</v>
      </c>
      <c r="BD2" s="7" t="e">
        <f t="shared" ca="1" si="0"/>
        <v>#N/A</v>
      </c>
      <c r="BE2" s="7" t="e">
        <f t="shared" ca="1" si="0"/>
        <v>#N/A</v>
      </c>
      <c r="BF2" s="7" t="e">
        <f t="shared" ca="1" si="0"/>
        <v>#N/A</v>
      </c>
      <c r="BG2" s="7" t="e">
        <f t="shared" ca="1" si="0"/>
        <v>#N/A</v>
      </c>
      <c r="BH2" s="7" t="e">
        <f t="shared" ca="1" si="0"/>
        <v>#N/A</v>
      </c>
      <c r="BI2" s="7" t="e">
        <f t="shared" ca="1" si="0"/>
        <v>#N/A</v>
      </c>
      <c r="BJ2" s="7" t="e">
        <f t="shared" ca="1" si="0"/>
        <v>#N/A</v>
      </c>
      <c r="BK2" s="7" t="e">
        <f t="shared" ca="1" si="0"/>
        <v>#N/A</v>
      </c>
      <c r="BL2" s="7" t="e">
        <f t="shared" ca="1" si="0"/>
        <v>#N/A</v>
      </c>
      <c r="BM2" s="7" t="e">
        <f t="shared" ca="1" si="0"/>
        <v>#N/A</v>
      </c>
      <c r="BN2" s="7" t="e">
        <f t="shared" ca="1" si="0"/>
        <v>#N/A</v>
      </c>
      <c r="BO2" s="7" t="e">
        <f t="shared" ca="1" si="0"/>
        <v>#N/A</v>
      </c>
      <c r="BP2" s="7" t="e">
        <f t="shared" ca="1" si="0"/>
        <v>#N/A</v>
      </c>
      <c r="BQ2" s="7" t="e">
        <f t="shared" ca="1" si="0"/>
        <v>#N/A</v>
      </c>
      <c r="BR2" s="7" t="e">
        <f t="shared" ca="1" si="0"/>
        <v>#N/A</v>
      </c>
      <c r="BS2" s="7" t="e">
        <f t="shared" ca="1" si="0"/>
        <v>#N/A</v>
      </c>
      <c r="BT2" s="7" t="e">
        <f t="shared" ca="1" si="0"/>
        <v>#N/A</v>
      </c>
      <c r="BU2" s="7" t="e">
        <f t="shared" ca="1" si="0"/>
        <v>#N/A</v>
      </c>
      <c r="BV2" s="7" t="e">
        <f t="shared" ca="1" si="0"/>
        <v>#N/A</v>
      </c>
      <c r="BW2" s="7" t="e">
        <f t="shared" ca="1" si="0"/>
        <v>#N/A</v>
      </c>
      <c r="BX2" s="7" t="e">
        <f t="shared" ca="1" si="0"/>
        <v>#N/A</v>
      </c>
      <c r="BY2" s="7"/>
      <c r="BZ2" s="7"/>
    </row>
    <row r="3" spans="1:78">
      <c r="A3" s="7">
        <f t="shared" ref="A3:A65" ca="1" si="2">IFERROR(RANK(J3,$J$3:$J$65,1),"")</f>
        <v>3</v>
      </c>
      <c r="B3" s="18">
        <f t="shared" ref="B3:B65" si="3">IF(OR(E3="",E3=0),0,COUNTIF($E$3:E3,E3))</f>
        <v>1</v>
      </c>
      <c r="C3" s="8">
        <v>0</v>
      </c>
      <c r="D3" s="8">
        <v>0</v>
      </c>
      <c r="E3" s="7" t="s">
        <v>10</v>
      </c>
      <c r="F3" s="9" t="s">
        <v>387</v>
      </c>
      <c r="G3" s="9" t="s">
        <v>12</v>
      </c>
      <c r="H3" s="7">
        <f ca="1">+MAX($H$4:$H$129)+365</f>
        <v>365</v>
      </c>
      <c r="I3" s="7">
        <f t="shared" ref="I3:I65" ca="1" si="4">RANK(H3,$H$3:$H$65,1)+COUNTIF($H$3:$H3,H3)-1</f>
        <v>63</v>
      </c>
      <c r="J3" s="7">
        <f t="shared" ref="J3:J65" ca="1" si="5">IFERROR(IF(B3=1,I3,""),"")</f>
        <v>63</v>
      </c>
      <c r="M3" s="7">
        <f ca="1">+IFERROR(ROUND(N3,2),0)</f>
        <v>0</v>
      </c>
      <c r="N3" s="7">
        <f t="array" aca="1" ref="N3" ca="1">+(INDEX($K$1:$BZ$68,MATCH(MAX($A1:$A68),$K$1:$K$68,0),MATCH(MAX($A1:$A68),$K$1:$BZ$1,0))-1)*100</f>
        <v>0</v>
      </c>
      <c r="O3" s="7" t="e">
        <f t="shared" ref="O3:BX3" ca="1" si="6">+VLOOKUP(O4,$E$3:$H$66,3,0)</f>
        <v>#N/A</v>
      </c>
      <c r="P3" s="7" t="e">
        <f t="shared" ca="1" si="6"/>
        <v>#N/A</v>
      </c>
      <c r="Q3" s="7" t="str">
        <f t="shared" ca="1" si="6"/>
        <v>L7017D+</v>
      </c>
      <c r="R3" s="7" t="e">
        <f t="shared" ca="1" si="6"/>
        <v>#N/A</v>
      </c>
      <c r="S3" s="7" t="e">
        <f t="shared" ca="1" si="6"/>
        <v>#N/A</v>
      </c>
      <c r="T3" s="7" t="e">
        <f t="shared" ca="1" si="6"/>
        <v>#N/A</v>
      </c>
      <c r="U3" s="7" t="e">
        <f t="shared" ca="1" si="6"/>
        <v>#N/A</v>
      </c>
      <c r="V3" s="7" t="e">
        <f t="shared" ca="1" si="6"/>
        <v>#N/A</v>
      </c>
      <c r="W3" s="7" t="e">
        <f t="shared" ca="1" si="6"/>
        <v>#N/A</v>
      </c>
      <c r="X3" s="7" t="e">
        <f t="shared" ca="1" si="6"/>
        <v>#N/A</v>
      </c>
      <c r="Y3" s="7" t="e">
        <f t="shared" ca="1" si="6"/>
        <v>#N/A</v>
      </c>
      <c r="Z3" s="7" t="e">
        <f t="shared" ca="1" si="6"/>
        <v>#N/A</v>
      </c>
      <c r="AA3" s="7" t="e">
        <f t="shared" ca="1" si="6"/>
        <v>#N/A</v>
      </c>
      <c r="AB3" s="7" t="e">
        <f t="shared" ca="1" si="6"/>
        <v>#N/A</v>
      </c>
      <c r="AC3" s="7" t="e">
        <f t="shared" ca="1" si="6"/>
        <v>#N/A</v>
      </c>
      <c r="AD3" s="7" t="e">
        <f t="shared" ca="1" si="6"/>
        <v>#N/A</v>
      </c>
      <c r="AE3" s="7" t="e">
        <f t="shared" ca="1" si="6"/>
        <v>#N/A</v>
      </c>
      <c r="AF3" s="7" t="e">
        <f t="shared" ca="1" si="6"/>
        <v>#N/A</v>
      </c>
      <c r="AG3" s="7" t="e">
        <f t="shared" ca="1" si="6"/>
        <v>#N/A</v>
      </c>
      <c r="AH3" s="7" t="e">
        <f t="shared" ca="1" si="6"/>
        <v>#N/A</v>
      </c>
      <c r="AI3" s="7" t="e">
        <f t="shared" ca="1" si="6"/>
        <v>#N/A</v>
      </c>
      <c r="AJ3" s="7" t="e">
        <f t="shared" ca="1" si="6"/>
        <v>#N/A</v>
      </c>
      <c r="AK3" s="7" t="e">
        <f t="shared" ca="1" si="6"/>
        <v>#N/A</v>
      </c>
      <c r="AL3" s="7" t="e">
        <f t="shared" ca="1" si="6"/>
        <v>#N/A</v>
      </c>
      <c r="AM3" s="7" t="e">
        <f t="shared" ca="1" si="6"/>
        <v>#N/A</v>
      </c>
      <c r="AN3" s="7" t="e">
        <f t="shared" ca="1" si="6"/>
        <v>#N/A</v>
      </c>
      <c r="AO3" s="7" t="e">
        <f t="shared" ca="1" si="6"/>
        <v>#N/A</v>
      </c>
      <c r="AP3" s="7" t="e">
        <f t="shared" ca="1" si="6"/>
        <v>#N/A</v>
      </c>
      <c r="AQ3" s="7" t="e">
        <f t="shared" ca="1" si="6"/>
        <v>#N/A</v>
      </c>
      <c r="AR3" s="7" t="e">
        <f t="shared" ca="1" si="6"/>
        <v>#N/A</v>
      </c>
      <c r="AS3" s="7" t="e">
        <f t="shared" ca="1" si="6"/>
        <v>#N/A</v>
      </c>
      <c r="AT3" s="7" t="e">
        <f t="shared" ca="1" si="6"/>
        <v>#N/A</v>
      </c>
      <c r="AU3" s="7" t="e">
        <f t="shared" ca="1" si="6"/>
        <v>#N/A</v>
      </c>
      <c r="AV3" s="7" t="e">
        <f t="shared" ca="1" si="6"/>
        <v>#N/A</v>
      </c>
      <c r="AW3" s="7" t="e">
        <f t="shared" ca="1" si="6"/>
        <v>#N/A</v>
      </c>
      <c r="AX3" s="7" t="e">
        <f t="shared" ca="1" si="6"/>
        <v>#N/A</v>
      </c>
      <c r="AY3" s="7" t="e">
        <f t="shared" ca="1" si="6"/>
        <v>#N/A</v>
      </c>
      <c r="AZ3" s="7" t="e">
        <f t="shared" ca="1" si="6"/>
        <v>#N/A</v>
      </c>
      <c r="BA3" s="7" t="e">
        <f t="shared" ca="1" si="6"/>
        <v>#N/A</v>
      </c>
      <c r="BB3" s="7" t="e">
        <f t="shared" ca="1" si="6"/>
        <v>#N/A</v>
      </c>
      <c r="BC3" s="7" t="e">
        <f t="shared" ca="1" si="6"/>
        <v>#N/A</v>
      </c>
      <c r="BD3" s="7" t="e">
        <f t="shared" ca="1" si="6"/>
        <v>#N/A</v>
      </c>
      <c r="BE3" s="7" t="e">
        <f t="shared" ca="1" si="6"/>
        <v>#N/A</v>
      </c>
      <c r="BF3" s="7" t="e">
        <f t="shared" ca="1" si="6"/>
        <v>#N/A</v>
      </c>
      <c r="BG3" s="7" t="e">
        <f t="shared" ca="1" si="6"/>
        <v>#N/A</v>
      </c>
      <c r="BH3" s="7" t="e">
        <f t="shared" ca="1" si="6"/>
        <v>#N/A</v>
      </c>
      <c r="BI3" s="7" t="e">
        <f t="shared" ca="1" si="6"/>
        <v>#N/A</v>
      </c>
      <c r="BJ3" s="7" t="e">
        <f t="shared" ca="1" si="6"/>
        <v>#N/A</v>
      </c>
      <c r="BK3" s="7" t="e">
        <f t="shared" ca="1" si="6"/>
        <v>#N/A</v>
      </c>
      <c r="BL3" s="7" t="e">
        <f t="shared" ca="1" si="6"/>
        <v>#N/A</v>
      </c>
      <c r="BM3" s="7" t="e">
        <f t="shared" ca="1" si="6"/>
        <v>#N/A</v>
      </c>
      <c r="BN3" s="7" t="e">
        <f t="shared" ca="1" si="6"/>
        <v>#N/A</v>
      </c>
      <c r="BO3" s="7" t="e">
        <f t="shared" ca="1" si="6"/>
        <v>#N/A</v>
      </c>
      <c r="BP3" s="7" t="e">
        <f t="shared" ca="1" si="6"/>
        <v>#N/A</v>
      </c>
      <c r="BQ3" s="7" t="e">
        <f t="shared" ca="1" si="6"/>
        <v>#N/A</v>
      </c>
      <c r="BR3" s="7" t="e">
        <f t="shared" ca="1" si="6"/>
        <v>#N/A</v>
      </c>
      <c r="BS3" s="7" t="e">
        <f t="shared" ca="1" si="6"/>
        <v>#N/A</v>
      </c>
      <c r="BT3" s="7" t="e">
        <f t="shared" ca="1" si="6"/>
        <v>#N/A</v>
      </c>
      <c r="BU3" s="7" t="e">
        <f t="shared" ca="1" si="6"/>
        <v>#N/A</v>
      </c>
      <c r="BV3" s="7" t="e">
        <f t="shared" ca="1" si="6"/>
        <v>#N/A</v>
      </c>
      <c r="BW3" s="7" t="e">
        <f t="shared" ca="1" si="6"/>
        <v>#N/A</v>
      </c>
      <c r="BX3" s="7" t="e">
        <f t="shared" ca="1" si="6"/>
        <v>#N/A</v>
      </c>
      <c r="BY3" s="7"/>
      <c r="BZ3" s="7"/>
    </row>
    <row r="4" spans="1:78">
      <c r="A4" s="7">
        <f t="shared" ca="1" si="2"/>
        <v>1</v>
      </c>
      <c r="B4" s="18">
        <f t="shared" ca="1" si="3"/>
        <v>1</v>
      </c>
      <c r="C4" s="8">
        <v>1</v>
      </c>
      <c r="D4" s="8">
        <v>0</v>
      </c>
      <c r="E4" s="7" t="str">
        <f ca="1">+VLOOKUP(OFFSET($E$3,D3,0),$E$1:$G$66,2+C3,0)</f>
        <v>LV06</v>
      </c>
      <c r="F4" s="7" t="e">
        <f ca="1">+VLOOKUP("*_"&amp;E4&amp;"_*",data!A:D,3,0)</f>
        <v>#N/A</v>
      </c>
      <c r="G4" s="7" t="e">
        <f ca="1">+VLOOKUP("*_"&amp;E4&amp;"_*",data!A:D,4,0)</f>
        <v>#N/A</v>
      </c>
      <c r="H4" s="7">
        <f ca="1">IFERROR(IF(VLOOKUP("*_"&amp;E4&amp;"_*",data!A:D,2,0)="",1,VLOOKUP("*_"&amp;E4&amp;"_*",data!A:D,2,0)),0)</f>
        <v>0</v>
      </c>
      <c r="I4" s="7">
        <f t="shared" ca="1" si="4"/>
        <v>1</v>
      </c>
      <c r="J4" s="7">
        <f t="shared" ca="1" si="5"/>
        <v>1</v>
      </c>
      <c r="M4" s="7" t="s">
        <v>11</v>
      </c>
      <c r="O4" s="7" t="str">
        <f t="shared" ref="O4:BX4" ca="1" si="7">+VLOOKUP(O1,$A$3:$E$66,5,0)</f>
        <v>LV06</v>
      </c>
      <c r="P4" s="7" t="str">
        <f t="shared" ca="1" si="7"/>
        <v>L7017D+</v>
      </c>
      <c r="Q4" s="7" t="str">
        <f t="shared" ca="1" si="7"/>
        <v>x</v>
      </c>
      <c r="R4" s="7" t="e">
        <f t="shared" ca="1" si="7"/>
        <v>#N/A</v>
      </c>
      <c r="S4" s="7" t="e">
        <f t="shared" ca="1" si="7"/>
        <v>#N/A</v>
      </c>
      <c r="T4" s="7" t="e">
        <f t="shared" ca="1" si="7"/>
        <v>#N/A</v>
      </c>
      <c r="U4" s="7" t="e">
        <f t="shared" ca="1" si="7"/>
        <v>#N/A</v>
      </c>
      <c r="V4" s="7" t="e">
        <f t="shared" ca="1" si="7"/>
        <v>#N/A</v>
      </c>
      <c r="W4" s="7" t="e">
        <f t="shared" ca="1" si="7"/>
        <v>#N/A</v>
      </c>
      <c r="X4" s="7" t="e">
        <f t="shared" ref="X4:AB4" ca="1" si="8">+VLOOKUP(X1,$A$3:$E$66,5,0)</f>
        <v>#N/A</v>
      </c>
      <c r="Y4" s="7" t="e">
        <f t="shared" ca="1" si="8"/>
        <v>#N/A</v>
      </c>
      <c r="Z4" s="7" t="e">
        <f t="shared" ca="1" si="8"/>
        <v>#N/A</v>
      </c>
      <c r="AA4" s="7" t="e">
        <f t="shared" ca="1" si="8"/>
        <v>#N/A</v>
      </c>
      <c r="AB4" s="7" t="e">
        <f t="shared" ca="1" si="8"/>
        <v>#N/A</v>
      </c>
      <c r="AC4" s="7" t="e">
        <f t="shared" ca="1" si="7"/>
        <v>#N/A</v>
      </c>
      <c r="AD4" s="7" t="e">
        <f t="shared" ca="1" si="7"/>
        <v>#N/A</v>
      </c>
      <c r="AE4" s="7" t="e">
        <f t="shared" ca="1" si="7"/>
        <v>#N/A</v>
      </c>
      <c r="AF4" s="7" t="e">
        <f t="shared" ca="1" si="7"/>
        <v>#N/A</v>
      </c>
      <c r="AG4" s="7" t="e">
        <f t="shared" ca="1" si="7"/>
        <v>#N/A</v>
      </c>
      <c r="AH4" s="7" t="e">
        <f t="shared" ca="1" si="7"/>
        <v>#N/A</v>
      </c>
      <c r="AI4" s="7" t="e">
        <f t="shared" ca="1" si="7"/>
        <v>#N/A</v>
      </c>
      <c r="AJ4" s="7" t="e">
        <f t="shared" ca="1" si="7"/>
        <v>#N/A</v>
      </c>
      <c r="AK4" s="7" t="e">
        <f t="shared" ca="1" si="7"/>
        <v>#N/A</v>
      </c>
      <c r="AL4" s="7" t="e">
        <f t="shared" ca="1" si="7"/>
        <v>#N/A</v>
      </c>
      <c r="AM4" s="7" t="e">
        <f t="shared" ca="1" si="7"/>
        <v>#N/A</v>
      </c>
      <c r="AN4" s="7" t="e">
        <f t="shared" ca="1" si="7"/>
        <v>#N/A</v>
      </c>
      <c r="AO4" s="7" t="e">
        <f t="shared" ca="1" si="7"/>
        <v>#N/A</v>
      </c>
      <c r="AP4" s="7" t="e">
        <f t="shared" ca="1" si="7"/>
        <v>#N/A</v>
      </c>
      <c r="AQ4" s="7" t="e">
        <f t="shared" ca="1" si="7"/>
        <v>#N/A</v>
      </c>
      <c r="AR4" s="7" t="e">
        <f t="shared" ca="1" si="7"/>
        <v>#N/A</v>
      </c>
      <c r="AS4" s="7" t="e">
        <f t="shared" ca="1" si="7"/>
        <v>#N/A</v>
      </c>
      <c r="AT4" s="7" t="e">
        <f t="shared" ca="1" si="7"/>
        <v>#N/A</v>
      </c>
      <c r="AU4" s="7" t="e">
        <f t="shared" ca="1" si="7"/>
        <v>#N/A</v>
      </c>
      <c r="AV4" s="7" t="e">
        <f t="shared" ca="1" si="7"/>
        <v>#N/A</v>
      </c>
      <c r="AW4" s="7" t="e">
        <f t="shared" ca="1" si="7"/>
        <v>#N/A</v>
      </c>
      <c r="AX4" s="7" t="e">
        <f t="shared" ca="1" si="7"/>
        <v>#N/A</v>
      </c>
      <c r="AY4" s="7" t="e">
        <f t="shared" ca="1" si="7"/>
        <v>#N/A</v>
      </c>
      <c r="AZ4" s="7" t="e">
        <f t="shared" ca="1" si="7"/>
        <v>#N/A</v>
      </c>
      <c r="BA4" s="7" t="e">
        <f t="shared" ca="1" si="7"/>
        <v>#N/A</v>
      </c>
      <c r="BB4" s="7" t="e">
        <f t="shared" ca="1" si="7"/>
        <v>#N/A</v>
      </c>
      <c r="BC4" s="7" t="e">
        <f t="shared" ca="1" si="7"/>
        <v>#N/A</v>
      </c>
      <c r="BD4" s="7" t="e">
        <f t="shared" ca="1" si="7"/>
        <v>#N/A</v>
      </c>
      <c r="BE4" s="7" t="e">
        <f t="shared" ca="1" si="7"/>
        <v>#N/A</v>
      </c>
      <c r="BF4" s="7" t="e">
        <f t="shared" ca="1" si="7"/>
        <v>#N/A</v>
      </c>
      <c r="BG4" s="7" t="e">
        <f t="shared" ca="1" si="7"/>
        <v>#N/A</v>
      </c>
      <c r="BH4" s="7" t="e">
        <f t="shared" ca="1" si="7"/>
        <v>#N/A</v>
      </c>
      <c r="BI4" s="7" t="e">
        <f t="shared" ca="1" si="7"/>
        <v>#N/A</v>
      </c>
      <c r="BJ4" s="7" t="e">
        <f t="shared" ca="1" si="7"/>
        <v>#N/A</v>
      </c>
      <c r="BK4" s="7" t="e">
        <f t="shared" ca="1" si="7"/>
        <v>#N/A</v>
      </c>
      <c r="BL4" s="7" t="e">
        <f t="shared" ca="1" si="7"/>
        <v>#N/A</v>
      </c>
      <c r="BM4" s="7" t="e">
        <f t="shared" ca="1" si="7"/>
        <v>#N/A</v>
      </c>
      <c r="BN4" s="7" t="e">
        <f t="shared" ca="1" si="7"/>
        <v>#N/A</v>
      </c>
      <c r="BO4" s="7" t="e">
        <f t="shared" ca="1" si="7"/>
        <v>#N/A</v>
      </c>
      <c r="BP4" s="7" t="e">
        <f t="shared" ca="1" si="7"/>
        <v>#N/A</v>
      </c>
      <c r="BQ4" s="7" t="e">
        <f t="shared" ca="1" si="7"/>
        <v>#N/A</v>
      </c>
      <c r="BR4" s="7" t="e">
        <f t="shared" ca="1" si="7"/>
        <v>#N/A</v>
      </c>
      <c r="BS4" s="7" t="e">
        <f t="shared" ca="1" si="7"/>
        <v>#N/A</v>
      </c>
      <c r="BT4" s="7" t="e">
        <f t="shared" ca="1" si="7"/>
        <v>#N/A</v>
      </c>
      <c r="BU4" s="7" t="e">
        <f t="shared" ca="1" si="7"/>
        <v>#N/A</v>
      </c>
      <c r="BV4" s="7" t="e">
        <f t="shared" ca="1" si="7"/>
        <v>#N/A</v>
      </c>
      <c r="BW4" s="7" t="e">
        <f t="shared" ca="1" si="7"/>
        <v>#N/A</v>
      </c>
      <c r="BX4" s="7" t="e">
        <f t="shared" ca="1" si="7"/>
        <v>#N/A</v>
      </c>
      <c r="BY4" s="7"/>
      <c r="BZ4" s="7"/>
    </row>
    <row r="5" spans="1:78">
      <c r="A5" s="7">
        <f t="shared" ca="1" si="2"/>
        <v>2</v>
      </c>
      <c r="B5" s="18">
        <f t="shared" ca="1" si="3"/>
        <v>1</v>
      </c>
      <c r="C5" s="8">
        <v>0</v>
      </c>
      <c r="D5" s="8">
        <v>1</v>
      </c>
      <c r="E5" s="7" t="str">
        <f t="shared" ref="E5:E64" ca="1" si="9">+VLOOKUP(OFFSET($E$3,D4,0),$E$1:$G$66,2+C4,0)</f>
        <v>L7017D+</v>
      </c>
      <c r="F5" s="7" t="e">
        <f ca="1">+VLOOKUP("*_"&amp;E5&amp;"_*",data!A:D,3,0)</f>
        <v>#N/A</v>
      </c>
      <c r="G5" s="7" t="e">
        <f ca="1">+VLOOKUP("*_"&amp;E5&amp;"_*",data!A:D,4,0)</f>
        <v>#N/A</v>
      </c>
      <c r="H5" s="7">
        <f ca="1">IFERROR(IF(VLOOKUP("*_"&amp;E5&amp;"_*",data!A:D,2,0)="",1,VLOOKUP("*_"&amp;E5&amp;"_*",data!A:D,2,0)),0)</f>
        <v>0</v>
      </c>
      <c r="I5" s="7">
        <f t="shared" ca="1" si="4"/>
        <v>2</v>
      </c>
      <c r="J5" s="7">
        <f t="shared" ca="1" si="5"/>
        <v>2</v>
      </c>
      <c r="K5" s="18">
        <v>1</v>
      </c>
      <c r="L5" s="7" t="e">
        <f t="shared" ref="L5:L66" ca="1" si="10">+VLOOKUP(N5,$E$2:$H$66,2,0)</f>
        <v>#N/A</v>
      </c>
      <c r="M5" s="7" t="e">
        <f t="shared" ref="M5:M66" ca="1" si="11">+VLOOKUP(N5,$E$3:$H$66,3,0)</f>
        <v>#N/A</v>
      </c>
      <c r="N5" s="7" t="str">
        <f ca="1">+VLOOKUP(K5,$A$3:$E$66,5,0)</f>
        <v>LV06</v>
      </c>
      <c r="O5" s="7">
        <f t="shared" ref="O5:BX9" ca="1" si="12">+IFERROR(IF(MATCH(O$4,$N$4:$BZ$4,0)=MATCH($N5,$N$4:$N$68,0),1+IFERROR(1/2*INDEX($N$4:$BZ$68,MATCH($L5,$N$4:$N$68,0),MATCH($M5,$N$4:$BZ$4,0)),0),IF(MATCH(O$4,$N$4:$BZ$4,0)&lt;MATCH($N5,$N$4:$N$68,0),(INDEX($N$4:$BZ$68,MATCH($L5,$N$4:$N$68,0),MATCH(O$4,$N$4:$BZ$4,0))+INDEX($N$4:$BZ$68,MATCH($M5,$N$4:$N$68,0),MATCH(O$4,$N$4:$BZ$4,0)))*1/2,(INDEX($N$4:$BZ$68,MATCH($N5,$N$4:$N$68,0),MATCH(O$2,$N$4:$BZ$4,0))+INDEX($N$4:$BZ$68,MATCH($N5,$N$4:$N$68,0),MATCH(O$3,$N$4:$BZ$4,0)))*1/2)),0)</f>
        <v>1</v>
      </c>
      <c r="P5" s="7">
        <f t="shared" ca="1" si="12"/>
        <v>0</v>
      </c>
      <c r="Q5" s="7">
        <f t="shared" ca="1" si="12"/>
        <v>0.5</v>
      </c>
      <c r="R5" s="7">
        <f t="shared" ca="1" si="12"/>
        <v>0</v>
      </c>
      <c r="S5" s="7">
        <f t="shared" ca="1" si="12"/>
        <v>0</v>
      </c>
      <c r="T5" s="7">
        <f t="shared" ca="1" si="12"/>
        <v>0</v>
      </c>
      <c r="U5" s="7">
        <f t="shared" ca="1" si="12"/>
        <v>0</v>
      </c>
      <c r="V5" s="7">
        <f t="shared" ca="1" si="12"/>
        <v>0</v>
      </c>
      <c r="W5" s="7">
        <f t="shared" ca="1" si="12"/>
        <v>0</v>
      </c>
      <c r="X5" s="7">
        <f t="shared" ca="1" si="12"/>
        <v>0</v>
      </c>
      <c r="Y5" s="7">
        <f t="shared" ca="1" si="12"/>
        <v>0</v>
      </c>
      <c r="Z5" s="7">
        <f t="shared" ca="1" si="12"/>
        <v>0</v>
      </c>
      <c r="AA5" s="7">
        <f t="shared" ca="1" si="12"/>
        <v>0</v>
      </c>
      <c r="AB5" s="7">
        <f t="shared" ca="1" si="12"/>
        <v>0</v>
      </c>
      <c r="AC5" s="7">
        <f t="shared" ca="1" si="12"/>
        <v>0</v>
      </c>
      <c r="AD5" s="7">
        <f t="shared" ca="1" si="12"/>
        <v>0</v>
      </c>
      <c r="AE5" s="7">
        <f t="shared" ca="1" si="12"/>
        <v>0</v>
      </c>
      <c r="AF5" s="7">
        <f t="shared" ca="1" si="12"/>
        <v>0</v>
      </c>
      <c r="AG5" s="7">
        <f t="shared" ca="1" si="12"/>
        <v>0</v>
      </c>
      <c r="AH5" s="7">
        <f t="shared" ca="1" si="12"/>
        <v>0</v>
      </c>
      <c r="AI5" s="7">
        <f t="shared" ca="1" si="12"/>
        <v>0</v>
      </c>
      <c r="AJ5" s="7">
        <f t="shared" ca="1" si="12"/>
        <v>0</v>
      </c>
      <c r="AK5" s="7">
        <f t="shared" ca="1" si="12"/>
        <v>0</v>
      </c>
      <c r="AL5" s="7">
        <f t="shared" ca="1" si="12"/>
        <v>0</v>
      </c>
      <c r="AM5" s="7">
        <f t="shared" ca="1" si="12"/>
        <v>0</v>
      </c>
      <c r="AN5" s="7">
        <f t="shared" ca="1" si="12"/>
        <v>0</v>
      </c>
      <c r="AO5" s="7">
        <f t="shared" ca="1" si="12"/>
        <v>0</v>
      </c>
      <c r="AP5" s="7">
        <f t="shared" ca="1" si="12"/>
        <v>0</v>
      </c>
      <c r="AQ5" s="7">
        <f t="shared" ca="1" si="12"/>
        <v>0</v>
      </c>
      <c r="AR5" s="7">
        <f t="shared" ca="1" si="12"/>
        <v>0</v>
      </c>
      <c r="AS5" s="7">
        <f t="shared" ca="1" si="12"/>
        <v>0</v>
      </c>
      <c r="AT5" s="7">
        <f t="shared" ca="1" si="12"/>
        <v>0</v>
      </c>
      <c r="AU5" s="7">
        <f t="shared" ca="1" si="12"/>
        <v>0</v>
      </c>
      <c r="AV5" s="7">
        <f t="shared" ca="1" si="12"/>
        <v>0</v>
      </c>
      <c r="AW5" s="7">
        <f t="shared" ca="1" si="12"/>
        <v>0</v>
      </c>
      <c r="AX5" s="7">
        <f t="shared" ca="1" si="12"/>
        <v>0</v>
      </c>
      <c r="AY5" s="7">
        <f t="shared" ca="1" si="12"/>
        <v>0</v>
      </c>
      <c r="AZ5" s="7">
        <f t="shared" ca="1" si="12"/>
        <v>0</v>
      </c>
      <c r="BA5" s="7">
        <f t="shared" ca="1" si="12"/>
        <v>0</v>
      </c>
      <c r="BB5" s="7">
        <f t="shared" ca="1" si="12"/>
        <v>0</v>
      </c>
      <c r="BC5" s="7">
        <f t="shared" ca="1" si="12"/>
        <v>0</v>
      </c>
      <c r="BD5" s="7">
        <f t="shared" ca="1" si="12"/>
        <v>0</v>
      </c>
      <c r="BE5" s="7">
        <f t="shared" ca="1" si="12"/>
        <v>0</v>
      </c>
      <c r="BF5" s="7">
        <f t="shared" ca="1" si="12"/>
        <v>0</v>
      </c>
      <c r="BG5" s="7">
        <f t="shared" ca="1" si="12"/>
        <v>0</v>
      </c>
      <c r="BH5" s="7">
        <f t="shared" ca="1" si="12"/>
        <v>0</v>
      </c>
      <c r="BI5" s="7">
        <f t="shared" ca="1" si="12"/>
        <v>0</v>
      </c>
      <c r="BJ5" s="7">
        <f t="shared" ca="1" si="12"/>
        <v>0</v>
      </c>
      <c r="BK5" s="7">
        <f t="shared" ca="1" si="12"/>
        <v>0</v>
      </c>
      <c r="BL5" s="7">
        <f t="shared" ca="1" si="12"/>
        <v>0</v>
      </c>
      <c r="BM5" s="7">
        <f t="shared" ca="1" si="12"/>
        <v>0</v>
      </c>
      <c r="BN5" s="7">
        <f t="shared" ca="1" si="12"/>
        <v>0</v>
      </c>
      <c r="BO5" s="7">
        <f t="shared" ca="1" si="12"/>
        <v>0</v>
      </c>
      <c r="BP5" s="7">
        <f t="shared" ca="1" si="12"/>
        <v>0</v>
      </c>
      <c r="BQ5" s="7">
        <f t="shared" ca="1" si="12"/>
        <v>0</v>
      </c>
      <c r="BR5" s="7">
        <f t="shared" ca="1" si="12"/>
        <v>0</v>
      </c>
      <c r="BS5" s="7">
        <f t="shared" ca="1" si="12"/>
        <v>0</v>
      </c>
      <c r="BT5" s="7">
        <f t="shared" ca="1" si="12"/>
        <v>0</v>
      </c>
      <c r="BU5" s="7">
        <f t="shared" ca="1" si="12"/>
        <v>0</v>
      </c>
      <c r="BV5" s="7">
        <f t="shared" ca="1" si="12"/>
        <v>0</v>
      </c>
      <c r="BW5" s="7">
        <f t="shared" ca="1" si="12"/>
        <v>0</v>
      </c>
      <c r="BX5" s="7">
        <f t="shared" ca="1" si="12"/>
        <v>0</v>
      </c>
      <c r="BY5" s="7"/>
      <c r="BZ5" s="7"/>
    </row>
    <row r="6" spans="1:78">
      <c r="A6" s="7" t="str">
        <f t="shared" ca="1" si="2"/>
        <v/>
      </c>
      <c r="B6" s="18" t="e">
        <f t="shared" ca="1" si="3"/>
        <v>#N/A</v>
      </c>
      <c r="C6" s="8">
        <v>1</v>
      </c>
      <c r="D6" s="8">
        <v>1</v>
      </c>
      <c r="E6" s="7" t="e">
        <f ca="1">+VLOOKUP(OFFSET($E$3,D5,0),$E$1:$G$66,2+C5,0)</f>
        <v>#N/A</v>
      </c>
      <c r="F6" s="7" t="e">
        <f ca="1">+VLOOKUP("*_"&amp;E6&amp;"_*",data!A:D,3,0)</f>
        <v>#N/A</v>
      </c>
      <c r="G6" s="7" t="e">
        <f ca="1">+VLOOKUP("*_"&amp;E6&amp;"_*",data!A:D,4,0)</f>
        <v>#N/A</v>
      </c>
      <c r="H6" s="7">
        <f ca="1">IFERROR(IF(VLOOKUP("*_"&amp;E6&amp;"_*",data!A:D,2,0)="",1,VLOOKUP("*_"&amp;E6&amp;"_*",data!A:D,2,0)),0)</f>
        <v>0</v>
      </c>
      <c r="I6" s="7">
        <f t="shared" ca="1" si="4"/>
        <v>3</v>
      </c>
      <c r="J6" s="7" t="str">
        <f t="shared" ca="1" si="5"/>
        <v/>
      </c>
      <c r="K6" s="18">
        <v>2</v>
      </c>
      <c r="L6" s="7" t="e">
        <f t="shared" ca="1" si="10"/>
        <v>#N/A</v>
      </c>
      <c r="M6" s="7" t="e">
        <f t="shared" ca="1" si="11"/>
        <v>#N/A</v>
      </c>
      <c r="N6" s="7" t="str">
        <f t="shared" ref="N6:N66" ca="1" si="13">+VLOOKUP(K6,$A$3:$E$66,5,0)</f>
        <v>L7017D+</v>
      </c>
      <c r="O6" s="7">
        <f t="shared" ca="1" si="12"/>
        <v>0</v>
      </c>
      <c r="P6" s="7">
        <f t="shared" ca="1" si="12"/>
        <v>1</v>
      </c>
      <c r="Q6" s="7">
        <f t="shared" ca="1" si="12"/>
        <v>0.5</v>
      </c>
      <c r="R6" s="7">
        <f t="shared" ca="1" si="12"/>
        <v>0</v>
      </c>
      <c r="S6" s="7">
        <f t="shared" ca="1" si="12"/>
        <v>0</v>
      </c>
      <c r="T6" s="7">
        <f t="shared" ca="1" si="12"/>
        <v>0</v>
      </c>
      <c r="U6" s="7">
        <f t="shared" ca="1" si="12"/>
        <v>0</v>
      </c>
      <c r="V6" s="7">
        <f t="shared" ca="1" si="12"/>
        <v>0</v>
      </c>
      <c r="W6" s="7">
        <f t="shared" ca="1" si="12"/>
        <v>0</v>
      </c>
      <c r="X6" s="7">
        <f t="shared" ca="1" si="12"/>
        <v>0</v>
      </c>
      <c r="Y6" s="7">
        <f t="shared" ca="1" si="12"/>
        <v>0</v>
      </c>
      <c r="Z6" s="7">
        <f t="shared" ca="1" si="12"/>
        <v>0</v>
      </c>
      <c r="AA6" s="7">
        <f t="shared" ca="1" si="12"/>
        <v>0</v>
      </c>
      <c r="AB6" s="7">
        <f t="shared" ca="1" si="12"/>
        <v>0</v>
      </c>
      <c r="AC6" s="7">
        <f t="shared" ca="1" si="12"/>
        <v>0</v>
      </c>
      <c r="AD6" s="7">
        <f t="shared" ca="1" si="12"/>
        <v>0</v>
      </c>
      <c r="AE6" s="7">
        <f t="shared" ca="1" si="12"/>
        <v>0</v>
      </c>
      <c r="AF6" s="7">
        <f t="shared" ca="1" si="12"/>
        <v>0</v>
      </c>
      <c r="AG6" s="7">
        <f t="shared" ca="1" si="12"/>
        <v>0</v>
      </c>
      <c r="AH6" s="7">
        <f t="shared" ca="1" si="12"/>
        <v>0</v>
      </c>
      <c r="AI6" s="7">
        <f t="shared" ca="1" si="12"/>
        <v>0</v>
      </c>
      <c r="AJ6" s="7">
        <f t="shared" ca="1" si="12"/>
        <v>0</v>
      </c>
      <c r="AK6" s="7">
        <f t="shared" ca="1" si="12"/>
        <v>0</v>
      </c>
      <c r="AL6" s="7">
        <f t="shared" ca="1" si="12"/>
        <v>0</v>
      </c>
      <c r="AM6" s="7">
        <f t="shared" ca="1" si="12"/>
        <v>0</v>
      </c>
      <c r="AN6" s="7">
        <f t="shared" ca="1" si="12"/>
        <v>0</v>
      </c>
      <c r="AO6" s="7">
        <f t="shared" ca="1" si="12"/>
        <v>0</v>
      </c>
      <c r="AP6" s="7">
        <f t="shared" ca="1" si="12"/>
        <v>0</v>
      </c>
      <c r="AQ6" s="7">
        <f t="shared" ca="1" si="12"/>
        <v>0</v>
      </c>
      <c r="AR6" s="7">
        <f t="shared" ca="1" si="12"/>
        <v>0</v>
      </c>
      <c r="AS6" s="7">
        <f t="shared" ca="1" si="12"/>
        <v>0</v>
      </c>
      <c r="AT6" s="7">
        <f t="shared" ca="1" si="12"/>
        <v>0</v>
      </c>
      <c r="AU6" s="7">
        <f t="shared" ca="1" si="12"/>
        <v>0</v>
      </c>
      <c r="AV6" s="7">
        <f t="shared" ca="1" si="12"/>
        <v>0</v>
      </c>
      <c r="AW6" s="7">
        <f t="shared" ca="1" si="12"/>
        <v>0</v>
      </c>
      <c r="AX6" s="7">
        <f t="shared" ca="1" si="12"/>
        <v>0</v>
      </c>
      <c r="AY6" s="7">
        <f t="shared" ca="1" si="12"/>
        <v>0</v>
      </c>
      <c r="AZ6" s="7">
        <f t="shared" ca="1" si="12"/>
        <v>0</v>
      </c>
      <c r="BA6" s="7">
        <f t="shared" ca="1" si="12"/>
        <v>0</v>
      </c>
      <c r="BB6" s="7">
        <f t="shared" ca="1" si="12"/>
        <v>0</v>
      </c>
      <c r="BC6" s="7">
        <f t="shared" ca="1" si="12"/>
        <v>0</v>
      </c>
      <c r="BD6" s="7">
        <f t="shared" ca="1" si="12"/>
        <v>0</v>
      </c>
      <c r="BE6" s="7">
        <f t="shared" ca="1" si="12"/>
        <v>0</v>
      </c>
      <c r="BF6" s="7">
        <f t="shared" ca="1" si="12"/>
        <v>0</v>
      </c>
      <c r="BG6" s="7">
        <f t="shared" ca="1" si="12"/>
        <v>0</v>
      </c>
      <c r="BH6" s="7">
        <f t="shared" ca="1" si="12"/>
        <v>0</v>
      </c>
      <c r="BI6" s="7">
        <f t="shared" ca="1" si="12"/>
        <v>0</v>
      </c>
      <c r="BJ6" s="7">
        <f t="shared" ca="1" si="12"/>
        <v>0</v>
      </c>
      <c r="BK6" s="7">
        <f t="shared" ca="1" si="12"/>
        <v>0</v>
      </c>
      <c r="BL6" s="7">
        <f t="shared" ca="1" si="12"/>
        <v>0</v>
      </c>
      <c r="BM6" s="7">
        <f t="shared" ca="1" si="12"/>
        <v>0</v>
      </c>
      <c r="BN6" s="7">
        <f t="shared" ca="1" si="12"/>
        <v>0</v>
      </c>
      <c r="BO6" s="7">
        <f t="shared" ca="1" si="12"/>
        <v>0</v>
      </c>
      <c r="BP6" s="7">
        <f t="shared" ca="1" si="12"/>
        <v>0</v>
      </c>
      <c r="BQ6" s="7">
        <f t="shared" ca="1" si="12"/>
        <v>0</v>
      </c>
      <c r="BR6" s="7">
        <f t="shared" ca="1" si="12"/>
        <v>0</v>
      </c>
      <c r="BS6" s="7">
        <f t="shared" ca="1" si="12"/>
        <v>0</v>
      </c>
      <c r="BT6" s="7">
        <f t="shared" ca="1" si="12"/>
        <v>0</v>
      </c>
      <c r="BU6" s="7">
        <f t="shared" ca="1" si="12"/>
        <v>0</v>
      </c>
      <c r="BV6" s="7">
        <f t="shared" ca="1" si="12"/>
        <v>0</v>
      </c>
      <c r="BW6" s="7">
        <f t="shared" ca="1" si="12"/>
        <v>0</v>
      </c>
      <c r="BX6" s="7">
        <f t="shared" ca="1" si="12"/>
        <v>0</v>
      </c>
      <c r="BY6" s="7"/>
      <c r="BZ6" s="7"/>
    </row>
    <row r="7" spans="1:78">
      <c r="A7" s="7" t="str">
        <f t="shared" ca="1" si="2"/>
        <v/>
      </c>
      <c r="B7" s="18" t="e">
        <f t="shared" ca="1" si="3"/>
        <v>#N/A</v>
      </c>
      <c r="C7" s="8">
        <v>0</v>
      </c>
      <c r="D7" s="8">
        <v>2</v>
      </c>
      <c r="E7" s="7" t="e">
        <f ca="1">+VLOOKUP(OFFSET($E$3,D6,0),$E$1:$G$66,2+C6,0)</f>
        <v>#N/A</v>
      </c>
      <c r="F7" s="7" t="e">
        <f ca="1">+VLOOKUP("*_"&amp;E7&amp;"_*",data!A:D,3,0)</f>
        <v>#N/A</v>
      </c>
      <c r="G7" s="7" t="e">
        <f ca="1">+VLOOKUP("*_"&amp;E7&amp;"_*",data!A:D,4,0)</f>
        <v>#N/A</v>
      </c>
      <c r="H7" s="7">
        <f ca="1">IFERROR(IF(VLOOKUP("*_"&amp;E7&amp;"_*",data!A:D,2,0)="",1,VLOOKUP("*_"&amp;E7&amp;"_*",data!A:D,2,0)),0)</f>
        <v>0</v>
      </c>
      <c r="I7" s="7">
        <f t="shared" ca="1" si="4"/>
        <v>4</v>
      </c>
      <c r="J7" s="7" t="str">
        <f t="shared" ca="1" si="5"/>
        <v/>
      </c>
      <c r="K7" s="18">
        <v>3</v>
      </c>
      <c r="L7" s="7" t="str">
        <f t="shared" ca="1" si="10"/>
        <v>LV06</v>
      </c>
      <c r="M7" s="7" t="str">
        <f t="shared" ca="1" si="11"/>
        <v>L7017D+</v>
      </c>
      <c r="N7" s="7" t="str">
        <f ca="1">+VLOOKUP(K7,$A$3:$E$66,5,0)</f>
        <v>x</v>
      </c>
      <c r="O7" s="7">
        <f t="shared" ca="1" si="12"/>
        <v>0.5</v>
      </c>
      <c r="P7" s="7">
        <f t="shared" ca="1" si="12"/>
        <v>0.5</v>
      </c>
      <c r="Q7" s="7">
        <f t="shared" ca="1" si="12"/>
        <v>1</v>
      </c>
      <c r="R7" s="7">
        <f t="shared" ca="1" si="12"/>
        <v>0</v>
      </c>
      <c r="S7" s="7">
        <f t="shared" ca="1" si="12"/>
        <v>0</v>
      </c>
      <c r="T7" s="7">
        <f t="shared" ca="1" si="12"/>
        <v>0</v>
      </c>
      <c r="U7" s="7">
        <f t="shared" ca="1" si="12"/>
        <v>0</v>
      </c>
      <c r="V7" s="7">
        <f t="shared" ca="1" si="12"/>
        <v>0</v>
      </c>
      <c r="W7" s="7">
        <f t="shared" ca="1" si="12"/>
        <v>0</v>
      </c>
      <c r="X7" s="7">
        <f t="shared" ca="1" si="12"/>
        <v>0</v>
      </c>
      <c r="Y7" s="7">
        <f t="shared" ca="1" si="12"/>
        <v>0</v>
      </c>
      <c r="Z7" s="7">
        <f t="shared" ca="1" si="12"/>
        <v>0</v>
      </c>
      <c r="AA7" s="7">
        <f t="shared" ca="1" si="12"/>
        <v>0</v>
      </c>
      <c r="AB7" s="7">
        <f t="shared" ca="1" si="12"/>
        <v>0</v>
      </c>
      <c r="AC7" s="7">
        <f t="shared" ca="1" si="12"/>
        <v>0</v>
      </c>
      <c r="AD7" s="7">
        <f t="shared" ca="1" si="12"/>
        <v>0</v>
      </c>
      <c r="AE7" s="7">
        <f t="shared" ca="1" si="12"/>
        <v>0</v>
      </c>
      <c r="AF7" s="7">
        <f t="shared" ca="1" si="12"/>
        <v>0</v>
      </c>
      <c r="AG7" s="7">
        <f t="shared" ca="1" si="12"/>
        <v>0</v>
      </c>
      <c r="AH7" s="7">
        <f t="shared" ca="1" si="12"/>
        <v>0</v>
      </c>
      <c r="AI7" s="7">
        <f t="shared" ca="1" si="12"/>
        <v>0</v>
      </c>
      <c r="AJ7" s="7">
        <f t="shared" ca="1" si="12"/>
        <v>0</v>
      </c>
      <c r="AK7" s="7">
        <f t="shared" ca="1" si="12"/>
        <v>0</v>
      </c>
      <c r="AL7" s="7">
        <f t="shared" ca="1" si="12"/>
        <v>0</v>
      </c>
      <c r="AM7" s="7">
        <f t="shared" ca="1" si="12"/>
        <v>0</v>
      </c>
      <c r="AN7" s="7">
        <f t="shared" ca="1" si="12"/>
        <v>0</v>
      </c>
      <c r="AO7" s="7">
        <f t="shared" ca="1" si="12"/>
        <v>0</v>
      </c>
      <c r="AP7" s="7">
        <f t="shared" ca="1" si="12"/>
        <v>0</v>
      </c>
      <c r="AQ7" s="7">
        <f t="shared" ca="1" si="12"/>
        <v>0</v>
      </c>
      <c r="AR7" s="7">
        <f t="shared" ca="1" si="12"/>
        <v>0</v>
      </c>
      <c r="AS7" s="7">
        <f t="shared" ca="1" si="12"/>
        <v>0</v>
      </c>
      <c r="AT7" s="7">
        <f t="shared" ca="1" si="12"/>
        <v>0</v>
      </c>
      <c r="AU7" s="7">
        <f t="shared" ca="1" si="12"/>
        <v>0</v>
      </c>
      <c r="AV7" s="7">
        <f t="shared" ca="1" si="12"/>
        <v>0</v>
      </c>
      <c r="AW7" s="7">
        <f t="shared" ca="1" si="12"/>
        <v>0</v>
      </c>
      <c r="AX7" s="7">
        <f t="shared" ca="1" si="12"/>
        <v>0</v>
      </c>
      <c r="AY7" s="7">
        <f t="shared" ca="1" si="12"/>
        <v>0</v>
      </c>
      <c r="AZ7" s="7">
        <f t="shared" ca="1" si="12"/>
        <v>0</v>
      </c>
      <c r="BA7" s="7">
        <f t="shared" ca="1" si="12"/>
        <v>0</v>
      </c>
      <c r="BB7" s="7">
        <f t="shared" ca="1" si="12"/>
        <v>0</v>
      </c>
      <c r="BC7" s="7">
        <f t="shared" ca="1" si="12"/>
        <v>0</v>
      </c>
      <c r="BD7" s="7">
        <f t="shared" ca="1" si="12"/>
        <v>0</v>
      </c>
      <c r="BE7" s="7">
        <f t="shared" ca="1" si="12"/>
        <v>0</v>
      </c>
      <c r="BF7" s="7">
        <f t="shared" ca="1" si="12"/>
        <v>0</v>
      </c>
      <c r="BG7" s="7">
        <f t="shared" ca="1" si="12"/>
        <v>0</v>
      </c>
      <c r="BH7" s="7">
        <f t="shared" ca="1" si="12"/>
        <v>0</v>
      </c>
      <c r="BI7" s="7">
        <f t="shared" ca="1" si="12"/>
        <v>0</v>
      </c>
      <c r="BJ7" s="7">
        <f t="shared" ca="1" si="12"/>
        <v>0</v>
      </c>
      <c r="BK7" s="7">
        <f t="shared" ca="1" si="12"/>
        <v>0</v>
      </c>
      <c r="BL7" s="7">
        <f t="shared" ca="1" si="12"/>
        <v>0</v>
      </c>
      <c r="BM7" s="7">
        <f t="shared" ca="1" si="12"/>
        <v>0</v>
      </c>
      <c r="BN7" s="7">
        <f t="shared" ca="1" si="12"/>
        <v>0</v>
      </c>
      <c r="BO7" s="7">
        <f t="shared" ca="1" si="12"/>
        <v>0</v>
      </c>
      <c r="BP7" s="7">
        <f t="shared" ca="1" si="12"/>
        <v>0</v>
      </c>
      <c r="BQ7" s="7">
        <f t="shared" ca="1" si="12"/>
        <v>0</v>
      </c>
      <c r="BR7" s="7">
        <f t="shared" ca="1" si="12"/>
        <v>0</v>
      </c>
      <c r="BS7" s="7">
        <f t="shared" ca="1" si="12"/>
        <v>0</v>
      </c>
      <c r="BT7" s="7">
        <f t="shared" ca="1" si="12"/>
        <v>0</v>
      </c>
      <c r="BU7" s="7">
        <f t="shared" ca="1" si="12"/>
        <v>0</v>
      </c>
      <c r="BV7" s="7">
        <f t="shared" ca="1" si="12"/>
        <v>0</v>
      </c>
      <c r="BW7" s="7">
        <f t="shared" ca="1" si="12"/>
        <v>0</v>
      </c>
      <c r="BX7" s="7">
        <f t="shared" ca="1" si="12"/>
        <v>0</v>
      </c>
      <c r="BY7" s="7"/>
      <c r="BZ7" s="7"/>
    </row>
    <row r="8" spans="1:78">
      <c r="A8" s="7" t="str">
        <f t="shared" ca="1" si="2"/>
        <v/>
      </c>
      <c r="B8" s="18" t="e">
        <f t="shared" ca="1" si="3"/>
        <v>#N/A</v>
      </c>
      <c r="C8" s="8">
        <v>1</v>
      </c>
      <c r="D8" s="8">
        <v>2</v>
      </c>
      <c r="E8" s="7" t="e">
        <f t="shared" ca="1" si="9"/>
        <v>#N/A</v>
      </c>
      <c r="F8" s="7" t="e">
        <f ca="1">+VLOOKUP("*_"&amp;E8&amp;"_*",data!A:D,3,0)</f>
        <v>#N/A</v>
      </c>
      <c r="G8" s="7" t="e">
        <f ca="1">+VLOOKUP("*_"&amp;E8&amp;"_*",data!A:D,4,0)</f>
        <v>#N/A</v>
      </c>
      <c r="H8" s="7">
        <f ca="1">IFERROR(IF(VLOOKUP("*_"&amp;E8&amp;"_*",data!A:D,2,0)="",1,VLOOKUP("*_"&amp;E8&amp;"_*",data!A:D,2,0)),0)</f>
        <v>0</v>
      </c>
      <c r="I8" s="7">
        <f t="shared" ca="1" si="4"/>
        <v>5</v>
      </c>
      <c r="J8" s="7" t="str">
        <f t="shared" ca="1" si="5"/>
        <v/>
      </c>
      <c r="K8" s="18">
        <v>4</v>
      </c>
      <c r="L8" s="7" t="e">
        <f t="shared" ca="1" si="10"/>
        <v>#N/A</v>
      </c>
      <c r="M8" s="7" t="e">
        <f t="shared" ca="1" si="11"/>
        <v>#N/A</v>
      </c>
      <c r="N8" s="7" t="e">
        <f t="shared" ca="1" si="13"/>
        <v>#N/A</v>
      </c>
      <c r="O8" s="7">
        <f t="shared" ca="1" si="12"/>
        <v>0</v>
      </c>
      <c r="P8" s="7">
        <f t="shared" ca="1" si="12"/>
        <v>0</v>
      </c>
      <c r="Q8" s="7">
        <f t="shared" ca="1" si="12"/>
        <v>0</v>
      </c>
      <c r="R8" s="7">
        <f t="shared" ca="1" si="12"/>
        <v>0</v>
      </c>
      <c r="S8" s="7">
        <f t="shared" ca="1" si="12"/>
        <v>0</v>
      </c>
      <c r="T8" s="7">
        <f t="shared" ca="1" si="12"/>
        <v>0</v>
      </c>
      <c r="U8" s="7">
        <f t="shared" ca="1" si="12"/>
        <v>0</v>
      </c>
      <c r="V8" s="7">
        <f t="shared" ca="1" si="12"/>
        <v>0</v>
      </c>
      <c r="W8" s="7">
        <f t="shared" ca="1" si="12"/>
        <v>0</v>
      </c>
      <c r="X8" s="7">
        <f t="shared" ca="1" si="12"/>
        <v>0</v>
      </c>
      <c r="Y8" s="7">
        <f t="shared" ca="1" si="12"/>
        <v>0</v>
      </c>
      <c r="Z8" s="7">
        <f t="shared" ca="1" si="12"/>
        <v>0</v>
      </c>
      <c r="AA8" s="7">
        <f t="shared" ca="1" si="12"/>
        <v>0</v>
      </c>
      <c r="AB8" s="7">
        <f t="shared" ca="1" si="12"/>
        <v>0</v>
      </c>
      <c r="AC8" s="7">
        <f t="shared" ca="1" si="12"/>
        <v>0</v>
      </c>
      <c r="AD8" s="7">
        <f t="shared" ca="1" si="12"/>
        <v>0</v>
      </c>
      <c r="AE8" s="7">
        <f t="shared" ca="1" si="12"/>
        <v>0</v>
      </c>
      <c r="AF8" s="7">
        <f t="shared" ca="1" si="12"/>
        <v>0</v>
      </c>
      <c r="AG8" s="7">
        <f t="shared" ca="1" si="12"/>
        <v>0</v>
      </c>
      <c r="AH8" s="7">
        <f t="shared" ca="1" si="12"/>
        <v>0</v>
      </c>
      <c r="AI8" s="7">
        <f t="shared" ca="1" si="12"/>
        <v>0</v>
      </c>
      <c r="AJ8" s="7">
        <f t="shared" ca="1" si="12"/>
        <v>0</v>
      </c>
      <c r="AK8" s="7">
        <f t="shared" ca="1" si="12"/>
        <v>0</v>
      </c>
      <c r="AL8" s="7">
        <f t="shared" ca="1" si="12"/>
        <v>0</v>
      </c>
      <c r="AM8" s="7">
        <f t="shared" ca="1" si="12"/>
        <v>0</v>
      </c>
      <c r="AN8" s="7">
        <f t="shared" ca="1" si="12"/>
        <v>0</v>
      </c>
      <c r="AO8" s="7">
        <f t="shared" ca="1" si="12"/>
        <v>0</v>
      </c>
      <c r="AP8" s="7">
        <f t="shared" ca="1" si="12"/>
        <v>0</v>
      </c>
      <c r="AQ8" s="7">
        <f t="shared" ca="1" si="12"/>
        <v>0</v>
      </c>
      <c r="AR8" s="7">
        <f t="shared" ca="1" si="12"/>
        <v>0</v>
      </c>
      <c r="AS8" s="7">
        <f t="shared" ca="1" si="12"/>
        <v>0</v>
      </c>
      <c r="AT8" s="7">
        <f t="shared" ca="1" si="12"/>
        <v>0</v>
      </c>
      <c r="AU8" s="7">
        <f t="shared" ca="1" si="12"/>
        <v>0</v>
      </c>
      <c r="AV8" s="7">
        <f t="shared" ca="1" si="12"/>
        <v>0</v>
      </c>
      <c r="AW8" s="7">
        <f t="shared" ca="1" si="12"/>
        <v>0</v>
      </c>
      <c r="AX8" s="7">
        <f t="shared" ca="1" si="12"/>
        <v>0</v>
      </c>
      <c r="AY8" s="7">
        <f t="shared" ca="1" si="12"/>
        <v>0</v>
      </c>
      <c r="AZ8" s="7">
        <f t="shared" ca="1" si="12"/>
        <v>0</v>
      </c>
      <c r="BA8" s="7">
        <f t="shared" ca="1" si="12"/>
        <v>0</v>
      </c>
      <c r="BB8" s="7">
        <f t="shared" ca="1" si="12"/>
        <v>0</v>
      </c>
      <c r="BC8" s="7">
        <f t="shared" ca="1" si="12"/>
        <v>0</v>
      </c>
      <c r="BD8" s="7">
        <f t="shared" ca="1" si="12"/>
        <v>0</v>
      </c>
      <c r="BE8" s="7">
        <f t="shared" ca="1" si="12"/>
        <v>0</v>
      </c>
      <c r="BF8" s="7">
        <f t="shared" ca="1" si="12"/>
        <v>0</v>
      </c>
      <c r="BG8" s="7">
        <f t="shared" ca="1" si="12"/>
        <v>0</v>
      </c>
      <c r="BH8" s="7">
        <f t="shared" ca="1" si="12"/>
        <v>0</v>
      </c>
      <c r="BI8" s="7">
        <f t="shared" ca="1" si="12"/>
        <v>0</v>
      </c>
      <c r="BJ8" s="7">
        <f t="shared" ca="1" si="12"/>
        <v>0</v>
      </c>
      <c r="BK8" s="7">
        <f t="shared" ca="1" si="12"/>
        <v>0</v>
      </c>
      <c r="BL8" s="7">
        <f t="shared" ca="1" si="12"/>
        <v>0</v>
      </c>
      <c r="BM8" s="7">
        <f t="shared" ca="1" si="12"/>
        <v>0</v>
      </c>
      <c r="BN8" s="7">
        <f t="shared" ca="1" si="12"/>
        <v>0</v>
      </c>
      <c r="BO8" s="7">
        <f t="shared" ca="1" si="12"/>
        <v>0</v>
      </c>
      <c r="BP8" s="7">
        <f t="shared" ca="1" si="12"/>
        <v>0</v>
      </c>
      <c r="BQ8" s="7">
        <f t="shared" ca="1" si="12"/>
        <v>0</v>
      </c>
      <c r="BR8" s="7">
        <f t="shared" ca="1" si="12"/>
        <v>0</v>
      </c>
      <c r="BS8" s="7">
        <f t="shared" ca="1" si="12"/>
        <v>0</v>
      </c>
      <c r="BT8" s="7">
        <f t="shared" ca="1" si="12"/>
        <v>0</v>
      </c>
      <c r="BU8" s="7">
        <f t="shared" ca="1" si="12"/>
        <v>0</v>
      </c>
      <c r="BV8" s="7">
        <f t="shared" ca="1" si="12"/>
        <v>0</v>
      </c>
      <c r="BW8" s="7">
        <f t="shared" ca="1" si="12"/>
        <v>0</v>
      </c>
      <c r="BX8" s="7">
        <f t="shared" ca="1" si="12"/>
        <v>0</v>
      </c>
      <c r="BY8" s="7"/>
      <c r="BZ8" s="7"/>
    </row>
    <row r="9" spans="1:78">
      <c r="A9" s="7" t="str">
        <f t="shared" ca="1" si="2"/>
        <v/>
      </c>
      <c r="B9" s="18" t="e">
        <f t="shared" ca="1" si="3"/>
        <v>#N/A</v>
      </c>
      <c r="C9" s="8">
        <v>0</v>
      </c>
      <c r="D9" s="8">
        <v>3</v>
      </c>
      <c r="E9" s="7" t="e">
        <f t="shared" ca="1" si="9"/>
        <v>#N/A</v>
      </c>
      <c r="F9" s="7" t="e">
        <f ca="1">+VLOOKUP("*_"&amp;E9&amp;"_*",data!A:D,3,0)</f>
        <v>#N/A</v>
      </c>
      <c r="G9" s="7" t="e">
        <f ca="1">+VLOOKUP("*_"&amp;E9&amp;"_*",data!A:D,4,0)</f>
        <v>#N/A</v>
      </c>
      <c r="H9" s="7">
        <f ca="1">IFERROR(IF(VLOOKUP("*_"&amp;E9&amp;"_*",data!A:D,2,0)="",1,VLOOKUP("*_"&amp;E9&amp;"_*",data!A:D,2,0)),0)</f>
        <v>0</v>
      </c>
      <c r="I9" s="7">
        <f t="shared" ca="1" si="4"/>
        <v>6</v>
      </c>
      <c r="J9" s="7" t="str">
        <f t="shared" ca="1" si="5"/>
        <v/>
      </c>
      <c r="K9" s="18">
        <v>5</v>
      </c>
      <c r="L9" s="7" t="e">
        <f t="shared" ca="1" si="10"/>
        <v>#N/A</v>
      </c>
      <c r="M9" s="7" t="e">
        <f t="shared" ca="1" si="11"/>
        <v>#N/A</v>
      </c>
      <c r="N9" s="7" t="e">
        <f t="shared" ca="1" si="13"/>
        <v>#N/A</v>
      </c>
      <c r="O9" s="7">
        <f t="shared" ca="1" si="12"/>
        <v>0</v>
      </c>
      <c r="P9" s="7">
        <f t="shared" ca="1" si="12"/>
        <v>0</v>
      </c>
      <c r="Q9" s="7">
        <f t="shared" ca="1" si="12"/>
        <v>0</v>
      </c>
      <c r="R9" s="7">
        <f t="shared" ca="1" si="12"/>
        <v>0</v>
      </c>
      <c r="S9" s="7">
        <f t="shared" ca="1" si="12"/>
        <v>0</v>
      </c>
      <c r="T9" s="7">
        <f t="shared" ca="1" si="12"/>
        <v>0</v>
      </c>
      <c r="U9" s="7">
        <f t="shared" ca="1" si="12"/>
        <v>0</v>
      </c>
      <c r="V9" s="7">
        <f t="shared" ref="V9:BX9" ca="1" si="14">+IFERROR(IF(MATCH(V$4,$N$4:$BZ$4,0)=MATCH($N9,$N$4:$N$68,0),1+IFERROR(1/2*INDEX($N$4:$BZ$68,MATCH($L9,$N$4:$N$68,0),MATCH($M9,$N$4:$BZ$4,0)),0),IF(MATCH(V$4,$N$4:$BZ$4,0)&lt;MATCH($N9,$N$4:$N$68,0),(INDEX($N$4:$BZ$68,MATCH($L9,$N$4:$N$68,0),MATCH(V$4,$N$4:$BZ$4,0))+INDEX($N$4:$BZ$68,MATCH($M9,$N$4:$N$68,0),MATCH(V$4,$N$4:$BZ$4,0)))*1/2,(INDEX($N$4:$BZ$68,MATCH($N9,$N$4:$N$68,0),MATCH(V$2,$N$4:$BZ$4,0))+INDEX($N$4:$BZ$68,MATCH($N9,$N$4:$N$68,0),MATCH(V$3,$N$4:$BZ$4,0)))*1/2)),0)</f>
        <v>0</v>
      </c>
      <c r="W9" s="7">
        <f t="shared" ca="1" si="14"/>
        <v>0</v>
      </c>
      <c r="X9" s="7">
        <f t="shared" ca="1" si="14"/>
        <v>0</v>
      </c>
      <c r="Y9" s="7">
        <f t="shared" ca="1" si="14"/>
        <v>0</v>
      </c>
      <c r="Z9" s="7">
        <f t="shared" ca="1" si="14"/>
        <v>0</v>
      </c>
      <c r="AA9" s="7">
        <f t="shared" ca="1" si="14"/>
        <v>0</v>
      </c>
      <c r="AB9" s="7">
        <f t="shared" ca="1" si="14"/>
        <v>0</v>
      </c>
      <c r="AC9" s="7">
        <f t="shared" ca="1" si="14"/>
        <v>0</v>
      </c>
      <c r="AD9" s="7">
        <f t="shared" ca="1" si="14"/>
        <v>0</v>
      </c>
      <c r="AE9" s="7">
        <f t="shared" ca="1" si="14"/>
        <v>0</v>
      </c>
      <c r="AF9" s="7">
        <f t="shared" ca="1" si="14"/>
        <v>0</v>
      </c>
      <c r="AG9" s="7">
        <f t="shared" ca="1" si="14"/>
        <v>0</v>
      </c>
      <c r="AH9" s="7">
        <f t="shared" ca="1" si="14"/>
        <v>0</v>
      </c>
      <c r="AI9" s="7">
        <f t="shared" ca="1" si="14"/>
        <v>0</v>
      </c>
      <c r="AJ9" s="7">
        <f t="shared" ca="1" si="14"/>
        <v>0</v>
      </c>
      <c r="AK9" s="7">
        <f t="shared" ca="1" si="14"/>
        <v>0</v>
      </c>
      <c r="AL9" s="7">
        <f t="shared" ca="1" si="14"/>
        <v>0</v>
      </c>
      <c r="AM9" s="7">
        <f t="shared" ca="1" si="14"/>
        <v>0</v>
      </c>
      <c r="AN9" s="7">
        <f t="shared" ca="1" si="14"/>
        <v>0</v>
      </c>
      <c r="AO9" s="7">
        <f t="shared" ca="1" si="14"/>
        <v>0</v>
      </c>
      <c r="AP9" s="7">
        <f t="shared" ca="1" si="14"/>
        <v>0</v>
      </c>
      <c r="AQ9" s="7">
        <f t="shared" ca="1" si="14"/>
        <v>0</v>
      </c>
      <c r="AR9" s="7">
        <f t="shared" ca="1" si="14"/>
        <v>0</v>
      </c>
      <c r="AS9" s="7">
        <f t="shared" ca="1" si="14"/>
        <v>0</v>
      </c>
      <c r="AT9" s="7">
        <f t="shared" ca="1" si="14"/>
        <v>0</v>
      </c>
      <c r="AU9" s="7">
        <f t="shared" ca="1" si="14"/>
        <v>0</v>
      </c>
      <c r="AV9" s="7">
        <f t="shared" ca="1" si="14"/>
        <v>0</v>
      </c>
      <c r="AW9" s="7">
        <f t="shared" ca="1" si="14"/>
        <v>0</v>
      </c>
      <c r="AX9" s="7">
        <f t="shared" ca="1" si="14"/>
        <v>0</v>
      </c>
      <c r="AY9" s="7">
        <f t="shared" ca="1" si="14"/>
        <v>0</v>
      </c>
      <c r="AZ9" s="7">
        <f t="shared" ca="1" si="14"/>
        <v>0</v>
      </c>
      <c r="BA9" s="7">
        <f t="shared" ca="1" si="14"/>
        <v>0</v>
      </c>
      <c r="BB9" s="7">
        <f t="shared" ca="1" si="14"/>
        <v>0</v>
      </c>
      <c r="BC9" s="7">
        <f t="shared" ca="1" si="14"/>
        <v>0</v>
      </c>
      <c r="BD9" s="7">
        <f t="shared" ca="1" si="14"/>
        <v>0</v>
      </c>
      <c r="BE9" s="7">
        <f t="shared" ca="1" si="14"/>
        <v>0</v>
      </c>
      <c r="BF9" s="7">
        <f t="shared" ca="1" si="14"/>
        <v>0</v>
      </c>
      <c r="BG9" s="7">
        <f t="shared" ca="1" si="14"/>
        <v>0</v>
      </c>
      <c r="BH9" s="7">
        <f t="shared" ca="1" si="14"/>
        <v>0</v>
      </c>
      <c r="BI9" s="7">
        <f t="shared" ca="1" si="14"/>
        <v>0</v>
      </c>
      <c r="BJ9" s="7">
        <f t="shared" ca="1" si="14"/>
        <v>0</v>
      </c>
      <c r="BK9" s="7">
        <f t="shared" ca="1" si="14"/>
        <v>0</v>
      </c>
      <c r="BL9" s="7">
        <f t="shared" ca="1" si="14"/>
        <v>0</v>
      </c>
      <c r="BM9" s="7">
        <f t="shared" ca="1" si="14"/>
        <v>0</v>
      </c>
      <c r="BN9" s="7">
        <f t="shared" ca="1" si="14"/>
        <v>0</v>
      </c>
      <c r="BO9" s="7">
        <f t="shared" ca="1" si="14"/>
        <v>0</v>
      </c>
      <c r="BP9" s="7">
        <f t="shared" ca="1" si="14"/>
        <v>0</v>
      </c>
      <c r="BQ9" s="7">
        <f t="shared" ca="1" si="14"/>
        <v>0</v>
      </c>
      <c r="BR9" s="7">
        <f t="shared" ca="1" si="14"/>
        <v>0</v>
      </c>
      <c r="BS9" s="7">
        <f t="shared" ca="1" si="14"/>
        <v>0</v>
      </c>
      <c r="BT9" s="7">
        <f t="shared" ca="1" si="14"/>
        <v>0</v>
      </c>
      <c r="BU9" s="7">
        <f t="shared" ca="1" si="14"/>
        <v>0</v>
      </c>
      <c r="BV9" s="7">
        <f t="shared" ca="1" si="14"/>
        <v>0</v>
      </c>
      <c r="BW9" s="7">
        <f t="shared" ca="1" si="14"/>
        <v>0</v>
      </c>
      <c r="BX9" s="7">
        <f t="shared" ca="1" si="14"/>
        <v>0</v>
      </c>
      <c r="BY9" s="7"/>
      <c r="BZ9" s="7"/>
    </row>
    <row r="10" spans="1:78">
      <c r="A10" s="7" t="str">
        <f t="shared" ca="1" si="2"/>
        <v/>
      </c>
      <c r="B10" s="18" t="e">
        <f t="shared" ca="1" si="3"/>
        <v>#N/A</v>
      </c>
      <c r="C10" s="8">
        <v>1</v>
      </c>
      <c r="D10" s="8">
        <v>3</v>
      </c>
      <c r="E10" s="7" t="e">
        <f t="shared" ca="1" si="9"/>
        <v>#N/A</v>
      </c>
      <c r="F10" s="7" t="e">
        <f ca="1">+VLOOKUP("*_"&amp;E10&amp;"_*",data!A:D,3,0)</f>
        <v>#N/A</v>
      </c>
      <c r="G10" s="7" t="e">
        <f ca="1">+VLOOKUP("*_"&amp;E10&amp;"_*",data!A:D,4,0)</f>
        <v>#N/A</v>
      </c>
      <c r="H10" s="7">
        <f ca="1">IFERROR(IF(VLOOKUP("*_"&amp;E10&amp;"_*",data!A:D,2,0)="",1,VLOOKUP("*_"&amp;E10&amp;"_*",data!A:D,2,0)),0)</f>
        <v>0</v>
      </c>
      <c r="I10" s="7">
        <f t="shared" ca="1" si="4"/>
        <v>7</v>
      </c>
      <c r="J10" s="7" t="str">
        <f t="shared" ca="1" si="5"/>
        <v/>
      </c>
      <c r="K10" s="18">
        <v>6</v>
      </c>
      <c r="L10" s="7" t="e">
        <f t="shared" ca="1" si="10"/>
        <v>#N/A</v>
      </c>
      <c r="M10" s="7" t="e">
        <f t="shared" ca="1" si="11"/>
        <v>#N/A</v>
      </c>
      <c r="N10" s="7" t="e">
        <f t="shared" ca="1" si="13"/>
        <v>#N/A</v>
      </c>
      <c r="O10" s="7">
        <f t="shared" ref="O10:BX14" ca="1" si="15">+IFERROR(IF(MATCH(O$4,$N$4:$BZ$4,0)=MATCH($N10,$N$4:$N$68,0),1+IFERROR(1/2*INDEX($N$4:$BZ$68,MATCH($L10,$N$4:$N$68,0),MATCH($M10,$N$4:$BZ$4,0)),0),IF(MATCH(O$4,$N$4:$BZ$4,0)&lt;MATCH($N10,$N$4:$N$68,0),(INDEX($N$4:$BZ$68,MATCH($L10,$N$4:$N$68,0),MATCH(O$4,$N$4:$BZ$4,0))+INDEX($N$4:$BZ$68,MATCH($M10,$N$4:$N$68,0),MATCH(O$4,$N$4:$BZ$4,0)))*1/2,(INDEX($N$4:$BZ$68,MATCH($N10,$N$4:$N$68,0),MATCH(O$2,$N$4:$BZ$4,0))+INDEX($N$4:$BZ$68,MATCH($N10,$N$4:$N$68,0),MATCH(O$3,$N$4:$BZ$4,0)))*1/2)),0)</f>
        <v>0</v>
      </c>
      <c r="P10" s="7">
        <f t="shared" ca="1" si="15"/>
        <v>0</v>
      </c>
      <c r="Q10" s="7">
        <f t="shared" ca="1" si="15"/>
        <v>0</v>
      </c>
      <c r="R10" s="7">
        <f t="shared" ca="1" si="15"/>
        <v>0</v>
      </c>
      <c r="S10" s="7">
        <f t="shared" ca="1" si="15"/>
        <v>0</v>
      </c>
      <c r="T10" s="7">
        <f t="shared" ca="1" si="15"/>
        <v>0</v>
      </c>
      <c r="U10" s="7">
        <f t="shared" ca="1" si="15"/>
        <v>0</v>
      </c>
      <c r="V10" s="7">
        <f t="shared" ca="1" si="15"/>
        <v>0</v>
      </c>
      <c r="W10" s="7">
        <f t="shared" ca="1" si="15"/>
        <v>0</v>
      </c>
      <c r="X10" s="7">
        <f t="shared" ca="1" si="15"/>
        <v>0</v>
      </c>
      <c r="Y10" s="7">
        <f t="shared" ca="1" si="15"/>
        <v>0</v>
      </c>
      <c r="Z10" s="7">
        <f t="shared" ca="1" si="15"/>
        <v>0</v>
      </c>
      <c r="AA10" s="7">
        <f t="shared" ca="1" si="15"/>
        <v>0</v>
      </c>
      <c r="AB10" s="7">
        <f t="shared" ca="1" si="15"/>
        <v>0</v>
      </c>
      <c r="AC10" s="7">
        <f t="shared" ca="1" si="15"/>
        <v>0</v>
      </c>
      <c r="AD10" s="7">
        <f t="shared" ca="1" si="15"/>
        <v>0</v>
      </c>
      <c r="AE10" s="7">
        <f t="shared" ca="1" si="15"/>
        <v>0</v>
      </c>
      <c r="AF10" s="7">
        <f t="shared" ca="1" si="15"/>
        <v>0</v>
      </c>
      <c r="AG10" s="7">
        <f t="shared" ca="1" si="15"/>
        <v>0</v>
      </c>
      <c r="AH10" s="7">
        <f t="shared" ca="1" si="15"/>
        <v>0</v>
      </c>
      <c r="AI10" s="7">
        <f t="shared" ca="1" si="15"/>
        <v>0</v>
      </c>
      <c r="AJ10" s="7">
        <f t="shared" ca="1" si="15"/>
        <v>0</v>
      </c>
      <c r="AK10" s="7">
        <f t="shared" ca="1" si="15"/>
        <v>0</v>
      </c>
      <c r="AL10" s="7">
        <f t="shared" ca="1" si="15"/>
        <v>0</v>
      </c>
      <c r="AM10" s="7">
        <f t="shared" ca="1" si="15"/>
        <v>0</v>
      </c>
      <c r="AN10" s="7">
        <f t="shared" ca="1" si="15"/>
        <v>0</v>
      </c>
      <c r="AO10" s="7">
        <f t="shared" ca="1" si="15"/>
        <v>0</v>
      </c>
      <c r="AP10" s="7">
        <f t="shared" ca="1" si="15"/>
        <v>0</v>
      </c>
      <c r="AQ10" s="7">
        <f t="shared" ca="1" si="15"/>
        <v>0</v>
      </c>
      <c r="AR10" s="7">
        <f t="shared" ca="1" si="15"/>
        <v>0</v>
      </c>
      <c r="AS10" s="7">
        <f t="shared" ca="1" si="15"/>
        <v>0</v>
      </c>
      <c r="AT10" s="7">
        <f t="shared" ca="1" si="15"/>
        <v>0</v>
      </c>
      <c r="AU10" s="7">
        <f t="shared" ca="1" si="15"/>
        <v>0</v>
      </c>
      <c r="AV10" s="7">
        <f t="shared" ca="1" si="15"/>
        <v>0</v>
      </c>
      <c r="AW10" s="7">
        <f t="shared" ca="1" si="15"/>
        <v>0</v>
      </c>
      <c r="AX10" s="7">
        <f t="shared" ca="1" si="15"/>
        <v>0</v>
      </c>
      <c r="AY10" s="7">
        <f t="shared" ca="1" si="15"/>
        <v>0</v>
      </c>
      <c r="AZ10" s="7">
        <f t="shared" ca="1" si="15"/>
        <v>0</v>
      </c>
      <c r="BA10" s="7">
        <f t="shared" ca="1" si="15"/>
        <v>0</v>
      </c>
      <c r="BB10" s="7">
        <f t="shared" ca="1" si="15"/>
        <v>0</v>
      </c>
      <c r="BC10" s="7">
        <f t="shared" ca="1" si="15"/>
        <v>0</v>
      </c>
      <c r="BD10" s="7">
        <f t="shared" ca="1" si="15"/>
        <v>0</v>
      </c>
      <c r="BE10" s="7">
        <f t="shared" ca="1" si="15"/>
        <v>0</v>
      </c>
      <c r="BF10" s="7">
        <f t="shared" ca="1" si="15"/>
        <v>0</v>
      </c>
      <c r="BG10" s="7">
        <f t="shared" ca="1" si="15"/>
        <v>0</v>
      </c>
      <c r="BH10" s="7">
        <f t="shared" ca="1" si="15"/>
        <v>0</v>
      </c>
      <c r="BI10" s="7">
        <f t="shared" ca="1" si="15"/>
        <v>0</v>
      </c>
      <c r="BJ10" s="7">
        <f t="shared" ca="1" si="15"/>
        <v>0</v>
      </c>
      <c r="BK10" s="7">
        <f t="shared" ca="1" si="15"/>
        <v>0</v>
      </c>
      <c r="BL10" s="7">
        <f t="shared" ca="1" si="15"/>
        <v>0</v>
      </c>
      <c r="BM10" s="7">
        <f t="shared" ca="1" si="15"/>
        <v>0</v>
      </c>
      <c r="BN10" s="7">
        <f t="shared" ca="1" si="15"/>
        <v>0</v>
      </c>
      <c r="BO10" s="7">
        <f t="shared" ca="1" si="15"/>
        <v>0</v>
      </c>
      <c r="BP10" s="7">
        <f t="shared" ca="1" si="15"/>
        <v>0</v>
      </c>
      <c r="BQ10" s="7">
        <f t="shared" ca="1" si="15"/>
        <v>0</v>
      </c>
      <c r="BR10" s="7">
        <f t="shared" ca="1" si="15"/>
        <v>0</v>
      </c>
      <c r="BS10" s="7">
        <f t="shared" ca="1" si="15"/>
        <v>0</v>
      </c>
      <c r="BT10" s="7">
        <f t="shared" ca="1" si="15"/>
        <v>0</v>
      </c>
      <c r="BU10" s="7">
        <f t="shared" ca="1" si="15"/>
        <v>0</v>
      </c>
      <c r="BV10" s="7">
        <f t="shared" ca="1" si="15"/>
        <v>0</v>
      </c>
      <c r="BW10" s="7">
        <f t="shared" ca="1" si="15"/>
        <v>0</v>
      </c>
      <c r="BX10" s="7">
        <f t="shared" ca="1" si="15"/>
        <v>0</v>
      </c>
      <c r="BY10" s="7"/>
      <c r="BZ10" s="7"/>
    </row>
    <row r="11" spans="1:78">
      <c r="A11" s="7" t="str">
        <f t="shared" ca="1" si="2"/>
        <v/>
      </c>
      <c r="B11" s="18" t="e">
        <f t="shared" ca="1" si="3"/>
        <v>#N/A</v>
      </c>
      <c r="C11" s="8">
        <v>0</v>
      </c>
      <c r="D11" s="8">
        <v>4</v>
      </c>
      <c r="E11" s="7" t="e">
        <f t="shared" ca="1" si="9"/>
        <v>#N/A</v>
      </c>
      <c r="F11" s="7" t="e">
        <f ca="1">+VLOOKUP("*_"&amp;E11&amp;"_*",data!A:D,3,0)</f>
        <v>#N/A</v>
      </c>
      <c r="G11" s="7" t="e">
        <f ca="1">+VLOOKUP("*_"&amp;E11&amp;"_*",data!A:D,4,0)</f>
        <v>#N/A</v>
      </c>
      <c r="H11" s="7">
        <f ca="1">IFERROR(IF(VLOOKUP("*_"&amp;E11&amp;"_*",data!A:D,2,0)="",1,VLOOKUP("*_"&amp;E11&amp;"_*",data!A:D,2,0)),0)</f>
        <v>0</v>
      </c>
      <c r="I11" s="7">
        <f t="shared" ca="1" si="4"/>
        <v>8</v>
      </c>
      <c r="J11" s="7" t="str">
        <f t="shared" ca="1" si="5"/>
        <v/>
      </c>
      <c r="K11" s="18">
        <v>7</v>
      </c>
      <c r="L11" s="7" t="e">
        <f t="shared" ca="1" si="10"/>
        <v>#N/A</v>
      </c>
      <c r="M11" s="7" t="e">
        <f t="shared" ca="1" si="11"/>
        <v>#N/A</v>
      </c>
      <c r="N11" s="7" t="e">
        <f t="shared" ca="1" si="13"/>
        <v>#N/A</v>
      </c>
      <c r="O11" s="7">
        <f t="shared" ca="1" si="15"/>
        <v>0</v>
      </c>
      <c r="P11" s="7">
        <f t="shared" ca="1" si="15"/>
        <v>0</v>
      </c>
      <c r="Q11" s="7">
        <f t="shared" ca="1" si="15"/>
        <v>0</v>
      </c>
      <c r="R11" s="7">
        <f t="shared" ca="1" si="15"/>
        <v>0</v>
      </c>
      <c r="S11" s="7">
        <f t="shared" ca="1" si="15"/>
        <v>0</v>
      </c>
      <c r="T11" s="7">
        <f t="shared" ca="1" si="15"/>
        <v>0</v>
      </c>
      <c r="U11" s="7">
        <f t="shared" ca="1" si="15"/>
        <v>0</v>
      </c>
      <c r="V11" s="7">
        <f t="shared" ca="1" si="15"/>
        <v>0</v>
      </c>
      <c r="W11" s="7">
        <f t="shared" ca="1" si="15"/>
        <v>0</v>
      </c>
      <c r="X11" s="7">
        <f t="shared" ca="1" si="15"/>
        <v>0</v>
      </c>
      <c r="Y11" s="7">
        <f t="shared" ca="1" si="15"/>
        <v>0</v>
      </c>
      <c r="Z11" s="7">
        <f t="shared" ca="1" si="15"/>
        <v>0</v>
      </c>
      <c r="AA11" s="7">
        <f t="shared" ca="1" si="15"/>
        <v>0</v>
      </c>
      <c r="AB11" s="7">
        <f t="shared" ca="1" si="15"/>
        <v>0</v>
      </c>
      <c r="AC11" s="7">
        <f t="shared" ca="1" si="15"/>
        <v>0</v>
      </c>
      <c r="AD11" s="7">
        <f t="shared" ca="1" si="15"/>
        <v>0</v>
      </c>
      <c r="AE11" s="7">
        <f t="shared" ca="1" si="15"/>
        <v>0</v>
      </c>
      <c r="AF11" s="7">
        <f t="shared" ca="1" si="15"/>
        <v>0</v>
      </c>
      <c r="AG11" s="7">
        <f t="shared" ca="1" si="15"/>
        <v>0</v>
      </c>
      <c r="AH11" s="7">
        <f t="shared" ca="1" si="15"/>
        <v>0</v>
      </c>
      <c r="AI11" s="7">
        <f t="shared" ca="1" si="15"/>
        <v>0</v>
      </c>
      <c r="AJ11" s="7">
        <f t="shared" ca="1" si="15"/>
        <v>0</v>
      </c>
      <c r="AK11" s="7">
        <f t="shared" ca="1" si="15"/>
        <v>0</v>
      </c>
      <c r="AL11" s="7">
        <f t="shared" ca="1" si="15"/>
        <v>0</v>
      </c>
      <c r="AM11" s="7">
        <f t="shared" ca="1" si="15"/>
        <v>0</v>
      </c>
      <c r="AN11" s="7">
        <f t="shared" ca="1" si="15"/>
        <v>0</v>
      </c>
      <c r="AO11" s="7">
        <f t="shared" ca="1" si="15"/>
        <v>0</v>
      </c>
      <c r="AP11" s="7">
        <f t="shared" ca="1" si="15"/>
        <v>0</v>
      </c>
      <c r="AQ11" s="7">
        <f t="shared" ca="1" si="15"/>
        <v>0</v>
      </c>
      <c r="AR11" s="7">
        <f t="shared" ca="1" si="15"/>
        <v>0</v>
      </c>
      <c r="AS11" s="7">
        <f t="shared" ca="1" si="15"/>
        <v>0</v>
      </c>
      <c r="AT11" s="7">
        <f t="shared" ca="1" si="15"/>
        <v>0</v>
      </c>
      <c r="AU11" s="7">
        <f t="shared" ca="1" si="15"/>
        <v>0</v>
      </c>
      <c r="AV11" s="7">
        <f t="shared" ca="1" si="15"/>
        <v>0</v>
      </c>
      <c r="AW11" s="7">
        <f t="shared" ca="1" si="15"/>
        <v>0</v>
      </c>
      <c r="AX11" s="7">
        <f t="shared" ca="1" si="15"/>
        <v>0</v>
      </c>
      <c r="AY11" s="7">
        <f t="shared" ca="1" si="15"/>
        <v>0</v>
      </c>
      <c r="AZ11" s="7">
        <f t="shared" ca="1" si="15"/>
        <v>0</v>
      </c>
      <c r="BA11" s="7">
        <f t="shared" ca="1" si="15"/>
        <v>0</v>
      </c>
      <c r="BB11" s="7">
        <f t="shared" ca="1" si="15"/>
        <v>0</v>
      </c>
      <c r="BC11" s="7">
        <f t="shared" ca="1" si="15"/>
        <v>0</v>
      </c>
      <c r="BD11" s="7">
        <f t="shared" ca="1" si="15"/>
        <v>0</v>
      </c>
      <c r="BE11" s="7">
        <f t="shared" ca="1" si="15"/>
        <v>0</v>
      </c>
      <c r="BF11" s="7">
        <f t="shared" ca="1" si="15"/>
        <v>0</v>
      </c>
      <c r="BG11" s="7">
        <f t="shared" ca="1" si="15"/>
        <v>0</v>
      </c>
      <c r="BH11" s="7">
        <f t="shared" ca="1" si="15"/>
        <v>0</v>
      </c>
      <c r="BI11" s="7">
        <f t="shared" ca="1" si="15"/>
        <v>0</v>
      </c>
      <c r="BJ11" s="7">
        <f t="shared" ca="1" si="15"/>
        <v>0</v>
      </c>
      <c r="BK11" s="7">
        <f t="shared" ca="1" si="15"/>
        <v>0</v>
      </c>
      <c r="BL11" s="7">
        <f t="shared" ca="1" si="15"/>
        <v>0</v>
      </c>
      <c r="BM11" s="7">
        <f t="shared" ca="1" si="15"/>
        <v>0</v>
      </c>
      <c r="BN11" s="7">
        <f t="shared" ca="1" si="15"/>
        <v>0</v>
      </c>
      <c r="BO11" s="7">
        <f t="shared" ca="1" si="15"/>
        <v>0</v>
      </c>
      <c r="BP11" s="7">
        <f t="shared" ca="1" si="15"/>
        <v>0</v>
      </c>
      <c r="BQ11" s="7">
        <f t="shared" ca="1" si="15"/>
        <v>0</v>
      </c>
      <c r="BR11" s="7">
        <f t="shared" ca="1" si="15"/>
        <v>0</v>
      </c>
      <c r="BS11" s="7">
        <f t="shared" ca="1" si="15"/>
        <v>0</v>
      </c>
      <c r="BT11" s="7">
        <f t="shared" ca="1" si="15"/>
        <v>0</v>
      </c>
      <c r="BU11" s="7">
        <f t="shared" ca="1" si="15"/>
        <v>0</v>
      </c>
      <c r="BV11" s="7">
        <f t="shared" ca="1" si="15"/>
        <v>0</v>
      </c>
      <c r="BW11" s="7">
        <f t="shared" ca="1" si="15"/>
        <v>0</v>
      </c>
      <c r="BX11" s="7">
        <f t="shared" ca="1" si="15"/>
        <v>0</v>
      </c>
      <c r="BY11" s="7"/>
      <c r="BZ11" s="7"/>
    </row>
    <row r="12" spans="1:78">
      <c r="A12" s="7" t="str">
        <f t="shared" ca="1" si="2"/>
        <v/>
      </c>
      <c r="B12" s="18" t="e">
        <f t="shared" ca="1" si="3"/>
        <v>#N/A</v>
      </c>
      <c r="C12" s="8">
        <v>1</v>
      </c>
      <c r="D12" s="8">
        <v>4</v>
      </c>
      <c r="E12" s="7" t="e">
        <f t="shared" ca="1" si="9"/>
        <v>#N/A</v>
      </c>
      <c r="F12" s="7" t="e">
        <f ca="1">+VLOOKUP("*_"&amp;E12&amp;"_*",data!A:D,3,0)</f>
        <v>#N/A</v>
      </c>
      <c r="G12" s="7" t="e">
        <f ca="1">+VLOOKUP("*_"&amp;E12&amp;"_*",data!A:D,4,0)</f>
        <v>#N/A</v>
      </c>
      <c r="H12" s="7">
        <f ca="1">IFERROR(IF(VLOOKUP("*_"&amp;E12&amp;"_*",data!A:D,2,0)="",1,VLOOKUP("*_"&amp;E12&amp;"_*",data!A:D,2,0)),0)</f>
        <v>0</v>
      </c>
      <c r="I12" s="7">
        <f t="shared" ca="1" si="4"/>
        <v>9</v>
      </c>
      <c r="J12" s="7" t="str">
        <f t="shared" ca="1" si="5"/>
        <v/>
      </c>
      <c r="K12" s="18">
        <v>8</v>
      </c>
      <c r="L12" s="7" t="e">
        <f t="shared" ca="1" si="10"/>
        <v>#N/A</v>
      </c>
      <c r="M12" s="7" t="e">
        <f t="shared" ca="1" si="11"/>
        <v>#N/A</v>
      </c>
      <c r="N12" s="7" t="e">
        <f t="shared" ca="1" si="13"/>
        <v>#N/A</v>
      </c>
      <c r="O12" s="7">
        <f t="shared" ca="1" si="15"/>
        <v>0</v>
      </c>
      <c r="P12" s="7">
        <f t="shared" ca="1" si="15"/>
        <v>0</v>
      </c>
      <c r="Q12" s="7">
        <f t="shared" ca="1" si="15"/>
        <v>0</v>
      </c>
      <c r="R12" s="7">
        <f t="shared" ca="1" si="15"/>
        <v>0</v>
      </c>
      <c r="S12" s="7">
        <f t="shared" ca="1" si="15"/>
        <v>0</v>
      </c>
      <c r="T12" s="7">
        <f t="shared" ca="1" si="15"/>
        <v>0</v>
      </c>
      <c r="U12" s="7">
        <f t="shared" ca="1" si="15"/>
        <v>0</v>
      </c>
      <c r="V12" s="7">
        <f t="shared" ca="1" si="15"/>
        <v>0</v>
      </c>
      <c r="W12" s="7">
        <f t="shared" ca="1" si="15"/>
        <v>0</v>
      </c>
      <c r="X12" s="7">
        <f t="shared" ca="1" si="15"/>
        <v>0</v>
      </c>
      <c r="Y12" s="7">
        <f t="shared" ca="1" si="15"/>
        <v>0</v>
      </c>
      <c r="Z12" s="7">
        <f t="shared" ca="1" si="15"/>
        <v>0</v>
      </c>
      <c r="AA12" s="7">
        <f t="shared" ca="1" si="15"/>
        <v>0</v>
      </c>
      <c r="AB12" s="7">
        <f t="shared" ca="1" si="15"/>
        <v>0</v>
      </c>
      <c r="AC12" s="7">
        <f t="shared" ca="1" si="15"/>
        <v>0</v>
      </c>
      <c r="AD12" s="7">
        <f t="shared" ca="1" si="15"/>
        <v>0</v>
      </c>
      <c r="AE12" s="7">
        <f t="shared" ca="1" si="15"/>
        <v>0</v>
      </c>
      <c r="AF12" s="7">
        <f t="shared" ca="1" si="15"/>
        <v>0</v>
      </c>
      <c r="AG12" s="7">
        <f t="shared" ca="1" si="15"/>
        <v>0</v>
      </c>
      <c r="AH12" s="7">
        <f t="shared" ca="1" si="15"/>
        <v>0</v>
      </c>
      <c r="AI12" s="7">
        <f t="shared" ca="1" si="15"/>
        <v>0</v>
      </c>
      <c r="AJ12" s="7">
        <f t="shared" ca="1" si="15"/>
        <v>0</v>
      </c>
      <c r="AK12" s="7">
        <f t="shared" ca="1" si="15"/>
        <v>0</v>
      </c>
      <c r="AL12" s="7">
        <f t="shared" ca="1" si="15"/>
        <v>0</v>
      </c>
      <c r="AM12" s="7">
        <f t="shared" ca="1" si="15"/>
        <v>0</v>
      </c>
      <c r="AN12" s="7">
        <f t="shared" ca="1" si="15"/>
        <v>0</v>
      </c>
      <c r="AO12" s="7">
        <f t="shared" ca="1" si="15"/>
        <v>0</v>
      </c>
      <c r="AP12" s="7">
        <f t="shared" ca="1" si="15"/>
        <v>0</v>
      </c>
      <c r="AQ12" s="7">
        <f t="shared" ca="1" si="15"/>
        <v>0</v>
      </c>
      <c r="AR12" s="7">
        <f t="shared" ca="1" si="15"/>
        <v>0</v>
      </c>
      <c r="AS12" s="7">
        <f t="shared" ca="1" si="15"/>
        <v>0</v>
      </c>
      <c r="AT12" s="7">
        <f t="shared" ca="1" si="15"/>
        <v>0</v>
      </c>
      <c r="AU12" s="7">
        <f t="shared" ca="1" si="15"/>
        <v>0</v>
      </c>
      <c r="AV12" s="7">
        <f t="shared" ca="1" si="15"/>
        <v>0</v>
      </c>
      <c r="AW12" s="7">
        <f t="shared" ca="1" si="15"/>
        <v>0</v>
      </c>
      <c r="AX12" s="7">
        <f t="shared" ca="1" si="15"/>
        <v>0</v>
      </c>
      <c r="AY12" s="7">
        <f t="shared" ca="1" si="15"/>
        <v>0</v>
      </c>
      <c r="AZ12" s="7">
        <f t="shared" ca="1" si="15"/>
        <v>0</v>
      </c>
      <c r="BA12" s="7">
        <f t="shared" ca="1" si="15"/>
        <v>0</v>
      </c>
      <c r="BB12" s="7">
        <f t="shared" ca="1" si="15"/>
        <v>0</v>
      </c>
      <c r="BC12" s="7">
        <f t="shared" ca="1" si="15"/>
        <v>0</v>
      </c>
      <c r="BD12" s="7">
        <f t="shared" ca="1" si="15"/>
        <v>0</v>
      </c>
      <c r="BE12" s="7">
        <f t="shared" ca="1" si="15"/>
        <v>0</v>
      </c>
      <c r="BF12" s="7">
        <f t="shared" ca="1" si="15"/>
        <v>0</v>
      </c>
      <c r="BG12" s="7">
        <f t="shared" ca="1" si="15"/>
        <v>0</v>
      </c>
      <c r="BH12" s="7">
        <f t="shared" ca="1" si="15"/>
        <v>0</v>
      </c>
      <c r="BI12" s="7">
        <f t="shared" ca="1" si="15"/>
        <v>0</v>
      </c>
      <c r="BJ12" s="7">
        <f t="shared" ca="1" si="15"/>
        <v>0</v>
      </c>
      <c r="BK12" s="7">
        <f t="shared" ca="1" si="15"/>
        <v>0</v>
      </c>
      <c r="BL12" s="7">
        <f t="shared" ca="1" si="15"/>
        <v>0</v>
      </c>
      <c r="BM12" s="7">
        <f t="shared" ca="1" si="15"/>
        <v>0</v>
      </c>
      <c r="BN12" s="7">
        <f t="shared" ca="1" si="15"/>
        <v>0</v>
      </c>
      <c r="BO12" s="7">
        <f t="shared" ca="1" si="15"/>
        <v>0</v>
      </c>
      <c r="BP12" s="7">
        <f t="shared" ca="1" si="15"/>
        <v>0</v>
      </c>
      <c r="BQ12" s="7">
        <f t="shared" ca="1" si="15"/>
        <v>0</v>
      </c>
      <c r="BR12" s="7">
        <f t="shared" ca="1" si="15"/>
        <v>0</v>
      </c>
      <c r="BS12" s="7">
        <f t="shared" ca="1" si="15"/>
        <v>0</v>
      </c>
      <c r="BT12" s="7">
        <f t="shared" ca="1" si="15"/>
        <v>0</v>
      </c>
      <c r="BU12" s="7">
        <f t="shared" ca="1" si="15"/>
        <v>0</v>
      </c>
      <c r="BV12" s="7">
        <f t="shared" ca="1" si="15"/>
        <v>0</v>
      </c>
      <c r="BW12" s="7">
        <f t="shared" ca="1" si="15"/>
        <v>0</v>
      </c>
      <c r="BX12" s="7">
        <f t="shared" ca="1" si="15"/>
        <v>0</v>
      </c>
      <c r="BY12" s="7"/>
      <c r="BZ12" s="7"/>
    </row>
    <row r="13" spans="1:78">
      <c r="A13" s="7" t="str">
        <f t="shared" ca="1" si="2"/>
        <v/>
      </c>
      <c r="B13" s="18" t="e">
        <f t="shared" ca="1" si="3"/>
        <v>#N/A</v>
      </c>
      <c r="C13" s="8">
        <v>0</v>
      </c>
      <c r="D13" s="8">
        <v>5</v>
      </c>
      <c r="E13" s="7" t="e">
        <f t="shared" ca="1" si="9"/>
        <v>#N/A</v>
      </c>
      <c r="F13" s="7" t="e">
        <f ca="1">+VLOOKUP("*_"&amp;E13&amp;"_*",data!A:D,3,0)</f>
        <v>#N/A</v>
      </c>
      <c r="G13" s="7" t="e">
        <f ca="1">+VLOOKUP("*_"&amp;E13&amp;"_*",data!A:D,4,0)</f>
        <v>#N/A</v>
      </c>
      <c r="H13" s="7">
        <f ca="1">IFERROR(IF(VLOOKUP("*_"&amp;E13&amp;"_*",data!A:D,2,0)="",1,VLOOKUP("*_"&amp;E13&amp;"_*",data!A:D,2,0)),0)</f>
        <v>0</v>
      </c>
      <c r="I13" s="7">
        <f t="shared" ca="1" si="4"/>
        <v>10</v>
      </c>
      <c r="J13" s="7" t="str">
        <f t="shared" ca="1" si="5"/>
        <v/>
      </c>
      <c r="K13" s="18">
        <v>9</v>
      </c>
      <c r="L13" s="7" t="e">
        <f t="shared" ca="1" si="10"/>
        <v>#N/A</v>
      </c>
      <c r="M13" s="7" t="e">
        <f t="shared" ca="1" si="11"/>
        <v>#N/A</v>
      </c>
      <c r="N13" s="7" t="e">
        <f ca="1">+VLOOKUP(K13,$A$3:$E$66,5,0)</f>
        <v>#N/A</v>
      </c>
      <c r="O13" s="7">
        <f t="shared" ca="1" si="15"/>
        <v>0</v>
      </c>
      <c r="P13" s="7">
        <f t="shared" ca="1" si="15"/>
        <v>0</v>
      </c>
      <c r="Q13" s="7">
        <f t="shared" ca="1" si="15"/>
        <v>0</v>
      </c>
      <c r="R13" s="7">
        <f t="shared" ca="1" si="15"/>
        <v>0</v>
      </c>
      <c r="S13" s="7">
        <f t="shared" ca="1" si="15"/>
        <v>0</v>
      </c>
      <c r="T13" s="7">
        <f t="shared" ca="1" si="15"/>
        <v>0</v>
      </c>
      <c r="U13" s="7">
        <f t="shared" ca="1" si="15"/>
        <v>0</v>
      </c>
      <c r="V13" s="7">
        <f t="shared" ca="1" si="15"/>
        <v>0</v>
      </c>
      <c r="W13" s="7">
        <f t="shared" ca="1" si="15"/>
        <v>0</v>
      </c>
      <c r="X13" s="7">
        <f t="shared" ca="1" si="15"/>
        <v>0</v>
      </c>
      <c r="Y13" s="7">
        <f t="shared" ca="1" si="15"/>
        <v>0</v>
      </c>
      <c r="Z13" s="7">
        <f t="shared" ca="1" si="15"/>
        <v>0</v>
      </c>
      <c r="AA13" s="7">
        <f t="shared" ca="1" si="15"/>
        <v>0</v>
      </c>
      <c r="AB13" s="7">
        <f t="shared" ca="1" si="15"/>
        <v>0</v>
      </c>
      <c r="AC13" s="7">
        <f t="shared" ca="1" si="15"/>
        <v>0</v>
      </c>
      <c r="AD13" s="7">
        <f t="shared" ca="1" si="15"/>
        <v>0</v>
      </c>
      <c r="AE13" s="7">
        <f t="shared" ca="1" si="15"/>
        <v>0</v>
      </c>
      <c r="AF13" s="7">
        <f t="shared" ca="1" si="15"/>
        <v>0</v>
      </c>
      <c r="AG13" s="7">
        <f t="shared" ca="1" si="15"/>
        <v>0</v>
      </c>
      <c r="AH13" s="7">
        <f t="shared" ca="1" si="15"/>
        <v>0</v>
      </c>
      <c r="AI13" s="7">
        <f t="shared" ca="1" si="15"/>
        <v>0</v>
      </c>
      <c r="AJ13" s="7">
        <f t="shared" ca="1" si="15"/>
        <v>0</v>
      </c>
      <c r="AK13" s="7">
        <f t="shared" ca="1" si="15"/>
        <v>0</v>
      </c>
      <c r="AL13" s="7">
        <f t="shared" ca="1" si="15"/>
        <v>0</v>
      </c>
      <c r="AM13" s="7">
        <f t="shared" ca="1" si="15"/>
        <v>0</v>
      </c>
      <c r="AN13" s="7">
        <f t="shared" ca="1" si="15"/>
        <v>0</v>
      </c>
      <c r="AO13" s="7">
        <f t="shared" ca="1" si="15"/>
        <v>0</v>
      </c>
      <c r="AP13" s="7">
        <f t="shared" ca="1" si="15"/>
        <v>0</v>
      </c>
      <c r="AQ13" s="7">
        <f t="shared" ca="1" si="15"/>
        <v>0</v>
      </c>
      <c r="AR13" s="7">
        <f t="shared" ca="1" si="15"/>
        <v>0</v>
      </c>
      <c r="AS13" s="7">
        <f t="shared" ca="1" si="15"/>
        <v>0</v>
      </c>
      <c r="AT13" s="7">
        <f t="shared" ca="1" si="15"/>
        <v>0</v>
      </c>
      <c r="AU13" s="7">
        <f t="shared" ca="1" si="15"/>
        <v>0</v>
      </c>
      <c r="AV13" s="7">
        <f t="shared" ca="1" si="15"/>
        <v>0</v>
      </c>
      <c r="AW13" s="7">
        <f t="shared" ca="1" si="15"/>
        <v>0</v>
      </c>
      <c r="AX13" s="7">
        <f t="shared" ca="1" si="15"/>
        <v>0</v>
      </c>
      <c r="AY13" s="7">
        <f t="shared" ca="1" si="15"/>
        <v>0</v>
      </c>
      <c r="AZ13" s="7">
        <f t="shared" ca="1" si="15"/>
        <v>0</v>
      </c>
      <c r="BA13" s="7">
        <f t="shared" ca="1" si="15"/>
        <v>0</v>
      </c>
      <c r="BB13" s="7">
        <f t="shared" ca="1" si="15"/>
        <v>0</v>
      </c>
      <c r="BC13" s="7">
        <f t="shared" ca="1" si="15"/>
        <v>0</v>
      </c>
      <c r="BD13" s="7">
        <f t="shared" ca="1" si="15"/>
        <v>0</v>
      </c>
      <c r="BE13" s="7">
        <f t="shared" ca="1" si="15"/>
        <v>0</v>
      </c>
      <c r="BF13" s="7">
        <f t="shared" ca="1" si="15"/>
        <v>0</v>
      </c>
      <c r="BG13" s="7">
        <f t="shared" ca="1" si="15"/>
        <v>0</v>
      </c>
      <c r="BH13" s="7">
        <f t="shared" ca="1" si="15"/>
        <v>0</v>
      </c>
      <c r="BI13" s="7">
        <f t="shared" ca="1" si="15"/>
        <v>0</v>
      </c>
      <c r="BJ13" s="7">
        <f t="shared" ca="1" si="15"/>
        <v>0</v>
      </c>
      <c r="BK13" s="7">
        <f t="shared" ca="1" si="15"/>
        <v>0</v>
      </c>
      <c r="BL13" s="7">
        <f t="shared" ca="1" si="15"/>
        <v>0</v>
      </c>
      <c r="BM13" s="7">
        <f t="shared" ca="1" si="15"/>
        <v>0</v>
      </c>
      <c r="BN13" s="7">
        <f t="shared" ca="1" si="15"/>
        <v>0</v>
      </c>
      <c r="BO13" s="7">
        <f t="shared" ca="1" si="15"/>
        <v>0</v>
      </c>
      <c r="BP13" s="7">
        <f t="shared" ca="1" si="15"/>
        <v>0</v>
      </c>
      <c r="BQ13" s="7">
        <f t="shared" ca="1" si="15"/>
        <v>0</v>
      </c>
      <c r="BR13" s="7">
        <f t="shared" ca="1" si="15"/>
        <v>0</v>
      </c>
      <c r="BS13" s="7">
        <f t="shared" ca="1" si="15"/>
        <v>0</v>
      </c>
      <c r="BT13" s="7">
        <f t="shared" ca="1" si="15"/>
        <v>0</v>
      </c>
      <c r="BU13" s="7">
        <f t="shared" ca="1" si="15"/>
        <v>0</v>
      </c>
      <c r="BV13" s="7">
        <f t="shared" ca="1" si="15"/>
        <v>0</v>
      </c>
      <c r="BW13" s="7">
        <f t="shared" ca="1" si="15"/>
        <v>0</v>
      </c>
      <c r="BX13" s="7">
        <f t="shared" ca="1" si="15"/>
        <v>0</v>
      </c>
      <c r="BY13" s="7"/>
      <c r="BZ13" s="7"/>
    </row>
    <row r="14" spans="1:78">
      <c r="A14" s="7" t="str">
        <f t="shared" ca="1" si="2"/>
        <v/>
      </c>
      <c r="B14" s="18" t="e">
        <f t="shared" ca="1" si="3"/>
        <v>#N/A</v>
      </c>
      <c r="C14" s="8">
        <v>1</v>
      </c>
      <c r="D14" s="8">
        <v>5</v>
      </c>
      <c r="E14" s="7" t="e">
        <f t="shared" ca="1" si="9"/>
        <v>#N/A</v>
      </c>
      <c r="F14" s="7" t="e">
        <f ca="1">+VLOOKUP("*_"&amp;E14&amp;"_*",data!A:D,3,0)</f>
        <v>#N/A</v>
      </c>
      <c r="G14" s="7" t="e">
        <f ca="1">+VLOOKUP("*_"&amp;E14&amp;"_*",data!A:D,4,0)</f>
        <v>#N/A</v>
      </c>
      <c r="H14" s="7">
        <f ca="1">IFERROR(IF(VLOOKUP("*_"&amp;E14&amp;"_*",data!A:D,2,0)="",1,VLOOKUP("*_"&amp;E14&amp;"_*",data!A:D,2,0)),0)</f>
        <v>0</v>
      </c>
      <c r="I14" s="7">
        <f t="shared" ca="1" si="4"/>
        <v>11</v>
      </c>
      <c r="J14" s="7" t="str">
        <f t="shared" ca="1" si="5"/>
        <v/>
      </c>
      <c r="K14" s="18">
        <v>10</v>
      </c>
      <c r="L14" s="7" t="e">
        <f t="shared" ca="1" si="10"/>
        <v>#N/A</v>
      </c>
      <c r="M14" s="7" t="e">
        <f t="shared" ca="1" si="11"/>
        <v>#N/A</v>
      </c>
      <c r="N14" s="7" t="e">
        <f t="shared" ca="1" si="13"/>
        <v>#N/A</v>
      </c>
      <c r="O14" s="7">
        <f t="shared" ca="1" si="15"/>
        <v>0</v>
      </c>
      <c r="P14" s="7">
        <f t="shared" ca="1" si="15"/>
        <v>0</v>
      </c>
      <c r="Q14" s="7">
        <f t="shared" ca="1" si="15"/>
        <v>0</v>
      </c>
      <c r="R14" s="7">
        <f t="shared" ca="1" si="15"/>
        <v>0</v>
      </c>
      <c r="S14" s="7">
        <f t="shared" ca="1" si="15"/>
        <v>0</v>
      </c>
      <c r="T14" s="7">
        <f t="shared" ca="1" si="15"/>
        <v>0</v>
      </c>
      <c r="U14" s="7">
        <f t="shared" ca="1" si="15"/>
        <v>0</v>
      </c>
      <c r="V14" s="7">
        <f t="shared" ref="V14:BX14" ca="1" si="16">+IFERROR(IF(MATCH(V$4,$N$4:$BZ$4,0)=MATCH($N14,$N$4:$N$68,0),1+IFERROR(1/2*INDEX($N$4:$BZ$68,MATCH($L14,$N$4:$N$68,0),MATCH($M14,$N$4:$BZ$4,0)),0),IF(MATCH(V$4,$N$4:$BZ$4,0)&lt;MATCH($N14,$N$4:$N$68,0),(INDEX($N$4:$BZ$68,MATCH($L14,$N$4:$N$68,0),MATCH(V$4,$N$4:$BZ$4,0))+INDEX($N$4:$BZ$68,MATCH($M14,$N$4:$N$68,0),MATCH(V$4,$N$4:$BZ$4,0)))*1/2,(INDEX($N$4:$BZ$68,MATCH($N14,$N$4:$N$68,0),MATCH(V$2,$N$4:$BZ$4,0))+INDEX($N$4:$BZ$68,MATCH($N14,$N$4:$N$68,0),MATCH(V$3,$N$4:$BZ$4,0)))*1/2)),0)</f>
        <v>0</v>
      </c>
      <c r="W14" s="7">
        <f t="shared" ca="1" si="16"/>
        <v>0</v>
      </c>
      <c r="X14" s="7">
        <f t="shared" ca="1" si="16"/>
        <v>0</v>
      </c>
      <c r="Y14" s="7">
        <f t="shared" ca="1" si="16"/>
        <v>0</v>
      </c>
      <c r="Z14" s="7">
        <f t="shared" ca="1" si="16"/>
        <v>0</v>
      </c>
      <c r="AA14" s="7">
        <f t="shared" ca="1" si="16"/>
        <v>0</v>
      </c>
      <c r="AB14" s="7">
        <f t="shared" ca="1" si="16"/>
        <v>0</v>
      </c>
      <c r="AC14" s="7">
        <f t="shared" ca="1" si="16"/>
        <v>0</v>
      </c>
      <c r="AD14" s="7">
        <f t="shared" ca="1" si="16"/>
        <v>0</v>
      </c>
      <c r="AE14" s="7">
        <f t="shared" ca="1" si="16"/>
        <v>0</v>
      </c>
      <c r="AF14" s="7">
        <f t="shared" ca="1" si="16"/>
        <v>0</v>
      </c>
      <c r="AG14" s="7">
        <f t="shared" ca="1" si="16"/>
        <v>0</v>
      </c>
      <c r="AH14" s="7">
        <f t="shared" ca="1" si="16"/>
        <v>0</v>
      </c>
      <c r="AI14" s="7">
        <f t="shared" ca="1" si="16"/>
        <v>0</v>
      </c>
      <c r="AJ14" s="7">
        <f t="shared" ca="1" si="16"/>
        <v>0</v>
      </c>
      <c r="AK14" s="7">
        <f t="shared" ca="1" si="16"/>
        <v>0</v>
      </c>
      <c r="AL14" s="7">
        <f t="shared" ca="1" si="16"/>
        <v>0</v>
      </c>
      <c r="AM14" s="7">
        <f t="shared" ca="1" si="16"/>
        <v>0</v>
      </c>
      <c r="AN14" s="7">
        <f t="shared" ca="1" si="16"/>
        <v>0</v>
      </c>
      <c r="AO14" s="7">
        <f t="shared" ca="1" si="16"/>
        <v>0</v>
      </c>
      <c r="AP14" s="7">
        <f t="shared" ca="1" si="16"/>
        <v>0</v>
      </c>
      <c r="AQ14" s="7">
        <f t="shared" ca="1" si="16"/>
        <v>0</v>
      </c>
      <c r="AR14" s="7">
        <f t="shared" ca="1" si="16"/>
        <v>0</v>
      </c>
      <c r="AS14" s="7">
        <f t="shared" ca="1" si="16"/>
        <v>0</v>
      </c>
      <c r="AT14" s="7">
        <f t="shared" ca="1" si="16"/>
        <v>0</v>
      </c>
      <c r="AU14" s="7">
        <f t="shared" ca="1" si="16"/>
        <v>0</v>
      </c>
      <c r="AV14" s="7">
        <f t="shared" ca="1" si="16"/>
        <v>0</v>
      </c>
      <c r="AW14" s="7">
        <f t="shared" ca="1" si="16"/>
        <v>0</v>
      </c>
      <c r="AX14" s="7">
        <f t="shared" ca="1" si="16"/>
        <v>0</v>
      </c>
      <c r="AY14" s="7">
        <f t="shared" ca="1" si="16"/>
        <v>0</v>
      </c>
      <c r="AZ14" s="7">
        <f t="shared" ca="1" si="16"/>
        <v>0</v>
      </c>
      <c r="BA14" s="7">
        <f t="shared" ca="1" si="16"/>
        <v>0</v>
      </c>
      <c r="BB14" s="7">
        <f t="shared" ca="1" si="16"/>
        <v>0</v>
      </c>
      <c r="BC14" s="7">
        <f t="shared" ca="1" si="16"/>
        <v>0</v>
      </c>
      <c r="BD14" s="7">
        <f t="shared" ca="1" si="16"/>
        <v>0</v>
      </c>
      <c r="BE14" s="7">
        <f t="shared" ca="1" si="16"/>
        <v>0</v>
      </c>
      <c r="BF14" s="7">
        <f t="shared" ca="1" si="16"/>
        <v>0</v>
      </c>
      <c r="BG14" s="7">
        <f t="shared" ca="1" si="16"/>
        <v>0</v>
      </c>
      <c r="BH14" s="7">
        <f t="shared" ca="1" si="16"/>
        <v>0</v>
      </c>
      <c r="BI14" s="7">
        <f t="shared" ca="1" si="16"/>
        <v>0</v>
      </c>
      <c r="BJ14" s="7">
        <f t="shared" ca="1" si="16"/>
        <v>0</v>
      </c>
      <c r="BK14" s="7">
        <f t="shared" ca="1" si="16"/>
        <v>0</v>
      </c>
      <c r="BL14" s="7">
        <f t="shared" ca="1" si="16"/>
        <v>0</v>
      </c>
      <c r="BM14" s="7">
        <f t="shared" ca="1" si="16"/>
        <v>0</v>
      </c>
      <c r="BN14" s="7">
        <f t="shared" ca="1" si="16"/>
        <v>0</v>
      </c>
      <c r="BO14" s="7">
        <f t="shared" ca="1" si="16"/>
        <v>0</v>
      </c>
      <c r="BP14" s="7">
        <f t="shared" ca="1" si="16"/>
        <v>0</v>
      </c>
      <c r="BQ14" s="7">
        <f t="shared" ca="1" si="16"/>
        <v>0</v>
      </c>
      <c r="BR14" s="7">
        <f t="shared" ca="1" si="16"/>
        <v>0</v>
      </c>
      <c r="BS14" s="7">
        <f t="shared" ca="1" si="16"/>
        <v>0</v>
      </c>
      <c r="BT14" s="7">
        <f t="shared" ca="1" si="16"/>
        <v>0</v>
      </c>
      <c r="BU14" s="7">
        <f t="shared" ca="1" si="16"/>
        <v>0</v>
      </c>
      <c r="BV14" s="7">
        <f t="shared" ca="1" si="16"/>
        <v>0</v>
      </c>
      <c r="BW14" s="7">
        <f t="shared" ca="1" si="16"/>
        <v>0</v>
      </c>
      <c r="BX14" s="7">
        <f t="shared" ca="1" si="16"/>
        <v>0</v>
      </c>
      <c r="BY14" s="7"/>
      <c r="BZ14" s="7"/>
    </row>
    <row r="15" spans="1:78">
      <c r="A15" s="7" t="str">
        <f t="shared" ca="1" si="2"/>
        <v/>
      </c>
      <c r="B15" s="18" t="e">
        <f t="shared" ca="1" si="3"/>
        <v>#N/A</v>
      </c>
      <c r="C15" s="8">
        <v>0</v>
      </c>
      <c r="D15" s="8">
        <v>6</v>
      </c>
      <c r="E15" s="7" t="e">
        <f t="shared" ca="1" si="9"/>
        <v>#N/A</v>
      </c>
      <c r="F15" s="7" t="e">
        <f ca="1">+VLOOKUP("*_"&amp;E15&amp;"_*",data!A:D,3,0)</f>
        <v>#N/A</v>
      </c>
      <c r="G15" s="7" t="e">
        <f ca="1">+VLOOKUP("*_"&amp;E15&amp;"_*",data!A:D,4,0)</f>
        <v>#N/A</v>
      </c>
      <c r="H15" s="7">
        <f ca="1">IFERROR(IF(VLOOKUP("*_"&amp;E15&amp;"_*",data!A:D,2,0)="",1,VLOOKUP("*_"&amp;E15&amp;"_*",data!A:D,2,0)),0)</f>
        <v>0</v>
      </c>
      <c r="I15" s="7">
        <f t="shared" ca="1" si="4"/>
        <v>12</v>
      </c>
      <c r="J15" s="7" t="str">
        <f t="shared" ca="1" si="5"/>
        <v/>
      </c>
      <c r="K15" s="18">
        <v>11</v>
      </c>
      <c r="L15" s="7" t="e">
        <f ca="1">+VLOOKUP(N15,$E$2:$H$66,2,0)</f>
        <v>#N/A</v>
      </c>
      <c r="M15" s="7" t="e">
        <f t="shared" ca="1" si="11"/>
        <v>#N/A</v>
      </c>
      <c r="N15" s="7" t="e">
        <f t="shared" ca="1" si="13"/>
        <v>#N/A</v>
      </c>
      <c r="O15" s="7">
        <f t="shared" ref="O15:BX19" ca="1" si="17">+IFERROR(IF(MATCH(O$4,$N$4:$BZ$4,0)=MATCH($N15,$N$4:$N$68,0),1+IFERROR(1/2*INDEX($N$4:$BZ$68,MATCH($L15,$N$4:$N$68,0),MATCH($M15,$N$4:$BZ$4,0)),0),IF(MATCH(O$4,$N$4:$BZ$4,0)&lt;MATCH($N15,$N$4:$N$68,0),(INDEX($N$4:$BZ$68,MATCH($L15,$N$4:$N$68,0),MATCH(O$4,$N$4:$BZ$4,0))+INDEX($N$4:$BZ$68,MATCH($M15,$N$4:$N$68,0),MATCH(O$4,$N$4:$BZ$4,0)))*1/2,(INDEX($N$4:$BZ$68,MATCH($N15,$N$4:$N$68,0),MATCH(O$2,$N$4:$BZ$4,0))+INDEX($N$4:$BZ$68,MATCH($N15,$N$4:$N$68,0),MATCH(O$3,$N$4:$BZ$4,0)))*1/2)),0)</f>
        <v>0</v>
      </c>
      <c r="P15" s="7">
        <f t="shared" ca="1" si="17"/>
        <v>0</v>
      </c>
      <c r="Q15" s="7">
        <f t="shared" ca="1" si="17"/>
        <v>0</v>
      </c>
      <c r="R15" s="7">
        <f t="shared" ca="1" si="17"/>
        <v>0</v>
      </c>
      <c r="S15" s="7">
        <f t="shared" ca="1" si="17"/>
        <v>0</v>
      </c>
      <c r="T15" s="7">
        <f t="shared" ca="1" si="17"/>
        <v>0</v>
      </c>
      <c r="U15" s="7">
        <f t="shared" ca="1" si="17"/>
        <v>0</v>
      </c>
      <c r="V15" s="7">
        <f t="shared" ca="1" si="17"/>
        <v>0</v>
      </c>
      <c r="W15" s="7">
        <f t="shared" ca="1" si="17"/>
        <v>0</v>
      </c>
      <c r="X15" s="7">
        <f t="shared" ca="1" si="17"/>
        <v>0</v>
      </c>
      <c r="Y15" s="7">
        <f t="shared" ca="1" si="17"/>
        <v>0</v>
      </c>
      <c r="Z15" s="7">
        <f t="shared" ca="1" si="17"/>
        <v>0</v>
      </c>
      <c r="AA15" s="7">
        <f t="shared" ca="1" si="17"/>
        <v>0</v>
      </c>
      <c r="AB15" s="7">
        <f t="shared" ca="1" si="17"/>
        <v>0</v>
      </c>
      <c r="AC15" s="7">
        <f t="shared" ca="1" si="17"/>
        <v>0</v>
      </c>
      <c r="AD15" s="7">
        <f t="shared" ca="1" si="17"/>
        <v>0</v>
      </c>
      <c r="AE15" s="7">
        <f t="shared" ca="1" si="17"/>
        <v>0</v>
      </c>
      <c r="AF15" s="7">
        <f t="shared" ca="1" si="17"/>
        <v>0</v>
      </c>
      <c r="AG15" s="7">
        <f t="shared" ca="1" si="17"/>
        <v>0</v>
      </c>
      <c r="AH15" s="7">
        <f t="shared" ca="1" si="17"/>
        <v>0</v>
      </c>
      <c r="AI15" s="7">
        <f t="shared" ca="1" si="17"/>
        <v>0</v>
      </c>
      <c r="AJ15" s="7">
        <f t="shared" ca="1" si="17"/>
        <v>0</v>
      </c>
      <c r="AK15" s="7">
        <f t="shared" ca="1" si="17"/>
        <v>0</v>
      </c>
      <c r="AL15" s="7">
        <f t="shared" ca="1" si="17"/>
        <v>0</v>
      </c>
      <c r="AM15" s="7">
        <f t="shared" ca="1" si="17"/>
        <v>0</v>
      </c>
      <c r="AN15" s="7">
        <f t="shared" ca="1" si="17"/>
        <v>0</v>
      </c>
      <c r="AO15" s="7">
        <f t="shared" ca="1" si="17"/>
        <v>0</v>
      </c>
      <c r="AP15" s="7">
        <f t="shared" ca="1" si="17"/>
        <v>0</v>
      </c>
      <c r="AQ15" s="7">
        <f t="shared" ca="1" si="17"/>
        <v>0</v>
      </c>
      <c r="AR15" s="7">
        <f t="shared" ca="1" si="17"/>
        <v>0</v>
      </c>
      <c r="AS15" s="7">
        <f t="shared" ca="1" si="17"/>
        <v>0</v>
      </c>
      <c r="AT15" s="7">
        <f t="shared" ca="1" si="17"/>
        <v>0</v>
      </c>
      <c r="AU15" s="7">
        <f t="shared" ca="1" si="17"/>
        <v>0</v>
      </c>
      <c r="AV15" s="7">
        <f t="shared" ca="1" si="17"/>
        <v>0</v>
      </c>
      <c r="AW15" s="7">
        <f t="shared" ca="1" si="17"/>
        <v>0</v>
      </c>
      <c r="AX15" s="7">
        <f t="shared" ca="1" si="17"/>
        <v>0</v>
      </c>
      <c r="AY15" s="7">
        <f t="shared" ca="1" si="17"/>
        <v>0</v>
      </c>
      <c r="AZ15" s="7">
        <f t="shared" ca="1" si="17"/>
        <v>0</v>
      </c>
      <c r="BA15" s="7">
        <f t="shared" ca="1" si="17"/>
        <v>0</v>
      </c>
      <c r="BB15" s="7">
        <f t="shared" ca="1" si="17"/>
        <v>0</v>
      </c>
      <c r="BC15" s="7">
        <f t="shared" ca="1" si="17"/>
        <v>0</v>
      </c>
      <c r="BD15" s="7">
        <f t="shared" ca="1" si="17"/>
        <v>0</v>
      </c>
      <c r="BE15" s="7">
        <f t="shared" ca="1" si="17"/>
        <v>0</v>
      </c>
      <c r="BF15" s="7">
        <f t="shared" ca="1" si="17"/>
        <v>0</v>
      </c>
      <c r="BG15" s="7">
        <f t="shared" ca="1" si="17"/>
        <v>0</v>
      </c>
      <c r="BH15" s="7">
        <f t="shared" ca="1" si="17"/>
        <v>0</v>
      </c>
      <c r="BI15" s="7">
        <f t="shared" ca="1" si="17"/>
        <v>0</v>
      </c>
      <c r="BJ15" s="7">
        <f t="shared" ca="1" si="17"/>
        <v>0</v>
      </c>
      <c r="BK15" s="7">
        <f t="shared" ca="1" si="17"/>
        <v>0</v>
      </c>
      <c r="BL15" s="7">
        <f t="shared" ca="1" si="17"/>
        <v>0</v>
      </c>
      <c r="BM15" s="7">
        <f t="shared" ca="1" si="17"/>
        <v>0</v>
      </c>
      <c r="BN15" s="7">
        <f t="shared" ca="1" si="17"/>
        <v>0</v>
      </c>
      <c r="BO15" s="7">
        <f t="shared" ca="1" si="17"/>
        <v>0</v>
      </c>
      <c r="BP15" s="7">
        <f t="shared" ca="1" si="17"/>
        <v>0</v>
      </c>
      <c r="BQ15" s="7">
        <f t="shared" ca="1" si="17"/>
        <v>0</v>
      </c>
      <c r="BR15" s="7">
        <f t="shared" ca="1" si="17"/>
        <v>0</v>
      </c>
      <c r="BS15" s="7">
        <f t="shared" ca="1" si="17"/>
        <v>0</v>
      </c>
      <c r="BT15" s="7">
        <f t="shared" ca="1" si="17"/>
        <v>0</v>
      </c>
      <c r="BU15" s="7">
        <f t="shared" ca="1" si="17"/>
        <v>0</v>
      </c>
      <c r="BV15" s="7">
        <f t="shared" ca="1" si="17"/>
        <v>0</v>
      </c>
      <c r="BW15" s="7">
        <f t="shared" ca="1" si="17"/>
        <v>0</v>
      </c>
      <c r="BX15" s="7">
        <f t="shared" ca="1" si="17"/>
        <v>0</v>
      </c>
      <c r="BY15" s="7"/>
      <c r="BZ15" s="7"/>
    </row>
    <row r="16" spans="1:78">
      <c r="A16" s="7" t="str">
        <f t="shared" ca="1" si="2"/>
        <v/>
      </c>
      <c r="B16" s="18" t="e">
        <f t="shared" ca="1" si="3"/>
        <v>#N/A</v>
      </c>
      <c r="C16" s="8">
        <v>1</v>
      </c>
      <c r="D16" s="8">
        <v>6</v>
      </c>
      <c r="E16" s="7" t="e">
        <f t="shared" ca="1" si="9"/>
        <v>#N/A</v>
      </c>
      <c r="F16" s="7" t="e">
        <f ca="1">+VLOOKUP("*_"&amp;E16&amp;"_*",data!A:D,3,0)</f>
        <v>#N/A</v>
      </c>
      <c r="G16" s="7" t="e">
        <f ca="1">+VLOOKUP("*_"&amp;E16&amp;"_*",data!A:D,4,0)</f>
        <v>#N/A</v>
      </c>
      <c r="H16" s="7">
        <f ca="1">IFERROR(IF(VLOOKUP("*_"&amp;E16&amp;"_*",data!A:D,2,0)="",1,VLOOKUP("*_"&amp;E16&amp;"_*",data!A:D,2,0)),0)</f>
        <v>0</v>
      </c>
      <c r="I16" s="7">
        <f t="shared" ca="1" si="4"/>
        <v>13</v>
      </c>
      <c r="J16" s="7" t="str">
        <f t="shared" ca="1" si="5"/>
        <v/>
      </c>
      <c r="K16" s="18">
        <v>12</v>
      </c>
      <c r="L16" s="7" t="e">
        <f t="shared" ca="1" si="10"/>
        <v>#N/A</v>
      </c>
      <c r="M16" s="7" t="e">
        <f t="shared" ca="1" si="11"/>
        <v>#N/A</v>
      </c>
      <c r="N16" s="7" t="e">
        <f t="shared" ca="1" si="13"/>
        <v>#N/A</v>
      </c>
      <c r="O16" s="7">
        <f t="shared" ca="1" si="17"/>
        <v>0</v>
      </c>
      <c r="P16" s="7">
        <f t="shared" ca="1" si="17"/>
        <v>0</v>
      </c>
      <c r="Q16" s="7">
        <f t="shared" ca="1" si="17"/>
        <v>0</v>
      </c>
      <c r="R16" s="7">
        <f t="shared" ca="1" si="17"/>
        <v>0</v>
      </c>
      <c r="S16" s="7">
        <f t="shared" ca="1" si="17"/>
        <v>0</v>
      </c>
      <c r="T16" s="7">
        <f t="shared" ca="1" si="17"/>
        <v>0</v>
      </c>
      <c r="U16" s="7">
        <f t="shared" ca="1" si="17"/>
        <v>0</v>
      </c>
      <c r="V16" s="7">
        <f t="shared" ca="1" si="17"/>
        <v>0</v>
      </c>
      <c r="W16" s="7">
        <f t="shared" ca="1" si="17"/>
        <v>0</v>
      </c>
      <c r="X16" s="7">
        <f t="shared" ca="1" si="17"/>
        <v>0</v>
      </c>
      <c r="Y16" s="7">
        <f t="shared" ca="1" si="17"/>
        <v>0</v>
      </c>
      <c r="Z16" s="7">
        <f t="shared" ca="1" si="17"/>
        <v>0</v>
      </c>
      <c r="AA16" s="7">
        <f t="shared" ca="1" si="17"/>
        <v>0</v>
      </c>
      <c r="AB16" s="7">
        <f t="shared" ca="1" si="17"/>
        <v>0</v>
      </c>
      <c r="AC16" s="7">
        <f t="shared" ca="1" si="17"/>
        <v>0</v>
      </c>
      <c r="AD16" s="7">
        <f t="shared" ca="1" si="17"/>
        <v>0</v>
      </c>
      <c r="AE16" s="7">
        <f t="shared" ca="1" si="17"/>
        <v>0</v>
      </c>
      <c r="AF16" s="7">
        <f t="shared" ca="1" si="17"/>
        <v>0</v>
      </c>
      <c r="AG16" s="7">
        <f t="shared" ca="1" si="17"/>
        <v>0</v>
      </c>
      <c r="AH16" s="7">
        <f t="shared" ca="1" si="17"/>
        <v>0</v>
      </c>
      <c r="AI16" s="7">
        <f t="shared" ca="1" si="17"/>
        <v>0</v>
      </c>
      <c r="AJ16" s="7">
        <f t="shared" ca="1" si="17"/>
        <v>0</v>
      </c>
      <c r="AK16" s="7">
        <f t="shared" ca="1" si="17"/>
        <v>0</v>
      </c>
      <c r="AL16" s="7">
        <f t="shared" ca="1" si="17"/>
        <v>0</v>
      </c>
      <c r="AM16" s="7">
        <f t="shared" ca="1" si="17"/>
        <v>0</v>
      </c>
      <c r="AN16" s="7">
        <f t="shared" ca="1" si="17"/>
        <v>0</v>
      </c>
      <c r="AO16" s="7">
        <f t="shared" ca="1" si="17"/>
        <v>0</v>
      </c>
      <c r="AP16" s="7">
        <f t="shared" ca="1" si="17"/>
        <v>0</v>
      </c>
      <c r="AQ16" s="7">
        <f t="shared" ca="1" si="17"/>
        <v>0</v>
      </c>
      <c r="AR16" s="7">
        <f t="shared" ca="1" si="17"/>
        <v>0</v>
      </c>
      <c r="AS16" s="7">
        <f t="shared" ca="1" si="17"/>
        <v>0</v>
      </c>
      <c r="AT16" s="7">
        <f t="shared" ca="1" si="17"/>
        <v>0</v>
      </c>
      <c r="AU16" s="7">
        <f t="shared" ca="1" si="17"/>
        <v>0</v>
      </c>
      <c r="AV16" s="7">
        <f t="shared" ca="1" si="17"/>
        <v>0</v>
      </c>
      <c r="AW16" s="7">
        <f t="shared" ca="1" si="17"/>
        <v>0</v>
      </c>
      <c r="AX16" s="7">
        <f t="shared" ca="1" si="17"/>
        <v>0</v>
      </c>
      <c r="AY16" s="7">
        <f t="shared" ca="1" si="17"/>
        <v>0</v>
      </c>
      <c r="AZ16" s="7">
        <f t="shared" ca="1" si="17"/>
        <v>0</v>
      </c>
      <c r="BA16" s="7">
        <f t="shared" ca="1" si="17"/>
        <v>0</v>
      </c>
      <c r="BB16" s="7">
        <f t="shared" ca="1" si="17"/>
        <v>0</v>
      </c>
      <c r="BC16" s="7">
        <f t="shared" ca="1" si="17"/>
        <v>0</v>
      </c>
      <c r="BD16" s="7">
        <f t="shared" ca="1" si="17"/>
        <v>0</v>
      </c>
      <c r="BE16" s="7">
        <f t="shared" ca="1" si="17"/>
        <v>0</v>
      </c>
      <c r="BF16" s="7">
        <f t="shared" ca="1" si="17"/>
        <v>0</v>
      </c>
      <c r="BG16" s="7">
        <f t="shared" ca="1" si="17"/>
        <v>0</v>
      </c>
      <c r="BH16" s="7">
        <f t="shared" ca="1" si="17"/>
        <v>0</v>
      </c>
      <c r="BI16" s="7">
        <f t="shared" ca="1" si="17"/>
        <v>0</v>
      </c>
      <c r="BJ16" s="7">
        <f t="shared" ca="1" si="17"/>
        <v>0</v>
      </c>
      <c r="BK16" s="7">
        <f t="shared" ca="1" si="17"/>
        <v>0</v>
      </c>
      <c r="BL16" s="7">
        <f t="shared" ca="1" si="17"/>
        <v>0</v>
      </c>
      <c r="BM16" s="7">
        <f t="shared" ca="1" si="17"/>
        <v>0</v>
      </c>
      <c r="BN16" s="7">
        <f t="shared" ca="1" si="17"/>
        <v>0</v>
      </c>
      <c r="BO16" s="7">
        <f t="shared" ca="1" si="17"/>
        <v>0</v>
      </c>
      <c r="BP16" s="7">
        <f t="shared" ca="1" si="17"/>
        <v>0</v>
      </c>
      <c r="BQ16" s="7">
        <f t="shared" ca="1" si="17"/>
        <v>0</v>
      </c>
      <c r="BR16" s="7">
        <f t="shared" ca="1" si="17"/>
        <v>0</v>
      </c>
      <c r="BS16" s="7">
        <f t="shared" ca="1" si="17"/>
        <v>0</v>
      </c>
      <c r="BT16" s="7">
        <f t="shared" ca="1" si="17"/>
        <v>0</v>
      </c>
      <c r="BU16" s="7">
        <f t="shared" ca="1" si="17"/>
        <v>0</v>
      </c>
      <c r="BV16" s="7">
        <f t="shared" ca="1" si="17"/>
        <v>0</v>
      </c>
      <c r="BW16" s="7">
        <f t="shared" ca="1" si="17"/>
        <v>0</v>
      </c>
      <c r="BX16" s="7">
        <f t="shared" ca="1" si="17"/>
        <v>0</v>
      </c>
      <c r="BY16" s="7"/>
      <c r="BZ16" s="7"/>
    </row>
    <row r="17" spans="1:78">
      <c r="A17" s="7" t="str">
        <f t="shared" ca="1" si="2"/>
        <v/>
      </c>
      <c r="B17" s="18" t="e">
        <f t="shared" ca="1" si="3"/>
        <v>#N/A</v>
      </c>
      <c r="C17" s="8">
        <v>0</v>
      </c>
      <c r="D17" s="8">
        <v>7</v>
      </c>
      <c r="E17" s="7" t="e">
        <f t="shared" ca="1" si="9"/>
        <v>#N/A</v>
      </c>
      <c r="F17" s="7" t="e">
        <f ca="1">+VLOOKUP("*_"&amp;E17&amp;"_*",data!A:D,3,0)</f>
        <v>#N/A</v>
      </c>
      <c r="G17" s="7" t="e">
        <f ca="1">+VLOOKUP("*_"&amp;E17&amp;"_*",data!A:D,4,0)</f>
        <v>#N/A</v>
      </c>
      <c r="H17" s="7">
        <f ca="1">IFERROR(IF(VLOOKUP("*_"&amp;E17&amp;"_*",data!A:D,2,0)="",1,VLOOKUP("*_"&amp;E17&amp;"_*",data!A:D,2,0)),0)</f>
        <v>0</v>
      </c>
      <c r="I17" s="7">
        <f t="shared" ca="1" si="4"/>
        <v>14</v>
      </c>
      <c r="J17" s="7" t="str">
        <f t="shared" ca="1" si="5"/>
        <v/>
      </c>
      <c r="K17" s="7">
        <v>13</v>
      </c>
      <c r="L17" s="7" t="e">
        <f t="shared" ca="1" si="10"/>
        <v>#N/A</v>
      </c>
      <c r="M17" s="7" t="e">
        <f t="shared" ca="1" si="11"/>
        <v>#N/A</v>
      </c>
      <c r="N17" s="7" t="e">
        <f t="shared" ca="1" si="13"/>
        <v>#N/A</v>
      </c>
      <c r="O17" s="7">
        <f t="shared" ca="1" si="17"/>
        <v>0</v>
      </c>
      <c r="P17" s="7">
        <f t="shared" ca="1" si="17"/>
        <v>0</v>
      </c>
      <c r="Q17" s="7">
        <f t="shared" ca="1" si="17"/>
        <v>0</v>
      </c>
      <c r="R17" s="7">
        <f t="shared" ca="1" si="17"/>
        <v>0</v>
      </c>
      <c r="S17" s="7">
        <f t="shared" ca="1" si="17"/>
        <v>0</v>
      </c>
      <c r="T17" s="7">
        <f t="shared" ca="1" si="17"/>
        <v>0</v>
      </c>
      <c r="U17" s="7">
        <f t="shared" ca="1" si="17"/>
        <v>0</v>
      </c>
      <c r="V17" s="7">
        <f t="shared" ca="1" si="17"/>
        <v>0</v>
      </c>
      <c r="W17" s="7">
        <f t="shared" ca="1" si="17"/>
        <v>0</v>
      </c>
      <c r="X17" s="7">
        <f t="shared" ca="1" si="17"/>
        <v>0</v>
      </c>
      <c r="Y17" s="7">
        <f t="shared" ca="1" si="17"/>
        <v>0</v>
      </c>
      <c r="Z17" s="7">
        <f t="shared" ca="1" si="17"/>
        <v>0</v>
      </c>
      <c r="AA17" s="7">
        <f t="shared" ca="1" si="17"/>
        <v>0</v>
      </c>
      <c r="AB17" s="7">
        <f t="shared" ca="1" si="17"/>
        <v>0</v>
      </c>
      <c r="AC17" s="7">
        <f t="shared" ca="1" si="17"/>
        <v>0</v>
      </c>
      <c r="AD17" s="7">
        <f t="shared" ca="1" si="17"/>
        <v>0</v>
      </c>
      <c r="AE17" s="7">
        <f t="shared" ca="1" si="17"/>
        <v>0</v>
      </c>
      <c r="AF17" s="7">
        <f t="shared" ca="1" si="17"/>
        <v>0</v>
      </c>
      <c r="AG17" s="7">
        <f t="shared" ca="1" si="17"/>
        <v>0</v>
      </c>
      <c r="AH17" s="7">
        <f t="shared" ca="1" si="17"/>
        <v>0</v>
      </c>
      <c r="AI17" s="7">
        <f t="shared" ca="1" si="17"/>
        <v>0</v>
      </c>
      <c r="AJ17" s="7">
        <f t="shared" ca="1" si="17"/>
        <v>0</v>
      </c>
      <c r="AK17" s="7">
        <f t="shared" ca="1" si="17"/>
        <v>0</v>
      </c>
      <c r="AL17" s="7">
        <f t="shared" ca="1" si="17"/>
        <v>0</v>
      </c>
      <c r="AM17" s="7">
        <f t="shared" ca="1" si="17"/>
        <v>0</v>
      </c>
      <c r="AN17" s="7">
        <f t="shared" ca="1" si="17"/>
        <v>0</v>
      </c>
      <c r="AO17" s="7">
        <f t="shared" ca="1" si="17"/>
        <v>0</v>
      </c>
      <c r="AP17" s="7">
        <f t="shared" ca="1" si="17"/>
        <v>0</v>
      </c>
      <c r="AQ17" s="7">
        <f t="shared" ca="1" si="17"/>
        <v>0</v>
      </c>
      <c r="AR17" s="7">
        <f t="shared" ca="1" si="17"/>
        <v>0</v>
      </c>
      <c r="AS17" s="7">
        <f t="shared" ca="1" si="17"/>
        <v>0</v>
      </c>
      <c r="AT17" s="7">
        <f t="shared" ca="1" si="17"/>
        <v>0</v>
      </c>
      <c r="AU17" s="7">
        <f t="shared" ca="1" si="17"/>
        <v>0</v>
      </c>
      <c r="AV17" s="7">
        <f t="shared" ca="1" si="17"/>
        <v>0</v>
      </c>
      <c r="AW17" s="7">
        <f t="shared" ca="1" si="17"/>
        <v>0</v>
      </c>
      <c r="AX17" s="7">
        <f t="shared" ca="1" si="17"/>
        <v>0</v>
      </c>
      <c r="AY17" s="7">
        <f t="shared" ca="1" si="17"/>
        <v>0</v>
      </c>
      <c r="AZ17" s="7">
        <f t="shared" ca="1" si="17"/>
        <v>0</v>
      </c>
      <c r="BA17" s="7">
        <f t="shared" ca="1" si="17"/>
        <v>0</v>
      </c>
      <c r="BB17" s="7">
        <f t="shared" ca="1" si="17"/>
        <v>0</v>
      </c>
      <c r="BC17" s="7">
        <f t="shared" ca="1" si="17"/>
        <v>0</v>
      </c>
      <c r="BD17" s="7">
        <f t="shared" ca="1" si="17"/>
        <v>0</v>
      </c>
      <c r="BE17" s="7">
        <f t="shared" ca="1" si="17"/>
        <v>0</v>
      </c>
      <c r="BF17" s="7">
        <f t="shared" ca="1" si="17"/>
        <v>0</v>
      </c>
      <c r="BG17" s="7">
        <f t="shared" ca="1" si="17"/>
        <v>0</v>
      </c>
      <c r="BH17" s="7">
        <f t="shared" ca="1" si="17"/>
        <v>0</v>
      </c>
      <c r="BI17" s="7">
        <f t="shared" ca="1" si="17"/>
        <v>0</v>
      </c>
      <c r="BJ17" s="7">
        <f t="shared" ca="1" si="17"/>
        <v>0</v>
      </c>
      <c r="BK17" s="7">
        <f t="shared" ca="1" si="17"/>
        <v>0</v>
      </c>
      <c r="BL17" s="7">
        <f t="shared" ca="1" si="17"/>
        <v>0</v>
      </c>
      <c r="BM17" s="7">
        <f t="shared" ca="1" si="17"/>
        <v>0</v>
      </c>
      <c r="BN17" s="7">
        <f t="shared" ca="1" si="17"/>
        <v>0</v>
      </c>
      <c r="BO17" s="7">
        <f t="shared" ca="1" si="17"/>
        <v>0</v>
      </c>
      <c r="BP17" s="7">
        <f t="shared" ca="1" si="17"/>
        <v>0</v>
      </c>
      <c r="BQ17" s="7">
        <f t="shared" ca="1" si="17"/>
        <v>0</v>
      </c>
      <c r="BR17" s="7">
        <f t="shared" ca="1" si="17"/>
        <v>0</v>
      </c>
      <c r="BS17" s="7">
        <f t="shared" ca="1" si="17"/>
        <v>0</v>
      </c>
      <c r="BT17" s="7">
        <f t="shared" ca="1" si="17"/>
        <v>0</v>
      </c>
      <c r="BU17" s="7">
        <f t="shared" ca="1" si="17"/>
        <v>0</v>
      </c>
      <c r="BV17" s="7">
        <f t="shared" ca="1" si="17"/>
        <v>0</v>
      </c>
      <c r="BW17" s="7">
        <f t="shared" ca="1" si="17"/>
        <v>0</v>
      </c>
      <c r="BX17" s="7">
        <f t="shared" ca="1" si="17"/>
        <v>0</v>
      </c>
      <c r="BY17" s="7"/>
      <c r="BZ17" s="7"/>
    </row>
    <row r="18" spans="1:78">
      <c r="A18" s="7" t="str">
        <f t="shared" ca="1" si="2"/>
        <v/>
      </c>
      <c r="B18" s="18" t="e">
        <f t="shared" ca="1" si="3"/>
        <v>#N/A</v>
      </c>
      <c r="C18" s="8">
        <v>1</v>
      </c>
      <c r="D18" s="8">
        <v>7</v>
      </c>
      <c r="E18" s="7" t="e">
        <f t="shared" ca="1" si="9"/>
        <v>#N/A</v>
      </c>
      <c r="F18" s="7" t="e">
        <f ca="1">+VLOOKUP("*_"&amp;E18&amp;"_*",data!A:D,3,0)</f>
        <v>#N/A</v>
      </c>
      <c r="G18" s="7" t="e">
        <f ca="1">+VLOOKUP("*_"&amp;E18&amp;"_*",data!A:D,4,0)</f>
        <v>#N/A</v>
      </c>
      <c r="H18" s="7">
        <f ca="1">IFERROR(IF(VLOOKUP("*_"&amp;E18&amp;"_*",data!A:D,2,0)="",1,VLOOKUP("*_"&amp;E18&amp;"_*",data!A:D,2,0)),0)</f>
        <v>0</v>
      </c>
      <c r="I18" s="7">
        <f t="shared" ca="1" si="4"/>
        <v>15</v>
      </c>
      <c r="J18" s="7" t="str">
        <f t="shared" ca="1" si="5"/>
        <v/>
      </c>
      <c r="K18" s="7">
        <v>14</v>
      </c>
      <c r="L18" s="7" t="e">
        <f t="shared" ca="1" si="10"/>
        <v>#N/A</v>
      </c>
      <c r="M18" s="7" t="e">
        <f t="shared" ca="1" si="11"/>
        <v>#N/A</v>
      </c>
      <c r="N18" s="7" t="e">
        <f t="shared" ca="1" si="13"/>
        <v>#N/A</v>
      </c>
      <c r="O18" s="7">
        <f t="shared" ca="1" si="17"/>
        <v>0</v>
      </c>
      <c r="P18" s="7">
        <f t="shared" ca="1" si="17"/>
        <v>0</v>
      </c>
      <c r="Q18" s="7">
        <f t="shared" ca="1" si="17"/>
        <v>0</v>
      </c>
      <c r="R18" s="7">
        <f t="shared" ca="1" si="17"/>
        <v>0</v>
      </c>
      <c r="S18" s="7">
        <f t="shared" ca="1" si="17"/>
        <v>0</v>
      </c>
      <c r="T18" s="7">
        <f t="shared" ca="1" si="17"/>
        <v>0</v>
      </c>
      <c r="U18" s="7">
        <f t="shared" ca="1" si="17"/>
        <v>0</v>
      </c>
      <c r="V18" s="7">
        <f t="shared" ca="1" si="17"/>
        <v>0</v>
      </c>
      <c r="W18" s="7">
        <f t="shared" ca="1" si="17"/>
        <v>0</v>
      </c>
      <c r="X18" s="7">
        <f t="shared" ca="1" si="17"/>
        <v>0</v>
      </c>
      <c r="Y18" s="7">
        <f t="shared" ca="1" si="17"/>
        <v>0</v>
      </c>
      <c r="Z18" s="7">
        <f t="shared" ca="1" si="17"/>
        <v>0</v>
      </c>
      <c r="AA18" s="7">
        <f t="shared" ca="1" si="17"/>
        <v>0</v>
      </c>
      <c r="AB18" s="7">
        <f t="shared" ca="1" si="17"/>
        <v>0</v>
      </c>
      <c r="AC18" s="7">
        <f t="shared" ca="1" si="17"/>
        <v>0</v>
      </c>
      <c r="AD18" s="7">
        <f t="shared" ca="1" si="17"/>
        <v>0</v>
      </c>
      <c r="AE18" s="7">
        <f t="shared" ca="1" si="17"/>
        <v>0</v>
      </c>
      <c r="AF18" s="7">
        <f t="shared" ca="1" si="17"/>
        <v>0</v>
      </c>
      <c r="AG18" s="7">
        <f t="shared" ca="1" si="17"/>
        <v>0</v>
      </c>
      <c r="AH18" s="7">
        <f t="shared" ca="1" si="17"/>
        <v>0</v>
      </c>
      <c r="AI18" s="7">
        <f t="shared" ca="1" si="17"/>
        <v>0</v>
      </c>
      <c r="AJ18" s="7">
        <f t="shared" ca="1" si="17"/>
        <v>0</v>
      </c>
      <c r="AK18" s="7">
        <f t="shared" ca="1" si="17"/>
        <v>0</v>
      </c>
      <c r="AL18" s="7">
        <f t="shared" ca="1" si="17"/>
        <v>0</v>
      </c>
      <c r="AM18" s="7">
        <f t="shared" ca="1" si="17"/>
        <v>0</v>
      </c>
      <c r="AN18" s="7">
        <f t="shared" ca="1" si="17"/>
        <v>0</v>
      </c>
      <c r="AO18" s="7">
        <f t="shared" ca="1" si="17"/>
        <v>0</v>
      </c>
      <c r="AP18" s="7">
        <f t="shared" ca="1" si="17"/>
        <v>0</v>
      </c>
      <c r="AQ18" s="7">
        <f t="shared" ca="1" si="17"/>
        <v>0</v>
      </c>
      <c r="AR18" s="7">
        <f t="shared" ca="1" si="17"/>
        <v>0</v>
      </c>
      <c r="AS18" s="7">
        <f t="shared" ca="1" si="17"/>
        <v>0</v>
      </c>
      <c r="AT18" s="7">
        <f t="shared" ca="1" si="17"/>
        <v>0</v>
      </c>
      <c r="AU18" s="7">
        <f t="shared" ca="1" si="17"/>
        <v>0</v>
      </c>
      <c r="AV18" s="7">
        <f t="shared" ca="1" si="17"/>
        <v>0</v>
      </c>
      <c r="AW18" s="7">
        <f t="shared" ca="1" si="17"/>
        <v>0</v>
      </c>
      <c r="AX18" s="7">
        <f t="shared" ca="1" si="17"/>
        <v>0</v>
      </c>
      <c r="AY18" s="7">
        <f t="shared" ca="1" si="17"/>
        <v>0</v>
      </c>
      <c r="AZ18" s="7">
        <f t="shared" ca="1" si="17"/>
        <v>0</v>
      </c>
      <c r="BA18" s="7">
        <f t="shared" ca="1" si="17"/>
        <v>0</v>
      </c>
      <c r="BB18" s="7">
        <f t="shared" ca="1" si="17"/>
        <v>0</v>
      </c>
      <c r="BC18" s="7">
        <f t="shared" ca="1" si="17"/>
        <v>0</v>
      </c>
      <c r="BD18" s="7">
        <f t="shared" ca="1" si="17"/>
        <v>0</v>
      </c>
      <c r="BE18" s="7">
        <f t="shared" ca="1" si="17"/>
        <v>0</v>
      </c>
      <c r="BF18" s="7">
        <f t="shared" ca="1" si="17"/>
        <v>0</v>
      </c>
      <c r="BG18" s="7">
        <f t="shared" ca="1" si="17"/>
        <v>0</v>
      </c>
      <c r="BH18" s="7">
        <f t="shared" ca="1" si="17"/>
        <v>0</v>
      </c>
      <c r="BI18" s="7">
        <f t="shared" ca="1" si="17"/>
        <v>0</v>
      </c>
      <c r="BJ18" s="7">
        <f t="shared" ca="1" si="17"/>
        <v>0</v>
      </c>
      <c r="BK18" s="7">
        <f t="shared" ca="1" si="17"/>
        <v>0</v>
      </c>
      <c r="BL18" s="7">
        <f t="shared" ca="1" si="17"/>
        <v>0</v>
      </c>
      <c r="BM18" s="7">
        <f t="shared" ca="1" si="17"/>
        <v>0</v>
      </c>
      <c r="BN18" s="7">
        <f t="shared" ca="1" si="17"/>
        <v>0</v>
      </c>
      <c r="BO18" s="7">
        <f t="shared" ca="1" si="17"/>
        <v>0</v>
      </c>
      <c r="BP18" s="7">
        <f t="shared" ca="1" si="17"/>
        <v>0</v>
      </c>
      <c r="BQ18" s="7">
        <f t="shared" ca="1" si="17"/>
        <v>0</v>
      </c>
      <c r="BR18" s="7">
        <f t="shared" ca="1" si="17"/>
        <v>0</v>
      </c>
      <c r="BS18" s="7">
        <f t="shared" ca="1" si="17"/>
        <v>0</v>
      </c>
      <c r="BT18" s="7">
        <f t="shared" ca="1" si="17"/>
        <v>0</v>
      </c>
      <c r="BU18" s="7">
        <f t="shared" ca="1" si="17"/>
        <v>0</v>
      </c>
      <c r="BV18" s="7">
        <f t="shared" ca="1" si="17"/>
        <v>0</v>
      </c>
      <c r="BW18" s="7">
        <f t="shared" ca="1" si="17"/>
        <v>0</v>
      </c>
      <c r="BX18" s="7">
        <f t="shared" ca="1" si="17"/>
        <v>0</v>
      </c>
      <c r="BY18" s="7"/>
      <c r="BZ18" s="7"/>
    </row>
    <row r="19" spans="1:78">
      <c r="A19" s="7" t="str">
        <f t="shared" ca="1" si="2"/>
        <v/>
      </c>
      <c r="B19" s="18" t="e">
        <f t="shared" ca="1" si="3"/>
        <v>#N/A</v>
      </c>
      <c r="C19" s="8">
        <v>0</v>
      </c>
      <c r="D19" s="8">
        <v>8</v>
      </c>
      <c r="E19" s="7" t="e">
        <f t="shared" ca="1" si="9"/>
        <v>#N/A</v>
      </c>
      <c r="F19" s="7" t="e">
        <f ca="1">+VLOOKUP("*_"&amp;E19&amp;"_*",data!A:D,3,0)</f>
        <v>#N/A</v>
      </c>
      <c r="G19" s="7" t="e">
        <f ca="1">+VLOOKUP("*_"&amp;E19&amp;"_*",data!A:D,4,0)</f>
        <v>#N/A</v>
      </c>
      <c r="H19" s="7">
        <f ca="1">IFERROR(IF(VLOOKUP("*_"&amp;E19&amp;"_*",data!A:D,2,0)="",1,VLOOKUP("*_"&amp;E19&amp;"_*",data!A:D,2,0)),0)</f>
        <v>0</v>
      </c>
      <c r="I19" s="7">
        <f t="shared" ca="1" si="4"/>
        <v>16</v>
      </c>
      <c r="J19" s="7" t="str">
        <f t="shared" ca="1" si="5"/>
        <v/>
      </c>
      <c r="K19" s="7">
        <v>15</v>
      </c>
      <c r="L19" s="7" t="e">
        <f t="shared" ca="1" si="10"/>
        <v>#N/A</v>
      </c>
      <c r="M19" s="7" t="e">
        <f t="shared" ca="1" si="11"/>
        <v>#N/A</v>
      </c>
      <c r="N19" s="7" t="e">
        <f t="shared" ca="1" si="13"/>
        <v>#N/A</v>
      </c>
      <c r="O19" s="7">
        <f t="shared" ca="1" si="17"/>
        <v>0</v>
      </c>
      <c r="P19" s="7">
        <f t="shared" ca="1" si="17"/>
        <v>0</v>
      </c>
      <c r="Q19" s="7">
        <f t="shared" ca="1" si="17"/>
        <v>0</v>
      </c>
      <c r="R19" s="7">
        <f t="shared" ca="1" si="17"/>
        <v>0</v>
      </c>
      <c r="S19" s="7">
        <f t="shared" ca="1" si="17"/>
        <v>0</v>
      </c>
      <c r="T19" s="7">
        <f t="shared" ca="1" si="17"/>
        <v>0</v>
      </c>
      <c r="U19" s="7">
        <f t="shared" ca="1" si="17"/>
        <v>0</v>
      </c>
      <c r="V19" s="7">
        <f t="shared" ref="V19:BX19" ca="1" si="18">+IFERROR(IF(MATCH(V$4,$N$4:$BZ$4,0)=MATCH($N19,$N$4:$N$68,0),1+IFERROR(1/2*INDEX($N$4:$BZ$68,MATCH($L19,$N$4:$N$68,0),MATCH($M19,$N$4:$BZ$4,0)),0),IF(MATCH(V$4,$N$4:$BZ$4,0)&lt;MATCH($N19,$N$4:$N$68,0),(INDEX($N$4:$BZ$68,MATCH($L19,$N$4:$N$68,0),MATCH(V$4,$N$4:$BZ$4,0))+INDEX($N$4:$BZ$68,MATCH($M19,$N$4:$N$68,0),MATCH(V$4,$N$4:$BZ$4,0)))*1/2,(INDEX($N$4:$BZ$68,MATCH($N19,$N$4:$N$68,0),MATCH(V$2,$N$4:$BZ$4,0))+INDEX($N$4:$BZ$68,MATCH($N19,$N$4:$N$68,0),MATCH(V$3,$N$4:$BZ$4,0)))*1/2)),0)</f>
        <v>0</v>
      </c>
      <c r="W19" s="7">
        <f t="shared" ca="1" si="18"/>
        <v>0</v>
      </c>
      <c r="X19" s="7">
        <f t="shared" ca="1" si="18"/>
        <v>0</v>
      </c>
      <c r="Y19" s="7">
        <f t="shared" ca="1" si="18"/>
        <v>0</v>
      </c>
      <c r="Z19" s="7">
        <f t="shared" ca="1" si="18"/>
        <v>0</v>
      </c>
      <c r="AA19" s="7">
        <f t="shared" ca="1" si="18"/>
        <v>0</v>
      </c>
      <c r="AB19" s="7">
        <f t="shared" ca="1" si="18"/>
        <v>0</v>
      </c>
      <c r="AC19" s="7">
        <f t="shared" ca="1" si="18"/>
        <v>0</v>
      </c>
      <c r="AD19" s="7">
        <f t="shared" ca="1" si="18"/>
        <v>0</v>
      </c>
      <c r="AE19" s="7">
        <f t="shared" ca="1" si="18"/>
        <v>0</v>
      </c>
      <c r="AF19" s="7">
        <f t="shared" ca="1" si="18"/>
        <v>0</v>
      </c>
      <c r="AG19" s="7">
        <f t="shared" ca="1" si="18"/>
        <v>0</v>
      </c>
      <c r="AH19" s="7">
        <f t="shared" ca="1" si="18"/>
        <v>0</v>
      </c>
      <c r="AI19" s="7">
        <f t="shared" ca="1" si="18"/>
        <v>0</v>
      </c>
      <c r="AJ19" s="7">
        <f t="shared" ca="1" si="18"/>
        <v>0</v>
      </c>
      <c r="AK19" s="7">
        <f t="shared" ca="1" si="18"/>
        <v>0</v>
      </c>
      <c r="AL19" s="7">
        <f t="shared" ca="1" si="18"/>
        <v>0</v>
      </c>
      <c r="AM19" s="7">
        <f t="shared" ca="1" si="18"/>
        <v>0</v>
      </c>
      <c r="AN19" s="7">
        <f t="shared" ca="1" si="18"/>
        <v>0</v>
      </c>
      <c r="AO19" s="7">
        <f t="shared" ca="1" si="18"/>
        <v>0</v>
      </c>
      <c r="AP19" s="7">
        <f t="shared" ca="1" si="18"/>
        <v>0</v>
      </c>
      <c r="AQ19" s="7">
        <f t="shared" ca="1" si="18"/>
        <v>0</v>
      </c>
      <c r="AR19" s="7">
        <f t="shared" ca="1" si="18"/>
        <v>0</v>
      </c>
      <c r="AS19" s="7">
        <f t="shared" ca="1" si="18"/>
        <v>0</v>
      </c>
      <c r="AT19" s="7">
        <f t="shared" ca="1" si="18"/>
        <v>0</v>
      </c>
      <c r="AU19" s="7">
        <f t="shared" ca="1" si="18"/>
        <v>0</v>
      </c>
      <c r="AV19" s="7">
        <f t="shared" ca="1" si="18"/>
        <v>0</v>
      </c>
      <c r="AW19" s="7">
        <f t="shared" ca="1" si="18"/>
        <v>0</v>
      </c>
      <c r="AX19" s="7">
        <f t="shared" ca="1" si="18"/>
        <v>0</v>
      </c>
      <c r="AY19" s="7">
        <f t="shared" ca="1" si="18"/>
        <v>0</v>
      </c>
      <c r="AZ19" s="7">
        <f t="shared" ca="1" si="18"/>
        <v>0</v>
      </c>
      <c r="BA19" s="7">
        <f t="shared" ca="1" si="18"/>
        <v>0</v>
      </c>
      <c r="BB19" s="7">
        <f t="shared" ca="1" si="18"/>
        <v>0</v>
      </c>
      <c r="BC19" s="7">
        <f t="shared" ca="1" si="18"/>
        <v>0</v>
      </c>
      <c r="BD19" s="7">
        <f t="shared" ca="1" si="18"/>
        <v>0</v>
      </c>
      <c r="BE19" s="7">
        <f t="shared" ca="1" si="18"/>
        <v>0</v>
      </c>
      <c r="BF19" s="7">
        <f t="shared" ca="1" si="18"/>
        <v>0</v>
      </c>
      <c r="BG19" s="7">
        <f t="shared" ca="1" si="18"/>
        <v>0</v>
      </c>
      <c r="BH19" s="7">
        <f t="shared" ca="1" si="18"/>
        <v>0</v>
      </c>
      <c r="BI19" s="7">
        <f t="shared" ca="1" si="18"/>
        <v>0</v>
      </c>
      <c r="BJ19" s="7">
        <f t="shared" ca="1" si="18"/>
        <v>0</v>
      </c>
      <c r="BK19" s="7">
        <f t="shared" ca="1" si="18"/>
        <v>0</v>
      </c>
      <c r="BL19" s="7">
        <f t="shared" ca="1" si="18"/>
        <v>0</v>
      </c>
      <c r="BM19" s="7">
        <f t="shared" ca="1" si="18"/>
        <v>0</v>
      </c>
      <c r="BN19" s="7">
        <f t="shared" ca="1" si="18"/>
        <v>0</v>
      </c>
      <c r="BO19" s="7">
        <f t="shared" ca="1" si="18"/>
        <v>0</v>
      </c>
      <c r="BP19" s="7">
        <f t="shared" ca="1" si="18"/>
        <v>0</v>
      </c>
      <c r="BQ19" s="7">
        <f t="shared" ca="1" si="18"/>
        <v>0</v>
      </c>
      <c r="BR19" s="7">
        <f t="shared" ca="1" si="18"/>
        <v>0</v>
      </c>
      <c r="BS19" s="7">
        <f t="shared" ca="1" si="18"/>
        <v>0</v>
      </c>
      <c r="BT19" s="7">
        <f t="shared" ca="1" si="18"/>
        <v>0</v>
      </c>
      <c r="BU19" s="7">
        <f t="shared" ca="1" si="18"/>
        <v>0</v>
      </c>
      <c r="BV19" s="7">
        <f t="shared" ca="1" si="18"/>
        <v>0</v>
      </c>
      <c r="BW19" s="7">
        <f t="shared" ca="1" si="18"/>
        <v>0</v>
      </c>
      <c r="BX19" s="7">
        <f t="shared" ca="1" si="18"/>
        <v>0</v>
      </c>
      <c r="BY19" s="7"/>
      <c r="BZ19" s="7"/>
    </row>
    <row r="20" spans="1:78">
      <c r="A20" s="7" t="str">
        <f t="shared" ca="1" si="2"/>
        <v/>
      </c>
      <c r="B20" s="18" t="e">
        <f t="shared" ca="1" si="3"/>
        <v>#N/A</v>
      </c>
      <c r="C20" s="8">
        <v>1</v>
      </c>
      <c r="D20" s="8">
        <v>8</v>
      </c>
      <c r="E20" s="7" t="e">
        <f t="shared" ca="1" si="9"/>
        <v>#N/A</v>
      </c>
      <c r="F20" s="7" t="e">
        <f ca="1">+VLOOKUP("*_"&amp;E20&amp;"_*",data!A:D,3,0)</f>
        <v>#N/A</v>
      </c>
      <c r="G20" s="7" t="e">
        <f ca="1">+VLOOKUP("*_"&amp;E20&amp;"_*",data!A:D,4,0)</f>
        <v>#N/A</v>
      </c>
      <c r="H20" s="7">
        <f ca="1">IFERROR(IF(VLOOKUP("*_"&amp;E20&amp;"_*",data!A:D,2,0)="",1,VLOOKUP("*_"&amp;E20&amp;"_*",data!A:D,2,0)),0)</f>
        <v>0</v>
      </c>
      <c r="I20" s="7">
        <f t="shared" ca="1" si="4"/>
        <v>17</v>
      </c>
      <c r="J20" s="7" t="str">
        <f t="shared" ca="1" si="5"/>
        <v/>
      </c>
      <c r="K20" s="7">
        <v>16</v>
      </c>
      <c r="L20" s="7" t="e">
        <f t="shared" ca="1" si="10"/>
        <v>#N/A</v>
      </c>
      <c r="M20" s="7" t="e">
        <f t="shared" ca="1" si="11"/>
        <v>#N/A</v>
      </c>
      <c r="N20" s="7" t="e">
        <f t="shared" ca="1" si="13"/>
        <v>#N/A</v>
      </c>
      <c r="O20" s="7">
        <f t="shared" ref="O20:BX24" ca="1" si="19">+IFERROR(IF(MATCH(O$4,$N$4:$BZ$4,0)=MATCH($N20,$N$4:$N$68,0),1+IFERROR(1/2*INDEX($N$4:$BZ$68,MATCH($L20,$N$4:$N$68,0),MATCH($M20,$N$4:$BZ$4,0)),0),IF(MATCH(O$4,$N$4:$BZ$4,0)&lt;MATCH($N20,$N$4:$N$68,0),(INDEX($N$4:$BZ$68,MATCH($L20,$N$4:$N$68,0),MATCH(O$4,$N$4:$BZ$4,0))+INDEX($N$4:$BZ$68,MATCH($M20,$N$4:$N$68,0),MATCH(O$4,$N$4:$BZ$4,0)))*1/2,(INDEX($N$4:$BZ$68,MATCH($N20,$N$4:$N$68,0),MATCH(O$2,$N$4:$BZ$4,0))+INDEX($N$4:$BZ$68,MATCH($N20,$N$4:$N$68,0),MATCH(O$3,$N$4:$BZ$4,0)))*1/2)),0)</f>
        <v>0</v>
      </c>
      <c r="P20" s="7">
        <f t="shared" ca="1" si="19"/>
        <v>0</v>
      </c>
      <c r="Q20" s="7">
        <f t="shared" ca="1" si="19"/>
        <v>0</v>
      </c>
      <c r="R20" s="7">
        <f t="shared" ca="1" si="19"/>
        <v>0</v>
      </c>
      <c r="S20" s="7">
        <f t="shared" ca="1" si="19"/>
        <v>0</v>
      </c>
      <c r="T20" s="7">
        <f t="shared" ca="1" si="19"/>
        <v>0</v>
      </c>
      <c r="U20" s="7">
        <f t="shared" ca="1" si="19"/>
        <v>0</v>
      </c>
      <c r="V20" s="7">
        <f t="shared" ca="1" si="19"/>
        <v>0</v>
      </c>
      <c r="W20" s="7">
        <f t="shared" ca="1" si="19"/>
        <v>0</v>
      </c>
      <c r="X20" s="7">
        <f t="shared" ca="1" si="19"/>
        <v>0</v>
      </c>
      <c r="Y20" s="7">
        <f t="shared" ca="1" si="19"/>
        <v>0</v>
      </c>
      <c r="Z20" s="7">
        <f t="shared" ca="1" si="19"/>
        <v>0</v>
      </c>
      <c r="AA20" s="7">
        <f t="shared" ca="1" si="19"/>
        <v>0</v>
      </c>
      <c r="AB20" s="7">
        <f t="shared" ca="1" si="19"/>
        <v>0</v>
      </c>
      <c r="AC20" s="7">
        <f t="shared" ca="1" si="19"/>
        <v>0</v>
      </c>
      <c r="AD20" s="7">
        <f t="shared" ca="1" si="19"/>
        <v>0</v>
      </c>
      <c r="AE20" s="7">
        <f t="shared" ca="1" si="19"/>
        <v>0</v>
      </c>
      <c r="AF20" s="7">
        <f t="shared" ca="1" si="19"/>
        <v>0</v>
      </c>
      <c r="AG20" s="7">
        <f t="shared" ca="1" si="19"/>
        <v>0</v>
      </c>
      <c r="AH20" s="7">
        <f t="shared" ca="1" si="19"/>
        <v>0</v>
      </c>
      <c r="AI20" s="7">
        <f t="shared" ca="1" si="19"/>
        <v>0</v>
      </c>
      <c r="AJ20" s="7">
        <f t="shared" ca="1" si="19"/>
        <v>0</v>
      </c>
      <c r="AK20" s="7">
        <f t="shared" ca="1" si="19"/>
        <v>0</v>
      </c>
      <c r="AL20" s="7">
        <f t="shared" ca="1" si="19"/>
        <v>0</v>
      </c>
      <c r="AM20" s="7">
        <f t="shared" ca="1" si="19"/>
        <v>0</v>
      </c>
      <c r="AN20" s="7">
        <f t="shared" ca="1" si="19"/>
        <v>0</v>
      </c>
      <c r="AO20" s="7">
        <f t="shared" ca="1" si="19"/>
        <v>0</v>
      </c>
      <c r="AP20" s="7">
        <f t="shared" ca="1" si="19"/>
        <v>0</v>
      </c>
      <c r="AQ20" s="7">
        <f t="shared" ca="1" si="19"/>
        <v>0</v>
      </c>
      <c r="AR20" s="7">
        <f t="shared" ca="1" si="19"/>
        <v>0</v>
      </c>
      <c r="AS20" s="7">
        <f t="shared" ca="1" si="19"/>
        <v>0</v>
      </c>
      <c r="AT20" s="7">
        <f t="shared" ca="1" si="19"/>
        <v>0</v>
      </c>
      <c r="AU20" s="7">
        <f t="shared" ca="1" si="19"/>
        <v>0</v>
      </c>
      <c r="AV20" s="7">
        <f t="shared" ca="1" si="19"/>
        <v>0</v>
      </c>
      <c r="AW20" s="7">
        <f t="shared" ca="1" si="19"/>
        <v>0</v>
      </c>
      <c r="AX20" s="7">
        <f t="shared" ca="1" si="19"/>
        <v>0</v>
      </c>
      <c r="AY20" s="7">
        <f t="shared" ca="1" si="19"/>
        <v>0</v>
      </c>
      <c r="AZ20" s="7">
        <f t="shared" ca="1" si="19"/>
        <v>0</v>
      </c>
      <c r="BA20" s="7">
        <f t="shared" ca="1" si="19"/>
        <v>0</v>
      </c>
      <c r="BB20" s="7">
        <f t="shared" ca="1" si="19"/>
        <v>0</v>
      </c>
      <c r="BC20" s="7">
        <f t="shared" ca="1" si="19"/>
        <v>0</v>
      </c>
      <c r="BD20" s="7">
        <f t="shared" ca="1" si="19"/>
        <v>0</v>
      </c>
      <c r="BE20" s="7">
        <f t="shared" ca="1" si="19"/>
        <v>0</v>
      </c>
      <c r="BF20" s="7">
        <f t="shared" ca="1" si="19"/>
        <v>0</v>
      </c>
      <c r="BG20" s="7">
        <f t="shared" ca="1" si="19"/>
        <v>0</v>
      </c>
      <c r="BH20" s="7">
        <f t="shared" ca="1" si="19"/>
        <v>0</v>
      </c>
      <c r="BI20" s="7">
        <f t="shared" ca="1" si="19"/>
        <v>0</v>
      </c>
      <c r="BJ20" s="7">
        <f t="shared" ca="1" si="19"/>
        <v>0</v>
      </c>
      <c r="BK20" s="7">
        <f t="shared" ca="1" si="19"/>
        <v>0</v>
      </c>
      <c r="BL20" s="7">
        <f t="shared" ca="1" si="19"/>
        <v>0</v>
      </c>
      <c r="BM20" s="7">
        <f t="shared" ca="1" si="19"/>
        <v>0</v>
      </c>
      <c r="BN20" s="7">
        <f t="shared" ca="1" si="19"/>
        <v>0</v>
      </c>
      <c r="BO20" s="7">
        <f t="shared" ca="1" si="19"/>
        <v>0</v>
      </c>
      <c r="BP20" s="7">
        <f t="shared" ca="1" si="19"/>
        <v>0</v>
      </c>
      <c r="BQ20" s="7">
        <f t="shared" ca="1" si="19"/>
        <v>0</v>
      </c>
      <c r="BR20" s="7">
        <f t="shared" ca="1" si="19"/>
        <v>0</v>
      </c>
      <c r="BS20" s="7">
        <f t="shared" ca="1" si="19"/>
        <v>0</v>
      </c>
      <c r="BT20" s="7">
        <f t="shared" ca="1" si="19"/>
        <v>0</v>
      </c>
      <c r="BU20" s="7">
        <f t="shared" ca="1" si="19"/>
        <v>0</v>
      </c>
      <c r="BV20" s="7">
        <f t="shared" ca="1" si="19"/>
        <v>0</v>
      </c>
      <c r="BW20" s="7">
        <f t="shared" ca="1" si="19"/>
        <v>0</v>
      </c>
      <c r="BX20" s="7">
        <f t="shared" ca="1" si="19"/>
        <v>0</v>
      </c>
      <c r="BY20" s="7"/>
      <c r="BZ20" s="7"/>
    </row>
    <row r="21" spans="1:78" ht="15.75" customHeight="1">
      <c r="A21" s="7" t="str">
        <f t="shared" ca="1" si="2"/>
        <v/>
      </c>
      <c r="B21" s="18" t="e">
        <f t="shared" ca="1" si="3"/>
        <v>#N/A</v>
      </c>
      <c r="C21" s="8">
        <v>0</v>
      </c>
      <c r="D21" s="8">
        <v>9</v>
      </c>
      <c r="E21" s="7" t="e">
        <f t="shared" ca="1" si="9"/>
        <v>#N/A</v>
      </c>
      <c r="F21" s="7" t="e">
        <f ca="1">+VLOOKUP("*_"&amp;E21&amp;"_*",data!A:D,3,0)</f>
        <v>#N/A</v>
      </c>
      <c r="G21" s="7" t="e">
        <f ca="1">+VLOOKUP("*_"&amp;E21&amp;"_*",data!A:D,4,0)</f>
        <v>#N/A</v>
      </c>
      <c r="H21" s="7">
        <f ca="1">IFERROR(IF(VLOOKUP("*_"&amp;E21&amp;"_*",data!A:D,2,0)="",1,VLOOKUP("*_"&amp;E21&amp;"_*",data!A:D,2,0)),0)</f>
        <v>0</v>
      </c>
      <c r="I21" s="7">
        <f t="shared" ca="1" si="4"/>
        <v>18</v>
      </c>
      <c r="J21" s="7" t="str">
        <f t="shared" ca="1" si="5"/>
        <v/>
      </c>
      <c r="K21" s="7">
        <v>17</v>
      </c>
      <c r="L21" s="7" t="e">
        <f t="shared" ca="1" si="10"/>
        <v>#N/A</v>
      </c>
      <c r="M21" s="7" t="e">
        <f t="shared" ca="1" si="11"/>
        <v>#N/A</v>
      </c>
      <c r="N21" s="7" t="e">
        <f t="shared" ca="1" si="13"/>
        <v>#N/A</v>
      </c>
      <c r="O21" s="7">
        <f t="shared" ca="1" si="19"/>
        <v>0</v>
      </c>
      <c r="P21" s="7">
        <f t="shared" ca="1" si="19"/>
        <v>0</v>
      </c>
      <c r="Q21" s="7">
        <f t="shared" ca="1" si="19"/>
        <v>0</v>
      </c>
      <c r="R21" s="7">
        <f t="shared" ca="1" si="19"/>
        <v>0</v>
      </c>
      <c r="S21" s="7">
        <f t="shared" ca="1" si="19"/>
        <v>0</v>
      </c>
      <c r="T21" s="7">
        <f t="shared" ca="1" si="19"/>
        <v>0</v>
      </c>
      <c r="U21" s="7">
        <f t="shared" ca="1" si="19"/>
        <v>0</v>
      </c>
      <c r="V21" s="7">
        <f t="shared" ca="1" si="19"/>
        <v>0</v>
      </c>
      <c r="W21" s="7">
        <f t="shared" ca="1" si="19"/>
        <v>0</v>
      </c>
      <c r="X21" s="7">
        <f t="shared" ca="1" si="19"/>
        <v>0</v>
      </c>
      <c r="Y21" s="7">
        <f t="shared" ca="1" si="19"/>
        <v>0</v>
      </c>
      <c r="Z21" s="7">
        <f t="shared" ca="1" si="19"/>
        <v>0</v>
      </c>
      <c r="AA21" s="7">
        <f t="shared" ca="1" si="19"/>
        <v>0</v>
      </c>
      <c r="AB21" s="7">
        <f t="shared" ca="1" si="19"/>
        <v>0</v>
      </c>
      <c r="AC21" s="7">
        <f t="shared" ca="1" si="19"/>
        <v>0</v>
      </c>
      <c r="AD21" s="7">
        <f t="shared" ca="1" si="19"/>
        <v>0</v>
      </c>
      <c r="AE21" s="7">
        <f t="shared" ca="1" si="19"/>
        <v>0</v>
      </c>
      <c r="AF21" s="7">
        <f t="shared" ca="1" si="19"/>
        <v>0</v>
      </c>
      <c r="AG21" s="7">
        <f t="shared" ca="1" si="19"/>
        <v>0</v>
      </c>
      <c r="AH21" s="7">
        <f t="shared" ca="1" si="19"/>
        <v>0</v>
      </c>
      <c r="AI21" s="7">
        <f t="shared" ca="1" si="19"/>
        <v>0</v>
      </c>
      <c r="AJ21" s="7">
        <f t="shared" ca="1" si="19"/>
        <v>0</v>
      </c>
      <c r="AK21" s="7">
        <f t="shared" ca="1" si="19"/>
        <v>0</v>
      </c>
      <c r="AL21" s="7">
        <f t="shared" ca="1" si="19"/>
        <v>0</v>
      </c>
      <c r="AM21" s="7">
        <f t="shared" ca="1" si="19"/>
        <v>0</v>
      </c>
      <c r="AN21" s="7">
        <f t="shared" ca="1" si="19"/>
        <v>0</v>
      </c>
      <c r="AO21" s="7">
        <f t="shared" ca="1" si="19"/>
        <v>0</v>
      </c>
      <c r="AP21" s="7">
        <f t="shared" ca="1" si="19"/>
        <v>0</v>
      </c>
      <c r="AQ21" s="7">
        <f t="shared" ca="1" si="19"/>
        <v>0</v>
      </c>
      <c r="AR21" s="7">
        <f t="shared" ca="1" si="19"/>
        <v>0</v>
      </c>
      <c r="AS21" s="7">
        <f t="shared" ca="1" si="19"/>
        <v>0</v>
      </c>
      <c r="AT21" s="7">
        <f t="shared" ca="1" si="19"/>
        <v>0</v>
      </c>
      <c r="AU21" s="7">
        <f t="shared" ca="1" si="19"/>
        <v>0</v>
      </c>
      <c r="AV21" s="7">
        <f t="shared" ca="1" si="19"/>
        <v>0</v>
      </c>
      <c r="AW21" s="7">
        <f t="shared" ca="1" si="19"/>
        <v>0</v>
      </c>
      <c r="AX21" s="7">
        <f t="shared" ca="1" si="19"/>
        <v>0</v>
      </c>
      <c r="AY21" s="7">
        <f t="shared" ca="1" si="19"/>
        <v>0</v>
      </c>
      <c r="AZ21" s="7">
        <f t="shared" ca="1" si="19"/>
        <v>0</v>
      </c>
      <c r="BA21" s="7">
        <f t="shared" ca="1" si="19"/>
        <v>0</v>
      </c>
      <c r="BB21" s="7">
        <f t="shared" ca="1" si="19"/>
        <v>0</v>
      </c>
      <c r="BC21" s="7">
        <f t="shared" ca="1" si="19"/>
        <v>0</v>
      </c>
      <c r="BD21" s="7">
        <f t="shared" ca="1" si="19"/>
        <v>0</v>
      </c>
      <c r="BE21" s="7">
        <f t="shared" ca="1" si="19"/>
        <v>0</v>
      </c>
      <c r="BF21" s="7">
        <f t="shared" ca="1" si="19"/>
        <v>0</v>
      </c>
      <c r="BG21" s="7">
        <f t="shared" ca="1" si="19"/>
        <v>0</v>
      </c>
      <c r="BH21" s="7">
        <f t="shared" ca="1" si="19"/>
        <v>0</v>
      </c>
      <c r="BI21" s="7">
        <f t="shared" ca="1" si="19"/>
        <v>0</v>
      </c>
      <c r="BJ21" s="7">
        <f t="shared" ca="1" si="19"/>
        <v>0</v>
      </c>
      <c r="BK21" s="7">
        <f t="shared" ca="1" si="19"/>
        <v>0</v>
      </c>
      <c r="BL21" s="7">
        <f t="shared" ca="1" si="19"/>
        <v>0</v>
      </c>
      <c r="BM21" s="7">
        <f t="shared" ca="1" si="19"/>
        <v>0</v>
      </c>
      <c r="BN21" s="7">
        <f t="shared" ca="1" si="19"/>
        <v>0</v>
      </c>
      <c r="BO21" s="7">
        <f t="shared" ca="1" si="19"/>
        <v>0</v>
      </c>
      <c r="BP21" s="7">
        <f t="shared" ca="1" si="19"/>
        <v>0</v>
      </c>
      <c r="BQ21" s="7">
        <f t="shared" ca="1" si="19"/>
        <v>0</v>
      </c>
      <c r="BR21" s="7">
        <f t="shared" ca="1" si="19"/>
        <v>0</v>
      </c>
      <c r="BS21" s="7">
        <f t="shared" ca="1" si="19"/>
        <v>0</v>
      </c>
      <c r="BT21" s="7">
        <f t="shared" ca="1" si="19"/>
        <v>0</v>
      </c>
      <c r="BU21" s="7">
        <f t="shared" ca="1" si="19"/>
        <v>0</v>
      </c>
      <c r="BV21" s="7">
        <f t="shared" ca="1" si="19"/>
        <v>0</v>
      </c>
      <c r="BW21" s="7">
        <f t="shared" ca="1" si="19"/>
        <v>0</v>
      </c>
      <c r="BX21" s="7">
        <f t="shared" ca="1" si="19"/>
        <v>0</v>
      </c>
      <c r="BY21" s="7"/>
      <c r="BZ21" s="7"/>
    </row>
    <row r="22" spans="1:78" ht="15.75" customHeight="1">
      <c r="A22" s="7" t="str">
        <f t="shared" ca="1" si="2"/>
        <v/>
      </c>
      <c r="B22" s="18" t="e">
        <f t="shared" ca="1" si="3"/>
        <v>#N/A</v>
      </c>
      <c r="C22" s="8">
        <v>1</v>
      </c>
      <c r="D22" s="8">
        <v>9</v>
      </c>
      <c r="E22" s="7" t="e">
        <f t="shared" ca="1" si="9"/>
        <v>#N/A</v>
      </c>
      <c r="F22" s="7" t="e">
        <f ca="1">+VLOOKUP("*_"&amp;E22&amp;"_*",data!A:D,3,0)</f>
        <v>#N/A</v>
      </c>
      <c r="G22" s="7" t="e">
        <f ca="1">+VLOOKUP("*_"&amp;E22&amp;"_*",data!A:D,4,0)</f>
        <v>#N/A</v>
      </c>
      <c r="H22" s="7">
        <f ca="1">IFERROR(IF(VLOOKUP("*_"&amp;E22&amp;"_*",data!A:D,2,0)="",1,VLOOKUP("*_"&amp;E22&amp;"_*",data!A:D,2,0)),0)</f>
        <v>0</v>
      </c>
      <c r="I22" s="7">
        <f t="shared" ca="1" si="4"/>
        <v>19</v>
      </c>
      <c r="J22" s="7" t="str">
        <f t="shared" ca="1" si="5"/>
        <v/>
      </c>
      <c r="K22" s="7">
        <v>18</v>
      </c>
      <c r="L22" s="7" t="e">
        <f t="shared" ca="1" si="10"/>
        <v>#N/A</v>
      </c>
      <c r="M22" s="7" t="e">
        <f t="shared" ca="1" si="11"/>
        <v>#N/A</v>
      </c>
      <c r="N22" s="7" t="e">
        <f t="shared" ca="1" si="13"/>
        <v>#N/A</v>
      </c>
      <c r="O22" s="7">
        <f t="shared" ca="1" si="19"/>
        <v>0</v>
      </c>
      <c r="P22" s="7">
        <f t="shared" ca="1" si="19"/>
        <v>0</v>
      </c>
      <c r="Q22" s="7">
        <f t="shared" ca="1" si="19"/>
        <v>0</v>
      </c>
      <c r="R22" s="7">
        <f t="shared" ca="1" si="19"/>
        <v>0</v>
      </c>
      <c r="S22" s="7">
        <f t="shared" ca="1" si="19"/>
        <v>0</v>
      </c>
      <c r="T22" s="7">
        <f t="shared" ca="1" si="19"/>
        <v>0</v>
      </c>
      <c r="U22" s="7">
        <f t="shared" ca="1" si="19"/>
        <v>0</v>
      </c>
      <c r="V22" s="7">
        <f t="shared" ca="1" si="19"/>
        <v>0</v>
      </c>
      <c r="W22" s="7">
        <f t="shared" ca="1" si="19"/>
        <v>0</v>
      </c>
      <c r="X22" s="7">
        <f t="shared" ca="1" si="19"/>
        <v>0</v>
      </c>
      <c r="Y22" s="7">
        <f t="shared" ca="1" si="19"/>
        <v>0</v>
      </c>
      <c r="Z22" s="7">
        <f t="shared" ca="1" si="19"/>
        <v>0</v>
      </c>
      <c r="AA22" s="7">
        <f t="shared" ca="1" si="19"/>
        <v>0</v>
      </c>
      <c r="AB22" s="7">
        <f t="shared" ca="1" si="19"/>
        <v>0</v>
      </c>
      <c r="AC22" s="7">
        <f t="shared" ca="1" si="19"/>
        <v>0</v>
      </c>
      <c r="AD22" s="7">
        <f t="shared" ca="1" si="19"/>
        <v>0</v>
      </c>
      <c r="AE22" s="7">
        <f t="shared" ca="1" si="19"/>
        <v>0</v>
      </c>
      <c r="AF22" s="7">
        <f t="shared" ca="1" si="19"/>
        <v>0</v>
      </c>
      <c r="AG22" s="7">
        <f t="shared" ca="1" si="19"/>
        <v>0</v>
      </c>
      <c r="AH22" s="7">
        <f t="shared" ca="1" si="19"/>
        <v>0</v>
      </c>
      <c r="AI22" s="7">
        <f t="shared" ca="1" si="19"/>
        <v>0</v>
      </c>
      <c r="AJ22" s="7">
        <f t="shared" ca="1" si="19"/>
        <v>0</v>
      </c>
      <c r="AK22" s="7">
        <f t="shared" ca="1" si="19"/>
        <v>0</v>
      </c>
      <c r="AL22" s="7">
        <f t="shared" ca="1" si="19"/>
        <v>0</v>
      </c>
      <c r="AM22" s="7">
        <f t="shared" ca="1" si="19"/>
        <v>0</v>
      </c>
      <c r="AN22" s="7">
        <f t="shared" ca="1" si="19"/>
        <v>0</v>
      </c>
      <c r="AO22" s="7">
        <f t="shared" ca="1" si="19"/>
        <v>0</v>
      </c>
      <c r="AP22" s="7">
        <f t="shared" ca="1" si="19"/>
        <v>0</v>
      </c>
      <c r="AQ22" s="7">
        <f t="shared" ca="1" si="19"/>
        <v>0</v>
      </c>
      <c r="AR22" s="7">
        <f t="shared" ca="1" si="19"/>
        <v>0</v>
      </c>
      <c r="AS22" s="7">
        <f t="shared" ca="1" si="19"/>
        <v>0</v>
      </c>
      <c r="AT22" s="7">
        <f t="shared" ca="1" si="19"/>
        <v>0</v>
      </c>
      <c r="AU22" s="7">
        <f t="shared" ca="1" si="19"/>
        <v>0</v>
      </c>
      <c r="AV22" s="7">
        <f t="shared" ca="1" si="19"/>
        <v>0</v>
      </c>
      <c r="AW22" s="7">
        <f t="shared" ca="1" si="19"/>
        <v>0</v>
      </c>
      <c r="AX22" s="7">
        <f t="shared" ca="1" si="19"/>
        <v>0</v>
      </c>
      <c r="AY22" s="7">
        <f t="shared" ca="1" si="19"/>
        <v>0</v>
      </c>
      <c r="AZ22" s="7">
        <f t="shared" ca="1" si="19"/>
        <v>0</v>
      </c>
      <c r="BA22" s="7">
        <f t="shared" ca="1" si="19"/>
        <v>0</v>
      </c>
      <c r="BB22" s="7">
        <f t="shared" ca="1" si="19"/>
        <v>0</v>
      </c>
      <c r="BC22" s="7">
        <f t="shared" ca="1" si="19"/>
        <v>0</v>
      </c>
      <c r="BD22" s="7">
        <f t="shared" ca="1" si="19"/>
        <v>0</v>
      </c>
      <c r="BE22" s="7">
        <f t="shared" ca="1" si="19"/>
        <v>0</v>
      </c>
      <c r="BF22" s="7">
        <f t="shared" ca="1" si="19"/>
        <v>0</v>
      </c>
      <c r="BG22" s="7">
        <f t="shared" ca="1" si="19"/>
        <v>0</v>
      </c>
      <c r="BH22" s="7">
        <f t="shared" ca="1" si="19"/>
        <v>0</v>
      </c>
      <c r="BI22" s="7">
        <f t="shared" ca="1" si="19"/>
        <v>0</v>
      </c>
      <c r="BJ22" s="7">
        <f t="shared" ca="1" si="19"/>
        <v>0</v>
      </c>
      <c r="BK22" s="7">
        <f t="shared" ca="1" si="19"/>
        <v>0</v>
      </c>
      <c r="BL22" s="7">
        <f t="shared" ca="1" si="19"/>
        <v>0</v>
      </c>
      <c r="BM22" s="7">
        <f t="shared" ca="1" si="19"/>
        <v>0</v>
      </c>
      <c r="BN22" s="7">
        <f t="shared" ca="1" si="19"/>
        <v>0</v>
      </c>
      <c r="BO22" s="7">
        <f t="shared" ca="1" si="19"/>
        <v>0</v>
      </c>
      <c r="BP22" s="7">
        <f t="shared" ca="1" si="19"/>
        <v>0</v>
      </c>
      <c r="BQ22" s="7">
        <f t="shared" ca="1" si="19"/>
        <v>0</v>
      </c>
      <c r="BR22" s="7">
        <f t="shared" ca="1" si="19"/>
        <v>0</v>
      </c>
      <c r="BS22" s="7">
        <f t="shared" ca="1" si="19"/>
        <v>0</v>
      </c>
      <c r="BT22" s="7">
        <f t="shared" ca="1" si="19"/>
        <v>0</v>
      </c>
      <c r="BU22" s="7">
        <f t="shared" ca="1" si="19"/>
        <v>0</v>
      </c>
      <c r="BV22" s="7">
        <f t="shared" ca="1" si="19"/>
        <v>0</v>
      </c>
      <c r="BW22" s="7">
        <f t="shared" ca="1" si="19"/>
        <v>0</v>
      </c>
      <c r="BX22" s="7">
        <f t="shared" ca="1" si="19"/>
        <v>0</v>
      </c>
      <c r="BY22" s="7"/>
      <c r="BZ22" s="7"/>
    </row>
    <row r="23" spans="1:78" ht="15.75" customHeight="1">
      <c r="A23" s="7" t="str">
        <f t="shared" ca="1" si="2"/>
        <v/>
      </c>
      <c r="B23" s="18" t="e">
        <f t="shared" ca="1" si="3"/>
        <v>#N/A</v>
      </c>
      <c r="C23" s="8">
        <v>0</v>
      </c>
      <c r="D23" s="8">
        <v>10</v>
      </c>
      <c r="E23" s="7" t="e">
        <f t="shared" ca="1" si="9"/>
        <v>#N/A</v>
      </c>
      <c r="F23" s="7" t="e">
        <f ca="1">+VLOOKUP("*_"&amp;E23&amp;"_*",data!A:D,3,0)</f>
        <v>#N/A</v>
      </c>
      <c r="G23" s="7" t="e">
        <f ca="1">+VLOOKUP("*_"&amp;E23&amp;"_*",data!A:D,4,0)</f>
        <v>#N/A</v>
      </c>
      <c r="H23" s="7">
        <f ca="1">IFERROR(IF(VLOOKUP("*_"&amp;E23&amp;"_*",data!A:D,2,0)="",1,VLOOKUP("*_"&amp;E23&amp;"_*",data!A:D,2,0)),0)</f>
        <v>0</v>
      </c>
      <c r="I23" s="7">
        <f t="shared" ca="1" si="4"/>
        <v>20</v>
      </c>
      <c r="J23" s="7" t="str">
        <f t="shared" ca="1" si="5"/>
        <v/>
      </c>
      <c r="K23" s="7">
        <v>19</v>
      </c>
      <c r="L23" s="7" t="e">
        <f t="shared" ca="1" si="10"/>
        <v>#N/A</v>
      </c>
      <c r="M23" s="7" t="e">
        <f t="shared" ca="1" si="11"/>
        <v>#N/A</v>
      </c>
      <c r="N23" s="7" t="e">
        <f t="shared" ca="1" si="13"/>
        <v>#N/A</v>
      </c>
      <c r="O23" s="7">
        <f t="shared" ca="1" si="19"/>
        <v>0</v>
      </c>
      <c r="P23" s="7">
        <f t="shared" ca="1" si="19"/>
        <v>0</v>
      </c>
      <c r="Q23" s="7">
        <f t="shared" ca="1" si="19"/>
        <v>0</v>
      </c>
      <c r="R23" s="7">
        <f t="shared" ca="1" si="19"/>
        <v>0</v>
      </c>
      <c r="S23" s="7">
        <f t="shared" ca="1" si="19"/>
        <v>0</v>
      </c>
      <c r="T23" s="7">
        <f t="shared" ca="1" si="19"/>
        <v>0</v>
      </c>
      <c r="U23" s="7">
        <f t="shared" ca="1" si="19"/>
        <v>0</v>
      </c>
      <c r="V23" s="7">
        <f t="shared" ca="1" si="19"/>
        <v>0</v>
      </c>
      <c r="W23" s="7">
        <f t="shared" ca="1" si="19"/>
        <v>0</v>
      </c>
      <c r="X23" s="7">
        <f t="shared" ca="1" si="19"/>
        <v>0</v>
      </c>
      <c r="Y23" s="7">
        <f t="shared" ca="1" si="19"/>
        <v>0</v>
      </c>
      <c r="Z23" s="7">
        <f t="shared" ca="1" si="19"/>
        <v>0</v>
      </c>
      <c r="AA23" s="7">
        <f t="shared" ca="1" si="19"/>
        <v>0</v>
      </c>
      <c r="AB23" s="7">
        <f t="shared" ca="1" si="19"/>
        <v>0</v>
      </c>
      <c r="AC23" s="7">
        <f t="shared" ca="1" si="19"/>
        <v>0</v>
      </c>
      <c r="AD23" s="7">
        <f t="shared" ca="1" si="19"/>
        <v>0</v>
      </c>
      <c r="AE23" s="7">
        <f t="shared" ca="1" si="19"/>
        <v>0</v>
      </c>
      <c r="AF23" s="7">
        <f t="shared" ca="1" si="19"/>
        <v>0</v>
      </c>
      <c r="AG23" s="7">
        <f t="shared" ca="1" si="19"/>
        <v>0</v>
      </c>
      <c r="AH23" s="7">
        <f t="shared" ca="1" si="19"/>
        <v>0</v>
      </c>
      <c r="AI23" s="7">
        <f t="shared" ca="1" si="19"/>
        <v>0</v>
      </c>
      <c r="AJ23" s="7">
        <f t="shared" ca="1" si="19"/>
        <v>0</v>
      </c>
      <c r="AK23" s="7">
        <f t="shared" ca="1" si="19"/>
        <v>0</v>
      </c>
      <c r="AL23" s="7">
        <f t="shared" ca="1" si="19"/>
        <v>0</v>
      </c>
      <c r="AM23" s="7">
        <f t="shared" ca="1" si="19"/>
        <v>0</v>
      </c>
      <c r="AN23" s="7">
        <f t="shared" ca="1" si="19"/>
        <v>0</v>
      </c>
      <c r="AO23" s="7">
        <f t="shared" ca="1" si="19"/>
        <v>0</v>
      </c>
      <c r="AP23" s="7">
        <f t="shared" ca="1" si="19"/>
        <v>0</v>
      </c>
      <c r="AQ23" s="7">
        <f t="shared" ca="1" si="19"/>
        <v>0</v>
      </c>
      <c r="AR23" s="7">
        <f t="shared" ca="1" si="19"/>
        <v>0</v>
      </c>
      <c r="AS23" s="7">
        <f t="shared" ca="1" si="19"/>
        <v>0</v>
      </c>
      <c r="AT23" s="7">
        <f t="shared" ca="1" si="19"/>
        <v>0</v>
      </c>
      <c r="AU23" s="7">
        <f t="shared" ca="1" si="19"/>
        <v>0</v>
      </c>
      <c r="AV23" s="7">
        <f t="shared" ca="1" si="19"/>
        <v>0</v>
      </c>
      <c r="AW23" s="7">
        <f t="shared" ca="1" si="19"/>
        <v>0</v>
      </c>
      <c r="AX23" s="7">
        <f t="shared" ca="1" si="19"/>
        <v>0</v>
      </c>
      <c r="AY23" s="7">
        <f t="shared" ca="1" si="19"/>
        <v>0</v>
      </c>
      <c r="AZ23" s="7">
        <f t="shared" ca="1" si="19"/>
        <v>0</v>
      </c>
      <c r="BA23" s="7">
        <f t="shared" ca="1" si="19"/>
        <v>0</v>
      </c>
      <c r="BB23" s="7">
        <f t="shared" ca="1" si="19"/>
        <v>0</v>
      </c>
      <c r="BC23" s="7">
        <f t="shared" ca="1" si="19"/>
        <v>0</v>
      </c>
      <c r="BD23" s="7">
        <f t="shared" ca="1" si="19"/>
        <v>0</v>
      </c>
      <c r="BE23" s="7">
        <f t="shared" ca="1" si="19"/>
        <v>0</v>
      </c>
      <c r="BF23" s="7">
        <f t="shared" ca="1" si="19"/>
        <v>0</v>
      </c>
      <c r="BG23" s="7">
        <f t="shared" ca="1" si="19"/>
        <v>0</v>
      </c>
      <c r="BH23" s="7">
        <f t="shared" ca="1" si="19"/>
        <v>0</v>
      </c>
      <c r="BI23" s="7">
        <f t="shared" ca="1" si="19"/>
        <v>0</v>
      </c>
      <c r="BJ23" s="7">
        <f t="shared" ca="1" si="19"/>
        <v>0</v>
      </c>
      <c r="BK23" s="7">
        <f t="shared" ca="1" si="19"/>
        <v>0</v>
      </c>
      <c r="BL23" s="7">
        <f t="shared" ca="1" si="19"/>
        <v>0</v>
      </c>
      <c r="BM23" s="7">
        <f t="shared" ca="1" si="19"/>
        <v>0</v>
      </c>
      <c r="BN23" s="7">
        <f t="shared" ca="1" si="19"/>
        <v>0</v>
      </c>
      <c r="BO23" s="7">
        <f t="shared" ca="1" si="19"/>
        <v>0</v>
      </c>
      <c r="BP23" s="7">
        <f t="shared" ca="1" si="19"/>
        <v>0</v>
      </c>
      <c r="BQ23" s="7">
        <f t="shared" ca="1" si="19"/>
        <v>0</v>
      </c>
      <c r="BR23" s="7">
        <f t="shared" ca="1" si="19"/>
        <v>0</v>
      </c>
      <c r="BS23" s="7">
        <f t="shared" ca="1" si="19"/>
        <v>0</v>
      </c>
      <c r="BT23" s="7">
        <f t="shared" ca="1" si="19"/>
        <v>0</v>
      </c>
      <c r="BU23" s="7">
        <f t="shared" ca="1" si="19"/>
        <v>0</v>
      </c>
      <c r="BV23" s="7">
        <f t="shared" ca="1" si="19"/>
        <v>0</v>
      </c>
      <c r="BW23" s="7">
        <f t="shared" ca="1" si="19"/>
        <v>0</v>
      </c>
      <c r="BX23" s="7">
        <f t="shared" ca="1" si="19"/>
        <v>0</v>
      </c>
      <c r="BY23" s="7"/>
      <c r="BZ23" s="7"/>
    </row>
    <row r="24" spans="1:78" ht="15.75" customHeight="1">
      <c r="A24" s="7" t="str">
        <f t="shared" ca="1" si="2"/>
        <v/>
      </c>
      <c r="B24" s="18" t="e">
        <f t="shared" ca="1" si="3"/>
        <v>#N/A</v>
      </c>
      <c r="C24" s="8">
        <v>1</v>
      </c>
      <c r="D24" s="8">
        <v>10</v>
      </c>
      <c r="E24" s="7" t="e">
        <f t="shared" ca="1" si="9"/>
        <v>#N/A</v>
      </c>
      <c r="F24" s="7" t="e">
        <f ca="1">+VLOOKUP("*_"&amp;E24&amp;"_*",data!A:D,3,0)</f>
        <v>#N/A</v>
      </c>
      <c r="G24" s="7" t="e">
        <f ca="1">+VLOOKUP("*_"&amp;E24&amp;"_*",data!A:D,4,0)</f>
        <v>#N/A</v>
      </c>
      <c r="H24" s="7">
        <f ca="1">IFERROR(IF(VLOOKUP("*_"&amp;E24&amp;"_*",data!A:D,2,0)="",1,VLOOKUP("*_"&amp;E24&amp;"_*",data!A:D,2,0)),0)</f>
        <v>0</v>
      </c>
      <c r="I24" s="7">
        <f t="shared" ca="1" si="4"/>
        <v>21</v>
      </c>
      <c r="J24" s="7" t="str">
        <f t="shared" ca="1" si="5"/>
        <v/>
      </c>
      <c r="K24" s="7">
        <v>20</v>
      </c>
      <c r="L24" s="7" t="e">
        <f t="shared" ca="1" si="10"/>
        <v>#N/A</v>
      </c>
      <c r="M24" s="7" t="e">
        <f t="shared" ca="1" si="11"/>
        <v>#N/A</v>
      </c>
      <c r="N24" s="7" t="e">
        <f t="shared" ca="1" si="13"/>
        <v>#N/A</v>
      </c>
      <c r="O24" s="7">
        <f t="shared" ca="1" si="19"/>
        <v>0</v>
      </c>
      <c r="P24" s="7">
        <f t="shared" ca="1" si="19"/>
        <v>0</v>
      </c>
      <c r="Q24" s="7">
        <f t="shared" ca="1" si="19"/>
        <v>0</v>
      </c>
      <c r="R24" s="7">
        <f t="shared" ca="1" si="19"/>
        <v>0</v>
      </c>
      <c r="S24" s="7">
        <f t="shared" ca="1" si="19"/>
        <v>0</v>
      </c>
      <c r="T24" s="7">
        <f t="shared" ca="1" si="19"/>
        <v>0</v>
      </c>
      <c r="U24" s="7">
        <f t="shared" ca="1" si="19"/>
        <v>0</v>
      </c>
      <c r="V24" s="7">
        <f t="shared" ref="V24:BX24" ca="1" si="20">+IFERROR(IF(MATCH(V$4,$N$4:$BZ$4,0)=MATCH($N24,$N$4:$N$68,0),1+IFERROR(1/2*INDEX($N$4:$BZ$68,MATCH($L24,$N$4:$N$68,0),MATCH($M24,$N$4:$BZ$4,0)),0),IF(MATCH(V$4,$N$4:$BZ$4,0)&lt;MATCH($N24,$N$4:$N$68,0),(INDEX($N$4:$BZ$68,MATCH($L24,$N$4:$N$68,0),MATCH(V$4,$N$4:$BZ$4,0))+INDEX($N$4:$BZ$68,MATCH($M24,$N$4:$N$68,0),MATCH(V$4,$N$4:$BZ$4,0)))*1/2,(INDEX($N$4:$BZ$68,MATCH($N24,$N$4:$N$68,0),MATCH(V$2,$N$4:$BZ$4,0))+INDEX($N$4:$BZ$68,MATCH($N24,$N$4:$N$68,0),MATCH(V$3,$N$4:$BZ$4,0)))*1/2)),0)</f>
        <v>0</v>
      </c>
      <c r="W24" s="7">
        <f t="shared" ca="1" si="20"/>
        <v>0</v>
      </c>
      <c r="X24" s="7">
        <f t="shared" ca="1" si="20"/>
        <v>0</v>
      </c>
      <c r="Y24" s="7">
        <f t="shared" ca="1" si="20"/>
        <v>0</v>
      </c>
      <c r="Z24" s="7">
        <f t="shared" ca="1" si="20"/>
        <v>0</v>
      </c>
      <c r="AA24" s="7">
        <f t="shared" ca="1" si="20"/>
        <v>0</v>
      </c>
      <c r="AB24" s="7">
        <f t="shared" ca="1" si="20"/>
        <v>0</v>
      </c>
      <c r="AC24" s="7">
        <f t="shared" ca="1" si="20"/>
        <v>0</v>
      </c>
      <c r="AD24" s="7">
        <f t="shared" ca="1" si="20"/>
        <v>0</v>
      </c>
      <c r="AE24" s="7">
        <f t="shared" ca="1" si="20"/>
        <v>0</v>
      </c>
      <c r="AF24" s="7">
        <f t="shared" ca="1" si="20"/>
        <v>0</v>
      </c>
      <c r="AG24" s="7">
        <f t="shared" ca="1" si="20"/>
        <v>0</v>
      </c>
      <c r="AH24" s="7">
        <f t="shared" ca="1" si="20"/>
        <v>0</v>
      </c>
      <c r="AI24" s="7">
        <f t="shared" ca="1" si="20"/>
        <v>0</v>
      </c>
      <c r="AJ24" s="7">
        <f t="shared" ca="1" si="20"/>
        <v>0</v>
      </c>
      <c r="AK24" s="7">
        <f t="shared" ca="1" si="20"/>
        <v>0</v>
      </c>
      <c r="AL24" s="7">
        <f t="shared" ca="1" si="20"/>
        <v>0</v>
      </c>
      <c r="AM24" s="7">
        <f t="shared" ca="1" si="20"/>
        <v>0</v>
      </c>
      <c r="AN24" s="7">
        <f t="shared" ca="1" si="20"/>
        <v>0</v>
      </c>
      <c r="AO24" s="7">
        <f t="shared" ca="1" si="20"/>
        <v>0</v>
      </c>
      <c r="AP24" s="7">
        <f t="shared" ca="1" si="20"/>
        <v>0</v>
      </c>
      <c r="AQ24" s="7">
        <f t="shared" ca="1" si="20"/>
        <v>0</v>
      </c>
      <c r="AR24" s="7">
        <f t="shared" ca="1" si="20"/>
        <v>0</v>
      </c>
      <c r="AS24" s="7">
        <f t="shared" ca="1" si="20"/>
        <v>0</v>
      </c>
      <c r="AT24" s="7">
        <f t="shared" ca="1" si="20"/>
        <v>0</v>
      </c>
      <c r="AU24" s="7">
        <f t="shared" ca="1" si="20"/>
        <v>0</v>
      </c>
      <c r="AV24" s="7">
        <f t="shared" ca="1" si="20"/>
        <v>0</v>
      </c>
      <c r="AW24" s="7">
        <f t="shared" ca="1" si="20"/>
        <v>0</v>
      </c>
      <c r="AX24" s="7">
        <f t="shared" ca="1" si="20"/>
        <v>0</v>
      </c>
      <c r="AY24" s="7">
        <f t="shared" ca="1" si="20"/>
        <v>0</v>
      </c>
      <c r="AZ24" s="7">
        <f t="shared" ca="1" si="20"/>
        <v>0</v>
      </c>
      <c r="BA24" s="7">
        <f t="shared" ca="1" si="20"/>
        <v>0</v>
      </c>
      <c r="BB24" s="7">
        <f t="shared" ca="1" si="20"/>
        <v>0</v>
      </c>
      <c r="BC24" s="7">
        <f t="shared" ca="1" si="20"/>
        <v>0</v>
      </c>
      <c r="BD24" s="7">
        <f t="shared" ca="1" si="20"/>
        <v>0</v>
      </c>
      <c r="BE24" s="7">
        <f t="shared" ca="1" si="20"/>
        <v>0</v>
      </c>
      <c r="BF24" s="7">
        <f t="shared" ca="1" si="20"/>
        <v>0</v>
      </c>
      <c r="BG24" s="7">
        <f t="shared" ca="1" si="20"/>
        <v>0</v>
      </c>
      <c r="BH24" s="7">
        <f t="shared" ca="1" si="20"/>
        <v>0</v>
      </c>
      <c r="BI24" s="7">
        <f t="shared" ca="1" si="20"/>
        <v>0</v>
      </c>
      <c r="BJ24" s="7">
        <f t="shared" ca="1" si="20"/>
        <v>0</v>
      </c>
      <c r="BK24" s="7">
        <f t="shared" ca="1" si="20"/>
        <v>0</v>
      </c>
      <c r="BL24" s="7">
        <f t="shared" ca="1" si="20"/>
        <v>0</v>
      </c>
      <c r="BM24" s="7">
        <f t="shared" ca="1" si="20"/>
        <v>0</v>
      </c>
      <c r="BN24" s="7">
        <f t="shared" ca="1" si="20"/>
        <v>0</v>
      </c>
      <c r="BO24" s="7">
        <f t="shared" ca="1" si="20"/>
        <v>0</v>
      </c>
      <c r="BP24" s="7">
        <f t="shared" ca="1" si="20"/>
        <v>0</v>
      </c>
      <c r="BQ24" s="7">
        <f t="shared" ca="1" si="20"/>
        <v>0</v>
      </c>
      <c r="BR24" s="7">
        <f t="shared" ca="1" si="20"/>
        <v>0</v>
      </c>
      <c r="BS24" s="7">
        <f t="shared" ca="1" si="20"/>
        <v>0</v>
      </c>
      <c r="BT24" s="7">
        <f t="shared" ca="1" si="20"/>
        <v>0</v>
      </c>
      <c r="BU24" s="7">
        <f t="shared" ca="1" si="20"/>
        <v>0</v>
      </c>
      <c r="BV24" s="7">
        <f t="shared" ca="1" si="20"/>
        <v>0</v>
      </c>
      <c r="BW24" s="7">
        <f t="shared" ca="1" si="20"/>
        <v>0</v>
      </c>
      <c r="BX24" s="7">
        <f t="shared" ca="1" si="20"/>
        <v>0</v>
      </c>
      <c r="BY24" s="7"/>
      <c r="BZ24" s="7"/>
    </row>
    <row r="25" spans="1:78" ht="15.75" customHeight="1">
      <c r="A25" s="7" t="str">
        <f t="shared" ca="1" si="2"/>
        <v/>
      </c>
      <c r="B25" s="18" t="e">
        <f t="shared" ca="1" si="3"/>
        <v>#N/A</v>
      </c>
      <c r="C25" s="8">
        <v>0</v>
      </c>
      <c r="D25" s="8">
        <v>11</v>
      </c>
      <c r="E25" s="7" t="e">
        <f t="shared" ca="1" si="9"/>
        <v>#N/A</v>
      </c>
      <c r="F25" s="7" t="e">
        <f ca="1">+VLOOKUP("*_"&amp;E25&amp;"_*",data!A:D,3,0)</f>
        <v>#N/A</v>
      </c>
      <c r="G25" s="7" t="e">
        <f ca="1">+VLOOKUP("*_"&amp;E25&amp;"_*",data!A:D,4,0)</f>
        <v>#N/A</v>
      </c>
      <c r="H25" s="7">
        <f ca="1">IFERROR(IF(VLOOKUP("*_"&amp;E25&amp;"_*",data!A:D,2,0)="",1,VLOOKUP("*_"&amp;E25&amp;"_*",data!A:D,2,0)),0)</f>
        <v>0</v>
      </c>
      <c r="I25" s="7">
        <f t="shared" ca="1" si="4"/>
        <v>22</v>
      </c>
      <c r="J25" s="7" t="str">
        <f t="shared" ca="1" si="5"/>
        <v/>
      </c>
      <c r="K25" s="7">
        <v>21</v>
      </c>
      <c r="L25" s="7" t="e">
        <f t="shared" ca="1" si="10"/>
        <v>#N/A</v>
      </c>
      <c r="M25" s="7" t="e">
        <f t="shared" ca="1" si="11"/>
        <v>#N/A</v>
      </c>
      <c r="N25" s="7" t="e">
        <f t="shared" ca="1" si="13"/>
        <v>#N/A</v>
      </c>
      <c r="O25" s="7">
        <f t="shared" ref="O25:BX29" ca="1" si="21">+IFERROR(IF(MATCH(O$4,$N$4:$BZ$4,0)=MATCH($N25,$N$4:$N$68,0),1+IFERROR(1/2*INDEX($N$4:$BZ$68,MATCH($L25,$N$4:$N$68,0),MATCH($M25,$N$4:$BZ$4,0)),0),IF(MATCH(O$4,$N$4:$BZ$4,0)&lt;MATCH($N25,$N$4:$N$68,0),(INDEX($N$4:$BZ$68,MATCH($L25,$N$4:$N$68,0),MATCH(O$4,$N$4:$BZ$4,0))+INDEX($N$4:$BZ$68,MATCH($M25,$N$4:$N$68,0),MATCH(O$4,$N$4:$BZ$4,0)))*1/2,(INDEX($N$4:$BZ$68,MATCH($N25,$N$4:$N$68,0),MATCH(O$2,$N$4:$BZ$4,0))+INDEX($N$4:$BZ$68,MATCH($N25,$N$4:$N$68,0),MATCH(O$3,$N$4:$BZ$4,0)))*1/2)),0)</f>
        <v>0</v>
      </c>
      <c r="P25" s="7">
        <f t="shared" ca="1" si="21"/>
        <v>0</v>
      </c>
      <c r="Q25" s="7">
        <f t="shared" ca="1" si="21"/>
        <v>0</v>
      </c>
      <c r="R25" s="7">
        <f t="shared" ca="1" si="21"/>
        <v>0</v>
      </c>
      <c r="S25" s="7">
        <f t="shared" ca="1" si="21"/>
        <v>0</v>
      </c>
      <c r="T25" s="7">
        <f t="shared" ca="1" si="21"/>
        <v>0</v>
      </c>
      <c r="U25" s="7">
        <f t="shared" ca="1" si="21"/>
        <v>0</v>
      </c>
      <c r="V25" s="7">
        <f t="shared" ca="1" si="21"/>
        <v>0</v>
      </c>
      <c r="W25" s="7">
        <f t="shared" ca="1" si="21"/>
        <v>0</v>
      </c>
      <c r="X25" s="7">
        <f t="shared" ca="1" si="21"/>
        <v>0</v>
      </c>
      <c r="Y25" s="7">
        <f t="shared" ca="1" si="21"/>
        <v>0</v>
      </c>
      <c r="Z25" s="7">
        <f t="shared" ca="1" si="21"/>
        <v>0</v>
      </c>
      <c r="AA25" s="7">
        <f t="shared" ca="1" si="21"/>
        <v>0</v>
      </c>
      <c r="AB25" s="7">
        <f t="shared" ca="1" si="21"/>
        <v>0</v>
      </c>
      <c r="AC25" s="7">
        <f t="shared" ca="1" si="21"/>
        <v>0</v>
      </c>
      <c r="AD25" s="7">
        <f t="shared" ca="1" si="21"/>
        <v>0</v>
      </c>
      <c r="AE25" s="7">
        <f t="shared" ca="1" si="21"/>
        <v>0</v>
      </c>
      <c r="AF25" s="7">
        <f t="shared" ca="1" si="21"/>
        <v>0</v>
      </c>
      <c r="AG25" s="7">
        <f t="shared" ca="1" si="21"/>
        <v>0</v>
      </c>
      <c r="AH25" s="7">
        <f t="shared" ca="1" si="21"/>
        <v>0</v>
      </c>
      <c r="AI25" s="7">
        <f t="shared" ca="1" si="21"/>
        <v>0</v>
      </c>
      <c r="AJ25" s="7">
        <f t="shared" ca="1" si="21"/>
        <v>0</v>
      </c>
      <c r="AK25" s="7">
        <f t="shared" ca="1" si="21"/>
        <v>0</v>
      </c>
      <c r="AL25" s="7">
        <f t="shared" ca="1" si="21"/>
        <v>0</v>
      </c>
      <c r="AM25" s="7">
        <f t="shared" ca="1" si="21"/>
        <v>0</v>
      </c>
      <c r="AN25" s="7">
        <f t="shared" ca="1" si="21"/>
        <v>0</v>
      </c>
      <c r="AO25" s="7">
        <f t="shared" ca="1" si="21"/>
        <v>0</v>
      </c>
      <c r="AP25" s="7">
        <f t="shared" ca="1" si="21"/>
        <v>0</v>
      </c>
      <c r="AQ25" s="7">
        <f t="shared" ca="1" si="21"/>
        <v>0</v>
      </c>
      <c r="AR25" s="7">
        <f t="shared" ca="1" si="21"/>
        <v>0</v>
      </c>
      <c r="AS25" s="7">
        <f t="shared" ca="1" si="21"/>
        <v>0</v>
      </c>
      <c r="AT25" s="7">
        <f t="shared" ca="1" si="21"/>
        <v>0</v>
      </c>
      <c r="AU25" s="7">
        <f t="shared" ca="1" si="21"/>
        <v>0</v>
      </c>
      <c r="AV25" s="7">
        <f t="shared" ca="1" si="21"/>
        <v>0</v>
      </c>
      <c r="AW25" s="7">
        <f t="shared" ca="1" si="21"/>
        <v>0</v>
      </c>
      <c r="AX25" s="7">
        <f t="shared" ca="1" si="21"/>
        <v>0</v>
      </c>
      <c r="AY25" s="7">
        <f t="shared" ca="1" si="21"/>
        <v>0</v>
      </c>
      <c r="AZ25" s="7">
        <f t="shared" ca="1" si="21"/>
        <v>0</v>
      </c>
      <c r="BA25" s="7">
        <f t="shared" ca="1" si="21"/>
        <v>0</v>
      </c>
      <c r="BB25" s="7">
        <f t="shared" ca="1" si="21"/>
        <v>0</v>
      </c>
      <c r="BC25" s="7">
        <f t="shared" ca="1" si="21"/>
        <v>0</v>
      </c>
      <c r="BD25" s="7">
        <f t="shared" ca="1" si="21"/>
        <v>0</v>
      </c>
      <c r="BE25" s="7">
        <f t="shared" ca="1" si="21"/>
        <v>0</v>
      </c>
      <c r="BF25" s="7">
        <f t="shared" ca="1" si="21"/>
        <v>0</v>
      </c>
      <c r="BG25" s="7">
        <f t="shared" ca="1" si="21"/>
        <v>0</v>
      </c>
      <c r="BH25" s="7">
        <f t="shared" ca="1" si="21"/>
        <v>0</v>
      </c>
      <c r="BI25" s="7">
        <f t="shared" ca="1" si="21"/>
        <v>0</v>
      </c>
      <c r="BJ25" s="7">
        <f t="shared" ca="1" si="21"/>
        <v>0</v>
      </c>
      <c r="BK25" s="7">
        <f t="shared" ca="1" si="21"/>
        <v>0</v>
      </c>
      <c r="BL25" s="7">
        <f t="shared" ca="1" si="21"/>
        <v>0</v>
      </c>
      <c r="BM25" s="7">
        <f t="shared" ca="1" si="21"/>
        <v>0</v>
      </c>
      <c r="BN25" s="7">
        <f t="shared" ca="1" si="21"/>
        <v>0</v>
      </c>
      <c r="BO25" s="7">
        <f t="shared" ca="1" si="21"/>
        <v>0</v>
      </c>
      <c r="BP25" s="7">
        <f t="shared" ca="1" si="21"/>
        <v>0</v>
      </c>
      <c r="BQ25" s="7">
        <f t="shared" ca="1" si="21"/>
        <v>0</v>
      </c>
      <c r="BR25" s="7">
        <f t="shared" ca="1" si="21"/>
        <v>0</v>
      </c>
      <c r="BS25" s="7">
        <f t="shared" ca="1" si="21"/>
        <v>0</v>
      </c>
      <c r="BT25" s="7">
        <f t="shared" ca="1" si="21"/>
        <v>0</v>
      </c>
      <c r="BU25" s="7">
        <f t="shared" ca="1" si="21"/>
        <v>0</v>
      </c>
      <c r="BV25" s="7">
        <f t="shared" ca="1" si="21"/>
        <v>0</v>
      </c>
      <c r="BW25" s="7">
        <f t="shared" ca="1" si="21"/>
        <v>0</v>
      </c>
      <c r="BX25" s="7">
        <f t="shared" ca="1" si="21"/>
        <v>0</v>
      </c>
      <c r="BY25" s="7"/>
      <c r="BZ25" s="7"/>
    </row>
    <row r="26" spans="1:78" ht="15.75" customHeight="1">
      <c r="A26" s="7" t="str">
        <f t="shared" ca="1" si="2"/>
        <v/>
      </c>
      <c r="B26" s="18" t="e">
        <f t="shared" ca="1" si="3"/>
        <v>#N/A</v>
      </c>
      <c r="C26" s="8">
        <v>1</v>
      </c>
      <c r="D26" s="8">
        <v>11</v>
      </c>
      <c r="E26" s="7" t="e">
        <f t="shared" ca="1" si="9"/>
        <v>#N/A</v>
      </c>
      <c r="F26" s="7" t="e">
        <f ca="1">+VLOOKUP("*_"&amp;E26&amp;"_*",data!A:D,3,0)</f>
        <v>#N/A</v>
      </c>
      <c r="G26" s="7" t="e">
        <f ca="1">+VLOOKUP("*_"&amp;E26&amp;"_*",data!A:D,4,0)</f>
        <v>#N/A</v>
      </c>
      <c r="H26" s="7">
        <f ca="1">IFERROR(IF(VLOOKUP("*_"&amp;E26&amp;"_*",data!A:D,2,0)="",1,VLOOKUP("*_"&amp;E26&amp;"_*",data!A:D,2,0)),0)</f>
        <v>0</v>
      </c>
      <c r="I26" s="7">
        <f t="shared" ca="1" si="4"/>
        <v>23</v>
      </c>
      <c r="J26" s="7" t="str">
        <f t="shared" ca="1" si="5"/>
        <v/>
      </c>
      <c r="K26" s="7">
        <v>22</v>
      </c>
      <c r="L26" s="7" t="e">
        <f t="shared" ca="1" si="10"/>
        <v>#N/A</v>
      </c>
      <c r="M26" s="7" t="e">
        <f t="shared" ca="1" si="11"/>
        <v>#N/A</v>
      </c>
      <c r="N26" s="7" t="e">
        <f t="shared" ca="1" si="13"/>
        <v>#N/A</v>
      </c>
      <c r="O26" s="7">
        <f t="shared" ca="1" si="21"/>
        <v>0</v>
      </c>
      <c r="P26" s="7">
        <f t="shared" ca="1" si="21"/>
        <v>0</v>
      </c>
      <c r="Q26" s="7">
        <f t="shared" ca="1" si="21"/>
        <v>0</v>
      </c>
      <c r="R26" s="7">
        <f t="shared" ca="1" si="21"/>
        <v>0</v>
      </c>
      <c r="S26" s="7">
        <f t="shared" ca="1" si="21"/>
        <v>0</v>
      </c>
      <c r="T26" s="7">
        <f t="shared" ca="1" si="21"/>
        <v>0</v>
      </c>
      <c r="U26" s="7">
        <f t="shared" ca="1" si="21"/>
        <v>0</v>
      </c>
      <c r="V26" s="7">
        <f t="shared" ca="1" si="21"/>
        <v>0</v>
      </c>
      <c r="W26" s="7">
        <f t="shared" ca="1" si="21"/>
        <v>0</v>
      </c>
      <c r="X26" s="7">
        <f t="shared" ca="1" si="21"/>
        <v>0</v>
      </c>
      <c r="Y26" s="7">
        <f t="shared" ca="1" si="21"/>
        <v>0</v>
      </c>
      <c r="Z26" s="7">
        <f t="shared" ca="1" si="21"/>
        <v>0</v>
      </c>
      <c r="AA26" s="7">
        <f t="shared" ca="1" si="21"/>
        <v>0</v>
      </c>
      <c r="AB26" s="7">
        <f t="shared" ca="1" si="21"/>
        <v>0</v>
      </c>
      <c r="AC26" s="7">
        <f t="shared" ca="1" si="21"/>
        <v>0</v>
      </c>
      <c r="AD26" s="7">
        <f t="shared" ca="1" si="21"/>
        <v>0</v>
      </c>
      <c r="AE26" s="7">
        <f t="shared" ca="1" si="21"/>
        <v>0</v>
      </c>
      <c r="AF26" s="7">
        <f t="shared" ca="1" si="21"/>
        <v>0</v>
      </c>
      <c r="AG26" s="7">
        <f t="shared" ca="1" si="21"/>
        <v>0</v>
      </c>
      <c r="AH26" s="7">
        <f t="shared" ca="1" si="21"/>
        <v>0</v>
      </c>
      <c r="AI26" s="7">
        <f t="shared" ca="1" si="21"/>
        <v>0</v>
      </c>
      <c r="AJ26" s="7">
        <f t="shared" ca="1" si="21"/>
        <v>0</v>
      </c>
      <c r="AK26" s="7">
        <f t="shared" ca="1" si="21"/>
        <v>0</v>
      </c>
      <c r="AL26" s="7">
        <f t="shared" ca="1" si="21"/>
        <v>0</v>
      </c>
      <c r="AM26" s="7">
        <f t="shared" ca="1" si="21"/>
        <v>0</v>
      </c>
      <c r="AN26" s="7">
        <f t="shared" ca="1" si="21"/>
        <v>0</v>
      </c>
      <c r="AO26" s="7">
        <f t="shared" ca="1" si="21"/>
        <v>0</v>
      </c>
      <c r="AP26" s="7">
        <f t="shared" ca="1" si="21"/>
        <v>0</v>
      </c>
      <c r="AQ26" s="7">
        <f t="shared" ca="1" si="21"/>
        <v>0</v>
      </c>
      <c r="AR26" s="7">
        <f t="shared" ca="1" si="21"/>
        <v>0</v>
      </c>
      <c r="AS26" s="7">
        <f t="shared" ca="1" si="21"/>
        <v>0</v>
      </c>
      <c r="AT26" s="7">
        <f t="shared" ca="1" si="21"/>
        <v>0</v>
      </c>
      <c r="AU26" s="7">
        <f t="shared" ca="1" si="21"/>
        <v>0</v>
      </c>
      <c r="AV26" s="7">
        <f t="shared" ca="1" si="21"/>
        <v>0</v>
      </c>
      <c r="AW26" s="7">
        <f t="shared" ca="1" si="21"/>
        <v>0</v>
      </c>
      <c r="AX26" s="7">
        <f t="shared" ca="1" si="21"/>
        <v>0</v>
      </c>
      <c r="AY26" s="7">
        <f t="shared" ca="1" si="21"/>
        <v>0</v>
      </c>
      <c r="AZ26" s="7">
        <f t="shared" ca="1" si="21"/>
        <v>0</v>
      </c>
      <c r="BA26" s="7">
        <f t="shared" ca="1" si="21"/>
        <v>0</v>
      </c>
      <c r="BB26" s="7">
        <f t="shared" ca="1" si="21"/>
        <v>0</v>
      </c>
      <c r="BC26" s="7">
        <f t="shared" ca="1" si="21"/>
        <v>0</v>
      </c>
      <c r="BD26" s="7">
        <f t="shared" ca="1" si="21"/>
        <v>0</v>
      </c>
      <c r="BE26" s="7">
        <f t="shared" ca="1" si="21"/>
        <v>0</v>
      </c>
      <c r="BF26" s="7">
        <f t="shared" ca="1" si="21"/>
        <v>0</v>
      </c>
      <c r="BG26" s="7">
        <f t="shared" ca="1" si="21"/>
        <v>0</v>
      </c>
      <c r="BH26" s="7">
        <f t="shared" ca="1" si="21"/>
        <v>0</v>
      </c>
      <c r="BI26" s="7">
        <f t="shared" ca="1" si="21"/>
        <v>0</v>
      </c>
      <c r="BJ26" s="7">
        <f t="shared" ca="1" si="21"/>
        <v>0</v>
      </c>
      <c r="BK26" s="7">
        <f t="shared" ca="1" si="21"/>
        <v>0</v>
      </c>
      <c r="BL26" s="7">
        <f t="shared" ca="1" si="21"/>
        <v>0</v>
      </c>
      <c r="BM26" s="7">
        <f t="shared" ca="1" si="21"/>
        <v>0</v>
      </c>
      <c r="BN26" s="7">
        <f t="shared" ca="1" si="21"/>
        <v>0</v>
      </c>
      <c r="BO26" s="7">
        <f t="shared" ca="1" si="21"/>
        <v>0</v>
      </c>
      <c r="BP26" s="7">
        <f t="shared" ca="1" si="21"/>
        <v>0</v>
      </c>
      <c r="BQ26" s="7">
        <f t="shared" ca="1" si="21"/>
        <v>0</v>
      </c>
      <c r="BR26" s="7">
        <f t="shared" ca="1" si="21"/>
        <v>0</v>
      </c>
      <c r="BS26" s="7">
        <f t="shared" ca="1" si="21"/>
        <v>0</v>
      </c>
      <c r="BT26" s="7">
        <f t="shared" ca="1" si="21"/>
        <v>0</v>
      </c>
      <c r="BU26" s="7">
        <f t="shared" ca="1" si="21"/>
        <v>0</v>
      </c>
      <c r="BV26" s="7">
        <f t="shared" ca="1" si="21"/>
        <v>0</v>
      </c>
      <c r="BW26" s="7">
        <f t="shared" ca="1" si="21"/>
        <v>0</v>
      </c>
      <c r="BX26" s="7">
        <f t="shared" ca="1" si="21"/>
        <v>0</v>
      </c>
      <c r="BY26" s="7"/>
      <c r="BZ26" s="7"/>
    </row>
    <row r="27" spans="1:78" ht="15.75" customHeight="1">
      <c r="A27" s="7" t="str">
        <f t="shared" ca="1" si="2"/>
        <v/>
      </c>
      <c r="B27" s="18" t="e">
        <f t="shared" ca="1" si="3"/>
        <v>#N/A</v>
      </c>
      <c r="C27" s="8">
        <v>0</v>
      </c>
      <c r="D27" s="8">
        <v>12</v>
      </c>
      <c r="E27" s="7" t="e">
        <f t="shared" ca="1" si="9"/>
        <v>#N/A</v>
      </c>
      <c r="F27" s="7" t="e">
        <f ca="1">+VLOOKUP("*_"&amp;E27&amp;"_*",data!A:D,3,0)</f>
        <v>#N/A</v>
      </c>
      <c r="G27" s="7" t="e">
        <f ca="1">+VLOOKUP("*_"&amp;E27&amp;"_*",data!A:D,4,0)</f>
        <v>#N/A</v>
      </c>
      <c r="H27" s="7">
        <f ca="1">IFERROR(IF(VLOOKUP("*_"&amp;E27&amp;"_*",data!A:D,2,0)="",1,VLOOKUP("*_"&amp;E27&amp;"_*",data!A:D,2,0)),0)</f>
        <v>0</v>
      </c>
      <c r="I27" s="7">
        <f t="shared" ca="1" si="4"/>
        <v>24</v>
      </c>
      <c r="J27" s="7" t="str">
        <f t="shared" ca="1" si="5"/>
        <v/>
      </c>
      <c r="K27" s="7">
        <v>23</v>
      </c>
      <c r="L27" s="7" t="e">
        <f t="shared" ca="1" si="10"/>
        <v>#N/A</v>
      </c>
      <c r="M27" s="7" t="e">
        <f t="shared" ca="1" si="11"/>
        <v>#N/A</v>
      </c>
      <c r="N27" s="7" t="e">
        <f t="shared" ca="1" si="13"/>
        <v>#N/A</v>
      </c>
      <c r="O27" s="7">
        <f t="shared" ca="1" si="21"/>
        <v>0</v>
      </c>
      <c r="P27" s="7">
        <f t="shared" ca="1" si="21"/>
        <v>0</v>
      </c>
      <c r="Q27" s="7">
        <f t="shared" ca="1" si="21"/>
        <v>0</v>
      </c>
      <c r="R27" s="7">
        <f t="shared" ca="1" si="21"/>
        <v>0</v>
      </c>
      <c r="S27" s="7">
        <f t="shared" ca="1" si="21"/>
        <v>0</v>
      </c>
      <c r="T27" s="7">
        <f t="shared" ca="1" si="21"/>
        <v>0</v>
      </c>
      <c r="U27" s="7">
        <f t="shared" ca="1" si="21"/>
        <v>0</v>
      </c>
      <c r="V27" s="7">
        <f t="shared" ca="1" si="21"/>
        <v>0</v>
      </c>
      <c r="W27" s="7">
        <f t="shared" ca="1" si="21"/>
        <v>0</v>
      </c>
      <c r="X27" s="7">
        <f t="shared" ca="1" si="21"/>
        <v>0</v>
      </c>
      <c r="Y27" s="7">
        <f t="shared" ca="1" si="21"/>
        <v>0</v>
      </c>
      <c r="Z27" s="7">
        <f t="shared" ca="1" si="21"/>
        <v>0</v>
      </c>
      <c r="AA27" s="7">
        <f t="shared" ca="1" si="21"/>
        <v>0</v>
      </c>
      <c r="AB27" s="7">
        <f t="shared" ca="1" si="21"/>
        <v>0</v>
      </c>
      <c r="AC27" s="7">
        <f t="shared" ca="1" si="21"/>
        <v>0</v>
      </c>
      <c r="AD27" s="7">
        <f t="shared" ca="1" si="21"/>
        <v>0</v>
      </c>
      <c r="AE27" s="7">
        <f t="shared" ca="1" si="21"/>
        <v>0</v>
      </c>
      <c r="AF27" s="7">
        <f t="shared" ca="1" si="21"/>
        <v>0</v>
      </c>
      <c r="AG27" s="7">
        <f t="shared" ca="1" si="21"/>
        <v>0</v>
      </c>
      <c r="AH27" s="7">
        <f t="shared" ca="1" si="21"/>
        <v>0</v>
      </c>
      <c r="AI27" s="7">
        <f t="shared" ca="1" si="21"/>
        <v>0</v>
      </c>
      <c r="AJ27" s="7">
        <f t="shared" ca="1" si="21"/>
        <v>0</v>
      </c>
      <c r="AK27" s="7">
        <f t="shared" ca="1" si="21"/>
        <v>0</v>
      </c>
      <c r="AL27" s="7">
        <f t="shared" ca="1" si="21"/>
        <v>0</v>
      </c>
      <c r="AM27" s="7">
        <f t="shared" ca="1" si="21"/>
        <v>0</v>
      </c>
      <c r="AN27" s="7">
        <f t="shared" ca="1" si="21"/>
        <v>0</v>
      </c>
      <c r="AO27" s="7">
        <f t="shared" ca="1" si="21"/>
        <v>0</v>
      </c>
      <c r="AP27" s="7">
        <f t="shared" ca="1" si="21"/>
        <v>0</v>
      </c>
      <c r="AQ27" s="7">
        <f t="shared" ca="1" si="21"/>
        <v>0</v>
      </c>
      <c r="AR27" s="7">
        <f t="shared" ca="1" si="21"/>
        <v>0</v>
      </c>
      <c r="AS27" s="7">
        <f t="shared" ca="1" si="21"/>
        <v>0</v>
      </c>
      <c r="AT27" s="7">
        <f t="shared" ca="1" si="21"/>
        <v>0</v>
      </c>
      <c r="AU27" s="7">
        <f t="shared" ca="1" si="21"/>
        <v>0</v>
      </c>
      <c r="AV27" s="7">
        <f t="shared" ca="1" si="21"/>
        <v>0</v>
      </c>
      <c r="AW27" s="7">
        <f t="shared" ca="1" si="21"/>
        <v>0</v>
      </c>
      <c r="AX27" s="7">
        <f t="shared" ca="1" si="21"/>
        <v>0</v>
      </c>
      <c r="AY27" s="7">
        <f t="shared" ca="1" si="21"/>
        <v>0</v>
      </c>
      <c r="AZ27" s="7">
        <f t="shared" ca="1" si="21"/>
        <v>0</v>
      </c>
      <c r="BA27" s="7">
        <f t="shared" ca="1" si="21"/>
        <v>0</v>
      </c>
      <c r="BB27" s="7">
        <f t="shared" ca="1" si="21"/>
        <v>0</v>
      </c>
      <c r="BC27" s="7">
        <f t="shared" ca="1" si="21"/>
        <v>0</v>
      </c>
      <c r="BD27" s="7">
        <f t="shared" ca="1" si="21"/>
        <v>0</v>
      </c>
      <c r="BE27" s="7">
        <f t="shared" ca="1" si="21"/>
        <v>0</v>
      </c>
      <c r="BF27" s="7">
        <f t="shared" ca="1" si="21"/>
        <v>0</v>
      </c>
      <c r="BG27" s="7">
        <f t="shared" ca="1" si="21"/>
        <v>0</v>
      </c>
      <c r="BH27" s="7">
        <f t="shared" ca="1" si="21"/>
        <v>0</v>
      </c>
      <c r="BI27" s="7">
        <f t="shared" ca="1" si="21"/>
        <v>0</v>
      </c>
      <c r="BJ27" s="7">
        <f t="shared" ca="1" si="21"/>
        <v>0</v>
      </c>
      <c r="BK27" s="7">
        <f t="shared" ca="1" si="21"/>
        <v>0</v>
      </c>
      <c r="BL27" s="7">
        <f t="shared" ca="1" si="21"/>
        <v>0</v>
      </c>
      <c r="BM27" s="7">
        <f t="shared" ca="1" si="21"/>
        <v>0</v>
      </c>
      <c r="BN27" s="7">
        <f t="shared" ca="1" si="21"/>
        <v>0</v>
      </c>
      <c r="BO27" s="7">
        <f t="shared" ca="1" si="21"/>
        <v>0</v>
      </c>
      <c r="BP27" s="7">
        <f t="shared" ca="1" si="21"/>
        <v>0</v>
      </c>
      <c r="BQ27" s="7">
        <f t="shared" ca="1" si="21"/>
        <v>0</v>
      </c>
      <c r="BR27" s="7">
        <f t="shared" ca="1" si="21"/>
        <v>0</v>
      </c>
      <c r="BS27" s="7">
        <f t="shared" ca="1" si="21"/>
        <v>0</v>
      </c>
      <c r="BT27" s="7">
        <f t="shared" ca="1" si="21"/>
        <v>0</v>
      </c>
      <c r="BU27" s="7">
        <f t="shared" ca="1" si="21"/>
        <v>0</v>
      </c>
      <c r="BV27" s="7">
        <f t="shared" ca="1" si="21"/>
        <v>0</v>
      </c>
      <c r="BW27" s="7">
        <f t="shared" ca="1" si="21"/>
        <v>0</v>
      </c>
      <c r="BX27" s="7">
        <f t="shared" ca="1" si="21"/>
        <v>0</v>
      </c>
      <c r="BY27" s="7"/>
      <c r="BZ27" s="7"/>
    </row>
    <row r="28" spans="1:78" ht="15.75" customHeight="1">
      <c r="A28" s="7" t="str">
        <f t="shared" ca="1" si="2"/>
        <v/>
      </c>
      <c r="B28" s="18" t="e">
        <f t="shared" ca="1" si="3"/>
        <v>#N/A</v>
      </c>
      <c r="C28" s="8">
        <v>1</v>
      </c>
      <c r="D28" s="8">
        <v>12</v>
      </c>
      <c r="E28" s="7" t="e">
        <f t="shared" ca="1" si="9"/>
        <v>#N/A</v>
      </c>
      <c r="F28" s="7" t="e">
        <f ca="1">+VLOOKUP("*_"&amp;E28&amp;"_*",data!A:D,3,0)</f>
        <v>#N/A</v>
      </c>
      <c r="G28" s="7" t="e">
        <f ca="1">+VLOOKUP("*_"&amp;E28&amp;"_*",data!A:D,4,0)</f>
        <v>#N/A</v>
      </c>
      <c r="H28" s="7">
        <f ca="1">IFERROR(IF(VLOOKUP("*_"&amp;E28&amp;"_*",data!A:D,2,0)="",1,VLOOKUP("*_"&amp;E28&amp;"_*",data!A:D,2,0)),0)</f>
        <v>0</v>
      </c>
      <c r="I28" s="7">
        <f t="shared" ca="1" si="4"/>
        <v>25</v>
      </c>
      <c r="J28" s="7" t="str">
        <f t="shared" ca="1" si="5"/>
        <v/>
      </c>
      <c r="K28" s="7">
        <v>24</v>
      </c>
      <c r="L28" s="7" t="e">
        <f t="shared" ca="1" si="10"/>
        <v>#N/A</v>
      </c>
      <c r="M28" s="7" t="e">
        <f t="shared" ca="1" si="11"/>
        <v>#N/A</v>
      </c>
      <c r="N28" s="7" t="e">
        <f t="shared" ca="1" si="13"/>
        <v>#N/A</v>
      </c>
      <c r="O28" s="7">
        <f t="shared" ca="1" si="21"/>
        <v>0</v>
      </c>
      <c r="P28" s="7">
        <f t="shared" ca="1" si="21"/>
        <v>0</v>
      </c>
      <c r="Q28" s="7">
        <f t="shared" ca="1" si="21"/>
        <v>0</v>
      </c>
      <c r="R28" s="7">
        <f t="shared" ca="1" si="21"/>
        <v>0</v>
      </c>
      <c r="S28" s="7">
        <f t="shared" ca="1" si="21"/>
        <v>0</v>
      </c>
      <c r="T28" s="7">
        <f t="shared" ca="1" si="21"/>
        <v>0</v>
      </c>
      <c r="U28" s="7">
        <f t="shared" ca="1" si="21"/>
        <v>0</v>
      </c>
      <c r="V28" s="7">
        <f t="shared" ca="1" si="21"/>
        <v>0</v>
      </c>
      <c r="W28" s="7">
        <f t="shared" ca="1" si="21"/>
        <v>0</v>
      </c>
      <c r="X28" s="7">
        <f t="shared" ca="1" si="21"/>
        <v>0</v>
      </c>
      <c r="Y28" s="7">
        <f t="shared" ca="1" si="21"/>
        <v>0</v>
      </c>
      <c r="Z28" s="7">
        <f t="shared" ca="1" si="21"/>
        <v>0</v>
      </c>
      <c r="AA28" s="7">
        <f t="shared" ca="1" si="21"/>
        <v>0</v>
      </c>
      <c r="AB28" s="7">
        <f t="shared" ca="1" si="21"/>
        <v>0</v>
      </c>
      <c r="AC28" s="7">
        <f t="shared" ca="1" si="21"/>
        <v>0</v>
      </c>
      <c r="AD28" s="7">
        <f t="shared" ca="1" si="21"/>
        <v>0</v>
      </c>
      <c r="AE28" s="7">
        <f t="shared" ca="1" si="21"/>
        <v>0</v>
      </c>
      <c r="AF28" s="7">
        <f t="shared" ca="1" si="21"/>
        <v>0</v>
      </c>
      <c r="AG28" s="7">
        <f t="shared" ca="1" si="21"/>
        <v>0</v>
      </c>
      <c r="AH28" s="7">
        <f t="shared" ca="1" si="21"/>
        <v>0</v>
      </c>
      <c r="AI28" s="7">
        <f t="shared" ca="1" si="21"/>
        <v>0</v>
      </c>
      <c r="AJ28" s="7">
        <f t="shared" ca="1" si="21"/>
        <v>0</v>
      </c>
      <c r="AK28" s="7">
        <f t="shared" ca="1" si="21"/>
        <v>0</v>
      </c>
      <c r="AL28" s="7">
        <f t="shared" ca="1" si="21"/>
        <v>0</v>
      </c>
      <c r="AM28" s="7">
        <f t="shared" ca="1" si="21"/>
        <v>0</v>
      </c>
      <c r="AN28" s="7">
        <f t="shared" ca="1" si="21"/>
        <v>0</v>
      </c>
      <c r="AO28" s="7">
        <f t="shared" ca="1" si="21"/>
        <v>0</v>
      </c>
      <c r="AP28" s="7">
        <f t="shared" ca="1" si="21"/>
        <v>0</v>
      </c>
      <c r="AQ28" s="7">
        <f t="shared" ca="1" si="21"/>
        <v>0</v>
      </c>
      <c r="AR28" s="7">
        <f t="shared" ca="1" si="21"/>
        <v>0</v>
      </c>
      <c r="AS28" s="7">
        <f t="shared" ca="1" si="21"/>
        <v>0</v>
      </c>
      <c r="AT28" s="7">
        <f t="shared" ca="1" si="21"/>
        <v>0</v>
      </c>
      <c r="AU28" s="7">
        <f t="shared" ca="1" si="21"/>
        <v>0</v>
      </c>
      <c r="AV28" s="7">
        <f t="shared" ca="1" si="21"/>
        <v>0</v>
      </c>
      <c r="AW28" s="7">
        <f t="shared" ca="1" si="21"/>
        <v>0</v>
      </c>
      <c r="AX28" s="7">
        <f t="shared" ca="1" si="21"/>
        <v>0</v>
      </c>
      <c r="AY28" s="7">
        <f t="shared" ca="1" si="21"/>
        <v>0</v>
      </c>
      <c r="AZ28" s="7">
        <f t="shared" ca="1" si="21"/>
        <v>0</v>
      </c>
      <c r="BA28" s="7">
        <f t="shared" ca="1" si="21"/>
        <v>0</v>
      </c>
      <c r="BB28" s="7">
        <f t="shared" ca="1" si="21"/>
        <v>0</v>
      </c>
      <c r="BC28" s="7">
        <f t="shared" ca="1" si="21"/>
        <v>0</v>
      </c>
      <c r="BD28" s="7">
        <f t="shared" ca="1" si="21"/>
        <v>0</v>
      </c>
      <c r="BE28" s="7">
        <f t="shared" ca="1" si="21"/>
        <v>0</v>
      </c>
      <c r="BF28" s="7">
        <f t="shared" ca="1" si="21"/>
        <v>0</v>
      </c>
      <c r="BG28" s="7">
        <f t="shared" ca="1" si="21"/>
        <v>0</v>
      </c>
      <c r="BH28" s="7">
        <f t="shared" ca="1" si="21"/>
        <v>0</v>
      </c>
      <c r="BI28" s="7">
        <f t="shared" ca="1" si="21"/>
        <v>0</v>
      </c>
      <c r="BJ28" s="7">
        <f t="shared" ca="1" si="21"/>
        <v>0</v>
      </c>
      <c r="BK28" s="7">
        <f t="shared" ca="1" si="21"/>
        <v>0</v>
      </c>
      <c r="BL28" s="7">
        <f t="shared" ca="1" si="21"/>
        <v>0</v>
      </c>
      <c r="BM28" s="7">
        <f t="shared" ca="1" si="21"/>
        <v>0</v>
      </c>
      <c r="BN28" s="7">
        <f t="shared" ca="1" si="21"/>
        <v>0</v>
      </c>
      <c r="BO28" s="7">
        <f t="shared" ca="1" si="21"/>
        <v>0</v>
      </c>
      <c r="BP28" s="7">
        <f t="shared" ca="1" si="21"/>
        <v>0</v>
      </c>
      <c r="BQ28" s="7">
        <f t="shared" ca="1" si="21"/>
        <v>0</v>
      </c>
      <c r="BR28" s="7">
        <f t="shared" ca="1" si="21"/>
        <v>0</v>
      </c>
      <c r="BS28" s="7">
        <f t="shared" ca="1" si="21"/>
        <v>0</v>
      </c>
      <c r="BT28" s="7">
        <f t="shared" ca="1" si="21"/>
        <v>0</v>
      </c>
      <c r="BU28" s="7">
        <f t="shared" ca="1" si="21"/>
        <v>0</v>
      </c>
      <c r="BV28" s="7">
        <f t="shared" ca="1" si="21"/>
        <v>0</v>
      </c>
      <c r="BW28" s="7">
        <f t="shared" ca="1" si="21"/>
        <v>0</v>
      </c>
      <c r="BX28" s="7">
        <f t="shared" ca="1" si="21"/>
        <v>0</v>
      </c>
      <c r="BY28" s="7"/>
      <c r="BZ28" s="7"/>
    </row>
    <row r="29" spans="1:78" ht="15.75" customHeight="1">
      <c r="A29" s="7" t="str">
        <f t="shared" ca="1" si="2"/>
        <v/>
      </c>
      <c r="B29" s="18" t="e">
        <f t="shared" ca="1" si="3"/>
        <v>#N/A</v>
      </c>
      <c r="C29" s="8">
        <v>0</v>
      </c>
      <c r="D29" s="8">
        <v>13</v>
      </c>
      <c r="E29" s="7" t="e">
        <f t="shared" ca="1" si="9"/>
        <v>#N/A</v>
      </c>
      <c r="F29" s="7" t="e">
        <f ca="1">+VLOOKUP("*_"&amp;E29&amp;"_*",data!A:D,3,0)</f>
        <v>#N/A</v>
      </c>
      <c r="G29" s="7" t="e">
        <f ca="1">+VLOOKUP("*_"&amp;E29&amp;"_*",data!A:D,4,0)</f>
        <v>#N/A</v>
      </c>
      <c r="H29" s="7">
        <f ca="1">IFERROR(IF(VLOOKUP("*_"&amp;E29&amp;"_*",data!A:D,2,0)="",1,VLOOKUP("*_"&amp;E29&amp;"_*",data!A:D,2,0)),0)</f>
        <v>0</v>
      </c>
      <c r="I29" s="7">
        <f t="shared" ca="1" si="4"/>
        <v>26</v>
      </c>
      <c r="J29" s="7" t="str">
        <f t="shared" ca="1" si="5"/>
        <v/>
      </c>
      <c r="K29" s="7">
        <v>25</v>
      </c>
      <c r="L29" s="7" t="e">
        <f t="shared" ca="1" si="10"/>
        <v>#N/A</v>
      </c>
      <c r="M29" s="7" t="e">
        <f t="shared" ca="1" si="11"/>
        <v>#N/A</v>
      </c>
      <c r="N29" s="7" t="e">
        <f t="shared" ca="1" si="13"/>
        <v>#N/A</v>
      </c>
      <c r="O29" s="7">
        <f t="shared" ca="1" si="21"/>
        <v>0</v>
      </c>
      <c r="P29" s="7">
        <f t="shared" ca="1" si="21"/>
        <v>0</v>
      </c>
      <c r="Q29" s="7">
        <f t="shared" ca="1" si="21"/>
        <v>0</v>
      </c>
      <c r="R29" s="7">
        <f t="shared" ca="1" si="21"/>
        <v>0</v>
      </c>
      <c r="S29" s="7">
        <f t="shared" ca="1" si="21"/>
        <v>0</v>
      </c>
      <c r="T29" s="7">
        <f t="shared" ca="1" si="21"/>
        <v>0</v>
      </c>
      <c r="U29" s="7">
        <f t="shared" ca="1" si="21"/>
        <v>0</v>
      </c>
      <c r="V29" s="7">
        <f t="shared" ref="V29:BX29" ca="1" si="22">+IFERROR(IF(MATCH(V$4,$N$4:$BZ$4,0)=MATCH($N29,$N$4:$N$68,0),1+IFERROR(1/2*INDEX($N$4:$BZ$68,MATCH($L29,$N$4:$N$68,0),MATCH($M29,$N$4:$BZ$4,0)),0),IF(MATCH(V$4,$N$4:$BZ$4,0)&lt;MATCH($N29,$N$4:$N$68,0),(INDEX($N$4:$BZ$68,MATCH($L29,$N$4:$N$68,0),MATCH(V$4,$N$4:$BZ$4,0))+INDEX($N$4:$BZ$68,MATCH($M29,$N$4:$N$68,0),MATCH(V$4,$N$4:$BZ$4,0)))*1/2,(INDEX($N$4:$BZ$68,MATCH($N29,$N$4:$N$68,0),MATCH(V$2,$N$4:$BZ$4,0))+INDEX($N$4:$BZ$68,MATCH($N29,$N$4:$N$68,0),MATCH(V$3,$N$4:$BZ$4,0)))*1/2)),0)</f>
        <v>0</v>
      </c>
      <c r="W29" s="7">
        <f t="shared" ca="1" si="22"/>
        <v>0</v>
      </c>
      <c r="X29" s="7">
        <f t="shared" ca="1" si="22"/>
        <v>0</v>
      </c>
      <c r="Y29" s="7">
        <f t="shared" ca="1" si="22"/>
        <v>0</v>
      </c>
      <c r="Z29" s="7">
        <f t="shared" ca="1" si="22"/>
        <v>0</v>
      </c>
      <c r="AA29" s="7">
        <f t="shared" ca="1" si="22"/>
        <v>0</v>
      </c>
      <c r="AB29" s="7">
        <f t="shared" ca="1" si="22"/>
        <v>0</v>
      </c>
      <c r="AC29" s="7">
        <f t="shared" ca="1" si="22"/>
        <v>0</v>
      </c>
      <c r="AD29" s="7">
        <f t="shared" ca="1" si="22"/>
        <v>0</v>
      </c>
      <c r="AE29" s="7">
        <f t="shared" ca="1" si="22"/>
        <v>0</v>
      </c>
      <c r="AF29" s="7">
        <f t="shared" ca="1" si="22"/>
        <v>0</v>
      </c>
      <c r="AG29" s="7">
        <f t="shared" ca="1" si="22"/>
        <v>0</v>
      </c>
      <c r="AH29" s="7">
        <f t="shared" ca="1" si="22"/>
        <v>0</v>
      </c>
      <c r="AI29" s="7">
        <f t="shared" ca="1" si="22"/>
        <v>0</v>
      </c>
      <c r="AJ29" s="7">
        <f t="shared" ca="1" si="22"/>
        <v>0</v>
      </c>
      <c r="AK29" s="7">
        <f t="shared" ca="1" si="22"/>
        <v>0</v>
      </c>
      <c r="AL29" s="7">
        <f t="shared" ca="1" si="22"/>
        <v>0</v>
      </c>
      <c r="AM29" s="7">
        <f t="shared" ca="1" si="22"/>
        <v>0</v>
      </c>
      <c r="AN29" s="7">
        <f t="shared" ca="1" si="22"/>
        <v>0</v>
      </c>
      <c r="AO29" s="7">
        <f t="shared" ca="1" si="22"/>
        <v>0</v>
      </c>
      <c r="AP29" s="7">
        <f t="shared" ca="1" si="22"/>
        <v>0</v>
      </c>
      <c r="AQ29" s="7">
        <f t="shared" ca="1" si="22"/>
        <v>0</v>
      </c>
      <c r="AR29" s="7">
        <f t="shared" ca="1" si="22"/>
        <v>0</v>
      </c>
      <c r="AS29" s="7">
        <f t="shared" ca="1" si="22"/>
        <v>0</v>
      </c>
      <c r="AT29" s="7">
        <f t="shared" ca="1" si="22"/>
        <v>0</v>
      </c>
      <c r="AU29" s="7">
        <f t="shared" ca="1" si="22"/>
        <v>0</v>
      </c>
      <c r="AV29" s="7">
        <f t="shared" ca="1" si="22"/>
        <v>0</v>
      </c>
      <c r="AW29" s="7">
        <f t="shared" ca="1" si="22"/>
        <v>0</v>
      </c>
      <c r="AX29" s="7">
        <f t="shared" ca="1" si="22"/>
        <v>0</v>
      </c>
      <c r="AY29" s="7">
        <f t="shared" ca="1" si="22"/>
        <v>0</v>
      </c>
      <c r="AZ29" s="7">
        <f t="shared" ca="1" si="22"/>
        <v>0</v>
      </c>
      <c r="BA29" s="7">
        <f t="shared" ca="1" si="22"/>
        <v>0</v>
      </c>
      <c r="BB29" s="7">
        <f t="shared" ca="1" si="22"/>
        <v>0</v>
      </c>
      <c r="BC29" s="7">
        <f t="shared" ca="1" si="22"/>
        <v>0</v>
      </c>
      <c r="BD29" s="7">
        <f t="shared" ca="1" si="22"/>
        <v>0</v>
      </c>
      <c r="BE29" s="7">
        <f t="shared" ca="1" si="22"/>
        <v>0</v>
      </c>
      <c r="BF29" s="7">
        <f t="shared" ca="1" si="22"/>
        <v>0</v>
      </c>
      <c r="BG29" s="7">
        <f t="shared" ca="1" si="22"/>
        <v>0</v>
      </c>
      <c r="BH29" s="7">
        <f t="shared" ca="1" si="22"/>
        <v>0</v>
      </c>
      <c r="BI29" s="7">
        <f t="shared" ca="1" si="22"/>
        <v>0</v>
      </c>
      <c r="BJ29" s="7">
        <f t="shared" ca="1" si="22"/>
        <v>0</v>
      </c>
      <c r="BK29" s="7">
        <f t="shared" ca="1" si="22"/>
        <v>0</v>
      </c>
      <c r="BL29" s="7">
        <f t="shared" ca="1" si="22"/>
        <v>0</v>
      </c>
      <c r="BM29" s="7">
        <f t="shared" ca="1" si="22"/>
        <v>0</v>
      </c>
      <c r="BN29" s="7">
        <f t="shared" ca="1" si="22"/>
        <v>0</v>
      </c>
      <c r="BO29" s="7">
        <f t="shared" ca="1" si="22"/>
        <v>0</v>
      </c>
      <c r="BP29" s="7">
        <f t="shared" ca="1" si="22"/>
        <v>0</v>
      </c>
      <c r="BQ29" s="7">
        <f t="shared" ca="1" si="22"/>
        <v>0</v>
      </c>
      <c r="BR29" s="7">
        <f t="shared" ca="1" si="22"/>
        <v>0</v>
      </c>
      <c r="BS29" s="7">
        <f t="shared" ca="1" si="22"/>
        <v>0</v>
      </c>
      <c r="BT29" s="7">
        <f t="shared" ca="1" si="22"/>
        <v>0</v>
      </c>
      <c r="BU29" s="7">
        <f t="shared" ca="1" si="22"/>
        <v>0</v>
      </c>
      <c r="BV29" s="7">
        <f t="shared" ca="1" si="22"/>
        <v>0</v>
      </c>
      <c r="BW29" s="7">
        <f t="shared" ca="1" si="22"/>
        <v>0</v>
      </c>
      <c r="BX29" s="7">
        <f t="shared" ca="1" si="22"/>
        <v>0</v>
      </c>
      <c r="BY29" s="7"/>
      <c r="BZ29" s="7"/>
    </row>
    <row r="30" spans="1:78" ht="15.75" customHeight="1">
      <c r="A30" s="7" t="str">
        <f t="shared" ca="1" si="2"/>
        <v/>
      </c>
      <c r="B30" s="18" t="e">
        <f t="shared" ca="1" si="3"/>
        <v>#N/A</v>
      </c>
      <c r="C30" s="8">
        <v>1</v>
      </c>
      <c r="D30" s="8">
        <v>13</v>
      </c>
      <c r="E30" s="7" t="e">
        <f t="shared" ca="1" si="9"/>
        <v>#N/A</v>
      </c>
      <c r="F30" s="7" t="e">
        <f ca="1">+VLOOKUP("*_"&amp;E30&amp;"_*",data!A:D,3,0)</f>
        <v>#N/A</v>
      </c>
      <c r="G30" s="7" t="e">
        <f ca="1">+VLOOKUP("*_"&amp;E30&amp;"_*",data!A:D,4,0)</f>
        <v>#N/A</v>
      </c>
      <c r="H30" s="7">
        <f ca="1">IFERROR(IF(VLOOKUP("*_"&amp;E30&amp;"_*",data!A:D,2,0)="",1,VLOOKUP("*_"&amp;E30&amp;"_*",data!A:D,2,0)),0)</f>
        <v>0</v>
      </c>
      <c r="I30" s="7">
        <f t="shared" ca="1" si="4"/>
        <v>27</v>
      </c>
      <c r="J30" s="7" t="str">
        <f t="shared" ca="1" si="5"/>
        <v/>
      </c>
      <c r="K30" s="7">
        <v>26</v>
      </c>
      <c r="L30" s="7" t="e">
        <f t="shared" ca="1" si="10"/>
        <v>#N/A</v>
      </c>
      <c r="M30" s="7" t="e">
        <f ca="1">+VLOOKUP(N30,$E$3:$H$66,3,0)</f>
        <v>#N/A</v>
      </c>
      <c r="N30" s="7" t="e">
        <f t="shared" ca="1" si="13"/>
        <v>#N/A</v>
      </c>
      <c r="O30" s="7">
        <f t="shared" ref="O30:BX34" ca="1" si="23">+IFERROR(IF(MATCH(O$4,$N$4:$BZ$4,0)=MATCH($N30,$N$4:$N$68,0),1+IFERROR(1/2*INDEX($N$4:$BZ$68,MATCH($L30,$N$4:$N$68,0),MATCH($M30,$N$4:$BZ$4,0)),0),IF(MATCH(O$4,$N$4:$BZ$4,0)&lt;MATCH($N30,$N$4:$N$68,0),(INDEX($N$4:$BZ$68,MATCH($L30,$N$4:$N$68,0),MATCH(O$4,$N$4:$BZ$4,0))+INDEX($N$4:$BZ$68,MATCH($M30,$N$4:$N$68,0),MATCH(O$4,$N$4:$BZ$4,0)))*1/2,(INDEX($N$4:$BZ$68,MATCH($N30,$N$4:$N$68,0),MATCH(O$2,$N$4:$BZ$4,0))+INDEX($N$4:$BZ$68,MATCH($N30,$N$4:$N$68,0),MATCH(O$3,$N$4:$BZ$4,0)))*1/2)),0)</f>
        <v>0</v>
      </c>
      <c r="P30" s="7">
        <f t="shared" ca="1" si="23"/>
        <v>0</v>
      </c>
      <c r="Q30" s="7">
        <f t="shared" ca="1" si="23"/>
        <v>0</v>
      </c>
      <c r="R30" s="7">
        <f t="shared" ca="1" si="23"/>
        <v>0</v>
      </c>
      <c r="S30" s="7">
        <f t="shared" ca="1" si="23"/>
        <v>0</v>
      </c>
      <c r="T30" s="7">
        <f t="shared" ca="1" si="23"/>
        <v>0</v>
      </c>
      <c r="U30" s="7">
        <f t="shared" ca="1" si="23"/>
        <v>0</v>
      </c>
      <c r="V30" s="7">
        <f t="shared" ca="1" si="23"/>
        <v>0</v>
      </c>
      <c r="W30" s="7">
        <f t="shared" ca="1" si="23"/>
        <v>0</v>
      </c>
      <c r="X30" s="7">
        <f t="shared" ca="1" si="23"/>
        <v>0</v>
      </c>
      <c r="Y30" s="7">
        <f t="shared" ca="1" si="23"/>
        <v>0</v>
      </c>
      <c r="Z30" s="7">
        <f t="shared" ca="1" si="23"/>
        <v>0</v>
      </c>
      <c r="AA30" s="7">
        <f t="shared" ca="1" si="23"/>
        <v>0</v>
      </c>
      <c r="AB30" s="7">
        <f t="shared" ca="1" si="23"/>
        <v>0</v>
      </c>
      <c r="AC30" s="7">
        <f t="shared" ca="1" si="23"/>
        <v>0</v>
      </c>
      <c r="AD30" s="7">
        <f t="shared" ca="1" si="23"/>
        <v>0</v>
      </c>
      <c r="AE30" s="7">
        <f t="shared" ca="1" si="23"/>
        <v>0</v>
      </c>
      <c r="AF30" s="7">
        <f t="shared" ca="1" si="23"/>
        <v>0</v>
      </c>
      <c r="AG30" s="7">
        <f t="shared" ca="1" si="23"/>
        <v>0</v>
      </c>
      <c r="AH30" s="7">
        <f t="shared" ca="1" si="23"/>
        <v>0</v>
      </c>
      <c r="AI30" s="7">
        <f t="shared" ca="1" si="23"/>
        <v>0</v>
      </c>
      <c r="AJ30" s="7">
        <f t="shared" ca="1" si="23"/>
        <v>0</v>
      </c>
      <c r="AK30" s="7">
        <f t="shared" ca="1" si="23"/>
        <v>0</v>
      </c>
      <c r="AL30" s="7">
        <f t="shared" ca="1" si="23"/>
        <v>0</v>
      </c>
      <c r="AM30" s="7">
        <f t="shared" ca="1" si="23"/>
        <v>0</v>
      </c>
      <c r="AN30" s="7">
        <f t="shared" ca="1" si="23"/>
        <v>0</v>
      </c>
      <c r="AO30" s="7">
        <f t="shared" ca="1" si="23"/>
        <v>0</v>
      </c>
      <c r="AP30" s="7">
        <f t="shared" ca="1" si="23"/>
        <v>0</v>
      </c>
      <c r="AQ30" s="7">
        <f t="shared" ca="1" si="23"/>
        <v>0</v>
      </c>
      <c r="AR30" s="7">
        <f t="shared" ca="1" si="23"/>
        <v>0</v>
      </c>
      <c r="AS30" s="7">
        <f t="shared" ca="1" si="23"/>
        <v>0</v>
      </c>
      <c r="AT30" s="7">
        <f t="shared" ca="1" si="23"/>
        <v>0</v>
      </c>
      <c r="AU30" s="7">
        <f t="shared" ca="1" si="23"/>
        <v>0</v>
      </c>
      <c r="AV30" s="7">
        <f t="shared" ca="1" si="23"/>
        <v>0</v>
      </c>
      <c r="AW30" s="7">
        <f t="shared" ca="1" si="23"/>
        <v>0</v>
      </c>
      <c r="AX30" s="7">
        <f t="shared" ca="1" si="23"/>
        <v>0</v>
      </c>
      <c r="AY30" s="7">
        <f t="shared" ca="1" si="23"/>
        <v>0</v>
      </c>
      <c r="AZ30" s="7">
        <f t="shared" ca="1" si="23"/>
        <v>0</v>
      </c>
      <c r="BA30" s="7">
        <f t="shared" ca="1" si="23"/>
        <v>0</v>
      </c>
      <c r="BB30" s="7">
        <f t="shared" ca="1" si="23"/>
        <v>0</v>
      </c>
      <c r="BC30" s="7">
        <f t="shared" ca="1" si="23"/>
        <v>0</v>
      </c>
      <c r="BD30" s="7">
        <f t="shared" ca="1" si="23"/>
        <v>0</v>
      </c>
      <c r="BE30" s="7">
        <f t="shared" ca="1" si="23"/>
        <v>0</v>
      </c>
      <c r="BF30" s="7">
        <f t="shared" ca="1" si="23"/>
        <v>0</v>
      </c>
      <c r="BG30" s="7">
        <f t="shared" ca="1" si="23"/>
        <v>0</v>
      </c>
      <c r="BH30" s="7">
        <f t="shared" ca="1" si="23"/>
        <v>0</v>
      </c>
      <c r="BI30" s="7">
        <f t="shared" ca="1" si="23"/>
        <v>0</v>
      </c>
      <c r="BJ30" s="7">
        <f t="shared" ca="1" si="23"/>
        <v>0</v>
      </c>
      <c r="BK30" s="7">
        <f t="shared" ca="1" si="23"/>
        <v>0</v>
      </c>
      <c r="BL30" s="7">
        <f t="shared" ca="1" si="23"/>
        <v>0</v>
      </c>
      <c r="BM30" s="7">
        <f t="shared" ca="1" si="23"/>
        <v>0</v>
      </c>
      <c r="BN30" s="7">
        <f t="shared" ca="1" si="23"/>
        <v>0</v>
      </c>
      <c r="BO30" s="7">
        <f t="shared" ca="1" si="23"/>
        <v>0</v>
      </c>
      <c r="BP30" s="7">
        <f t="shared" ca="1" si="23"/>
        <v>0</v>
      </c>
      <c r="BQ30" s="7">
        <f t="shared" ca="1" si="23"/>
        <v>0</v>
      </c>
      <c r="BR30" s="7">
        <f t="shared" ca="1" si="23"/>
        <v>0</v>
      </c>
      <c r="BS30" s="7">
        <f t="shared" ca="1" si="23"/>
        <v>0</v>
      </c>
      <c r="BT30" s="7">
        <f t="shared" ca="1" si="23"/>
        <v>0</v>
      </c>
      <c r="BU30" s="7">
        <f t="shared" ca="1" si="23"/>
        <v>0</v>
      </c>
      <c r="BV30" s="7">
        <f t="shared" ca="1" si="23"/>
        <v>0</v>
      </c>
      <c r="BW30" s="7">
        <f t="shared" ca="1" si="23"/>
        <v>0</v>
      </c>
      <c r="BX30" s="7">
        <f t="shared" ca="1" si="23"/>
        <v>0</v>
      </c>
      <c r="BY30" s="7"/>
      <c r="BZ30" s="7"/>
    </row>
    <row r="31" spans="1:78" ht="15.75" customHeight="1">
      <c r="A31" s="7" t="str">
        <f t="shared" ca="1" si="2"/>
        <v/>
      </c>
      <c r="B31" s="18" t="e">
        <f t="shared" ca="1" si="3"/>
        <v>#N/A</v>
      </c>
      <c r="C31" s="8">
        <v>0</v>
      </c>
      <c r="D31" s="8">
        <v>14</v>
      </c>
      <c r="E31" s="7" t="e">
        <f t="shared" ca="1" si="9"/>
        <v>#N/A</v>
      </c>
      <c r="F31" s="7" t="e">
        <f ca="1">+VLOOKUP("*_"&amp;E31&amp;"_*",data!A:D,3,0)</f>
        <v>#N/A</v>
      </c>
      <c r="G31" s="7" t="e">
        <f ca="1">+VLOOKUP("*_"&amp;E31&amp;"_*",data!A:D,4,0)</f>
        <v>#N/A</v>
      </c>
      <c r="H31" s="7">
        <f ca="1">IFERROR(IF(VLOOKUP("*_"&amp;E31&amp;"_*",data!A:D,2,0)="",1,VLOOKUP("*_"&amp;E31&amp;"_*",data!A:D,2,0)),0)</f>
        <v>0</v>
      </c>
      <c r="I31" s="7">
        <f t="shared" ca="1" si="4"/>
        <v>28</v>
      </c>
      <c r="J31" s="7" t="str">
        <f t="shared" ca="1" si="5"/>
        <v/>
      </c>
      <c r="K31" s="7">
        <v>27</v>
      </c>
      <c r="L31" s="7" t="e">
        <f t="shared" ca="1" si="10"/>
        <v>#N/A</v>
      </c>
      <c r="M31" s="7" t="e">
        <f t="shared" ca="1" si="11"/>
        <v>#N/A</v>
      </c>
      <c r="N31" s="7" t="e">
        <f t="shared" ca="1" si="13"/>
        <v>#N/A</v>
      </c>
      <c r="O31" s="7">
        <f t="shared" ca="1" si="23"/>
        <v>0</v>
      </c>
      <c r="P31" s="7">
        <f t="shared" ca="1" si="23"/>
        <v>0</v>
      </c>
      <c r="Q31" s="7">
        <f t="shared" ca="1" si="23"/>
        <v>0</v>
      </c>
      <c r="R31" s="7">
        <f t="shared" ca="1" si="23"/>
        <v>0</v>
      </c>
      <c r="S31" s="7">
        <f t="shared" ca="1" si="23"/>
        <v>0</v>
      </c>
      <c r="T31" s="7">
        <f t="shared" ca="1" si="23"/>
        <v>0</v>
      </c>
      <c r="U31" s="7">
        <f t="shared" ca="1" si="23"/>
        <v>0</v>
      </c>
      <c r="V31" s="7">
        <f t="shared" ca="1" si="23"/>
        <v>0</v>
      </c>
      <c r="W31" s="7">
        <f t="shared" ca="1" si="23"/>
        <v>0</v>
      </c>
      <c r="X31" s="7">
        <f t="shared" ca="1" si="23"/>
        <v>0</v>
      </c>
      <c r="Y31" s="7">
        <f t="shared" ca="1" si="23"/>
        <v>0</v>
      </c>
      <c r="Z31" s="7">
        <f t="shared" ca="1" si="23"/>
        <v>0</v>
      </c>
      <c r="AA31" s="7">
        <f t="shared" ca="1" si="23"/>
        <v>0</v>
      </c>
      <c r="AB31" s="7">
        <f t="shared" ca="1" si="23"/>
        <v>0</v>
      </c>
      <c r="AC31" s="7">
        <f t="shared" ca="1" si="23"/>
        <v>0</v>
      </c>
      <c r="AD31" s="7">
        <f t="shared" ca="1" si="23"/>
        <v>0</v>
      </c>
      <c r="AE31" s="7">
        <f t="shared" ca="1" si="23"/>
        <v>0</v>
      </c>
      <c r="AF31" s="7">
        <f t="shared" ca="1" si="23"/>
        <v>0</v>
      </c>
      <c r="AG31" s="7">
        <f t="shared" ca="1" si="23"/>
        <v>0</v>
      </c>
      <c r="AH31" s="7">
        <f t="shared" ca="1" si="23"/>
        <v>0</v>
      </c>
      <c r="AI31" s="7">
        <f t="shared" ca="1" si="23"/>
        <v>0</v>
      </c>
      <c r="AJ31" s="7">
        <f t="shared" ca="1" si="23"/>
        <v>0</v>
      </c>
      <c r="AK31" s="7">
        <f t="shared" ca="1" si="23"/>
        <v>0</v>
      </c>
      <c r="AL31" s="7">
        <f t="shared" ca="1" si="23"/>
        <v>0</v>
      </c>
      <c r="AM31" s="7">
        <f t="shared" ca="1" si="23"/>
        <v>0</v>
      </c>
      <c r="AN31" s="7">
        <f t="shared" ca="1" si="23"/>
        <v>0</v>
      </c>
      <c r="AO31" s="7">
        <f t="shared" ca="1" si="23"/>
        <v>0</v>
      </c>
      <c r="AP31" s="7">
        <f t="shared" ca="1" si="23"/>
        <v>0</v>
      </c>
      <c r="AQ31" s="7">
        <f t="shared" ca="1" si="23"/>
        <v>0</v>
      </c>
      <c r="AR31" s="7">
        <f t="shared" ca="1" si="23"/>
        <v>0</v>
      </c>
      <c r="AS31" s="7">
        <f t="shared" ca="1" si="23"/>
        <v>0</v>
      </c>
      <c r="AT31" s="7">
        <f t="shared" ca="1" si="23"/>
        <v>0</v>
      </c>
      <c r="AU31" s="7">
        <f t="shared" ca="1" si="23"/>
        <v>0</v>
      </c>
      <c r="AV31" s="7">
        <f t="shared" ca="1" si="23"/>
        <v>0</v>
      </c>
      <c r="AW31" s="7">
        <f t="shared" ca="1" si="23"/>
        <v>0</v>
      </c>
      <c r="AX31" s="7">
        <f t="shared" ca="1" si="23"/>
        <v>0</v>
      </c>
      <c r="AY31" s="7">
        <f t="shared" ca="1" si="23"/>
        <v>0</v>
      </c>
      <c r="AZ31" s="7">
        <f t="shared" ca="1" si="23"/>
        <v>0</v>
      </c>
      <c r="BA31" s="7">
        <f t="shared" ca="1" si="23"/>
        <v>0</v>
      </c>
      <c r="BB31" s="7">
        <f t="shared" ca="1" si="23"/>
        <v>0</v>
      </c>
      <c r="BC31" s="7">
        <f t="shared" ca="1" si="23"/>
        <v>0</v>
      </c>
      <c r="BD31" s="7">
        <f t="shared" ca="1" si="23"/>
        <v>0</v>
      </c>
      <c r="BE31" s="7">
        <f t="shared" ca="1" si="23"/>
        <v>0</v>
      </c>
      <c r="BF31" s="7">
        <f t="shared" ca="1" si="23"/>
        <v>0</v>
      </c>
      <c r="BG31" s="7">
        <f t="shared" ca="1" si="23"/>
        <v>0</v>
      </c>
      <c r="BH31" s="7">
        <f t="shared" ca="1" si="23"/>
        <v>0</v>
      </c>
      <c r="BI31" s="7">
        <f t="shared" ca="1" si="23"/>
        <v>0</v>
      </c>
      <c r="BJ31" s="7">
        <f t="shared" ca="1" si="23"/>
        <v>0</v>
      </c>
      <c r="BK31" s="7">
        <f t="shared" ca="1" si="23"/>
        <v>0</v>
      </c>
      <c r="BL31" s="7">
        <f t="shared" ca="1" si="23"/>
        <v>0</v>
      </c>
      <c r="BM31" s="7">
        <f t="shared" ca="1" si="23"/>
        <v>0</v>
      </c>
      <c r="BN31" s="7">
        <f t="shared" ca="1" si="23"/>
        <v>0</v>
      </c>
      <c r="BO31" s="7">
        <f t="shared" ca="1" si="23"/>
        <v>0</v>
      </c>
      <c r="BP31" s="7">
        <f t="shared" ca="1" si="23"/>
        <v>0</v>
      </c>
      <c r="BQ31" s="7">
        <f t="shared" ca="1" si="23"/>
        <v>0</v>
      </c>
      <c r="BR31" s="7">
        <f t="shared" ca="1" si="23"/>
        <v>0</v>
      </c>
      <c r="BS31" s="7">
        <f t="shared" ca="1" si="23"/>
        <v>0</v>
      </c>
      <c r="BT31" s="7">
        <f t="shared" ca="1" si="23"/>
        <v>0</v>
      </c>
      <c r="BU31" s="7">
        <f t="shared" ca="1" si="23"/>
        <v>0</v>
      </c>
      <c r="BV31" s="7">
        <f t="shared" ca="1" si="23"/>
        <v>0</v>
      </c>
      <c r="BW31" s="7">
        <f t="shared" ca="1" si="23"/>
        <v>0</v>
      </c>
      <c r="BX31" s="7">
        <f t="shared" ca="1" si="23"/>
        <v>0</v>
      </c>
      <c r="BY31" s="7"/>
      <c r="BZ31" s="7"/>
    </row>
    <row r="32" spans="1:78" ht="15.75" customHeight="1">
      <c r="A32" s="7" t="str">
        <f t="shared" ca="1" si="2"/>
        <v/>
      </c>
      <c r="B32" s="18" t="e">
        <f t="shared" ca="1" si="3"/>
        <v>#N/A</v>
      </c>
      <c r="C32" s="8">
        <v>1</v>
      </c>
      <c r="D32" s="8">
        <v>14</v>
      </c>
      <c r="E32" s="7" t="e">
        <f t="shared" ca="1" si="9"/>
        <v>#N/A</v>
      </c>
      <c r="F32" s="7" t="e">
        <f ca="1">+VLOOKUP("*_"&amp;E32&amp;"_*",data!A:D,3,0)</f>
        <v>#N/A</v>
      </c>
      <c r="G32" s="7" t="e">
        <f ca="1">+VLOOKUP("*_"&amp;E32&amp;"_*",data!A:D,4,0)</f>
        <v>#N/A</v>
      </c>
      <c r="H32" s="7">
        <f ca="1">IFERROR(IF(VLOOKUP("*_"&amp;E32&amp;"_*",data!A:D,2,0)="",1,VLOOKUP("*_"&amp;E32&amp;"_*",data!A:D,2,0)),0)</f>
        <v>0</v>
      </c>
      <c r="I32" s="7">
        <f t="shared" ca="1" si="4"/>
        <v>29</v>
      </c>
      <c r="J32" s="7" t="str">
        <f t="shared" ca="1" si="5"/>
        <v/>
      </c>
      <c r="K32" s="7">
        <v>28</v>
      </c>
      <c r="L32" s="7" t="e">
        <f t="shared" ca="1" si="10"/>
        <v>#N/A</v>
      </c>
      <c r="M32" s="7" t="e">
        <f t="shared" ca="1" si="11"/>
        <v>#N/A</v>
      </c>
      <c r="N32" s="7" t="e">
        <f t="shared" ca="1" si="13"/>
        <v>#N/A</v>
      </c>
      <c r="O32" s="7">
        <f t="shared" ca="1" si="23"/>
        <v>0</v>
      </c>
      <c r="P32" s="7">
        <f t="shared" ca="1" si="23"/>
        <v>0</v>
      </c>
      <c r="Q32" s="7">
        <f t="shared" ca="1" si="23"/>
        <v>0</v>
      </c>
      <c r="R32" s="7">
        <f t="shared" ca="1" si="23"/>
        <v>0</v>
      </c>
      <c r="S32" s="7">
        <f t="shared" ca="1" si="23"/>
        <v>0</v>
      </c>
      <c r="T32" s="7">
        <f t="shared" ca="1" si="23"/>
        <v>0</v>
      </c>
      <c r="U32" s="7">
        <f t="shared" ca="1" si="23"/>
        <v>0</v>
      </c>
      <c r="V32" s="7">
        <f t="shared" ca="1" si="23"/>
        <v>0</v>
      </c>
      <c r="W32" s="7">
        <f t="shared" ca="1" si="23"/>
        <v>0</v>
      </c>
      <c r="X32" s="7">
        <f t="shared" ca="1" si="23"/>
        <v>0</v>
      </c>
      <c r="Y32" s="7">
        <f t="shared" ca="1" si="23"/>
        <v>0</v>
      </c>
      <c r="Z32" s="7">
        <f t="shared" ca="1" si="23"/>
        <v>0</v>
      </c>
      <c r="AA32" s="7">
        <f t="shared" ca="1" si="23"/>
        <v>0</v>
      </c>
      <c r="AB32" s="7">
        <f t="shared" ca="1" si="23"/>
        <v>0</v>
      </c>
      <c r="AC32" s="7">
        <f t="shared" ca="1" si="23"/>
        <v>0</v>
      </c>
      <c r="AD32" s="7">
        <f t="shared" ca="1" si="23"/>
        <v>0</v>
      </c>
      <c r="AE32" s="7">
        <f t="shared" ca="1" si="23"/>
        <v>0</v>
      </c>
      <c r="AF32" s="7">
        <f t="shared" ca="1" si="23"/>
        <v>0</v>
      </c>
      <c r="AG32" s="7">
        <f t="shared" ca="1" si="23"/>
        <v>0</v>
      </c>
      <c r="AH32" s="7">
        <f t="shared" ca="1" si="23"/>
        <v>0</v>
      </c>
      <c r="AI32" s="7">
        <f t="shared" ca="1" si="23"/>
        <v>0</v>
      </c>
      <c r="AJ32" s="7">
        <f t="shared" ca="1" si="23"/>
        <v>0</v>
      </c>
      <c r="AK32" s="7">
        <f t="shared" ca="1" si="23"/>
        <v>0</v>
      </c>
      <c r="AL32" s="7">
        <f t="shared" ca="1" si="23"/>
        <v>0</v>
      </c>
      <c r="AM32" s="7">
        <f t="shared" ca="1" si="23"/>
        <v>0</v>
      </c>
      <c r="AN32" s="7">
        <f t="shared" ca="1" si="23"/>
        <v>0</v>
      </c>
      <c r="AO32" s="7">
        <f t="shared" ca="1" si="23"/>
        <v>0</v>
      </c>
      <c r="AP32" s="7">
        <f t="shared" ca="1" si="23"/>
        <v>0</v>
      </c>
      <c r="AQ32" s="7">
        <f t="shared" ca="1" si="23"/>
        <v>0</v>
      </c>
      <c r="AR32" s="7">
        <f t="shared" ca="1" si="23"/>
        <v>0</v>
      </c>
      <c r="AS32" s="7">
        <f t="shared" ca="1" si="23"/>
        <v>0</v>
      </c>
      <c r="AT32" s="7">
        <f t="shared" ca="1" si="23"/>
        <v>0</v>
      </c>
      <c r="AU32" s="7">
        <f t="shared" ca="1" si="23"/>
        <v>0</v>
      </c>
      <c r="AV32" s="7">
        <f t="shared" ca="1" si="23"/>
        <v>0</v>
      </c>
      <c r="AW32" s="7">
        <f t="shared" ca="1" si="23"/>
        <v>0</v>
      </c>
      <c r="AX32" s="7">
        <f t="shared" ca="1" si="23"/>
        <v>0</v>
      </c>
      <c r="AY32" s="7">
        <f t="shared" ca="1" si="23"/>
        <v>0</v>
      </c>
      <c r="AZ32" s="7">
        <f t="shared" ca="1" si="23"/>
        <v>0</v>
      </c>
      <c r="BA32" s="7">
        <f t="shared" ca="1" si="23"/>
        <v>0</v>
      </c>
      <c r="BB32" s="7">
        <f t="shared" ca="1" si="23"/>
        <v>0</v>
      </c>
      <c r="BC32" s="7">
        <f t="shared" ca="1" si="23"/>
        <v>0</v>
      </c>
      <c r="BD32" s="7">
        <f t="shared" ca="1" si="23"/>
        <v>0</v>
      </c>
      <c r="BE32" s="7">
        <f t="shared" ca="1" si="23"/>
        <v>0</v>
      </c>
      <c r="BF32" s="7">
        <f t="shared" ca="1" si="23"/>
        <v>0</v>
      </c>
      <c r="BG32" s="7">
        <f t="shared" ca="1" si="23"/>
        <v>0</v>
      </c>
      <c r="BH32" s="7">
        <f t="shared" ca="1" si="23"/>
        <v>0</v>
      </c>
      <c r="BI32" s="7">
        <f t="shared" ca="1" si="23"/>
        <v>0</v>
      </c>
      <c r="BJ32" s="7">
        <f t="shared" ca="1" si="23"/>
        <v>0</v>
      </c>
      <c r="BK32" s="7">
        <f t="shared" ca="1" si="23"/>
        <v>0</v>
      </c>
      <c r="BL32" s="7">
        <f t="shared" ca="1" si="23"/>
        <v>0</v>
      </c>
      <c r="BM32" s="7">
        <f t="shared" ca="1" si="23"/>
        <v>0</v>
      </c>
      <c r="BN32" s="7">
        <f t="shared" ca="1" si="23"/>
        <v>0</v>
      </c>
      <c r="BO32" s="7">
        <f t="shared" ca="1" si="23"/>
        <v>0</v>
      </c>
      <c r="BP32" s="7">
        <f t="shared" ca="1" si="23"/>
        <v>0</v>
      </c>
      <c r="BQ32" s="7">
        <f t="shared" ca="1" si="23"/>
        <v>0</v>
      </c>
      <c r="BR32" s="7">
        <f t="shared" ca="1" si="23"/>
        <v>0</v>
      </c>
      <c r="BS32" s="7">
        <f t="shared" ca="1" si="23"/>
        <v>0</v>
      </c>
      <c r="BT32" s="7">
        <f t="shared" ca="1" si="23"/>
        <v>0</v>
      </c>
      <c r="BU32" s="7">
        <f t="shared" ca="1" si="23"/>
        <v>0</v>
      </c>
      <c r="BV32" s="7">
        <f t="shared" ca="1" si="23"/>
        <v>0</v>
      </c>
      <c r="BW32" s="7">
        <f t="shared" ca="1" si="23"/>
        <v>0</v>
      </c>
      <c r="BX32" s="7">
        <f t="shared" ca="1" si="23"/>
        <v>0</v>
      </c>
      <c r="BY32" s="7"/>
      <c r="BZ32" s="7"/>
    </row>
    <row r="33" spans="1:78" ht="15.75" customHeight="1">
      <c r="A33" s="7" t="str">
        <f t="shared" ca="1" si="2"/>
        <v/>
      </c>
      <c r="B33" s="18" t="e">
        <f t="shared" ca="1" si="3"/>
        <v>#N/A</v>
      </c>
      <c r="C33" s="8">
        <v>0</v>
      </c>
      <c r="D33" s="8">
        <v>15</v>
      </c>
      <c r="E33" s="7" t="e">
        <f t="shared" ca="1" si="9"/>
        <v>#N/A</v>
      </c>
      <c r="F33" s="7" t="e">
        <f ca="1">+VLOOKUP("*_"&amp;E33&amp;"_*",data!A:D,3,0)</f>
        <v>#N/A</v>
      </c>
      <c r="G33" s="7" t="e">
        <f ca="1">+VLOOKUP("*_"&amp;E33&amp;"_*",data!A:D,4,0)</f>
        <v>#N/A</v>
      </c>
      <c r="H33" s="7">
        <f ca="1">IFERROR(IF(VLOOKUP("*_"&amp;E33&amp;"_*",data!A:D,2,0)="",1,VLOOKUP("*_"&amp;E33&amp;"_*",data!A:D,2,0)),0)</f>
        <v>0</v>
      </c>
      <c r="I33" s="7">
        <f t="shared" ca="1" si="4"/>
        <v>30</v>
      </c>
      <c r="J33" s="7" t="str">
        <f t="shared" ca="1" si="5"/>
        <v/>
      </c>
      <c r="K33" s="7">
        <v>29</v>
      </c>
      <c r="L33" s="7" t="e">
        <f t="shared" ca="1" si="10"/>
        <v>#N/A</v>
      </c>
      <c r="M33" s="7" t="e">
        <f t="shared" ca="1" si="11"/>
        <v>#N/A</v>
      </c>
      <c r="N33" s="7" t="e">
        <f t="shared" ca="1" si="13"/>
        <v>#N/A</v>
      </c>
      <c r="O33" s="7">
        <f t="shared" ca="1" si="23"/>
        <v>0</v>
      </c>
      <c r="P33" s="7">
        <f t="shared" ca="1" si="23"/>
        <v>0</v>
      </c>
      <c r="Q33" s="7">
        <f t="shared" ca="1" si="23"/>
        <v>0</v>
      </c>
      <c r="R33" s="7">
        <f t="shared" ca="1" si="23"/>
        <v>0</v>
      </c>
      <c r="S33" s="7">
        <f t="shared" ca="1" si="23"/>
        <v>0</v>
      </c>
      <c r="T33" s="7">
        <f t="shared" ca="1" si="23"/>
        <v>0</v>
      </c>
      <c r="U33" s="7">
        <f t="shared" ca="1" si="23"/>
        <v>0</v>
      </c>
      <c r="V33" s="7">
        <f t="shared" ca="1" si="23"/>
        <v>0</v>
      </c>
      <c r="W33" s="7">
        <f t="shared" ca="1" si="23"/>
        <v>0</v>
      </c>
      <c r="X33" s="7">
        <f t="shared" ca="1" si="23"/>
        <v>0</v>
      </c>
      <c r="Y33" s="7">
        <f t="shared" ca="1" si="23"/>
        <v>0</v>
      </c>
      <c r="Z33" s="7">
        <f t="shared" ca="1" si="23"/>
        <v>0</v>
      </c>
      <c r="AA33" s="7">
        <f t="shared" ca="1" si="23"/>
        <v>0</v>
      </c>
      <c r="AB33" s="7">
        <f t="shared" ca="1" si="23"/>
        <v>0</v>
      </c>
      <c r="AC33" s="7">
        <f t="shared" ca="1" si="23"/>
        <v>0</v>
      </c>
      <c r="AD33" s="7">
        <f t="shared" ca="1" si="23"/>
        <v>0</v>
      </c>
      <c r="AE33" s="7">
        <f t="shared" ca="1" si="23"/>
        <v>0</v>
      </c>
      <c r="AF33" s="7">
        <f t="shared" ca="1" si="23"/>
        <v>0</v>
      </c>
      <c r="AG33" s="7">
        <f t="shared" ca="1" si="23"/>
        <v>0</v>
      </c>
      <c r="AH33" s="7">
        <f t="shared" ca="1" si="23"/>
        <v>0</v>
      </c>
      <c r="AI33" s="7">
        <f t="shared" ca="1" si="23"/>
        <v>0</v>
      </c>
      <c r="AJ33" s="7">
        <f t="shared" ca="1" si="23"/>
        <v>0</v>
      </c>
      <c r="AK33" s="7">
        <f t="shared" ca="1" si="23"/>
        <v>0</v>
      </c>
      <c r="AL33" s="7">
        <f t="shared" ca="1" si="23"/>
        <v>0</v>
      </c>
      <c r="AM33" s="7">
        <f t="shared" ca="1" si="23"/>
        <v>0</v>
      </c>
      <c r="AN33" s="7">
        <f t="shared" ca="1" si="23"/>
        <v>0</v>
      </c>
      <c r="AO33" s="7">
        <f t="shared" ca="1" si="23"/>
        <v>0</v>
      </c>
      <c r="AP33" s="7">
        <f t="shared" ca="1" si="23"/>
        <v>0</v>
      </c>
      <c r="AQ33" s="7">
        <f t="shared" ca="1" si="23"/>
        <v>0</v>
      </c>
      <c r="AR33" s="7">
        <f t="shared" ca="1" si="23"/>
        <v>0</v>
      </c>
      <c r="AS33" s="7">
        <f t="shared" ca="1" si="23"/>
        <v>0</v>
      </c>
      <c r="AT33" s="7">
        <f t="shared" ca="1" si="23"/>
        <v>0</v>
      </c>
      <c r="AU33" s="7">
        <f t="shared" ca="1" si="23"/>
        <v>0</v>
      </c>
      <c r="AV33" s="7">
        <f t="shared" ca="1" si="23"/>
        <v>0</v>
      </c>
      <c r="AW33" s="7">
        <f t="shared" ca="1" si="23"/>
        <v>0</v>
      </c>
      <c r="AX33" s="7">
        <f t="shared" ca="1" si="23"/>
        <v>0</v>
      </c>
      <c r="AY33" s="7">
        <f t="shared" ca="1" si="23"/>
        <v>0</v>
      </c>
      <c r="AZ33" s="7">
        <f t="shared" ca="1" si="23"/>
        <v>0</v>
      </c>
      <c r="BA33" s="7">
        <f t="shared" ca="1" si="23"/>
        <v>0</v>
      </c>
      <c r="BB33" s="7">
        <f t="shared" ca="1" si="23"/>
        <v>0</v>
      </c>
      <c r="BC33" s="7">
        <f t="shared" ca="1" si="23"/>
        <v>0</v>
      </c>
      <c r="BD33" s="7">
        <f t="shared" ca="1" si="23"/>
        <v>0</v>
      </c>
      <c r="BE33" s="7">
        <f t="shared" ca="1" si="23"/>
        <v>0</v>
      </c>
      <c r="BF33" s="7">
        <f t="shared" ca="1" si="23"/>
        <v>0</v>
      </c>
      <c r="BG33" s="7">
        <f t="shared" ca="1" si="23"/>
        <v>0</v>
      </c>
      <c r="BH33" s="7">
        <f t="shared" ca="1" si="23"/>
        <v>0</v>
      </c>
      <c r="BI33" s="7">
        <f t="shared" ca="1" si="23"/>
        <v>0</v>
      </c>
      <c r="BJ33" s="7">
        <f t="shared" ca="1" si="23"/>
        <v>0</v>
      </c>
      <c r="BK33" s="7">
        <f t="shared" ca="1" si="23"/>
        <v>0</v>
      </c>
      <c r="BL33" s="7">
        <f t="shared" ca="1" si="23"/>
        <v>0</v>
      </c>
      <c r="BM33" s="7">
        <f t="shared" ca="1" si="23"/>
        <v>0</v>
      </c>
      <c r="BN33" s="7">
        <f t="shared" ca="1" si="23"/>
        <v>0</v>
      </c>
      <c r="BO33" s="7">
        <f t="shared" ca="1" si="23"/>
        <v>0</v>
      </c>
      <c r="BP33" s="7">
        <f t="shared" ca="1" si="23"/>
        <v>0</v>
      </c>
      <c r="BQ33" s="7">
        <f t="shared" ca="1" si="23"/>
        <v>0</v>
      </c>
      <c r="BR33" s="7">
        <f t="shared" ca="1" si="23"/>
        <v>0</v>
      </c>
      <c r="BS33" s="7">
        <f t="shared" ca="1" si="23"/>
        <v>0</v>
      </c>
      <c r="BT33" s="7">
        <f t="shared" ca="1" si="23"/>
        <v>0</v>
      </c>
      <c r="BU33" s="7">
        <f t="shared" ca="1" si="23"/>
        <v>0</v>
      </c>
      <c r="BV33" s="7">
        <f t="shared" ca="1" si="23"/>
        <v>0</v>
      </c>
      <c r="BW33" s="7">
        <f t="shared" ca="1" si="23"/>
        <v>0</v>
      </c>
      <c r="BX33" s="7">
        <f t="shared" ca="1" si="23"/>
        <v>0</v>
      </c>
      <c r="BY33" s="7"/>
      <c r="BZ33" s="7"/>
    </row>
    <row r="34" spans="1:78" ht="15.75" customHeight="1">
      <c r="A34" s="7" t="str">
        <f t="shared" ca="1" si="2"/>
        <v/>
      </c>
      <c r="B34" s="18" t="e">
        <f t="shared" ca="1" si="3"/>
        <v>#N/A</v>
      </c>
      <c r="C34" s="8">
        <v>1</v>
      </c>
      <c r="D34" s="8">
        <v>15</v>
      </c>
      <c r="E34" s="13" t="e">
        <f t="shared" ca="1" si="9"/>
        <v>#N/A</v>
      </c>
      <c r="F34" s="7" t="e">
        <f ca="1">+VLOOKUP("*_"&amp;E34&amp;"_*",data!A:D,3,0)</f>
        <v>#N/A</v>
      </c>
      <c r="G34" s="7" t="e">
        <f ca="1">+VLOOKUP("*_"&amp;E34&amp;"_*",data!A:D,4,0)</f>
        <v>#N/A</v>
      </c>
      <c r="H34" s="7">
        <f ca="1">IFERROR(IF(VLOOKUP("*_"&amp;E34&amp;"_*",data!A:D,2,0)="",1,VLOOKUP("*_"&amp;E34&amp;"_*",data!A:D,2,0)),0)</f>
        <v>0</v>
      </c>
      <c r="I34" s="7">
        <f t="shared" ca="1" si="4"/>
        <v>31</v>
      </c>
      <c r="J34" s="7" t="str">
        <f t="shared" ca="1" si="5"/>
        <v/>
      </c>
      <c r="K34" s="7">
        <v>30</v>
      </c>
      <c r="L34" s="7" t="e">
        <f t="shared" ca="1" si="10"/>
        <v>#N/A</v>
      </c>
      <c r="M34" s="7" t="e">
        <f t="shared" ca="1" si="11"/>
        <v>#N/A</v>
      </c>
      <c r="N34" s="7" t="e">
        <f t="shared" ca="1" si="13"/>
        <v>#N/A</v>
      </c>
      <c r="O34" s="7">
        <f t="shared" ca="1" si="23"/>
        <v>0</v>
      </c>
      <c r="P34" s="7">
        <f t="shared" ca="1" si="23"/>
        <v>0</v>
      </c>
      <c r="Q34" s="7">
        <f t="shared" ca="1" si="23"/>
        <v>0</v>
      </c>
      <c r="R34" s="7">
        <f t="shared" ca="1" si="23"/>
        <v>0</v>
      </c>
      <c r="S34" s="7">
        <f t="shared" ca="1" si="23"/>
        <v>0</v>
      </c>
      <c r="T34" s="7">
        <f t="shared" ca="1" si="23"/>
        <v>0</v>
      </c>
      <c r="U34" s="7">
        <f t="shared" ca="1" si="23"/>
        <v>0</v>
      </c>
      <c r="V34" s="7">
        <f t="shared" ref="V34:BX34" ca="1" si="24">+IFERROR(IF(MATCH(V$4,$N$4:$BZ$4,0)=MATCH($N34,$N$4:$N$68,0),1+IFERROR(1/2*INDEX($N$4:$BZ$68,MATCH($L34,$N$4:$N$68,0),MATCH($M34,$N$4:$BZ$4,0)),0),IF(MATCH(V$4,$N$4:$BZ$4,0)&lt;MATCH($N34,$N$4:$N$68,0),(INDEX($N$4:$BZ$68,MATCH($L34,$N$4:$N$68,0),MATCH(V$4,$N$4:$BZ$4,0))+INDEX($N$4:$BZ$68,MATCH($M34,$N$4:$N$68,0),MATCH(V$4,$N$4:$BZ$4,0)))*1/2,(INDEX($N$4:$BZ$68,MATCH($N34,$N$4:$N$68,0),MATCH(V$2,$N$4:$BZ$4,0))+INDEX($N$4:$BZ$68,MATCH($N34,$N$4:$N$68,0),MATCH(V$3,$N$4:$BZ$4,0)))*1/2)),0)</f>
        <v>0</v>
      </c>
      <c r="W34" s="7">
        <f t="shared" ca="1" si="24"/>
        <v>0</v>
      </c>
      <c r="X34" s="7">
        <f t="shared" ca="1" si="24"/>
        <v>0</v>
      </c>
      <c r="Y34" s="7">
        <f t="shared" ca="1" si="24"/>
        <v>0</v>
      </c>
      <c r="Z34" s="7">
        <f t="shared" ca="1" si="24"/>
        <v>0</v>
      </c>
      <c r="AA34" s="7">
        <f t="shared" ca="1" si="24"/>
        <v>0</v>
      </c>
      <c r="AB34" s="7">
        <f t="shared" ca="1" si="24"/>
        <v>0</v>
      </c>
      <c r="AC34" s="7">
        <f t="shared" ca="1" si="24"/>
        <v>0</v>
      </c>
      <c r="AD34" s="7">
        <f t="shared" ca="1" si="24"/>
        <v>0</v>
      </c>
      <c r="AE34" s="7">
        <f t="shared" ca="1" si="24"/>
        <v>0</v>
      </c>
      <c r="AF34" s="7">
        <f t="shared" ca="1" si="24"/>
        <v>0</v>
      </c>
      <c r="AG34" s="7">
        <f t="shared" ca="1" si="24"/>
        <v>0</v>
      </c>
      <c r="AH34" s="7">
        <f t="shared" ca="1" si="24"/>
        <v>0</v>
      </c>
      <c r="AI34" s="7">
        <f t="shared" ca="1" si="24"/>
        <v>0</v>
      </c>
      <c r="AJ34" s="7">
        <f t="shared" ca="1" si="24"/>
        <v>0</v>
      </c>
      <c r="AK34" s="7">
        <f t="shared" ca="1" si="24"/>
        <v>0</v>
      </c>
      <c r="AL34" s="7">
        <f t="shared" ca="1" si="24"/>
        <v>0</v>
      </c>
      <c r="AM34" s="7">
        <f t="shared" ca="1" si="24"/>
        <v>0</v>
      </c>
      <c r="AN34" s="7">
        <f t="shared" ca="1" si="24"/>
        <v>0</v>
      </c>
      <c r="AO34" s="7">
        <f t="shared" ca="1" si="24"/>
        <v>0</v>
      </c>
      <c r="AP34" s="7">
        <f t="shared" ca="1" si="24"/>
        <v>0</v>
      </c>
      <c r="AQ34" s="7">
        <f t="shared" ca="1" si="24"/>
        <v>0</v>
      </c>
      <c r="AR34" s="7">
        <f t="shared" ca="1" si="24"/>
        <v>0</v>
      </c>
      <c r="AS34" s="7">
        <f t="shared" ca="1" si="24"/>
        <v>0</v>
      </c>
      <c r="AT34" s="7">
        <f t="shared" ca="1" si="24"/>
        <v>0</v>
      </c>
      <c r="AU34" s="7">
        <f t="shared" ca="1" si="24"/>
        <v>0</v>
      </c>
      <c r="AV34" s="7">
        <f t="shared" ca="1" si="24"/>
        <v>0</v>
      </c>
      <c r="AW34" s="7">
        <f t="shared" ca="1" si="24"/>
        <v>0</v>
      </c>
      <c r="AX34" s="7">
        <f t="shared" ca="1" si="24"/>
        <v>0</v>
      </c>
      <c r="AY34" s="7">
        <f t="shared" ca="1" si="24"/>
        <v>0</v>
      </c>
      <c r="AZ34" s="7">
        <f t="shared" ca="1" si="24"/>
        <v>0</v>
      </c>
      <c r="BA34" s="7">
        <f t="shared" ca="1" si="24"/>
        <v>0</v>
      </c>
      <c r="BB34" s="7">
        <f t="shared" ca="1" si="24"/>
        <v>0</v>
      </c>
      <c r="BC34" s="7">
        <f t="shared" ca="1" si="24"/>
        <v>0</v>
      </c>
      <c r="BD34" s="7">
        <f t="shared" ca="1" si="24"/>
        <v>0</v>
      </c>
      <c r="BE34" s="7">
        <f t="shared" ca="1" si="24"/>
        <v>0</v>
      </c>
      <c r="BF34" s="7">
        <f t="shared" ca="1" si="24"/>
        <v>0</v>
      </c>
      <c r="BG34" s="7">
        <f t="shared" ca="1" si="24"/>
        <v>0</v>
      </c>
      <c r="BH34" s="7">
        <f t="shared" ca="1" si="24"/>
        <v>0</v>
      </c>
      <c r="BI34" s="7">
        <f t="shared" ca="1" si="24"/>
        <v>0</v>
      </c>
      <c r="BJ34" s="7">
        <f t="shared" ca="1" si="24"/>
        <v>0</v>
      </c>
      <c r="BK34" s="7">
        <f t="shared" ca="1" si="24"/>
        <v>0</v>
      </c>
      <c r="BL34" s="7">
        <f t="shared" ca="1" si="24"/>
        <v>0</v>
      </c>
      <c r="BM34" s="7">
        <f t="shared" ca="1" si="24"/>
        <v>0</v>
      </c>
      <c r="BN34" s="7">
        <f t="shared" ca="1" si="24"/>
        <v>0</v>
      </c>
      <c r="BO34" s="7">
        <f t="shared" ca="1" si="24"/>
        <v>0</v>
      </c>
      <c r="BP34" s="7">
        <f t="shared" ca="1" si="24"/>
        <v>0</v>
      </c>
      <c r="BQ34" s="7">
        <f t="shared" ca="1" si="24"/>
        <v>0</v>
      </c>
      <c r="BR34" s="7">
        <f t="shared" ca="1" si="24"/>
        <v>0</v>
      </c>
      <c r="BS34" s="7">
        <f t="shared" ca="1" si="24"/>
        <v>0</v>
      </c>
      <c r="BT34" s="7">
        <f t="shared" ca="1" si="24"/>
        <v>0</v>
      </c>
      <c r="BU34" s="7">
        <f t="shared" ca="1" si="24"/>
        <v>0</v>
      </c>
      <c r="BV34" s="7">
        <f t="shared" ca="1" si="24"/>
        <v>0</v>
      </c>
      <c r="BW34" s="7">
        <f t="shared" ca="1" si="24"/>
        <v>0</v>
      </c>
      <c r="BX34" s="7">
        <f t="shared" ca="1" si="24"/>
        <v>0</v>
      </c>
      <c r="BY34" s="7"/>
      <c r="BZ34" s="7"/>
    </row>
    <row r="35" spans="1:78" ht="15.75" customHeight="1">
      <c r="A35" s="7" t="str">
        <f t="shared" ca="1" si="2"/>
        <v/>
      </c>
      <c r="B35" s="18" t="e">
        <f t="shared" ca="1" si="3"/>
        <v>#N/A</v>
      </c>
      <c r="C35" s="8">
        <v>0</v>
      </c>
      <c r="D35" s="8">
        <v>16</v>
      </c>
      <c r="E35" s="7" t="e">
        <f t="shared" ca="1" si="9"/>
        <v>#N/A</v>
      </c>
      <c r="F35" s="7" t="e">
        <f ca="1">+VLOOKUP("*_"&amp;E35&amp;"_*",data!A:D,3,0)</f>
        <v>#N/A</v>
      </c>
      <c r="G35" s="7" t="e">
        <f ca="1">+VLOOKUP("*_"&amp;E35&amp;"_*",data!A:D,4,0)</f>
        <v>#N/A</v>
      </c>
      <c r="H35" s="7">
        <f ca="1">IFERROR(IF(VLOOKUP("*_"&amp;E35&amp;"_*",data!A:D,2,0)="",1,VLOOKUP("*_"&amp;E35&amp;"_*",data!A:D,2,0)),0)</f>
        <v>0</v>
      </c>
      <c r="I35" s="7">
        <f t="shared" ca="1" si="4"/>
        <v>32</v>
      </c>
      <c r="J35" s="7" t="str">
        <f t="shared" ca="1" si="5"/>
        <v/>
      </c>
      <c r="K35" s="7">
        <v>31</v>
      </c>
      <c r="L35" s="7" t="e">
        <f t="shared" ca="1" si="10"/>
        <v>#N/A</v>
      </c>
      <c r="M35" s="7" t="e">
        <f t="shared" ca="1" si="11"/>
        <v>#N/A</v>
      </c>
      <c r="N35" s="7" t="e">
        <f t="shared" ca="1" si="13"/>
        <v>#N/A</v>
      </c>
      <c r="O35" s="7">
        <f t="shared" ref="O35:BX39" ca="1" si="25">+IFERROR(IF(MATCH(O$4,$N$4:$BZ$4,0)=MATCH($N35,$N$4:$N$68,0),1+IFERROR(1/2*INDEX($N$4:$BZ$68,MATCH($L35,$N$4:$N$68,0),MATCH($M35,$N$4:$BZ$4,0)),0),IF(MATCH(O$4,$N$4:$BZ$4,0)&lt;MATCH($N35,$N$4:$N$68,0),(INDEX($N$4:$BZ$68,MATCH($L35,$N$4:$N$68,0),MATCH(O$4,$N$4:$BZ$4,0))+INDEX($N$4:$BZ$68,MATCH($M35,$N$4:$N$68,0),MATCH(O$4,$N$4:$BZ$4,0)))*1/2,(INDEX($N$4:$BZ$68,MATCH($N35,$N$4:$N$68,0),MATCH(O$2,$N$4:$BZ$4,0))+INDEX($N$4:$BZ$68,MATCH($N35,$N$4:$N$68,0),MATCH(O$3,$N$4:$BZ$4,0)))*1/2)),0)</f>
        <v>0</v>
      </c>
      <c r="P35" s="7">
        <f t="shared" ca="1" si="25"/>
        <v>0</v>
      </c>
      <c r="Q35" s="7">
        <f t="shared" ca="1" si="25"/>
        <v>0</v>
      </c>
      <c r="R35" s="7">
        <f t="shared" ca="1" si="25"/>
        <v>0</v>
      </c>
      <c r="S35" s="7">
        <f t="shared" ca="1" si="25"/>
        <v>0</v>
      </c>
      <c r="T35" s="7">
        <f t="shared" ca="1" si="25"/>
        <v>0</v>
      </c>
      <c r="U35" s="7">
        <f t="shared" ca="1" si="25"/>
        <v>0</v>
      </c>
      <c r="V35" s="7">
        <f t="shared" ca="1" si="25"/>
        <v>0</v>
      </c>
      <c r="W35" s="7">
        <f t="shared" ca="1" si="25"/>
        <v>0</v>
      </c>
      <c r="X35" s="7">
        <f t="shared" ca="1" si="25"/>
        <v>0</v>
      </c>
      <c r="Y35" s="7">
        <f t="shared" ca="1" si="25"/>
        <v>0</v>
      </c>
      <c r="Z35" s="7">
        <f t="shared" ca="1" si="25"/>
        <v>0</v>
      </c>
      <c r="AA35" s="7">
        <f t="shared" ca="1" si="25"/>
        <v>0</v>
      </c>
      <c r="AB35" s="7">
        <f t="shared" ca="1" si="25"/>
        <v>0</v>
      </c>
      <c r="AC35" s="7">
        <f t="shared" ca="1" si="25"/>
        <v>0</v>
      </c>
      <c r="AD35" s="7">
        <f t="shared" ca="1" si="25"/>
        <v>0</v>
      </c>
      <c r="AE35" s="7">
        <f t="shared" ca="1" si="25"/>
        <v>0</v>
      </c>
      <c r="AF35" s="7">
        <f t="shared" ca="1" si="25"/>
        <v>0</v>
      </c>
      <c r="AG35" s="7">
        <f t="shared" ca="1" si="25"/>
        <v>0</v>
      </c>
      <c r="AH35" s="7">
        <f t="shared" ca="1" si="25"/>
        <v>0</v>
      </c>
      <c r="AI35" s="7">
        <f t="shared" ca="1" si="25"/>
        <v>0</v>
      </c>
      <c r="AJ35" s="7">
        <f t="shared" ca="1" si="25"/>
        <v>0</v>
      </c>
      <c r="AK35" s="7">
        <f t="shared" ca="1" si="25"/>
        <v>0</v>
      </c>
      <c r="AL35" s="7">
        <f t="shared" ca="1" si="25"/>
        <v>0</v>
      </c>
      <c r="AM35" s="7">
        <f t="shared" ca="1" si="25"/>
        <v>0</v>
      </c>
      <c r="AN35" s="7">
        <f t="shared" ca="1" si="25"/>
        <v>0</v>
      </c>
      <c r="AO35" s="7">
        <f t="shared" ca="1" si="25"/>
        <v>0</v>
      </c>
      <c r="AP35" s="7">
        <f t="shared" ca="1" si="25"/>
        <v>0</v>
      </c>
      <c r="AQ35" s="7">
        <f t="shared" ca="1" si="25"/>
        <v>0</v>
      </c>
      <c r="AR35" s="7">
        <f t="shared" ca="1" si="25"/>
        <v>0</v>
      </c>
      <c r="AS35" s="7">
        <f t="shared" ca="1" si="25"/>
        <v>0</v>
      </c>
      <c r="AT35" s="7">
        <f t="shared" ca="1" si="25"/>
        <v>0</v>
      </c>
      <c r="AU35" s="7">
        <f t="shared" ca="1" si="25"/>
        <v>0</v>
      </c>
      <c r="AV35" s="7">
        <f t="shared" ca="1" si="25"/>
        <v>0</v>
      </c>
      <c r="AW35" s="7">
        <f t="shared" ca="1" si="25"/>
        <v>0</v>
      </c>
      <c r="AX35" s="7">
        <f t="shared" ca="1" si="25"/>
        <v>0</v>
      </c>
      <c r="AY35" s="7">
        <f t="shared" ca="1" si="25"/>
        <v>0</v>
      </c>
      <c r="AZ35" s="7">
        <f t="shared" ca="1" si="25"/>
        <v>0</v>
      </c>
      <c r="BA35" s="7">
        <f t="shared" ca="1" si="25"/>
        <v>0</v>
      </c>
      <c r="BB35" s="7">
        <f t="shared" ca="1" si="25"/>
        <v>0</v>
      </c>
      <c r="BC35" s="7">
        <f t="shared" ca="1" si="25"/>
        <v>0</v>
      </c>
      <c r="BD35" s="7">
        <f t="shared" ca="1" si="25"/>
        <v>0</v>
      </c>
      <c r="BE35" s="7">
        <f t="shared" ca="1" si="25"/>
        <v>0</v>
      </c>
      <c r="BF35" s="7">
        <f t="shared" ca="1" si="25"/>
        <v>0</v>
      </c>
      <c r="BG35" s="7">
        <f t="shared" ca="1" si="25"/>
        <v>0</v>
      </c>
      <c r="BH35" s="7">
        <f t="shared" ca="1" si="25"/>
        <v>0</v>
      </c>
      <c r="BI35" s="7">
        <f t="shared" ca="1" si="25"/>
        <v>0</v>
      </c>
      <c r="BJ35" s="7">
        <f t="shared" ca="1" si="25"/>
        <v>0</v>
      </c>
      <c r="BK35" s="7">
        <f t="shared" ca="1" si="25"/>
        <v>0</v>
      </c>
      <c r="BL35" s="7">
        <f t="shared" ca="1" si="25"/>
        <v>0</v>
      </c>
      <c r="BM35" s="7">
        <f t="shared" ca="1" si="25"/>
        <v>0</v>
      </c>
      <c r="BN35" s="7">
        <f t="shared" ca="1" si="25"/>
        <v>0</v>
      </c>
      <c r="BO35" s="7">
        <f t="shared" ca="1" si="25"/>
        <v>0</v>
      </c>
      <c r="BP35" s="7">
        <f t="shared" ca="1" si="25"/>
        <v>0</v>
      </c>
      <c r="BQ35" s="7">
        <f t="shared" ca="1" si="25"/>
        <v>0</v>
      </c>
      <c r="BR35" s="7">
        <f t="shared" ca="1" si="25"/>
        <v>0</v>
      </c>
      <c r="BS35" s="7">
        <f t="shared" ca="1" si="25"/>
        <v>0</v>
      </c>
      <c r="BT35" s="7">
        <f t="shared" ca="1" si="25"/>
        <v>0</v>
      </c>
      <c r="BU35" s="7">
        <f t="shared" ca="1" si="25"/>
        <v>0</v>
      </c>
      <c r="BV35" s="7">
        <f t="shared" ca="1" si="25"/>
        <v>0</v>
      </c>
      <c r="BW35" s="7">
        <f t="shared" ca="1" si="25"/>
        <v>0</v>
      </c>
      <c r="BX35" s="7">
        <f t="shared" ca="1" si="25"/>
        <v>0</v>
      </c>
      <c r="BY35" s="7"/>
      <c r="BZ35" s="7"/>
    </row>
    <row r="36" spans="1:78" ht="15.75" customHeight="1">
      <c r="A36" s="7" t="str">
        <f t="shared" ca="1" si="2"/>
        <v/>
      </c>
      <c r="B36" s="18" t="e">
        <f t="shared" ca="1" si="3"/>
        <v>#N/A</v>
      </c>
      <c r="C36" s="8">
        <v>1</v>
      </c>
      <c r="D36" s="8">
        <v>16</v>
      </c>
      <c r="E36" s="7" t="e">
        <f t="shared" ca="1" si="9"/>
        <v>#N/A</v>
      </c>
      <c r="F36" s="7" t="e">
        <f ca="1">+VLOOKUP("*_"&amp;E36&amp;"_*",data!A:D,3,0)</f>
        <v>#N/A</v>
      </c>
      <c r="G36" s="7" t="e">
        <f ca="1">+VLOOKUP("*_"&amp;E36&amp;"_*",data!A:D,4,0)</f>
        <v>#N/A</v>
      </c>
      <c r="H36" s="7">
        <f ca="1">IFERROR(IF(VLOOKUP("*_"&amp;E36&amp;"_*",data!A:D,2,0)="",1,VLOOKUP("*_"&amp;E36&amp;"_*",data!A:D,2,0)),0)</f>
        <v>0</v>
      </c>
      <c r="I36" s="7">
        <f t="shared" ca="1" si="4"/>
        <v>33</v>
      </c>
      <c r="J36" s="7" t="str">
        <f t="shared" ca="1" si="5"/>
        <v/>
      </c>
      <c r="K36" s="7">
        <v>32</v>
      </c>
      <c r="L36" s="7" t="e">
        <f t="shared" ca="1" si="10"/>
        <v>#N/A</v>
      </c>
      <c r="M36" s="7" t="e">
        <f t="shared" ca="1" si="11"/>
        <v>#N/A</v>
      </c>
      <c r="N36" s="7" t="e">
        <f t="shared" ca="1" si="13"/>
        <v>#N/A</v>
      </c>
      <c r="O36" s="7">
        <f t="shared" ca="1" si="25"/>
        <v>0</v>
      </c>
      <c r="P36" s="7">
        <f t="shared" ca="1" si="25"/>
        <v>0</v>
      </c>
      <c r="Q36" s="7">
        <f t="shared" ca="1" si="25"/>
        <v>0</v>
      </c>
      <c r="R36" s="7">
        <f t="shared" ca="1" si="25"/>
        <v>0</v>
      </c>
      <c r="S36" s="7">
        <f t="shared" ca="1" si="25"/>
        <v>0</v>
      </c>
      <c r="T36" s="7">
        <f t="shared" ca="1" si="25"/>
        <v>0</v>
      </c>
      <c r="U36" s="7">
        <f t="shared" ca="1" si="25"/>
        <v>0</v>
      </c>
      <c r="V36" s="7">
        <f t="shared" ca="1" si="25"/>
        <v>0</v>
      </c>
      <c r="W36" s="7">
        <f t="shared" ca="1" si="25"/>
        <v>0</v>
      </c>
      <c r="X36" s="7">
        <f t="shared" ca="1" si="25"/>
        <v>0</v>
      </c>
      <c r="Y36" s="7">
        <f t="shared" ca="1" si="25"/>
        <v>0</v>
      </c>
      <c r="Z36" s="7">
        <f t="shared" ca="1" si="25"/>
        <v>0</v>
      </c>
      <c r="AA36" s="7">
        <f t="shared" ca="1" si="25"/>
        <v>0</v>
      </c>
      <c r="AB36" s="7">
        <f t="shared" ca="1" si="25"/>
        <v>0</v>
      </c>
      <c r="AC36" s="7">
        <f t="shared" ca="1" si="25"/>
        <v>0</v>
      </c>
      <c r="AD36" s="7">
        <f t="shared" ca="1" si="25"/>
        <v>0</v>
      </c>
      <c r="AE36" s="7">
        <f t="shared" ca="1" si="25"/>
        <v>0</v>
      </c>
      <c r="AF36" s="7">
        <f t="shared" ca="1" si="25"/>
        <v>0</v>
      </c>
      <c r="AG36" s="7">
        <f t="shared" ca="1" si="25"/>
        <v>0</v>
      </c>
      <c r="AH36" s="7">
        <f t="shared" ca="1" si="25"/>
        <v>0</v>
      </c>
      <c r="AI36" s="7">
        <f t="shared" ca="1" si="25"/>
        <v>0</v>
      </c>
      <c r="AJ36" s="7">
        <f t="shared" ca="1" si="25"/>
        <v>0</v>
      </c>
      <c r="AK36" s="7">
        <f t="shared" ca="1" si="25"/>
        <v>0</v>
      </c>
      <c r="AL36" s="7">
        <f t="shared" ca="1" si="25"/>
        <v>0</v>
      </c>
      <c r="AM36" s="7">
        <f t="shared" ca="1" si="25"/>
        <v>0</v>
      </c>
      <c r="AN36" s="7">
        <f t="shared" ca="1" si="25"/>
        <v>0</v>
      </c>
      <c r="AO36" s="7">
        <f t="shared" ca="1" si="25"/>
        <v>0</v>
      </c>
      <c r="AP36" s="7">
        <f t="shared" ca="1" si="25"/>
        <v>0</v>
      </c>
      <c r="AQ36" s="7">
        <f t="shared" ca="1" si="25"/>
        <v>0</v>
      </c>
      <c r="AR36" s="7">
        <f t="shared" ca="1" si="25"/>
        <v>0</v>
      </c>
      <c r="AS36" s="7">
        <f t="shared" ca="1" si="25"/>
        <v>0</v>
      </c>
      <c r="AT36" s="7">
        <f t="shared" ca="1" si="25"/>
        <v>0</v>
      </c>
      <c r="AU36" s="7">
        <f t="shared" ca="1" si="25"/>
        <v>0</v>
      </c>
      <c r="AV36" s="7">
        <f t="shared" ca="1" si="25"/>
        <v>0</v>
      </c>
      <c r="AW36" s="7">
        <f t="shared" ca="1" si="25"/>
        <v>0</v>
      </c>
      <c r="AX36" s="7">
        <f t="shared" ca="1" si="25"/>
        <v>0</v>
      </c>
      <c r="AY36" s="7">
        <f t="shared" ca="1" si="25"/>
        <v>0</v>
      </c>
      <c r="AZ36" s="7">
        <f t="shared" ca="1" si="25"/>
        <v>0</v>
      </c>
      <c r="BA36" s="7">
        <f t="shared" ca="1" si="25"/>
        <v>0</v>
      </c>
      <c r="BB36" s="7">
        <f t="shared" ca="1" si="25"/>
        <v>0</v>
      </c>
      <c r="BC36" s="7">
        <f t="shared" ca="1" si="25"/>
        <v>0</v>
      </c>
      <c r="BD36" s="7">
        <f t="shared" ca="1" si="25"/>
        <v>0</v>
      </c>
      <c r="BE36" s="7">
        <f t="shared" ca="1" si="25"/>
        <v>0</v>
      </c>
      <c r="BF36" s="7">
        <f t="shared" ca="1" si="25"/>
        <v>0</v>
      </c>
      <c r="BG36" s="7">
        <f t="shared" ca="1" si="25"/>
        <v>0</v>
      </c>
      <c r="BH36" s="7">
        <f t="shared" ca="1" si="25"/>
        <v>0</v>
      </c>
      <c r="BI36" s="7">
        <f t="shared" ca="1" si="25"/>
        <v>0</v>
      </c>
      <c r="BJ36" s="7">
        <f t="shared" ca="1" si="25"/>
        <v>0</v>
      </c>
      <c r="BK36" s="7">
        <f t="shared" ca="1" si="25"/>
        <v>0</v>
      </c>
      <c r="BL36" s="7">
        <f t="shared" ca="1" si="25"/>
        <v>0</v>
      </c>
      <c r="BM36" s="7">
        <f t="shared" ca="1" si="25"/>
        <v>0</v>
      </c>
      <c r="BN36" s="7">
        <f t="shared" ca="1" si="25"/>
        <v>0</v>
      </c>
      <c r="BO36" s="7">
        <f t="shared" ca="1" si="25"/>
        <v>0</v>
      </c>
      <c r="BP36" s="7">
        <f t="shared" ca="1" si="25"/>
        <v>0</v>
      </c>
      <c r="BQ36" s="7">
        <f t="shared" ca="1" si="25"/>
        <v>0</v>
      </c>
      <c r="BR36" s="7">
        <f t="shared" ca="1" si="25"/>
        <v>0</v>
      </c>
      <c r="BS36" s="7">
        <f t="shared" ca="1" si="25"/>
        <v>0</v>
      </c>
      <c r="BT36" s="7">
        <f t="shared" ca="1" si="25"/>
        <v>0</v>
      </c>
      <c r="BU36" s="7">
        <f t="shared" ca="1" si="25"/>
        <v>0</v>
      </c>
      <c r="BV36" s="7">
        <f t="shared" ca="1" si="25"/>
        <v>0</v>
      </c>
      <c r="BW36" s="7">
        <f t="shared" ca="1" si="25"/>
        <v>0</v>
      </c>
      <c r="BX36" s="7">
        <f t="shared" ca="1" si="25"/>
        <v>0</v>
      </c>
      <c r="BY36" s="7"/>
      <c r="BZ36" s="7"/>
    </row>
    <row r="37" spans="1:78" ht="15.75" customHeight="1">
      <c r="A37" s="7" t="str">
        <f t="shared" ca="1" si="2"/>
        <v/>
      </c>
      <c r="B37" s="18" t="e">
        <f t="shared" ca="1" si="3"/>
        <v>#N/A</v>
      </c>
      <c r="C37" s="8">
        <v>0</v>
      </c>
      <c r="D37" s="8">
        <v>17</v>
      </c>
      <c r="E37" s="7" t="e">
        <f t="shared" ca="1" si="9"/>
        <v>#N/A</v>
      </c>
      <c r="F37" s="7" t="e">
        <f ca="1">+VLOOKUP("*_"&amp;E37&amp;"_*",data!A:D,3,0)</f>
        <v>#N/A</v>
      </c>
      <c r="G37" s="7" t="e">
        <f ca="1">+VLOOKUP("*_"&amp;E37&amp;"_*",data!A:D,4,0)</f>
        <v>#N/A</v>
      </c>
      <c r="H37" s="7">
        <f ca="1">IFERROR(IF(VLOOKUP("*_"&amp;E37&amp;"_*",data!A:D,2,0)="",1,VLOOKUP("*_"&amp;E37&amp;"_*",data!A:D,2,0)),0)</f>
        <v>0</v>
      </c>
      <c r="I37" s="7">
        <f t="shared" ca="1" si="4"/>
        <v>34</v>
      </c>
      <c r="J37" s="7" t="str">
        <f t="shared" ca="1" si="5"/>
        <v/>
      </c>
      <c r="K37" s="7">
        <v>33</v>
      </c>
      <c r="L37" s="7" t="e">
        <f t="shared" ca="1" si="10"/>
        <v>#N/A</v>
      </c>
      <c r="M37" s="7" t="e">
        <f t="shared" ca="1" si="11"/>
        <v>#N/A</v>
      </c>
      <c r="N37" s="7" t="e">
        <f t="shared" ca="1" si="13"/>
        <v>#N/A</v>
      </c>
      <c r="O37" s="7">
        <f t="shared" ca="1" si="25"/>
        <v>0</v>
      </c>
      <c r="P37" s="7">
        <f t="shared" ca="1" si="25"/>
        <v>0</v>
      </c>
      <c r="Q37" s="7">
        <f t="shared" ca="1" si="25"/>
        <v>0</v>
      </c>
      <c r="R37" s="7">
        <f t="shared" ca="1" si="25"/>
        <v>0</v>
      </c>
      <c r="S37" s="7">
        <f t="shared" ca="1" si="25"/>
        <v>0</v>
      </c>
      <c r="T37" s="7">
        <f t="shared" ca="1" si="25"/>
        <v>0</v>
      </c>
      <c r="U37" s="7">
        <f t="shared" ca="1" si="25"/>
        <v>0</v>
      </c>
      <c r="V37" s="7">
        <f t="shared" ca="1" si="25"/>
        <v>0</v>
      </c>
      <c r="W37" s="7">
        <f t="shared" ca="1" si="25"/>
        <v>0</v>
      </c>
      <c r="X37" s="7">
        <f t="shared" ca="1" si="25"/>
        <v>0</v>
      </c>
      <c r="Y37" s="7">
        <f t="shared" ca="1" si="25"/>
        <v>0</v>
      </c>
      <c r="Z37" s="7">
        <f t="shared" ca="1" si="25"/>
        <v>0</v>
      </c>
      <c r="AA37" s="7">
        <f t="shared" ca="1" si="25"/>
        <v>0</v>
      </c>
      <c r="AB37" s="7">
        <f t="shared" ca="1" si="25"/>
        <v>0</v>
      </c>
      <c r="AC37" s="7">
        <f t="shared" ca="1" si="25"/>
        <v>0</v>
      </c>
      <c r="AD37" s="7">
        <f t="shared" ca="1" si="25"/>
        <v>0</v>
      </c>
      <c r="AE37" s="7">
        <f t="shared" ca="1" si="25"/>
        <v>0</v>
      </c>
      <c r="AF37" s="7">
        <f t="shared" ca="1" si="25"/>
        <v>0</v>
      </c>
      <c r="AG37" s="7">
        <f t="shared" ca="1" si="25"/>
        <v>0</v>
      </c>
      <c r="AH37" s="7">
        <f t="shared" ca="1" si="25"/>
        <v>0</v>
      </c>
      <c r="AI37" s="7">
        <f t="shared" ca="1" si="25"/>
        <v>0</v>
      </c>
      <c r="AJ37" s="7">
        <f t="shared" ca="1" si="25"/>
        <v>0</v>
      </c>
      <c r="AK37" s="7">
        <f t="shared" ca="1" si="25"/>
        <v>0</v>
      </c>
      <c r="AL37" s="7">
        <f t="shared" ca="1" si="25"/>
        <v>0</v>
      </c>
      <c r="AM37" s="7">
        <f t="shared" ca="1" si="25"/>
        <v>0</v>
      </c>
      <c r="AN37" s="7">
        <f t="shared" ca="1" si="25"/>
        <v>0</v>
      </c>
      <c r="AO37" s="7">
        <f t="shared" ca="1" si="25"/>
        <v>0</v>
      </c>
      <c r="AP37" s="7">
        <f t="shared" ca="1" si="25"/>
        <v>0</v>
      </c>
      <c r="AQ37" s="7">
        <f t="shared" ca="1" si="25"/>
        <v>0</v>
      </c>
      <c r="AR37" s="7">
        <f t="shared" ca="1" si="25"/>
        <v>0</v>
      </c>
      <c r="AS37" s="7">
        <f t="shared" ca="1" si="25"/>
        <v>0</v>
      </c>
      <c r="AT37" s="7">
        <f t="shared" ca="1" si="25"/>
        <v>0</v>
      </c>
      <c r="AU37" s="7">
        <f t="shared" ca="1" si="25"/>
        <v>0</v>
      </c>
      <c r="AV37" s="7">
        <f t="shared" ca="1" si="25"/>
        <v>0</v>
      </c>
      <c r="AW37" s="7">
        <f t="shared" ca="1" si="25"/>
        <v>0</v>
      </c>
      <c r="AX37" s="7">
        <f t="shared" ca="1" si="25"/>
        <v>0</v>
      </c>
      <c r="AY37" s="7">
        <f t="shared" ca="1" si="25"/>
        <v>0</v>
      </c>
      <c r="AZ37" s="7">
        <f t="shared" ca="1" si="25"/>
        <v>0</v>
      </c>
      <c r="BA37" s="7">
        <f t="shared" ca="1" si="25"/>
        <v>0</v>
      </c>
      <c r="BB37" s="7">
        <f t="shared" ca="1" si="25"/>
        <v>0</v>
      </c>
      <c r="BC37" s="7">
        <f t="shared" ca="1" si="25"/>
        <v>0</v>
      </c>
      <c r="BD37" s="7">
        <f t="shared" ca="1" si="25"/>
        <v>0</v>
      </c>
      <c r="BE37" s="7">
        <f t="shared" ca="1" si="25"/>
        <v>0</v>
      </c>
      <c r="BF37" s="7">
        <f t="shared" ca="1" si="25"/>
        <v>0</v>
      </c>
      <c r="BG37" s="7">
        <f t="shared" ca="1" si="25"/>
        <v>0</v>
      </c>
      <c r="BH37" s="7">
        <f t="shared" ca="1" si="25"/>
        <v>0</v>
      </c>
      <c r="BI37" s="7">
        <f t="shared" ca="1" si="25"/>
        <v>0</v>
      </c>
      <c r="BJ37" s="7">
        <f t="shared" ca="1" si="25"/>
        <v>0</v>
      </c>
      <c r="BK37" s="7">
        <f t="shared" ca="1" si="25"/>
        <v>0</v>
      </c>
      <c r="BL37" s="7">
        <f t="shared" ca="1" si="25"/>
        <v>0</v>
      </c>
      <c r="BM37" s="7">
        <f t="shared" ca="1" si="25"/>
        <v>0</v>
      </c>
      <c r="BN37" s="7">
        <f t="shared" ca="1" si="25"/>
        <v>0</v>
      </c>
      <c r="BO37" s="7">
        <f t="shared" ca="1" si="25"/>
        <v>0</v>
      </c>
      <c r="BP37" s="7">
        <f t="shared" ca="1" si="25"/>
        <v>0</v>
      </c>
      <c r="BQ37" s="7">
        <f t="shared" ca="1" si="25"/>
        <v>0</v>
      </c>
      <c r="BR37" s="7">
        <f t="shared" ca="1" si="25"/>
        <v>0</v>
      </c>
      <c r="BS37" s="7">
        <f t="shared" ca="1" si="25"/>
        <v>0</v>
      </c>
      <c r="BT37" s="7">
        <f t="shared" ca="1" si="25"/>
        <v>0</v>
      </c>
      <c r="BU37" s="7">
        <f t="shared" ca="1" si="25"/>
        <v>0</v>
      </c>
      <c r="BV37" s="7">
        <f t="shared" ca="1" si="25"/>
        <v>0</v>
      </c>
      <c r="BW37" s="7">
        <f t="shared" ca="1" si="25"/>
        <v>0</v>
      </c>
      <c r="BX37" s="7">
        <f t="shared" ca="1" si="25"/>
        <v>0</v>
      </c>
      <c r="BY37" s="7"/>
      <c r="BZ37" s="7"/>
    </row>
    <row r="38" spans="1:78" ht="15.75" customHeight="1">
      <c r="A38" s="7" t="str">
        <f t="shared" ca="1" si="2"/>
        <v/>
      </c>
      <c r="B38" s="18" t="e">
        <f t="shared" ca="1" si="3"/>
        <v>#N/A</v>
      </c>
      <c r="C38" s="8">
        <v>1</v>
      </c>
      <c r="D38" s="8">
        <v>17</v>
      </c>
      <c r="E38" s="7" t="e">
        <f t="shared" ca="1" si="9"/>
        <v>#N/A</v>
      </c>
      <c r="F38" s="7" t="e">
        <f ca="1">+VLOOKUP("*_"&amp;E38&amp;"_*",data!A:D,3,0)</f>
        <v>#N/A</v>
      </c>
      <c r="G38" s="7" t="e">
        <f ca="1">+VLOOKUP("*_"&amp;E38&amp;"_*",data!A:D,4,0)</f>
        <v>#N/A</v>
      </c>
      <c r="H38" s="7">
        <f ca="1">IFERROR(IF(VLOOKUP("*_"&amp;E38&amp;"_*",data!A:D,2,0)="",1,VLOOKUP("*_"&amp;E38&amp;"_*",data!A:D,2,0)),0)</f>
        <v>0</v>
      </c>
      <c r="I38" s="7">
        <f t="shared" ca="1" si="4"/>
        <v>35</v>
      </c>
      <c r="J38" s="7" t="str">
        <f t="shared" ca="1" si="5"/>
        <v/>
      </c>
      <c r="K38" s="7">
        <v>34</v>
      </c>
      <c r="L38" s="7" t="e">
        <f t="shared" ca="1" si="10"/>
        <v>#N/A</v>
      </c>
      <c r="M38" s="7" t="e">
        <f t="shared" ca="1" si="11"/>
        <v>#N/A</v>
      </c>
      <c r="N38" s="7" t="e">
        <f t="shared" ca="1" si="13"/>
        <v>#N/A</v>
      </c>
      <c r="O38" s="7">
        <f t="shared" ca="1" si="25"/>
        <v>0</v>
      </c>
      <c r="P38" s="7">
        <f t="shared" ca="1" si="25"/>
        <v>0</v>
      </c>
      <c r="Q38" s="7">
        <f t="shared" ca="1" si="25"/>
        <v>0</v>
      </c>
      <c r="R38" s="7">
        <f t="shared" ca="1" si="25"/>
        <v>0</v>
      </c>
      <c r="S38" s="7">
        <f t="shared" ca="1" si="25"/>
        <v>0</v>
      </c>
      <c r="T38" s="7">
        <f t="shared" ca="1" si="25"/>
        <v>0</v>
      </c>
      <c r="U38" s="7">
        <f t="shared" ca="1" si="25"/>
        <v>0</v>
      </c>
      <c r="V38" s="7">
        <f t="shared" ca="1" si="25"/>
        <v>0</v>
      </c>
      <c r="W38" s="7">
        <f t="shared" ca="1" si="25"/>
        <v>0</v>
      </c>
      <c r="X38" s="7">
        <f t="shared" ca="1" si="25"/>
        <v>0</v>
      </c>
      <c r="Y38" s="7">
        <f t="shared" ca="1" si="25"/>
        <v>0</v>
      </c>
      <c r="Z38" s="7">
        <f t="shared" ca="1" si="25"/>
        <v>0</v>
      </c>
      <c r="AA38" s="7">
        <f t="shared" ca="1" si="25"/>
        <v>0</v>
      </c>
      <c r="AB38" s="7">
        <f t="shared" ca="1" si="25"/>
        <v>0</v>
      </c>
      <c r="AC38" s="7">
        <f t="shared" ca="1" si="25"/>
        <v>0</v>
      </c>
      <c r="AD38" s="7">
        <f t="shared" ca="1" si="25"/>
        <v>0</v>
      </c>
      <c r="AE38" s="7">
        <f t="shared" ca="1" si="25"/>
        <v>0</v>
      </c>
      <c r="AF38" s="7">
        <f t="shared" ca="1" si="25"/>
        <v>0</v>
      </c>
      <c r="AG38" s="7">
        <f t="shared" ca="1" si="25"/>
        <v>0</v>
      </c>
      <c r="AH38" s="7">
        <f t="shared" ca="1" si="25"/>
        <v>0</v>
      </c>
      <c r="AI38" s="7">
        <f t="shared" ca="1" si="25"/>
        <v>0</v>
      </c>
      <c r="AJ38" s="7">
        <f t="shared" ca="1" si="25"/>
        <v>0</v>
      </c>
      <c r="AK38" s="7">
        <f t="shared" ca="1" si="25"/>
        <v>0</v>
      </c>
      <c r="AL38" s="7">
        <f t="shared" ca="1" si="25"/>
        <v>0</v>
      </c>
      <c r="AM38" s="7">
        <f t="shared" ca="1" si="25"/>
        <v>0</v>
      </c>
      <c r="AN38" s="7">
        <f t="shared" ca="1" si="25"/>
        <v>0</v>
      </c>
      <c r="AO38" s="7">
        <f t="shared" ca="1" si="25"/>
        <v>0</v>
      </c>
      <c r="AP38" s="7">
        <f t="shared" ca="1" si="25"/>
        <v>0</v>
      </c>
      <c r="AQ38" s="7">
        <f t="shared" ca="1" si="25"/>
        <v>0</v>
      </c>
      <c r="AR38" s="7">
        <f t="shared" ca="1" si="25"/>
        <v>0</v>
      </c>
      <c r="AS38" s="7">
        <f t="shared" ca="1" si="25"/>
        <v>0</v>
      </c>
      <c r="AT38" s="7">
        <f t="shared" ca="1" si="25"/>
        <v>0</v>
      </c>
      <c r="AU38" s="7">
        <f t="shared" ca="1" si="25"/>
        <v>0</v>
      </c>
      <c r="AV38" s="7">
        <f t="shared" ca="1" si="25"/>
        <v>0</v>
      </c>
      <c r="AW38" s="7">
        <f t="shared" ca="1" si="25"/>
        <v>0</v>
      </c>
      <c r="AX38" s="7">
        <f t="shared" ca="1" si="25"/>
        <v>0</v>
      </c>
      <c r="AY38" s="7">
        <f t="shared" ca="1" si="25"/>
        <v>0</v>
      </c>
      <c r="AZ38" s="7">
        <f t="shared" ca="1" si="25"/>
        <v>0</v>
      </c>
      <c r="BA38" s="7">
        <f t="shared" ca="1" si="25"/>
        <v>0</v>
      </c>
      <c r="BB38" s="7">
        <f t="shared" ca="1" si="25"/>
        <v>0</v>
      </c>
      <c r="BC38" s="7">
        <f t="shared" ca="1" si="25"/>
        <v>0</v>
      </c>
      <c r="BD38" s="7">
        <f t="shared" ca="1" si="25"/>
        <v>0</v>
      </c>
      <c r="BE38" s="7">
        <f t="shared" ca="1" si="25"/>
        <v>0</v>
      </c>
      <c r="BF38" s="7">
        <f t="shared" ca="1" si="25"/>
        <v>0</v>
      </c>
      <c r="BG38" s="7">
        <f t="shared" ca="1" si="25"/>
        <v>0</v>
      </c>
      <c r="BH38" s="7">
        <f t="shared" ca="1" si="25"/>
        <v>0</v>
      </c>
      <c r="BI38" s="7">
        <f t="shared" ca="1" si="25"/>
        <v>0</v>
      </c>
      <c r="BJ38" s="7">
        <f t="shared" ca="1" si="25"/>
        <v>0</v>
      </c>
      <c r="BK38" s="7">
        <f t="shared" ca="1" si="25"/>
        <v>0</v>
      </c>
      <c r="BL38" s="7">
        <f t="shared" ca="1" si="25"/>
        <v>0</v>
      </c>
      <c r="BM38" s="7">
        <f t="shared" ca="1" si="25"/>
        <v>0</v>
      </c>
      <c r="BN38" s="7">
        <f t="shared" ca="1" si="25"/>
        <v>0</v>
      </c>
      <c r="BO38" s="7">
        <f t="shared" ca="1" si="25"/>
        <v>0</v>
      </c>
      <c r="BP38" s="7">
        <f t="shared" ca="1" si="25"/>
        <v>0</v>
      </c>
      <c r="BQ38" s="7">
        <f t="shared" ca="1" si="25"/>
        <v>0</v>
      </c>
      <c r="BR38" s="7">
        <f t="shared" ca="1" si="25"/>
        <v>0</v>
      </c>
      <c r="BS38" s="7">
        <f t="shared" ca="1" si="25"/>
        <v>0</v>
      </c>
      <c r="BT38" s="7">
        <f t="shared" ca="1" si="25"/>
        <v>0</v>
      </c>
      <c r="BU38" s="7">
        <f t="shared" ca="1" si="25"/>
        <v>0</v>
      </c>
      <c r="BV38" s="7">
        <f t="shared" ca="1" si="25"/>
        <v>0</v>
      </c>
      <c r="BW38" s="7">
        <f t="shared" ca="1" si="25"/>
        <v>0</v>
      </c>
      <c r="BX38" s="7">
        <f t="shared" ca="1" si="25"/>
        <v>0</v>
      </c>
      <c r="BY38" s="7"/>
      <c r="BZ38" s="7"/>
    </row>
    <row r="39" spans="1:78" ht="15.75" customHeight="1">
      <c r="A39" s="7" t="str">
        <f t="shared" ca="1" si="2"/>
        <v/>
      </c>
      <c r="B39" s="18" t="e">
        <f t="shared" ca="1" si="3"/>
        <v>#N/A</v>
      </c>
      <c r="C39" s="8">
        <v>0</v>
      </c>
      <c r="D39" s="8">
        <v>18</v>
      </c>
      <c r="E39" s="7" t="e">
        <f t="shared" ca="1" si="9"/>
        <v>#N/A</v>
      </c>
      <c r="F39" s="7" t="e">
        <f ca="1">+VLOOKUP("*_"&amp;E39&amp;"_*",data!A:D,3,0)</f>
        <v>#N/A</v>
      </c>
      <c r="G39" s="7" t="e">
        <f ca="1">+VLOOKUP("*_"&amp;E39&amp;"_*",data!A:D,4,0)</f>
        <v>#N/A</v>
      </c>
      <c r="H39" s="7">
        <f ca="1">IFERROR(IF(VLOOKUP("*_"&amp;E39&amp;"_*",data!A:D,2,0)="",1,VLOOKUP("*_"&amp;E39&amp;"_*",data!A:D,2,0)),0)</f>
        <v>0</v>
      </c>
      <c r="I39" s="7">
        <f t="shared" ca="1" si="4"/>
        <v>36</v>
      </c>
      <c r="J39" s="7" t="str">
        <f t="shared" ca="1" si="5"/>
        <v/>
      </c>
      <c r="K39" s="7">
        <v>35</v>
      </c>
      <c r="L39" s="7" t="e">
        <f t="shared" ca="1" si="10"/>
        <v>#N/A</v>
      </c>
      <c r="M39" s="7" t="e">
        <f t="shared" ca="1" si="11"/>
        <v>#N/A</v>
      </c>
      <c r="N39" s="7" t="e">
        <f t="shared" ca="1" si="13"/>
        <v>#N/A</v>
      </c>
      <c r="O39" s="7">
        <f t="shared" ca="1" si="25"/>
        <v>0</v>
      </c>
      <c r="P39" s="7">
        <f t="shared" ca="1" si="25"/>
        <v>0</v>
      </c>
      <c r="Q39" s="7">
        <f t="shared" ca="1" si="25"/>
        <v>0</v>
      </c>
      <c r="R39" s="7">
        <f t="shared" ca="1" si="25"/>
        <v>0</v>
      </c>
      <c r="S39" s="7">
        <f t="shared" ca="1" si="25"/>
        <v>0</v>
      </c>
      <c r="T39" s="7">
        <f t="shared" ca="1" si="25"/>
        <v>0</v>
      </c>
      <c r="U39" s="7">
        <f t="shared" ca="1" si="25"/>
        <v>0</v>
      </c>
      <c r="V39" s="7">
        <f t="shared" ref="V39:BX39" ca="1" si="26">+IFERROR(IF(MATCH(V$4,$N$4:$BZ$4,0)=MATCH($N39,$N$4:$N$68,0),1+IFERROR(1/2*INDEX($N$4:$BZ$68,MATCH($L39,$N$4:$N$68,0),MATCH($M39,$N$4:$BZ$4,0)),0),IF(MATCH(V$4,$N$4:$BZ$4,0)&lt;MATCH($N39,$N$4:$N$68,0),(INDEX($N$4:$BZ$68,MATCH($L39,$N$4:$N$68,0),MATCH(V$4,$N$4:$BZ$4,0))+INDEX($N$4:$BZ$68,MATCH($M39,$N$4:$N$68,0),MATCH(V$4,$N$4:$BZ$4,0)))*1/2,(INDEX($N$4:$BZ$68,MATCH($N39,$N$4:$N$68,0),MATCH(V$2,$N$4:$BZ$4,0))+INDEX($N$4:$BZ$68,MATCH($N39,$N$4:$N$68,0),MATCH(V$3,$N$4:$BZ$4,0)))*1/2)),0)</f>
        <v>0</v>
      </c>
      <c r="W39" s="7">
        <f t="shared" ca="1" si="26"/>
        <v>0</v>
      </c>
      <c r="X39" s="7">
        <f t="shared" ca="1" si="26"/>
        <v>0</v>
      </c>
      <c r="Y39" s="7">
        <f t="shared" ca="1" si="26"/>
        <v>0</v>
      </c>
      <c r="Z39" s="7">
        <f t="shared" ca="1" si="26"/>
        <v>0</v>
      </c>
      <c r="AA39" s="7">
        <f t="shared" ca="1" si="26"/>
        <v>0</v>
      </c>
      <c r="AB39" s="7">
        <f t="shared" ca="1" si="26"/>
        <v>0</v>
      </c>
      <c r="AC39" s="7">
        <f t="shared" ca="1" si="26"/>
        <v>0</v>
      </c>
      <c r="AD39" s="7">
        <f t="shared" ca="1" si="26"/>
        <v>0</v>
      </c>
      <c r="AE39" s="7">
        <f t="shared" ca="1" si="26"/>
        <v>0</v>
      </c>
      <c r="AF39" s="7">
        <f t="shared" ca="1" si="26"/>
        <v>0</v>
      </c>
      <c r="AG39" s="7">
        <f t="shared" ca="1" si="26"/>
        <v>0</v>
      </c>
      <c r="AH39" s="7">
        <f t="shared" ca="1" si="26"/>
        <v>0</v>
      </c>
      <c r="AI39" s="7">
        <f t="shared" ca="1" si="26"/>
        <v>0</v>
      </c>
      <c r="AJ39" s="7">
        <f t="shared" ca="1" si="26"/>
        <v>0</v>
      </c>
      <c r="AK39" s="7">
        <f t="shared" ca="1" si="26"/>
        <v>0</v>
      </c>
      <c r="AL39" s="7">
        <f t="shared" ca="1" si="26"/>
        <v>0</v>
      </c>
      <c r="AM39" s="7">
        <f t="shared" ca="1" si="26"/>
        <v>0</v>
      </c>
      <c r="AN39" s="7">
        <f t="shared" ca="1" si="26"/>
        <v>0</v>
      </c>
      <c r="AO39" s="7">
        <f t="shared" ca="1" si="26"/>
        <v>0</v>
      </c>
      <c r="AP39" s="7">
        <f t="shared" ca="1" si="26"/>
        <v>0</v>
      </c>
      <c r="AQ39" s="7">
        <f t="shared" ca="1" si="26"/>
        <v>0</v>
      </c>
      <c r="AR39" s="7">
        <f t="shared" ca="1" si="26"/>
        <v>0</v>
      </c>
      <c r="AS39" s="7">
        <f t="shared" ca="1" si="26"/>
        <v>0</v>
      </c>
      <c r="AT39" s="7">
        <f t="shared" ca="1" si="26"/>
        <v>0</v>
      </c>
      <c r="AU39" s="7">
        <f t="shared" ca="1" si="26"/>
        <v>0</v>
      </c>
      <c r="AV39" s="7">
        <f t="shared" ca="1" si="26"/>
        <v>0</v>
      </c>
      <c r="AW39" s="7">
        <f t="shared" ca="1" si="26"/>
        <v>0</v>
      </c>
      <c r="AX39" s="7">
        <f t="shared" ca="1" si="26"/>
        <v>0</v>
      </c>
      <c r="AY39" s="7">
        <f t="shared" ca="1" si="26"/>
        <v>0</v>
      </c>
      <c r="AZ39" s="7">
        <f t="shared" ca="1" si="26"/>
        <v>0</v>
      </c>
      <c r="BA39" s="7">
        <f t="shared" ca="1" si="26"/>
        <v>0</v>
      </c>
      <c r="BB39" s="7">
        <f t="shared" ca="1" si="26"/>
        <v>0</v>
      </c>
      <c r="BC39" s="7">
        <f t="shared" ca="1" si="26"/>
        <v>0</v>
      </c>
      <c r="BD39" s="7">
        <f t="shared" ca="1" si="26"/>
        <v>0</v>
      </c>
      <c r="BE39" s="7">
        <f t="shared" ca="1" si="26"/>
        <v>0</v>
      </c>
      <c r="BF39" s="7">
        <f t="shared" ca="1" si="26"/>
        <v>0</v>
      </c>
      <c r="BG39" s="7">
        <f t="shared" ca="1" si="26"/>
        <v>0</v>
      </c>
      <c r="BH39" s="7">
        <f t="shared" ca="1" si="26"/>
        <v>0</v>
      </c>
      <c r="BI39" s="7">
        <f t="shared" ca="1" si="26"/>
        <v>0</v>
      </c>
      <c r="BJ39" s="7">
        <f t="shared" ca="1" si="26"/>
        <v>0</v>
      </c>
      <c r="BK39" s="7">
        <f t="shared" ca="1" si="26"/>
        <v>0</v>
      </c>
      <c r="BL39" s="7">
        <f t="shared" ca="1" si="26"/>
        <v>0</v>
      </c>
      <c r="BM39" s="7">
        <f t="shared" ca="1" si="26"/>
        <v>0</v>
      </c>
      <c r="BN39" s="7">
        <f t="shared" ca="1" si="26"/>
        <v>0</v>
      </c>
      <c r="BO39" s="7">
        <f t="shared" ca="1" si="26"/>
        <v>0</v>
      </c>
      <c r="BP39" s="7">
        <f t="shared" ca="1" si="26"/>
        <v>0</v>
      </c>
      <c r="BQ39" s="7">
        <f t="shared" ca="1" si="26"/>
        <v>0</v>
      </c>
      <c r="BR39" s="7">
        <f t="shared" ca="1" si="26"/>
        <v>0</v>
      </c>
      <c r="BS39" s="7">
        <f t="shared" ca="1" si="26"/>
        <v>0</v>
      </c>
      <c r="BT39" s="7">
        <f t="shared" ca="1" si="26"/>
        <v>0</v>
      </c>
      <c r="BU39" s="7">
        <f t="shared" ca="1" si="26"/>
        <v>0</v>
      </c>
      <c r="BV39" s="7">
        <f t="shared" ca="1" si="26"/>
        <v>0</v>
      </c>
      <c r="BW39" s="7">
        <f t="shared" ca="1" si="26"/>
        <v>0</v>
      </c>
      <c r="BX39" s="7">
        <f t="shared" ca="1" si="26"/>
        <v>0</v>
      </c>
      <c r="BY39" s="7"/>
      <c r="BZ39" s="7"/>
    </row>
    <row r="40" spans="1:78" ht="15.75" customHeight="1">
      <c r="A40" s="7" t="str">
        <f t="shared" ca="1" si="2"/>
        <v/>
      </c>
      <c r="B40" s="18" t="e">
        <f t="shared" ca="1" si="3"/>
        <v>#N/A</v>
      </c>
      <c r="C40" s="8">
        <v>1</v>
      </c>
      <c r="D40" s="8">
        <v>18</v>
      </c>
      <c r="E40" s="7" t="e">
        <f t="shared" ca="1" si="9"/>
        <v>#N/A</v>
      </c>
      <c r="F40" s="7" t="e">
        <f ca="1">+VLOOKUP("*_"&amp;E40&amp;"_*",data!A:D,3,0)</f>
        <v>#N/A</v>
      </c>
      <c r="G40" s="7" t="e">
        <f ca="1">+VLOOKUP("*_"&amp;E40&amp;"_*",data!A:D,4,0)</f>
        <v>#N/A</v>
      </c>
      <c r="H40" s="7">
        <f ca="1">IFERROR(IF(VLOOKUP("*_"&amp;E40&amp;"_*",data!A:D,2,0)="",1,VLOOKUP("*_"&amp;E40&amp;"_*",data!A:D,2,0)),0)</f>
        <v>0</v>
      </c>
      <c r="I40" s="7">
        <f t="shared" ca="1" si="4"/>
        <v>37</v>
      </c>
      <c r="J40" s="7" t="str">
        <f t="shared" ca="1" si="5"/>
        <v/>
      </c>
      <c r="K40" s="7">
        <v>36</v>
      </c>
      <c r="L40" s="7" t="e">
        <f t="shared" ca="1" si="10"/>
        <v>#N/A</v>
      </c>
      <c r="M40" s="7" t="e">
        <f t="shared" ca="1" si="11"/>
        <v>#N/A</v>
      </c>
      <c r="N40" s="7" t="e">
        <f t="shared" ca="1" si="13"/>
        <v>#N/A</v>
      </c>
      <c r="O40" s="7">
        <f t="shared" ref="O40:BX44" ca="1" si="27">+IFERROR(IF(MATCH(O$4,$N$4:$BZ$4,0)=MATCH($N40,$N$4:$N$68,0),1+IFERROR(1/2*INDEX($N$4:$BZ$68,MATCH($L40,$N$4:$N$68,0),MATCH($M40,$N$4:$BZ$4,0)),0),IF(MATCH(O$4,$N$4:$BZ$4,0)&lt;MATCH($N40,$N$4:$N$68,0),(INDEX($N$4:$BZ$68,MATCH($L40,$N$4:$N$68,0),MATCH(O$4,$N$4:$BZ$4,0))+INDEX($N$4:$BZ$68,MATCH($M40,$N$4:$N$68,0),MATCH(O$4,$N$4:$BZ$4,0)))*1/2,(INDEX($N$4:$BZ$68,MATCH($N40,$N$4:$N$68,0),MATCH(O$2,$N$4:$BZ$4,0))+INDEX($N$4:$BZ$68,MATCH($N40,$N$4:$N$68,0),MATCH(O$3,$N$4:$BZ$4,0)))*1/2)),0)</f>
        <v>0</v>
      </c>
      <c r="P40" s="7">
        <f t="shared" ca="1" si="27"/>
        <v>0</v>
      </c>
      <c r="Q40" s="7">
        <f t="shared" ca="1" si="27"/>
        <v>0</v>
      </c>
      <c r="R40" s="7">
        <f t="shared" ca="1" si="27"/>
        <v>0</v>
      </c>
      <c r="S40" s="7">
        <f t="shared" ca="1" si="27"/>
        <v>0</v>
      </c>
      <c r="T40" s="7">
        <f t="shared" ca="1" si="27"/>
        <v>0</v>
      </c>
      <c r="U40" s="7">
        <f t="shared" ca="1" si="27"/>
        <v>0</v>
      </c>
      <c r="V40" s="7">
        <f t="shared" ca="1" si="27"/>
        <v>0</v>
      </c>
      <c r="W40" s="7">
        <f t="shared" ca="1" si="27"/>
        <v>0</v>
      </c>
      <c r="X40" s="7">
        <f t="shared" ca="1" si="27"/>
        <v>0</v>
      </c>
      <c r="Y40" s="7">
        <f t="shared" ca="1" si="27"/>
        <v>0</v>
      </c>
      <c r="Z40" s="7">
        <f t="shared" ca="1" si="27"/>
        <v>0</v>
      </c>
      <c r="AA40" s="7">
        <f t="shared" ca="1" si="27"/>
        <v>0</v>
      </c>
      <c r="AB40" s="7">
        <f t="shared" ca="1" si="27"/>
        <v>0</v>
      </c>
      <c r="AC40" s="7">
        <f t="shared" ca="1" si="27"/>
        <v>0</v>
      </c>
      <c r="AD40" s="7">
        <f t="shared" ca="1" si="27"/>
        <v>0</v>
      </c>
      <c r="AE40" s="7">
        <f t="shared" ca="1" si="27"/>
        <v>0</v>
      </c>
      <c r="AF40" s="7">
        <f t="shared" ca="1" si="27"/>
        <v>0</v>
      </c>
      <c r="AG40" s="7">
        <f t="shared" ca="1" si="27"/>
        <v>0</v>
      </c>
      <c r="AH40" s="7">
        <f t="shared" ca="1" si="27"/>
        <v>0</v>
      </c>
      <c r="AI40" s="7">
        <f t="shared" ca="1" si="27"/>
        <v>0</v>
      </c>
      <c r="AJ40" s="7">
        <f t="shared" ca="1" si="27"/>
        <v>0</v>
      </c>
      <c r="AK40" s="7">
        <f t="shared" ca="1" si="27"/>
        <v>0</v>
      </c>
      <c r="AL40" s="7">
        <f t="shared" ca="1" si="27"/>
        <v>0</v>
      </c>
      <c r="AM40" s="7">
        <f t="shared" ca="1" si="27"/>
        <v>0</v>
      </c>
      <c r="AN40" s="7">
        <f t="shared" ca="1" si="27"/>
        <v>0</v>
      </c>
      <c r="AO40" s="7">
        <f t="shared" ca="1" si="27"/>
        <v>0</v>
      </c>
      <c r="AP40" s="7">
        <f t="shared" ca="1" si="27"/>
        <v>0</v>
      </c>
      <c r="AQ40" s="7">
        <f t="shared" ca="1" si="27"/>
        <v>0</v>
      </c>
      <c r="AR40" s="7">
        <f t="shared" ca="1" si="27"/>
        <v>0</v>
      </c>
      <c r="AS40" s="7">
        <f t="shared" ca="1" si="27"/>
        <v>0</v>
      </c>
      <c r="AT40" s="7">
        <f t="shared" ca="1" si="27"/>
        <v>0</v>
      </c>
      <c r="AU40" s="7">
        <f t="shared" ca="1" si="27"/>
        <v>0</v>
      </c>
      <c r="AV40" s="7">
        <f t="shared" ca="1" si="27"/>
        <v>0</v>
      </c>
      <c r="AW40" s="7">
        <f t="shared" ca="1" si="27"/>
        <v>0</v>
      </c>
      <c r="AX40" s="7">
        <f t="shared" ca="1" si="27"/>
        <v>0</v>
      </c>
      <c r="AY40" s="7">
        <f t="shared" ca="1" si="27"/>
        <v>0</v>
      </c>
      <c r="AZ40" s="7">
        <f t="shared" ca="1" si="27"/>
        <v>0</v>
      </c>
      <c r="BA40" s="7">
        <f t="shared" ca="1" si="27"/>
        <v>0</v>
      </c>
      <c r="BB40" s="7">
        <f t="shared" ca="1" si="27"/>
        <v>0</v>
      </c>
      <c r="BC40" s="7">
        <f t="shared" ca="1" si="27"/>
        <v>0</v>
      </c>
      <c r="BD40" s="7">
        <f t="shared" ca="1" si="27"/>
        <v>0</v>
      </c>
      <c r="BE40" s="7">
        <f t="shared" ca="1" si="27"/>
        <v>0</v>
      </c>
      <c r="BF40" s="7">
        <f t="shared" ca="1" si="27"/>
        <v>0</v>
      </c>
      <c r="BG40" s="7">
        <f t="shared" ca="1" si="27"/>
        <v>0</v>
      </c>
      <c r="BH40" s="7">
        <f t="shared" ca="1" si="27"/>
        <v>0</v>
      </c>
      <c r="BI40" s="7">
        <f t="shared" ca="1" si="27"/>
        <v>0</v>
      </c>
      <c r="BJ40" s="7">
        <f t="shared" ca="1" si="27"/>
        <v>0</v>
      </c>
      <c r="BK40" s="7">
        <f t="shared" ca="1" si="27"/>
        <v>0</v>
      </c>
      <c r="BL40" s="7">
        <f t="shared" ca="1" si="27"/>
        <v>0</v>
      </c>
      <c r="BM40" s="7">
        <f t="shared" ca="1" si="27"/>
        <v>0</v>
      </c>
      <c r="BN40" s="7">
        <f t="shared" ca="1" si="27"/>
        <v>0</v>
      </c>
      <c r="BO40" s="7">
        <f t="shared" ca="1" si="27"/>
        <v>0</v>
      </c>
      <c r="BP40" s="7">
        <f t="shared" ca="1" si="27"/>
        <v>0</v>
      </c>
      <c r="BQ40" s="7">
        <f t="shared" ca="1" si="27"/>
        <v>0</v>
      </c>
      <c r="BR40" s="7">
        <f t="shared" ca="1" si="27"/>
        <v>0</v>
      </c>
      <c r="BS40" s="7">
        <f t="shared" ca="1" si="27"/>
        <v>0</v>
      </c>
      <c r="BT40" s="7">
        <f t="shared" ca="1" si="27"/>
        <v>0</v>
      </c>
      <c r="BU40" s="7">
        <f t="shared" ca="1" si="27"/>
        <v>0</v>
      </c>
      <c r="BV40" s="7">
        <f t="shared" ca="1" si="27"/>
        <v>0</v>
      </c>
      <c r="BW40" s="7">
        <f t="shared" ca="1" si="27"/>
        <v>0</v>
      </c>
      <c r="BX40" s="7">
        <f t="shared" ca="1" si="27"/>
        <v>0</v>
      </c>
      <c r="BY40" s="7"/>
      <c r="BZ40" s="7"/>
    </row>
    <row r="41" spans="1:78" ht="15.75" customHeight="1">
      <c r="A41" s="7" t="str">
        <f t="shared" ca="1" si="2"/>
        <v/>
      </c>
      <c r="B41" s="18" t="e">
        <f t="shared" ca="1" si="3"/>
        <v>#N/A</v>
      </c>
      <c r="C41" s="8">
        <v>0</v>
      </c>
      <c r="D41" s="8">
        <v>19</v>
      </c>
      <c r="E41" s="7" t="e">
        <f t="shared" ca="1" si="9"/>
        <v>#N/A</v>
      </c>
      <c r="F41" s="7" t="e">
        <f ca="1">+VLOOKUP("*_"&amp;E41&amp;"_*",data!A:D,3,0)</f>
        <v>#N/A</v>
      </c>
      <c r="G41" s="7" t="e">
        <f ca="1">+VLOOKUP("*_"&amp;E41&amp;"_*",data!A:D,4,0)</f>
        <v>#N/A</v>
      </c>
      <c r="H41" s="7">
        <f ca="1">IFERROR(IF(VLOOKUP("*_"&amp;E41&amp;"_*",data!A:D,2,0)="",1,VLOOKUP("*_"&amp;E41&amp;"_*",data!A:D,2,0)),0)</f>
        <v>0</v>
      </c>
      <c r="I41" s="7">
        <f t="shared" ca="1" si="4"/>
        <v>38</v>
      </c>
      <c r="J41" s="7" t="str">
        <f t="shared" ca="1" si="5"/>
        <v/>
      </c>
      <c r="K41" s="7">
        <v>37</v>
      </c>
      <c r="L41" s="7" t="e">
        <f t="shared" ca="1" si="10"/>
        <v>#N/A</v>
      </c>
      <c r="M41" s="7" t="e">
        <f t="shared" ca="1" si="11"/>
        <v>#N/A</v>
      </c>
      <c r="N41" s="7" t="e">
        <f t="shared" ca="1" si="13"/>
        <v>#N/A</v>
      </c>
      <c r="O41" s="7">
        <f t="shared" ca="1" si="27"/>
        <v>0</v>
      </c>
      <c r="P41" s="7">
        <f t="shared" ca="1" si="27"/>
        <v>0</v>
      </c>
      <c r="Q41" s="7">
        <f t="shared" ca="1" si="27"/>
        <v>0</v>
      </c>
      <c r="R41" s="7">
        <f t="shared" ca="1" si="27"/>
        <v>0</v>
      </c>
      <c r="S41" s="7">
        <f t="shared" ca="1" si="27"/>
        <v>0</v>
      </c>
      <c r="T41" s="7">
        <f t="shared" ca="1" si="27"/>
        <v>0</v>
      </c>
      <c r="U41" s="7">
        <f t="shared" ca="1" si="27"/>
        <v>0</v>
      </c>
      <c r="V41" s="7">
        <f t="shared" ca="1" si="27"/>
        <v>0</v>
      </c>
      <c r="W41" s="7">
        <f t="shared" ca="1" si="27"/>
        <v>0</v>
      </c>
      <c r="X41" s="7">
        <f t="shared" ca="1" si="27"/>
        <v>0</v>
      </c>
      <c r="Y41" s="7">
        <f t="shared" ca="1" si="27"/>
        <v>0</v>
      </c>
      <c r="Z41" s="7">
        <f t="shared" ca="1" si="27"/>
        <v>0</v>
      </c>
      <c r="AA41" s="7">
        <f t="shared" ca="1" si="27"/>
        <v>0</v>
      </c>
      <c r="AB41" s="7">
        <f t="shared" ca="1" si="27"/>
        <v>0</v>
      </c>
      <c r="AC41" s="7">
        <f t="shared" ca="1" si="27"/>
        <v>0</v>
      </c>
      <c r="AD41" s="7">
        <f t="shared" ca="1" si="27"/>
        <v>0</v>
      </c>
      <c r="AE41" s="7">
        <f t="shared" ca="1" si="27"/>
        <v>0</v>
      </c>
      <c r="AF41" s="7">
        <f t="shared" ca="1" si="27"/>
        <v>0</v>
      </c>
      <c r="AG41" s="7">
        <f t="shared" ca="1" si="27"/>
        <v>0</v>
      </c>
      <c r="AH41" s="7">
        <f t="shared" ca="1" si="27"/>
        <v>0</v>
      </c>
      <c r="AI41" s="7">
        <f t="shared" ca="1" si="27"/>
        <v>0</v>
      </c>
      <c r="AJ41" s="7">
        <f t="shared" ca="1" si="27"/>
        <v>0</v>
      </c>
      <c r="AK41" s="7">
        <f t="shared" ca="1" si="27"/>
        <v>0</v>
      </c>
      <c r="AL41" s="7">
        <f t="shared" ca="1" si="27"/>
        <v>0</v>
      </c>
      <c r="AM41" s="7">
        <f t="shared" ca="1" si="27"/>
        <v>0</v>
      </c>
      <c r="AN41" s="7">
        <f t="shared" ca="1" si="27"/>
        <v>0</v>
      </c>
      <c r="AO41" s="7">
        <f t="shared" ca="1" si="27"/>
        <v>0</v>
      </c>
      <c r="AP41" s="7">
        <f t="shared" ca="1" si="27"/>
        <v>0</v>
      </c>
      <c r="AQ41" s="7">
        <f t="shared" ca="1" si="27"/>
        <v>0</v>
      </c>
      <c r="AR41" s="7">
        <f t="shared" ca="1" si="27"/>
        <v>0</v>
      </c>
      <c r="AS41" s="7">
        <f t="shared" ca="1" si="27"/>
        <v>0</v>
      </c>
      <c r="AT41" s="7">
        <f t="shared" ca="1" si="27"/>
        <v>0</v>
      </c>
      <c r="AU41" s="7">
        <f t="shared" ca="1" si="27"/>
        <v>0</v>
      </c>
      <c r="AV41" s="7">
        <f t="shared" ca="1" si="27"/>
        <v>0</v>
      </c>
      <c r="AW41" s="7">
        <f t="shared" ca="1" si="27"/>
        <v>0</v>
      </c>
      <c r="AX41" s="7">
        <f t="shared" ca="1" si="27"/>
        <v>0</v>
      </c>
      <c r="AY41" s="7">
        <f t="shared" ca="1" si="27"/>
        <v>0</v>
      </c>
      <c r="AZ41" s="7">
        <f t="shared" ca="1" si="27"/>
        <v>0</v>
      </c>
      <c r="BA41" s="7">
        <f t="shared" ca="1" si="27"/>
        <v>0</v>
      </c>
      <c r="BB41" s="7">
        <f t="shared" ca="1" si="27"/>
        <v>0</v>
      </c>
      <c r="BC41" s="7">
        <f t="shared" ca="1" si="27"/>
        <v>0</v>
      </c>
      <c r="BD41" s="7">
        <f t="shared" ca="1" si="27"/>
        <v>0</v>
      </c>
      <c r="BE41" s="7">
        <f t="shared" ca="1" si="27"/>
        <v>0</v>
      </c>
      <c r="BF41" s="7">
        <f t="shared" ca="1" si="27"/>
        <v>0</v>
      </c>
      <c r="BG41" s="7">
        <f t="shared" ca="1" si="27"/>
        <v>0</v>
      </c>
      <c r="BH41" s="7">
        <f t="shared" ca="1" si="27"/>
        <v>0</v>
      </c>
      <c r="BI41" s="7">
        <f t="shared" ca="1" si="27"/>
        <v>0</v>
      </c>
      <c r="BJ41" s="7">
        <f t="shared" ca="1" si="27"/>
        <v>0</v>
      </c>
      <c r="BK41" s="7">
        <f t="shared" ca="1" si="27"/>
        <v>0</v>
      </c>
      <c r="BL41" s="7">
        <f t="shared" ca="1" si="27"/>
        <v>0</v>
      </c>
      <c r="BM41" s="7">
        <f t="shared" ca="1" si="27"/>
        <v>0</v>
      </c>
      <c r="BN41" s="7">
        <f t="shared" ca="1" si="27"/>
        <v>0</v>
      </c>
      <c r="BO41" s="7">
        <f t="shared" ca="1" si="27"/>
        <v>0</v>
      </c>
      <c r="BP41" s="7">
        <f t="shared" ca="1" si="27"/>
        <v>0</v>
      </c>
      <c r="BQ41" s="7">
        <f t="shared" ca="1" si="27"/>
        <v>0</v>
      </c>
      <c r="BR41" s="7">
        <f t="shared" ca="1" si="27"/>
        <v>0</v>
      </c>
      <c r="BS41" s="7">
        <f t="shared" ca="1" si="27"/>
        <v>0</v>
      </c>
      <c r="BT41" s="7">
        <f t="shared" ca="1" si="27"/>
        <v>0</v>
      </c>
      <c r="BU41" s="7">
        <f t="shared" ca="1" si="27"/>
        <v>0</v>
      </c>
      <c r="BV41" s="7">
        <f t="shared" ca="1" si="27"/>
        <v>0</v>
      </c>
      <c r="BW41" s="7">
        <f t="shared" ca="1" si="27"/>
        <v>0</v>
      </c>
      <c r="BX41" s="7">
        <f t="shared" ca="1" si="27"/>
        <v>0</v>
      </c>
      <c r="BY41" s="7"/>
      <c r="BZ41" s="7"/>
    </row>
    <row r="42" spans="1:78" ht="15.75" customHeight="1">
      <c r="A42" s="7" t="str">
        <f t="shared" ca="1" si="2"/>
        <v/>
      </c>
      <c r="B42" s="18" t="e">
        <f t="shared" ca="1" si="3"/>
        <v>#N/A</v>
      </c>
      <c r="C42" s="8">
        <v>1</v>
      </c>
      <c r="D42" s="8">
        <v>19</v>
      </c>
      <c r="E42" s="7" t="e">
        <f t="shared" ca="1" si="9"/>
        <v>#N/A</v>
      </c>
      <c r="F42" s="7" t="e">
        <f ca="1">+VLOOKUP("*_"&amp;E42&amp;"_*",data!A:D,3,0)</f>
        <v>#N/A</v>
      </c>
      <c r="G42" s="7" t="e">
        <f ca="1">+VLOOKUP("*_"&amp;E42&amp;"_*",data!A:D,4,0)</f>
        <v>#N/A</v>
      </c>
      <c r="H42" s="7">
        <f ca="1">IFERROR(IF(VLOOKUP("*_"&amp;E42&amp;"_*",data!A:D,2,0)="",1,VLOOKUP("*_"&amp;E42&amp;"_*",data!A:D,2,0)),0)</f>
        <v>0</v>
      </c>
      <c r="I42" s="7">
        <f t="shared" ca="1" si="4"/>
        <v>39</v>
      </c>
      <c r="J42" s="7" t="str">
        <f t="shared" ca="1" si="5"/>
        <v/>
      </c>
      <c r="K42" s="7">
        <v>38</v>
      </c>
      <c r="L42" s="7" t="e">
        <f t="shared" ca="1" si="10"/>
        <v>#N/A</v>
      </c>
      <c r="M42" s="7" t="e">
        <f t="shared" ca="1" si="11"/>
        <v>#N/A</v>
      </c>
      <c r="N42" s="7" t="e">
        <f t="shared" ca="1" si="13"/>
        <v>#N/A</v>
      </c>
      <c r="O42" s="7">
        <f t="shared" ca="1" si="27"/>
        <v>0</v>
      </c>
      <c r="P42" s="7">
        <f t="shared" ca="1" si="27"/>
        <v>0</v>
      </c>
      <c r="Q42" s="7">
        <f t="shared" ca="1" si="27"/>
        <v>0</v>
      </c>
      <c r="R42" s="7">
        <f t="shared" ca="1" si="27"/>
        <v>0</v>
      </c>
      <c r="S42" s="7">
        <f t="shared" ca="1" si="27"/>
        <v>0</v>
      </c>
      <c r="T42" s="7">
        <f t="shared" ca="1" si="27"/>
        <v>0</v>
      </c>
      <c r="U42" s="7">
        <f t="shared" ca="1" si="27"/>
        <v>0</v>
      </c>
      <c r="V42" s="7">
        <f t="shared" ca="1" si="27"/>
        <v>0</v>
      </c>
      <c r="W42" s="7">
        <f t="shared" ca="1" si="27"/>
        <v>0</v>
      </c>
      <c r="X42" s="7">
        <f t="shared" ca="1" si="27"/>
        <v>0</v>
      </c>
      <c r="Y42" s="7">
        <f t="shared" ca="1" si="27"/>
        <v>0</v>
      </c>
      <c r="Z42" s="7">
        <f t="shared" ca="1" si="27"/>
        <v>0</v>
      </c>
      <c r="AA42" s="7">
        <f t="shared" ca="1" si="27"/>
        <v>0</v>
      </c>
      <c r="AB42" s="7">
        <f t="shared" ca="1" si="27"/>
        <v>0</v>
      </c>
      <c r="AC42" s="7">
        <f t="shared" ca="1" si="27"/>
        <v>0</v>
      </c>
      <c r="AD42" s="7">
        <f t="shared" ca="1" si="27"/>
        <v>0</v>
      </c>
      <c r="AE42" s="7">
        <f t="shared" ca="1" si="27"/>
        <v>0</v>
      </c>
      <c r="AF42" s="7">
        <f t="shared" ca="1" si="27"/>
        <v>0</v>
      </c>
      <c r="AG42" s="7">
        <f t="shared" ca="1" si="27"/>
        <v>0</v>
      </c>
      <c r="AH42" s="7">
        <f t="shared" ca="1" si="27"/>
        <v>0</v>
      </c>
      <c r="AI42" s="7">
        <f t="shared" ca="1" si="27"/>
        <v>0</v>
      </c>
      <c r="AJ42" s="7">
        <f t="shared" ca="1" si="27"/>
        <v>0</v>
      </c>
      <c r="AK42" s="7">
        <f t="shared" ca="1" si="27"/>
        <v>0</v>
      </c>
      <c r="AL42" s="7">
        <f t="shared" ca="1" si="27"/>
        <v>0</v>
      </c>
      <c r="AM42" s="7">
        <f t="shared" ca="1" si="27"/>
        <v>0</v>
      </c>
      <c r="AN42" s="7">
        <f t="shared" ca="1" si="27"/>
        <v>0</v>
      </c>
      <c r="AO42" s="7">
        <f t="shared" ca="1" si="27"/>
        <v>0</v>
      </c>
      <c r="AP42" s="7">
        <f t="shared" ca="1" si="27"/>
        <v>0</v>
      </c>
      <c r="AQ42" s="7">
        <f t="shared" ca="1" si="27"/>
        <v>0</v>
      </c>
      <c r="AR42" s="7">
        <f t="shared" ca="1" si="27"/>
        <v>0</v>
      </c>
      <c r="AS42" s="7">
        <f t="shared" ca="1" si="27"/>
        <v>0</v>
      </c>
      <c r="AT42" s="7">
        <f t="shared" ca="1" si="27"/>
        <v>0</v>
      </c>
      <c r="AU42" s="7">
        <f t="shared" ca="1" si="27"/>
        <v>0</v>
      </c>
      <c r="AV42" s="7">
        <f t="shared" ca="1" si="27"/>
        <v>0</v>
      </c>
      <c r="AW42" s="7">
        <f t="shared" ca="1" si="27"/>
        <v>0</v>
      </c>
      <c r="AX42" s="7">
        <f t="shared" ca="1" si="27"/>
        <v>0</v>
      </c>
      <c r="AY42" s="7">
        <f t="shared" ca="1" si="27"/>
        <v>0</v>
      </c>
      <c r="AZ42" s="7">
        <f t="shared" ca="1" si="27"/>
        <v>0</v>
      </c>
      <c r="BA42" s="7">
        <f t="shared" ca="1" si="27"/>
        <v>0</v>
      </c>
      <c r="BB42" s="7">
        <f t="shared" ca="1" si="27"/>
        <v>0</v>
      </c>
      <c r="BC42" s="7">
        <f t="shared" ca="1" si="27"/>
        <v>0</v>
      </c>
      <c r="BD42" s="7">
        <f t="shared" ca="1" si="27"/>
        <v>0</v>
      </c>
      <c r="BE42" s="7">
        <f t="shared" ca="1" si="27"/>
        <v>0</v>
      </c>
      <c r="BF42" s="7">
        <f t="shared" ca="1" si="27"/>
        <v>0</v>
      </c>
      <c r="BG42" s="7">
        <f t="shared" ca="1" si="27"/>
        <v>0</v>
      </c>
      <c r="BH42" s="7">
        <f t="shared" ca="1" si="27"/>
        <v>0</v>
      </c>
      <c r="BI42" s="7">
        <f t="shared" ca="1" si="27"/>
        <v>0</v>
      </c>
      <c r="BJ42" s="7">
        <f t="shared" ca="1" si="27"/>
        <v>0</v>
      </c>
      <c r="BK42" s="7">
        <f t="shared" ca="1" si="27"/>
        <v>0</v>
      </c>
      <c r="BL42" s="7">
        <f t="shared" ca="1" si="27"/>
        <v>0</v>
      </c>
      <c r="BM42" s="7">
        <f t="shared" ca="1" si="27"/>
        <v>0</v>
      </c>
      <c r="BN42" s="7">
        <f t="shared" ca="1" si="27"/>
        <v>0</v>
      </c>
      <c r="BO42" s="7">
        <f t="shared" ca="1" si="27"/>
        <v>0</v>
      </c>
      <c r="BP42" s="7">
        <f t="shared" ca="1" si="27"/>
        <v>0</v>
      </c>
      <c r="BQ42" s="7">
        <f t="shared" ca="1" si="27"/>
        <v>0</v>
      </c>
      <c r="BR42" s="7">
        <f t="shared" ca="1" si="27"/>
        <v>0</v>
      </c>
      <c r="BS42" s="7">
        <f t="shared" ca="1" si="27"/>
        <v>0</v>
      </c>
      <c r="BT42" s="7">
        <f t="shared" ca="1" si="27"/>
        <v>0</v>
      </c>
      <c r="BU42" s="7">
        <f t="shared" ca="1" si="27"/>
        <v>0</v>
      </c>
      <c r="BV42" s="7">
        <f t="shared" ca="1" si="27"/>
        <v>0</v>
      </c>
      <c r="BW42" s="7">
        <f t="shared" ca="1" si="27"/>
        <v>0</v>
      </c>
      <c r="BX42" s="7">
        <f t="shared" ca="1" si="27"/>
        <v>0</v>
      </c>
      <c r="BY42" s="7"/>
      <c r="BZ42" s="7"/>
    </row>
    <row r="43" spans="1:78" ht="15.75" customHeight="1">
      <c r="A43" s="7" t="str">
        <f t="shared" ca="1" si="2"/>
        <v/>
      </c>
      <c r="B43" s="18" t="e">
        <f t="shared" ca="1" si="3"/>
        <v>#N/A</v>
      </c>
      <c r="C43" s="8">
        <v>0</v>
      </c>
      <c r="D43" s="8">
        <v>20</v>
      </c>
      <c r="E43" s="7" t="e">
        <f t="shared" ca="1" si="9"/>
        <v>#N/A</v>
      </c>
      <c r="F43" s="7" t="e">
        <f ca="1">+VLOOKUP("*_"&amp;E43&amp;"_*",data!A:D,3,0)</f>
        <v>#N/A</v>
      </c>
      <c r="G43" s="7" t="e">
        <f ca="1">+VLOOKUP("*_"&amp;E43&amp;"_*",data!A:D,4,0)</f>
        <v>#N/A</v>
      </c>
      <c r="H43" s="7">
        <f ca="1">IFERROR(IF(VLOOKUP("*_"&amp;E43&amp;"_*",data!A:D,2,0)="",1,VLOOKUP("*_"&amp;E43&amp;"_*",data!A:D,2,0)),0)</f>
        <v>0</v>
      </c>
      <c r="I43" s="7">
        <f t="shared" ca="1" si="4"/>
        <v>40</v>
      </c>
      <c r="J43" s="7" t="str">
        <f t="shared" ca="1" si="5"/>
        <v/>
      </c>
      <c r="K43" s="7">
        <v>39</v>
      </c>
      <c r="L43" s="7" t="e">
        <f t="shared" ca="1" si="10"/>
        <v>#N/A</v>
      </c>
      <c r="M43" s="7" t="e">
        <f t="shared" ca="1" si="11"/>
        <v>#N/A</v>
      </c>
      <c r="N43" s="7" t="e">
        <f t="shared" ca="1" si="13"/>
        <v>#N/A</v>
      </c>
      <c r="O43" s="7">
        <f t="shared" ca="1" si="27"/>
        <v>0</v>
      </c>
      <c r="P43" s="7">
        <f t="shared" ca="1" si="27"/>
        <v>0</v>
      </c>
      <c r="Q43" s="7">
        <f t="shared" ca="1" si="27"/>
        <v>0</v>
      </c>
      <c r="R43" s="7">
        <f t="shared" ca="1" si="27"/>
        <v>0</v>
      </c>
      <c r="S43" s="7">
        <f t="shared" ca="1" si="27"/>
        <v>0</v>
      </c>
      <c r="T43" s="7">
        <f t="shared" ca="1" si="27"/>
        <v>0</v>
      </c>
      <c r="U43" s="7">
        <f t="shared" ca="1" si="27"/>
        <v>0</v>
      </c>
      <c r="V43" s="7">
        <f t="shared" ca="1" si="27"/>
        <v>0</v>
      </c>
      <c r="W43" s="7">
        <f t="shared" ca="1" si="27"/>
        <v>0</v>
      </c>
      <c r="X43" s="7">
        <f t="shared" ca="1" si="27"/>
        <v>0</v>
      </c>
      <c r="Y43" s="7">
        <f t="shared" ca="1" si="27"/>
        <v>0</v>
      </c>
      <c r="Z43" s="7">
        <f t="shared" ca="1" si="27"/>
        <v>0</v>
      </c>
      <c r="AA43" s="7">
        <f t="shared" ca="1" si="27"/>
        <v>0</v>
      </c>
      <c r="AB43" s="7">
        <f t="shared" ca="1" si="27"/>
        <v>0</v>
      </c>
      <c r="AC43" s="7">
        <f t="shared" ca="1" si="27"/>
        <v>0</v>
      </c>
      <c r="AD43" s="7">
        <f t="shared" ca="1" si="27"/>
        <v>0</v>
      </c>
      <c r="AE43" s="7">
        <f t="shared" ca="1" si="27"/>
        <v>0</v>
      </c>
      <c r="AF43" s="7">
        <f t="shared" ca="1" si="27"/>
        <v>0</v>
      </c>
      <c r="AG43" s="7">
        <f t="shared" ca="1" si="27"/>
        <v>0</v>
      </c>
      <c r="AH43" s="7">
        <f t="shared" ca="1" si="27"/>
        <v>0</v>
      </c>
      <c r="AI43" s="7">
        <f t="shared" ca="1" si="27"/>
        <v>0</v>
      </c>
      <c r="AJ43" s="7">
        <f t="shared" ca="1" si="27"/>
        <v>0</v>
      </c>
      <c r="AK43" s="7">
        <f t="shared" ca="1" si="27"/>
        <v>0</v>
      </c>
      <c r="AL43" s="7">
        <f t="shared" ca="1" si="27"/>
        <v>0</v>
      </c>
      <c r="AM43" s="7">
        <f t="shared" ca="1" si="27"/>
        <v>0</v>
      </c>
      <c r="AN43" s="7">
        <f t="shared" ca="1" si="27"/>
        <v>0</v>
      </c>
      <c r="AO43" s="7">
        <f t="shared" ca="1" si="27"/>
        <v>0</v>
      </c>
      <c r="AP43" s="7">
        <f t="shared" ca="1" si="27"/>
        <v>0</v>
      </c>
      <c r="AQ43" s="7">
        <f t="shared" ca="1" si="27"/>
        <v>0</v>
      </c>
      <c r="AR43" s="7">
        <f t="shared" ca="1" si="27"/>
        <v>0</v>
      </c>
      <c r="AS43" s="7">
        <f t="shared" ca="1" si="27"/>
        <v>0</v>
      </c>
      <c r="AT43" s="7">
        <f t="shared" ca="1" si="27"/>
        <v>0</v>
      </c>
      <c r="AU43" s="7">
        <f t="shared" ca="1" si="27"/>
        <v>0</v>
      </c>
      <c r="AV43" s="7">
        <f t="shared" ca="1" si="27"/>
        <v>0</v>
      </c>
      <c r="AW43" s="7">
        <f t="shared" ca="1" si="27"/>
        <v>0</v>
      </c>
      <c r="AX43" s="7">
        <f t="shared" ca="1" si="27"/>
        <v>0</v>
      </c>
      <c r="AY43" s="7">
        <f t="shared" ca="1" si="27"/>
        <v>0</v>
      </c>
      <c r="AZ43" s="7">
        <f t="shared" ca="1" si="27"/>
        <v>0</v>
      </c>
      <c r="BA43" s="7">
        <f t="shared" ca="1" si="27"/>
        <v>0</v>
      </c>
      <c r="BB43" s="7">
        <f t="shared" ca="1" si="27"/>
        <v>0</v>
      </c>
      <c r="BC43" s="7">
        <f t="shared" ca="1" si="27"/>
        <v>0</v>
      </c>
      <c r="BD43" s="7">
        <f t="shared" ca="1" si="27"/>
        <v>0</v>
      </c>
      <c r="BE43" s="7">
        <f t="shared" ca="1" si="27"/>
        <v>0</v>
      </c>
      <c r="BF43" s="7">
        <f t="shared" ca="1" si="27"/>
        <v>0</v>
      </c>
      <c r="BG43" s="7">
        <f t="shared" ca="1" si="27"/>
        <v>0</v>
      </c>
      <c r="BH43" s="7">
        <f t="shared" ca="1" si="27"/>
        <v>0</v>
      </c>
      <c r="BI43" s="7">
        <f t="shared" ca="1" si="27"/>
        <v>0</v>
      </c>
      <c r="BJ43" s="7">
        <f t="shared" ca="1" si="27"/>
        <v>0</v>
      </c>
      <c r="BK43" s="7">
        <f t="shared" ca="1" si="27"/>
        <v>0</v>
      </c>
      <c r="BL43" s="7">
        <f t="shared" ca="1" si="27"/>
        <v>0</v>
      </c>
      <c r="BM43" s="7">
        <f t="shared" ca="1" si="27"/>
        <v>0</v>
      </c>
      <c r="BN43" s="7">
        <f t="shared" ca="1" si="27"/>
        <v>0</v>
      </c>
      <c r="BO43" s="7">
        <f t="shared" ca="1" si="27"/>
        <v>0</v>
      </c>
      <c r="BP43" s="7">
        <f t="shared" ca="1" si="27"/>
        <v>0</v>
      </c>
      <c r="BQ43" s="7">
        <f t="shared" ca="1" si="27"/>
        <v>0</v>
      </c>
      <c r="BR43" s="7">
        <f t="shared" ca="1" si="27"/>
        <v>0</v>
      </c>
      <c r="BS43" s="7">
        <f t="shared" ca="1" si="27"/>
        <v>0</v>
      </c>
      <c r="BT43" s="7">
        <f t="shared" ca="1" si="27"/>
        <v>0</v>
      </c>
      <c r="BU43" s="7">
        <f t="shared" ca="1" si="27"/>
        <v>0</v>
      </c>
      <c r="BV43" s="7">
        <f t="shared" ca="1" si="27"/>
        <v>0</v>
      </c>
      <c r="BW43" s="7">
        <f t="shared" ca="1" si="27"/>
        <v>0</v>
      </c>
      <c r="BX43" s="7">
        <f t="shared" ca="1" si="27"/>
        <v>0</v>
      </c>
      <c r="BY43" s="7"/>
      <c r="BZ43" s="7"/>
    </row>
    <row r="44" spans="1:78" ht="15.75" customHeight="1">
      <c r="A44" s="7" t="str">
        <f t="shared" ca="1" si="2"/>
        <v/>
      </c>
      <c r="B44" s="18" t="e">
        <f t="shared" ca="1" si="3"/>
        <v>#N/A</v>
      </c>
      <c r="C44" s="8">
        <v>1</v>
      </c>
      <c r="D44" s="8">
        <v>20</v>
      </c>
      <c r="E44" s="7" t="e">
        <f t="shared" ca="1" si="9"/>
        <v>#N/A</v>
      </c>
      <c r="F44" s="7" t="e">
        <f ca="1">+VLOOKUP("*_"&amp;E44&amp;"_*",data!A:D,3,0)</f>
        <v>#N/A</v>
      </c>
      <c r="G44" s="7" t="e">
        <f ca="1">+VLOOKUP("*_"&amp;E44&amp;"_*",data!A:D,4,0)</f>
        <v>#N/A</v>
      </c>
      <c r="H44" s="7">
        <f ca="1">IFERROR(IF(VLOOKUP("*_"&amp;E44&amp;"_*",data!A:D,2,0)="",1,VLOOKUP("*_"&amp;E44&amp;"_*",data!A:D,2,0)),0)</f>
        <v>0</v>
      </c>
      <c r="I44" s="7">
        <f t="shared" ca="1" si="4"/>
        <v>41</v>
      </c>
      <c r="J44" s="7" t="str">
        <f t="shared" ca="1" si="5"/>
        <v/>
      </c>
      <c r="K44" s="7">
        <v>40</v>
      </c>
      <c r="L44" s="7" t="e">
        <f t="shared" ca="1" si="10"/>
        <v>#N/A</v>
      </c>
      <c r="M44" s="7" t="e">
        <f t="shared" ca="1" si="11"/>
        <v>#N/A</v>
      </c>
      <c r="N44" s="7" t="e">
        <f t="shared" ca="1" si="13"/>
        <v>#N/A</v>
      </c>
      <c r="O44" s="7">
        <f t="shared" ca="1" si="27"/>
        <v>0</v>
      </c>
      <c r="P44" s="7">
        <f t="shared" ca="1" si="27"/>
        <v>0</v>
      </c>
      <c r="Q44" s="7">
        <f t="shared" ca="1" si="27"/>
        <v>0</v>
      </c>
      <c r="R44" s="7">
        <f t="shared" ca="1" si="27"/>
        <v>0</v>
      </c>
      <c r="S44" s="7">
        <f t="shared" ca="1" si="27"/>
        <v>0</v>
      </c>
      <c r="T44" s="7">
        <f t="shared" ca="1" si="27"/>
        <v>0</v>
      </c>
      <c r="U44" s="7">
        <f t="shared" ca="1" si="27"/>
        <v>0</v>
      </c>
      <c r="V44" s="7">
        <f t="shared" ref="V44:BX44" ca="1" si="28">+IFERROR(IF(MATCH(V$4,$N$4:$BZ$4,0)=MATCH($N44,$N$4:$N$68,0),1+IFERROR(1/2*INDEX($N$4:$BZ$68,MATCH($L44,$N$4:$N$68,0),MATCH($M44,$N$4:$BZ$4,0)),0),IF(MATCH(V$4,$N$4:$BZ$4,0)&lt;MATCH($N44,$N$4:$N$68,0),(INDEX($N$4:$BZ$68,MATCH($L44,$N$4:$N$68,0),MATCH(V$4,$N$4:$BZ$4,0))+INDEX($N$4:$BZ$68,MATCH($M44,$N$4:$N$68,0),MATCH(V$4,$N$4:$BZ$4,0)))*1/2,(INDEX($N$4:$BZ$68,MATCH($N44,$N$4:$N$68,0),MATCH(V$2,$N$4:$BZ$4,0))+INDEX($N$4:$BZ$68,MATCH($N44,$N$4:$N$68,0),MATCH(V$3,$N$4:$BZ$4,0)))*1/2)),0)</f>
        <v>0</v>
      </c>
      <c r="W44" s="7">
        <f t="shared" ca="1" si="28"/>
        <v>0</v>
      </c>
      <c r="X44" s="7">
        <f t="shared" ca="1" si="28"/>
        <v>0</v>
      </c>
      <c r="Y44" s="7">
        <f t="shared" ca="1" si="28"/>
        <v>0</v>
      </c>
      <c r="Z44" s="7">
        <f t="shared" ca="1" si="28"/>
        <v>0</v>
      </c>
      <c r="AA44" s="7">
        <f t="shared" ca="1" si="28"/>
        <v>0</v>
      </c>
      <c r="AB44" s="7">
        <f t="shared" ca="1" si="28"/>
        <v>0</v>
      </c>
      <c r="AC44" s="7">
        <f t="shared" ca="1" si="28"/>
        <v>0</v>
      </c>
      <c r="AD44" s="7">
        <f t="shared" ca="1" si="28"/>
        <v>0</v>
      </c>
      <c r="AE44" s="7">
        <f t="shared" ca="1" si="28"/>
        <v>0</v>
      </c>
      <c r="AF44" s="7">
        <f t="shared" ca="1" si="28"/>
        <v>0</v>
      </c>
      <c r="AG44" s="7">
        <f t="shared" ca="1" si="28"/>
        <v>0</v>
      </c>
      <c r="AH44" s="7">
        <f t="shared" ca="1" si="28"/>
        <v>0</v>
      </c>
      <c r="AI44" s="7">
        <f t="shared" ca="1" si="28"/>
        <v>0</v>
      </c>
      <c r="AJ44" s="7">
        <f t="shared" ca="1" si="28"/>
        <v>0</v>
      </c>
      <c r="AK44" s="7">
        <f t="shared" ca="1" si="28"/>
        <v>0</v>
      </c>
      <c r="AL44" s="7">
        <f t="shared" ca="1" si="28"/>
        <v>0</v>
      </c>
      <c r="AM44" s="7">
        <f t="shared" ca="1" si="28"/>
        <v>0</v>
      </c>
      <c r="AN44" s="7">
        <f t="shared" ca="1" si="28"/>
        <v>0</v>
      </c>
      <c r="AO44" s="7">
        <f t="shared" ca="1" si="28"/>
        <v>0</v>
      </c>
      <c r="AP44" s="7">
        <f t="shared" ca="1" si="28"/>
        <v>0</v>
      </c>
      <c r="AQ44" s="7">
        <f t="shared" ca="1" si="28"/>
        <v>0</v>
      </c>
      <c r="AR44" s="7">
        <f t="shared" ca="1" si="28"/>
        <v>0</v>
      </c>
      <c r="AS44" s="7">
        <f t="shared" ca="1" si="28"/>
        <v>0</v>
      </c>
      <c r="AT44" s="7">
        <f t="shared" ca="1" si="28"/>
        <v>0</v>
      </c>
      <c r="AU44" s="7">
        <f t="shared" ca="1" si="28"/>
        <v>0</v>
      </c>
      <c r="AV44" s="7">
        <f t="shared" ca="1" si="28"/>
        <v>0</v>
      </c>
      <c r="AW44" s="7">
        <f t="shared" ca="1" si="28"/>
        <v>0</v>
      </c>
      <c r="AX44" s="7">
        <f t="shared" ca="1" si="28"/>
        <v>0</v>
      </c>
      <c r="AY44" s="7">
        <f t="shared" ca="1" si="28"/>
        <v>0</v>
      </c>
      <c r="AZ44" s="7">
        <f t="shared" ca="1" si="28"/>
        <v>0</v>
      </c>
      <c r="BA44" s="7">
        <f t="shared" ca="1" si="28"/>
        <v>0</v>
      </c>
      <c r="BB44" s="7">
        <f t="shared" ca="1" si="28"/>
        <v>0</v>
      </c>
      <c r="BC44" s="7">
        <f t="shared" ca="1" si="28"/>
        <v>0</v>
      </c>
      <c r="BD44" s="7">
        <f t="shared" ca="1" si="28"/>
        <v>0</v>
      </c>
      <c r="BE44" s="7">
        <f t="shared" ca="1" si="28"/>
        <v>0</v>
      </c>
      <c r="BF44" s="7">
        <f t="shared" ca="1" si="28"/>
        <v>0</v>
      </c>
      <c r="BG44" s="7">
        <f t="shared" ca="1" si="28"/>
        <v>0</v>
      </c>
      <c r="BH44" s="7">
        <f t="shared" ca="1" si="28"/>
        <v>0</v>
      </c>
      <c r="BI44" s="7">
        <f t="shared" ca="1" si="28"/>
        <v>0</v>
      </c>
      <c r="BJ44" s="7">
        <f t="shared" ca="1" si="28"/>
        <v>0</v>
      </c>
      <c r="BK44" s="7">
        <f t="shared" ca="1" si="28"/>
        <v>0</v>
      </c>
      <c r="BL44" s="7">
        <f t="shared" ca="1" si="28"/>
        <v>0</v>
      </c>
      <c r="BM44" s="7">
        <f t="shared" ca="1" si="28"/>
        <v>0</v>
      </c>
      <c r="BN44" s="7">
        <f t="shared" ca="1" si="28"/>
        <v>0</v>
      </c>
      <c r="BO44" s="7">
        <f t="shared" ca="1" si="28"/>
        <v>0</v>
      </c>
      <c r="BP44" s="7">
        <f t="shared" ca="1" si="28"/>
        <v>0</v>
      </c>
      <c r="BQ44" s="7">
        <f t="shared" ca="1" si="28"/>
        <v>0</v>
      </c>
      <c r="BR44" s="7">
        <f t="shared" ca="1" si="28"/>
        <v>0</v>
      </c>
      <c r="BS44" s="7">
        <f t="shared" ca="1" si="28"/>
        <v>0</v>
      </c>
      <c r="BT44" s="7">
        <f t="shared" ca="1" si="28"/>
        <v>0</v>
      </c>
      <c r="BU44" s="7">
        <f t="shared" ca="1" si="28"/>
        <v>0</v>
      </c>
      <c r="BV44" s="7">
        <f t="shared" ca="1" si="28"/>
        <v>0</v>
      </c>
      <c r="BW44" s="7">
        <f t="shared" ca="1" si="28"/>
        <v>0</v>
      </c>
      <c r="BX44" s="7">
        <f t="shared" ca="1" si="28"/>
        <v>0</v>
      </c>
      <c r="BY44" s="7"/>
      <c r="BZ44" s="7"/>
    </row>
    <row r="45" spans="1:78" ht="15.75" customHeight="1">
      <c r="A45" s="7" t="str">
        <f t="shared" ca="1" si="2"/>
        <v/>
      </c>
      <c r="B45" s="18" t="e">
        <f t="shared" ca="1" si="3"/>
        <v>#N/A</v>
      </c>
      <c r="C45" s="8">
        <v>0</v>
      </c>
      <c r="D45" s="8">
        <v>21</v>
      </c>
      <c r="E45" s="7" t="e">
        <f t="shared" ca="1" si="9"/>
        <v>#N/A</v>
      </c>
      <c r="F45" s="7" t="e">
        <f ca="1">+VLOOKUP("*_"&amp;E45&amp;"_*",data!A:D,3,0)</f>
        <v>#N/A</v>
      </c>
      <c r="G45" s="7" t="e">
        <f ca="1">+VLOOKUP("*_"&amp;E45&amp;"_*",data!A:D,4,0)</f>
        <v>#N/A</v>
      </c>
      <c r="H45" s="7">
        <f ca="1">IFERROR(IF(VLOOKUP("*_"&amp;E45&amp;"_*",data!A:D,2,0)="",1,VLOOKUP("*_"&amp;E45&amp;"_*",data!A:D,2,0)),0)</f>
        <v>0</v>
      </c>
      <c r="I45" s="7">
        <f t="shared" ca="1" si="4"/>
        <v>42</v>
      </c>
      <c r="J45" s="7" t="str">
        <f t="shared" ca="1" si="5"/>
        <v/>
      </c>
      <c r="K45" s="7">
        <v>41</v>
      </c>
      <c r="L45" s="7" t="e">
        <f t="shared" ca="1" si="10"/>
        <v>#N/A</v>
      </c>
      <c r="M45" s="7" t="e">
        <f t="shared" ca="1" si="11"/>
        <v>#N/A</v>
      </c>
      <c r="N45" s="7" t="e">
        <f t="shared" ca="1" si="13"/>
        <v>#N/A</v>
      </c>
      <c r="O45" s="7">
        <f t="shared" ref="O45:BX49" ca="1" si="29">+IFERROR(IF(MATCH(O$4,$N$4:$BZ$4,0)=MATCH($N45,$N$4:$N$68,0),1+IFERROR(1/2*INDEX($N$4:$BZ$68,MATCH($L45,$N$4:$N$68,0),MATCH($M45,$N$4:$BZ$4,0)),0),IF(MATCH(O$4,$N$4:$BZ$4,0)&lt;MATCH($N45,$N$4:$N$68,0),(INDEX($N$4:$BZ$68,MATCH($L45,$N$4:$N$68,0),MATCH(O$4,$N$4:$BZ$4,0))+INDEX($N$4:$BZ$68,MATCH($M45,$N$4:$N$68,0),MATCH(O$4,$N$4:$BZ$4,0)))*1/2,(INDEX($N$4:$BZ$68,MATCH($N45,$N$4:$N$68,0),MATCH(O$2,$N$4:$BZ$4,0))+INDEX($N$4:$BZ$68,MATCH($N45,$N$4:$N$68,0),MATCH(O$3,$N$4:$BZ$4,0)))*1/2)),0)</f>
        <v>0</v>
      </c>
      <c r="P45" s="7">
        <f t="shared" ca="1" si="29"/>
        <v>0</v>
      </c>
      <c r="Q45" s="7">
        <f t="shared" ca="1" si="29"/>
        <v>0</v>
      </c>
      <c r="R45" s="7">
        <f t="shared" ca="1" si="29"/>
        <v>0</v>
      </c>
      <c r="S45" s="7">
        <f t="shared" ca="1" si="29"/>
        <v>0</v>
      </c>
      <c r="T45" s="7">
        <f t="shared" ca="1" si="29"/>
        <v>0</v>
      </c>
      <c r="U45" s="7">
        <f t="shared" ca="1" si="29"/>
        <v>0</v>
      </c>
      <c r="V45" s="7">
        <f t="shared" ca="1" si="29"/>
        <v>0</v>
      </c>
      <c r="W45" s="7">
        <f t="shared" ca="1" si="29"/>
        <v>0</v>
      </c>
      <c r="X45" s="7">
        <f t="shared" ca="1" si="29"/>
        <v>0</v>
      </c>
      <c r="Y45" s="7">
        <f t="shared" ca="1" si="29"/>
        <v>0</v>
      </c>
      <c r="Z45" s="7">
        <f t="shared" ca="1" si="29"/>
        <v>0</v>
      </c>
      <c r="AA45" s="7">
        <f t="shared" ca="1" si="29"/>
        <v>0</v>
      </c>
      <c r="AB45" s="7">
        <f t="shared" ca="1" si="29"/>
        <v>0</v>
      </c>
      <c r="AC45" s="7">
        <f t="shared" ca="1" si="29"/>
        <v>0</v>
      </c>
      <c r="AD45" s="7">
        <f t="shared" ca="1" si="29"/>
        <v>0</v>
      </c>
      <c r="AE45" s="7">
        <f t="shared" ca="1" si="29"/>
        <v>0</v>
      </c>
      <c r="AF45" s="7">
        <f t="shared" ca="1" si="29"/>
        <v>0</v>
      </c>
      <c r="AG45" s="7">
        <f t="shared" ca="1" si="29"/>
        <v>0</v>
      </c>
      <c r="AH45" s="7">
        <f t="shared" ca="1" si="29"/>
        <v>0</v>
      </c>
      <c r="AI45" s="7">
        <f t="shared" ca="1" si="29"/>
        <v>0</v>
      </c>
      <c r="AJ45" s="7">
        <f t="shared" ca="1" si="29"/>
        <v>0</v>
      </c>
      <c r="AK45" s="7">
        <f t="shared" ca="1" si="29"/>
        <v>0</v>
      </c>
      <c r="AL45" s="7">
        <f t="shared" ca="1" si="29"/>
        <v>0</v>
      </c>
      <c r="AM45" s="7">
        <f t="shared" ca="1" si="29"/>
        <v>0</v>
      </c>
      <c r="AN45" s="7">
        <f t="shared" ca="1" si="29"/>
        <v>0</v>
      </c>
      <c r="AO45" s="7">
        <f t="shared" ca="1" si="29"/>
        <v>0</v>
      </c>
      <c r="AP45" s="7">
        <f t="shared" ca="1" si="29"/>
        <v>0</v>
      </c>
      <c r="AQ45" s="7">
        <f t="shared" ca="1" si="29"/>
        <v>0</v>
      </c>
      <c r="AR45" s="7">
        <f t="shared" ca="1" si="29"/>
        <v>0</v>
      </c>
      <c r="AS45" s="7">
        <f t="shared" ca="1" si="29"/>
        <v>0</v>
      </c>
      <c r="AT45" s="7">
        <f t="shared" ca="1" si="29"/>
        <v>0</v>
      </c>
      <c r="AU45" s="7">
        <f t="shared" ca="1" si="29"/>
        <v>0</v>
      </c>
      <c r="AV45" s="7">
        <f t="shared" ca="1" si="29"/>
        <v>0</v>
      </c>
      <c r="AW45" s="7">
        <f t="shared" ca="1" si="29"/>
        <v>0</v>
      </c>
      <c r="AX45" s="7">
        <f t="shared" ca="1" si="29"/>
        <v>0</v>
      </c>
      <c r="AY45" s="7">
        <f t="shared" ca="1" si="29"/>
        <v>0</v>
      </c>
      <c r="AZ45" s="7">
        <f t="shared" ca="1" si="29"/>
        <v>0</v>
      </c>
      <c r="BA45" s="7">
        <f t="shared" ca="1" si="29"/>
        <v>0</v>
      </c>
      <c r="BB45" s="7">
        <f t="shared" ca="1" si="29"/>
        <v>0</v>
      </c>
      <c r="BC45" s="7">
        <f t="shared" ca="1" si="29"/>
        <v>0</v>
      </c>
      <c r="BD45" s="7">
        <f t="shared" ca="1" si="29"/>
        <v>0</v>
      </c>
      <c r="BE45" s="7">
        <f t="shared" ca="1" si="29"/>
        <v>0</v>
      </c>
      <c r="BF45" s="7">
        <f t="shared" ca="1" si="29"/>
        <v>0</v>
      </c>
      <c r="BG45" s="7">
        <f t="shared" ca="1" si="29"/>
        <v>0</v>
      </c>
      <c r="BH45" s="7">
        <f t="shared" ca="1" si="29"/>
        <v>0</v>
      </c>
      <c r="BI45" s="7">
        <f t="shared" ca="1" si="29"/>
        <v>0</v>
      </c>
      <c r="BJ45" s="7">
        <f t="shared" ca="1" si="29"/>
        <v>0</v>
      </c>
      <c r="BK45" s="7">
        <f t="shared" ca="1" si="29"/>
        <v>0</v>
      </c>
      <c r="BL45" s="7">
        <f t="shared" ca="1" si="29"/>
        <v>0</v>
      </c>
      <c r="BM45" s="7">
        <f t="shared" ca="1" si="29"/>
        <v>0</v>
      </c>
      <c r="BN45" s="7">
        <f t="shared" ca="1" si="29"/>
        <v>0</v>
      </c>
      <c r="BO45" s="7">
        <f t="shared" ca="1" si="29"/>
        <v>0</v>
      </c>
      <c r="BP45" s="7">
        <f t="shared" ca="1" si="29"/>
        <v>0</v>
      </c>
      <c r="BQ45" s="7">
        <f t="shared" ca="1" si="29"/>
        <v>0</v>
      </c>
      <c r="BR45" s="7">
        <f t="shared" ca="1" si="29"/>
        <v>0</v>
      </c>
      <c r="BS45" s="7">
        <f t="shared" ca="1" si="29"/>
        <v>0</v>
      </c>
      <c r="BT45" s="7">
        <f t="shared" ca="1" si="29"/>
        <v>0</v>
      </c>
      <c r="BU45" s="7">
        <f t="shared" ca="1" si="29"/>
        <v>0</v>
      </c>
      <c r="BV45" s="7">
        <f t="shared" ca="1" si="29"/>
        <v>0</v>
      </c>
      <c r="BW45" s="7">
        <f t="shared" ca="1" si="29"/>
        <v>0</v>
      </c>
      <c r="BX45" s="7">
        <f t="shared" ca="1" si="29"/>
        <v>0</v>
      </c>
      <c r="BY45" s="7"/>
      <c r="BZ45" s="7"/>
    </row>
    <row r="46" spans="1:78" ht="15.75" customHeight="1">
      <c r="A46" s="7" t="str">
        <f t="shared" ca="1" si="2"/>
        <v/>
      </c>
      <c r="B46" s="18" t="e">
        <f t="shared" ca="1" si="3"/>
        <v>#N/A</v>
      </c>
      <c r="C46" s="8">
        <v>1</v>
      </c>
      <c r="D46" s="8">
        <v>21</v>
      </c>
      <c r="E46" s="7" t="e">
        <f t="shared" ca="1" si="9"/>
        <v>#N/A</v>
      </c>
      <c r="F46" s="7" t="e">
        <f ca="1">+VLOOKUP("*_"&amp;E46&amp;"_*",data!A:D,3,0)</f>
        <v>#N/A</v>
      </c>
      <c r="G46" s="7" t="e">
        <f ca="1">+VLOOKUP("*_"&amp;E46&amp;"_*",data!A:D,4,0)</f>
        <v>#N/A</v>
      </c>
      <c r="H46" s="7">
        <f ca="1">IFERROR(IF(VLOOKUP("*_"&amp;E46&amp;"_*",data!A:D,2,0)="",1,VLOOKUP("*_"&amp;E46&amp;"_*",data!A:D,2,0)),0)</f>
        <v>0</v>
      </c>
      <c r="I46" s="7">
        <f t="shared" ca="1" si="4"/>
        <v>43</v>
      </c>
      <c r="J46" s="7" t="str">
        <f t="shared" ca="1" si="5"/>
        <v/>
      </c>
      <c r="K46" s="7">
        <v>42</v>
      </c>
      <c r="L46" s="7" t="e">
        <f t="shared" ca="1" si="10"/>
        <v>#N/A</v>
      </c>
      <c r="M46" s="7" t="e">
        <f t="shared" ca="1" si="11"/>
        <v>#N/A</v>
      </c>
      <c r="N46" s="7" t="e">
        <f t="shared" ca="1" si="13"/>
        <v>#N/A</v>
      </c>
      <c r="O46" s="7">
        <f t="shared" ca="1" si="29"/>
        <v>0</v>
      </c>
      <c r="P46" s="7">
        <f t="shared" ca="1" si="29"/>
        <v>0</v>
      </c>
      <c r="Q46" s="7">
        <f t="shared" ca="1" si="29"/>
        <v>0</v>
      </c>
      <c r="R46" s="7">
        <f t="shared" ca="1" si="29"/>
        <v>0</v>
      </c>
      <c r="S46" s="7">
        <f t="shared" ca="1" si="29"/>
        <v>0</v>
      </c>
      <c r="T46" s="7">
        <f t="shared" ca="1" si="29"/>
        <v>0</v>
      </c>
      <c r="U46" s="7">
        <f t="shared" ca="1" si="29"/>
        <v>0</v>
      </c>
      <c r="V46" s="7">
        <f t="shared" ca="1" si="29"/>
        <v>0</v>
      </c>
      <c r="W46" s="7">
        <f t="shared" ca="1" si="29"/>
        <v>0</v>
      </c>
      <c r="X46" s="7">
        <f t="shared" ca="1" si="29"/>
        <v>0</v>
      </c>
      <c r="Y46" s="7">
        <f t="shared" ca="1" si="29"/>
        <v>0</v>
      </c>
      <c r="Z46" s="7">
        <f t="shared" ca="1" si="29"/>
        <v>0</v>
      </c>
      <c r="AA46" s="7">
        <f t="shared" ca="1" si="29"/>
        <v>0</v>
      </c>
      <c r="AB46" s="7">
        <f t="shared" ca="1" si="29"/>
        <v>0</v>
      </c>
      <c r="AC46" s="7">
        <f t="shared" ca="1" si="29"/>
        <v>0</v>
      </c>
      <c r="AD46" s="7">
        <f t="shared" ca="1" si="29"/>
        <v>0</v>
      </c>
      <c r="AE46" s="7">
        <f t="shared" ca="1" si="29"/>
        <v>0</v>
      </c>
      <c r="AF46" s="7">
        <f t="shared" ca="1" si="29"/>
        <v>0</v>
      </c>
      <c r="AG46" s="7">
        <f t="shared" ca="1" si="29"/>
        <v>0</v>
      </c>
      <c r="AH46" s="7">
        <f t="shared" ca="1" si="29"/>
        <v>0</v>
      </c>
      <c r="AI46" s="7">
        <f t="shared" ca="1" si="29"/>
        <v>0</v>
      </c>
      <c r="AJ46" s="7">
        <f t="shared" ca="1" si="29"/>
        <v>0</v>
      </c>
      <c r="AK46" s="7">
        <f t="shared" ca="1" si="29"/>
        <v>0</v>
      </c>
      <c r="AL46" s="7">
        <f t="shared" ca="1" si="29"/>
        <v>0</v>
      </c>
      <c r="AM46" s="7">
        <f t="shared" ca="1" si="29"/>
        <v>0</v>
      </c>
      <c r="AN46" s="7">
        <f t="shared" ca="1" si="29"/>
        <v>0</v>
      </c>
      <c r="AO46" s="7">
        <f t="shared" ca="1" si="29"/>
        <v>0</v>
      </c>
      <c r="AP46" s="7">
        <f t="shared" ca="1" si="29"/>
        <v>0</v>
      </c>
      <c r="AQ46" s="7">
        <f t="shared" ca="1" si="29"/>
        <v>0</v>
      </c>
      <c r="AR46" s="7">
        <f t="shared" ca="1" si="29"/>
        <v>0</v>
      </c>
      <c r="AS46" s="7">
        <f t="shared" ca="1" si="29"/>
        <v>0</v>
      </c>
      <c r="AT46" s="7">
        <f t="shared" ca="1" si="29"/>
        <v>0</v>
      </c>
      <c r="AU46" s="7">
        <f t="shared" ca="1" si="29"/>
        <v>0</v>
      </c>
      <c r="AV46" s="7">
        <f t="shared" ca="1" si="29"/>
        <v>0</v>
      </c>
      <c r="AW46" s="7">
        <f t="shared" ca="1" si="29"/>
        <v>0</v>
      </c>
      <c r="AX46" s="7">
        <f t="shared" ca="1" si="29"/>
        <v>0</v>
      </c>
      <c r="AY46" s="7">
        <f t="shared" ca="1" si="29"/>
        <v>0</v>
      </c>
      <c r="AZ46" s="7">
        <f t="shared" ca="1" si="29"/>
        <v>0</v>
      </c>
      <c r="BA46" s="7">
        <f t="shared" ca="1" si="29"/>
        <v>0</v>
      </c>
      <c r="BB46" s="7">
        <f t="shared" ca="1" si="29"/>
        <v>0</v>
      </c>
      <c r="BC46" s="7">
        <f t="shared" ca="1" si="29"/>
        <v>0</v>
      </c>
      <c r="BD46" s="7">
        <f t="shared" ca="1" si="29"/>
        <v>0</v>
      </c>
      <c r="BE46" s="7">
        <f t="shared" ca="1" si="29"/>
        <v>0</v>
      </c>
      <c r="BF46" s="7">
        <f t="shared" ca="1" si="29"/>
        <v>0</v>
      </c>
      <c r="BG46" s="7">
        <f t="shared" ca="1" si="29"/>
        <v>0</v>
      </c>
      <c r="BH46" s="7">
        <f t="shared" ca="1" si="29"/>
        <v>0</v>
      </c>
      <c r="BI46" s="7">
        <f t="shared" ca="1" si="29"/>
        <v>0</v>
      </c>
      <c r="BJ46" s="7">
        <f t="shared" ca="1" si="29"/>
        <v>0</v>
      </c>
      <c r="BK46" s="7">
        <f t="shared" ca="1" si="29"/>
        <v>0</v>
      </c>
      <c r="BL46" s="7">
        <f t="shared" ca="1" si="29"/>
        <v>0</v>
      </c>
      <c r="BM46" s="7">
        <f t="shared" ca="1" si="29"/>
        <v>0</v>
      </c>
      <c r="BN46" s="7">
        <f t="shared" ca="1" si="29"/>
        <v>0</v>
      </c>
      <c r="BO46" s="7">
        <f t="shared" ca="1" si="29"/>
        <v>0</v>
      </c>
      <c r="BP46" s="7">
        <f t="shared" ca="1" si="29"/>
        <v>0</v>
      </c>
      <c r="BQ46" s="7">
        <f t="shared" ca="1" si="29"/>
        <v>0</v>
      </c>
      <c r="BR46" s="7">
        <f t="shared" ca="1" si="29"/>
        <v>0</v>
      </c>
      <c r="BS46" s="7">
        <f t="shared" ca="1" si="29"/>
        <v>0</v>
      </c>
      <c r="BT46" s="7">
        <f t="shared" ca="1" si="29"/>
        <v>0</v>
      </c>
      <c r="BU46" s="7">
        <f t="shared" ca="1" si="29"/>
        <v>0</v>
      </c>
      <c r="BV46" s="7">
        <f t="shared" ca="1" si="29"/>
        <v>0</v>
      </c>
      <c r="BW46" s="7">
        <f t="shared" ca="1" si="29"/>
        <v>0</v>
      </c>
      <c r="BX46" s="7">
        <f t="shared" ca="1" si="29"/>
        <v>0</v>
      </c>
      <c r="BY46" s="7"/>
      <c r="BZ46" s="7"/>
    </row>
    <row r="47" spans="1:78" ht="15.75" customHeight="1">
      <c r="A47" s="7" t="str">
        <f t="shared" ca="1" si="2"/>
        <v/>
      </c>
      <c r="B47" s="18" t="e">
        <f t="shared" ca="1" si="3"/>
        <v>#N/A</v>
      </c>
      <c r="C47" s="8">
        <v>0</v>
      </c>
      <c r="D47" s="8">
        <v>22</v>
      </c>
      <c r="E47" s="7" t="e">
        <f t="shared" ca="1" si="9"/>
        <v>#N/A</v>
      </c>
      <c r="F47" s="7" t="e">
        <f ca="1">+VLOOKUP("*_"&amp;E47&amp;"_*",data!A:D,3,0)</f>
        <v>#N/A</v>
      </c>
      <c r="G47" s="7" t="e">
        <f ca="1">+VLOOKUP("*_"&amp;E47&amp;"_*",data!A:D,4,0)</f>
        <v>#N/A</v>
      </c>
      <c r="H47" s="7">
        <f ca="1">IFERROR(IF(VLOOKUP("*_"&amp;E47&amp;"_*",data!A:D,2,0)="",1,VLOOKUP("*_"&amp;E47&amp;"_*",data!A:D,2,0)),0)</f>
        <v>0</v>
      </c>
      <c r="I47" s="7">
        <f t="shared" ca="1" si="4"/>
        <v>44</v>
      </c>
      <c r="J47" s="7" t="str">
        <f t="shared" ca="1" si="5"/>
        <v/>
      </c>
      <c r="K47" s="7">
        <v>43</v>
      </c>
      <c r="L47" s="7" t="e">
        <f t="shared" ca="1" si="10"/>
        <v>#N/A</v>
      </c>
      <c r="M47" s="7" t="e">
        <f t="shared" ca="1" si="11"/>
        <v>#N/A</v>
      </c>
      <c r="N47" s="7" t="e">
        <f t="shared" ca="1" si="13"/>
        <v>#N/A</v>
      </c>
      <c r="O47" s="7">
        <f t="shared" ca="1" si="29"/>
        <v>0</v>
      </c>
      <c r="P47" s="7">
        <f t="shared" ca="1" si="29"/>
        <v>0</v>
      </c>
      <c r="Q47" s="7">
        <f t="shared" ca="1" si="29"/>
        <v>0</v>
      </c>
      <c r="R47" s="7">
        <f t="shared" ca="1" si="29"/>
        <v>0</v>
      </c>
      <c r="S47" s="7">
        <f t="shared" ca="1" si="29"/>
        <v>0</v>
      </c>
      <c r="T47" s="7">
        <f t="shared" ca="1" si="29"/>
        <v>0</v>
      </c>
      <c r="U47" s="7">
        <f t="shared" ca="1" si="29"/>
        <v>0</v>
      </c>
      <c r="V47" s="7">
        <f t="shared" ca="1" si="29"/>
        <v>0</v>
      </c>
      <c r="W47" s="7">
        <f t="shared" ca="1" si="29"/>
        <v>0</v>
      </c>
      <c r="X47" s="7">
        <f t="shared" ca="1" si="29"/>
        <v>0</v>
      </c>
      <c r="Y47" s="7">
        <f t="shared" ca="1" si="29"/>
        <v>0</v>
      </c>
      <c r="Z47" s="7">
        <f t="shared" ca="1" si="29"/>
        <v>0</v>
      </c>
      <c r="AA47" s="7">
        <f t="shared" ca="1" si="29"/>
        <v>0</v>
      </c>
      <c r="AB47" s="7">
        <f t="shared" ca="1" si="29"/>
        <v>0</v>
      </c>
      <c r="AC47" s="7">
        <f t="shared" ca="1" si="29"/>
        <v>0</v>
      </c>
      <c r="AD47" s="7">
        <f t="shared" ca="1" si="29"/>
        <v>0</v>
      </c>
      <c r="AE47" s="7">
        <f t="shared" ca="1" si="29"/>
        <v>0</v>
      </c>
      <c r="AF47" s="7">
        <f t="shared" ca="1" si="29"/>
        <v>0</v>
      </c>
      <c r="AG47" s="7">
        <f t="shared" ca="1" si="29"/>
        <v>0</v>
      </c>
      <c r="AH47" s="7">
        <f t="shared" ca="1" si="29"/>
        <v>0</v>
      </c>
      <c r="AI47" s="7">
        <f t="shared" ca="1" si="29"/>
        <v>0</v>
      </c>
      <c r="AJ47" s="7">
        <f t="shared" ca="1" si="29"/>
        <v>0</v>
      </c>
      <c r="AK47" s="7">
        <f t="shared" ca="1" si="29"/>
        <v>0</v>
      </c>
      <c r="AL47" s="7">
        <f t="shared" ca="1" si="29"/>
        <v>0</v>
      </c>
      <c r="AM47" s="7">
        <f t="shared" ca="1" si="29"/>
        <v>0</v>
      </c>
      <c r="AN47" s="7">
        <f t="shared" ca="1" si="29"/>
        <v>0</v>
      </c>
      <c r="AO47" s="7">
        <f t="shared" ca="1" si="29"/>
        <v>0</v>
      </c>
      <c r="AP47" s="7">
        <f t="shared" ca="1" si="29"/>
        <v>0</v>
      </c>
      <c r="AQ47" s="7">
        <f t="shared" ca="1" si="29"/>
        <v>0</v>
      </c>
      <c r="AR47" s="7">
        <f t="shared" ca="1" si="29"/>
        <v>0</v>
      </c>
      <c r="AS47" s="7">
        <f t="shared" ca="1" si="29"/>
        <v>0</v>
      </c>
      <c r="AT47" s="7">
        <f t="shared" ca="1" si="29"/>
        <v>0</v>
      </c>
      <c r="AU47" s="7">
        <f t="shared" ca="1" si="29"/>
        <v>0</v>
      </c>
      <c r="AV47" s="7">
        <f t="shared" ca="1" si="29"/>
        <v>0</v>
      </c>
      <c r="AW47" s="7">
        <f t="shared" ca="1" si="29"/>
        <v>0</v>
      </c>
      <c r="AX47" s="7">
        <f t="shared" ca="1" si="29"/>
        <v>0</v>
      </c>
      <c r="AY47" s="7">
        <f t="shared" ca="1" si="29"/>
        <v>0</v>
      </c>
      <c r="AZ47" s="7">
        <f t="shared" ca="1" si="29"/>
        <v>0</v>
      </c>
      <c r="BA47" s="7">
        <f t="shared" ca="1" si="29"/>
        <v>0</v>
      </c>
      <c r="BB47" s="7">
        <f t="shared" ca="1" si="29"/>
        <v>0</v>
      </c>
      <c r="BC47" s="7">
        <f t="shared" ca="1" si="29"/>
        <v>0</v>
      </c>
      <c r="BD47" s="7">
        <f t="shared" ca="1" si="29"/>
        <v>0</v>
      </c>
      <c r="BE47" s="7">
        <f t="shared" ca="1" si="29"/>
        <v>0</v>
      </c>
      <c r="BF47" s="7">
        <f t="shared" ca="1" si="29"/>
        <v>0</v>
      </c>
      <c r="BG47" s="7">
        <f t="shared" ca="1" si="29"/>
        <v>0</v>
      </c>
      <c r="BH47" s="7">
        <f t="shared" ca="1" si="29"/>
        <v>0</v>
      </c>
      <c r="BI47" s="7">
        <f t="shared" ca="1" si="29"/>
        <v>0</v>
      </c>
      <c r="BJ47" s="7">
        <f t="shared" ca="1" si="29"/>
        <v>0</v>
      </c>
      <c r="BK47" s="7">
        <f t="shared" ca="1" si="29"/>
        <v>0</v>
      </c>
      <c r="BL47" s="7">
        <f t="shared" ca="1" si="29"/>
        <v>0</v>
      </c>
      <c r="BM47" s="7">
        <f t="shared" ca="1" si="29"/>
        <v>0</v>
      </c>
      <c r="BN47" s="7">
        <f t="shared" ca="1" si="29"/>
        <v>0</v>
      </c>
      <c r="BO47" s="7">
        <f t="shared" ca="1" si="29"/>
        <v>0</v>
      </c>
      <c r="BP47" s="7">
        <f t="shared" ca="1" si="29"/>
        <v>0</v>
      </c>
      <c r="BQ47" s="7">
        <f t="shared" ca="1" si="29"/>
        <v>0</v>
      </c>
      <c r="BR47" s="7">
        <f t="shared" ca="1" si="29"/>
        <v>0</v>
      </c>
      <c r="BS47" s="7">
        <f t="shared" ca="1" si="29"/>
        <v>0</v>
      </c>
      <c r="BT47" s="7">
        <f t="shared" ca="1" si="29"/>
        <v>0</v>
      </c>
      <c r="BU47" s="7">
        <f t="shared" ca="1" si="29"/>
        <v>0</v>
      </c>
      <c r="BV47" s="7">
        <f t="shared" ca="1" si="29"/>
        <v>0</v>
      </c>
      <c r="BW47" s="7">
        <f t="shared" ca="1" si="29"/>
        <v>0</v>
      </c>
      <c r="BX47" s="7">
        <f t="shared" ca="1" si="29"/>
        <v>0</v>
      </c>
      <c r="BY47" s="7"/>
      <c r="BZ47" s="7"/>
    </row>
    <row r="48" spans="1:78" ht="15.75" customHeight="1">
      <c r="A48" s="7" t="str">
        <f t="shared" ca="1" si="2"/>
        <v/>
      </c>
      <c r="B48" s="18" t="e">
        <f t="shared" ca="1" si="3"/>
        <v>#N/A</v>
      </c>
      <c r="C48" s="8">
        <v>1</v>
      </c>
      <c r="D48" s="8">
        <v>22</v>
      </c>
      <c r="E48" s="7" t="e">
        <f t="shared" ca="1" si="9"/>
        <v>#N/A</v>
      </c>
      <c r="F48" s="7" t="e">
        <f ca="1">+VLOOKUP("*_"&amp;E48&amp;"_*",data!A:D,3,0)</f>
        <v>#N/A</v>
      </c>
      <c r="G48" s="7" t="e">
        <f ca="1">+VLOOKUP("*_"&amp;E48&amp;"_*",data!A:D,4,0)</f>
        <v>#N/A</v>
      </c>
      <c r="H48" s="7">
        <f ca="1">IFERROR(IF(VLOOKUP("*_"&amp;E48&amp;"_*",data!A:D,2,0)="",1,VLOOKUP("*_"&amp;E48&amp;"_*",data!A:D,2,0)),0)</f>
        <v>0</v>
      </c>
      <c r="I48" s="7">
        <f t="shared" ca="1" si="4"/>
        <v>45</v>
      </c>
      <c r="J48" s="7" t="str">
        <f t="shared" ca="1" si="5"/>
        <v/>
      </c>
      <c r="K48" s="7">
        <v>44</v>
      </c>
      <c r="L48" s="7" t="e">
        <f t="shared" ca="1" si="10"/>
        <v>#N/A</v>
      </c>
      <c r="M48" s="7" t="e">
        <f t="shared" ca="1" si="11"/>
        <v>#N/A</v>
      </c>
      <c r="N48" s="7" t="e">
        <f t="shared" ca="1" si="13"/>
        <v>#N/A</v>
      </c>
      <c r="O48" s="7">
        <f t="shared" ca="1" si="29"/>
        <v>0</v>
      </c>
      <c r="P48" s="7">
        <f t="shared" ca="1" si="29"/>
        <v>0</v>
      </c>
      <c r="Q48" s="7">
        <f t="shared" ca="1" si="29"/>
        <v>0</v>
      </c>
      <c r="R48" s="7">
        <f t="shared" ca="1" si="29"/>
        <v>0</v>
      </c>
      <c r="S48" s="7">
        <f t="shared" ca="1" si="29"/>
        <v>0</v>
      </c>
      <c r="T48" s="7">
        <f t="shared" ca="1" si="29"/>
        <v>0</v>
      </c>
      <c r="U48" s="7">
        <f t="shared" ca="1" si="29"/>
        <v>0</v>
      </c>
      <c r="V48" s="7">
        <f t="shared" ca="1" si="29"/>
        <v>0</v>
      </c>
      <c r="W48" s="7">
        <f t="shared" ca="1" si="29"/>
        <v>0</v>
      </c>
      <c r="X48" s="7">
        <f t="shared" ca="1" si="29"/>
        <v>0</v>
      </c>
      <c r="Y48" s="7">
        <f t="shared" ca="1" si="29"/>
        <v>0</v>
      </c>
      <c r="Z48" s="7">
        <f t="shared" ca="1" si="29"/>
        <v>0</v>
      </c>
      <c r="AA48" s="7">
        <f t="shared" ca="1" si="29"/>
        <v>0</v>
      </c>
      <c r="AB48" s="7">
        <f t="shared" ca="1" si="29"/>
        <v>0</v>
      </c>
      <c r="AC48" s="7">
        <f t="shared" ca="1" si="29"/>
        <v>0</v>
      </c>
      <c r="AD48" s="7">
        <f t="shared" ca="1" si="29"/>
        <v>0</v>
      </c>
      <c r="AE48" s="7">
        <f t="shared" ca="1" si="29"/>
        <v>0</v>
      </c>
      <c r="AF48" s="7">
        <f t="shared" ca="1" si="29"/>
        <v>0</v>
      </c>
      <c r="AG48" s="7">
        <f t="shared" ca="1" si="29"/>
        <v>0</v>
      </c>
      <c r="AH48" s="7">
        <f t="shared" ca="1" si="29"/>
        <v>0</v>
      </c>
      <c r="AI48" s="7">
        <f t="shared" ca="1" si="29"/>
        <v>0</v>
      </c>
      <c r="AJ48" s="7">
        <f t="shared" ca="1" si="29"/>
        <v>0</v>
      </c>
      <c r="AK48" s="7">
        <f t="shared" ca="1" si="29"/>
        <v>0</v>
      </c>
      <c r="AL48" s="7">
        <f t="shared" ca="1" si="29"/>
        <v>0</v>
      </c>
      <c r="AM48" s="7">
        <f t="shared" ca="1" si="29"/>
        <v>0</v>
      </c>
      <c r="AN48" s="7">
        <f t="shared" ca="1" si="29"/>
        <v>0</v>
      </c>
      <c r="AO48" s="7">
        <f t="shared" ca="1" si="29"/>
        <v>0</v>
      </c>
      <c r="AP48" s="7">
        <f t="shared" ca="1" si="29"/>
        <v>0</v>
      </c>
      <c r="AQ48" s="7">
        <f t="shared" ca="1" si="29"/>
        <v>0</v>
      </c>
      <c r="AR48" s="7">
        <f t="shared" ca="1" si="29"/>
        <v>0</v>
      </c>
      <c r="AS48" s="7">
        <f t="shared" ca="1" si="29"/>
        <v>0</v>
      </c>
      <c r="AT48" s="7">
        <f t="shared" ca="1" si="29"/>
        <v>0</v>
      </c>
      <c r="AU48" s="7">
        <f t="shared" ca="1" si="29"/>
        <v>0</v>
      </c>
      <c r="AV48" s="7">
        <f t="shared" ca="1" si="29"/>
        <v>0</v>
      </c>
      <c r="AW48" s="7">
        <f t="shared" ca="1" si="29"/>
        <v>0</v>
      </c>
      <c r="AX48" s="7">
        <f t="shared" ca="1" si="29"/>
        <v>0</v>
      </c>
      <c r="AY48" s="7">
        <f t="shared" ca="1" si="29"/>
        <v>0</v>
      </c>
      <c r="AZ48" s="7">
        <f t="shared" ca="1" si="29"/>
        <v>0</v>
      </c>
      <c r="BA48" s="7">
        <f t="shared" ca="1" si="29"/>
        <v>0</v>
      </c>
      <c r="BB48" s="7">
        <f t="shared" ca="1" si="29"/>
        <v>0</v>
      </c>
      <c r="BC48" s="7">
        <f t="shared" ca="1" si="29"/>
        <v>0</v>
      </c>
      <c r="BD48" s="7">
        <f t="shared" ca="1" si="29"/>
        <v>0</v>
      </c>
      <c r="BE48" s="7">
        <f t="shared" ca="1" si="29"/>
        <v>0</v>
      </c>
      <c r="BF48" s="7">
        <f t="shared" ca="1" si="29"/>
        <v>0</v>
      </c>
      <c r="BG48" s="7">
        <f t="shared" ca="1" si="29"/>
        <v>0</v>
      </c>
      <c r="BH48" s="7">
        <f t="shared" ca="1" si="29"/>
        <v>0</v>
      </c>
      <c r="BI48" s="7">
        <f t="shared" ca="1" si="29"/>
        <v>0</v>
      </c>
      <c r="BJ48" s="7">
        <f t="shared" ca="1" si="29"/>
        <v>0</v>
      </c>
      <c r="BK48" s="7">
        <f t="shared" ca="1" si="29"/>
        <v>0</v>
      </c>
      <c r="BL48" s="7">
        <f t="shared" ca="1" si="29"/>
        <v>0</v>
      </c>
      <c r="BM48" s="7">
        <f t="shared" ca="1" si="29"/>
        <v>0</v>
      </c>
      <c r="BN48" s="7">
        <f t="shared" ca="1" si="29"/>
        <v>0</v>
      </c>
      <c r="BO48" s="7">
        <f t="shared" ca="1" si="29"/>
        <v>0</v>
      </c>
      <c r="BP48" s="7">
        <f t="shared" ca="1" si="29"/>
        <v>0</v>
      </c>
      <c r="BQ48" s="7">
        <f t="shared" ca="1" si="29"/>
        <v>0</v>
      </c>
      <c r="BR48" s="7">
        <f t="shared" ca="1" si="29"/>
        <v>0</v>
      </c>
      <c r="BS48" s="7">
        <f t="shared" ca="1" si="29"/>
        <v>0</v>
      </c>
      <c r="BT48" s="7">
        <f t="shared" ca="1" si="29"/>
        <v>0</v>
      </c>
      <c r="BU48" s="7">
        <f t="shared" ca="1" si="29"/>
        <v>0</v>
      </c>
      <c r="BV48" s="7">
        <f t="shared" ca="1" si="29"/>
        <v>0</v>
      </c>
      <c r="BW48" s="7">
        <f t="shared" ca="1" si="29"/>
        <v>0</v>
      </c>
      <c r="BX48" s="7">
        <f t="shared" ca="1" si="29"/>
        <v>0</v>
      </c>
      <c r="BY48" s="7"/>
      <c r="BZ48" s="7"/>
    </row>
    <row r="49" spans="1:78" ht="15.75" customHeight="1">
      <c r="A49" s="7" t="str">
        <f t="shared" ca="1" si="2"/>
        <v/>
      </c>
      <c r="B49" s="18" t="e">
        <f t="shared" ca="1" si="3"/>
        <v>#N/A</v>
      </c>
      <c r="C49" s="8">
        <v>0</v>
      </c>
      <c r="D49" s="8">
        <v>23</v>
      </c>
      <c r="E49" s="7" t="e">
        <f t="shared" ca="1" si="9"/>
        <v>#N/A</v>
      </c>
      <c r="F49" s="7" t="e">
        <f ca="1">+VLOOKUP("*_"&amp;E49&amp;"_*",data!A:D,3,0)</f>
        <v>#N/A</v>
      </c>
      <c r="G49" s="7" t="e">
        <f ca="1">+VLOOKUP("*_"&amp;E49&amp;"_*",data!A:D,4,0)</f>
        <v>#N/A</v>
      </c>
      <c r="H49" s="7">
        <f ca="1">IFERROR(IF(VLOOKUP("*_"&amp;E49&amp;"_*",data!A:D,2,0)="",1,VLOOKUP("*_"&amp;E49&amp;"_*",data!A:D,2,0)),0)</f>
        <v>0</v>
      </c>
      <c r="I49" s="7">
        <f t="shared" ca="1" si="4"/>
        <v>46</v>
      </c>
      <c r="J49" s="7" t="str">
        <f t="shared" ca="1" si="5"/>
        <v/>
      </c>
      <c r="K49" s="7">
        <v>45</v>
      </c>
      <c r="L49" s="7" t="e">
        <f t="shared" ca="1" si="10"/>
        <v>#N/A</v>
      </c>
      <c r="M49" s="7" t="e">
        <f t="shared" ca="1" si="11"/>
        <v>#N/A</v>
      </c>
      <c r="N49" s="7" t="e">
        <f t="shared" ca="1" si="13"/>
        <v>#N/A</v>
      </c>
      <c r="O49" s="7">
        <f t="shared" ca="1" si="29"/>
        <v>0</v>
      </c>
      <c r="P49" s="7">
        <f t="shared" ca="1" si="29"/>
        <v>0</v>
      </c>
      <c r="Q49" s="7">
        <f t="shared" ca="1" si="29"/>
        <v>0</v>
      </c>
      <c r="R49" s="7">
        <f t="shared" ca="1" si="29"/>
        <v>0</v>
      </c>
      <c r="S49" s="7">
        <f t="shared" ca="1" si="29"/>
        <v>0</v>
      </c>
      <c r="T49" s="7">
        <f t="shared" ca="1" si="29"/>
        <v>0</v>
      </c>
      <c r="U49" s="7">
        <f t="shared" ca="1" si="29"/>
        <v>0</v>
      </c>
      <c r="V49" s="7">
        <f t="shared" ref="V49:BX49" ca="1" si="30">+IFERROR(IF(MATCH(V$4,$N$4:$BZ$4,0)=MATCH($N49,$N$4:$N$68,0),1+IFERROR(1/2*INDEX($N$4:$BZ$68,MATCH($L49,$N$4:$N$68,0),MATCH($M49,$N$4:$BZ$4,0)),0),IF(MATCH(V$4,$N$4:$BZ$4,0)&lt;MATCH($N49,$N$4:$N$68,0),(INDEX($N$4:$BZ$68,MATCH($L49,$N$4:$N$68,0),MATCH(V$4,$N$4:$BZ$4,0))+INDEX($N$4:$BZ$68,MATCH($M49,$N$4:$N$68,0),MATCH(V$4,$N$4:$BZ$4,0)))*1/2,(INDEX($N$4:$BZ$68,MATCH($N49,$N$4:$N$68,0),MATCH(V$2,$N$4:$BZ$4,0))+INDEX($N$4:$BZ$68,MATCH($N49,$N$4:$N$68,0),MATCH(V$3,$N$4:$BZ$4,0)))*1/2)),0)</f>
        <v>0</v>
      </c>
      <c r="W49" s="7">
        <f t="shared" ca="1" si="30"/>
        <v>0</v>
      </c>
      <c r="X49" s="7">
        <f t="shared" ca="1" si="30"/>
        <v>0</v>
      </c>
      <c r="Y49" s="7">
        <f t="shared" ca="1" si="30"/>
        <v>0</v>
      </c>
      <c r="Z49" s="7">
        <f t="shared" ca="1" si="30"/>
        <v>0</v>
      </c>
      <c r="AA49" s="7">
        <f t="shared" ca="1" si="30"/>
        <v>0</v>
      </c>
      <c r="AB49" s="7">
        <f t="shared" ca="1" si="30"/>
        <v>0</v>
      </c>
      <c r="AC49" s="7">
        <f t="shared" ca="1" si="30"/>
        <v>0</v>
      </c>
      <c r="AD49" s="7">
        <f t="shared" ca="1" si="30"/>
        <v>0</v>
      </c>
      <c r="AE49" s="7">
        <f t="shared" ca="1" si="30"/>
        <v>0</v>
      </c>
      <c r="AF49" s="7">
        <f t="shared" ca="1" si="30"/>
        <v>0</v>
      </c>
      <c r="AG49" s="7">
        <f t="shared" ca="1" si="30"/>
        <v>0</v>
      </c>
      <c r="AH49" s="7">
        <f t="shared" ca="1" si="30"/>
        <v>0</v>
      </c>
      <c r="AI49" s="7">
        <f t="shared" ca="1" si="30"/>
        <v>0</v>
      </c>
      <c r="AJ49" s="7">
        <f t="shared" ca="1" si="30"/>
        <v>0</v>
      </c>
      <c r="AK49" s="7">
        <f t="shared" ca="1" si="30"/>
        <v>0</v>
      </c>
      <c r="AL49" s="7">
        <f t="shared" ca="1" si="30"/>
        <v>0</v>
      </c>
      <c r="AM49" s="7">
        <f t="shared" ca="1" si="30"/>
        <v>0</v>
      </c>
      <c r="AN49" s="7">
        <f t="shared" ca="1" si="30"/>
        <v>0</v>
      </c>
      <c r="AO49" s="7">
        <f t="shared" ca="1" si="30"/>
        <v>0</v>
      </c>
      <c r="AP49" s="7">
        <f t="shared" ca="1" si="30"/>
        <v>0</v>
      </c>
      <c r="AQ49" s="7">
        <f t="shared" ca="1" si="30"/>
        <v>0</v>
      </c>
      <c r="AR49" s="7">
        <f t="shared" ca="1" si="30"/>
        <v>0</v>
      </c>
      <c r="AS49" s="7">
        <f t="shared" ca="1" si="30"/>
        <v>0</v>
      </c>
      <c r="AT49" s="7">
        <f t="shared" ca="1" si="30"/>
        <v>0</v>
      </c>
      <c r="AU49" s="7">
        <f t="shared" ca="1" si="30"/>
        <v>0</v>
      </c>
      <c r="AV49" s="7">
        <f t="shared" ca="1" si="30"/>
        <v>0</v>
      </c>
      <c r="AW49" s="7">
        <f t="shared" ca="1" si="30"/>
        <v>0</v>
      </c>
      <c r="AX49" s="7">
        <f t="shared" ca="1" si="30"/>
        <v>0</v>
      </c>
      <c r="AY49" s="7">
        <f t="shared" ca="1" si="30"/>
        <v>0</v>
      </c>
      <c r="AZ49" s="7">
        <f t="shared" ca="1" si="30"/>
        <v>0</v>
      </c>
      <c r="BA49" s="7">
        <f t="shared" ca="1" si="30"/>
        <v>0</v>
      </c>
      <c r="BB49" s="7">
        <f t="shared" ca="1" si="30"/>
        <v>0</v>
      </c>
      <c r="BC49" s="7">
        <f t="shared" ca="1" si="30"/>
        <v>0</v>
      </c>
      <c r="BD49" s="7">
        <f t="shared" ca="1" si="30"/>
        <v>0</v>
      </c>
      <c r="BE49" s="7">
        <f t="shared" ca="1" si="30"/>
        <v>0</v>
      </c>
      <c r="BF49" s="7">
        <f t="shared" ca="1" si="30"/>
        <v>0</v>
      </c>
      <c r="BG49" s="7">
        <f t="shared" ca="1" si="30"/>
        <v>0</v>
      </c>
      <c r="BH49" s="7">
        <f t="shared" ca="1" si="30"/>
        <v>0</v>
      </c>
      <c r="BI49" s="7">
        <f t="shared" ca="1" si="30"/>
        <v>0</v>
      </c>
      <c r="BJ49" s="7">
        <f t="shared" ca="1" si="30"/>
        <v>0</v>
      </c>
      <c r="BK49" s="7">
        <f t="shared" ca="1" si="30"/>
        <v>0</v>
      </c>
      <c r="BL49" s="7">
        <f t="shared" ca="1" si="30"/>
        <v>0</v>
      </c>
      <c r="BM49" s="7">
        <f t="shared" ca="1" si="30"/>
        <v>0</v>
      </c>
      <c r="BN49" s="7">
        <f t="shared" ca="1" si="30"/>
        <v>0</v>
      </c>
      <c r="BO49" s="7">
        <f t="shared" ca="1" si="30"/>
        <v>0</v>
      </c>
      <c r="BP49" s="7">
        <f t="shared" ca="1" si="30"/>
        <v>0</v>
      </c>
      <c r="BQ49" s="7">
        <f t="shared" ca="1" si="30"/>
        <v>0</v>
      </c>
      <c r="BR49" s="7">
        <f t="shared" ca="1" si="30"/>
        <v>0</v>
      </c>
      <c r="BS49" s="7">
        <f t="shared" ca="1" si="30"/>
        <v>0</v>
      </c>
      <c r="BT49" s="7">
        <f t="shared" ca="1" si="30"/>
        <v>0</v>
      </c>
      <c r="BU49" s="7">
        <f t="shared" ca="1" si="30"/>
        <v>0</v>
      </c>
      <c r="BV49" s="7">
        <f t="shared" ca="1" si="30"/>
        <v>0</v>
      </c>
      <c r="BW49" s="7">
        <f t="shared" ca="1" si="30"/>
        <v>0</v>
      </c>
      <c r="BX49" s="7">
        <f t="shared" ca="1" si="30"/>
        <v>0</v>
      </c>
      <c r="BY49" s="7"/>
      <c r="BZ49" s="7"/>
    </row>
    <row r="50" spans="1:78" ht="15.75" customHeight="1">
      <c r="A50" s="7" t="str">
        <f t="shared" ca="1" si="2"/>
        <v/>
      </c>
      <c r="B50" s="18" t="e">
        <f t="shared" ca="1" si="3"/>
        <v>#N/A</v>
      </c>
      <c r="C50" s="8">
        <v>1</v>
      </c>
      <c r="D50" s="8">
        <v>23</v>
      </c>
      <c r="E50" s="7" t="e">
        <f t="shared" ca="1" si="9"/>
        <v>#N/A</v>
      </c>
      <c r="F50" s="7" t="e">
        <f ca="1">+VLOOKUP("*_"&amp;E50&amp;"_*",data!A:D,3,0)</f>
        <v>#N/A</v>
      </c>
      <c r="G50" s="7" t="e">
        <f ca="1">+VLOOKUP("*_"&amp;E50&amp;"_*",data!A:D,4,0)</f>
        <v>#N/A</v>
      </c>
      <c r="H50" s="7">
        <f ca="1">IFERROR(IF(VLOOKUP("*_"&amp;E50&amp;"_*",data!A:D,2,0)="",1,VLOOKUP("*_"&amp;E50&amp;"_*",data!A:D,2,0)),0)</f>
        <v>0</v>
      </c>
      <c r="I50" s="7">
        <f t="shared" ca="1" si="4"/>
        <v>47</v>
      </c>
      <c r="J50" s="7" t="str">
        <f t="shared" ca="1" si="5"/>
        <v/>
      </c>
      <c r="K50" s="7">
        <v>46</v>
      </c>
      <c r="L50" s="7" t="e">
        <f t="shared" ca="1" si="10"/>
        <v>#N/A</v>
      </c>
      <c r="M50" s="7" t="e">
        <f t="shared" ca="1" si="11"/>
        <v>#N/A</v>
      </c>
      <c r="N50" s="7" t="e">
        <f t="shared" ca="1" si="13"/>
        <v>#N/A</v>
      </c>
      <c r="O50" s="7">
        <f t="shared" ref="O50:BX54" ca="1" si="31">+IFERROR(IF(MATCH(O$4,$N$4:$BZ$4,0)=MATCH($N50,$N$4:$N$68,0),1+IFERROR(1/2*INDEX($N$4:$BZ$68,MATCH($L50,$N$4:$N$68,0),MATCH($M50,$N$4:$BZ$4,0)),0),IF(MATCH(O$4,$N$4:$BZ$4,0)&lt;MATCH($N50,$N$4:$N$68,0),(INDEX($N$4:$BZ$68,MATCH($L50,$N$4:$N$68,0),MATCH(O$4,$N$4:$BZ$4,0))+INDEX($N$4:$BZ$68,MATCH($M50,$N$4:$N$68,0),MATCH(O$4,$N$4:$BZ$4,0)))*1/2,(INDEX($N$4:$BZ$68,MATCH($N50,$N$4:$N$68,0),MATCH(O$2,$N$4:$BZ$4,0))+INDEX($N$4:$BZ$68,MATCH($N50,$N$4:$N$68,0),MATCH(O$3,$N$4:$BZ$4,0)))*1/2)),0)</f>
        <v>0</v>
      </c>
      <c r="P50" s="7">
        <f t="shared" ca="1" si="31"/>
        <v>0</v>
      </c>
      <c r="Q50" s="7">
        <f t="shared" ca="1" si="31"/>
        <v>0</v>
      </c>
      <c r="R50" s="7">
        <f t="shared" ca="1" si="31"/>
        <v>0</v>
      </c>
      <c r="S50" s="7">
        <f t="shared" ca="1" si="31"/>
        <v>0</v>
      </c>
      <c r="T50" s="7">
        <f t="shared" ca="1" si="31"/>
        <v>0</v>
      </c>
      <c r="U50" s="7">
        <f t="shared" ca="1" si="31"/>
        <v>0</v>
      </c>
      <c r="V50" s="7">
        <f t="shared" ca="1" si="31"/>
        <v>0</v>
      </c>
      <c r="W50" s="7">
        <f t="shared" ca="1" si="31"/>
        <v>0</v>
      </c>
      <c r="X50" s="7">
        <f t="shared" ca="1" si="31"/>
        <v>0</v>
      </c>
      <c r="Y50" s="7">
        <f t="shared" ca="1" si="31"/>
        <v>0</v>
      </c>
      <c r="Z50" s="7">
        <f t="shared" ca="1" si="31"/>
        <v>0</v>
      </c>
      <c r="AA50" s="7">
        <f t="shared" ca="1" si="31"/>
        <v>0</v>
      </c>
      <c r="AB50" s="7">
        <f t="shared" ca="1" si="31"/>
        <v>0</v>
      </c>
      <c r="AC50" s="7">
        <f t="shared" ca="1" si="31"/>
        <v>0</v>
      </c>
      <c r="AD50" s="7">
        <f t="shared" ca="1" si="31"/>
        <v>0</v>
      </c>
      <c r="AE50" s="7">
        <f t="shared" ca="1" si="31"/>
        <v>0</v>
      </c>
      <c r="AF50" s="7">
        <f t="shared" ca="1" si="31"/>
        <v>0</v>
      </c>
      <c r="AG50" s="7">
        <f t="shared" ca="1" si="31"/>
        <v>0</v>
      </c>
      <c r="AH50" s="7">
        <f t="shared" ca="1" si="31"/>
        <v>0</v>
      </c>
      <c r="AI50" s="7">
        <f t="shared" ca="1" si="31"/>
        <v>0</v>
      </c>
      <c r="AJ50" s="7">
        <f t="shared" ca="1" si="31"/>
        <v>0</v>
      </c>
      <c r="AK50" s="7">
        <f t="shared" ca="1" si="31"/>
        <v>0</v>
      </c>
      <c r="AL50" s="7">
        <f t="shared" ca="1" si="31"/>
        <v>0</v>
      </c>
      <c r="AM50" s="7">
        <f t="shared" ca="1" si="31"/>
        <v>0</v>
      </c>
      <c r="AN50" s="7">
        <f t="shared" ca="1" si="31"/>
        <v>0</v>
      </c>
      <c r="AO50" s="7">
        <f t="shared" ca="1" si="31"/>
        <v>0</v>
      </c>
      <c r="AP50" s="7">
        <f t="shared" ca="1" si="31"/>
        <v>0</v>
      </c>
      <c r="AQ50" s="7">
        <f t="shared" ca="1" si="31"/>
        <v>0</v>
      </c>
      <c r="AR50" s="7">
        <f t="shared" ca="1" si="31"/>
        <v>0</v>
      </c>
      <c r="AS50" s="7">
        <f t="shared" ca="1" si="31"/>
        <v>0</v>
      </c>
      <c r="AT50" s="7">
        <f t="shared" ca="1" si="31"/>
        <v>0</v>
      </c>
      <c r="AU50" s="7">
        <f t="shared" ca="1" si="31"/>
        <v>0</v>
      </c>
      <c r="AV50" s="7">
        <f t="shared" ca="1" si="31"/>
        <v>0</v>
      </c>
      <c r="AW50" s="7">
        <f t="shared" ca="1" si="31"/>
        <v>0</v>
      </c>
      <c r="AX50" s="7">
        <f t="shared" ca="1" si="31"/>
        <v>0</v>
      </c>
      <c r="AY50" s="7">
        <f t="shared" ca="1" si="31"/>
        <v>0</v>
      </c>
      <c r="AZ50" s="7">
        <f t="shared" ca="1" si="31"/>
        <v>0</v>
      </c>
      <c r="BA50" s="7">
        <f t="shared" ca="1" si="31"/>
        <v>0</v>
      </c>
      <c r="BB50" s="7">
        <f t="shared" ca="1" si="31"/>
        <v>0</v>
      </c>
      <c r="BC50" s="7">
        <f t="shared" ca="1" si="31"/>
        <v>0</v>
      </c>
      <c r="BD50" s="7">
        <f t="shared" ca="1" si="31"/>
        <v>0</v>
      </c>
      <c r="BE50" s="7">
        <f t="shared" ca="1" si="31"/>
        <v>0</v>
      </c>
      <c r="BF50" s="7">
        <f t="shared" ca="1" si="31"/>
        <v>0</v>
      </c>
      <c r="BG50" s="7">
        <f t="shared" ca="1" si="31"/>
        <v>0</v>
      </c>
      <c r="BH50" s="7">
        <f t="shared" ca="1" si="31"/>
        <v>0</v>
      </c>
      <c r="BI50" s="7">
        <f t="shared" ca="1" si="31"/>
        <v>0</v>
      </c>
      <c r="BJ50" s="7">
        <f t="shared" ca="1" si="31"/>
        <v>0</v>
      </c>
      <c r="BK50" s="7">
        <f t="shared" ca="1" si="31"/>
        <v>0</v>
      </c>
      <c r="BL50" s="7">
        <f t="shared" ca="1" si="31"/>
        <v>0</v>
      </c>
      <c r="BM50" s="7">
        <f t="shared" ca="1" si="31"/>
        <v>0</v>
      </c>
      <c r="BN50" s="7">
        <f t="shared" ca="1" si="31"/>
        <v>0</v>
      </c>
      <c r="BO50" s="7">
        <f t="shared" ca="1" si="31"/>
        <v>0</v>
      </c>
      <c r="BP50" s="7">
        <f t="shared" ca="1" si="31"/>
        <v>0</v>
      </c>
      <c r="BQ50" s="7">
        <f t="shared" ca="1" si="31"/>
        <v>0</v>
      </c>
      <c r="BR50" s="7">
        <f t="shared" ca="1" si="31"/>
        <v>0</v>
      </c>
      <c r="BS50" s="7">
        <f t="shared" ca="1" si="31"/>
        <v>0</v>
      </c>
      <c r="BT50" s="7">
        <f t="shared" ca="1" si="31"/>
        <v>0</v>
      </c>
      <c r="BU50" s="7">
        <f t="shared" ca="1" si="31"/>
        <v>0</v>
      </c>
      <c r="BV50" s="7">
        <f t="shared" ca="1" si="31"/>
        <v>0</v>
      </c>
      <c r="BW50" s="7">
        <f t="shared" ca="1" si="31"/>
        <v>0</v>
      </c>
      <c r="BX50" s="7">
        <f t="shared" ca="1" si="31"/>
        <v>0</v>
      </c>
      <c r="BY50" s="7"/>
      <c r="BZ50" s="7"/>
    </row>
    <row r="51" spans="1:78" ht="15.75" customHeight="1">
      <c r="A51" s="7" t="str">
        <f t="shared" ca="1" si="2"/>
        <v/>
      </c>
      <c r="B51" s="18" t="e">
        <f t="shared" ca="1" si="3"/>
        <v>#N/A</v>
      </c>
      <c r="C51" s="8">
        <v>0</v>
      </c>
      <c r="D51" s="8">
        <v>24</v>
      </c>
      <c r="E51" s="7" t="e">
        <f t="shared" ca="1" si="9"/>
        <v>#N/A</v>
      </c>
      <c r="F51" s="7" t="e">
        <f ca="1">+VLOOKUP("*_"&amp;E51&amp;"_*",data!A:D,3,0)</f>
        <v>#N/A</v>
      </c>
      <c r="G51" s="7" t="e">
        <f ca="1">+VLOOKUP("*_"&amp;E51&amp;"_*",data!A:D,4,0)</f>
        <v>#N/A</v>
      </c>
      <c r="H51" s="7">
        <f ca="1">IFERROR(IF(VLOOKUP("*_"&amp;E51&amp;"_*",data!A:D,2,0)="",1,VLOOKUP("*_"&amp;E51&amp;"_*",data!A:D,2,0)),0)</f>
        <v>0</v>
      </c>
      <c r="I51" s="7">
        <f t="shared" ca="1" si="4"/>
        <v>48</v>
      </c>
      <c r="J51" s="7" t="str">
        <f t="shared" ca="1" si="5"/>
        <v/>
      </c>
      <c r="K51" s="7">
        <v>47</v>
      </c>
      <c r="L51" s="7" t="e">
        <f t="shared" ca="1" si="10"/>
        <v>#N/A</v>
      </c>
      <c r="M51" s="7" t="e">
        <f t="shared" ca="1" si="11"/>
        <v>#N/A</v>
      </c>
      <c r="N51" s="7" t="e">
        <f t="shared" ca="1" si="13"/>
        <v>#N/A</v>
      </c>
      <c r="O51" s="7">
        <f t="shared" ca="1" si="31"/>
        <v>0</v>
      </c>
      <c r="P51" s="7">
        <f t="shared" ca="1" si="31"/>
        <v>0</v>
      </c>
      <c r="Q51" s="7">
        <f t="shared" ca="1" si="31"/>
        <v>0</v>
      </c>
      <c r="R51" s="7">
        <f t="shared" ca="1" si="31"/>
        <v>0</v>
      </c>
      <c r="S51" s="7">
        <f t="shared" ca="1" si="31"/>
        <v>0</v>
      </c>
      <c r="T51" s="7">
        <f t="shared" ca="1" si="31"/>
        <v>0</v>
      </c>
      <c r="U51" s="7">
        <f t="shared" ca="1" si="31"/>
        <v>0</v>
      </c>
      <c r="V51" s="7">
        <f t="shared" ca="1" si="31"/>
        <v>0</v>
      </c>
      <c r="W51" s="7">
        <f t="shared" ca="1" si="31"/>
        <v>0</v>
      </c>
      <c r="X51" s="7">
        <f t="shared" ca="1" si="31"/>
        <v>0</v>
      </c>
      <c r="Y51" s="7">
        <f t="shared" ca="1" si="31"/>
        <v>0</v>
      </c>
      <c r="Z51" s="7">
        <f t="shared" ca="1" si="31"/>
        <v>0</v>
      </c>
      <c r="AA51" s="7">
        <f t="shared" ca="1" si="31"/>
        <v>0</v>
      </c>
      <c r="AB51" s="7">
        <f t="shared" ca="1" si="31"/>
        <v>0</v>
      </c>
      <c r="AC51" s="7">
        <f t="shared" ca="1" si="31"/>
        <v>0</v>
      </c>
      <c r="AD51" s="7">
        <f t="shared" ca="1" si="31"/>
        <v>0</v>
      </c>
      <c r="AE51" s="7">
        <f t="shared" ca="1" si="31"/>
        <v>0</v>
      </c>
      <c r="AF51" s="7">
        <f t="shared" ca="1" si="31"/>
        <v>0</v>
      </c>
      <c r="AG51" s="7">
        <f t="shared" ca="1" si="31"/>
        <v>0</v>
      </c>
      <c r="AH51" s="7">
        <f t="shared" ca="1" si="31"/>
        <v>0</v>
      </c>
      <c r="AI51" s="7">
        <f t="shared" ca="1" si="31"/>
        <v>0</v>
      </c>
      <c r="AJ51" s="7">
        <f t="shared" ca="1" si="31"/>
        <v>0</v>
      </c>
      <c r="AK51" s="7">
        <f t="shared" ca="1" si="31"/>
        <v>0</v>
      </c>
      <c r="AL51" s="7">
        <f t="shared" ca="1" si="31"/>
        <v>0</v>
      </c>
      <c r="AM51" s="7">
        <f t="shared" ca="1" si="31"/>
        <v>0</v>
      </c>
      <c r="AN51" s="7">
        <f t="shared" ca="1" si="31"/>
        <v>0</v>
      </c>
      <c r="AO51" s="7">
        <f t="shared" ca="1" si="31"/>
        <v>0</v>
      </c>
      <c r="AP51" s="7">
        <f t="shared" ca="1" si="31"/>
        <v>0</v>
      </c>
      <c r="AQ51" s="7">
        <f t="shared" ca="1" si="31"/>
        <v>0</v>
      </c>
      <c r="AR51" s="7">
        <f t="shared" ca="1" si="31"/>
        <v>0</v>
      </c>
      <c r="AS51" s="7">
        <f t="shared" ca="1" si="31"/>
        <v>0</v>
      </c>
      <c r="AT51" s="7">
        <f t="shared" ca="1" si="31"/>
        <v>0</v>
      </c>
      <c r="AU51" s="7">
        <f t="shared" ca="1" si="31"/>
        <v>0</v>
      </c>
      <c r="AV51" s="7">
        <f t="shared" ca="1" si="31"/>
        <v>0</v>
      </c>
      <c r="AW51" s="7">
        <f t="shared" ca="1" si="31"/>
        <v>0</v>
      </c>
      <c r="AX51" s="7">
        <f t="shared" ca="1" si="31"/>
        <v>0</v>
      </c>
      <c r="AY51" s="7">
        <f t="shared" ca="1" si="31"/>
        <v>0</v>
      </c>
      <c r="AZ51" s="7">
        <f t="shared" ca="1" si="31"/>
        <v>0</v>
      </c>
      <c r="BA51" s="7">
        <f t="shared" ca="1" si="31"/>
        <v>0</v>
      </c>
      <c r="BB51" s="7">
        <f t="shared" ca="1" si="31"/>
        <v>0</v>
      </c>
      <c r="BC51" s="7">
        <f t="shared" ca="1" si="31"/>
        <v>0</v>
      </c>
      <c r="BD51" s="7">
        <f t="shared" ca="1" si="31"/>
        <v>0</v>
      </c>
      <c r="BE51" s="7">
        <f t="shared" ca="1" si="31"/>
        <v>0</v>
      </c>
      <c r="BF51" s="7">
        <f t="shared" ca="1" si="31"/>
        <v>0</v>
      </c>
      <c r="BG51" s="7">
        <f t="shared" ca="1" si="31"/>
        <v>0</v>
      </c>
      <c r="BH51" s="7">
        <f t="shared" ca="1" si="31"/>
        <v>0</v>
      </c>
      <c r="BI51" s="7">
        <f t="shared" ca="1" si="31"/>
        <v>0</v>
      </c>
      <c r="BJ51" s="7">
        <f t="shared" ca="1" si="31"/>
        <v>0</v>
      </c>
      <c r="BK51" s="7">
        <f t="shared" ca="1" si="31"/>
        <v>0</v>
      </c>
      <c r="BL51" s="7">
        <f t="shared" ca="1" si="31"/>
        <v>0</v>
      </c>
      <c r="BM51" s="7">
        <f t="shared" ca="1" si="31"/>
        <v>0</v>
      </c>
      <c r="BN51" s="7">
        <f t="shared" ca="1" si="31"/>
        <v>0</v>
      </c>
      <c r="BO51" s="7">
        <f t="shared" ca="1" si="31"/>
        <v>0</v>
      </c>
      <c r="BP51" s="7">
        <f t="shared" ca="1" si="31"/>
        <v>0</v>
      </c>
      <c r="BQ51" s="7">
        <f t="shared" ca="1" si="31"/>
        <v>0</v>
      </c>
      <c r="BR51" s="7">
        <f t="shared" ca="1" si="31"/>
        <v>0</v>
      </c>
      <c r="BS51" s="7">
        <f t="shared" ca="1" si="31"/>
        <v>0</v>
      </c>
      <c r="BT51" s="7">
        <f t="shared" ca="1" si="31"/>
        <v>0</v>
      </c>
      <c r="BU51" s="7">
        <f t="shared" ca="1" si="31"/>
        <v>0</v>
      </c>
      <c r="BV51" s="7">
        <f t="shared" ca="1" si="31"/>
        <v>0</v>
      </c>
      <c r="BW51" s="7">
        <f t="shared" ca="1" si="31"/>
        <v>0</v>
      </c>
      <c r="BX51" s="7">
        <f t="shared" ca="1" si="31"/>
        <v>0</v>
      </c>
      <c r="BY51" s="7"/>
      <c r="BZ51" s="7"/>
    </row>
    <row r="52" spans="1:78" ht="15.75" customHeight="1">
      <c r="A52" s="7" t="str">
        <f t="shared" ca="1" si="2"/>
        <v/>
      </c>
      <c r="B52" s="18" t="e">
        <f ca="1">IF(OR(E52="",E52=0),0,COUNTIF($E$3:E52,E52))</f>
        <v>#N/A</v>
      </c>
      <c r="C52" s="8">
        <v>1</v>
      </c>
      <c r="D52" s="8">
        <v>24</v>
      </c>
      <c r="E52" s="7" t="e">
        <f t="shared" ca="1" si="9"/>
        <v>#N/A</v>
      </c>
      <c r="F52" s="7" t="e">
        <f ca="1">+VLOOKUP("*_"&amp;E52&amp;"_*",data!A:D,3,0)</f>
        <v>#N/A</v>
      </c>
      <c r="G52" s="7" t="e">
        <f ca="1">+VLOOKUP("*_"&amp;E52&amp;"_*",data!A:D,4,0)</f>
        <v>#N/A</v>
      </c>
      <c r="H52" s="7">
        <f ca="1">IFERROR(IF(VLOOKUP("*_"&amp;E52&amp;"_*",data!A:D,2,0)="",1,VLOOKUP("*_"&amp;E52&amp;"_*",data!A:D,2,0)),0)</f>
        <v>0</v>
      </c>
      <c r="I52" s="7">
        <f t="shared" ca="1" si="4"/>
        <v>49</v>
      </c>
      <c r="J52" s="7" t="str">
        <f ca="1">IFERROR(IF(B52=1,I52,""),"")</f>
        <v/>
      </c>
      <c r="K52" s="7">
        <v>48</v>
      </c>
      <c r="L52" s="7" t="e">
        <f t="shared" ca="1" si="10"/>
        <v>#N/A</v>
      </c>
      <c r="M52" s="7" t="e">
        <f t="shared" ca="1" si="11"/>
        <v>#N/A</v>
      </c>
      <c r="N52" s="7" t="e">
        <f t="shared" ca="1" si="13"/>
        <v>#N/A</v>
      </c>
      <c r="O52" s="7">
        <f t="shared" ca="1" si="31"/>
        <v>0</v>
      </c>
      <c r="P52" s="7">
        <f t="shared" ca="1" si="31"/>
        <v>0</v>
      </c>
      <c r="Q52" s="7">
        <f t="shared" ca="1" si="31"/>
        <v>0</v>
      </c>
      <c r="R52" s="7">
        <f t="shared" ca="1" si="31"/>
        <v>0</v>
      </c>
      <c r="S52" s="7">
        <f t="shared" ca="1" si="31"/>
        <v>0</v>
      </c>
      <c r="T52" s="7">
        <f t="shared" ca="1" si="31"/>
        <v>0</v>
      </c>
      <c r="U52" s="7">
        <f t="shared" ca="1" si="31"/>
        <v>0</v>
      </c>
      <c r="V52" s="7">
        <f t="shared" ca="1" si="31"/>
        <v>0</v>
      </c>
      <c r="W52" s="7">
        <f t="shared" ca="1" si="31"/>
        <v>0</v>
      </c>
      <c r="X52" s="7">
        <f t="shared" ca="1" si="31"/>
        <v>0</v>
      </c>
      <c r="Y52" s="7">
        <f t="shared" ca="1" si="31"/>
        <v>0</v>
      </c>
      <c r="Z52" s="7">
        <f t="shared" ca="1" si="31"/>
        <v>0</v>
      </c>
      <c r="AA52" s="7">
        <f t="shared" ca="1" si="31"/>
        <v>0</v>
      </c>
      <c r="AB52" s="7">
        <f t="shared" ca="1" si="31"/>
        <v>0</v>
      </c>
      <c r="AC52" s="7">
        <f t="shared" ca="1" si="31"/>
        <v>0</v>
      </c>
      <c r="AD52" s="7">
        <f t="shared" ca="1" si="31"/>
        <v>0</v>
      </c>
      <c r="AE52" s="7">
        <f t="shared" ca="1" si="31"/>
        <v>0</v>
      </c>
      <c r="AF52" s="7">
        <f t="shared" ca="1" si="31"/>
        <v>0</v>
      </c>
      <c r="AG52" s="7">
        <f t="shared" ca="1" si="31"/>
        <v>0</v>
      </c>
      <c r="AH52" s="7">
        <f t="shared" ca="1" si="31"/>
        <v>0</v>
      </c>
      <c r="AI52" s="7">
        <f t="shared" ca="1" si="31"/>
        <v>0</v>
      </c>
      <c r="AJ52" s="7">
        <f t="shared" ca="1" si="31"/>
        <v>0</v>
      </c>
      <c r="AK52" s="7">
        <f t="shared" ca="1" si="31"/>
        <v>0</v>
      </c>
      <c r="AL52" s="7">
        <f t="shared" ca="1" si="31"/>
        <v>0</v>
      </c>
      <c r="AM52" s="7">
        <f t="shared" ca="1" si="31"/>
        <v>0</v>
      </c>
      <c r="AN52" s="7">
        <f t="shared" ca="1" si="31"/>
        <v>0</v>
      </c>
      <c r="AO52" s="7">
        <f t="shared" ca="1" si="31"/>
        <v>0</v>
      </c>
      <c r="AP52" s="7">
        <f t="shared" ca="1" si="31"/>
        <v>0</v>
      </c>
      <c r="AQ52" s="7">
        <f t="shared" ca="1" si="31"/>
        <v>0</v>
      </c>
      <c r="AR52" s="7">
        <f t="shared" ca="1" si="31"/>
        <v>0</v>
      </c>
      <c r="AS52" s="7">
        <f t="shared" ca="1" si="31"/>
        <v>0</v>
      </c>
      <c r="AT52" s="7">
        <f t="shared" ca="1" si="31"/>
        <v>0</v>
      </c>
      <c r="AU52" s="7">
        <f t="shared" ca="1" si="31"/>
        <v>0</v>
      </c>
      <c r="AV52" s="7">
        <f t="shared" ca="1" si="31"/>
        <v>0</v>
      </c>
      <c r="AW52" s="7">
        <f t="shared" ca="1" si="31"/>
        <v>0</v>
      </c>
      <c r="AX52" s="7">
        <f t="shared" ca="1" si="31"/>
        <v>0</v>
      </c>
      <c r="AY52" s="7">
        <f t="shared" ca="1" si="31"/>
        <v>0</v>
      </c>
      <c r="AZ52" s="7">
        <f t="shared" ca="1" si="31"/>
        <v>0</v>
      </c>
      <c r="BA52" s="7">
        <f t="shared" ca="1" si="31"/>
        <v>0</v>
      </c>
      <c r="BB52" s="7">
        <f t="shared" ca="1" si="31"/>
        <v>0</v>
      </c>
      <c r="BC52" s="7">
        <f t="shared" ca="1" si="31"/>
        <v>0</v>
      </c>
      <c r="BD52" s="7">
        <f t="shared" ca="1" si="31"/>
        <v>0</v>
      </c>
      <c r="BE52" s="7">
        <f t="shared" ca="1" si="31"/>
        <v>0</v>
      </c>
      <c r="BF52" s="7">
        <f t="shared" ca="1" si="31"/>
        <v>0</v>
      </c>
      <c r="BG52" s="7">
        <f t="shared" ca="1" si="31"/>
        <v>0</v>
      </c>
      <c r="BH52" s="7">
        <f t="shared" ca="1" si="31"/>
        <v>0</v>
      </c>
      <c r="BI52" s="7">
        <f t="shared" ca="1" si="31"/>
        <v>0</v>
      </c>
      <c r="BJ52" s="7">
        <f t="shared" ca="1" si="31"/>
        <v>0</v>
      </c>
      <c r="BK52" s="7">
        <f t="shared" ca="1" si="31"/>
        <v>0</v>
      </c>
      <c r="BL52" s="7">
        <f t="shared" ca="1" si="31"/>
        <v>0</v>
      </c>
      <c r="BM52" s="7">
        <f t="shared" ca="1" si="31"/>
        <v>0</v>
      </c>
      <c r="BN52" s="7">
        <f t="shared" ca="1" si="31"/>
        <v>0</v>
      </c>
      <c r="BO52" s="7">
        <f t="shared" ca="1" si="31"/>
        <v>0</v>
      </c>
      <c r="BP52" s="7">
        <f t="shared" ca="1" si="31"/>
        <v>0</v>
      </c>
      <c r="BQ52" s="7">
        <f t="shared" ca="1" si="31"/>
        <v>0</v>
      </c>
      <c r="BR52" s="7">
        <f t="shared" ca="1" si="31"/>
        <v>0</v>
      </c>
      <c r="BS52" s="7">
        <f t="shared" ca="1" si="31"/>
        <v>0</v>
      </c>
      <c r="BT52" s="7">
        <f t="shared" ca="1" si="31"/>
        <v>0</v>
      </c>
      <c r="BU52" s="7">
        <f t="shared" ca="1" si="31"/>
        <v>0</v>
      </c>
      <c r="BV52" s="7">
        <f t="shared" ca="1" si="31"/>
        <v>0</v>
      </c>
      <c r="BW52" s="7">
        <f t="shared" ca="1" si="31"/>
        <v>0</v>
      </c>
      <c r="BX52" s="7">
        <f t="shared" ca="1" si="31"/>
        <v>0</v>
      </c>
      <c r="BY52" s="7"/>
      <c r="BZ52" s="7"/>
    </row>
    <row r="53" spans="1:78" ht="15.75" customHeight="1">
      <c r="A53" s="7" t="str">
        <f t="shared" ca="1" si="2"/>
        <v/>
      </c>
      <c r="B53" s="18" t="e">
        <f t="shared" ca="1" si="3"/>
        <v>#N/A</v>
      </c>
      <c r="C53" s="8">
        <v>0</v>
      </c>
      <c r="D53" s="8">
        <v>25</v>
      </c>
      <c r="E53" s="7" t="e">
        <f t="shared" ca="1" si="9"/>
        <v>#N/A</v>
      </c>
      <c r="F53" s="7" t="e">
        <f ca="1">+VLOOKUP("*_"&amp;E53&amp;"_*",data!A:D,3,0)</f>
        <v>#N/A</v>
      </c>
      <c r="G53" s="7" t="e">
        <f ca="1">+VLOOKUP("*_"&amp;E53&amp;"_*",data!A:D,4,0)</f>
        <v>#N/A</v>
      </c>
      <c r="H53" s="7">
        <f ca="1">IFERROR(IF(VLOOKUP("*_"&amp;E53&amp;"_*",data!A:D,2,0)="",1,VLOOKUP("*_"&amp;E53&amp;"_*",data!A:D,2,0)),0)</f>
        <v>0</v>
      </c>
      <c r="I53" s="7">
        <f t="shared" ca="1" si="4"/>
        <v>50</v>
      </c>
      <c r="J53" s="7" t="str">
        <f t="shared" ca="1" si="5"/>
        <v/>
      </c>
      <c r="K53" s="7">
        <v>49</v>
      </c>
      <c r="L53" s="7" t="e">
        <f t="shared" ca="1" si="10"/>
        <v>#N/A</v>
      </c>
      <c r="M53" s="7" t="e">
        <f t="shared" ca="1" si="11"/>
        <v>#N/A</v>
      </c>
      <c r="N53" s="7" t="e">
        <f t="shared" ca="1" si="13"/>
        <v>#N/A</v>
      </c>
      <c r="O53" s="7">
        <f t="shared" ca="1" si="31"/>
        <v>0</v>
      </c>
      <c r="P53" s="7">
        <f t="shared" ca="1" si="31"/>
        <v>0</v>
      </c>
      <c r="Q53" s="7">
        <f t="shared" ca="1" si="31"/>
        <v>0</v>
      </c>
      <c r="R53" s="7">
        <f t="shared" ca="1" si="31"/>
        <v>0</v>
      </c>
      <c r="S53" s="7">
        <f t="shared" ca="1" si="31"/>
        <v>0</v>
      </c>
      <c r="T53" s="7">
        <f t="shared" ca="1" si="31"/>
        <v>0</v>
      </c>
      <c r="U53" s="7">
        <f t="shared" ca="1" si="31"/>
        <v>0</v>
      </c>
      <c r="V53" s="7">
        <f t="shared" ca="1" si="31"/>
        <v>0</v>
      </c>
      <c r="W53" s="7">
        <f t="shared" ca="1" si="31"/>
        <v>0</v>
      </c>
      <c r="X53" s="7">
        <f t="shared" ca="1" si="31"/>
        <v>0</v>
      </c>
      <c r="Y53" s="7">
        <f t="shared" ca="1" si="31"/>
        <v>0</v>
      </c>
      <c r="Z53" s="7">
        <f t="shared" ca="1" si="31"/>
        <v>0</v>
      </c>
      <c r="AA53" s="7">
        <f t="shared" ca="1" si="31"/>
        <v>0</v>
      </c>
      <c r="AB53" s="7">
        <f t="shared" ca="1" si="31"/>
        <v>0</v>
      </c>
      <c r="AC53" s="7">
        <f t="shared" ca="1" si="31"/>
        <v>0</v>
      </c>
      <c r="AD53" s="7">
        <f t="shared" ca="1" si="31"/>
        <v>0</v>
      </c>
      <c r="AE53" s="7">
        <f t="shared" ca="1" si="31"/>
        <v>0</v>
      </c>
      <c r="AF53" s="7">
        <f t="shared" ca="1" si="31"/>
        <v>0</v>
      </c>
      <c r="AG53" s="7">
        <f t="shared" ca="1" si="31"/>
        <v>0</v>
      </c>
      <c r="AH53" s="7">
        <f t="shared" ca="1" si="31"/>
        <v>0</v>
      </c>
      <c r="AI53" s="7">
        <f t="shared" ca="1" si="31"/>
        <v>0</v>
      </c>
      <c r="AJ53" s="7">
        <f t="shared" ca="1" si="31"/>
        <v>0</v>
      </c>
      <c r="AK53" s="7">
        <f t="shared" ca="1" si="31"/>
        <v>0</v>
      </c>
      <c r="AL53" s="7">
        <f t="shared" ca="1" si="31"/>
        <v>0</v>
      </c>
      <c r="AM53" s="7">
        <f t="shared" ca="1" si="31"/>
        <v>0</v>
      </c>
      <c r="AN53" s="7">
        <f t="shared" ca="1" si="31"/>
        <v>0</v>
      </c>
      <c r="AO53" s="7">
        <f t="shared" ca="1" si="31"/>
        <v>0</v>
      </c>
      <c r="AP53" s="7">
        <f t="shared" ca="1" si="31"/>
        <v>0</v>
      </c>
      <c r="AQ53" s="7">
        <f t="shared" ca="1" si="31"/>
        <v>0</v>
      </c>
      <c r="AR53" s="7">
        <f t="shared" ca="1" si="31"/>
        <v>0</v>
      </c>
      <c r="AS53" s="7">
        <f t="shared" ca="1" si="31"/>
        <v>0</v>
      </c>
      <c r="AT53" s="7">
        <f t="shared" ca="1" si="31"/>
        <v>0</v>
      </c>
      <c r="AU53" s="7">
        <f t="shared" ca="1" si="31"/>
        <v>0</v>
      </c>
      <c r="AV53" s="7">
        <f t="shared" ca="1" si="31"/>
        <v>0</v>
      </c>
      <c r="AW53" s="7">
        <f t="shared" ca="1" si="31"/>
        <v>0</v>
      </c>
      <c r="AX53" s="7">
        <f t="shared" ca="1" si="31"/>
        <v>0</v>
      </c>
      <c r="AY53" s="7">
        <f t="shared" ca="1" si="31"/>
        <v>0</v>
      </c>
      <c r="AZ53" s="7">
        <f t="shared" ca="1" si="31"/>
        <v>0</v>
      </c>
      <c r="BA53" s="7">
        <f t="shared" ca="1" si="31"/>
        <v>0</v>
      </c>
      <c r="BB53" s="7">
        <f t="shared" ca="1" si="31"/>
        <v>0</v>
      </c>
      <c r="BC53" s="7">
        <f t="shared" ca="1" si="31"/>
        <v>0</v>
      </c>
      <c r="BD53" s="7">
        <f t="shared" ca="1" si="31"/>
        <v>0</v>
      </c>
      <c r="BE53" s="7">
        <f t="shared" ca="1" si="31"/>
        <v>0</v>
      </c>
      <c r="BF53" s="7">
        <f t="shared" ca="1" si="31"/>
        <v>0</v>
      </c>
      <c r="BG53" s="7">
        <f t="shared" ca="1" si="31"/>
        <v>0</v>
      </c>
      <c r="BH53" s="7">
        <f t="shared" ca="1" si="31"/>
        <v>0</v>
      </c>
      <c r="BI53" s="7">
        <f t="shared" ca="1" si="31"/>
        <v>0</v>
      </c>
      <c r="BJ53" s="7">
        <f t="shared" ca="1" si="31"/>
        <v>0</v>
      </c>
      <c r="BK53" s="7">
        <f t="shared" ca="1" si="31"/>
        <v>0</v>
      </c>
      <c r="BL53" s="7">
        <f t="shared" ca="1" si="31"/>
        <v>0</v>
      </c>
      <c r="BM53" s="7">
        <f t="shared" ca="1" si="31"/>
        <v>0</v>
      </c>
      <c r="BN53" s="7">
        <f t="shared" ca="1" si="31"/>
        <v>0</v>
      </c>
      <c r="BO53" s="7">
        <f t="shared" ca="1" si="31"/>
        <v>0</v>
      </c>
      <c r="BP53" s="7">
        <f t="shared" ca="1" si="31"/>
        <v>0</v>
      </c>
      <c r="BQ53" s="7">
        <f t="shared" ca="1" si="31"/>
        <v>0</v>
      </c>
      <c r="BR53" s="7">
        <f t="shared" ca="1" si="31"/>
        <v>0</v>
      </c>
      <c r="BS53" s="7">
        <f t="shared" ca="1" si="31"/>
        <v>0</v>
      </c>
      <c r="BT53" s="7">
        <f t="shared" ca="1" si="31"/>
        <v>0</v>
      </c>
      <c r="BU53" s="7">
        <f t="shared" ca="1" si="31"/>
        <v>0</v>
      </c>
      <c r="BV53" s="7">
        <f t="shared" ca="1" si="31"/>
        <v>0</v>
      </c>
      <c r="BW53" s="7">
        <f t="shared" ca="1" si="31"/>
        <v>0</v>
      </c>
      <c r="BX53" s="7">
        <f t="shared" ca="1" si="31"/>
        <v>0</v>
      </c>
      <c r="BY53" s="7"/>
      <c r="BZ53" s="7"/>
    </row>
    <row r="54" spans="1:78" ht="15.75" customHeight="1">
      <c r="A54" s="7" t="str">
        <f t="shared" ca="1" si="2"/>
        <v/>
      </c>
      <c r="B54" s="18" t="e">
        <f t="shared" ca="1" si="3"/>
        <v>#N/A</v>
      </c>
      <c r="C54" s="8">
        <v>1</v>
      </c>
      <c r="D54" s="8">
        <v>25</v>
      </c>
      <c r="E54" s="7" t="e">
        <f t="shared" ca="1" si="9"/>
        <v>#N/A</v>
      </c>
      <c r="F54" s="7" t="e">
        <f ca="1">+VLOOKUP("*_"&amp;E54&amp;"_*",data!A:D,3,0)</f>
        <v>#N/A</v>
      </c>
      <c r="G54" s="7" t="e">
        <f ca="1">+VLOOKUP("*_"&amp;E54&amp;"_*",data!A:D,4,0)</f>
        <v>#N/A</v>
      </c>
      <c r="H54" s="7">
        <f ca="1">IFERROR(IF(VLOOKUP("*_"&amp;E54&amp;"_*",data!A:D,2,0)="",1,VLOOKUP("*_"&amp;E54&amp;"_*",data!A:D,2,0)),0)</f>
        <v>0</v>
      </c>
      <c r="I54" s="7">
        <f t="shared" ca="1" si="4"/>
        <v>51</v>
      </c>
      <c r="J54" s="7" t="str">
        <f t="shared" ca="1" si="5"/>
        <v/>
      </c>
      <c r="K54" s="7">
        <v>50</v>
      </c>
      <c r="L54" s="7" t="e">
        <f t="shared" ca="1" si="10"/>
        <v>#N/A</v>
      </c>
      <c r="M54" s="7" t="e">
        <f t="shared" ca="1" si="11"/>
        <v>#N/A</v>
      </c>
      <c r="N54" s="7" t="e">
        <f t="shared" ca="1" si="13"/>
        <v>#N/A</v>
      </c>
      <c r="O54" s="7">
        <f t="shared" ca="1" si="31"/>
        <v>0</v>
      </c>
      <c r="P54" s="7">
        <f t="shared" ca="1" si="31"/>
        <v>0</v>
      </c>
      <c r="Q54" s="7">
        <f t="shared" ca="1" si="31"/>
        <v>0</v>
      </c>
      <c r="R54" s="7">
        <f t="shared" ca="1" si="31"/>
        <v>0</v>
      </c>
      <c r="S54" s="7">
        <f t="shared" ca="1" si="31"/>
        <v>0</v>
      </c>
      <c r="T54" s="7">
        <f t="shared" ca="1" si="31"/>
        <v>0</v>
      </c>
      <c r="U54" s="7">
        <f t="shared" ca="1" si="31"/>
        <v>0</v>
      </c>
      <c r="V54" s="7">
        <f t="shared" ref="V54:BX54" ca="1" si="32">+IFERROR(IF(MATCH(V$4,$N$4:$BZ$4,0)=MATCH($N54,$N$4:$N$68,0),1+IFERROR(1/2*INDEX($N$4:$BZ$68,MATCH($L54,$N$4:$N$68,0),MATCH($M54,$N$4:$BZ$4,0)),0),IF(MATCH(V$4,$N$4:$BZ$4,0)&lt;MATCH($N54,$N$4:$N$68,0),(INDEX($N$4:$BZ$68,MATCH($L54,$N$4:$N$68,0),MATCH(V$4,$N$4:$BZ$4,0))+INDEX($N$4:$BZ$68,MATCH($M54,$N$4:$N$68,0),MATCH(V$4,$N$4:$BZ$4,0)))*1/2,(INDEX($N$4:$BZ$68,MATCH($N54,$N$4:$N$68,0),MATCH(V$2,$N$4:$BZ$4,0))+INDEX($N$4:$BZ$68,MATCH($N54,$N$4:$N$68,0),MATCH(V$3,$N$4:$BZ$4,0)))*1/2)),0)</f>
        <v>0</v>
      </c>
      <c r="W54" s="7">
        <f t="shared" ca="1" si="32"/>
        <v>0</v>
      </c>
      <c r="X54" s="7">
        <f t="shared" ca="1" si="32"/>
        <v>0</v>
      </c>
      <c r="Y54" s="7">
        <f t="shared" ca="1" si="32"/>
        <v>0</v>
      </c>
      <c r="Z54" s="7">
        <f t="shared" ca="1" si="32"/>
        <v>0</v>
      </c>
      <c r="AA54" s="7">
        <f t="shared" ca="1" si="32"/>
        <v>0</v>
      </c>
      <c r="AB54" s="7">
        <f t="shared" ca="1" si="32"/>
        <v>0</v>
      </c>
      <c r="AC54" s="7">
        <f t="shared" ca="1" si="32"/>
        <v>0</v>
      </c>
      <c r="AD54" s="7">
        <f t="shared" ca="1" si="32"/>
        <v>0</v>
      </c>
      <c r="AE54" s="7">
        <f t="shared" ca="1" si="32"/>
        <v>0</v>
      </c>
      <c r="AF54" s="7">
        <f t="shared" ca="1" si="32"/>
        <v>0</v>
      </c>
      <c r="AG54" s="7">
        <f t="shared" ca="1" si="32"/>
        <v>0</v>
      </c>
      <c r="AH54" s="7">
        <f t="shared" ca="1" si="32"/>
        <v>0</v>
      </c>
      <c r="AI54" s="7">
        <f t="shared" ca="1" si="32"/>
        <v>0</v>
      </c>
      <c r="AJ54" s="7">
        <f t="shared" ca="1" si="32"/>
        <v>0</v>
      </c>
      <c r="AK54" s="7">
        <f t="shared" ca="1" si="32"/>
        <v>0</v>
      </c>
      <c r="AL54" s="7">
        <f t="shared" ca="1" si="32"/>
        <v>0</v>
      </c>
      <c r="AM54" s="7">
        <f t="shared" ca="1" si="32"/>
        <v>0</v>
      </c>
      <c r="AN54" s="7">
        <f t="shared" ca="1" si="32"/>
        <v>0</v>
      </c>
      <c r="AO54" s="7">
        <f t="shared" ca="1" si="32"/>
        <v>0</v>
      </c>
      <c r="AP54" s="7">
        <f t="shared" ca="1" si="32"/>
        <v>0</v>
      </c>
      <c r="AQ54" s="7">
        <f t="shared" ca="1" si="32"/>
        <v>0</v>
      </c>
      <c r="AR54" s="7">
        <f t="shared" ca="1" si="32"/>
        <v>0</v>
      </c>
      <c r="AS54" s="7">
        <f t="shared" ca="1" si="32"/>
        <v>0</v>
      </c>
      <c r="AT54" s="7">
        <f t="shared" ca="1" si="32"/>
        <v>0</v>
      </c>
      <c r="AU54" s="7">
        <f t="shared" ca="1" si="32"/>
        <v>0</v>
      </c>
      <c r="AV54" s="7">
        <f t="shared" ca="1" si="32"/>
        <v>0</v>
      </c>
      <c r="AW54" s="7">
        <f t="shared" ca="1" si="32"/>
        <v>0</v>
      </c>
      <c r="AX54" s="7">
        <f t="shared" ca="1" si="32"/>
        <v>0</v>
      </c>
      <c r="AY54" s="7">
        <f t="shared" ca="1" si="32"/>
        <v>0</v>
      </c>
      <c r="AZ54" s="7">
        <f t="shared" ca="1" si="32"/>
        <v>0</v>
      </c>
      <c r="BA54" s="7">
        <f t="shared" ca="1" si="32"/>
        <v>0</v>
      </c>
      <c r="BB54" s="7">
        <f t="shared" ca="1" si="32"/>
        <v>0</v>
      </c>
      <c r="BC54" s="7">
        <f t="shared" ca="1" si="32"/>
        <v>0</v>
      </c>
      <c r="BD54" s="7">
        <f t="shared" ca="1" si="32"/>
        <v>0</v>
      </c>
      <c r="BE54" s="7">
        <f t="shared" ca="1" si="32"/>
        <v>0</v>
      </c>
      <c r="BF54" s="7">
        <f t="shared" ca="1" si="32"/>
        <v>0</v>
      </c>
      <c r="BG54" s="7">
        <f t="shared" ca="1" si="32"/>
        <v>0</v>
      </c>
      <c r="BH54" s="7">
        <f t="shared" ca="1" si="32"/>
        <v>0</v>
      </c>
      <c r="BI54" s="7">
        <f t="shared" ca="1" si="32"/>
        <v>0</v>
      </c>
      <c r="BJ54" s="7">
        <f t="shared" ca="1" si="32"/>
        <v>0</v>
      </c>
      <c r="BK54" s="7">
        <f t="shared" ca="1" si="32"/>
        <v>0</v>
      </c>
      <c r="BL54" s="7">
        <f t="shared" ca="1" si="32"/>
        <v>0</v>
      </c>
      <c r="BM54" s="7">
        <f t="shared" ca="1" si="32"/>
        <v>0</v>
      </c>
      <c r="BN54" s="7">
        <f t="shared" ca="1" si="32"/>
        <v>0</v>
      </c>
      <c r="BO54" s="7">
        <f t="shared" ca="1" si="32"/>
        <v>0</v>
      </c>
      <c r="BP54" s="7">
        <f t="shared" ca="1" si="32"/>
        <v>0</v>
      </c>
      <c r="BQ54" s="7">
        <f t="shared" ca="1" si="32"/>
        <v>0</v>
      </c>
      <c r="BR54" s="7">
        <f t="shared" ca="1" si="32"/>
        <v>0</v>
      </c>
      <c r="BS54" s="7">
        <f t="shared" ca="1" si="32"/>
        <v>0</v>
      </c>
      <c r="BT54" s="7">
        <f t="shared" ca="1" si="32"/>
        <v>0</v>
      </c>
      <c r="BU54" s="7">
        <f t="shared" ca="1" si="32"/>
        <v>0</v>
      </c>
      <c r="BV54" s="7">
        <f t="shared" ca="1" si="32"/>
        <v>0</v>
      </c>
      <c r="BW54" s="7">
        <f t="shared" ca="1" si="32"/>
        <v>0</v>
      </c>
      <c r="BX54" s="7">
        <f t="shared" ca="1" si="32"/>
        <v>0</v>
      </c>
      <c r="BY54" s="7"/>
      <c r="BZ54" s="7"/>
    </row>
    <row r="55" spans="1:78" ht="15.75" customHeight="1">
      <c r="A55" s="7" t="str">
        <f t="shared" ca="1" si="2"/>
        <v/>
      </c>
      <c r="B55" s="18" t="e">
        <f t="shared" ca="1" si="3"/>
        <v>#N/A</v>
      </c>
      <c r="C55" s="8">
        <v>0</v>
      </c>
      <c r="D55" s="8">
        <v>26</v>
      </c>
      <c r="E55" s="7" t="e">
        <f t="shared" ca="1" si="9"/>
        <v>#N/A</v>
      </c>
      <c r="F55" s="7" t="e">
        <f ca="1">+VLOOKUP("*_"&amp;E55&amp;"_*",data!A:D,3,0)</f>
        <v>#N/A</v>
      </c>
      <c r="G55" s="7" t="e">
        <f ca="1">+VLOOKUP("*_"&amp;E55&amp;"_*",data!A:D,4,0)</f>
        <v>#N/A</v>
      </c>
      <c r="H55" s="7">
        <f ca="1">IFERROR(IF(VLOOKUP("*_"&amp;E55&amp;"_*",data!A:D,2,0)="",1,VLOOKUP("*_"&amp;E55&amp;"_*",data!A:D,2,0)),0)</f>
        <v>0</v>
      </c>
      <c r="I55" s="7">
        <f t="shared" ca="1" si="4"/>
        <v>52</v>
      </c>
      <c r="J55" s="7" t="str">
        <f t="shared" ca="1" si="5"/>
        <v/>
      </c>
      <c r="K55" s="7">
        <v>51</v>
      </c>
      <c r="L55" s="7" t="e">
        <f t="shared" ca="1" si="10"/>
        <v>#N/A</v>
      </c>
      <c r="M55" s="7" t="e">
        <f t="shared" ca="1" si="11"/>
        <v>#N/A</v>
      </c>
      <c r="N55" s="7" t="e">
        <f t="shared" ca="1" si="13"/>
        <v>#N/A</v>
      </c>
      <c r="O55" s="7">
        <f t="shared" ref="O55:BX59" ca="1" si="33">+IFERROR(IF(MATCH(O$4,$N$4:$BZ$4,0)=MATCH($N55,$N$4:$N$68,0),1+IFERROR(1/2*INDEX($N$4:$BZ$68,MATCH($L55,$N$4:$N$68,0),MATCH($M55,$N$4:$BZ$4,0)),0),IF(MATCH(O$4,$N$4:$BZ$4,0)&lt;MATCH($N55,$N$4:$N$68,0),(INDEX($N$4:$BZ$68,MATCH($L55,$N$4:$N$68,0),MATCH(O$4,$N$4:$BZ$4,0))+INDEX($N$4:$BZ$68,MATCH($M55,$N$4:$N$68,0),MATCH(O$4,$N$4:$BZ$4,0)))*1/2,(INDEX($N$4:$BZ$68,MATCH($N55,$N$4:$N$68,0),MATCH(O$2,$N$4:$BZ$4,0))+INDEX($N$4:$BZ$68,MATCH($N55,$N$4:$N$68,0),MATCH(O$3,$N$4:$BZ$4,0)))*1/2)),0)</f>
        <v>0</v>
      </c>
      <c r="P55" s="7">
        <f t="shared" ca="1" si="33"/>
        <v>0</v>
      </c>
      <c r="Q55" s="7">
        <f t="shared" ca="1" si="33"/>
        <v>0</v>
      </c>
      <c r="R55" s="7">
        <f t="shared" ca="1" si="33"/>
        <v>0</v>
      </c>
      <c r="S55" s="7">
        <f t="shared" ca="1" si="33"/>
        <v>0</v>
      </c>
      <c r="T55" s="7">
        <f t="shared" ca="1" si="33"/>
        <v>0</v>
      </c>
      <c r="U55" s="7">
        <f t="shared" ca="1" si="33"/>
        <v>0</v>
      </c>
      <c r="V55" s="7">
        <f t="shared" ca="1" si="33"/>
        <v>0</v>
      </c>
      <c r="W55" s="7">
        <f t="shared" ca="1" si="33"/>
        <v>0</v>
      </c>
      <c r="X55" s="7">
        <f t="shared" ca="1" si="33"/>
        <v>0</v>
      </c>
      <c r="Y55" s="7">
        <f t="shared" ca="1" si="33"/>
        <v>0</v>
      </c>
      <c r="Z55" s="7">
        <f t="shared" ca="1" si="33"/>
        <v>0</v>
      </c>
      <c r="AA55" s="7">
        <f t="shared" ca="1" si="33"/>
        <v>0</v>
      </c>
      <c r="AB55" s="7">
        <f t="shared" ca="1" si="33"/>
        <v>0</v>
      </c>
      <c r="AC55" s="7">
        <f t="shared" ca="1" si="33"/>
        <v>0</v>
      </c>
      <c r="AD55" s="7">
        <f t="shared" ca="1" si="33"/>
        <v>0</v>
      </c>
      <c r="AE55" s="7">
        <f t="shared" ca="1" si="33"/>
        <v>0</v>
      </c>
      <c r="AF55" s="7">
        <f t="shared" ca="1" si="33"/>
        <v>0</v>
      </c>
      <c r="AG55" s="7">
        <f t="shared" ca="1" si="33"/>
        <v>0</v>
      </c>
      <c r="AH55" s="7">
        <f t="shared" ca="1" si="33"/>
        <v>0</v>
      </c>
      <c r="AI55" s="7">
        <f t="shared" ca="1" si="33"/>
        <v>0</v>
      </c>
      <c r="AJ55" s="7">
        <f t="shared" ca="1" si="33"/>
        <v>0</v>
      </c>
      <c r="AK55" s="7">
        <f t="shared" ca="1" si="33"/>
        <v>0</v>
      </c>
      <c r="AL55" s="7">
        <f t="shared" ca="1" si="33"/>
        <v>0</v>
      </c>
      <c r="AM55" s="7">
        <f t="shared" ca="1" si="33"/>
        <v>0</v>
      </c>
      <c r="AN55" s="7">
        <f t="shared" ca="1" si="33"/>
        <v>0</v>
      </c>
      <c r="AO55" s="7">
        <f t="shared" ca="1" si="33"/>
        <v>0</v>
      </c>
      <c r="AP55" s="7">
        <f t="shared" ca="1" si="33"/>
        <v>0</v>
      </c>
      <c r="AQ55" s="7">
        <f t="shared" ca="1" si="33"/>
        <v>0</v>
      </c>
      <c r="AR55" s="7">
        <f t="shared" ca="1" si="33"/>
        <v>0</v>
      </c>
      <c r="AS55" s="7">
        <f t="shared" ca="1" si="33"/>
        <v>0</v>
      </c>
      <c r="AT55" s="7">
        <f t="shared" ca="1" si="33"/>
        <v>0</v>
      </c>
      <c r="AU55" s="7">
        <f t="shared" ca="1" si="33"/>
        <v>0</v>
      </c>
      <c r="AV55" s="7">
        <f t="shared" ca="1" si="33"/>
        <v>0</v>
      </c>
      <c r="AW55" s="7">
        <f t="shared" ca="1" si="33"/>
        <v>0</v>
      </c>
      <c r="AX55" s="7">
        <f t="shared" ca="1" si="33"/>
        <v>0</v>
      </c>
      <c r="AY55" s="7">
        <f t="shared" ca="1" si="33"/>
        <v>0</v>
      </c>
      <c r="AZ55" s="7">
        <f t="shared" ca="1" si="33"/>
        <v>0</v>
      </c>
      <c r="BA55" s="7">
        <f t="shared" ca="1" si="33"/>
        <v>0</v>
      </c>
      <c r="BB55" s="7">
        <f t="shared" ca="1" si="33"/>
        <v>0</v>
      </c>
      <c r="BC55" s="7">
        <f t="shared" ca="1" si="33"/>
        <v>0</v>
      </c>
      <c r="BD55" s="7">
        <f t="shared" ca="1" si="33"/>
        <v>0</v>
      </c>
      <c r="BE55" s="7">
        <f t="shared" ca="1" si="33"/>
        <v>0</v>
      </c>
      <c r="BF55" s="7">
        <f t="shared" ca="1" si="33"/>
        <v>0</v>
      </c>
      <c r="BG55" s="7">
        <f t="shared" ca="1" si="33"/>
        <v>0</v>
      </c>
      <c r="BH55" s="7">
        <f t="shared" ca="1" si="33"/>
        <v>0</v>
      </c>
      <c r="BI55" s="7">
        <f t="shared" ca="1" si="33"/>
        <v>0</v>
      </c>
      <c r="BJ55" s="7">
        <f t="shared" ca="1" si="33"/>
        <v>0</v>
      </c>
      <c r="BK55" s="7">
        <f t="shared" ca="1" si="33"/>
        <v>0</v>
      </c>
      <c r="BL55" s="7">
        <f t="shared" ca="1" si="33"/>
        <v>0</v>
      </c>
      <c r="BM55" s="7">
        <f t="shared" ca="1" si="33"/>
        <v>0</v>
      </c>
      <c r="BN55" s="7">
        <f t="shared" ca="1" si="33"/>
        <v>0</v>
      </c>
      <c r="BO55" s="7">
        <f t="shared" ca="1" si="33"/>
        <v>0</v>
      </c>
      <c r="BP55" s="7">
        <f t="shared" ca="1" si="33"/>
        <v>0</v>
      </c>
      <c r="BQ55" s="7">
        <f t="shared" ca="1" si="33"/>
        <v>0</v>
      </c>
      <c r="BR55" s="7">
        <f t="shared" ca="1" si="33"/>
        <v>0</v>
      </c>
      <c r="BS55" s="7">
        <f t="shared" ca="1" si="33"/>
        <v>0</v>
      </c>
      <c r="BT55" s="7">
        <f t="shared" ca="1" si="33"/>
        <v>0</v>
      </c>
      <c r="BU55" s="7">
        <f t="shared" ca="1" si="33"/>
        <v>0</v>
      </c>
      <c r="BV55" s="7">
        <f t="shared" ca="1" si="33"/>
        <v>0</v>
      </c>
      <c r="BW55" s="7">
        <f t="shared" ca="1" si="33"/>
        <v>0</v>
      </c>
      <c r="BX55" s="7">
        <f t="shared" ca="1" si="33"/>
        <v>0</v>
      </c>
      <c r="BY55" s="7"/>
      <c r="BZ55" s="7"/>
    </row>
    <row r="56" spans="1:78" ht="15.75" customHeight="1">
      <c r="A56" s="7" t="str">
        <f t="shared" ca="1" si="2"/>
        <v/>
      </c>
      <c r="B56" s="18" t="e">
        <f t="shared" ca="1" si="3"/>
        <v>#N/A</v>
      </c>
      <c r="C56" s="8">
        <v>1</v>
      </c>
      <c r="D56" s="8">
        <v>26</v>
      </c>
      <c r="E56" s="7" t="e">
        <f t="shared" ca="1" si="9"/>
        <v>#N/A</v>
      </c>
      <c r="F56" s="7" t="e">
        <f ca="1">+VLOOKUP("*_"&amp;E56&amp;"_*",data!A:D,3,0)</f>
        <v>#N/A</v>
      </c>
      <c r="G56" s="7" t="e">
        <f ca="1">+VLOOKUP("*_"&amp;E56&amp;"_*",data!A:D,4,0)</f>
        <v>#N/A</v>
      </c>
      <c r="H56" s="7">
        <f ca="1">IFERROR(IF(VLOOKUP("*_"&amp;E56&amp;"_*",data!A:D,2,0)="",1,VLOOKUP("*_"&amp;E56&amp;"_*",data!A:D,2,0)),0)</f>
        <v>0</v>
      </c>
      <c r="I56" s="7">
        <f t="shared" ca="1" si="4"/>
        <v>53</v>
      </c>
      <c r="J56" s="7" t="str">
        <f t="shared" ca="1" si="5"/>
        <v/>
      </c>
      <c r="K56" s="7">
        <v>52</v>
      </c>
      <c r="L56" s="7" t="e">
        <f t="shared" ca="1" si="10"/>
        <v>#N/A</v>
      </c>
      <c r="M56" s="7" t="e">
        <f t="shared" ca="1" si="11"/>
        <v>#N/A</v>
      </c>
      <c r="N56" s="7" t="e">
        <f t="shared" ca="1" si="13"/>
        <v>#N/A</v>
      </c>
      <c r="O56" s="7">
        <f t="shared" ca="1" si="33"/>
        <v>0</v>
      </c>
      <c r="P56" s="7">
        <f t="shared" ca="1" si="33"/>
        <v>0</v>
      </c>
      <c r="Q56" s="7">
        <f t="shared" ca="1" si="33"/>
        <v>0</v>
      </c>
      <c r="R56" s="7">
        <f t="shared" ca="1" si="33"/>
        <v>0</v>
      </c>
      <c r="S56" s="7">
        <f t="shared" ca="1" si="33"/>
        <v>0</v>
      </c>
      <c r="T56" s="7">
        <f t="shared" ca="1" si="33"/>
        <v>0</v>
      </c>
      <c r="U56" s="7">
        <f t="shared" ca="1" si="33"/>
        <v>0</v>
      </c>
      <c r="V56" s="7">
        <f t="shared" ca="1" si="33"/>
        <v>0</v>
      </c>
      <c r="W56" s="7">
        <f t="shared" ca="1" si="33"/>
        <v>0</v>
      </c>
      <c r="X56" s="7">
        <f t="shared" ca="1" si="33"/>
        <v>0</v>
      </c>
      <c r="Y56" s="7">
        <f t="shared" ca="1" si="33"/>
        <v>0</v>
      </c>
      <c r="Z56" s="7">
        <f t="shared" ca="1" si="33"/>
        <v>0</v>
      </c>
      <c r="AA56" s="7">
        <f t="shared" ca="1" si="33"/>
        <v>0</v>
      </c>
      <c r="AB56" s="7">
        <f t="shared" ca="1" si="33"/>
        <v>0</v>
      </c>
      <c r="AC56" s="7">
        <f t="shared" ca="1" si="33"/>
        <v>0</v>
      </c>
      <c r="AD56" s="7">
        <f t="shared" ca="1" si="33"/>
        <v>0</v>
      </c>
      <c r="AE56" s="7">
        <f t="shared" ca="1" si="33"/>
        <v>0</v>
      </c>
      <c r="AF56" s="7">
        <f t="shared" ca="1" si="33"/>
        <v>0</v>
      </c>
      <c r="AG56" s="7">
        <f t="shared" ca="1" si="33"/>
        <v>0</v>
      </c>
      <c r="AH56" s="7">
        <f t="shared" ca="1" si="33"/>
        <v>0</v>
      </c>
      <c r="AI56" s="7">
        <f t="shared" ca="1" si="33"/>
        <v>0</v>
      </c>
      <c r="AJ56" s="7">
        <f t="shared" ca="1" si="33"/>
        <v>0</v>
      </c>
      <c r="AK56" s="7">
        <f t="shared" ca="1" si="33"/>
        <v>0</v>
      </c>
      <c r="AL56" s="7">
        <f t="shared" ca="1" si="33"/>
        <v>0</v>
      </c>
      <c r="AM56" s="7">
        <f t="shared" ca="1" si="33"/>
        <v>0</v>
      </c>
      <c r="AN56" s="7">
        <f t="shared" ca="1" si="33"/>
        <v>0</v>
      </c>
      <c r="AO56" s="7">
        <f t="shared" ca="1" si="33"/>
        <v>0</v>
      </c>
      <c r="AP56" s="7">
        <f t="shared" ca="1" si="33"/>
        <v>0</v>
      </c>
      <c r="AQ56" s="7">
        <f t="shared" ca="1" si="33"/>
        <v>0</v>
      </c>
      <c r="AR56" s="7">
        <f t="shared" ca="1" si="33"/>
        <v>0</v>
      </c>
      <c r="AS56" s="7">
        <f t="shared" ca="1" si="33"/>
        <v>0</v>
      </c>
      <c r="AT56" s="7">
        <f t="shared" ca="1" si="33"/>
        <v>0</v>
      </c>
      <c r="AU56" s="7">
        <f t="shared" ca="1" si="33"/>
        <v>0</v>
      </c>
      <c r="AV56" s="7">
        <f t="shared" ca="1" si="33"/>
        <v>0</v>
      </c>
      <c r="AW56" s="7">
        <f t="shared" ca="1" si="33"/>
        <v>0</v>
      </c>
      <c r="AX56" s="7">
        <f t="shared" ca="1" si="33"/>
        <v>0</v>
      </c>
      <c r="AY56" s="7">
        <f t="shared" ca="1" si="33"/>
        <v>0</v>
      </c>
      <c r="AZ56" s="7">
        <f t="shared" ca="1" si="33"/>
        <v>0</v>
      </c>
      <c r="BA56" s="7">
        <f t="shared" ca="1" si="33"/>
        <v>0</v>
      </c>
      <c r="BB56" s="7">
        <f t="shared" ca="1" si="33"/>
        <v>0</v>
      </c>
      <c r="BC56" s="7">
        <f t="shared" ca="1" si="33"/>
        <v>0</v>
      </c>
      <c r="BD56" s="7">
        <f t="shared" ca="1" si="33"/>
        <v>0</v>
      </c>
      <c r="BE56" s="7">
        <f t="shared" ca="1" si="33"/>
        <v>0</v>
      </c>
      <c r="BF56" s="7">
        <f t="shared" ca="1" si="33"/>
        <v>0</v>
      </c>
      <c r="BG56" s="7">
        <f t="shared" ca="1" si="33"/>
        <v>0</v>
      </c>
      <c r="BH56" s="7">
        <f t="shared" ca="1" si="33"/>
        <v>0</v>
      </c>
      <c r="BI56" s="7">
        <f t="shared" ca="1" si="33"/>
        <v>0</v>
      </c>
      <c r="BJ56" s="7">
        <f t="shared" ca="1" si="33"/>
        <v>0</v>
      </c>
      <c r="BK56" s="7">
        <f t="shared" ca="1" si="33"/>
        <v>0</v>
      </c>
      <c r="BL56" s="7">
        <f t="shared" ca="1" si="33"/>
        <v>0</v>
      </c>
      <c r="BM56" s="7">
        <f t="shared" ca="1" si="33"/>
        <v>0</v>
      </c>
      <c r="BN56" s="7">
        <f t="shared" ca="1" si="33"/>
        <v>0</v>
      </c>
      <c r="BO56" s="7">
        <f t="shared" ca="1" si="33"/>
        <v>0</v>
      </c>
      <c r="BP56" s="7">
        <f t="shared" ca="1" si="33"/>
        <v>0</v>
      </c>
      <c r="BQ56" s="7">
        <f t="shared" ca="1" si="33"/>
        <v>0</v>
      </c>
      <c r="BR56" s="7">
        <f t="shared" ca="1" si="33"/>
        <v>0</v>
      </c>
      <c r="BS56" s="7">
        <f t="shared" ca="1" si="33"/>
        <v>0</v>
      </c>
      <c r="BT56" s="7">
        <f t="shared" ca="1" si="33"/>
        <v>0</v>
      </c>
      <c r="BU56" s="7">
        <f t="shared" ca="1" si="33"/>
        <v>0</v>
      </c>
      <c r="BV56" s="7">
        <f t="shared" ca="1" si="33"/>
        <v>0</v>
      </c>
      <c r="BW56" s="7">
        <f t="shared" ca="1" si="33"/>
        <v>0</v>
      </c>
      <c r="BX56" s="7">
        <f t="shared" ca="1" si="33"/>
        <v>0</v>
      </c>
      <c r="BY56" s="7"/>
      <c r="BZ56" s="7"/>
    </row>
    <row r="57" spans="1:78" ht="15.75" customHeight="1">
      <c r="A57" s="7" t="str">
        <f t="shared" ca="1" si="2"/>
        <v/>
      </c>
      <c r="B57" s="18" t="e">
        <f t="shared" ca="1" si="3"/>
        <v>#N/A</v>
      </c>
      <c r="C57" s="8">
        <v>0</v>
      </c>
      <c r="D57" s="8">
        <v>27</v>
      </c>
      <c r="E57" s="7" t="e">
        <f t="shared" ca="1" si="9"/>
        <v>#N/A</v>
      </c>
      <c r="F57" s="7" t="e">
        <f ca="1">+VLOOKUP("*_"&amp;E57&amp;"_*",data!A:D,3,0)</f>
        <v>#N/A</v>
      </c>
      <c r="G57" s="7" t="e">
        <f ca="1">+VLOOKUP("*_"&amp;E57&amp;"_*",data!A:D,4,0)</f>
        <v>#N/A</v>
      </c>
      <c r="H57" s="7">
        <f ca="1">IFERROR(IF(VLOOKUP("*_"&amp;E57&amp;"_*",data!A:D,2,0)="",1,VLOOKUP("*_"&amp;E57&amp;"_*",data!A:D,2,0)),0)</f>
        <v>0</v>
      </c>
      <c r="I57" s="7">
        <f t="shared" ca="1" si="4"/>
        <v>54</v>
      </c>
      <c r="J57" s="7" t="str">
        <f t="shared" ca="1" si="5"/>
        <v/>
      </c>
      <c r="K57" s="7">
        <v>53</v>
      </c>
      <c r="L57" s="7" t="e">
        <f t="shared" ca="1" si="10"/>
        <v>#N/A</v>
      </c>
      <c r="M57" s="7" t="e">
        <f t="shared" ca="1" si="11"/>
        <v>#N/A</v>
      </c>
      <c r="N57" s="7" t="e">
        <f t="shared" ca="1" si="13"/>
        <v>#N/A</v>
      </c>
      <c r="O57" s="7">
        <f t="shared" ca="1" si="33"/>
        <v>0</v>
      </c>
      <c r="P57" s="7">
        <f t="shared" ca="1" si="33"/>
        <v>0</v>
      </c>
      <c r="Q57" s="7">
        <f t="shared" ca="1" si="33"/>
        <v>0</v>
      </c>
      <c r="R57" s="7">
        <f t="shared" ca="1" si="33"/>
        <v>0</v>
      </c>
      <c r="S57" s="7">
        <f t="shared" ca="1" si="33"/>
        <v>0</v>
      </c>
      <c r="T57" s="7">
        <f t="shared" ca="1" si="33"/>
        <v>0</v>
      </c>
      <c r="U57" s="7">
        <f t="shared" ca="1" si="33"/>
        <v>0</v>
      </c>
      <c r="V57" s="7">
        <f t="shared" ca="1" si="33"/>
        <v>0</v>
      </c>
      <c r="W57" s="7">
        <f t="shared" ca="1" si="33"/>
        <v>0</v>
      </c>
      <c r="X57" s="7">
        <f t="shared" ca="1" si="33"/>
        <v>0</v>
      </c>
      <c r="Y57" s="7">
        <f t="shared" ca="1" si="33"/>
        <v>0</v>
      </c>
      <c r="Z57" s="7">
        <f t="shared" ca="1" si="33"/>
        <v>0</v>
      </c>
      <c r="AA57" s="7">
        <f t="shared" ca="1" si="33"/>
        <v>0</v>
      </c>
      <c r="AB57" s="7">
        <f t="shared" ca="1" si="33"/>
        <v>0</v>
      </c>
      <c r="AC57" s="7">
        <f t="shared" ca="1" si="33"/>
        <v>0</v>
      </c>
      <c r="AD57" s="7">
        <f t="shared" ca="1" si="33"/>
        <v>0</v>
      </c>
      <c r="AE57" s="7">
        <f t="shared" ca="1" si="33"/>
        <v>0</v>
      </c>
      <c r="AF57" s="7">
        <f t="shared" ca="1" si="33"/>
        <v>0</v>
      </c>
      <c r="AG57" s="7">
        <f t="shared" ca="1" si="33"/>
        <v>0</v>
      </c>
      <c r="AH57" s="7">
        <f t="shared" ca="1" si="33"/>
        <v>0</v>
      </c>
      <c r="AI57" s="7">
        <f t="shared" ca="1" si="33"/>
        <v>0</v>
      </c>
      <c r="AJ57" s="7">
        <f t="shared" ca="1" si="33"/>
        <v>0</v>
      </c>
      <c r="AK57" s="7">
        <f t="shared" ca="1" si="33"/>
        <v>0</v>
      </c>
      <c r="AL57" s="7">
        <f t="shared" ca="1" si="33"/>
        <v>0</v>
      </c>
      <c r="AM57" s="7">
        <f t="shared" ca="1" si="33"/>
        <v>0</v>
      </c>
      <c r="AN57" s="7">
        <f t="shared" ca="1" si="33"/>
        <v>0</v>
      </c>
      <c r="AO57" s="7">
        <f t="shared" ca="1" si="33"/>
        <v>0</v>
      </c>
      <c r="AP57" s="7">
        <f t="shared" ca="1" si="33"/>
        <v>0</v>
      </c>
      <c r="AQ57" s="7">
        <f t="shared" ca="1" si="33"/>
        <v>0</v>
      </c>
      <c r="AR57" s="7">
        <f t="shared" ca="1" si="33"/>
        <v>0</v>
      </c>
      <c r="AS57" s="7">
        <f t="shared" ca="1" si="33"/>
        <v>0</v>
      </c>
      <c r="AT57" s="7">
        <f t="shared" ca="1" si="33"/>
        <v>0</v>
      </c>
      <c r="AU57" s="7">
        <f t="shared" ca="1" si="33"/>
        <v>0</v>
      </c>
      <c r="AV57" s="7">
        <f t="shared" ca="1" si="33"/>
        <v>0</v>
      </c>
      <c r="AW57" s="7">
        <f t="shared" ca="1" si="33"/>
        <v>0</v>
      </c>
      <c r="AX57" s="7">
        <f t="shared" ca="1" si="33"/>
        <v>0</v>
      </c>
      <c r="AY57" s="7">
        <f t="shared" ca="1" si="33"/>
        <v>0</v>
      </c>
      <c r="AZ57" s="7">
        <f t="shared" ca="1" si="33"/>
        <v>0</v>
      </c>
      <c r="BA57" s="7">
        <f t="shared" ca="1" si="33"/>
        <v>0</v>
      </c>
      <c r="BB57" s="7">
        <f t="shared" ca="1" si="33"/>
        <v>0</v>
      </c>
      <c r="BC57" s="7">
        <f t="shared" ca="1" si="33"/>
        <v>0</v>
      </c>
      <c r="BD57" s="7">
        <f t="shared" ca="1" si="33"/>
        <v>0</v>
      </c>
      <c r="BE57" s="7">
        <f t="shared" ca="1" si="33"/>
        <v>0</v>
      </c>
      <c r="BF57" s="7">
        <f t="shared" ca="1" si="33"/>
        <v>0</v>
      </c>
      <c r="BG57" s="7">
        <f t="shared" ca="1" si="33"/>
        <v>0</v>
      </c>
      <c r="BH57" s="7">
        <f t="shared" ca="1" si="33"/>
        <v>0</v>
      </c>
      <c r="BI57" s="7">
        <f t="shared" ca="1" si="33"/>
        <v>0</v>
      </c>
      <c r="BJ57" s="7">
        <f t="shared" ca="1" si="33"/>
        <v>0</v>
      </c>
      <c r="BK57" s="7">
        <f t="shared" ca="1" si="33"/>
        <v>0</v>
      </c>
      <c r="BL57" s="7">
        <f t="shared" ca="1" si="33"/>
        <v>0</v>
      </c>
      <c r="BM57" s="7">
        <f t="shared" ca="1" si="33"/>
        <v>0</v>
      </c>
      <c r="BN57" s="7">
        <f t="shared" ca="1" si="33"/>
        <v>0</v>
      </c>
      <c r="BO57" s="7">
        <f t="shared" ca="1" si="33"/>
        <v>0</v>
      </c>
      <c r="BP57" s="7">
        <f t="shared" ca="1" si="33"/>
        <v>0</v>
      </c>
      <c r="BQ57" s="7">
        <f t="shared" ca="1" si="33"/>
        <v>0</v>
      </c>
      <c r="BR57" s="7">
        <f t="shared" ca="1" si="33"/>
        <v>0</v>
      </c>
      <c r="BS57" s="7">
        <f t="shared" ca="1" si="33"/>
        <v>0</v>
      </c>
      <c r="BT57" s="7">
        <f t="shared" ca="1" si="33"/>
        <v>0</v>
      </c>
      <c r="BU57" s="7">
        <f t="shared" ca="1" si="33"/>
        <v>0</v>
      </c>
      <c r="BV57" s="7">
        <f t="shared" ca="1" si="33"/>
        <v>0</v>
      </c>
      <c r="BW57" s="7">
        <f t="shared" ca="1" si="33"/>
        <v>0</v>
      </c>
      <c r="BX57" s="7">
        <f t="shared" ca="1" si="33"/>
        <v>0</v>
      </c>
      <c r="BY57" s="7"/>
      <c r="BZ57" s="7"/>
    </row>
    <row r="58" spans="1:78" ht="15.75" customHeight="1">
      <c r="A58" s="7" t="str">
        <f t="shared" ca="1" si="2"/>
        <v/>
      </c>
      <c r="B58" s="18" t="e">
        <f t="shared" ca="1" si="3"/>
        <v>#N/A</v>
      </c>
      <c r="C58" s="8">
        <v>1</v>
      </c>
      <c r="D58" s="8">
        <v>27</v>
      </c>
      <c r="E58" s="7" t="e">
        <f t="shared" ca="1" si="9"/>
        <v>#N/A</v>
      </c>
      <c r="F58" s="7" t="e">
        <f ca="1">+VLOOKUP("*_"&amp;E58&amp;"_*",data!A:D,3,0)</f>
        <v>#N/A</v>
      </c>
      <c r="G58" s="7" t="e">
        <f ca="1">+VLOOKUP("*_"&amp;E58&amp;"_*",data!A:D,4,0)</f>
        <v>#N/A</v>
      </c>
      <c r="H58" s="7">
        <f ca="1">IFERROR(IF(VLOOKUP("*_"&amp;E58&amp;"_*",data!A:D,2,0)="",1,VLOOKUP("*_"&amp;E58&amp;"_*",data!A:D,2,0)),0)</f>
        <v>0</v>
      </c>
      <c r="I58" s="7">
        <f t="shared" ca="1" si="4"/>
        <v>55</v>
      </c>
      <c r="J58" s="7" t="str">
        <f t="shared" ca="1" si="5"/>
        <v/>
      </c>
      <c r="K58" s="7">
        <v>54</v>
      </c>
      <c r="L58" s="7" t="e">
        <f t="shared" ca="1" si="10"/>
        <v>#N/A</v>
      </c>
      <c r="M58" s="7" t="e">
        <f t="shared" ca="1" si="11"/>
        <v>#N/A</v>
      </c>
      <c r="N58" s="7" t="e">
        <f t="shared" ca="1" si="13"/>
        <v>#N/A</v>
      </c>
      <c r="O58" s="7">
        <f t="shared" ca="1" si="33"/>
        <v>0</v>
      </c>
      <c r="P58" s="7">
        <f t="shared" ca="1" si="33"/>
        <v>0</v>
      </c>
      <c r="Q58" s="7">
        <f t="shared" ca="1" si="33"/>
        <v>0</v>
      </c>
      <c r="R58" s="7">
        <f t="shared" ca="1" si="33"/>
        <v>0</v>
      </c>
      <c r="S58" s="7">
        <f t="shared" ca="1" si="33"/>
        <v>0</v>
      </c>
      <c r="T58" s="7">
        <f t="shared" ca="1" si="33"/>
        <v>0</v>
      </c>
      <c r="U58" s="7">
        <f t="shared" ca="1" si="33"/>
        <v>0</v>
      </c>
      <c r="V58" s="7">
        <f t="shared" ca="1" si="33"/>
        <v>0</v>
      </c>
      <c r="W58" s="7">
        <f t="shared" ca="1" si="33"/>
        <v>0</v>
      </c>
      <c r="X58" s="7">
        <f t="shared" ca="1" si="33"/>
        <v>0</v>
      </c>
      <c r="Y58" s="7">
        <f t="shared" ca="1" si="33"/>
        <v>0</v>
      </c>
      <c r="Z58" s="7">
        <f t="shared" ca="1" si="33"/>
        <v>0</v>
      </c>
      <c r="AA58" s="7">
        <f t="shared" ca="1" si="33"/>
        <v>0</v>
      </c>
      <c r="AB58" s="7">
        <f t="shared" ca="1" si="33"/>
        <v>0</v>
      </c>
      <c r="AC58" s="7">
        <f t="shared" ca="1" si="33"/>
        <v>0</v>
      </c>
      <c r="AD58" s="7">
        <f t="shared" ca="1" si="33"/>
        <v>0</v>
      </c>
      <c r="AE58" s="7">
        <f t="shared" ca="1" si="33"/>
        <v>0</v>
      </c>
      <c r="AF58" s="7">
        <f t="shared" ca="1" si="33"/>
        <v>0</v>
      </c>
      <c r="AG58" s="7">
        <f t="shared" ca="1" si="33"/>
        <v>0</v>
      </c>
      <c r="AH58" s="7">
        <f t="shared" ca="1" si="33"/>
        <v>0</v>
      </c>
      <c r="AI58" s="7">
        <f t="shared" ca="1" si="33"/>
        <v>0</v>
      </c>
      <c r="AJ58" s="7">
        <f t="shared" ca="1" si="33"/>
        <v>0</v>
      </c>
      <c r="AK58" s="7">
        <f t="shared" ca="1" si="33"/>
        <v>0</v>
      </c>
      <c r="AL58" s="7">
        <f t="shared" ca="1" si="33"/>
        <v>0</v>
      </c>
      <c r="AM58" s="7">
        <f t="shared" ca="1" si="33"/>
        <v>0</v>
      </c>
      <c r="AN58" s="7">
        <f t="shared" ca="1" si="33"/>
        <v>0</v>
      </c>
      <c r="AO58" s="7">
        <f t="shared" ca="1" si="33"/>
        <v>0</v>
      </c>
      <c r="AP58" s="7">
        <f t="shared" ca="1" si="33"/>
        <v>0</v>
      </c>
      <c r="AQ58" s="7">
        <f t="shared" ca="1" si="33"/>
        <v>0</v>
      </c>
      <c r="AR58" s="7">
        <f t="shared" ca="1" si="33"/>
        <v>0</v>
      </c>
      <c r="AS58" s="7">
        <f t="shared" ca="1" si="33"/>
        <v>0</v>
      </c>
      <c r="AT58" s="7">
        <f t="shared" ca="1" si="33"/>
        <v>0</v>
      </c>
      <c r="AU58" s="7">
        <f t="shared" ca="1" si="33"/>
        <v>0</v>
      </c>
      <c r="AV58" s="7">
        <f t="shared" ca="1" si="33"/>
        <v>0</v>
      </c>
      <c r="AW58" s="7">
        <f t="shared" ca="1" si="33"/>
        <v>0</v>
      </c>
      <c r="AX58" s="7">
        <f t="shared" ca="1" si="33"/>
        <v>0</v>
      </c>
      <c r="AY58" s="7">
        <f t="shared" ca="1" si="33"/>
        <v>0</v>
      </c>
      <c r="AZ58" s="7">
        <f t="shared" ca="1" si="33"/>
        <v>0</v>
      </c>
      <c r="BA58" s="7">
        <f t="shared" ca="1" si="33"/>
        <v>0</v>
      </c>
      <c r="BB58" s="7">
        <f t="shared" ca="1" si="33"/>
        <v>0</v>
      </c>
      <c r="BC58" s="7">
        <f t="shared" ca="1" si="33"/>
        <v>0</v>
      </c>
      <c r="BD58" s="7">
        <f t="shared" ca="1" si="33"/>
        <v>0</v>
      </c>
      <c r="BE58" s="7">
        <f t="shared" ca="1" si="33"/>
        <v>0</v>
      </c>
      <c r="BF58" s="7">
        <f t="shared" ca="1" si="33"/>
        <v>0</v>
      </c>
      <c r="BG58" s="7">
        <f t="shared" ca="1" si="33"/>
        <v>0</v>
      </c>
      <c r="BH58" s="7">
        <f t="shared" ca="1" si="33"/>
        <v>0</v>
      </c>
      <c r="BI58" s="7">
        <f t="shared" ca="1" si="33"/>
        <v>0</v>
      </c>
      <c r="BJ58" s="7">
        <f t="shared" ca="1" si="33"/>
        <v>0</v>
      </c>
      <c r="BK58" s="7">
        <f t="shared" ca="1" si="33"/>
        <v>0</v>
      </c>
      <c r="BL58" s="7">
        <f t="shared" ca="1" si="33"/>
        <v>0</v>
      </c>
      <c r="BM58" s="7">
        <f t="shared" ca="1" si="33"/>
        <v>0</v>
      </c>
      <c r="BN58" s="7">
        <f t="shared" ca="1" si="33"/>
        <v>0</v>
      </c>
      <c r="BO58" s="7">
        <f t="shared" ca="1" si="33"/>
        <v>0</v>
      </c>
      <c r="BP58" s="7">
        <f t="shared" ca="1" si="33"/>
        <v>0</v>
      </c>
      <c r="BQ58" s="7">
        <f t="shared" ca="1" si="33"/>
        <v>0</v>
      </c>
      <c r="BR58" s="7">
        <f t="shared" ca="1" si="33"/>
        <v>0</v>
      </c>
      <c r="BS58" s="7">
        <f t="shared" ca="1" si="33"/>
        <v>0</v>
      </c>
      <c r="BT58" s="7">
        <f t="shared" ca="1" si="33"/>
        <v>0</v>
      </c>
      <c r="BU58" s="7">
        <f t="shared" ca="1" si="33"/>
        <v>0</v>
      </c>
      <c r="BV58" s="7">
        <f t="shared" ca="1" si="33"/>
        <v>0</v>
      </c>
      <c r="BW58" s="7">
        <f t="shared" ca="1" si="33"/>
        <v>0</v>
      </c>
      <c r="BX58" s="7">
        <f t="shared" ca="1" si="33"/>
        <v>0</v>
      </c>
      <c r="BY58" s="7"/>
      <c r="BZ58" s="7"/>
    </row>
    <row r="59" spans="1:78" ht="15.75" customHeight="1">
      <c r="A59" s="7" t="str">
        <f t="shared" ca="1" si="2"/>
        <v/>
      </c>
      <c r="B59" s="18" t="e">
        <f t="shared" ca="1" si="3"/>
        <v>#N/A</v>
      </c>
      <c r="C59" s="8">
        <v>0</v>
      </c>
      <c r="D59" s="8">
        <v>28</v>
      </c>
      <c r="E59" s="7" t="e">
        <f t="shared" ca="1" si="9"/>
        <v>#N/A</v>
      </c>
      <c r="F59" s="7" t="e">
        <f ca="1">+VLOOKUP("*_"&amp;E59&amp;"_*",data!A:D,3,0)</f>
        <v>#N/A</v>
      </c>
      <c r="G59" s="7" t="e">
        <f ca="1">+VLOOKUP("*_"&amp;E59&amp;"_*",data!A:D,4,0)</f>
        <v>#N/A</v>
      </c>
      <c r="H59" s="7">
        <f ca="1">IFERROR(IF(VLOOKUP("*_"&amp;E59&amp;"_*",data!A:D,2,0)="",1,VLOOKUP("*_"&amp;E59&amp;"_*",data!A:D,2,0)),0)</f>
        <v>0</v>
      </c>
      <c r="I59" s="7">
        <f t="shared" ca="1" si="4"/>
        <v>56</v>
      </c>
      <c r="J59" s="7" t="str">
        <f t="shared" ca="1" si="5"/>
        <v/>
      </c>
      <c r="K59" s="7">
        <v>55</v>
      </c>
      <c r="L59" s="7" t="e">
        <f t="shared" ca="1" si="10"/>
        <v>#N/A</v>
      </c>
      <c r="M59" s="7" t="e">
        <f t="shared" ca="1" si="11"/>
        <v>#N/A</v>
      </c>
      <c r="N59" s="7" t="e">
        <f t="shared" ca="1" si="13"/>
        <v>#N/A</v>
      </c>
      <c r="O59" s="7">
        <f t="shared" ca="1" si="33"/>
        <v>0</v>
      </c>
      <c r="P59" s="7">
        <f t="shared" ca="1" si="33"/>
        <v>0</v>
      </c>
      <c r="Q59" s="7">
        <f t="shared" ca="1" si="33"/>
        <v>0</v>
      </c>
      <c r="R59" s="7">
        <f t="shared" ca="1" si="33"/>
        <v>0</v>
      </c>
      <c r="S59" s="7">
        <f t="shared" ca="1" si="33"/>
        <v>0</v>
      </c>
      <c r="T59" s="7">
        <f t="shared" ca="1" si="33"/>
        <v>0</v>
      </c>
      <c r="U59" s="7">
        <f t="shared" ca="1" si="33"/>
        <v>0</v>
      </c>
      <c r="V59" s="7">
        <f t="shared" ref="V59:BX59" ca="1" si="34">+IFERROR(IF(MATCH(V$4,$N$4:$BZ$4,0)=MATCH($N59,$N$4:$N$68,0),1+IFERROR(1/2*INDEX($N$4:$BZ$68,MATCH($L59,$N$4:$N$68,0),MATCH($M59,$N$4:$BZ$4,0)),0),IF(MATCH(V$4,$N$4:$BZ$4,0)&lt;MATCH($N59,$N$4:$N$68,0),(INDEX($N$4:$BZ$68,MATCH($L59,$N$4:$N$68,0),MATCH(V$4,$N$4:$BZ$4,0))+INDEX($N$4:$BZ$68,MATCH($M59,$N$4:$N$68,0),MATCH(V$4,$N$4:$BZ$4,0)))*1/2,(INDEX($N$4:$BZ$68,MATCH($N59,$N$4:$N$68,0),MATCH(V$2,$N$4:$BZ$4,0))+INDEX($N$4:$BZ$68,MATCH($N59,$N$4:$N$68,0),MATCH(V$3,$N$4:$BZ$4,0)))*1/2)),0)</f>
        <v>0</v>
      </c>
      <c r="W59" s="7">
        <f t="shared" ca="1" si="34"/>
        <v>0</v>
      </c>
      <c r="X59" s="7">
        <f t="shared" ca="1" si="34"/>
        <v>0</v>
      </c>
      <c r="Y59" s="7">
        <f t="shared" ca="1" si="34"/>
        <v>0</v>
      </c>
      <c r="Z59" s="7">
        <f t="shared" ca="1" si="34"/>
        <v>0</v>
      </c>
      <c r="AA59" s="7">
        <f t="shared" ca="1" si="34"/>
        <v>0</v>
      </c>
      <c r="AB59" s="7">
        <f t="shared" ca="1" si="34"/>
        <v>0</v>
      </c>
      <c r="AC59" s="7">
        <f t="shared" ca="1" si="34"/>
        <v>0</v>
      </c>
      <c r="AD59" s="7">
        <f t="shared" ca="1" si="34"/>
        <v>0</v>
      </c>
      <c r="AE59" s="7">
        <f t="shared" ca="1" si="34"/>
        <v>0</v>
      </c>
      <c r="AF59" s="7">
        <f t="shared" ca="1" si="34"/>
        <v>0</v>
      </c>
      <c r="AG59" s="7">
        <f t="shared" ca="1" si="34"/>
        <v>0</v>
      </c>
      <c r="AH59" s="7">
        <f t="shared" ca="1" si="34"/>
        <v>0</v>
      </c>
      <c r="AI59" s="7">
        <f t="shared" ca="1" si="34"/>
        <v>0</v>
      </c>
      <c r="AJ59" s="7">
        <f t="shared" ca="1" si="34"/>
        <v>0</v>
      </c>
      <c r="AK59" s="7">
        <f t="shared" ca="1" si="34"/>
        <v>0</v>
      </c>
      <c r="AL59" s="7">
        <f t="shared" ca="1" si="34"/>
        <v>0</v>
      </c>
      <c r="AM59" s="7">
        <f t="shared" ca="1" si="34"/>
        <v>0</v>
      </c>
      <c r="AN59" s="7">
        <f t="shared" ca="1" si="34"/>
        <v>0</v>
      </c>
      <c r="AO59" s="7">
        <f t="shared" ca="1" si="34"/>
        <v>0</v>
      </c>
      <c r="AP59" s="7">
        <f t="shared" ca="1" si="34"/>
        <v>0</v>
      </c>
      <c r="AQ59" s="7">
        <f t="shared" ca="1" si="34"/>
        <v>0</v>
      </c>
      <c r="AR59" s="7">
        <f t="shared" ca="1" si="34"/>
        <v>0</v>
      </c>
      <c r="AS59" s="7">
        <f t="shared" ca="1" si="34"/>
        <v>0</v>
      </c>
      <c r="AT59" s="7">
        <f t="shared" ca="1" si="34"/>
        <v>0</v>
      </c>
      <c r="AU59" s="7">
        <f t="shared" ca="1" si="34"/>
        <v>0</v>
      </c>
      <c r="AV59" s="7">
        <f t="shared" ca="1" si="34"/>
        <v>0</v>
      </c>
      <c r="AW59" s="7">
        <f t="shared" ca="1" si="34"/>
        <v>0</v>
      </c>
      <c r="AX59" s="7">
        <f t="shared" ca="1" si="34"/>
        <v>0</v>
      </c>
      <c r="AY59" s="7">
        <f t="shared" ca="1" si="34"/>
        <v>0</v>
      </c>
      <c r="AZ59" s="7">
        <f t="shared" ca="1" si="34"/>
        <v>0</v>
      </c>
      <c r="BA59" s="7">
        <f t="shared" ca="1" si="34"/>
        <v>0</v>
      </c>
      <c r="BB59" s="7">
        <f t="shared" ca="1" si="34"/>
        <v>0</v>
      </c>
      <c r="BC59" s="7">
        <f t="shared" ca="1" si="34"/>
        <v>0</v>
      </c>
      <c r="BD59" s="7">
        <f t="shared" ca="1" si="34"/>
        <v>0</v>
      </c>
      <c r="BE59" s="7">
        <f t="shared" ca="1" si="34"/>
        <v>0</v>
      </c>
      <c r="BF59" s="7">
        <f t="shared" ca="1" si="34"/>
        <v>0</v>
      </c>
      <c r="BG59" s="7">
        <f t="shared" ca="1" si="34"/>
        <v>0</v>
      </c>
      <c r="BH59" s="7">
        <f t="shared" ca="1" si="34"/>
        <v>0</v>
      </c>
      <c r="BI59" s="7">
        <f t="shared" ca="1" si="34"/>
        <v>0</v>
      </c>
      <c r="BJ59" s="7">
        <f t="shared" ca="1" si="34"/>
        <v>0</v>
      </c>
      <c r="BK59" s="7">
        <f t="shared" ca="1" si="34"/>
        <v>0</v>
      </c>
      <c r="BL59" s="7">
        <f t="shared" ca="1" si="34"/>
        <v>0</v>
      </c>
      <c r="BM59" s="7">
        <f t="shared" ca="1" si="34"/>
        <v>0</v>
      </c>
      <c r="BN59" s="7">
        <f t="shared" ca="1" si="34"/>
        <v>0</v>
      </c>
      <c r="BO59" s="7">
        <f t="shared" ca="1" si="34"/>
        <v>0</v>
      </c>
      <c r="BP59" s="7">
        <f t="shared" ca="1" si="34"/>
        <v>0</v>
      </c>
      <c r="BQ59" s="7">
        <f t="shared" ca="1" si="34"/>
        <v>0</v>
      </c>
      <c r="BR59" s="7">
        <f t="shared" ca="1" si="34"/>
        <v>0</v>
      </c>
      <c r="BS59" s="7">
        <f t="shared" ca="1" si="34"/>
        <v>0</v>
      </c>
      <c r="BT59" s="7">
        <f t="shared" ca="1" si="34"/>
        <v>0</v>
      </c>
      <c r="BU59" s="7">
        <f t="shared" ca="1" si="34"/>
        <v>0</v>
      </c>
      <c r="BV59" s="7">
        <f t="shared" ca="1" si="34"/>
        <v>0</v>
      </c>
      <c r="BW59" s="7">
        <f t="shared" ca="1" si="34"/>
        <v>0</v>
      </c>
      <c r="BX59" s="7">
        <f t="shared" ca="1" si="34"/>
        <v>0</v>
      </c>
      <c r="BY59" s="7"/>
      <c r="BZ59" s="7"/>
    </row>
    <row r="60" spans="1:78" ht="15.75" customHeight="1">
      <c r="A60" s="7" t="str">
        <f t="shared" ca="1" si="2"/>
        <v/>
      </c>
      <c r="B60" s="18" t="e">
        <f t="shared" ca="1" si="3"/>
        <v>#N/A</v>
      </c>
      <c r="C60" s="8">
        <v>1</v>
      </c>
      <c r="D60" s="8">
        <v>28</v>
      </c>
      <c r="E60" s="7" t="e">
        <f t="shared" ca="1" si="9"/>
        <v>#N/A</v>
      </c>
      <c r="F60" s="7" t="e">
        <f ca="1">+VLOOKUP("*_"&amp;E60&amp;"_*",data!A:D,3,0)</f>
        <v>#N/A</v>
      </c>
      <c r="G60" s="7" t="e">
        <f ca="1">+VLOOKUP("*_"&amp;E60&amp;"_*",data!A:D,4,0)</f>
        <v>#N/A</v>
      </c>
      <c r="H60" s="7">
        <f ca="1">IFERROR(IF(VLOOKUP("*_"&amp;E60&amp;"_*",data!A:D,2,0)="",1,VLOOKUP("*_"&amp;E60&amp;"_*",data!A:D,2,0)),0)</f>
        <v>0</v>
      </c>
      <c r="I60" s="7">
        <f t="shared" ca="1" si="4"/>
        <v>57</v>
      </c>
      <c r="J60" s="7" t="str">
        <f t="shared" ca="1" si="5"/>
        <v/>
      </c>
      <c r="K60" s="7">
        <v>56</v>
      </c>
      <c r="L60" s="7" t="e">
        <f t="shared" ca="1" si="10"/>
        <v>#N/A</v>
      </c>
      <c r="M60" s="7" t="e">
        <f t="shared" ca="1" si="11"/>
        <v>#N/A</v>
      </c>
      <c r="N60" s="7" t="e">
        <f t="shared" ca="1" si="13"/>
        <v>#N/A</v>
      </c>
      <c r="O60" s="7">
        <f t="shared" ref="O60:BX64" ca="1" si="35">+IFERROR(IF(MATCH(O$4,$N$4:$BZ$4,0)=MATCH($N60,$N$4:$N$68,0),1+IFERROR(1/2*INDEX($N$4:$BZ$68,MATCH($L60,$N$4:$N$68,0),MATCH($M60,$N$4:$BZ$4,0)),0),IF(MATCH(O$4,$N$4:$BZ$4,0)&lt;MATCH($N60,$N$4:$N$68,0),(INDEX($N$4:$BZ$68,MATCH($L60,$N$4:$N$68,0),MATCH(O$4,$N$4:$BZ$4,0))+INDEX($N$4:$BZ$68,MATCH($M60,$N$4:$N$68,0),MATCH(O$4,$N$4:$BZ$4,0)))*1/2,(INDEX($N$4:$BZ$68,MATCH($N60,$N$4:$N$68,0),MATCH(O$2,$N$4:$BZ$4,0))+INDEX($N$4:$BZ$68,MATCH($N60,$N$4:$N$68,0),MATCH(O$3,$N$4:$BZ$4,0)))*1/2)),0)</f>
        <v>0</v>
      </c>
      <c r="P60" s="7">
        <f t="shared" ca="1" si="35"/>
        <v>0</v>
      </c>
      <c r="Q60" s="7">
        <f t="shared" ca="1" si="35"/>
        <v>0</v>
      </c>
      <c r="R60" s="7">
        <f t="shared" ca="1" si="35"/>
        <v>0</v>
      </c>
      <c r="S60" s="7">
        <f t="shared" ca="1" si="35"/>
        <v>0</v>
      </c>
      <c r="T60" s="7">
        <f t="shared" ca="1" si="35"/>
        <v>0</v>
      </c>
      <c r="U60" s="7">
        <f t="shared" ca="1" si="35"/>
        <v>0</v>
      </c>
      <c r="V60" s="7">
        <f t="shared" ca="1" si="35"/>
        <v>0</v>
      </c>
      <c r="W60" s="7">
        <f t="shared" ca="1" si="35"/>
        <v>0</v>
      </c>
      <c r="X60" s="7">
        <f t="shared" ca="1" si="35"/>
        <v>0</v>
      </c>
      <c r="Y60" s="7">
        <f t="shared" ca="1" si="35"/>
        <v>0</v>
      </c>
      <c r="Z60" s="7">
        <f t="shared" ca="1" si="35"/>
        <v>0</v>
      </c>
      <c r="AA60" s="7">
        <f t="shared" ca="1" si="35"/>
        <v>0</v>
      </c>
      <c r="AB60" s="7">
        <f t="shared" ca="1" si="35"/>
        <v>0</v>
      </c>
      <c r="AC60" s="7">
        <f t="shared" ca="1" si="35"/>
        <v>0</v>
      </c>
      <c r="AD60" s="7">
        <f t="shared" ca="1" si="35"/>
        <v>0</v>
      </c>
      <c r="AE60" s="7">
        <f t="shared" ca="1" si="35"/>
        <v>0</v>
      </c>
      <c r="AF60" s="7">
        <f t="shared" ca="1" si="35"/>
        <v>0</v>
      </c>
      <c r="AG60" s="7">
        <f t="shared" ca="1" si="35"/>
        <v>0</v>
      </c>
      <c r="AH60" s="7">
        <f t="shared" ca="1" si="35"/>
        <v>0</v>
      </c>
      <c r="AI60" s="7">
        <f t="shared" ca="1" si="35"/>
        <v>0</v>
      </c>
      <c r="AJ60" s="7">
        <f t="shared" ca="1" si="35"/>
        <v>0</v>
      </c>
      <c r="AK60" s="7">
        <f t="shared" ca="1" si="35"/>
        <v>0</v>
      </c>
      <c r="AL60" s="7">
        <f t="shared" ca="1" si="35"/>
        <v>0</v>
      </c>
      <c r="AM60" s="7">
        <f t="shared" ca="1" si="35"/>
        <v>0</v>
      </c>
      <c r="AN60" s="7">
        <f t="shared" ca="1" si="35"/>
        <v>0</v>
      </c>
      <c r="AO60" s="7">
        <f t="shared" ca="1" si="35"/>
        <v>0</v>
      </c>
      <c r="AP60" s="7">
        <f t="shared" ca="1" si="35"/>
        <v>0</v>
      </c>
      <c r="AQ60" s="7">
        <f t="shared" ca="1" si="35"/>
        <v>0</v>
      </c>
      <c r="AR60" s="7">
        <f t="shared" ca="1" si="35"/>
        <v>0</v>
      </c>
      <c r="AS60" s="7">
        <f t="shared" ca="1" si="35"/>
        <v>0</v>
      </c>
      <c r="AT60" s="7">
        <f t="shared" ca="1" si="35"/>
        <v>0</v>
      </c>
      <c r="AU60" s="7">
        <f t="shared" ca="1" si="35"/>
        <v>0</v>
      </c>
      <c r="AV60" s="7">
        <f t="shared" ca="1" si="35"/>
        <v>0</v>
      </c>
      <c r="AW60" s="7">
        <f t="shared" ca="1" si="35"/>
        <v>0</v>
      </c>
      <c r="AX60" s="7">
        <f t="shared" ca="1" si="35"/>
        <v>0</v>
      </c>
      <c r="AY60" s="7">
        <f t="shared" ca="1" si="35"/>
        <v>0</v>
      </c>
      <c r="AZ60" s="7">
        <f t="shared" ca="1" si="35"/>
        <v>0</v>
      </c>
      <c r="BA60" s="7">
        <f t="shared" ca="1" si="35"/>
        <v>0</v>
      </c>
      <c r="BB60" s="7">
        <f t="shared" ca="1" si="35"/>
        <v>0</v>
      </c>
      <c r="BC60" s="7">
        <f t="shared" ca="1" si="35"/>
        <v>0</v>
      </c>
      <c r="BD60" s="7">
        <f t="shared" ca="1" si="35"/>
        <v>0</v>
      </c>
      <c r="BE60" s="7">
        <f t="shared" ca="1" si="35"/>
        <v>0</v>
      </c>
      <c r="BF60" s="7">
        <f t="shared" ca="1" si="35"/>
        <v>0</v>
      </c>
      <c r="BG60" s="7">
        <f t="shared" ca="1" si="35"/>
        <v>0</v>
      </c>
      <c r="BH60" s="7">
        <f t="shared" ca="1" si="35"/>
        <v>0</v>
      </c>
      <c r="BI60" s="7">
        <f t="shared" ca="1" si="35"/>
        <v>0</v>
      </c>
      <c r="BJ60" s="7">
        <f t="shared" ca="1" si="35"/>
        <v>0</v>
      </c>
      <c r="BK60" s="7">
        <f t="shared" ca="1" si="35"/>
        <v>0</v>
      </c>
      <c r="BL60" s="7">
        <f t="shared" ca="1" si="35"/>
        <v>0</v>
      </c>
      <c r="BM60" s="7">
        <f t="shared" ca="1" si="35"/>
        <v>0</v>
      </c>
      <c r="BN60" s="7">
        <f t="shared" ca="1" si="35"/>
        <v>0</v>
      </c>
      <c r="BO60" s="7">
        <f t="shared" ca="1" si="35"/>
        <v>0</v>
      </c>
      <c r="BP60" s="7">
        <f t="shared" ca="1" si="35"/>
        <v>0</v>
      </c>
      <c r="BQ60" s="7">
        <f t="shared" ca="1" si="35"/>
        <v>0</v>
      </c>
      <c r="BR60" s="7">
        <f t="shared" ca="1" si="35"/>
        <v>0</v>
      </c>
      <c r="BS60" s="7">
        <f t="shared" ca="1" si="35"/>
        <v>0</v>
      </c>
      <c r="BT60" s="7">
        <f t="shared" ca="1" si="35"/>
        <v>0</v>
      </c>
      <c r="BU60" s="7">
        <f t="shared" ca="1" si="35"/>
        <v>0</v>
      </c>
      <c r="BV60" s="7">
        <f t="shared" ca="1" si="35"/>
        <v>0</v>
      </c>
      <c r="BW60" s="7">
        <f t="shared" ca="1" si="35"/>
        <v>0</v>
      </c>
      <c r="BX60" s="7">
        <f t="shared" ca="1" si="35"/>
        <v>0</v>
      </c>
      <c r="BY60" s="7"/>
      <c r="BZ60" s="7"/>
    </row>
    <row r="61" spans="1:78" ht="15.75" customHeight="1">
      <c r="A61" s="7" t="str">
        <f t="shared" ca="1" si="2"/>
        <v/>
      </c>
      <c r="B61" s="18" t="e">
        <f t="shared" ca="1" si="3"/>
        <v>#N/A</v>
      </c>
      <c r="C61" s="8">
        <v>0</v>
      </c>
      <c r="D61" s="8">
        <v>29</v>
      </c>
      <c r="E61" s="7" t="e">
        <f t="shared" ca="1" si="9"/>
        <v>#N/A</v>
      </c>
      <c r="F61" s="7" t="e">
        <f ca="1">+VLOOKUP("*_"&amp;E61&amp;"_*",data!A:D,3,0)</f>
        <v>#N/A</v>
      </c>
      <c r="G61" s="7" t="e">
        <f ca="1">+VLOOKUP("*_"&amp;E61&amp;"_*",data!A:D,4,0)</f>
        <v>#N/A</v>
      </c>
      <c r="H61" s="7">
        <f ca="1">IFERROR(IF(VLOOKUP("*_"&amp;E61&amp;"_*",data!A:D,2,0)="",1,VLOOKUP("*_"&amp;E61&amp;"_*",data!A:D,2,0)),0)</f>
        <v>0</v>
      </c>
      <c r="I61" s="7">
        <f t="shared" ca="1" si="4"/>
        <v>58</v>
      </c>
      <c r="J61" s="7" t="str">
        <f t="shared" ca="1" si="5"/>
        <v/>
      </c>
      <c r="K61" s="7">
        <v>57</v>
      </c>
      <c r="L61" s="7" t="e">
        <f t="shared" ca="1" si="10"/>
        <v>#N/A</v>
      </c>
      <c r="M61" s="7" t="e">
        <f t="shared" ca="1" si="11"/>
        <v>#N/A</v>
      </c>
      <c r="N61" s="7" t="e">
        <f t="shared" ca="1" si="13"/>
        <v>#N/A</v>
      </c>
      <c r="O61" s="7">
        <f t="shared" ca="1" si="35"/>
        <v>0</v>
      </c>
      <c r="P61" s="7">
        <f t="shared" ca="1" si="35"/>
        <v>0</v>
      </c>
      <c r="Q61" s="7">
        <f t="shared" ca="1" si="35"/>
        <v>0</v>
      </c>
      <c r="R61" s="7">
        <f t="shared" ca="1" si="35"/>
        <v>0</v>
      </c>
      <c r="S61" s="7">
        <f t="shared" ca="1" si="35"/>
        <v>0</v>
      </c>
      <c r="T61" s="7">
        <f t="shared" ca="1" si="35"/>
        <v>0</v>
      </c>
      <c r="U61" s="7">
        <f t="shared" ca="1" si="35"/>
        <v>0</v>
      </c>
      <c r="V61" s="7">
        <f t="shared" ca="1" si="35"/>
        <v>0</v>
      </c>
      <c r="W61" s="7">
        <f t="shared" ca="1" si="35"/>
        <v>0</v>
      </c>
      <c r="X61" s="7">
        <f t="shared" ca="1" si="35"/>
        <v>0</v>
      </c>
      <c r="Y61" s="7">
        <f t="shared" ca="1" si="35"/>
        <v>0</v>
      </c>
      <c r="Z61" s="7">
        <f t="shared" ca="1" si="35"/>
        <v>0</v>
      </c>
      <c r="AA61" s="7">
        <f t="shared" ca="1" si="35"/>
        <v>0</v>
      </c>
      <c r="AB61" s="7">
        <f t="shared" ca="1" si="35"/>
        <v>0</v>
      </c>
      <c r="AC61" s="7">
        <f t="shared" ca="1" si="35"/>
        <v>0</v>
      </c>
      <c r="AD61" s="7">
        <f t="shared" ca="1" si="35"/>
        <v>0</v>
      </c>
      <c r="AE61" s="7">
        <f t="shared" ca="1" si="35"/>
        <v>0</v>
      </c>
      <c r="AF61" s="7">
        <f t="shared" ca="1" si="35"/>
        <v>0</v>
      </c>
      <c r="AG61" s="7">
        <f t="shared" ca="1" si="35"/>
        <v>0</v>
      </c>
      <c r="AH61" s="7">
        <f t="shared" ca="1" si="35"/>
        <v>0</v>
      </c>
      <c r="AI61" s="7">
        <f t="shared" ca="1" si="35"/>
        <v>0</v>
      </c>
      <c r="AJ61" s="7">
        <f t="shared" ca="1" si="35"/>
        <v>0</v>
      </c>
      <c r="AK61" s="7">
        <f t="shared" ca="1" si="35"/>
        <v>0</v>
      </c>
      <c r="AL61" s="7">
        <f t="shared" ca="1" si="35"/>
        <v>0</v>
      </c>
      <c r="AM61" s="7">
        <f t="shared" ca="1" si="35"/>
        <v>0</v>
      </c>
      <c r="AN61" s="7">
        <f t="shared" ca="1" si="35"/>
        <v>0</v>
      </c>
      <c r="AO61" s="7">
        <f t="shared" ca="1" si="35"/>
        <v>0</v>
      </c>
      <c r="AP61" s="7">
        <f t="shared" ca="1" si="35"/>
        <v>0</v>
      </c>
      <c r="AQ61" s="7">
        <f t="shared" ca="1" si="35"/>
        <v>0</v>
      </c>
      <c r="AR61" s="7">
        <f t="shared" ca="1" si="35"/>
        <v>0</v>
      </c>
      <c r="AS61" s="7">
        <f t="shared" ca="1" si="35"/>
        <v>0</v>
      </c>
      <c r="AT61" s="7">
        <f t="shared" ca="1" si="35"/>
        <v>0</v>
      </c>
      <c r="AU61" s="7">
        <f t="shared" ca="1" si="35"/>
        <v>0</v>
      </c>
      <c r="AV61" s="7">
        <f t="shared" ca="1" si="35"/>
        <v>0</v>
      </c>
      <c r="AW61" s="7">
        <f t="shared" ca="1" si="35"/>
        <v>0</v>
      </c>
      <c r="AX61" s="7">
        <f t="shared" ca="1" si="35"/>
        <v>0</v>
      </c>
      <c r="AY61" s="7">
        <f t="shared" ca="1" si="35"/>
        <v>0</v>
      </c>
      <c r="AZ61" s="7">
        <f t="shared" ca="1" si="35"/>
        <v>0</v>
      </c>
      <c r="BA61" s="7">
        <f t="shared" ca="1" si="35"/>
        <v>0</v>
      </c>
      <c r="BB61" s="7">
        <f t="shared" ca="1" si="35"/>
        <v>0</v>
      </c>
      <c r="BC61" s="7">
        <f t="shared" ca="1" si="35"/>
        <v>0</v>
      </c>
      <c r="BD61" s="7">
        <f t="shared" ca="1" si="35"/>
        <v>0</v>
      </c>
      <c r="BE61" s="7">
        <f t="shared" ca="1" si="35"/>
        <v>0</v>
      </c>
      <c r="BF61" s="7">
        <f t="shared" ca="1" si="35"/>
        <v>0</v>
      </c>
      <c r="BG61" s="7">
        <f t="shared" ca="1" si="35"/>
        <v>0</v>
      </c>
      <c r="BH61" s="7">
        <f t="shared" ca="1" si="35"/>
        <v>0</v>
      </c>
      <c r="BI61" s="7">
        <f t="shared" ca="1" si="35"/>
        <v>0</v>
      </c>
      <c r="BJ61" s="7">
        <f t="shared" ca="1" si="35"/>
        <v>0</v>
      </c>
      <c r="BK61" s="7">
        <f t="shared" ca="1" si="35"/>
        <v>0</v>
      </c>
      <c r="BL61" s="7">
        <f t="shared" ca="1" si="35"/>
        <v>0</v>
      </c>
      <c r="BM61" s="7">
        <f t="shared" ca="1" si="35"/>
        <v>0</v>
      </c>
      <c r="BN61" s="7">
        <f t="shared" ca="1" si="35"/>
        <v>0</v>
      </c>
      <c r="BO61" s="7">
        <f t="shared" ca="1" si="35"/>
        <v>0</v>
      </c>
      <c r="BP61" s="7">
        <f t="shared" ca="1" si="35"/>
        <v>0</v>
      </c>
      <c r="BQ61" s="7">
        <f t="shared" ca="1" si="35"/>
        <v>0</v>
      </c>
      <c r="BR61" s="7">
        <f t="shared" ca="1" si="35"/>
        <v>0</v>
      </c>
      <c r="BS61" s="7">
        <f t="shared" ca="1" si="35"/>
        <v>0</v>
      </c>
      <c r="BT61" s="7">
        <f t="shared" ca="1" si="35"/>
        <v>0</v>
      </c>
      <c r="BU61" s="7">
        <f t="shared" ca="1" si="35"/>
        <v>0</v>
      </c>
      <c r="BV61" s="7">
        <f t="shared" ca="1" si="35"/>
        <v>0</v>
      </c>
      <c r="BW61" s="7">
        <f t="shared" ca="1" si="35"/>
        <v>0</v>
      </c>
      <c r="BX61" s="7">
        <f t="shared" ca="1" si="35"/>
        <v>0</v>
      </c>
      <c r="BY61" s="7"/>
      <c r="BZ61" s="7"/>
    </row>
    <row r="62" spans="1:78" ht="15.75" customHeight="1">
      <c r="A62" s="7" t="str">
        <f t="shared" ca="1" si="2"/>
        <v/>
      </c>
      <c r="B62" s="18" t="e">
        <f t="shared" ca="1" si="3"/>
        <v>#N/A</v>
      </c>
      <c r="C62" s="8">
        <v>1</v>
      </c>
      <c r="D62" s="8">
        <v>29</v>
      </c>
      <c r="E62" s="7" t="e">
        <f t="shared" ca="1" si="9"/>
        <v>#N/A</v>
      </c>
      <c r="F62" s="7" t="e">
        <f ca="1">+VLOOKUP("*_"&amp;E62&amp;"_*",data!A:D,3,0)</f>
        <v>#N/A</v>
      </c>
      <c r="G62" s="7" t="e">
        <f ca="1">+VLOOKUP("*_"&amp;E62&amp;"_*",data!A:D,4,0)</f>
        <v>#N/A</v>
      </c>
      <c r="H62" s="7">
        <f ca="1">IFERROR(IF(VLOOKUP("*_"&amp;E62&amp;"_*",data!A:D,2,0)="",1,VLOOKUP("*_"&amp;E62&amp;"_*",data!A:D,2,0)),0)</f>
        <v>0</v>
      </c>
      <c r="I62" s="7">
        <f t="shared" ca="1" si="4"/>
        <v>59</v>
      </c>
      <c r="J62" s="7" t="str">
        <f t="shared" ca="1" si="5"/>
        <v/>
      </c>
      <c r="K62" s="7">
        <v>58</v>
      </c>
      <c r="L62" s="7" t="e">
        <f t="shared" ca="1" si="10"/>
        <v>#N/A</v>
      </c>
      <c r="M62" s="7" t="e">
        <f t="shared" ca="1" si="11"/>
        <v>#N/A</v>
      </c>
      <c r="N62" s="7" t="e">
        <f t="shared" ca="1" si="13"/>
        <v>#N/A</v>
      </c>
      <c r="O62" s="7">
        <f t="shared" ca="1" si="35"/>
        <v>0</v>
      </c>
      <c r="P62" s="7">
        <f t="shared" ca="1" si="35"/>
        <v>0</v>
      </c>
      <c r="Q62" s="7">
        <f t="shared" ca="1" si="35"/>
        <v>0</v>
      </c>
      <c r="R62" s="7">
        <f t="shared" ca="1" si="35"/>
        <v>0</v>
      </c>
      <c r="S62" s="7">
        <f t="shared" ca="1" si="35"/>
        <v>0</v>
      </c>
      <c r="T62" s="7">
        <f t="shared" ca="1" si="35"/>
        <v>0</v>
      </c>
      <c r="U62" s="7">
        <f t="shared" ca="1" si="35"/>
        <v>0</v>
      </c>
      <c r="V62" s="7">
        <f t="shared" ca="1" si="35"/>
        <v>0</v>
      </c>
      <c r="W62" s="7">
        <f t="shared" ca="1" si="35"/>
        <v>0</v>
      </c>
      <c r="X62" s="7">
        <f t="shared" ca="1" si="35"/>
        <v>0</v>
      </c>
      <c r="Y62" s="7">
        <f t="shared" ca="1" si="35"/>
        <v>0</v>
      </c>
      <c r="Z62" s="7">
        <f t="shared" ca="1" si="35"/>
        <v>0</v>
      </c>
      <c r="AA62" s="7">
        <f t="shared" ca="1" si="35"/>
        <v>0</v>
      </c>
      <c r="AB62" s="7">
        <f t="shared" ca="1" si="35"/>
        <v>0</v>
      </c>
      <c r="AC62" s="7">
        <f t="shared" ca="1" si="35"/>
        <v>0</v>
      </c>
      <c r="AD62" s="7">
        <f t="shared" ca="1" si="35"/>
        <v>0</v>
      </c>
      <c r="AE62" s="7">
        <f t="shared" ca="1" si="35"/>
        <v>0</v>
      </c>
      <c r="AF62" s="7">
        <f t="shared" ca="1" si="35"/>
        <v>0</v>
      </c>
      <c r="AG62" s="7">
        <f t="shared" ca="1" si="35"/>
        <v>0</v>
      </c>
      <c r="AH62" s="7">
        <f t="shared" ca="1" si="35"/>
        <v>0</v>
      </c>
      <c r="AI62" s="7">
        <f t="shared" ca="1" si="35"/>
        <v>0</v>
      </c>
      <c r="AJ62" s="7">
        <f t="shared" ca="1" si="35"/>
        <v>0</v>
      </c>
      <c r="AK62" s="7">
        <f t="shared" ca="1" si="35"/>
        <v>0</v>
      </c>
      <c r="AL62" s="7">
        <f t="shared" ca="1" si="35"/>
        <v>0</v>
      </c>
      <c r="AM62" s="7">
        <f t="shared" ca="1" si="35"/>
        <v>0</v>
      </c>
      <c r="AN62" s="7">
        <f t="shared" ca="1" si="35"/>
        <v>0</v>
      </c>
      <c r="AO62" s="7">
        <f t="shared" ca="1" si="35"/>
        <v>0</v>
      </c>
      <c r="AP62" s="7">
        <f t="shared" ca="1" si="35"/>
        <v>0</v>
      </c>
      <c r="AQ62" s="7">
        <f t="shared" ca="1" si="35"/>
        <v>0</v>
      </c>
      <c r="AR62" s="7">
        <f t="shared" ca="1" si="35"/>
        <v>0</v>
      </c>
      <c r="AS62" s="7">
        <f t="shared" ca="1" si="35"/>
        <v>0</v>
      </c>
      <c r="AT62" s="7">
        <f t="shared" ca="1" si="35"/>
        <v>0</v>
      </c>
      <c r="AU62" s="7">
        <f t="shared" ca="1" si="35"/>
        <v>0</v>
      </c>
      <c r="AV62" s="7">
        <f t="shared" ca="1" si="35"/>
        <v>0</v>
      </c>
      <c r="AW62" s="7">
        <f t="shared" ca="1" si="35"/>
        <v>0</v>
      </c>
      <c r="AX62" s="7">
        <f t="shared" ca="1" si="35"/>
        <v>0</v>
      </c>
      <c r="AY62" s="7">
        <f t="shared" ca="1" si="35"/>
        <v>0</v>
      </c>
      <c r="AZ62" s="7">
        <f t="shared" ca="1" si="35"/>
        <v>0</v>
      </c>
      <c r="BA62" s="7">
        <f t="shared" ca="1" si="35"/>
        <v>0</v>
      </c>
      <c r="BB62" s="7">
        <f t="shared" ca="1" si="35"/>
        <v>0</v>
      </c>
      <c r="BC62" s="7">
        <f t="shared" ca="1" si="35"/>
        <v>0</v>
      </c>
      <c r="BD62" s="7">
        <f t="shared" ca="1" si="35"/>
        <v>0</v>
      </c>
      <c r="BE62" s="7">
        <f t="shared" ca="1" si="35"/>
        <v>0</v>
      </c>
      <c r="BF62" s="7">
        <f t="shared" ca="1" si="35"/>
        <v>0</v>
      </c>
      <c r="BG62" s="7">
        <f t="shared" ca="1" si="35"/>
        <v>0</v>
      </c>
      <c r="BH62" s="7">
        <f t="shared" ca="1" si="35"/>
        <v>0</v>
      </c>
      <c r="BI62" s="7">
        <f t="shared" ca="1" si="35"/>
        <v>0</v>
      </c>
      <c r="BJ62" s="7">
        <f t="shared" ca="1" si="35"/>
        <v>0</v>
      </c>
      <c r="BK62" s="7">
        <f t="shared" ca="1" si="35"/>
        <v>0</v>
      </c>
      <c r="BL62" s="7">
        <f t="shared" ca="1" si="35"/>
        <v>0</v>
      </c>
      <c r="BM62" s="7">
        <f t="shared" ca="1" si="35"/>
        <v>0</v>
      </c>
      <c r="BN62" s="7">
        <f t="shared" ca="1" si="35"/>
        <v>0</v>
      </c>
      <c r="BO62" s="7">
        <f t="shared" ca="1" si="35"/>
        <v>0</v>
      </c>
      <c r="BP62" s="7">
        <f t="shared" ca="1" si="35"/>
        <v>0</v>
      </c>
      <c r="BQ62" s="7">
        <f t="shared" ca="1" si="35"/>
        <v>0</v>
      </c>
      <c r="BR62" s="7">
        <f t="shared" ca="1" si="35"/>
        <v>0</v>
      </c>
      <c r="BS62" s="7">
        <f t="shared" ca="1" si="35"/>
        <v>0</v>
      </c>
      <c r="BT62" s="7">
        <f t="shared" ca="1" si="35"/>
        <v>0</v>
      </c>
      <c r="BU62" s="7">
        <f t="shared" ca="1" si="35"/>
        <v>0</v>
      </c>
      <c r="BV62" s="7">
        <f t="shared" ca="1" si="35"/>
        <v>0</v>
      </c>
      <c r="BW62" s="7">
        <f t="shared" ca="1" si="35"/>
        <v>0</v>
      </c>
      <c r="BX62" s="7">
        <f t="shared" ca="1" si="35"/>
        <v>0</v>
      </c>
      <c r="BY62" s="7"/>
      <c r="BZ62" s="7"/>
    </row>
    <row r="63" spans="1:78" ht="15.75" customHeight="1">
      <c r="A63" s="7" t="str">
        <f t="shared" ca="1" si="2"/>
        <v/>
      </c>
      <c r="B63" s="18" t="e">
        <f t="shared" ca="1" si="3"/>
        <v>#N/A</v>
      </c>
      <c r="C63" s="8">
        <v>0</v>
      </c>
      <c r="D63" s="8">
        <v>30</v>
      </c>
      <c r="E63" s="7" t="e">
        <f ca="1">+VLOOKUP(OFFSET($E$3,D62,0),$E$1:$G$66,2+C62,0)</f>
        <v>#N/A</v>
      </c>
      <c r="F63" s="7" t="e">
        <f ca="1">+VLOOKUP("*_"&amp;E63&amp;"_*",data!A:D,3,0)</f>
        <v>#N/A</v>
      </c>
      <c r="G63" s="7" t="e">
        <f ca="1">+VLOOKUP("*_"&amp;E63&amp;"_*",data!A:D,4,0)</f>
        <v>#N/A</v>
      </c>
      <c r="H63" s="7">
        <f ca="1">IFERROR(IF(VLOOKUP("*_"&amp;E63&amp;"_*",data!A:D,2,0)="",1,VLOOKUP("*_"&amp;E63&amp;"_*",data!A:D,2,0)),0)</f>
        <v>0</v>
      </c>
      <c r="I63" s="7">
        <f t="shared" ca="1" si="4"/>
        <v>60</v>
      </c>
      <c r="J63" s="7" t="str">
        <f t="shared" ca="1" si="5"/>
        <v/>
      </c>
      <c r="K63" s="7">
        <v>59</v>
      </c>
      <c r="L63" s="7" t="e">
        <f t="shared" ca="1" si="10"/>
        <v>#N/A</v>
      </c>
      <c r="M63" s="7" t="e">
        <f t="shared" ca="1" si="11"/>
        <v>#N/A</v>
      </c>
      <c r="N63" s="7" t="e">
        <f t="shared" ca="1" si="13"/>
        <v>#N/A</v>
      </c>
      <c r="O63" s="7">
        <f t="shared" ca="1" si="35"/>
        <v>0</v>
      </c>
      <c r="P63" s="7">
        <f t="shared" ca="1" si="35"/>
        <v>0</v>
      </c>
      <c r="Q63" s="7">
        <f t="shared" ca="1" si="35"/>
        <v>0</v>
      </c>
      <c r="R63" s="7">
        <f t="shared" ca="1" si="35"/>
        <v>0</v>
      </c>
      <c r="S63" s="7">
        <f t="shared" ca="1" si="35"/>
        <v>0</v>
      </c>
      <c r="T63" s="7">
        <f t="shared" ca="1" si="35"/>
        <v>0</v>
      </c>
      <c r="U63" s="7">
        <f t="shared" ca="1" si="35"/>
        <v>0</v>
      </c>
      <c r="V63" s="7">
        <f t="shared" ca="1" si="35"/>
        <v>0</v>
      </c>
      <c r="W63" s="7">
        <f t="shared" ca="1" si="35"/>
        <v>0</v>
      </c>
      <c r="X63" s="7">
        <f t="shared" ca="1" si="35"/>
        <v>0</v>
      </c>
      <c r="Y63" s="7">
        <f t="shared" ca="1" si="35"/>
        <v>0</v>
      </c>
      <c r="Z63" s="7">
        <f t="shared" ca="1" si="35"/>
        <v>0</v>
      </c>
      <c r="AA63" s="7">
        <f t="shared" ca="1" si="35"/>
        <v>0</v>
      </c>
      <c r="AB63" s="7">
        <f t="shared" ca="1" si="35"/>
        <v>0</v>
      </c>
      <c r="AC63" s="7">
        <f t="shared" ca="1" si="35"/>
        <v>0</v>
      </c>
      <c r="AD63" s="7">
        <f t="shared" ca="1" si="35"/>
        <v>0</v>
      </c>
      <c r="AE63" s="7">
        <f t="shared" ca="1" si="35"/>
        <v>0</v>
      </c>
      <c r="AF63" s="7">
        <f t="shared" ca="1" si="35"/>
        <v>0</v>
      </c>
      <c r="AG63" s="7">
        <f t="shared" ca="1" si="35"/>
        <v>0</v>
      </c>
      <c r="AH63" s="7">
        <f t="shared" ca="1" si="35"/>
        <v>0</v>
      </c>
      <c r="AI63" s="7">
        <f t="shared" ca="1" si="35"/>
        <v>0</v>
      </c>
      <c r="AJ63" s="7">
        <f t="shared" ca="1" si="35"/>
        <v>0</v>
      </c>
      <c r="AK63" s="7">
        <f t="shared" ca="1" si="35"/>
        <v>0</v>
      </c>
      <c r="AL63" s="7">
        <f t="shared" ca="1" si="35"/>
        <v>0</v>
      </c>
      <c r="AM63" s="7">
        <f t="shared" ca="1" si="35"/>
        <v>0</v>
      </c>
      <c r="AN63" s="7">
        <f t="shared" ca="1" si="35"/>
        <v>0</v>
      </c>
      <c r="AO63" s="7">
        <f t="shared" ca="1" si="35"/>
        <v>0</v>
      </c>
      <c r="AP63" s="7">
        <f t="shared" ca="1" si="35"/>
        <v>0</v>
      </c>
      <c r="AQ63" s="7">
        <f t="shared" ca="1" si="35"/>
        <v>0</v>
      </c>
      <c r="AR63" s="7">
        <f t="shared" ca="1" si="35"/>
        <v>0</v>
      </c>
      <c r="AS63" s="7">
        <f t="shared" ca="1" si="35"/>
        <v>0</v>
      </c>
      <c r="AT63" s="7">
        <f t="shared" ca="1" si="35"/>
        <v>0</v>
      </c>
      <c r="AU63" s="7">
        <f t="shared" ca="1" si="35"/>
        <v>0</v>
      </c>
      <c r="AV63" s="7">
        <f t="shared" ca="1" si="35"/>
        <v>0</v>
      </c>
      <c r="AW63" s="7">
        <f t="shared" ca="1" si="35"/>
        <v>0</v>
      </c>
      <c r="AX63" s="7">
        <f t="shared" ca="1" si="35"/>
        <v>0</v>
      </c>
      <c r="AY63" s="7">
        <f t="shared" ca="1" si="35"/>
        <v>0</v>
      </c>
      <c r="AZ63" s="7">
        <f t="shared" ca="1" si="35"/>
        <v>0</v>
      </c>
      <c r="BA63" s="7">
        <f t="shared" ca="1" si="35"/>
        <v>0</v>
      </c>
      <c r="BB63" s="7">
        <f t="shared" ca="1" si="35"/>
        <v>0</v>
      </c>
      <c r="BC63" s="7">
        <f t="shared" ca="1" si="35"/>
        <v>0</v>
      </c>
      <c r="BD63" s="7">
        <f t="shared" ca="1" si="35"/>
        <v>0</v>
      </c>
      <c r="BE63" s="7">
        <f t="shared" ca="1" si="35"/>
        <v>0</v>
      </c>
      <c r="BF63" s="7">
        <f t="shared" ca="1" si="35"/>
        <v>0</v>
      </c>
      <c r="BG63" s="7">
        <f t="shared" ca="1" si="35"/>
        <v>0</v>
      </c>
      <c r="BH63" s="7">
        <f t="shared" ca="1" si="35"/>
        <v>0</v>
      </c>
      <c r="BI63" s="7">
        <f t="shared" ca="1" si="35"/>
        <v>0</v>
      </c>
      <c r="BJ63" s="7">
        <f t="shared" ca="1" si="35"/>
        <v>0</v>
      </c>
      <c r="BK63" s="7">
        <f t="shared" ca="1" si="35"/>
        <v>0</v>
      </c>
      <c r="BL63" s="7">
        <f t="shared" ca="1" si="35"/>
        <v>0</v>
      </c>
      <c r="BM63" s="7">
        <f t="shared" ca="1" si="35"/>
        <v>0</v>
      </c>
      <c r="BN63" s="7">
        <f t="shared" ca="1" si="35"/>
        <v>0</v>
      </c>
      <c r="BO63" s="7">
        <f t="shared" ca="1" si="35"/>
        <v>0</v>
      </c>
      <c r="BP63" s="7">
        <f t="shared" ca="1" si="35"/>
        <v>0</v>
      </c>
      <c r="BQ63" s="7">
        <f t="shared" ca="1" si="35"/>
        <v>0</v>
      </c>
      <c r="BR63" s="7">
        <f t="shared" ca="1" si="35"/>
        <v>0</v>
      </c>
      <c r="BS63" s="7">
        <f t="shared" ca="1" si="35"/>
        <v>0</v>
      </c>
      <c r="BT63" s="7">
        <f t="shared" ca="1" si="35"/>
        <v>0</v>
      </c>
      <c r="BU63" s="7">
        <f t="shared" ca="1" si="35"/>
        <v>0</v>
      </c>
      <c r="BV63" s="7">
        <f t="shared" ca="1" si="35"/>
        <v>0</v>
      </c>
      <c r="BW63" s="7">
        <f t="shared" ca="1" si="35"/>
        <v>0</v>
      </c>
      <c r="BX63" s="7">
        <f t="shared" ca="1" si="35"/>
        <v>0</v>
      </c>
      <c r="BY63" s="7"/>
      <c r="BZ63" s="7"/>
    </row>
    <row r="64" spans="1:78" ht="15.75" customHeight="1">
      <c r="A64" s="7" t="str">
        <f t="shared" ca="1" si="2"/>
        <v/>
      </c>
      <c r="B64" s="18" t="e">
        <f t="shared" ca="1" si="3"/>
        <v>#N/A</v>
      </c>
      <c r="C64" s="8">
        <v>1</v>
      </c>
      <c r="D64" s="8">
        <v>30</v>
      </c>
      <c r="E64" s="7" t="e">
        <f t="shared" ca="1" si="9"/>
        <v>#N/A</v>
      </c>
      <c r="F64" s="7" t="e">
        <f ca="1">+VLOOKUP("*_"&amp;E64&amp;"_*",data!A:D,3,0)</f>
        <v>#N/A</v>
      </c>
      <c r="G64" s="7" t="e">
        <f ca="1">+VLOOKUP("*_"&amp;E64&amp;"_*",data!A:D,4,0)</f>
        <v>#N/A</v>
      </c>
      <c r="H64" s="7">
        <f ca="1">IFERROR(IF(VLOOKUP("*_"&amp;E64&amp;"_*",data!A:D,2,0)="",1,VLOOKUP("*_"&amp;E64&amp;"_*",data!A:D,2,0)),0)</f>
        <v>0</v>
      </c>
      <c r="I64" s="7">
        <f t="shared" ca="1" si="4"/>
        <v>61</v>
      </c>
      <c r="J64" s="7" t="str">
        <f t="shared" ca="1" si="5"/>
        <v/>
      </c>
      <c r="K64" s="7">
        <v>60</v>
      </c>
      <c r="L64" s="7" t="e">
        <f t="shared" ca="1" si="10"/>
        <v>#N/A</v>
      </c>
      <c r="M64" s="7" t="e">
        <f t="shared" ca="1" si="11"/>
        <v>#N/A</v>
      </c>
      <c r="N64" s="7" t="e">
        <f t="shared" ca="1" si="13"/>
        <v>#N/A</v>
      </c>
      <c r="O64" s="7">
        <f t="shared" ca="1" si="35"/>
        <v>0</v>
      </c>
      <c r="P64" s="7">
        <f t="shared" ca="1" si="35"/>
        <v>0</v>
      </c>
      <c r="Q64" s="7">
        <f t="shared" ca="1" si="35"/>
        <v>0</v>
      </c>
      <c r="R64" s="7">
        <f t="shared" ca="1" si="35"/>
        <v>0</v>
      </c>
      <c r="S64" s="7">
        <f t="shared" ca="1" si="35"/>
        <v>0</v>
      </c>
      <c r="T64" s="7">
        <f t="shared" ca="1" si="35"/>
        <v>0</v>
      </c>
      <c r="U64" s="7">
        <f t="shared" ca="1" si="35"/>
        <v>0</v>
      </c>
      <c r="V64" s="7">
        <f t="shared" ref="V64:BX64" ca="1" si="36">+IFERROR(IF(MATCH(V$4,$N$4:$BZ$4,0)=MATCH($N64,$N$4:$N$68,0),1+IFERROR(1/2*INDEX($N$4:$BZ$68,MATCH($L64,$N$4:$N$68,0),MATCH($M64,$N$4:$BZ$4,0)),0),IF(MATCH(V$4,$N$4:$BZ$4,0)&lt;MATCH($N64,$N$4:$N$68,0),(INDEX($N$4:$BZ$68,MATCH($L64,$N$4:$N$68,0),MATCH(V$4,$N$4:$BZ$4,0))+INDEX($N$4:$BZ$68,MATCH($M64,$N$4:$N$68,0),MATCH(V$4,$N$4:$BZ$4,0)))*1/2,(INDEX($N$4:$BZ$68,MATCH($N64,$N$4:$N$68,0),MATCH(V$2,$N$4:$BZ$4,0))+INDEX($N$4:$BZ$68,MATCH($N64,$N$4:$N$68,0),MATCH(V$3,$N$4:$BZ$4,0)))*1/2)),0)</f>
        <v>0</v>
      </c>
      <c r="W64" s="7">
        <f t="shared" ca="1" si="36"/>
        <v>0</v>
      </c>
      <c r="X64" s="7">
        <f t="shared" ca="1" si="36"/>
        <v>0</v>
      </c>
      <c r="Y64" s="7">
        <f t="shared" ca="1" si="36"/>
        <v>0</v>
      </c>
      <c r="Z64" s="7">
        <f t="shared" ca="1" si="36"/>
        <v>0</v>
      </c>
      <c r="AA64" s="7">
        <f t="shared" ca="1" si="36"/>
        <v>0</v>
      </c>
      <c r="AB64" s="7">
        <f t="shared" ca="1" si="36"/>
        <v>0</v>
      </c>
      <c r="AC64" s="7">
        <f t="shared" ca="1" si="36"/>
        <v>0</v>
      </c>
      <c r="AD64" s="7">
        <f t="shared" ca="1" si="36"/>
        <v>0</v>
      </c>
      <c r="AE64" s="7">
        <f t="shared" ca="1" si="36"/>
        <v>0</v>
      </c>
      <c r="AF64" s="7">
        <f t="shared" ca="1" si="36"/>
        <v>0</v>
      </c>
      <c r="AG64" s="7">
        <f t="shared" ca="1" si="36"/>
        <v>0</v>
      </c>
      <c r="AH64" s="7">
        <f t="shared" ca="1" si="36"/>
        <v>0</v>
      </c>
      <c r="AI64" s="7">
        <f t="shared" ca="1" si="36"/>
        <v>0</v>
      </c>
      <c r="AJ64" s="7">
        <f t="shared" ca="1" si="36"/>
        <v>0</v>
      </c>
      <c r="AK64" s="7">
        <f t="shared" ca="1" si="36"/>
        <v>0</v>
      </c>
      <c r="AL64" s="7">
        <f t="shared" ca="1" si="36"/>
        <v>0</v>
      </c>
      <c r="AM64" s="7">
        <f t="shared" ca="1" si="36"/>
        <v>0</v>
      </c>
      <c r="AN64" s="7">
        <f t="shared" ca="1" si="36"/>
        <v>0</v>
      </c>
      <c r="AO64" s="7">
        <f t="shared" ca="1" si="36"/>
        <v>0</v>
      </c>
      <c r="AP64" s="7">
        <f t="shared" ca="1" si="36"/>
        <v>0</v>
      </c>
      <c r="AQ64" s="7">
        <f t="shared" ca="1" si="36"/>
        <v>0</v>
      </c>
      <c r="AR64" s="7">
        <f t="shared" ca="1" si="36"/>
        <v>0</v>
      </c>
      <c r="AS64" s="7">
        <f t="shared" ca="1" si="36"/>
        <v>0</v>
      </c>
      <c r="AT64" s="7">
        <f t="shared" ca="1" si="36"/>
        <v>0</v>
      </c>
      <c r="AU64" s="7">
        <f t="shared" ca="1" si="36"/>
        <v>0</v>
      </c>
      <c r="AV64" s="7">
        <f t="shared" ca="1" si="36"/>
        <v>0</v>
      </c>
      <c r="AW64" s="7">
        <f t="shared" ca="1" si="36"/>
        <v>0</v>
      </c>
      <c r="AX64" s="7">
        <f t="shared" ca="1" si="36"/>
        <v>0</v>
      </c>
      <c r="AY64" s="7">
        <f t="shared" ca="1" si="36"/>
        <v>0</v>
      </c>
      <c r="AZ64" s="7">
        <f t="shared" ca="1" si="36"/>
        <v>0</v>
      </c>
      <c r="BA64" s="7">
        <f t="shared" ca="1" si="36"/>
        <v>0</v>
      </c>
      <c r="BB64" s="7">
        <f t="shared" ca="1" si="36"/>
        <v>0</v>
      </c>
      <c r="BC64" s="7">
        <f t="shared" ca="1" si="36"/>
        <v>0</v>
      </c>
      <c r="BD64" s="7">
        <f t="shared" ca="1" si="36"/>
        <v>0</v>
      </c>
      <c r="BE64" s="7">
        <f t="shared" ca="1" si="36"/>
        <v>0</v>
      </c>
      <c r="BF64" s="7">
        <f t="shared" ca="1" si="36"/>
        <v>0</v>
      </c>
      <c r="BG64" s="7">
        <f t="shared" ca="1" si="36"/>
        <v>0</v>
      </c>
      <c r="BH64" s="7">
        <f t="shared" ca="1" si="36"/>
        <v>0</v>
      </c>
      <c r="BI64" s="7">
        <f t="shared" ca="1" si="36"/>
        <v>0</v>
      </c>
      <c r="BJ64" s="7">
        <f t="shared" ca="1" si="36"/>
        <v>0</v>
      </c>
      <c r="BK64" s="7">
        <f t="shared" ca="1" si="36"/>
        <v>0</v>
      </c>
      <c r="BL64" s="7">
        <f t="shared" ca="1" si="36"/>
        <v>0</v>
      </c>
      <c r="BM64" s="7">
        <f t="shared" ca="1" si="36"/>
        <v>0</v>
      </c>
      <c r="BN64" s="7">
        <f t="shared" ca="1" si="36"/>
        <v>0</v>
      </c>
      <c r="BO64" s="7">
        <f t="shared" ca="1" si="36"/>
        <v>0</v>
      </c>
      <c r="BP64" s="7">
        <f t="shared" ca="1" si="36"/>
        <v>0</v>
      </c>
      <c r="BQ64" s="7">
        <f t="shared" ca="1" si="36"/>
        <v>0</v>
      </c>
      <c r="BR64" s="7">
        <f t="shared" ca="1" si="36"/>
        <v>0</v>
      </c>
      <c r="BS64" s="7">
        <f t="shared" ca="1" si="36"/>
        <v>0</v>
      </c>
      <c r="BT64" s="7">
        <f t="shared" ca="1" si="36"/>
        <v>0</v>
      </c>
      <c r="BU64" s="7">
        <f t="shared" ca="1" si="36"/>
        <v>0</v>
      </c>
      <c r="BV64" s="7">
        <f t="shared" ca="1" si="36"/>
        <v>0</v>
      </c>
      <c r="BW64" s="7">
        <f t="shared" ca="1" si="36"/>
        <v>0</v>
      </c>
      <c r="BX64" s="7">
        <f t="shared" ca="1" si="36"/>
        <v>0</v>
      </c>
      <c r="BY64" s="7"/>
      <c r="BZ64" s="7"/>
    </row>
    <row r="65" spans="1:78" ht="15.75" customHeight="1">
      <c r="A65" s="7" t="str">
        <f t="shared" ca="1" si="2"/>
        <v/>
      </c>
      <c r="B65" s="18" t="e">
        <f t="shared" ca="1" si="3"/>
        <v>#N/A</v>
      </c>
      <c r="C65" s="8">
        <v>0</v>
      </c>
      <c r="D65" s="8">
        <v>31</v>
      </c>
      <c r="E65" s="7" t="e">
        <f ca="1">+VLOOKUP(OFFSET($E$3,D64,0),$E$1:$G$66,2+C64,0)</f>
        <v>#N/A</v>
      </c>
      <c r="F65" s="7" t="e">
        <f ca="1">+VLOOKUP("*_"&amp;E65&amp;"_*",data!A:D,3,0)</f>
        <v>#N/A</v>
      </c>
      <c r="G65" s="7" t="e">
        <f ca="1">+VLOOKUP("*_"&amp;E65&amp;"_*",data!A:D,4,0)</f>
        <v>#N/A</v>
      </c>
      <c r="H65" s="7">
        <f ca="1">IFERROR(IF(VLOOKUP("*_"&amp;E65&amp;"_*",data!A:D,2,0)="",1,VLOOKUP("*_"&amp;E65&amp;"_*",data!A:D,2,0)),0)</f>
        <v>0</v>
      </c>
      <c r="I65" s="7">
        <f t="shared" ca="1" si="4"/>
        <v>62</v>
      </c>
      <c r="J65" s="7" t="str">
        <f t="shared" ca="1" si="5"/>
        <v/>
      </c>
      <c r="K65" s="7">
        <v>61</v>
      </c>
      <c r="L65" s="7" t="e">
        <f t="shared" ca="1" si="10"/>
        <v>#N/A</v>
      </c>
      <c r="M65" s="7" t="e">
        <f t="shared" ca="1" si="11"/>
        <v>#N/A</v>
      </c>
      <c r="N65" s="7" t="e">
        <f t="shared" ca="1" si="13"/>
        <v>#N/A</v>
      </c>
      <c r="O65" s="7">
        <f t="shared" ref="O65:BX66" ca="1" si="37">+IFERROR(IF(MATCH(O$4,$N$4:$BZ$4,0)=MATCH($N65,$N$4:$N$68,0),1+IFERROR(1/2*INDEX($N$4:$BZ$68,MATCH($L65,$N$4:$N$68,0),MATCH($M65,$N$4:$BZ$4,0)),0),IF(MATCH(O$4,$N$4:$BZ$4,0)&lt;MATCH($N65,$N$4:$N$68,0),(INDEX($N$4:$BZ$68,MATCH($L65,$N$4:$N$68,0),MATCH(O$4,$N$4:$BZ$4,0))+INDEX($N$4:$BZ$68,MATCH($M65,$N$4:$N$68,0),MATCH(O$4,$N$4:$BZ$4,0)))*1/2,(INDEX($N$4:$BZ$68,MATCH($N65,$N$4:$N$68,0),MATCH(O$2,$N$4:$BZ$4,0))+INDEX($N$4:$BZ$68,MATCH($N65,$N$4:$N$68,0),MATCH(O$3,$N$4:$BZ$4,0)))*1/2)),0)</f>
        <v>0</v>
      </c>
      <c r="P65" s="7">
        <f t="shared" ca="1" si="37"/>
        <v>0</v>
      </c>
      <c r="Q65" s="7">
        <f t="shared" ca="1" si="37"/>
        <v>0</v>
      </c>
      <c r="R65" s="7">
        <f t="shared" ca="1" si="37"/>
        <v>0</v>
      </c>
      <c r="S65" s="7">
        <f t="shared" ca="1" si="37"/>
        <v>0</v>
      </c>
      <c r="T65" s="7">
        <f t="shared" ca="1" si="37"/>
        <v>0</v>
      </c>
      <c r="U65" s="7">
        <f t="shared" ca="1" si="37"/>
        <v>0</v>
      </c>
      <c r="V65" s="7">
        <f t="shared" ca="1" si="37"/>
        <v>0</v>
      </c>
      <c r="W65" s="7">
        <f t="shared" ca="1" si="37"/>
        <v>0</v>
      </c>
      <c r="X65" s="7">
        <f t="shared" ca="1" si="37"/>
        <v>0</v>
      </c>
      <c r="Y65" s="7">
        <f t="shared" ca="1" si="37"/>
        <v>0</v>
      </c>
      <c r="Z65" s="7">
        <f t="shared" ca="1" si="37"/>
        <v>0</v>
      </c>
      <c r="AA65" s="7">
        <f t="shared" ca="1" si="37"/>
        <v>0</v>
      </c>
      <c r="AB65" s="7">
        <f t="shared" ca="1" si="37"/>
        <v>0</v>
      </c>
      <c r="AC65" s="7">
        <f t="shared" ca="1" si="37"/>
        <v>0</v>
      </c>
      <c r="AD65" s="7">
        <f t="shared" ca="1" si="37"/>
        <v>0</v>
      </c>
      <c r="AE65" s="7">
        <f t="shared" ca="1" si="37"/>
        <v>0</v>
      </c>
      <c r="AF65" s="7">
        <f t="shared" ca="1" si="37"/>
        <v>0</v>
      </c>
      <c r="AG65" s="7">
        <f t="shared" ca="1" si="37"/>
        <v>0</v>
      </c>
      <c r="AH65" s="7">
        <f t="shared" ca="1" si="37"/>
        <v>0</v>
      </c>
      <c r="AI65" s="7">
        <f t="shared" ca="1" si="37"/>
        <v>0</v>
      </c>
      <c r="AJ65" s="7">
        <f t="shared" ca="1" si="37"/>
        <v>0</v>
      </c>
      <c r="AK65" s="7">
        <f t="shared" ca="1" si="37"/>
        <v>0</v>
      </c>
      <c r="AL65" s="7">
        <f t="shared" ca="1" si="37"/>
        <v>0</v>
      </c>
      <c r="AM65" s="7">
        <f t="shared" ca="1" si="37"/>
        <v>0</v>
      </c>
      <c r="AN65" s="7">
        <f t="shared" ca="1" si="37"/>
        <v>0</v>
      </c>
      <c r="AO65" s="7">
        <f t="shared" ca="1" si="37"/>
        <v>0</v>
      </c>
      <c r="AP65" s="7">
        <f t="shared" ca="1" si="37"/>
        <v>0</v>
      </c>
      <c r="AQ65" s="7">
        <f t="shared" ca="1" si="37"/>
        <v>0</v>
      </c>
      <c r="AR65" s="7">
        <f t="shared" ca="1" si="37"/>
        <v>0</v>
      </c>
      <c r="AS65" s="7">
        <f t="shared" ca="1" si="37"/>
        <v>0</v>
      </c>
      <c r="AT65" s="7">
        <f t="shared" ca="1" si="37"/>
        <v>0</v>
      </c>
      <c r="AU65" s="7">
        <f t="shared" ca="1" si="37"/>
        <v>0</v>
      </c>
      <c r="AV65" s="7">
        <f t="shared" ca="1" si="37"/>
        <v>0</v>
      </c>
      <c r="AW65" s="7">
        <f t="shared" ca="1" si="37"/>
        <v>0</v>
      </c>
      <c r="AX65" s="7">
        <f t="shared" ca="1" si="37"/>
        <v>0</v>
      </c>
      <c r="AY65" s="7">
        <f t="shared" ca="1" si="37"/>
        <v>0</v>
      </c>
      <c r="AZ65" s="7">
        <f t="shared" ca="1" si="37"/>
        <v>0</v>
      </c>
      <c r="BA65" s="7">
        <f t="shared" ca="1" si="37"/>
        <v>0</v>
      </c>
      <c r="BB65" s="7">
        <f t="shared" ca="1" si="37"/>
        <v>0</v>
      </c>
      <c r="BC65" s="7">
        <f t="shared" ca="1" si="37"/>
        <v>0</v>
      </c>
      <c r="BD65" s="7">
        <f t="shared" ca="1" si="37"/>
        <v>0</v>
      </c>
      <c r="BE65" s="7">
        <f t="shared" ca="1" si="37"/>
        <v>0</v>
      </c>
      <c r="BF65" s="7">
        <f t="shared" ca="1" si="37"/>
        <v>0</v>
      </c>
      <c r="BG65" s="7">
        <f t="shared" ca="1" si="37"/>
        <v>0</v>
      </c>
      <c r="BH65" s="7">
        <f t="shared" ca="1" si="37"/>
        <v>0</v>
      </c>
      <c r="BI65" s="7">
        <f t="shared" ca="1" si="37"/>
        <v>0</v>
      </c>
      <c r="BJ65" s="7">
        <f t="shared" ca="1" si="37"/>
        <v>0</v>
      </c>
      <c r="BK65" s="7">
        <f t="shared" ca="1" si="37"/>
        <v>0</v>
      </c>
      <c r="BL65" s="7">
        <f t="shared" ca="1" si="37"/>
        <v>0</v>
      </c>
      <c r="BM65" s="7">
        <f t="shared" ca="1" si="37"/>
        <v>0</v>
      </c>
      <c r="BN65" s="7">
        <f t="shared" ca="1" si="37"/>
        <v>0</v>
      </c>
      <c r="BO65" s="7">
        <f t="shared" ca="1" si="37"/>
        <v>0</v>
      </c>
      <c r="BP65" s="7">
        <f t="shared" ca="1" si="37"/>
        <v>0</v>
      </c>
      <c r="BQ65" s="7">
        <f t="shared" ca="1" si="37"/>
        <v>0</v>
      </c>
      <c r="BR65" s="7">
        <f t="shared" ca="1" si="37"/>
        <v>0</v>
      </c>
      <c r="BS65" s="7">
        <f t="shared" ca="1" si="37"/>
        <v>0</v>
      </c>
      <c r="BT65" s="7">
        <f t="shared" ca="1" si="37"/>
        <v>0</v>
      </c>
      <c r="BU65" s="7">
        <f t="shared" ca="1" si="37"/>
        <v>0</v>
      </c>
      <c r="BV65" s="7">
        <f t="shared" ca="1" si="37"/>
        <v>0</v>
      </c>
      <c r="BW65" s="7">
        <f t="shared" ca="1" si="37"/>
        <v>0</v>
      </c>
      <c r="BX65" s="7">
        <f t="shared" ca="1" si="37"/>
        <v>0</v>
      </c>
      <c r="BY65" s="7"/>
      <c r="BZ65" s="7"/>
    </row>
    <row r="66" spans="1:78" ht="15.75" customHeight="1">
      <c r="A66" s="7"/>
      <c r="B66" s="18"/>
      <c r="C66" s="8"/>
      <c r="D66" s="8"/>
      <c r="E66" s="7"/>
      <c r="F66" s="7"/>
      <c r="G66" s="7"/>
      <c r="H66" s="7"/>
      <c r="I66" s="7"/>
      <c r="J66" s="7"/>
      <c r="K66" s="7">
        <v>62</v>
      </c>
      <c r="L66" s="7" t="e">
        <f t="shared" ca="1" si="10"/>
        <v>#N/A</v>
      </c>
      <c r="M66" s="7" t="e">
        <f t="shared" ca="1" si="11"/>
        <v>#N/A</v>
      </c>
      <c r="N66" s="7" t="e">
        <f t="shared" ca="1" si="13"/>
        <v>#N/A</v>
      </c>
      <c r="O66" s="7">
        <f t="shared" ca="1" si="37"/>
        <v>0</v>
      </c>
      <c r="P66" s="7">
        <f t="shared" ca="1" si="37"/>
        <v>0</v>
      </c>
      <c r="Q66" s="7">
        <f t="shared" ca="1" si="37"/>
        <v>0</v>
      </c>
      <c r="R66" s="7">
        <f t="shared" ca="1" si="37"/>
        <v>0</v>
      </c>
      <c r="S66" s="7">
        <f t="shared" ca="1" si="37"/>
        <v>0</v>
      </c>
      <c r="T66" s="7">
        <f t="shared" ca="1" si="37"/>
        <v>0</v>
      </c>
      <c r="U66" s="7">
        <f t="shared" ca="1" si="37"/>
        <v>0</v>
      </c>
      <c r="V66" s="7">
        <f t="shared" ca="1" si="37"/>
        <v>0</v>
      </c>
      <c r="W66" s="7">
        <f t="shared" ca="1" si="37"/>
        <v>0</v>
      </c>
      <c r="X66" s="7">
        <f t="shared" ca="1" si="37"/>
        <v>0</v>
      </c>
      <c r="Y66" s="7">
        <f t="shared" ca="1" si="37"/>
        <v>0</v>
      </c>
      <c r="Z66" s="7">
        <f t="shared" ca="1" si="37"/>
        <v>0</v>
      </c>
      <c r="AA66" s="7">
        <f t="shared" ca="1" si="37"/>
        <v>0</v>
      </c>
      <c r="AB66" s="7">
        <f t="shared" ca="1" si="37"/>
        <v>0</v>
      </c>
      <c r="AC66" s="7">
        <f t="shared" ca="1" si="37"/>
        <v>0</v>
      </c>
      <c r="AD66" s="7">
        <f t="shared" ca="1" si="37"/>
        <v>0</v>
      </c>
      <c r="AE66" s="7">
        <f t="shared" ca="1" si="37"/>
        <v>0</v>
      </c>
      <c r="AF66" s="7">
        <f t="shared" ca="1" si="37"/>
        <v>0</v>
      </c>
      <c r="AG66" s="7">
        <f t="shared" ca="1" si="37"/>
        <v>0</v>
      </c>
      <c r="AH66" s="7">
        <f t="shared" ca="1" si="37"/>
        <v>0</v>
      </c>
      <c r="AI66" s="7">
        <f t="shared" ca="1" si="37"/>
        <v>0</v>
      </c>
      <c r="AJ66" s="7">
        <f t="shared" ca="1" si="37"/>
        <v>0</v>
      </c>
      <c r="AK66" s="7">
        <f t="shared" ca="1" si="37"/>
        <v>0</v>
      </c>
      <c r="AL66" s="7">
        <f t="shared" ca="1" si="37"/>
        <v>0</v>
      </c>
      <c r="AM66" s="7">
        <f t="shared" ca="1" si="37"/>
        <v>0</v>
      </c>
      <c r="AN66" s="7">
        <f t="shared" ca="1" si="37"/>
        <v>0</v>
      </c>
      <c r="AO66" s="7">
        <f t="shared" ca="1" si="37"/>
        <v>0</v>
      </c>
      <c r="AP66" s="7">
        <f t="shared" ca="1" si="37"/>
        <v>0</v>
      </c>
      <c r="AQ66" s="7">
        <f t="shared" ca="1" si="37"/>
        <v>0</v>
      </c>
      <c r="AR66" s="7">
        <f t="shared" ca="1" si="37"/>
        <v>0</v>
      </c>
      <c r="AS66" s="7">
        <f t="shared" ca="1" si="37"/>
        <v>0</v>
      </c>
      <c r="AT66" s="7">
        <f t="shared" ca="1" si="37"/>
        <v>0</v>
      </c>
      <c r="AU66" s="7">
        <f t="shared" ca="1" si="37"/>
        <v>0</v>
      </c>
      <c r="AV66" s="7">
        <f t="shared" ca="1" si="37"/>
        <v>0</v>
      </c>
      <c r="AW66" s="7">
        <f t="shared" ca="1" si="37"/>
        <v>0</v>
      </c>
      <c r="AX66" s="7">
        <f t="shared" ca="1" si="37"/>
        <v>0</v>
      </c>
      <c r="AY66" s="7">
        <f t="shared" ca="1" si="37"/>
        <v>0</v>
      </c>
      <c r="AZ66" s="7">
        <f t="shared" ca="1" si="37"/>
        <v>0</v>
      </c>
      <c r="BA66" s="7">
        <f t="shared" ca="1" si="37"/>
        <v>0</v>
      </c>
      <c r="BB66" s="7">
        <f t="shared" ca="1" si="37"/>
        <v>0</v>
      </c>
      <c r="BC66" s="7">
        <f t="shared" ca="1" si="37"/>
        <v>0</v>
      </c>
      <c r="BD66" s="7">
        <f t="shared" ca="1" si="37"/>
        <v>0</v>
      </c>
      <c r="BE66" s="7">
        <f t="shared" ca="1" si="37"/>
        <v>0</v>
      </c>
      <c r="BF66" s="7">
        <f t="shared" ca="1" si="37"/>
        <v>0</v>
      </c>
      <c r="BG66" s="7">
        <f t="shared" ca="1" si="37"/>
        <v>0</v>
      </c>
      <c r="BH66" s="7">
        <f t="shared" ca="1" si="37"/>
        <v>0</v>
      </c>
      <c r="BI66" s="7">
        <f t="shared" ca="1" si="37"/>
        <v>0</v>
      </c>
      <c r="BJ66" s="7">
        <f t="shared" ca="1" si="37"/>
        <v>0</v>
      </c>
      <c r="BK66" s="7">
        <f t="shared" ca="1" si="37"/>
        <v>0</v>
      </c>
      <c r="BL66" s="7">
        <f t="shared" ca="1" si="37"/>
        <v>0</v>
      </c>
      <c r="BM66" s="7">
        <f t="shared" ca="1" si="37"/>
        <v>0</v>
      </c>
      <c r="BN66" s="7">
        <f t="shared" ca="1" si="37"/>
        <v>0</v>
      </c>
      <c r="BO66" s="7">
        <f t="shared" ca="1" si="37"/>
        <v>0</v>
      </c>
      <c r="BP66" s="7">
        <f t="shared" ca="1" si="37"/>
        <v>0</v>
      </c>
      <c r="BQ66" s="7">
        <f t="shared" ca="1" si="37"/>
        <v>0</v>
      </c>
      <c r="BR66" s="7">
        <f t="shared" ca="1" si="37"/>
        <v>0</v>
      </c>
      <c r="BS66" s="7">
        <f t="shared" ca="1" si="37"/>
        <v>0</v>
      </c>
      <c r="BT66" s="7">
        <f t="shared" ca="1" si="37"/>
        <v>0</v>
      </c>
      <c r="BU66" s="7">
        <f t="shared" ca="1" si="37"/>
        <v>0</v>
      </c>
      <c r="BV66" s="7">
        <f t="shared" ca="1" si="37"/>
        <v>0</v>
      </c>
      <c r="BW66" s="7">
        <f t="shared" ca="1" si="37"/>
        <v>0</v>
      </c>
      <c r="BX66" s="7">
        <f t="shared" ca="1" si="37"/>
        <v>0</v>
      </c>
      <c r="BY66" s="7"/>
      <c r="BZ66" s="7"/>
    </row>
    <row r="67" spans="1:78" ht="15.75" customHeight="1">
      <c r="A67" s="7"/>
      <c r="B67" s="18"/>
      <c r="C67" s="8"/>
      <c r="D67" s="8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7"/>
      <c r="AH67" s="7"/>
      <c r="AI67" s="7"/>
      <c r="AJ67" s="7"/>
      <c r="AK67" s="7"/>
      <c r="AL67" s="7"/>
      <c r="AM67" s="7"/>
      <c r="AN67" s="7"/>
      <c r="AO67" s="7"/>
      <c r="AP67" s="7"/>
      <c r="AQ67" s="7"/>
      <c r="AR67" s="7"/>
      <c r="AS67" s="7"/>
      <c r="AT67" s="7"/>
      <c r="AU67" s="7"/>
      <c r="AV67" s="7"/>
      <c r="AW67" s="7"/>
      <c r="AX67" s="7"/>
      <c r="AY67" s="7"/>
      <c r="AZ67" s="7"/>
      <c r="BA67" s="7"/>
      <c r="BB67" s="7"/>
      <c r="BC67" s="7"/>
      <c r="BD67" s="7"/>
      <c r="BE67" s="7"/>
      <c r="BF67" s="7"/>
      <c r="BG67" s="7"/>
      <c r="BH67" s="7"/>
      <c r="BI67" s="7"/>
      <c r="BJ67" s="7"/>
      <c r="BK67" s="7"/>
      <c r="BL67" s="7"/>
      <c r="BM67" s="7"/>
      <c r="BN67" s="7"/>
      <c r="BO67" s="7"/>
      <c r="BP67" s="7"/>
      <c r="BQ67" s="7"/>
      <c r="BR67" s="7"/>
      <c r="BS67" s="7"/>
      <c r="BT67" s="7"/>
      <c r="BU67" s="7"/>
      <c r="BV67" s="7"/>
      <c r="BW67" s="7"/>
      <c r="BX67" s="7"/>
      <c r="BY67" s="7"/>
      <c r="BZ67" s="7"/>
    </row>
    <row r="68" spans="1:78" ht="15.75" customHeight="1">
      <c r="A68" s="7"/>
      <c r="B68" s="18"/>
      <c r="C68" s="8"/>
      <c r="D68" s="8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  <c r="AB68" s="7"/>
      <c r="AC68" s="7"/>
      <c r="AD68" s="7"/>
      <c r="AE68" s="7"/>
      <c r="AF68" s="7"/>
      <c r="AG68" s="7"/>
      <c r="AH68" s="7"/>
      <c r="AI68" s="7"/>
      <c r="AJ68" s="7"/>
      <c r="AK68" s="7"/>
      <c r="AL68" s="7"/>
      <c r="AM68" s="7"/>
      <c r="AN68" s="7"/>
      <c r="AO68" s="7"/>
      <c r="AP68" s="7"/>
      <c r="AQ68" s="7"/>
      <c r="AR68" s="7"/>
      <c r="AS68" s="7"/>
      <c r="AT68" s="7"/>
      <c r="AU68" s="7"/>
      <c r="AV68" s="7"/>
      <c r="AW68" s="7"/>
      <c r="AX68" s="7"/>
      <c r="AY68" s="7"/>
      <c r="AZ68" s="7"/>
      <c r="BA68" s="7"/>
      <c r="BB68" s="7"/>
      <c r="BC68" s="7"/>
      <c r="BD68" s="7"/>
      <c r="BE68" s="7"/>
      <c r="BF68" s="7"/>
      <c r="BG68" s="7"/>
      <c r="BH68" s="7"/>
      <c r="BI68" s="7"/>
      <c r="BJ68" s="7"/>
      <c r="BK68" s="7"/>
      <c r="BL68" s="7"/>
      <c r="BM68" s="7"/>
      <c r="BN68" s="7"/>
      <c r="BO68" s="7"/>
      <c r="BP68" s="7"/>
      <c r="BQ68" s="7"/>
      <c r="BR68" s="7"/>
      <c r="BS68" s="7"/>
      <c r="BT68" s="7"/>
      <c r="BU68" s="7"/>
      <c r="BV68" s="7"/>
      <c r="BW68" s="7"/>
      <c r="BX68" s="7"/>
      <c r="BY68" s="7"/>
      <c r="BZ68" s="7"/>
    </row>
    <row r="69" spans="1:78" ht="15.75" customHeight="1">
      <c r="A69" s="7"/>
      <c r="B69" s="18"/>
      <c r="C69" s="8"/>
      <c r="D69" s="8"/>
      <c r="E69" s="7"/>
      <c r="F69" s="7"/>
      <c r="G69" s="7"/>
      <c r="H69" s="7"/>
      <c r="I69" s="7"/>
      <c r="J69" s="7"/>
    </row>
    <row r="70" spans="1:78" ht="15.75" customHeight="1">
      <c r="B70" s="15"/>
    </row>
    <row r="71" spans="1:78" ht="15.75" customHeight="1">
      <c r="B71" s="15"/>
    </row>
    <row r="72" spans="1:78" ht="15.75" customHeight="1">
      <c r="B72" s="15"/>
    </row>
    <row r="73" spans="1:78" ht="15.75" customHeight="1">
      <c r="B73" s="15"/>
    </row>
    <row r="74" spans="1:78" ht="15.75" customHeight="1">
      <c r="B74" s="15"/>
    </row>
    <row r="75" spans="1:78" ht="15.75" customHeight="1">
      <c r="B75" s="15"/>
    </row>
    <row r="76" spans="1:78" ht="15.75" customHeight="1">
      <c r="B76" s="15"/>
    </row>
    <row r="77" spans="1:78" ht="15.75" customHeight="1">
      <c r="B77" s="15"/>
    </row>
    <row r="78" spans="1:78" ht="15.75" customHeight="1">
      <c r="B78" s="15"/>
    </row>
    <row r="79" spans="1:78" ht="15.75" customHeight="1">
      <c r="B79" s="15"/>
    </row>
    <row r="80" spans="1:78" ht="15.75" customHeight="1">
      <c r="B80" s="15"/>
    </row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ageMargins left="0.7" right="0.7" top="0.75" bottom="0.75" header="0" footer="0"/>
  <pageSetup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N24"/>
  <sheetViews>
    <sheetView workbookViewId="0">
      <selection activeCell="G21" sqref="G21:I26"/>
    </sheetView>
  </sheetViews>
  <sheetFormatPr defaultRowHeight="15"/>
  <cols>
    <col min="1" max="1" width="33.85546875" customWidth="1"/>
    <col min="7" max="7" width="11.5703125" bestFit="1" customWidth="1"/>
  </cols>
  <sheetData>
    <row r="1" spans="1:14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 t="s">
        <v>338</v>
      </c>
    </row>
    <row r="2" spans="1:14">
      <c r="A2" t="s">
        <v>56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3000</v>
      </c>
      <c r="J2">
        <v>3000</v>
      </c>
      <c r="K2">
        <v>3000</v>
      </c>
      <c r="L2">
        <v>2991</v>
      </c>
      <c r="M2">
        <v>0</v>
      </c>
      <c r="N2">
        <v>11991</v>
      </c>
    </row>
    <row r="3" spans="1:14">
      <c r="A3" t="s">
        <v>57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6.5</v>
      </c>
      <c r="J3">
        <v>6.5</v>
      </c>
      <c r="K3">
        <v>6.5</v>
      </c>
      <c r="L3">
        <v>6.6656636576395858</v>
      </c>
      <c r="M3">
        <v>0</v>
      </c>
      <c r="N3">
        <v>6.5413226586606621</v>
      </c>
    </row>
    <row r="4" spans="1:14">
      <c r="A4" t="s">
        <v>58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19500</v>
      </c>
      <c r="J4">
        <v>19500</v>
      </c>
      <c r="K4">
        <v>19500</v>
      </c>
      <c r="L4">
        <v>19937</v>
      </c>
      <c r="M4">
        <v>0</v>
      </c>
      <c r="N4">
        <v>78437</v>
      </c>
    </row>
    <row r="5" spans="1:14">
      <c r="A5" t="s">
        <v>59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48</v>
      </c>
      <c r="J5">
        <v>48</v>
      </c>
      <c r="K5">
        <v>48</v>
      </c>
      <c r="L5">
        <v>39</v>
      </c>
      <c r="M5">
        <v>0</v>
      </c>
      <c r="N5">
        <v>183</v>
      </c>
    </row>
    <row r="6" spans="1:14">
      <c r="A6" t="s">
        <v>60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1.6</v>
      </c>
      <c r="J6">
        <v>1.6</v>
      </c>
      <c r="K6">
        <v>1.6</v>
      </c>
      <c r="L6">
        <v>1.3</v>
      </c>
      <c r="M6">
        <v>0</v>
      </c>
      <c r="N6">
        <v>1.5261446084563421</v>
      </c>
    </row>
    <row r="7" spans="1:14">
      <c r="A7" t="s">
        <v>61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2952</v>
      </c>
      <c r="J7">
        <v>2952</v>
      </c>
      <c r="K7">
        <v>2952</v>
      </c>
      <c r="L7">
        <v>2952</v>
      </c>
      <c r="M7">
        <v>0</v>
      </c>
      <c r="N7">
        <v>11808</v>
      </c>
    </row>
    <row r="8" spans="1:14">
      <c r="A8" t="s">
        <v>62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115</v>
      </c>
      <c r="J8">
        <v>115</v>
      </c>
      <c r="K8">
        <v>115</v>
      </c>
      <c r="L8">
        <v>115</v>
      </c>
      <c r="M8">
        <v>0</v>
      </c>
      <c r="N8">
        <v>115</v>
      </c>
    </row>
    <row r="9" spans="1:14">
      <c r="A9" t="s">
        <v>63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339480</v>
      </c>
      <c r="J9">
        <v>339480</v>
      </c>
      <c r="K9">
        <v>339480</v>
      </c>
      <c r="L9">
        <v>339480</v>
      </c>
      <c r="M9">
        <v>0</v>
      </c>
      <c r="N9">
        <v>1357920</v>
      </c>
    </row>
    <row r="10" spans="1:14">
      <c r="A10" t="s">
        <v>64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319980</v>
      </c>
      <c r="J10">
        <v>319980</v>
      </c>
      <c r="K10">
        <v>319980</v>
      </c>
      <c r="L10">
        <v>319543</v>
      </c>
      <c r="M10">
        <v>0</v>
      </c>
      <c r="N10">
        <v>1279483</v>
      </c>
    </row>
    <row r="11" spans="1:14">
      <c r="A11" t="s">
        <v>65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759716.62999999931</v>
      </c>
      <c r="J11">
        <v>759716.62999999931</v>
      </c>
      <c r="K11">
        <v>759716.62999999931</v>
      </c>
      <c r="L11">
        <v>737187.90999999829</v>
      </c>
      <c r="M11">
        <v>0</v>
      </c>
      <c r="N11">
        <v>3016337.7999999961</v>
      </c>
    </row>
    <row r="12" spans="1:14">
      <c r="A12" t="s">
        <v>66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257.35658197831953</v>
      </c>
      <c r="J12">
        <v>257.35658197831953</v>
      </c>
      <c r="K12">
        <v>257.35658197831953</v>
      </c>
      <c r="L12">
        <v>249.72490176151703</v>
      </c>
      <c r="M12">
        <v>0</v>
      </c>
      <c r="N12">
        <v>255.44866192411891</v>
      </c>
    </row>
    <row r="13" spans="1:14">
      <c r="A13" t="s">
        <v>67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2.3742628601787592</v>
      </c>
      <c r="J13">
        <v>2.3742628601787592</v>
      </c>
      <c r="K13">
        <v>2.3742628601787592</v>
      </c>
      <c r="L13">
        <v>2.3070069129976192</v>
      </c>
      <c r="M13">
        <v>0</v>
      </c>
      <c r="N13">
        <v>2.3574661015425731</v>
      </c>
    </row>
    <row r="14" spans="1:14">
      <c r="A14" t="s">
        <v>68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2.4409999999999998</v>
      </c>
      <c r="J14">
        <v>2.4409999999999998</v>
      </c>
      <c r="K14">
        <v>2.4409999999999998</v>
      </c>
      <c r="L14">
        <v>2.4420000000000002</v>
      </c>
      <c r="M14">
        <v>0</v>
      </c>
      <c r="N14">
        <v>2.4409999999999998</v>
      </c>
    </row>
    <row r="15" spans="1:14">
      <c r="A15" t="s">
        <v>69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-6.6737139821240632E-2</v>
      </c>
      <c r="J15">
        <v>-6.6737139821240632E-2</v>
      </c>
      <c r="K15">
        <v>-6.6737139821240632E-2</v>
      </c>
      <c r="L15">
        <v>-0.134993087002381</v>
      </c>
      <c r="M15">
        <v>0</v>
      </c>
      <c r="N15">
        <v>-8.3533898457426758E-2</v>
      </c>
    </row>
    <row r="24" spans="7:7">
      <c r="G24" s="127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1"/>
  <dimension ref="A1:L20"/>
  <sheetViews>
    <sheetView workbookViewId="0">
      <selection activeCell="F16" sqref="F16"/>
    </sheetView>
  </sheetViews>
  <sheetFormatPr defaultRowHeight="11.25"/>
  <cols>
    <col min="1" max="2" width="9.140625" style="135"/>
    <col min="3" max="3" width="10.42578125" style="135" customWidth="1"/>
    <col min="4" max="4" width="15.7109375" style="135" customWidth="1"/>
    <col min="5" max="5" width="16.28515625" style="135" customWidth="1"/>
    <col min="6" max="6" width="18.140625" style="135" customWidth="1"/>
    <col min="7" max="7" width="15.28515625" style="135" customWidth="1"/>
    <col min="8" max="8" width="11.85546875" style="135" customWidth="1"/>
    <col min="9" max="9" width="9.140625" style="135"/>
    <col min="10" max="11" width="11" style="135" customWidth="1"/>
    <col min="12" max="12" width="63.85546875" style="135" customWidth="1"/>
    <col min="13" max="16384" width="9.140625" style="135"/>
  </cols>
  <sheetData>
    <row r="1" spans="1:12" ht="166.5" customHeight="1">
      <c r="A1" s="139" t="s">
        <v>456</v>
      </c>
      <c r="B1" s="133" t="s">
        <v>451</v>
      </c>
      <c r="C1" s="133"/>
      <c r="D1" s="133" t="s">
        <v>416</v>
      </c>
      <c r="E1" s="133" t="s">
        <v>417</v>
      </c>
      <c r="F1" s="133"/>
      <c r="G1" s="133" t="s">
        <v>419</v>
      </c>
      <c r="H1" s="133" t="s">
        <v>420</v>
      </c>
      <c r="I1" s="133" t="s">
        <v>419</v>
      </c>
      <c r="J1" s="133" t="s">
        <v>420</v>
      </c>
      <c r="K1" s="133" t="s">
        <v>449</v>
      </c>
      <c r="L1" s="134" t="s">
        <v>457</v>
      </c>
    </row>
    <row r="2" spans="1:12" ht="167.25" customHeight="1">
      <c r="A2" s="135">
        <f>(VALUE(LEFT(A1,2)))</f>
        <v>0</v>
      </c>
      <c r="B2" s="135">
        <v>2020</v>
      </c>
      <c r="C2" s="136">
        <f>++DATE(B2,1,1)</f>
        <v>43831</v>
      </c>
      <c r="D2" s="136">
        <f>+WEEKDAY(DATE(B2,1,1),1)</f>
        <v>4</v>
      </c>
      <c r="E2" s="136">
        <f>+C2-D2+1</f>
        <v>43828</v>
      </c>
      <c r="F2" s="133" t="s">
        <v>418</v>
      </c>
      <c r="G2" s="136">
        <f>+E2+A2*7</f>
        <v>43828</v>
      </c>
      <c r="H2" s="136">
        <f>+G2-7</f>
        <v>43821</v>
      </c>
      <c r="I2" s="138" t="str">
        <f>+IF(A2&gt;0,$B$1&amp;YEAR(G2)&amp;"-"&amp;MONTH(G2)&amp;"-"&amp;DAY(G2)&amp;$B$1,+IF(A4&gt;0,$B$1&amp;YEAR(G4)&amp;"-"&amp;MONTH(G4)&amp;"-"&amp;DAY(G4)&amp;$B$1,$B$1&amp;YEAR(G6)&amp;"-"&amp;MONTH(G6)&amp;"-"&amp;DAY(G6)&amp;$B$1))</f>
        <v>"2020-12-31"</v>
      </c>
      <c r="J2" s="138" t="str">
        <f>+IF(A2&gt;0,$B$1&amp;YEAR(H2)&amp;"-"&amp;MONTH(H2)&amp;"-"&amp;DAY(H2)&amp;$B$1,+IF(A4&gt;0,$B$1&amp;YEAR(H4)&amp;"-"&amp;MONTH(H4)&amp;"-"&amp;DAY(H4)&amp;$B$1,$B$1&amp;YEAR(H6)&amp;"-"&amp;MONTH(H6)&amp;"-"&amp;DAY(H6)&amp;$B$1))</f>
        <v>"2020-1-1"</v>
      </c>
      <c r="K2" s="137" t="s">
        <v>322</v>
      </c>
      <c r="L2" s="133" t="str">
        <f>SUBSTITUTE(SUBSTITUTE(+SUBSTITUTE(L1,"para_ngay_bat_dau",$J$2),"para_ngay_ket_thuc",$I$2),"para_cong_ty",$K$2)</f>
        <v>SELECT * FROM (SELECT *, CONCAT(bang_ton_dau.cong_ty,"-", bang_ton_dau.trai,"-", bang_ton_dau.chuong) AS ma FROM (SELECT data_thit.cong_ty, data_thit.trai, data_thit.chuong, data_thit.ngay_dong, SUM(data_thit.so_luong_nhap)-SUM(data_thit.chet_loai)-SUM(data_thit.ban) AS ton_dau FROM data_thit WHERE data_thit.ngay&lt;"2020-1-1" AND data_thit.cong_ty=103 AND (data_thit.ngay_dong =0 OR data_thit.ngay_dong &gt;"2020-12-31" OR data_thit.ngay_dong &lt;"2020-1-1" ) Group By data_thit.cong_ty, data_thit.trai, data_thit.chuong) AS bang_ton_dau ) AS bang_ton_dau_vba LEFT JOIN (SELECT *,  CONCAT(bang_dien_bien_tuan.cong_ty,"-", bang_dien_bien_tuan.trai,"-", bang_dien_bien_tuan.chuong) AS ma FROM (SELECT data_thit.cong_ty, data_thit.trai, data_thit.chuong ,data_thit.ma_lo_nhap,  SUM(data_thit.so_luong_nhap)   , SUM(data_thit.kg_nhap)  , SUM(data_thit.cam_0)   , SUM(data_thit.chet_loai), SUM(data_thit.ban)    , SUM(data_thit.kg_ban)  , SUM(data_thit.chuyen_den)  , SUM(data_thit.chuyen_di)  FROM data_thit WHERE cong_ty  = 103 AND data_thit.ngay &gt;= "2020-1-1" AND data_thit.ngay &lt;= "2020-12-31" GROUP BY data_thit.cong_ty , data_thit.trai , data_thit.chuong ) AS bang_dien_bien_tuan ) AS bang_dien_bien_tuan_vba ON bang_ton_dau_vba.ma = bang_dien_bien_tuan_vba.ma</v>
      </c>
    </row>
    <row r="3" spans="1:12">
      <c r="A3" s="135" t="s">
        <v>450</v>
      </c>
      <c r="D3" s="136"/>
      <c r="G3" s="135" t="s">
        <v>453</v>
      </c>
      <c r="H3" s="133" t="s">
        <v>452</v>
      </c>
    </row>
    <row r="4" spans="1:12">
      <c r="A4" s="135">
        <f>+VALUE(RIGHT(A1,2))</f>
        <v>0</v>
      </c>
      <c r="D4" s="136"/>
      <c r="G4" s="136">
        <f>++DATE(B2,A4+1,1)-1</f>
        <v>43830</v>
      </c>
      <c r="H4" s="136">
        <f>+DATE(B2,A4,1)</f>
        <v>43800</v>
      </c>
    </row>
    <row r="5" spans="1:12">
      <c r="D5" s="136"/>
      <c r="G5" s="135" t="s">
        <v>454</v>
      </c>
      <c r="H5" s="133" t="s">
        <v>455</v>
      </c>
    </row>
    <row r="6" spans="1:12">
      <c r="D6" s="136"/>
      <c r="G6" s="136">
        <f>++DATE(B2+1,1,1)-1</f>
        <v>44196</v>
      </c>
      <c r="H6" s="136">
        <f>+DATE(B2,1,1)</f>
        <v>43831</v>
      </c>
    </row>
    <row r="16" spans="1:12">
      <c r="A16" s="135" t="s">
        <v>421</v>
      </c>
      <c r="D16" s="136"/>
    </row>
    <row r="17" spans="1:5">
      <c r="A17" s="135" t="s">
        <v>422</v>
      </c>
      <c r="D17" s="136"/>
    </row>
    <row r="20" spans="1:5">
      <c r="B20" s="135">
        <v>2022</v>
      </c>
      <c r="C20" s="136">
        <f>++DATE(B20,1,1)</f>
        <v>44562</v>
      </c>
      <c r="D20" s="136">
        <f>+WEEKDAY(DATE(B20+1,1,1)-1,1)</f>
        <v>7</v>
      </c>
      <c r="E20" s="135">
        <f>+IF(D20=7,53,52)</f>
        <v>53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3"/>
  <dimension ref="A1:AR250"/>
  <sheetViews>
    <sheetView workbookViewId="0">
      <selection activeCell="K19" sqref="K19"/>
    </sheetView>
  </sheetViews>
  <sheetFormatPr defaultRowHeight="15"/>
  <cols>
    <col min="1" max="10" width="9.140625" style="131"/>
    <col min="11" max="11" width="19.7109375" style="131" customWidth="1"/>
    <col min="12" max="12" width="9.140625" style="131"/>
    <col min="13" max="13" width="19.5703125" style="131" customWidth="1"/>
    <col min="14" max="14" width="13.42578125" style="131" customWidth="1"/>
    <col min="15" max="16" width="9.140625" style="131"/>
    <col min="17" max="17" width="14" style="131" customWidth="1"/>
    <col min="18" max="18" width="9.140625" style="131"/>
    <col min="19" max="19" width="24.42578125" style="131" customWidth="1"/>
    <col min="28" max="30" width="9.140625" style="131"/>
    <col min="31" max="31" width="12.5703125" style="131" customWidth="1"/>
    <col min="32" max="33" width="9.140625" style="131"/>
    <col min="34" max="34" width="7.5703125" style="131" customWidth="1"/>
    <col min="35" max="35" width="7.140625" style="131" customWidth="1"/>
    <col min="36" max="36" width="10.7109375" style="131" customWidth="1"/>
    <col min="37" max="44" width="9.140625" style="131"/>
  </cols>
  <sheetData>
    <row r="1" spans="1:44" s="130" customFormat="1" ht="66.75" customHeight="1">
      <c r="A1" s="132" t="s">
        <v>311</v>
      </c>
      <c r="B1" s="132" t="s">
        <v>310</v>
      </c>
      <c r="C1" s="132" t="s">
        <v>312</v>
      </c>
      <c r="D1" s="132" t="s">
        <v>445</v>
      </c>
      <c r="E1" s="132" t="s">
        <v>446</v>
      </c>
      <c r="F1" s="132" t="s">
        <v>309</v>
      </c>
      <c r="G1" s="132" t="s">
        <v>311</v>
      </c>
      <c r="H1" s="132" t="s">
        <v>310</v>
      </c>
      <c r="I1" s="132" t="s">
        <v>312</v>
      </c>
      <c r="J1" s="132" t="s">
        <v>313</v>
      </c>
      <c r="K1" s="132" t="s">
        <v>423</v>
      </c>
      <c r="L1" s="132" t="s">
        <v>424</v>
      </c>
      <c r="M1" s="132" t="s">
        <v>425</v>
      </c>
      <c r="N1" s="132" t="s">
        <v>426</v>
      </c>
      <c r="O1" s="132" t="s">
        <v>427</v>
      </c>
      <c r="P1" s="132" t="s">
        <v>428</v>
      </c>
      <c r="Q1" s="132" t="s">
        <v>429</v>
      </c>
      <c r="R1" s="132" t="s">
        <v>430</v>
      </c>
      <c r="S1" s="132" t="s">
        <v>309</v>
      </c>
      <c r="AA1" s="130" t="str">
        <f>++ADDRESS(1,28,4)&amp;":"&amp;ADDRESS(COUNTA(B1:B200),28+16,4)</f>
        <v>AB1:AR1</v>
      </c>
      <c r="AB1" s="132" t="s">
        <v>14</v>
      </c>
      <c r="AC1" s="132" t="s">
        <v>15</v>
      </c>
      <c r="AD1" s="132" t="s">
        <v>16</v>
      </c>
      <c r="AE1" s="132" t="s">
        <v>431</v>
      </c>
      <c r="AF1" s="132" t="s">
        <v>432</v>
      </c>
      <c r="AG1" s="132" t="s">
        <v>442</v>
      </c>
      <c r="AH1" s="132" t="s">
        <v>433</v>
      </c>
      <c r="AI1" s="132" t="s">
        <v>434</v>
      </c>
      <c r="AJ1" s="132" t="s">
        <v>435</v>
      </c>
      <c r="AK1" s="132" t="s">
        <v>436</v>
      </c>
      <c r="AL1" s="132" t="s">
        <v>443</v>
      </c>
      <c r="AM1" s="132" t="s">
        <v>437</v>
      </c>
      <c r="AN1" s="132" t="s">
        <v>438</v>
      </c>
      <c r="AO1" s="132" t="s">
        <v>439</v>
      </c>
      <c r="AP1" s="132" t="s">
        <v>440</v>
      </c>
      <c r="AQ1" s="132" t="s">
        <v>441</v>
      </c>
      <c r="AR1" s="132" t="s">
        <v>444</v>
      </c>
    </row>
    <row r="2" spans="1:44">
      <c r="D2" s="105"/>
      <c r="AB2" s="131">
        <f>+A2</f>
        <v>0</v>
      </c>
      <c r="AC2" s="131">
        <f>+B2</f>
        <v>0</v>
      </c>
      <c r="AD2" s="131">
        <f>+C2</f>
        <v>0</v>
      </c>
      <c r="AE2" s="131">
        <f>+E2</f>
        <v>0</v>
      </c>
      <c r="AF2" s="131">
        <f>+K2</f>
        <v>0</v>
      </c>
      <c r="AG2" s="131">
        <f>+L2</f>
        <v>0</v>
      </c>
      <c r="AH2" s="131">
        <f>+Q2</f>
        <v>0</v>
      </c>
      <c r="AI2" s="131">
        <f>+N2</f>
        <v>0</v>
      </c>
      <c r="AJ2" s="131" t="e">
        <f>+AI2/AF2*100</f>
        <v>#DIV/0!</v>
      </c>
      <c r="AK2" s="131">
        <f>+O2</f>
        <v>0</v>
      </c>
      <c r="AL2" s="131">
        <f>+P2</f>
        <v>0</v>
      </c>
      <c r="AM2" s="131">
        <v>0</v>
      </c>
      <c r="AN2" s="131">
        <f>+M2</f>
        <v>0</v>
      </c>
      <c r="AO2" s="131">
        <v>0</v>
      </c>
      <c r="AP2" s="131">
        <f>+R2</f>
        <v>0</v>
      </c>
      <c r="AQ2" s="131">
        <f>+AE2+AF2+AH2-AI2-AK2-AM2-AP2</f>
        <v>0</v>
      </c>
      <c r="AR2" s="131">
        <v>0</v>
      </c>
    </row>
    <row r="3" spans="1:44">
      <c r="D3" s="105"/>
      <c r="AB3" s="131">
        <f t="shared" ref="AB3:AB66" si="0">+A3</f>
        <v>0</v>
      </c>
      <c r="AC3" s="131">
        <f t="shared" ref="AC3:AC66" si="1">+B3</f>
        <v>0</v>
      </c>
      <c r="AD3" s="131">
        <f t="shared" ref="AD3:AD66" si="2">+C3</f>
        <v>0</v>
      </c>
      <c r="AE3" s="131">
        <f t="shared" ref="AE3:AE66" si="3">+E3</f>
        <v>0</v>
      </c>
      <c r="AF3" s="131">
        <f t="shared" ref="AF3:AF66" si="4">+K3</f>
        <v>0</v>
      </c>
      <c r="AG3" s="131">
        <f t="shared" ref="AG3:AG66" si="5">+L3</f>
        <v>0</v>
      </c>
      <c r="AH3" s="131">
        <f t="shared" ref="AH3:AH66" si="6">+Q3</f>
        <v>0</v>
      </c>
      <c r="AI3" s="131">
        <f t="shared" ref="AI3:AI66" si="7">+N3</f>
        <v>0</v>
      </c>
      <c r="AJ3" s="131" t="e">
        <f t="shared" ref="AJ3:AJ66" si="8">+AI3/AF3*100</f>
        <v>#DIV/0!</v>
      </c>
      <c r="AK3" s="131">
        <f t="shared" ref="AK3:AK66" si="9">+O3</f>
        <v>0</v>
      </c>
      <c r="AL3" s="131">
        <f t="shared" ref="AL3:AL66" si="10">+P3</f>
        <v>0</v>
      </c>
      <c r="AM3" s="131">
        <v>0</v>
      </c>
      <c r="AN3" s="131">
        <f t="shared" ref="AN3:AN66" si="11">+M3</f>
        <v>0</v>
      </c>
      <c r="AO3" s="131">
        <v>0</v>
      </c>
      <c r="AP3" s="131">
        <f t="shared" ref="AP3:AP66" si="12">+R3</f>
        <v>0</v>
      </c>
      <c r="AQ3" s="131">
        <f t="shared" ref="AQ3:AQ66" si="13">+AE3+AF3+AH3-AI3-AK3-AM3-AP3</f>
        <v>0</v>
      </c>
      <c r="AR3" s="131">
        <v>0</v>
      </c>
    </row>
    <row r="4" spans="1:44">
      <c r="D4" s="105"/>
      <c r="AB4" s="131">
        <f t="shared" si="0"/>
        <v>0</v>
      </c>
      <c r="AC4" s="131">
        <f t="shared" si="1"/>
        <v>0</v>
      </c>
      <c r="AD4" s="131">
        <f t="shared" si="2"/>
        <v>0</v>
      </c>
      <c r="AE4" s="131">
        <f t="shared" si="3"/>
        <v>0</v>
      </c>
      <c r="AF4" s="131">
        <f t="shared" si="4"/>
        <v>0</v>
      </c>
      <c r="AG4" s="131">
        <f t="shared" si="5"/>
        <v>0</v>
      </c>
      <c r="AH4" s="131">
        <f t="shared" si="6"/>
        <v>0</v>
      </c>
      <c r="AI4" s="131">
        <f t="shared" si="7"/>
        <v>0</v>
      </c>
      <c r="AJ4" s="131" t="e">
        <f t="shared" si="8"/>
        <v>#DIV/0!</v>
      </c>
      <c r="AK4" s="131">
        <f t="shared" si="9"/>
        <v>0</v>
      </c>
      <c r="AL4" s="131">
        <f t="shared" si="10"/>
        <v>0</v>
      </c>
      <c r="AM4" s="131">
        <v>0</v>
      </c>
      <c r="AN4" s="131">
        <f t="shared" si="11"/>
        <v>0</v>
      </c>
      <c r="AO4" s="131">
        <v>0</v>
      </c>
      <c r="AP4" s="131">
        <f t="shared" si="12"/>
        <v>0</v>
      </c>
      <c r="AQ4" s="131">
        <f t="shared" si="13"/>
        <v>0</v>
      </c>
      <c r="AR4" s="131">
        <v>0</v>
      </c>
    </row>
    <row r="5" spans="1:44">
      <c r="D5" s="105"/>
      <c r="K5" s="105"/>
      <c r="L5" s="105"/>
      <c r="M5" s="105"/>
      <c r="AB5" s="131">
        <f t="shared" si="0"/>
        <v>0</v>
      </c>
      <c r="AC5" s="131">
        <f t="shared" si="1"/>
        <v>0</v>
      </c>
      <c r="AD5" s="131">
        <f t="shared" si="2"/>
        <v>0</v>
      </c>
      <c r="AE5" s="131">
        <f t="shared" si="3"/>
        <v>0</v>
      </c>
      <c r="AF5" s="131">
        <f t="shared" si="4"/>
        <v>0</v>
      </c>
      <c r="AG5" s="131">
        <f t="shared" si="5"/>
        <v>0</v>
      </c>
      <c r="AH5" s="131">
        <f t="shared" si="6"/>
        <v>0</v>
      </c>
      <c r="AI5" s="131">
        <f t="shared" si="7"/>
        <v>0</v>
      </c>
      <c r="AJ5" s="131" t="e">
        <f t="shared" si="8"/>
        <v>#DIV/0!</v>
      </c>
      <c r="AK5" s="131">
        <f t="shared" si="9"/>
        <v>0</v>
      </c>
      <c r="AL5" s="131">
        <f t="shared" si="10"/>
        <v>0</v>
      </c>
      <c r="AM5" s="131">
        <v>0</v>
      </c>
      <c r="AN5" s="131">
        <f t="shared" si="11"/>
        <v>0</v>
      </c>
      <c r="AO5" s="131">
        <v>0</v>
      </c>
      <c r="AP5" s="131">
        <f t="shared" si="12"/>
        <v>0</v>
      </c>
      <c r="AQ5" s="131">
        <f t="shared" si="13"/>
        <v>0</v>
      </c>
      <c r="AR5" s="131">
        <v>0</v>
      </c>
    </row>
    <row r="6" spans="1:44">
      <c r="D6" s="105"/>
      <c r="K6" s="105"/>
      <c r="L6" s="105"/>
      <c r="M6" s="105"/>
      <c r="AB6" s="131">
        <f t="shared" si="0"/>
        <v>0</v>
      </c>
      <c r="AC6" s="131">
        <f t="shared" si="1"/>
        <v>0</v>
      </c>
      <c r="AD6" s="131">
        <f t="shared" si="2"/>
        <v>0</v>
      </c>
      <c r="AE6" s="131">
        <f t="shared" si="3"/>
        <v>0</v>
      </c>
      <c r="AF6" s="131">
        <f t="shared" si="4"/>
        <v>0</v>
      </c>
      <c r="AG6" s="131">
        <f t="shared" si="5"/>
        <v>0</v>
      </c>
      <c r="AH6" s="131">
        <f t="shared" si="6"/>
        <v>0</v>
      </c>
      <c r="AI6" s="131">
        <f t="shared" si="7"/>
        <v>0</v>
      </c>
      <c r="AJ6" s="131" t="e">
        <f t="shared" si="8"/>
        <v>#DIV/0!</v>
      </c>
      <c r="AK6" s="131">
        <f t="shared" si="9"/>
        <v>0</v>
      </c>
      <c r="AL6" s="131">
        <f t="shared" si="10"/>
        <v>0</v>
      </c>
      <c r="AM6" s="131">
        <v>0</v>
      </c>
      <c r="AN6" s="131">
        <f t="shared" si="11"/>
        <v>0</v>
      </c>
      <c r="AO6" s="131">
        <v>0</v>
      </c>
      <c r="AP6" s="131">
        <f t="shared" si="12"/>
        <v>0</v>
      </c>
      <c r="AQ6" s="131">
        <f t="shared" si="13"/>
        <v>0</v>
      </c>
      <c r="AR6" s="131">
        <v>0</v>
      </c>
    </row>
    <row r="7" spans="1:44">
      <c r="D7" s="105"/>
      <c r="K7" s="105"/>
      <c r="L7" s="105"/>
      <c r="AB7" s="131">
        <f t="shared" si="0"/>
        <v>0</v>
      </c>
      <c r="AC7" s="131">
        <f t="shared" si="1"/>
        <v>0</v>
      </c>
      <c r="AD7" s="131">
        <f t="shared" si="2"/>
        <v>0</v>
      </c>
      <c r="AE7" s="131">
        <f t="shared" si="3"/>
        <v>0</v>
      </c>
      <c r="AF7" s="131">
        <f t="shared" si="4"/>
        <v>0</v>
      </c>
      <c r="AG7" s="131">
        <f t="shared" si="5"/>
        <v>0</v>
      </c>
      <c r="AH7" s="131">
        <f t="shared" si="6"/>
        <v>0</v>
      </c>
      <c r="AI7" s="131">
        <f t="shared" si="7"/>
        <v>0</v>
      </c>
      <c r="AJ7" s="131" t="e">
        <f t="shared" si="8"/>
        <v>#DIV/0!</v>
      </c>
      <c r="AK7" s="131">
        <f t="shared" si="9"/>
        <v>0</v>
      </c>
      <c r="AL7" s="131">
        <f t="shared" si="10"/>
        <v>0</v>
      </c>
      <c r="AM7" s="131">
        <v>0</v>
      </c>
      <c r="AN7" s="131">
        <f t="shared" si="11"/>
        <v>0</v>
      </c>
      <c r="AO7" s="131">
        <v>0</v>
      </c>
      <c r="AP7" s="131">
        <f t="shared" si="12"/>
        <v>0</v>
      </c>
      <c r="AQ7" s="131">
        <f t="shared" si="13"/>
        <v>0</v>
      </c>
      <c r="AR7" s="131">
        <v>0</v>
      </c>
    </row>
    <row r="8" spans="1:44">
      <c r="D8" s="105"/>
      <c r="K8" s="105"/>
      <c r="L8" s="105"/>
      <c r="AB8" s="131">
        <f t="shared" si="0"/>
        <v>0</v>
      </c>
      <c r="AC8" s="131">
        <f t="shared" si="1"/>
        <v>0</v>
      </c>
      <c r="AD8" s="131">
        <f t="shared" si="2"/>
        <v>0</v>
      </c>
      <c r="AE8" s="131">
        <f t="shared" si="3"/>
        <v>0</v>
      </c>
      <c r="AF8" s="131">
        <f t="shared" si="4"/>
        <v>0</v>
      </c>
      <c r="AG8" s="131">
        <f t="shared" si="5"/>
        <v>0</v>
      </c>
      <c r="AH8" s="131">
        <f t="shared" si="6"/>
        <v>0</v>
      </c>
      <c r="AI8" s="131">
        <f t="shared" si="7"/>
        <v>0</v>
      </c>
      <c r="AJ8" s="131" t="e">
        <f t="shared" si="8"/>
        <v>#DIV/0!</v>
      </c>
      <c r="AK8" s="131">
        <f t="shared" si="9"/>
        <v>0</v>
      </c>
      <c r="AL8" s="131">
        <f t="shared" si="10"/>
        <v>0</v>
      </c>
      <c r="AM8" s="131">
        <v>0</v>
      </c>
      <c r="AN8" s="131">
        <f t="shared" si="11"/>
        <v>0</v>
      </c>
      <c r="AO8" s="131">
        <v>0</v>
      </c>
      <c r="AP8" s="131">
        <f t="shared" si="12"/>
        <v>0</v>
      </c>
      <c r="AQ8" s="131">
        <f t="shared" si="13"/>
        <v>0</v>
      </c>
      <c r="AR8" s="131">
        <v>0</v>
      </c>
    </row>
    <row r="9" spans="1:44">
      <c r="D9" s="105"/>
      <c r="K9" s="105"/>
      <c r="L9" s="105"/>
      <c r="AB9" s="131">
        <f t="shared" si="0"/>
        <v>0</v>
      </c>
      <c r="AC9" s="131">
        <f t="shared" si="1"/>
        <v>0</v>
      </c>
      <c r="AD9" s="131">
        <f t="shared" si="2"/>
        <v>0</v>
      </c>
      <c r="AE9" s="131">
        <f t="shared" si="3"/>
        <v>0</v>
      </c>
      <c r="AF9" s="131">
        <f t="shared" si="4"/>
        <v>0</v>
      </c>
      <c r="AG9" s="131">
        <f t="shared" si="5"/>
        <v>0</v>
      </c>
      <c r="AH9" s="131">
        <f t="shared" si="6"/>
        <v>0</v>
      </c>
      <c r="AI9" s="131">
        <f t="shared" si="7"/>
        <v>0</v>
      </c>
      <c r="AJ9" s="131" t="e">
        <f t="shared" si="8"/>
        <v>#DIV/0!</v>
      </c>
      <c r="AK9" s="131">
        <f t="shared" si="9"/>
        <v>0</v>
      </c>
      <c r="AL9" s="131">
        <f t="shared" si="10"/>
        <v>0</v>
      </c>
      <c r="AM9" s="131">
        <v>0</v>
      </c>
      <c r="AN9" s="131">
        <f t="shared" si="11"/>
        <v>0</v>
      </c>
      <c r="AO9" s="131">
        <v>0</v>
      </c>
      <c r="AP9" s="131">
        <f t="shared" si="12"/>
        <v>0</v>
      </c>
      <c r="AQ9" s="131">
        <f t="shared" si="13"/>
        <v>0</v>
      </c>
      <c r="AR9" s="131">
        <v>0</v>
      </c>
    </row>
    <row r="10" spans="1:44">
      <c r="D10" s="105"/>
      <c r="K10" s="105"/>
      <c r="L10" s="105"/>
      <c r="AB10" s="131">
        <f t="shared" si="0"/>
        <v>0</v>
      </c>
      <c r="AC10" s="131">
        <f t="shared" si="1"/>
        <v>0</v>
      </c>
      <c r="AD10" s="131">
        <f t="shared" si="2"/>
        <v>0</v>
      </c>
      <c r="AE10" s="131">
        <f t="shared" si="3"/>
        <v>0</v>
      </c>
      <c r="AF10" s="131">
        <f t="shared" si="4"/>
        <v>0</v>
      </c>
      <c r="AG10" s="131">
        <f t="shared" si="5"/>
        <v>0</v>
      </c>
      <c r="AH10" s="131">
        <f t="shared" si="6"/>
        <v>0</v>
      </c>
      <c r="AI10" s="131">
        <f t="shared" si="7"/>
        <v>0</v>
      </c>
      <c r="AJ10" s="131" t="e">
        <f t="shared" si="8"/>
        <v>#DIV/0!</v>
      </c>
      <c r="AK10" s="131">
        <f t="shared" si="9"/>
        <v>0</v>
      </c>
      <c r="AL10" s="131">
        <f t="shared" si="10"/>
        <v>0</v>
      </c>
      <c r="AM10" s="131">
        <v>0</v>
      </c>
      <c r="AN10" s="131">
        <f t="shared" si="11"/>
        <v>0</v>
      </c>
      <c r="AO10" s="131">
        <v>0</v>
      </c>
      <c r="AP10" s="131">
        <f t="shared" si="12"/>
        <v>0</v>
      </c>
      <c r="AQ10" s="131">
        <f t="shared" si="13"/>
        <v>0</v>
      </c>
      <c r="AR10" s="131">
        <v>0</v>
      </c>
    </row>
    <row r="11" spans="1:44">
      <c r="D11" s="105"/>
      <c r="K11" s="105"/>
      <c r="L11" s="105"/>
      <c r="AB11" s="131">
        <f t="shared" si="0"/>
        <v>0</v>
      </c>
      <c r="AC11" s="131">
        <f t="shared" si="1"/>
        <v>0</v>
      </c>
      <c r="AD11" s="131">
        <f t="shared" si="2"/>
        <v>0</v>
      </c>
      <c r="AE11" s="131">
        <f t="shared" si="3"/>
        <v>0</v>
      </c>
      <c r="AF11" s="131">
        <f t="shared" si="4"/>
        <v>0</v>
      </c>
      <c r="AG11" s="131">
        <f t="shared" si="5"/>
        <v>0</v>
      </c>
      <c r="AH11" s="131">
        <f t="shared" si="6"/>
        <v>0</v>
      </c>
      <c r="AI11" s="131">
        <f t="shared" si="7"/>
        <v>0</v>
      </c>
      <c r="AJ11" s="131" t="e">
        <f t="shared" si="8"/>
        <v>#DIV/0!</v>
      </c>
      <c r="AK11" s="131">
        <f t="shared" si="9"/>
        <v>0</v>
      </c>
      <c r="AL11" s="131">
        <f t="shared" si="10"/>
        <v>0</v>
      </c>
      <c r="AM11" s="131">
        <v>0</v>
      </c>
      <c r="AN11" s="131">
        <f t="shared" si="11"/>
        <v>0</v>
      </c>
      <c r="AO11" s="131">
        <v>0</v>
      </c>
      <c r="AP11" s="131">
        <f t="shared" si="12"/>
        <v>0</v>
      </c>
      <c r="AQ11" s="131">
        <f t="shared" si="13"/>
        <v>0</v>
      </c>
      <c r="AR11" s="131">
        <v>0</v>
      </c>
    </row>
    <row r="12" spans="1:44">
      <c r="D12" s="105"/>
      <c r="K12" s="105"/>
      <c r="L12" s="105"/>
      <c r="AB12" s="131">
        <f t="shared" si="0"/>
        <v>0</v>
      </c>
      <c r="AC12" s="131">
        <f t="shared" si="1"/>
        <v>0</v>
      </c>
      <c r="AD12" s="131">
        <f t="shared" si="2"/>
        <v>0</v>
      </c>
      <c r="AE12" s="131">
        <f t="shared" si="3"/>
        <v>0</v>
      </c>
      <c r="AF12" s="131">
        <f t="shared" si="4"/>
        <v>0</v>
      </c>
      <c r="AG12" s="131">
        <f t="shared" si="5"/>
        <v>0</v>
      </c>
      <c r="AH12" s="131">
        <f t="shared" si="6"/>
        <v>0</v>
      </c>
      <c r="AI12" s="131">
        <f t="shared" si="7"/>
        <v>0</v>
      </c>
      <c r="AJ12" s="131" t="e">
        <f t="shared" si="8"/>
        <v>#DIV/0!</v>
      </c>
      <c r="AK12" s="131">
        <f t="shared" si="9"/>
        <v>0</v>
      </c>
      <c r="AL12" s="131">
        <f t="shared" si="10"/>
        <v>0</v>
      </c>
      <c r="AM12" s="131">
        <v>0</v>
      </c>
      <c r="AN12" s="131">
        <f t="shared" si="11"/>
        <v>0</v>
      </c>
      <c r="AO12" s="131">
        <v>0</v>
      </c>
      <c r="AP12" s="131">
        <f t="shared" si="12"/>
        <v>0</v>
      </c>
      <c r="AQ12" s="131">
        <f t="shared" si="13"/>
        <v>0</v>
      </c>
      <c r="AR12" s="131">
        <v>0</v>
      </c>
    </row>
    <row r="13" spans="1:44">
      <c r="D13" s="105"/>
      <c r="K13" s="105"/>
      <c r="L13" s="105"/>
      <c r="AB13" s="131">
        <f t="shared" si="0"/>
        <v>0</v>
      </c>
      <c r="AC13" s="131">
        <f t="shared" si="1"/>
        <v>0</v>
      </c>
      <c r="AD13" s="131">
        <f t="shared" si="2"/>
        <v>0</v>
      </c>
      <c r="AE13" s="131">
        <f t="shared" si="3"/>
        <v>0</v>
      </c>
      <c r="AF13" s="131">
        <f t="shared" si="4"/>
        <v>0</v>
      </c>
      <c r="AG13" s="131">
        <f t="shared" si="5"/>
        <v>0</v>
      </c>
      <c r="AH13" s="131">
        <f t="shared" si="6"/>
        <v>0</v>
      </c>
      <c r="AI13" s="131">
        <f t="shared" si="7"/>
        <v>0</v>
      </c>
      <c r="AJ13" s="131" t="e">
        <f t="shared" si="8"/>
        <v>#DIV/0!</v>
      </c>
      <c r="AK13" s="131">
        <f t="shared" si="9"/>
        <v>0</v>
      </c>
      <c r="AL13" s="131">
        <f t="shared" si="10"/>
        <v>0</v>
      </c>
      <c r="AM13" s="131">
        <v>0</v>
      </c>
      <c r="AN13" s="131">
        <f t="shared" si="11"/>
        <v>0</v>
      </c>
      <c r="AO13" s="131">
        <v>0</v>
      </c>
      <c r="AP13" s="131">
        <f t="shared" si="12"/>
        <v>0</v>
      </c>
      <c r="AQ13" s="131">
        <f t="shared" si="13"/>
        <v>0</v>
      </c>
      <c r="AR13" s="131">
        <v>0</v>
      </c>
    </row>
    <row r="14" spans="1:44">
      <c r="D14" s="105"/>
      <c r="K14" s="105"/>
      <c r="L14" s="105"/>
      <c r="AB14" s="131">
        <f t="shared" si="0"/>
        <v>0</v>
      </c>
      <c r="AC14" s="131">
        <f t="shared" si="1"/>
        <v>0</v>
      </c>
      <c r="AD14" s="131">
        <f t="shared" si="2"/>
        <v>0</v>
      </c>
      <c r="AE14" s="131">
        <f t="shared" si="3"/>
        <v>0</v>
      </c>
      <c r="AF14" s="131">
        <f t="shared" si="4"/>
        <v>0</v>
      </c>
      <c r="AG14" s="131">
        <f t="shared" si="5"/>
        <v>0</v>
      </c>
      <c r="AH14" s="131">
        <f t="shared" si="6"/>
        <v>0</v>
      </c>
      <c r="AI14" s="131">
        <f t="shared" si="7"/>
        <v>0</v>
      </c>
      <c r="AJ14" s="131" t="e">
        <f t="shared" si="8"/>
        <v>#DIV/0!</v>
      </c>
      <c r="AK14" s="131">
        <f t="shared" si="9"/>
        <v>0</v>
      </c>
      <c r="AL14" s="131">
        <f t="shared" si="10"/>
        <v>0</v>
      </c>
      <c r="AM14" s="131">
        <v>0</v>
      </c>
      <c r="AN14" s="131">
        <f t="shared" si="11"/>
        <v>0</v>
      </c>
      <c r="AO14" s="131">
        <v>0</v>
      </c>
      <c r="AP14" s="131">
        <f t="shared" si="12"/>
        <v>0</v>
      </c>
      <c r="AQ14" s="131">
        <f t="shared" si="13"/>
        <v>0</v>
      </c>
      <c r="AR14" s="131">
        <v>0</v>
      </c>
    </row>
    <row r="15" spans="1:44">
      <c r="D15" s="105"/>
      <c r="K15" s="105"/>
      <c r="L15" s="105"/>
      <c r="AB15" s="131">
        <f t="shared" si="0"/>
        <v>0</v>
      </c>
      <c r="AC15" s="131">
        <f t="shared" si="1"/>
        <v>0</v>
      </c>
      <c r="AD15" s="131">
        <f t="shared" si="2"/>
        <v>0</v>
      </c>
      <c r="AE15" s="131">
        <f t="shared" si="3"/>
        <v>0</v>
      </c>
      <c r="AF15" s="131">
        <f t="shared" si="4"/>
        <v>0</v>
      </c>
      <c r="AG15" s="131">
        <f t="shared" si="5"/>
        <v>0</v>
      </c>
      <c r="AH15" s="131">
        <f t="shared" si="6"/>
        <v>0</v>
      </c>
      <c r="AI15" s="131">
        <f t="shared" si="7"/>
        <v>0</v>
      </c>
      <c r="AJ15" s="131" t="e">
        <f t="shared" si="8"/>
        <v>#DIV/0!</v>
      </c>
      <c r="AK15" s="131">
        <f t="shared" si="9"/>
        <v>0</v>
      </c>
      <c r="AL15" s="131">
        <f t="shared" si="10"/>
        <v>0</v>
      </c>
      <c r="AM15" s="131">
        <v>0</v>
      </c>
      <c r="AN15" s="131">
        <f t="shared" si="11"/>
        <v>0</v>
      </c>
      <c r="AO15" s="131">
        <v>0</v>
      </c>
      <c r="AP15" s="131">
        <f t="shared" si="12"/>
        <v>0</v>
      </c>
      <c r="AQ15" s="131">
        <f t="shared" si="13"/>
        <v>0</v>
      </c>
      <c r="AR15" s="131">
        <v>0</v>
      </c>
    </row>
    <row r="16" spans="1:44">
      <c r="D16" s="105"/>
      <c r="K16" s="105"/>
      <c r="L16" s="105"/>
      <c r="AB16" s="131">
        <f t="shared" si="0"/>
        <v>0</v>
      </c>
      <c r="AC16" s="131">
        <f t="shared" si="1"/>
        <v>0</v>
      </c>
      <c r="AD16" s="131">
        <f t="shared" si="2"/>
        <v>0</v>
      </c>
      <c r="AE16" s="131">
        <f t="shared" si="3"/>
        <v>0</v>
      </c>
      <c r="AF16" s="131">
        <f t="shared" si="4"/>
        <v>0</v>
      </c>
      <c r="AG16" s="131">
        <f t="shared" si="5"/>
        <v>0</v>
      </c>
      <c r="AH16" s="131">
        <f t="shared" si="6"/>
        <v>0</v>
      </c>
      <c r="AI16" s="131">
        <f t="shared" si="7"/>
        <v>0</v>
      </c>
      <c r="AJ16" s="131" t="e">
        <f t="shared" si="8"/>
        <v>#DIV/0!</v>
      </c>
      <c r="AK16" s="131">
        <f t="shared" si="9"/>
        <v>0</v>
      </c>
      <c r="AL16" s="131">
        <f t="shared" si="10"/>
        <v>0</v>
      </c>
      <c r="AM16" s="131">
        <v>0</v>
      </c>
      <c r="AN16" s="131">
        <f t="shared" si="11"/>
        <v>0</v>
      </c>
      <c r="AO16" s="131">
        <v>0</v>
      </c>
      <c r="AP16" s="131">
        <f t="shared" si="12"/>
        <v>0</v>
      </c>
      <c r="AQ16" s="131">
        <f t="shared" si="13"/>
        <v>0</v>
      </c>
      <c r="AR16" s="131">
        <v>0</v>
      </c>
    </row>
    <row r="17" spans="4:44">
      <c r="D17" s="105"/>
      <c r="AB17" s="131">
        <f t="shared" si="0"/>
        <v>0</v>
      </c>
      <c r="AC17" s="131">
        <f t="shared" si="1"/>
        <v>0</v>
      </c>
      <c r="AD17" s="131">
        <f t="shared" si="2"/>
        <v>0</v>
      </c>
      <c r="AE17" s="131">
        <f t="shared" si="3"/>
        <v>0</v>
      </c>
      <c r="AF17" s="131">
        <f t="shared" si="4"/>
        <v>0</v>
      </c>
      <c r="AG17" s="131">
        <f t="shared" si="5"/>
        <v>0</v>
      </c>
      <c r="AH17" s="131">
        <f t="shared" si="6"/>
        <v>0</v>
      </c>
      <c r="AI17" s="131">
        <f t="shared" si="7"/>
        <v>0</v>
      </c>
      <c r="AJ17" s="131" t="e">
        <f t="shared" si="8"/>
        <v>#DIV/0!</v>
      </c>
      <c r="AK17" s="131">
        <f t="shared" si="9"/>
        <v>0</v>
      </c>
      <c r="AL17" s="131">
        <f t="shared" si="10"/>
        <v>0</v>
      </c>
      <c r="AM17" s="131">
        <v>0</v>
      </c>
      <c r="AN17" s="131">
        <f t="shared" si="11"/>
        <v>0</v>
      </c>
      <c r="AO17" s="131">
        <v>0</v>
      </c>
      <c r="AP17" s="131">
        <f t="shared" si="12"/>
        <v>0</v>
      </c>
      <c r="AQ17" s="131">
        <f t="shared" si="13"/>
        <v>0</v>
      </c>
      <c r="AR17" s="131">
        <v>0</v>
      </c>
    </row>
    <row r="18" spans="4:44">
      <c r="AB18" s="131">
        <f t="shared" si="0"/>
        <v>0</v>
      </c>
      <c r="AC18" s="131">
        <f t="shared" si="1"/>
        <v>0</v>
      </c>
      <c r="AD18" s="131">
        <f t="shared" si="2"/>
        <v>0</v>
      </c>
      <c r="AE18" s="131">
        <f t="shared" si="3"/>
        <v>0</v>
      </c>
      <c r="AF18" s="131">
        <f t="shared" si="4"/>
        <v>0</v>
      </c>
      <c r="AG18" s="131">
        <f t="shared" si="5"/>
        <v>0</v>
      </c>
      <c r="AH18" s="131">
        <f t="shared" si="6"/>
        <v>0</v>
      </c>
      <c r="AI18" s="131">
        <f t="shared" si="7"/>
        <v>0</v>
      </c>
      <c r="AJ18" s="131" t="e">
        <f t="shared" si="8"/>
        <v>#DIV/0!</v>
      </c>
      <c r="AK18" s="131">
        <f t="shared" si="9"/>
        <v>0</v>
      </c>
      <c r="AL18" s="131">
        <f t="shared" si="10"/>
        <v>0</v>
      </c>
      <c r="AM18" s="131">
        <v>0</v>
      </c>
      <c r="AN18" s="131">
        <f t="shared" si="11"/>
        <v>0</v>
      </c>
      <c r="AO18" s="131">
        <v>0</v>
      </c>
      <c r="AP18" s="131">
        <f t="shared" si="12"/>
        <v>0</v>
      </c>
      <c r="AQ18" s="131">
        <f t="shared" si="13"/>
        <v>0</v>
      </c>
      <c r="AR18" s="131">
        <v>0</v>
      </c>
    </row>
    <row r="19" spans="4:44">
      <c r="AB19" s="131">
        <f t="shared" si="0"/>
        <v>0</v>
      </c>
      <c r="AC19" s="131">
        <f t="shared" si="1"/>
        <v>0</v>
      </c>
      <c r="AD19" s="131">
        <f t="shared" si="2"/>
        <v>0</v>
      </c>
      <c r="AE19" s="131">
        <f t="shared" si="3"/>
        <v>0</v>
      </c>
      <c r="AF19" s="131">
        <f t="shared" si="4"/>
        <v>0</v>
      </c>
      <c r="AG19" s="131">
        <f t="shared" si="5"/>
        <v>0</v>
      </c>
      <c r="AH19" s="131">
        <f t="shared" si="6"/>
        <v>0</v>
      </c>
      <c r="AI19" s="131">
        <f t="shared" si="7"/>
        <v>0</v>
      </c>
      <c r="AJ19" s="131" t="e">
        <f t="shared" si="8"/>
        <v>#DIV/0!</v>
      </c>
      <c r="AK19" s="131">
        <f t="shared" si="9"/>
        <v>0</v>
      </c>
      <c r="AL19" s="131">
        <f t="shared" si="10"/>
        <v>0</v>
      </c>
      <c r="AM19" s="131">
        <v>0</v>
      </c>
      <c r="AN19" s="131">
        <f t="shared" si="11"/>
        <v>0</v>
      </c>
      <c r="AO19" s="131">
        <v>0</v>
      </c>
      <c r="AP19" s="131">
        <f t="shared" si="12"/>
        <v>0</v>
      </c>
      <c r="AQ19" s="131">
        <f t="shared" si="13"/>
        <v>0</v>
      </c>
      <c r="AR19" s="131">
        <v>0</v>
      </c>
    </row>
    <row r="20" spans="4:44">
      <c r="AB20" s="131">
        <f t="shared" si="0"/>
        <v>0</v>
      </c>
      <c r="AC20" s="131">
        <f t="shared" si="1"/>
        <v>0</v>
      </c>
      <c r="AD20" s="131">
        <f t="shared" si="2"/>
        <v>0</v>
      </c>
      <c r="AE20" s="131">
        <f t="shared" si="3"/>
        <v>0</v>
      </c>
      <c r="AF20" s="131">
        <f t="shared" si="4"/>
        <v>0</v>
      </c>
      <c r="AG20" s="131">
        <f t="shared" si="5"/>
        <v>0</v>
      </c>
      <c r="AH20" s="131">
        <f t="shared" si="6"/>
        <v>0</v>
      </c>
      <c r="AI20" s="131">
        <f t="shared" si="7"/>
        <v>0</v>
      </c>
      <c r="AJ20" s="131" t="e">
        <f t="shared" si="8"/>
        <v>#DIV/0!</v>
      </c>
      <c r="AK20" s="131">
        <f t="shared" si="9"/>
        <v>0</v>
      </c>
      <c r="AL20" s="131">
        <f t="shared" si="10"/>
        <v>0</v>
      </c>
      <c r="AM20" s="131">
        <v>0</v>
      </c>
      <c r="AN20" s="131">
        <f t="shared" si="11"/>
        <v>0</v>
      </c>
      <c r="AO20" s="131">
        <v>0</v>
      </c>
      <c r="AP20" s="131">
        <f t="shared" si="12"/>
        <v>0</v>
      </c>
      <c r="AQ20" s="131">
        <f t="shared" si="13"/>
        <v>0</v>
      </c>
      <c r="AR20" s="131">
        <v>0</v>
      </c>
    </row>
    <row r="21" spans="4:44">
      <c r="AB21" s="131">
        <f t="shared" si="0"/>
        <v>0</v>
      </c>
      <c r="AC21" s="131">
        <f t="shared" si="1"/>
        <v>0</v>
      </c>
      <c r="AD21" s="131">
        <f t="shared" si="2"/>
        <v>0</v>
      </c>
      <c r="AE21" s="131">
        <f t="shared" si="3"/>
        <v>0</v>
      </c>
      <c r="AF21" s="131">
        <f t="shared" si="4"/>
        <v>0</v>
      </c>
      <c r="AG21" s="131">
        <f t="shared" si="5"/>
        <v>0</v>
      </c>
      <c r="AH21" s="131">
        <f t="shared" si="6"/>
        <v>0</v>
      </c>
      <c r="AI21" s="131">
        <f t="shared" si="7"/>
        <v>0</v>
      </c>
      <c r="AJ21" s="131" t="e">
        <f t="shared" si="8"/>
        <v>#DIV/0!</v>
      </c>
      <c r="AK21" s="131">
        <f t="shared" si="9"/>
        <v>0</v>
      </c>
      <c r="AL21" s="131">
        <f t="shared" si="10"/>
        <v>0</v>
      </c>
      <c r="AM21" s="131">
        <v>0</v>
      </c>
      <c r="AN21" s="131">
        <f t="shared" si="11"/>
        <v>0</v>
      </c>
      <c r="AO21" s="131">
        <v>0</v>
      </c>
      <c r="AP21" s="131">
        <f t="shared" si="12"/>
        <v>0</v>
      </c>
      <c r="AQ21" s="131">
        <f t="shared" si="13"/>
        <v>0</v>
      </c>
      <c r="AR21" s="131">
        <v>0</v>
      </c>
    </row>
    <row r="22" spans="4:44">
      <c r="AB22" s="131">
        <f t="shared" si="0"/>
        <v>0</v>
      </c>
      <c r="AC22" s="131">
        <f t="shared" si="1"/>
        <v>0</v>
      </c>
      <c r="AD22" s="131">
        <f t="shared" si="2"/>
        <v>0</v>
      </c>
      <c r="AE22" s="131">
        <f t="shared" si="3"/>
        <v>0</v>
      </c>
      <c r="AF22" s="131">
        <f t="shared" si="4"/>
        <v>0</v>
      </c>
      <c r="AG22" s="131">
        <f t="shared" si="5"/>
        <v>0</v>
      </c>
      <c r="AH22" s="131">
        <f t="shared" si="6"/>
        <v>0</v>
      </c>
      <c r="AI22" s="131">
        <f t="shared" si="7"/>
        <v>0</v>
      </c>
      <c r="AJ22" s="131" t="e">
        <f t="shared" si="8"/>
        <v>#DIV/0!</v>
      </c>
      <c r="AK22" s="131">
        <f t="shared" si="9"/>
        <v>0</v>
      </c>
      <c r="AL22" s="131">
        <f t="shared" si="10"/>
        <v>0</v>
      </c>
      <c r="AM22" s="131">
        <v>0</v>
      </c>
      <c r="AN22" s="131">
        <f t="shared" si="11"/>
        <v>0</v>
      </c>
      <c r="AO22" s="131">
        <v>0</v>
      </c>
      <c r="AP22" s="131">
        <f t="shared" si="12"/>
        <v>0</v>
      </c>
      <c r="AQ22" s="131">
        <f t="shared" si="13"/>
        <v>0</v>
      </c>
      <c r="AR22" s="131">
        <v>0</v>
      </c>
    </row>
    <row r="23" spans="4:44">
      <c r="AB23" s="131">
        <f t="shared" si="0"/>
        <v>0</v>
      </c>
      <c r="AC23" s="131">
        <f t="shared" si="1"/>
        <v>0</v>
      </c>
      <c r="AD23" s="131">
        <f t="shared" si="2"/>
        <v>0</v>
      </c>
      <c r="AE23" s="131">
        <f t="shared" si="3"/>
        <v>0</v>
      </c>
      <c r="AF23" s="131">
        <f t="shared" si="4"/>
        <v>0</v>
      </c>
      <c r="AG23" s="131">
        <f t="shared" si="5"/>
        <v>0</v>
      </c>
      <c r="AH23" s="131">
        <f t="shared" si="6"/>
        <v>0</v>
      </c>
      <c r="AI23" s="131">
        <f t="shared" si="7"/>
        <v>0</v>
      </c>
      <c r="AJ23" s="131" t="e">
        <f t="shared" si="8"/>
        <v>#DIV/0!</v>
      </c>
      <c r="AK23" s="131">
        <f t="shared" si="9"/>
        <v>0</v>
      </c>
      <c r="AL23" s="131">
        <f t="shared" si="10"/>
        <v>0</v>
      </c>
      <c r="AM23" s="131">
        <v>0</v>
      </c>
      <c r="AN23" s="131">
        <f t="shared" si="11"/>
        <v>0</v>
      </c>
      <c r="AO23" s="131">
        <v>0</v>
      </c>
      <c r="AP23" s="131">
        <f t="shared" si="12"/>
        <v>0</v>
      </c>
      <c r="AQ23" s="131">
        <f t="shared" si="13"/>
        <v>0</v>
      </c>
      <c r="AR23" s="131">
        <v>0</v>
      </c>
    </row>
    <row r="24" spans="4:44">
      <c r="AB24" s="131">
        <f t="shared" si="0"/>
        <v>0</v>
      </c>
      <c r="AC24" s="131">
        <f t="shared" si="1"/>
        <v>0</v>
      </c>
      <c r="AD24" s="131">
        <f t="shared" si="2"/>
        <v>0</v>
      </c>
      <c r="AE24" s="131">
        <f t="shared" si="3"/>
        <v>0</v>
      </c>
      <c r="AF24" s="131">
        <f t="shared" si="4"/>
        <v>0</v>
      </c>
      <c r="AG24" s="131">
        <f t="shared" si="5"/>
        <v>0</v>
      </c>
      <c r="AH24" s="131">
        <f t="shared" si="6"/>
        <v>0</v>
      </c>
      <c r="AI24" s="131">
        <f t="shared" si="7"/>
        <v>0</v>
      </c>
      <c r="AJ24" s="131" t="e">
        <f t="shared" si="8"/>
        <v>#DIV/0!</v>
      </c>
      <c r="AK24" s="131">
        <f t="shared" si="9"/>
        <v>0</v>
      </c>
      <c r="AL24" s="131">
        <f t="shared" si="10"/>
        <v>0</v>
      </c>
      <c r="AM24" s="131">
        <v>0</v>
      </c>
      <c r="AN24" s="131">
        <f t="shared" si="11"/>
        <v>0</v>
      </c>
      <c r="AO24" s="131">
        <v>0</v>
      </c>
      <c r="AP24" s="131">
        <f t="shared" si="12"/>
        <v>0</v>
      </c>
      <c r="AQ24" s="131">
        <f t="shared" si="13"/>
        <v>0</v>
      </c>
      <c r="AR24" s="131">
        <v>0</v>
      </c>
    </row>
    <row r="25" spans="4:44">
      <c r="AB25" s="131">
        <f t="shared" si="0"/>
        <v>0</v>
      </c>
      <c r="AC25" s="131">
        <f t="shared" si="1"/>
        <v>0</v>
      </c>
      <c r="AD25" s="131">
        <f t="shared" si="2"/>
        <v>0</v>
      </c>
      <c r="AE25" s="131">
        <f t="shared" si="3"/>
        <v>0</v>
      </c>
      <c r="AF25" s="131">
        <f t="shared" si="4"/>
        <v>0</v>
      </c>
      <c r="AG25" s="131">
        <f t="shared" si="5"/>
        <v>0</v>
      </c>
      <c r="AH25" s="131">
        <f t="shared" si="6"/>
        <v>0</v>
      </c>
      <c r="AI25" s="131">
        <f t="shared" si="7"/>
        <v>0</v>
      </c>
      <c r="AJ25" s="131" t="e">
        <f t="shared" si="8"/>
        <v>#DIV/0!</v>
      </c>
      <c r="AK25" s="131">
        <f t="shared" si="9"/>
        <v>0</v>
      </c>
      <c r="AL25" s="131">
        <f t="shared" si="10"/>
        <v>0</v>
      </c>
      <c r="AM25" s="131">
        <v>0</v>
      </c>
      <c r="AN25" s="131">
        <f t="shared" si="11"/>
        <v>0</v>
      </c>
      <c r="AO25" s="131">
        <v>0</v>
      </c>
      <c r="AP25" s="131">
        <f t="shared" si="12"/>
        <v>0</v>
      </c>
      <c r="AQ25" s="131">
        <f t="shared" si="13"/>
        <v>0</v>
      </c>
      <c r="AR25" s="131">
        <v>0</v>
      </c>
    </row>
    <row r="26" spans="4:44">
      <c r="AB26" s="131">
        <f t="shared" si="0"/>
        <v>0</v>
      </c>
      <c r="AC26" s="131">
        <f t="shared" si="1"/>
        <v>0</v>
      </c>
      <c r="AD26" s="131">
        <f t="shared" si="2"/>
        <v>0</v>
      </c>
      <c r="AE26" s="131">
        <f t="shared" si="3"/>
        <v>0</v>
      </c>
      <c r="AF26" s="131">
        <f t="shared" si="4"/>
        <v>0</v>
      </c>
      <c r="AG26" s="131">
        <f t="shared" si="5"/>
        <v>0</v>
      </c>
      <c r="AH26" s="131">
        <f t="shared" si="6"/>
        <v>0</v>
      </c>
      <c r="AI26" s="131">
        <f t="shared" si="7"/>
        <v>0</v>
      </c>
      <c r="AJ26" s="131" t="e">
        <f t="shared" si="8"/>
        <v>#DIV/0!</v>
      </c>
      <c r="AK26" s="131">
        <f t="shared" si="9"/>
        <v>0</v>
      </c>
      <c r="AL26" s="131">
        <f t="shared" si="10"/>
        <v>0</v>
      </c>
      <c r="AM26" s="131">
        <v>0</v>
      </c>
      <c r="AN26" s="131">
        <f t="shared" si="11"/>
        <v>0</v>
      </c>
      <c r="AO26" s="131">
        <v>0</v>
      </c>
      <c r="AP26" s="131">
        <f t="shared" si="12"/>
        <v>0</v>
      </c>
      <c r="AQ26" s="131">
        <f t="shared" si="13"/>
        <v>0</v>
      </c>
      <c r="AR26" s="131">
        <v>0</v>
      </c>
    </row>
    <row r="27" spans="4:44">
      <c r="AB27" s="131">
        <f t="shared" si="0"/>
        <v>0</v>
      </c>
      <c r="AC27" s="131">
        <f t="shared" si="1"/>
        <v>0</v>
      </c>
      <c r="AD27" s="131">
        <f t="shared" si="2"/>
        <v>0</v>
      </c>
      <c r="AE27" s="131">
        <f t="shared" si="3"/>
        <v>0</v>
      </c>
      <c r="AF27" s="131">
        <f t="shared" si="4"/>
        <v>0</v>
      </c>
      <c r="AG27" s="131">
        <f t="shared" si="5"/>
        <v>0</v>
      </c>
      <c r="AH27" s="131">
        <f t="shared" si="6"/>
        <v>0</v>
      </c>
      <c r="AI27" s="131">
        <f t="shared" si="7"/>
        <v>0</v>
      </c>
      <c r="AJ27" s="131" t="e">
        <f t="shared" si="8"/>
        <v>#DIV/0!</v>
      </c>
      <c r="AK27" s="131">
        <f t="shared" si="9"/>
        <v>0</v>
      </c>
      <c r="AL27" s="131">
        <f t="shared" si="10"/>
        <v>0</v>
      </c>
      <c r="AM27" s="131">
        <v>0</v>
      </c>
      <c r="AN27" s="131">
        <f t="shared" si="11"/>
        <v>0</v>
      </c>
      <c r="AO27" s="131">
        <v>0</v>
      </c>
      <c r="AP27" s="131">
        <f t="shared" si="12"/>
        <v>0</v>
      </c>
      <c r="AQ27" s="131">
        <f t="shared" si="13"/>
        <v>0</v>
      </c>
      <c r="AR27" s="131">
        <v>0</v>
      </c>
    </row>
    <row r="28" spans="4:44">
      <c r="AB28" s="131">
        <f t="shared" si="0"/>
        <v>0</v>
      </c>
      <c r="AC28" s="131">
        <f t="shared" si="1"/>
        <v>0</v>
      </c>
      <c r="AD28" s="131">
        <f t="shared" si="2"/>
        <v>0</v>
      </c>
      <c r="AE28" s="131">
        <f t="shared" si="3"/>
        <v>0</v>
      </c>
      <c r="AF28" s="131">
        <f t="shared" si="4"/>
        <v>0</v>
      </c>
      <c r="AG28" s="131">
        <f t="shared" si="5"/>
        <v>0</v>
      </c>
      <c r="AH28" s="131">
        <f t="shared" si="6"/>
        <v>0</v>
      </c>
      <c r="AI28" s="131">
        <f t="shared" si="7"/>
        <v>0</v>
      </c>
      <c r="AJ28" s="131" t="e">
        <f t="shared" si="8"/>
        <v>#DIV/0!</v>
      </c>
      <c r="AK28" s="131">
        <f t="shared" si="9"/>
        <v>0</v>
      </c>
      <c r="AL28" s="131">
        <f t="shared" si="10"/>
        <v>0</v>
      </c>
      <c r="AM28" s="131">
        <v>0</v>
      </c>
      <c r="AN28" s="131">
        <f t="shared" si="11"/>
        <v>0</v>
      </c>
      <c r="AO28" s="131">
        <v>0</v>
      </c>
      <c r="AP28" s="131">
        <f t="shared" si="12"/>
        <v>0</v>
      </c>
      <c r="AQ28" s="131">
        <f t="shared" si="13"/>
        <v>0</v>
      </c>
      <c r="AR28" s="131">
        <v>0</v>
      </c>
    </row>
    <row r="29" spans="4:44">
      <c r="AB29" s="131">
        <f t="shared" si="0"/>
        <v>0</v>
      </c>
      <c r="AC29" s="131">
        <f t="shared" si="1"/>
        <v>0</v>
      </c>
      <c r="AD29" s="131">
        <f t="shared" si="2"/>
        <v>0</v>
      </c>
      <c r="AE29" s="131">
        <f t="shared" si="3"/>
        <v>0</v>
      </c>
      <c r="AF29" s="131">
        <f t="shared" si="4"/>
        <v>0</v>
      </c>
      <c r="AG29" s="131">
        <f t="shared" si="5"/>
        <v>0</v>
      </c>
      <c r="AH29" s="131">
        <f t="shared" si="6"/>
        <v>0</v>
      </c>
      <c r="AI29" s="131">
        <f t="shared" si="7"/>
        <v>0</v>
      </c>
      <c r="AJ29" s="131" t="e">
        <f t="shared" si="8"/>
        <v>#DIV/0!</v>
      </c>
      <c r="AK29" s="131">
        <f t="shared" si="9"/>
        <v>0</v>
      </c>
      <c r="AL29" s="131">
        <f t="shared" si="10"/>
        <v>0</v>
      </c>
      <c r="AM29" s="131">
        <v>0</v>
      </c>
      <c r="AN29" s="131">
        <f t="shared" si="11"/>
        <v>0</v>
      </c>
      <c r="AO29" s="131">
        <v>0</v>
      </c>
      <c r="AP29" s="131">
        <f t="shared" si="12"/>
        <v>0</v>
      </c>
      <c r="AQ29" s="131">
        <f t="shared" si="13"/>
        <v>0</v>
      </c>
      <c r="AR29" s="131">
        <v>0</v>
      </c>
    </row>
    <row r="30" spans="4:44">
      <c r="AB30" s="131">
        <f t="shared" si="0"/>
        <v>0</v>
      </c>
      <c r="AC30" s="131">
        <f t="shared" si="1"/>
        <v>0</v>
      </c>
      <c r="AD30" s="131">
        <f t="shared" si="2"/>
        <v>0</v>
      </c>
      <c r="AE30" s="131">
        <f t="shared" si="3"/>
        <v>0</v>
      </c>
      <c r="AF30" s="131">
        <f t="shared" si="4"/>
        <v>0</v>
      </c>
      <c r="AG30" s="131">
        <f t="shared" si="5"/>
        <v>0</v>
      </c>
      <c r="AH30" s="131">
        <f t="shared" si="6"/>
        <v>0</v>
      </c>
      <c r="AI30" s="131">
        <f t="shared" si="7"/>
        <v>0</v>
      </c>
      <c r="AJ30" s="131" t="e">
        <f t="shared" si="8"/>
        <v>#DIV/0!</v>
      </c>
      <c r="AK30" s="131">
        <f t="shared" si="9"/>
        <v>0</v>
      </c>
      <c r="AL30" s="131">
        <f t="shared" si="10"/>
        <v>0</v>
      </c>
      <c r="AM30" s="131">
        <v>0</v>
      </c>
      <c r="AN30" s="131">
        <f t="shared" si="11"/>
        <v>0</v>
      </c>
      <c r="AO30" s="131">
        <v>0</v>
      </c>
      <c r="AP30" s="131">
        <f t="shared" si="12"/>
        <v>0</v>
      </c>
      <c r="AQ30" s="131">
        <f t="shared" si="13"/>
        <v>0</v>
      </c>
      <c r="AR30" s="131">
        <v>0</v>
      </c>
    </row>
    <row r="31" spans="4:44">
      <c r="AB31" s="131">
        <f t="shared" si="0"/>
        <v>0</v>
      </c>
      <c r="AC31" s="131">
        <f t="shared" si="1"/>
        <v>0</v>
      </c>
      <c r="AD31" s="131">
        <f t="shared" si="2"/>
        <v>0</v>
      </c>
      <c r="AE31" s="131">
        <f t="shared" si="3"/>
        <v>0</v>
      </c>
      <c r="AF31" s="131">
        <f t="shared" si="4"/>
        <v>0</v>
      </c>
      <c r="AG31" s="131">
        <f t="shared" si="5"/>
        <v>0</v>
      </c>
      <c r="AH31" s="131">
        <f t="shared" si="6"/>
        <v>0</v>
      </c>
      <c r="AI31" s="131">
        <f t="shared" si="7"/>
        <v>0</v>
      </c>
      <c r="AJ31" s="131" t="e">
        <f t="shared" si="8"/>
        <v>#DIV/0!</v>
      </c>
      <c r="AK31" s="131">
        <f t="shared" si="9"/>
        <v>0</v>
      </c>
      <c r="AL31" s="131">
        <f t="shared" si="10"/>
        <v>0</v>
      </c>
      <c r="AM31" s="131">
        <v>0</v>
      </c>
      <c r="AN31" s="131">
        <f t="shared" si="11"/>
        <v>0</v>
      </c>
      <c r="AO31" s="131">
        <v>0</v>
      </c>
      <c r="AP31" s="131">
        <f t="shared" si="12"/>
        <v>0</v>
      </c>
      <c r="AQ31" s="131">
        <f t="shared" si="13"/>
        <v>0</v>
      </c>
      <c r="AR31" s="131">
        <v>0</v>
      </c>
    </row>
    <row r="32" spans="4:44">
      <c r="AB32" s="131">
        <f t="shared" si="0"/>
        <v>0</v>
      </c>
      <c r="AC32" s="131">
        <f t="shared" si="1"/>
        <v>0</v>
      </c>
      <c r="AD32" s="131">
        <f t="shared" si="2"/>
        <v>0</v>
      </c>
      <c r="AE32" s="131">
        <f t="shared" si="3"/>
        <v>0</v>
      </c>
      <c r="AF32" s="131">
        <f t="shared" si="4"/>
        <v>0</v>
      </c>
      <c r="AG32" s="131">
        <f t="shared" si="5"/>
        <v>0</v>
      </c>
      <c r="AH32" s="131">
        <f t="shared" si="6"/>
        <v>0</v>
      </c>
      <c r="AI32" s="131">
        <f t="shared" si="7"/>
        <v>0</v>
      </c>
      <c r="AJ32" s="131" t="e">
        <f t="shared" si="8"/>
        <v>#DIV/0!</v>
      </c>
      <c r="AK32" s="131">
        <f t="shared" si="9"/>
        <v>0</v>
      </c>
      <c r="AL32" s="131">
        <f t="shared" si="10"/>
        <v>0</v>
      </c>
      <c r="AM32" s="131">
        <v>0</v>
      </c>
      <c r="AN32" s="131">
        <f t="shared" si="11"/>
        <v>0</v>
      </c>
      <c r="AO32" s="131">
        <v>0</v>
      </c>
      <c r="AP32" s="131">
        <f t="shared" si="12"/>
        <v>0</v>
      </c>
      <c r="AQ32" s="131">
        <f t="shared" si="13"/>
        <v>0</v>
      </c>
      <c r="AR32" s="131">
        <v>0</v>
      </c>
    </row>
    <row r="33" spans="28:44">
      <c r="AB33" s="131">
        <f t="shared" si="0"/>
        <v>0</v>
      </c>
      <c r="AC33" s="131">
        <f t="shared" si="1"/>
        <v>0</v>
      </c>
      <c r="AD33" s="131">
        <f t="shared" si="2"/>
        <v>0</v>
      </c>
      <c r="AE33" s="131">
        <f t="shared" si="3"/>
        <v>0</v>
      </c>
      <c r="AF33" s="131">
        <f t="shared" si="4"/>
        <v>0</v>
      </c>
      <c r="AG33" s="131">
        <f t="shared" si="5"/>
        <v>0</v>
      </c>
      <c r="AH33" s="131">
        <f t="shared" si="6"/>
        <v>0</v>
      </c>
      <c r="AI33" s="131">
        <f t="shared" si="7"/>
        <v>0</v>
      </c>
      <c r="AJ33" s="131" t="e">
        <f t="shared" si="8"/>
        <v>#DIV/0!</v>
      </c>
      <c r="AK33" s="131">
        <f t="shared" si="9"/>
        <v>0</v>
      </c>
      <c r="AL33" s="131">
        <f t="shared" si="10"/>
        <v>0</v>
      </c>
      <c r="AM33" s="131">
        <v>0</v>
      </c>
      <c r="AN33" s="131">
        <f t="shared" si="11"/>
        <v>0</v>
      </c>
      <c r="AO33" s="131">
        <v>0</v>
      </c>
      <c r="AP33" s="131">
        <f t="shared" si="12"/>
        <v>0</v>
      </c>
      <c r="AQ33" s="131">
        <f t="shared" si="13"/>
        <v>0</v>
      </c>
      <c r="AR33" s="131">
        <v>0</v>
      </c>
    </row>
    <row r="34" spans="28:44">
      <c r="AB34" s="131">
        <f t="shared" si="0"/>
        <v>0</v>
      </c>
      <c r="AC34" s="131">
        <f t="shared" si="1"/>
        <v>0</v>
      </c>
      <c r="AD34" s="131">
        <f t="shared" si="2"/>
        <v>0</v>
      </c>
      <c r="AE34" s="131">
        <f t="shared" si="3"/>
        <v>0</v>
      </c>
      <c r="AF34" s="131">
        <f t="shared" si="4"/>
        <v>0</v>
      </c>
      <c r="AG34" s="131">
        <f t="shared" si="5"/>
        <v>0</v>
      </c>
      <c r="AH34" s="131">
        <f t="shared" si="6"/>
        <v>0</v>
      </c>
      <c r="AI34" s="131">
        <f t="shared" si="7"/>
        <v>0</v>
      </c>
      <c r="AJ34" s="131" t="e">
        <f t="shared" si="8"/>
        <v>#DIV/0!</v>
      </c>
      <c r="AK34" s="131">
        <f t="shared" si="9"/>
        <v>0</v>
      </c>
      <c r="AL34" s="131">
        <f t="shared" si="10"/>
        <v>0</v>
      </c>
      <c r="AM34" s="131">
        <v>0</v>
      </c>
      <c r="AN34" s="131">
        <f t="shared" si="11"/>
        <v>0</v>
      </c>
      <c r="AO34" s="131">
        <v>0</v>
      </c>
      <c r="AP34" s="131">
        <f t="shared" si="12"/>
        <v>0</v>
      </c>
      <c r="AQ34" s="131">
        <f t="shared" si="13"/>
        <v>0</v>
      </c>
      <c r="AR34" s="131">
        <v>0</v>
      </c>
    </row>
    <row r="35" spans="28:44">
      <c r="AB35" s="131">
        <f t="shared" si="0"/>
        <v>0</v>
      </c>
      <c r="AC35" s="131">
        <f t="shared" si="1"/>
        <v>0</v>
      </c>
      <c r="AD35" s="131">
        <f t="shared" si="2"/>
        <v>0</v>
      </c>
      <c r="AE35" s="131">
        <f t="shared" si="3"/>
        <v>0</v>
      </c>
      <c r="AF35" s="131">
        <f t="shared" si="4"/>
        <v>0</v>
      </c>
      <c r="AG35" s="131">
        <f t="shared" si="5"/>
        <v>0</v>
      </c>
      <c r="AH35" s="131">
        <f t="shared" si="6"/>
        <v>0</v>
      </c>
      <c r="AI35" s="131">
        <f t="shared" si="7"/>
        <v>0</v>
      </c>
      <c r="AJ35" s="131" t="e">
        <f t="shared" si="8"/>
        <v>#DIV/0!</v>
      </c>
      <c r="AK35" s="131">
        <f t="shared" si="9"/>
        <v>0</v>
      </c>
      <c r="AL35" s="131">
        <f t="shared" si="10"/>
        <v>0</v>
      </c>
      <c r="AM35" s="131">
        <v>0</v>
      </c>
      <c r="AN35" s="131">
        <f t="shared" si="11"/>
        <v>0</v>
      </c>
      <c r="AO35" s="131">
        <v>0</v>
      </c>
      <c r="AP35" s="131">
        <f t="shared" si="12"/>
        <v>0</v>
      </c>
      <c r="AQ35" s="131">
        <f t="shared" si="13"/>
        <v>0</v>
      </c>
      <c r="AR35" s="131">
        <v>0</v>
      </c>
    </row>
    <row r="36" spans="28:44">
      <c r="AB36" s="131">
        <f t="shared" si="0"/>
        <v>0</v>
      </c>
      <c r="AC36" s="131">
        <f t="shared" si="1"/>
        <v>0</v>
      </c>
      <c r="AD36" s="131">
        <f t="shared" si="2"/>
        <v>0</v>
      </c>
      <c r="AE36" s="131">
        <f t="shared" si="3"/>
        <v>0</v>
      </c>
      <c r="AF36" s="131">
        <f t="shared" si="4"/>
        <v>0</v>
      </c>
      <c r="AG36" s="131">
        <f t="shared" si="5"/>
        <v>0</v>
      </c>
      <c r="AH36" s="131">
        <f t="shared" si="6"/>
        <v>0</v>
      </c>
      <c r="AI36" s="131">
        <f t="shared" si="7"/>
        <v>0</v>
      </c>
      <c r="AJ36" s="131" t="e">
        <f t="shared" si="8"/>
        <v>#DIV/0!</v>
      </c>
      <c r="AK36" s="131">
        <f t="shared" si="9"/>
        <v>0</v>
      </c>
      <c r="AL36" s="131">
        <f t="shared" si="10"/>
        <v>0</v>
      </c>
      <c r="AM36" s="131">
        <v>0</v>
      </c>
      <c r="AN36" s="131">
        <f t="shared" si="11"/>
        <v>0</v>
      </c>
      <c r="AO36" s="131">
        <v>0</v>
      </c>
      <c r="AP36" s="131">
        <f t="shared" si="12"/>
        <v>0</v>
      </c>
      <c r="AQ36" s="131">
        <f t="shared" si="13"/>
        <v>0</v>
      </c>
      <c r="AR36" s="131">
        <v>0</v>
      </c>
    </row>
    <row r="37" spans="28:44">
      <c r="AB37" s="131">
        <f t="shared" si="0"/>
        <v>0</v>
      </c>
      <c r="AC37" s="131">
        <f t="shared" si="1"/>
        <v>0</v>
      </c>
      <c r="AD37" s="131">
        <f t="shared" si="2"/>
        <v>0</v>
      </c>
      <c r="AE37" s="131">
        <f t="shared" si="3"/>
        <v>0</v>
      </c>
      <c r="AF37" s="131">
        <f t="shared" si="4"/>
        <v>0</v>
      </c>
      <c r="AG37" s="131">
        <f t="shared" si="5"/>
        <v>0</v>
      </c>
      <c r="AH37" s="131">
        <f t="shared" si="6"/>
        <v>0</v>
      </c>
      <c r="AI37" s="131">
        <f t="shared" si="7"/>
        <v>0</v>
      </c>
      <c r="AJ37" s="131" t="e">
        <f t="shared" si="8"/>
        <v>#DIV/0!</v>
      </c>
      <c r="AK37" s="131">
        <f t="shared" si="9"/>
        <v>0</v>
      </c>
      <c r="AL37" s="131">
        <f t="shared" si="10"/>
        <v>0</v>
      </c>
      <c r="AM37" s="131">
        <v>0</v>
      </c>
      <c r="AN37" s="131">
        <f t="shared" si="11"/>
        <v>0</v>
      </c>
      <c r="AO37" s="131">
        <v>0</v>
      </c>
      <c r="AP37" s="131">
        <f t="shared" si="12"/>
        <v>0</v>
      </c>
      <c r="AQ37" s="131">
        <f t="shared" si="13"/>
        <v>0</v>
      </c>
      <c r="AR37" s="131">
        <v>0</v>
      </c>
    </row>
    <row r="38" spans="28:44">
      <c r="AB38" s="131">
        <f t="shared" si="0"/>
        <v>0</v>
      </c>
      <c r="AC38" s="131">
        <f t="shared" si="1"/>
        <v>0</v>
      </c>
      <c r="AD38" s="131">
        <f t="shared" si="2"/>
        <v>0</v>
      </c>
      <c r="AE38" s="131">
        <f t="shared" si="3"/>
        <v>0</v>
      </c>
      <c r="AF38" s="131">
        <f t="shared" si="4"/>
        <v>0</v>
      </c>
      <c r="AG38" s="131">
        <f t="shared" si="5"/>
        <v>0</v>
      </c>
      <c r="AH38" s="131">
        <f t="shared" si="6"/>
        <v>0</v>
      </c>
      <c r="AI38" s="131">
        <f t="shared" si="7"/>
        <v>0</v>
      </c>
      <c r="AJ38" s="131" t="e">
        <f t="shared" si="8"/>
        <v>#DIV/0!</v>
      </c>
      <c r="AK38" s="131">
        <f t="shared" si="9"/>
        <v>0</v>
      </c>
      <c r="AL38" s="131">
        <f t="shared" si="10"/>
        <v>0</v>
      </c>
      <c r="AM38" s="131">
        <v>0</v>
      </c>
      <c r="AN38" s="131">
        <f t="shared" si="11"/>
        <v>0</v>
      </c>
      <c r="AO38" s="131">
        <v>0</v>
      </c>
      <c r="AP38" s="131">
        <f t="shared" si="12"/>
        <v>0</v>
      </c>
      <c r="AQ38" s="131">
        <f t="shared" si="13"/>
        <v>0</v>
      </c>
      <c r="AR38" s="131">
        <v>0</v>
      </c>
    </row>
    <row r="39" spans="28:44">
      <c r="AB39" s="131">
        <f t="shared" si="0"/>
        <v>0</v>
      </c>
      <c r="AC39" s="131">
        <f t="shared" si="1"/>
        <v>0</v>
      </c>
      <c r="AD39" s="131">
        <f t="shared" si="2"/>
        <v>0</v>
      </c>
      <c r="AE39" s="131">
        <f t="shared" si="3"/>
        <v>0</v>
      </c>
      <c r="AF39" s="131">
        <f t="shared" si="4"/>
        <v>0</v>
      </c>
      <c r="AG39" s="131">
        <f t="shared" si="5"/>
        <v>0</v>
      </c>
      <c r="AH39" s="131">
        <f t="shared" si="6"/>
        <v>0</v>
      </c>
      <c r="AI39" s="131">
        <f t="shared" si="7"/>
        <v>0</v>
      </c>
      <c r="AJ39" s="131" t="e">
        <f t="shared" si="8"/>
        <v>#DIV/0!</v>
      </c>
      <c r="AK39" s="131">
        <f t="shared" si="9"/>
        <v>0</v>
      </c>
      <c r="AL39" s="131">
        <f t="shared" si="10"/>
        <v>0</v>
      </c>
      <c r="AM39" s="131">
        <v>0</v>
      </c>
      <c r="AN39" s="131">
        <f t="shared" si="11"/>
        <v>0</v>
      </c>
      <c r="AO39" s="131">
        <v>0</v>
      </c>
      <c r="AP39" s="131">
        <f t="shared" si="12"/>
        <v>0</v>
      </c>
      <c r="AQ39" s="131">
        <f t="shared" si="13"/>
        <v>0</v>
      </c>
      <c r="AR39" s="131">
        <v>0</v>
      </c>
    </row>
    <row r="40" spans="28:44">
      <c r="AB40" s="131">
        <f t="shared" si="0"/>
        <v>0</v>
      </c>
      <c r="AC40" s="131">
        <f t="shared" si="1"/>
        <v>0</v>
      </c>
      <c r="AD40" s="131">
        <f t="shared" si="2"/>
        <v>0</v>
      </c>
      <c r="AE40" s="131">
        <f t="shared" si="3"/>
        <v>0</v>
      </c>
      <c r="AF40" s="131">
        <f t="shared" si="4"/>
        <v>0</v>
      </c>
      <c r="AG40" s="131">
        <f t="shared" si="5"/>
        <v>0</v>
      </c>
      <c r="AH40" s="131">
        <f t="shared" si="6"/>
        <v>0</v>
      </c>
      <c r="AI40" s="131">
        <f t="shared" si="7"/>
        <v>0</v>
      </c>
      <c r="AJ40" s="131" t="e">
        <f t="shared" si="8"/>
        <v>#DIV/0!</v>
      </c>
      <c r="AK40" s="131">
        <f t="shared" si="9"/>
        <v>0</v>
      </c>
      <c r="AL40" s="131">
        <f t="shared" si="10"/>
        <v>0</v>
      </c>
      <c r="AM40" s="131">
        <v>0</v>
      </c>
      <c r="AN40" s="131">
        <f t="shared" si="11"/>
        <v>0</v>
      </c>
      <c r="AO40" s="131">
        <v>0</v>
      </c>
      <c r="AP40" s="131">
        <f t="shared" si="12"/>
        <v>0</v>
      </c>
      <c r="AQ40" s="131">
        <f t="shared" si="13"/>
        <v>0</v>
      </c>
      <c r="AR40" s="131">
        <v>0</v>
      </c>
    </row>
    <row r="41" spans="28:44">
      <c r="AB41" s="131">
        <f t="shared" si="0"/>
        <v>0</v>
      </c>
      <c r="AC41" s="131">
        <f t="shared" si="1"/>
        <v>0</v>
      </c>
      <c r="AD41" s="131">
        <f t="shared" si="2"/>
        <v>0</v>
      </c>
      <c r="AE41" s="131">
        <f t="shared" si="3"/>
        <v>0</v>
      </c>
      <c r="AF41" s="131">
        <f t="shared" si="4"/>
        <v>0</v>
      </c>
      <c r="AG41" s="131">
        <f t="shared" si="5"/>
        <v>0</v>
      </c>
      <c r="AH41" s="131">
        <f t="shared" si="6"/>
        <v>0</v>
      </c>
      <c r="AI41" s="131">
        <f t="shared" si="7"/>
        <v>0</v>
      </c>
      <c r="AJ41" s="131" t="e">
        <f t="shared" si="8"/>
        <v>#DIV/0!</v>
      </c>
      <c r="AK41" s="131">
        <f t="shared" si="9"/>
        <v>0</v>
      </c>
      <c r="AL41" s="131">
        <f t="shared" si="10"/>
        <v>0</v>
      </c>
      <c r="AM41" s="131">
        <v>0</v>
      </c>
      <c r="AN41" s="131">
        <f t="shared" si="11"/>
        <v>0</v>
      </c>
      <c r="AO41" s="131">
        <v>0</v>
      </c>
      <c r="AP41" s="131">
        <f t="shared" si="12"/>
        <v>0</v>
      </c>
      <c r="AQ41" s="131">
        <f t="shared" si="13"/>
        <v>0</v>
      </c>
      <c r="AR41" s="131">
        <v>0</v>
      </c>
    </row>
    <row r="42" spans="28:44">
      <c r="AB42" s="131">
        <f t="shared" si="0"/>
        <v>0</v>
      </c>
      <c r="AC42" s="131">
        <f t="shared" si="1"/>
        <v>0</v>
      </c>
      <c r="AD42" s="131">
        <f t="shared" si="2"/>
        <v>0</v>
      </c>
      <c r="AE42" s="131">
        <f t="shared" si="3"/>
        <v>0</v>
      </c>
      <c r="AF42" s="131">
        <f t="shared" si="4"/>
        <v>0</v>
      </c>
      <c r="AG42" s="131">
        <f t="shared" si="5"/>
        <v>0</v>
      </c>
      <c r="AH42" s="131">
        <f t="shared" si="6"/>
        <v>0</v>
      </c>
      <c r="AI42" s="131">
        <f t="shared" si="7"/>
        <v>0</v>
      </c>
      <c r="AJ42" s="131" t="e">
        <f t="shared" si="8"/>
        <v>#DIV/0!</v>
      </c>
      <c r="AK42" s="131">
        <f t="shared" si="9"/>
        <v>0</v>
      </c>
      <c r="AL42" s="131">
        <f t="shared" si="10"/>
        <v>0</v>
      </c>
      <c r="AM42" s="131">
        <v>0</v>
      </c>
      <c r="AN42" s="131">
        <f t="shared" si="11"/>
        <v>0</v>
      </c>
      <c r="AO42" s="131">
        <v>0</v>
      </c>
      <c r="AP42" s="131">
        <f t="shared" si="12"/>
        <v>0</v>
      </c>
      <c r="AQ42" s="131">
        <f t="shared" si="13"/>
        <v>0</v>
      </c>
      <c r="AR42" s="131">
        <v>0</v>
      </c>
    </row>
    <row r="43" spans="28:44">
      <c r="AB43" s="131">
        <f t="shared" si="0"/>
        <v>0</v>
      </c>
      <c r="AC43" s="131">
        <f t="shared" si="1"/>
        <v>0</v>
      </c>
      <c r="AD43" s="131">
        <f t="shared" si="2"/>
        <v>0</v>
      </c>
      <c r="AE43" s="131">
        <f t="shared" si="3"/>
        <v>0</v>
      </c>
      <c r="AF43" s="131">
        <f t="shared" si="4"/>
        <v>0</v>
      </c>
      <c r="AG43" s="131">
        <f t="shared" si="5"/>
        <v>0</v>
      </c>
      <c r="AH43" s="131">
        <f t="shared" si="6"/>
        <v>0</v>
      </c>
      <c r="AI43" s="131">
        <f t="shared" si="7"/>
        <v>0</v>
      </c>
      <c r="AJ43" s="131" t="e">
        <f t="shared" si="8"/>
        <v>#DIV/0!</v>
      </c>
      <c r="AK43" s="131">
        <f t="shared" si="9"/>
        <v>0</v>
      </c>
      <c r="AL43" s="131">
        <f t="shared" si="10"/>
        <v>0</v>
      </c>
      <c r="AM43" s="131">
        <v>0</v>
      </c>
      <c r="AN43" s="131">
        <f t="shared" si="11"/>
        <v>0</v>
      </c>
      <c r="AO43" s="131">
        <v>0</v>
      </c>
      <c r="AP43" s="131">
        <f t="shared" si="12"/>
        <v>0</v>
      </c>
      <c r="AQ43" s="131">
        <f t="shared" si="13"/>
        <v>0</v>
      </c>
      <c r="AR43" s="131">
        <v>0</v>
      </c>
    </row>
    <row r="44" spans="28:44">
      <c r="AB44" s="131">
        <f t="shared" si="0"/>
        <v>0</v>
      </c>
      <c r="AC44" s="131">
        <f t="shared" si="1"/>
        <v>0</v>
      </c>
      <c r="AD44" s="131">
        <f t="shared" si="2"/>
        <v>0</v>
      </c>
      <c r="AE44" s="131">
        <f t="shared" si="3"/>
        <v>0</v>
      </c>
      <c r="AF44" s="131">
        <f t="shared" si="4"/>
        <v>0</v>
      </c>
      <c r="AG44" s="131">
        <f t="shared" si="5"/>
        <v>0</v>
      </c>
      <c r="AH44" s="131">
        <f t="shared" si="6"/>
        <v>0</v>
      </c>
      <c r="AI44" s="131">
        <f t="shared" si="7"/>
        <v>0</v>
      </c>
      <c r="AJ44" s="131" t="e">
        <f t="shared" si="8"/>
        <v>#DIV/0!</v>
      </c>
      <c r="AK44" s="131">
        <f t="shared" si="9"/>
        <v>0</v>
      </c>
      <c r="AL44" s="131">
        <f t="shared" si="10"/>
        <v>0</v>
      </c>
      <c r="AM44" s="131">
        <v>0</v>
      </c>
      <c r="AN44" s="131">
        <f t="shared" si="11"/>
        <v>0</v>
      </c>
      <c r="AO44" s="131">
        <v>0</v>
      </c>
      <c r="AP44" s="131">
        <f t="shared" si="12"/>
        <v>0</v>
      </c>
      <c r="AQ44" s="131">
        <f t="shared" si="13"/>
        <v>0</v>
      </c>
      <c r="AR44" s="131">
        <v>0</v>
      </c>
    </row>
    <row r="45" spans="28:44">
      <c r="AB45" s="131">
        <f t="shared" si="0"/>
        <v>0</v>
      </c>
      <c r="AC45" s="131">
        <f t="shared" si="1"/>
        <v>0</v>
      </c>
      <c r="AD45" s="131">
        <f t="shared" si="2"/>
        <v>0</v>
      </c>
      <c r="AE45" s="131">
        <f t="shared" si="3"/>
        <v>0</v>
      </c>
      <c r="AF45" s="131">
        <f t="shared" si="4"/>
        <v>0</v>
      </c>
      <c r="AG45" s="131">
        <f t="shared" si="5"/>
        <v>0</v>
      </c>
      <c r="AH45" s="131">
        <f t="shared" si="6"/>
        <v>0</v>
      </c>
      <c r="AI45" s="131">
        <f t="shared" si="7"/>
        <v>0</v>
      </c>
      <c r="AJ45" s="131" t="e">
        <f t="shared" si="8"/>
        <v>#DIV/0!</v>
      </c>
      <c r="AK45" s="131">
        <f t="shared" si="9"/>
        <v>0</v>
      </c>
      <c r="AL45" s="131">
        <f t="shared" si="10"/>
        <v>0</v>
      </c>
      <c r="AM45" s="131">
        <v>0</v>
      </c>
      <c r="AN45" s="131">
        <f t="shared" si="11"/>
        <v>0</v>
      </c>
      <c r="AO45" s="131">
        <v>0</v>
      </c>
      <c r="AP45" s="131">
        <f t="shared" si="12"/>
        <v>0</v>
      </c>
      <c r="AQ45" s="131">
        <f t="shared" si="13"/>
        <v>0</v>
      </c>
      <c r="AR45" s="131">
        <v>0</v>
      </c>
    </row>
    <row r="46" spans="28:44">
      <c r="AB46" s="131">
        <f t="shared" si="0"/>
        <v>0</v>
      </c>
      <c r="AC46" s="131">
        <f t="shared" si="1"/>
        <v>0</v>
      </c>
      <c r="AD46" s="131">
        <f t="shared" si="2"/>
        <v>0</v>
      </c>
      <c r="AE46" s="131">
        <f t="shared" si="3"/>
        <v>0</v>
      </c>
      <c r="AF46" s="131">
        <f t="shared" si="4"/>
        <v>0</v>
      </c>
      <c r="AG46" s="131">
        <f t="shared" si="5"/>
        <v>0</v>
      </c>
      <c r="AH46" s="131">
        <f t="shared" si="6"/>
        <v>0</v>
      </c>
      <c r="AI46" s="131">
        <f t="shared" si="7"/>
        <v>0</v>
      </c>
      <c r="AJ46" s="131" t="e">
        <f t="shared" si="8"/>
        <v>#DIV/0!</v>
      </c>
      <c r="AK46" s="131">
        <f t="shared" si="9"/>
        <v>0</v>
      </c>
      <c r="AL46" s="131">
        <f t="shared" si="10"/>
        <v>0</v>
      </c>
      <c r="AM46" s="131">
        <v>0</v>
      </c>
      <c r="AN46" s="131">
        <f t="shared" si="11"/>
        <v>0</v>
      </c>
      <c r="AO46" s="131">
        <v>0</v>
      </c>
      <c r="AP46" s="131">
        <f t="shared" si="12"/>
        <v>0</v>
      </c>
      <c r="AQ46" s="131">
        <f t="shared" si="13"/>
        <v>0</v>
      </c>
      <c r="AR46" s="131">
        <v>0</v>
      </c>
    </row>
    <row r="47" spans="28:44">
      <c r="AB47" s="131">
        <f t="shared" si="0"/>
        <v>0</v>
      </c>
      <c r="AC47" s="131">
        <f t="shared" si="1"/>
        <v>0</v>
      </c>
      <c r="AD47" s="131">
        <f t="shared" si="2"/>
        <v>0</v>
      </c>
      <c r="AE47" s="131">
        <f t="shared" si="3"/>
        <v>0</v>
      </c>
      <c r="AF47" s="131">
        <f t="shared" si="4"/>
        <v>0</v>
      </c>
      <c r="AG47" s="131">
        <f t="shared" si="5"/>
        <v>0</v>
      </c>
      <c r="AH47" s="131">
        <f t="shared" si="6"/>
        <v>0</v>
      </c>
      <c r="AI47" s="131">
        <f t="shared" si="7"/>
        <v>0</v>
      </c>
      <c r="AJ47" s="131" t="e">
        <f t="shared" si="8"/>
        <v>#DIV/0!</v>
      </c>
      <c r="AK47" s="131">
        <f t="shared" si="9"/>
        <v>0</v>
      </c>
      <c r="AL47" s="131">
        <f t="shared" si="10"/>
        <v>0</v>
      </c>
      <c r="AM47" s="131">
        <v>0</v>
      </c>
      <c r="AN47" s="131">
        <f t="shared" si="11"/>
        <v>0</v>
      </c>
      <c r="AO47" s="131">
        <v>0</v>
      </c>
      <c r="AP47" s="131">
        <f t="shared" si="12"/>
        <v>0</v>
      </c>
      <c r="AQ47" s="131">
        <f t="shared" si="13"/>
        <v>0</v>
      </c>
      <c r="AR47" s="131">
        <v>0</v>
      </c>
    </row>
    <row r="48" spans="28:44">
      <c r="AB48" s="131">
        <f t="shared" si="0"/>
        <v>0</v>
      </c>
      <c r="AC48" s="131">
        <f t="shared" si="1"/>
        <v>0</v>
      </c>
      <c r="AD48" s="131">
        <f t="shared" si="2"/>
        <v>0</v>
      </c>
      <c r="AE48" s="131">
        <f t="shared" si="3"/>
        <v>0</v>
      </c>
      <c r="AF48" s="131">
        <f t="shared" si="4"/>
        <v>0</v>
      </c>
      <c r="AG48" s="131">
        <f t="shared" si="5"/>
        <v>0</v>
      </c>
      <c r="AH48" s="131">
        <f t="shared" si="6"/>
        <v>0</v>
      </c>
      <c r="AI48" s="131">
        <f t="shared" si="7"/>
        <v>0</v>
      </c>
      <c r="AJ48" s="131" t="e">
        <f t="shared" si="8"/>
        <v>#DIV/0!</v>
      </c>
      <c r="AK48" s="131">
        <f t="shared" si="9"/>
        <v>0</v>
      </c>
      <c r="AL48" s="131">
        <f t="shared" si="10"/>
        <v>0</v>
      </c>
      <c r="AM48" s="131">
        <v>0</v>
      </c>
      <c r="AN48" s="131">
        <f t="shared" si="11"/>
        <v>0</v>
      </c>
      <c r="AO48" s="131">
        <v>0</v>
      </c>
      <c r="AP48" s="131">
        <f t="shared" si="12"/>
        <v>0</v>
      </c>
      <c r="AQ48" s="131">
        <f t="shared" si="13"/>
        <v>0</v>
      </c>
      <c r="AR48" s="131">
        <v>0</v>
      </c>
    </row>
    <row r="49" spans="28:44">
      <c r="AB49" s="131">
        <f t="shared" si="0"/>
        <v>0</v>
      </c>
      <c r="AC49" s="131">
        <f t="shared" si="1"/>
        <v>0</v>
      </c>
      <c r="AD49" s="131">
        <f t="shared" si="2"/>
        <v>0</v>
      </c>
      <c r="AE49" s="131">
        <f t="shared" si="3"/>
        <v>0</v>
      </c>
      <c r="AF49" s="131">
        <f t="shared" si="4"/>
        <v>0</v>
      </c>
      <c r="AG49" s="131">
        <f t="shared" si="5"/>
        <v>0</v>
      </c>
      <c r="AH49" s="131">
        <f t="shared" si="6"/>
        <v>0</v>
      </c>
      <c r="AI49" s="131">
        <f t="shared" si="7"/>
        <v>0</v>
      </c>
      <c r="AJ49" s="131" t="e">
        <f t="shared" si="8"/>
        <v>#DIV/0!</v>
      </c>
      <c r="AK49" s="131">
        <f t="shared" si="9"/>
        <v>0</v>
      </c>
      <c r="AL49" s="131">
        <f t="shared" si="10"/>
        <v>0</v>
      </c>
      <c r="AM49" s="131">
        <v>0</v>
      </c>
      <c r="AN49" s="131">
        <f t="shared" si="11"/>
        <v>0</v>
      </c>
      <c r="AO49" s="131">
        <v>0</v>
      </c>
      <c r="AP49" s="131">
        <f t="shared" si="12"/>
        <v>0</v>
      </c>
      <c r="AQ49" s="131">
        <f t="shared" si="13"/>
        <v>0</v>
      </c>
      <c r="AR49" s="131">
        <v>0</v>
      </c>
    </row>
    <row r="50" spans="28:44">
      <c r="AB50" s="131">
        <f t="shared" si="0"/>
        <v>0</v>
      </c>
      <c r="AC50" s="131">
        <f t="shared" si="1"/>
        <v>0</v>
      </c>
      <c r="AD50" s="131">
        <f t="shared" si="2"/>
        <v>0</v>
      </c>
      <c r="AE50" s="131">
        <f t="shared" si="3"/>
        <v>0</v>
      </c>
      <c r="AF50" s="131">
        <f t="shared" si="4"/>
        <v>0</v>
      </c>
      <c r="AG50" s="131">
        <f t="shared" si="5"/>
        <v>0</v>
      </c>
      <c r="AH50" s="131">
        <f t="shared" si="6"/>
        <v>0</v>
      </c>
      <c r="AI50" s="131">
        <f t="shared" si="7"/>
        <v>0</v>
      </c>
      <c r="AJ50" s="131" t="e">
        <f t="shared" si="8"/>
        <v>#DIV/0!</v>
      </c>
      <c r="AK50" s="131">
        <f t="shared" si="9"/>
        <v>0</v>
      </c>
      <c r="AL50" s="131">
        <f t="shared" si="10"/>
        <v>0</v>
      </c>
      <c r="AM50" s="131">
        <v>0</v>
      </c>
      <c r="AN50" s="131">
        <f t="shared" si="11"/>
        <v>0</v>
      </c>
      <c r="AO50" s="131">
        <v>0</v>
      </c>
      <c r="AP50" s="131">
        <f t="shared" si="12"/>
        <v>0</v>
      </c>
      <c r="AQ50" s="131">
        <f t="shared" si="13"/>
        <v>0</v>
      </c>
      <c r="AR50" s="131">
        <v>0</v>
      </c>
    </row>
    <row r="51" spans="28:44">
      <c r="AB51" s="131">
        <f t="shared" si="0"/>
        <v>0</v>
      </c>
      <c r="AC51" s="131">
        <f t="shared" si="1"/>
        <v>0</v>
      </c>
      <c r="AD51" s="131">
        <f t="shared" si="2"/>
        <v>0</v>
      </c>
      <c r="AE51" s="131">
        <f t="shared" si="3"/>
        <v>0</v>
      </c>
      <c r="AF51" s="131">
        <f t="shared" si="4"/>
        <v>0</v>
      </c>
      <c r="AG51" s="131">
        <f t="shared" si="5"/>
        <v>0</v>
      </c>
      <c r="AH51" s="131">
        <f t="shared" si="6"/>
        <v>0</v>
      </c>
      <c r="AI51" s="131">
        <f t="shared" si="7"/>
        <v>0</v>
      </c>
      <c r="AJ51" s="131" t="e">
        <f t="shared" si="8"/>
        <v>#DIV/0!</v>
      </c>
      <c r="AK51" s="131">
        <f t="shared" si="9"/>
        <v>0</v>
      </c>
      <c r="AL51" s="131">
        <f t="shared" si="10"/>
        <v>0</v>
      </c>
      <c r="AM51" s="131">
        <v>0</v>
      </c>
      <c r="AN51" s="131">
        <f t="shared" si="11"/>
        <v>0</v>
      </c>
      <c r="AO51" s="131">
        <v>0</v>
      </c>
      <c r="AP51" s="131">
        <f t="shared" si="12"/>
        <v>0</v>
      </c>
      <c r="AQ51" s="131">
        <f t="shared" si="13"/>
        <v>0</v>
      </c>
      <c r="AR51" s="131">
        <v>0</v>
      </c>
    </row>
    <row r="52" spans="28:44">
      <c r="AB52" s="131">
        <f t="shared" si="0"/>
        <v>0</v>
      </c>
      <c r="AC52" s="131">
        <f t="shared" si="1"/>
        <v>0</v>
      </c>
      <c r="AD52" s="131">
        <f t="shared" si="2"/>
        <v>0</v>
      </c>
      <c r="AE52" s="131">
        <f t="shared" si="3"/>
        <v>0</v>
      </c>
      <c r="AF52" s="131">
        <f t="shared" si="4"/>
        <v>0</v>
      </c>
      <c r="AG52" s="131">
        <f t="shared" si="5"/>
        <v>0</v>
      </c>
      <c r="AH52" s="131">
        <f t="shared" si="6"/>
        <v>0</v>
      </c>
      <c r="AI52" s="131">
        <f t="shared" si="7"/>
        <v>0</v>
      </c>
      <c r="AJ52" s="131" t="e">
        <f t="shared" si="8"/>
        <v>#DIV/0!</v>
      </c>
      <c r="AK52" s="131">
        <f t="shared" si="9"/>
        <v>0</v>
      </c>
      <c r="AL52" s="131">
        <f t="shared" si="10"/>
        <v>0</v>
      </c>
      <c r="AM52" s="131">
        <v>0</v>
      </c>
      <c r="AN52" s="131">
        <f t="shared" si="11"/>
        <v>0</v>
      </c>
      <c r="AO52" s="131">
        <v>0</v>
      </c>
      <c r="AP52" s="131">
        <f t="shared" si="12"/>
        <v>0</v>
      </c>
      <c r="AQ52" s="131">
        <f t="shared" si="13"/>
        <v>0</v>
      </c>
      <c r="AR52" s="131">
        <v>0</v>
      </c>
    </row>
    <row r="53" spans="28:44">
      <c r="AB53" s="131">
        <f t="shared" si="0"/>
        <v>0</v>
      </c>
      <c r="AC53" s="131">
        <f t="shared" si="1"/>
        <v>0</v>
      </c>
      <c r="AD53" s="131">
        <f t="shared" si="2"/>
        <v>0</v>
      </c>
      <c r="AE53" s="131">
        <f t="shared" si="3"/>
        <v>0</v>
      </c>
      <c r="AF53" s="131">
        <f t="shared" si="4"/>
        <v>0</v>
      </c>
      <c r="AG53" s="131">
        <f t="shared" si="5"/>
        <v>0</v>
      </c>
      <c r="AH53" s="131">
        <f t="shared" si="6"/>
        <v>0</v>
      </c>
      <c r="AI53" s="131">
        <f t="shared" si="7"/>
        <v>0</v>
      </c>
      <c r="AJ53" s="131" t="e">
        <f t="shared" si="8"/>
        <v>#DIV/0!</v>
      </c>
      <c r="AK53" s="131">
        <f t="shared" si="9"/>
        <v>0</v>
      </c>
      <c r="AL53" s="131">
        <f t="shared" si="10"/>
        <v>0</v>
      </c>
      <c r="AM53" s="131">
        <v>0</v>
      </c>
      <c r="AN53" s="131">
        <f t="shared" si="11"/>
        <v>0</v>
      </c>
      <c r="AO53" s="131">
        <v>0</v>
      </c>
      <c r="AP53" s="131">
        <f t="shared" si="12"/>
        <v>0</v>
      </c>
      <c r="AQ53" s="131">
        <f t="shared" si="13"/>
        <v>0</v>
      </c>
      <c r="AR53" s="131">
        <v>0</v>
      </c>
    </row>
    <row r="54" spans="28:44">
      <c r="AB54" s="131">
        <f t="shared" si="0"/>
        <v>0</v>
      </c>
      <c r="AC54" s="131">
        <f t="shared" si="1"/>
        <v>0</v>
      </c>
      <c r="AD54" s="131">
        <f t="shared" si="2"/>
        <v>0</v>
      </c>
      <c r="AE54" s="131">
        <f t="shared" si="3"/>
        <v>0</v>
      </c>
      <c r="AF54" s="131">
        <f t="shared" si="4"/>
        <v>0</v>
      </c>
      <c r="AG54" s="131">
        <f t="shared" si="5"/>
        <v>0</v>
      </c>
      <c r="AH54" s="131">
        <f t="shared" si="6"/>
        <v>0</v>
      </c>
      <c r="AI54" s="131">
        <f t="shared" si="7"/>
        <v>0</v>
      </c>
      <c r="AJ54" s="131" t="e">
        <f t="shared" si="8"/>
        <v>#DIV/0!</v>
      </c>
      <c r="AK54" s="131">
        <f t="shared" si="9"/>
        <v>0</v>
      </c>
      <c r="AL54" s="131">
        <f t="shared" si="10"/>
        <v>0</v>
      </c>
      <c r="AM54" s="131">
        <v>0</v>
      </c>
      <c r="AN54" s="131">
        <f t="shared" si="11"/>
        <v>0</v>
      </c>
      <c r="AO54" s="131">
        <v>0</v>
      </c>
      <c r="AP54" s="131">
        <f t="shared" si="12"/>
        <v>0</v>
      </c>
      <c r="AQ54" s="131">
        <f t="shared" si="13"/>
        <v>0</v>
      </c>
      <c r="AR54" s="131">
        <v>0</v>
      </c>
    </row>
    <row r="55" spans="28:44">
      <c r="AB55" s="131">
        <f t="shared" si="0"/>
        <v>0</v>
      </c>
      <c r="AC55" s="131">
        <f t="shared" si="1"/>
        <v>0</v>
      </c>
      <c r="AD55" s="131">
        <f t="shared" si="2"/>
        <v>0</v>
      </c>
      <c r="AE55" s="131">
        <f t="shared" si="3"/>
        <v>0</v>
      </c>
      <c r="AF55" s="131">
        <f t="shared" si="4"/>
        <v>0</v>
      </c>
      <c r="AG55" s="131">
        <f t="shared" si="5"/>
        <v>0</v>
      </c>
      <c r="AH55" s="131">
        <f t="shared" si="6"/>
        <v>0</v>
      </c>
      <c r="AI55" s="131">
        <f t="shared" si="7"/>
        <v>0</v>
      </c>
      <c r="AJ55" s="131" t="e">
        <f t="shared" si="8"/>
        <v>#DIV/0!</v>
      </c>
      <c r="AK55" s="131">
        <f t="shared" si="9"/>
        <v>0</v>
      </c>
      <c r="AL55" s="131">
        <f t="shared" si="10"/>
        <v>0</v>
      </c>
      <c r="AM55" s="131">
        <v>0</v>
      </c>
      <c r="AN55" s="131">
        <f t="shared" si="11"/>
        <v>0</v>
      </c>
      <c r="AO55" s="131">
        <v>0</v>
      </c>
      <c r="AP55" s="131">
        <f t="shared" si="12"/>
        <v>0</v>
      </c>
      <c r="AQ55" s="131">
        <f t="shared" si="13"/>
        <v>0</v>
      </c>
      <c r="AR55" s="131">
        <v>0</v>
      </c>
    </row>
    <row r="56" spans="28:44">
      <c r="AB56" s="131">
        <f t="shared" si="0"/>
        <v>0</v>
      </c>
      <c r="AC56" s="131">
        <f t="shared" si="1"/>
        <v>0</v>
      </c>
      <c r="AD56" s="131">
        <f t="shared" si="2"/>
        <v>0</v>
      </c>
      <c r="AE56" s="131">
        <f t="shared" si="3"/>
        <v>0</v>
      </c>
      <c r="AF56" s="131">
        <f t="shared" si="4"/>
        <v>0</v>
      </c>
      <c r="AG56" s="131">
        <f t="shared" si="5"/>
        <v>0</v>
      </c>
      <c r="AH56" s="131">
        <f t="shared" si="6"/>
        <v>0</v>
      </c>
      <c r="AI56" s="131">
        <f t="shared" si="7"/>
        <v>0</v>
      </c>
      <c r="AJ56" s="131" t="e">
        <f t="shared" si="8"/>
        <v>#DIV/0!</v>
      </c>
      <c r="AK56" s="131">
        <f t="shared" si="9"/>
        <v>0</v>
      </c>
      <c r="AL56" s="131">
        <f t="shared" si="10"/>
        <v>0</v>
      </c>
      <c r="AM56" s="131">
        <v>0</v>
      </c>
      <c r="AN56" s="131">
        <f t="shared" si="11"/>
        <v>0</v>
      </c>
      <c r="AO56" s="131">
        <v>0</v>
      </c>
      <c r="AP56" s="131">
        <f t="shared" si="12"/>
        <v>0</v>
      </c>
      <c r="AQ56" s="131">
        <f t="shared" si="13"/>
        <v>0</v>
      </c>
      <c r="AR56" s="131">
        <v>0</v>
      </c>
    </row>
    <row r="57" spans="28:44">
      <c r="AB57" s="131">
        <f t="shared" si="0"/>
        <v>0</v>
      </c>
      <c r="AC57" s="131">
        <f t="shared" si="1"/>
        <v>0</v>
      </c>
      <c r="AD57" s="131">
        <f t="shared" si="2"/>
        <v>0</v>
      </c>
      <c r="AE57" s="131">
        <f t="shared" si="3"/>
        <v>0</v>
      </c>
      <c r="AF57" s="131">
        <f t="shared" si="4"/>
        <v>0</v>
      </c>
      <c r="AG57" s="131">
        <f t="shared" si="5"/>
        <v>0</v>
      </c>
      <c r="AH57" s="131">
        <f t="shared" si="6"/>
        <v>0</v>
      </c>
      <c r="AI57" s="131">
        <f t="shared" si="7"/>
        <v>0</v>
      </c>
      <c r="AJ57" s="131" t="e">
        <f t="shared" si="8"/>
        <v>#DIV/0!</v>
      </c>
      <c r="AK57" s="131">
        <f t="shared" si="9"/>
        <v>0</v>
      </c>
      <c r="AL57" s="131">
        <f t="shared" si="10"/>
        <v>0</v>
      </c>
      <c r="AM57" s="131">
        <v>0</v>
      </c>
      <c r="AN57" s="131">
        <f t="shared" si="11"/>
        <v>0</v>
      </c>
      <c r="AO57" s="131">
        <v>0</v>
      </c>
      <c r="AP57" s="131">
        <f t="shared" si="12"/>
        <v>0</v>
      </c>
      <c r="AQ57" s="131">
        <f t="shared" si="13"/>
        <v>0</v>
      </c>
      <c r="AR57" s="131">
        <v>0</v>
      </c>
    </row>
    <row r="58" spans="28:44">
      <c r="AB58" s="131">
        <f t="shared" si="0"/>
        <v>0</v>
      </c>
      <c r="AC58" s="131">
        <f t="shared" si="1"/>
        <v>0</v>
      </c>
      <c r="AD58" s="131">
        <f t="shared" si="2"/>
        <v>0</v>
      </c>
      <c r="AE58" s="131">
        <f t="shared" si="3"/>
        <v>0</v>
      </c>
      <c r="AF58" s="131">
        <f t="shared" si="4"/>
        <v>0</v>
      </c>
      <c r="AG58" s="131">
        <f t="shared" si="5"/>
        <v>0</v>
      </c>
      <c r="AH58" s="131">
        <f t="shared" si="6"/>
        <v>0</v>
      </c>
      <c r="AI58" s="131">
        <f t="shared" si="7"/>
        <v>0</v>
      </c>
      <c r="AJ58" s="131" t="e">
        <f t="shared" si="8"/>
        <v>#DIV/0!</v>
      </c>
      <c r="AK58" s="131">
        <f t="shared" si="9"/>
        <v>0</v>
      </c>
      <c r="AL58" s="131">
        <f t="shared" si="10"/>
        <v>0</v>
      </c>
      <c r="AM58" s="131">
        <v>0</v>
      </c>
      <c r="AN58" s="131">
        <f t="shared" si="11"/>
        <v>0</v>
      </c>
      <c r="AO58" s="131">
        <v>0</v>
      </c>
      <c r="AP58" s="131">
        <f t="shared" si="12"/>
        <v>0</v>
      </c>
      <c r="AQ58" s="131">
        <f t="shared" si="13"/>
        <v>0</v>
      </c>
      <c r="AR58" s="131">
        <v>0</v>
      </c>
    </row>
    <row r="59" spans="28:44">
      <c r="AB59" s="131">
        <f t="shared" si="0"/>
        <v>0</v>
      </c>
      <c r="AC59" s="131">
        <f t="shared" si="1"/>
        <v>0</v>
      </c>
      <c r="AD59" s="131">
        <f t="shared" si="2"/>
        <v>0</v>
      </c>
      <c r="AE59" s="131">
        <f t="shared" si="3"/>
        <v>0</v>
      </c>
      <c r="AF59" s="131">
        <f t="shared" si="4"/>
        <v>0</v>
      </c>
      <c r="AG59" s="131">
        <f t="shared" si="5"/>
        <v>0</v>
      </c>
      <c r="AH59" s="131">
        <f t="shared" si="6"/>
        <v>0</v>
      </c>
      <c r="AI59" s="131">
        <f t="shared" si="7"/>
        <v>0</v>
      </c>
      <c r="AJ59" s="131" t="e">
        <f t="shared" si="8"/>
        <v>#DIV/0!</v>
      </c>
      <c r="AK59" s="131">
        <f t="shared" si="9"/>
        <v>0</v>
      </c>
      <c r="AL59" s="131">
        <f t="shared" si="10"/>
        <v>0</v>
      </c>
      <c r="AM59" s="131">
        <v>0</v>
      </c>
      <c r="AN59" s="131">
        <f t="shared" si="11"/>
        <v>0</v>
      </c>
      <c r="AO59" s="131">
        <v>0</v>
      </c>
      <c r="AP59" s="131">
        <f t="shared" si="12"/>
        <v>0</v>
      </c>
      <c r="AQ59" s="131">
        <f t="shared" si="13"/>
        <v>0</v>
      </c>
      <c r="AR59" s="131">
        <v>0</v>
      </c>
    </row>
    <row r="60" spans="28:44">
      <c r="AB60" s="131">
        <f t="shared" si="0"/>
        <v>0</v>
      </c>
      <c r="AC60" s="131">
        <f t="shared" si="1"/>
        <v>0</v>
      </c>
      <c r="AD60" s="131">
        <f t="shared" si="2"/>
        <v>0</v>
      </c>
      <c r="AE60" s="131">
        <f t="shared" si="3"/>
        <v>0</v>
      </c>
      <c r="AF60" s="131">
        <f t="shared" si="4"/>
        <v>0</v>
      </c>
      <c r="AG60" s="131">
        <f t="shared" si="5"/>
        <v>0</v>
      </c>
      <c r="AH60" s="131">
        <f t="shared" si="6"/>
        <v>0</v>
      </c>
      <c r="AI60" s="131">
        <f t="shared" si="7"/>
        <v>0</v>
      </c>
      <c r="AJ60" s="131" t="e">
        <f t="shared" si="8"/>
        <v>#DIV/0!</v>
      </c>
      <c r="AK60" s="131">
        <f t="shared" si="9"/>
        <v>0</v>
      </c>
      <c r="AL60" s="131">
        <f t="shared" si="10"/>
        <v>0</v>
      </c>
      <c r="AM60" s="131">
        <v>0</v>
      </c>
      <c r="AN60" s="131">
        <f t="shared" si="11"/>
        <v>0</v>
      </c>
      <c r="AO60" s="131">
        <v>0</v>
      </c>
      <c r="AP60" s="131">
        <f t="shared" si="12"/>
        <v>0</v>
      </c>
      <c r="AQ60" s="131">
        <f t="shared" si="13"/>
        <v>0</v>
      </c>
      <c r="AR60" s="131">
        <v>0</v>
      </c>
    </row>
    <row r="61" spans="28:44">
      <c r="AB61" s="131">
        <f t="shared" si="0"/>
        <v>0</v>
      </c>
      <c r="AC61" s="131">
        <f t="shared" si="1"/>
        <v>0</v>
      </c>
      <c r="AD61" s="131">
        <f t="shared" si="2"/>
        <v>0</v>
      </c>
      <c r="AE61" s="131">
        <f t="shared" si="3"/>
        <v>0</v>
      </c>
      <c r="AF61" s="131">
        <f t="shared" si="4"/>
        <v>0</v>
      </c>
      <c r="AG61" s="131">
        <f t="shared" si="5"/>
        <v>0</v>
      </c>
      <c r="AH61" s="131">
        <f t="shared" si="6"/>
        <v>0</v>
      </c>
      <c r="AI61" s="131">
        <f t="shared" si="7"/>
        <v>0</v>
      </c>
      <c r="AJ61" s="131" t="e">
        <f t="shared" si="8"/>
        <v>#DIV/0!</v>
      </c>
      <c r="AK61" s="131">
        <f t="shared" si="9"/>
        <v>0</v>
      </c>
      <c r="AL61" s="131">
        <f t="shared" si="10"/>
        <v>0</v>
      </c>
      <c r="AM61" s="131">
        <v>0</v>
      </c>
      <c r="AN61" s="131">
        <f t="shared" si="11"/>
        <v>0</v>
      </c>
      <c r="AO61" s="131">
        <v>0</v>
      </c>
      <c r="AP61" s="131">
        <f t="shared" si="12"/>
        <v>0</v>
      </c>
      <c r="AQ61" s="131">
        <f t="shared" si="13"/>
        <v>0</v>
      </c>
      <c r="AR61" s="131">
        <v>0</v>
      </c>
    </row>
    <row r="62" spans="28:44">
      <c r="AB62" s="131">
        <f t="shared" si="0"/>
        <v>0</v>
      </c>
      <c r="AC62" s="131">
        <f t="shared" si="1"/>
        <v>0</v>
      </c>
      <c r="AD62" s="131">
        <f t="shared" si="2"/>
        <v>0</v>
      </c>
      <c r="AE62" s="131">
        <f t="shared" si="3"/>
        <v>0</v>
      </c>
      <c r="AF62" s="131">
        <f t="shared" si="4"/>
        <v>0</v>
      </c>
      <c r="AG62" s="131">
        <f t="shared" si="5"/>
        <v>0</v>
      </c>
      <c r="AH62" s="131">
        <f t="shared" si="6"/>
        <v>0</v>
      </c>
      <c r="AI62" s="131">
        <f t="shared" si="7"/>
        <v>0</v>
      </c>
      <c r="AJ62" s="131" t="e">
        <f t="shared" si="8"/>
        <v>#DIV/0!</v>
      </c>
      <c r="AK62" s="131">
        <f t="shared" si="9"/>
        <v>0</v>
      </c>
      <c r="AL62" s="131">
        <f t="shared" si="10"/>
        <v>0</v>
      </c>
      <c r="AM62" s="131">
        <v>0</v>
      </c>
      <c r="AN62" s="131">
        <f t="shared" si="11"/>
        <v>0</v>
      </c>
      <c r="AO62" s="131">
        <v>0</v>
      </c>
      <c r="AP62" s="131">
        <f t="shared" si="12"/>
        <v>0</v>
      </c>
      <c r="AQ62" s="131">
        <f t="shared" si="13"/>
        <v>0</v>
      </c>
      <c r="AR62" s="131">
        <v>0</v>
      </c>
    </row>
    <row r="63" spans="28:44">
      <c r="AB63" s="131">
        <f t="shared" si="0"/>
        <v>0</v>
      </c>
      <c r="AC63" s="131">
        <f t="shared" si="1"/>
        <v>0</v>
      </c>
      <c r="AD63" s="131">
        <f t="shared" si="2"/>
        <v>0</v>
      </c>
      <c r="AE63" s="131">
        <f t="shared" si="3"/>
        <v>0</v>
      </c>
      <c r="AF63" s="131">
        <f t="shared" si="4"/>
        <v>0</v>
      </c>
      <c r="AG63" s="131">
        <f t="shared" si="5"/>
        <v>0</v>
      </c>
      <c r="AH63" s="131">
        <f t="shared" si="6"/>
        <v>0</v>
      </c>
      <c r="AI63" s="131">
        <f t="shared" si="7"/>
        <v>0</v>
      </c>
      <c r="AJ63" s="131" t="e">
        <f t="shared" si="8"/>
        <v>#DIV/0!</v>
      </c>
      <c r="AK63" s="131">
        <f t="shared" si="9"/>
        <v>0</v>
      </c>
      <c r="AL63" s="131">
        <f t="shared" si="10"/>
        <v>0</v>
      </c>
      <c r="AM63" s="131">
        <v>0</v>
      </c>
      <c r="AN63" s="131">
        <f t="shared" si="11"/>
        <v>0</v>
      </c>
      <c r="AO63" s="131">
        <v>0</v>
      </c>
      <c r="AP63" s="131">
        <f t="shared" si="12"/>
        <v>0</v>
      </c>
      <c r="AQ63" s="131">
        <f t="shared" si="13"/>
        <v>0</v>
      </c>
      <c r="AR63" s="131">
        <v>0</v>
      </c>
    </row>
    <row r="64" spans="28:44">
      <c r="AB64" s="131">
        <f t="shared" si="0"/>
        <v>0</v>
      </c>
      <c r="AC64" s="131">
        <f t="shared" si="1"/>
        <v>0</v>
      </c>
      <c r="AD64" s="131">
        <f t="shared" si="2"/>
        <v>0</v>
      </c>
      <c r="AE64" s="131">
        <f t="shared" si="3"/>
        <v>0</v>
      </c>
      <c r="AF64" s="131">
        <f t="shared" si="4"/>
        <v>0</v>
      </c>
      <c r="AG64" s="131">
        <f t="shared" si="5"/>
        <v>0</v>
      </c>
      <c r="AH64" s="131">
        <f t="shared" si="6"/>
        <v>0</v>
      </c>
      <c r="AI64" s="131">
        <f t="shared" si="7"/>
        <v>0</v>
      </c>
      <c r="AJ64" s="131" t="e">
        <f t="shared" si="8"/>
        <v>#DIV/0!</v>
      </c>
      <c r="AK64" s="131">
        <f t="shared" si="9"/>
        <v>0</v>
      </c>
      <c r="AL64" s="131">
        <f t="shared" si="10"/>
        <v>0</v>
      </c>
      <c r="AM64" s="131">
        <v>0</v>
      </c>
      <c r="AN64" s="131">
        <f t="shared" si="11"/>
        <v>0</v>
      </c>
      <c r="AO64" s="131">
        <v>0</v>
      </c>
      <c r="AP64" s="131">
        <f t="shared" si="12"/>
        <v>0</v>
      </c>
      <c r="AQ64" s="131">
        <f t="shared" si="13"/>
        <v>0</v>
      </c>
      <c r="AR64" s="131">
        <v>0</v>
      </c>
    </row>
    <row r="65" spans="28:44">
      <c r="AB65" s="131">
        <f t="shared" si="0"/>
        <v>0</v>
      </c>
      <c r="AC65" s="131">
        <f t="shared" si="1"/>
        <v>0</v>
      </c>
      <c r="AD65" s="131">
        <f t="shared" si="2"/>
        <v>0</v>
      </c>
      <c r="AE65" s="131">
        <f t="shared" si="3"/>
        <v>0</v>
      </c>
      <c r="AF65" s="131">
        <f t="shared" si="4"/>
        <v>0</v>
      </c>
      <c r="AG65" s="131">
        <f t="shared" si="5"/>
        <v>0</v>
      </c>
      <c r="AH65" s="131">
        <f t="shared" si="6"/>
        <v>0</v>
      </c>
      <c r="AI65" s="131">
        <f t="shared" si="7"/>
        <v>0</v>
      </c>
      <c r="AJ65" s="131" t="e">
        <f t="shared" si="8"/>
        <v>#DIV/0!</v>
      </c>
      <c r="AK65" s="131">
        <f t="shared" si="9"/>
        <v>0</v>
      </c>
      <c r="AL65" s="131">
        <f t="shared" si="10"/>
        <v>0</v>
      </c>
      <c r="AM65" s="131">
        <v>0</v>
      </c>
      <c r="AN65" s="131">
        <f t="shared" si="11"/>
        <v>0</v>
      </c>
      <c r="AO65" s="131">
        <v>0</v>
      </c>
      <c r="AP65" s="131">
        <f t="shared" si="12"/>
        <v>0</v>
      </c>
      <c r="AQ65" s="131">
        <f t="shared" si="13"/>
        <v>0</v>
      </c>
      <c r="AR65" s="131">
        <v>0</v>
      </c>
    </row>
    <row r="66" spans="28:44">
      <c r="AB66" s="131">
        <f t="shared" si="0"/>
        <v>0</v>
      </c>
      <c r="AC66" s="131">
        <f t="shared" si="1"/>
        <v>0</v>
      </c>
      <c r="AD66" s="131">
        <f t="shared" si="2"/>
        <v>0</v>
      </c>
      <c r="AE66" s="131">
        <f t="shared" si="3"/>
        <v>0</v>
      </c>
      <c r="AF66" s="131">
        <f t="shared" si="4"/>
        <v>0</v>
      </c>
      <c r="AG66" s="131">
        <f t="shared" si="5"/>
        <v>0</v>
      </c>
      <c r="AH66" s="131">
        <f t="shared" si="6"/>
        <v>0</v>
      </c>
      <c r="AI66" s="131">
        <f t="shared" si="7"/>
        <v>0</v>
      </c>
      <c r="AJ66" s="131" t="e">
        <f t="shared" si="8"/>
        <v>#DIV/0!</v>
      </c>
      <c r="AK66" s="131">
        <f t="shared" si="9"/>
        <v>0</v>
      </c>
      <c r="AL66" s="131">
        <f t="shared" si="10"/>
        <v>0</v>
      </c>
      <c r="AM66" s="131">
        <v>0</v>
      </c>
      <c r="AN66" s="131">
        <f t="shared" si="11"/>
        <v>0</v>
      </c>
      <c r="AO66" s="131">
        <v>0</v>
      </c>
      <c r="AP66" s="131">
        <f t="shared" si="12"/>
        <v>0</v>
      </c>
      <c r="AQ66" s="131">
        <f t="shared" si="13"/>
        <v>0</v>
      </c>
      <c r="AR66" s="131">
        <v>0</v>
      </c>
    </row>
    <row r="67" spans="28:44">
      <c r="AB67" s="131">
        <f t="shared" ref="AB67:AB130" si="14">+A67</f>
        <v>0</v>
      </c>
      <c r="AC67" s="131">
        <f t="shared" ref="AC67:AC130" si="15">+B67</f>
        <v>0</v>
      </c>
      <c r="AD67" s="131">
        <f t="shared" ref="AD67:AD130" si="16">+C67</f>
        <v>0</v>
      </c>
      <c r="AE67" s="131">
        <f t="shared" ref="AE67:AE130" si="17">+E67</f>
        <v>0</v>
      </c>
      <c r="AF67" s="131">
        <f t="shared" ref="AF67:AF130" si="18">+K67</f>
        <v>0</v>
      </c>
      <c r="AG67" s="131">
        <f t="shared" ref="AG67:AG130" si="19">+L67</f>
        <v>0</v>
      </c>
      <c r="AH67" s="131">
        <f t="shared" ref="AH67:AH130" si="20">+Q67</f>
        <v>0</v>
      </c>
      <c r="AI67" s="131">
        <f t="shared" ref="AI67:AI130" si="21">+N67</f>
        <v>0</v>
      </c>
      <c r="AJ67" s="131" t="e">
        <f t="shared" ref="AJ67:AJ130" si="22">+AI67/AF67*100</f>
        <v>#DIV/0!</v>
      </c>
      <c r="AK67" s="131">
        <f t="shared" ref="AK67:AK130" si="23">+O67</f>
        <v>0</v>
      </c>
      <c r="AL67" s="131">
        <f t="shared" ref="AL67:AL130" si="24">+P67</f>
        <v>0</v>
      </c>
      <c r="AM67" s="131">
        <v>0</v>
      </c>
      <c r="AN67" s="131">
        <f t="shared" ref="AN67:AN130" si="25">+M67</f>
        <v>0</v>
      </c>
      <c r="AO67" s="131">
        <v>0</v>
      </c>
      <c r="AP67" s="131">
        <f t="shared" ref="AP67:AP130" si="26">+R67</f>
        <v>0</v>
      </c>
      <c r="AQ67" s="131">
        <f t="shared" ref="AQ67:AQ130" si="27">+AE67+AF67+AH67-AI67-AK67-AM67-AP67</f>
        <v>0</v>
      </c>
      <c r="AR67" s="131">
        <v>0</v>
      </c>
    </row>
    <row r="68" spans="28:44">
      <c r="AB68" s="131">
        <f t="shared" si="14"/>
        <v>0</v>
      </c>
      <c r="AC68" s="131">
        <f t="shared" si="15"/>
        <v>0</v>
      </c>
      <c r="AD68" s="131">
        <f t="shared" si="16"/>
        <v>0</v>
      </c>
      <c r="AE68" s="131">
        <f t="shared" si="17"/>
        <v>0</v>
      </c>
      <c r="AF68" s="131">
        <f t="shared" si="18"/>
        <v>0</v>
      </c>
      <c r="AG68" s="131">
        <f t="shared" si="19"/>
        <v>0</v>
      </c>
      <c r="AH68" s="131">
        <f t="shared" si="20"/>
        <v>0</v>
      </c>
      <c r="AI68" s="131">
        <f t="shared" si="21"/>
        <v>0</v>
      </c>
      <c r="AJ68" s="131" t="e">
        <f t="shared" si="22"/>
        <v>#DIV/0!</v>
      </c>
      <c r="AK68" s="131">
        <f t="shared" si="23"/>
        <v>0</v>
      </c>
      <c r="AL68" s="131">
        <f t="shared" si="24"/>
        <v>0</v>
      </c>
      <c r="AM68" s="131">
        <v>0</v>
      </c>
      <c r="AN68" s="131">
        <f t="shared" si="25"/>
        <v>0</v>
      </c>
      <c r="AO68" s="131">
        <v>0</v>
      </c>
      <c r="AP68" s="131">
        <f t="shared" si="26"/>
        <v>0</v>
      </c>
      <c r="AQ68" s="131">
        <f t="shared" si="27"/>
        <v>0</v>
      </c>
      <c r="AR68" s="131">
        <v>0</v>
      </c>
    </row>
    <row r="69" spans="28:44">
      <c r="AB69" s="131">
        <f t="shared" si="14"/>
        <v>0</v>
      </c>
      <c r="AC69" s="131">
        <f t="shared" si="15"/>
        <v>0</v>
      </c>
      <c r="AD69" s="131">
        <f t="shared" si="16"/>
        <v>0</v>
      </c>
      <c r="AE69" s="131">
        <f t="shared" si="17"/>
        <v>0</v>
      </c>
      <c r="AF69" s="131">
        <f t="shared" si="18"/>
        <v>0</v>
      </c>
      <c r="AG69" s="131">
        <f t="shared" si="19"/>
        <v>0</v>
      </c>
      <c r="AH69" s="131">
        <f t="shared" si="20"/>
        <v>0</v>
      </c>
      <c r="AI69" s="131">
        <f t="shared" si="21"/>
        <v>0</v>
      </c>
      <c r="AJ69" s="131" t="e">
        <f t="shared" si="22"/>
        <v>#DIV/0!</v>
      </c>
      <c r="AK69" s="131">
        <f t="shared" si="23"/>
        <v>0</v>
      </c>
      <c r="AL69" s="131">
        <f t="shared" si="24"/>
        <v>0</v>
      </c>
      <c r="AM69" s="131">
        <v>0</v>
      </c>
      <c r="AN69" s="131">
        <f t="shared" si="25"/>
        <v>0</v>
      </c>
      <c r="AO69" s="131">
        <v>0</v>
      </c>
      <c r="AP69" s="131">
        <f t="shared" si="26"/>
        <v>0</v>
      </c>
      <c r="AQ69" s="131">
        <f t="shared" si="27"/>
        <v>0</v>
      </c>
      <c r="AR69" s="131">
        <v>0</v>
      </c>
    </row>
    <row r="70" spans="28:44">
      <c r="AB70" s="131">
        <f t="shared" si="14"/>
        <v>0</v>
      </c>
      <c r="AC70" s="131">
        <f t="shared" si="15"/>
        <v>0</v>
      </c>
      <c r="AD70" s="131">
        <f t="shared" si="16"/>
        <v>0</v>
      </c>
      <c r="AE70" s="131">
        <f t="shared" si="17"/>
        <v>0</v>
      </c>
      <c r="AF70" s="131">
        <f t="shared" si="18"/>
        <v>0</v>
      </c>
      <c r="AG70" s="131">
        <f t="shared" si="19"/>
        <v>0</v>
      </c>
      <c r="AH70" s="131">
        <f t="shared" si="20"/>
        <v>0</v>
      </c>
      <c r="AI70" s="131">
        <f t="shared" si="21"/>
        <v>0</v>
      </c>
      <c r="AJ70" s="131" t="e">
        <f t="shared" si="22"/>
        <v>#DIV/0!</v>
      </c>
      <c r="AK70" s="131">
        <f t="shared" si="23"/>
        <v>0</v>
      </c>
      <c r="AL70" s="131">
        <f t="shared" si="24"/>
        <v>0</v>
      </c>
      <c r="AM70" s="131">
        <v>0</v>
      </c>
      <c r="AN70" s="131">
        <f t="shared" si="25"/>
        <v>0</v>
      </c>
      <c r="AO70" s="131">
        <v>0</v>
      </c>
      <c r="AP70" s="131">
        <f t="shared" si="26"/>
        <v>0</v>
      </c>
      <c r="AQ70" s="131">
        <f t="shared" si="27"/>
        <v>0</v>
      </c>
      <c r="AR70" s="131">
        <v>0</v>
      </c>
    </row>
    <row r="71" spans="28:44">
      <c r="AB71" s="131">
        <f t="shared" si="14"/>
        <v>0</v>
      </c>
      <c r="AC71" s="131">
        <f t="shared" si="15"/>
        <v>0</v>
      </c>
      <c r="AD71" s="131">
        <f t="shared" si="16"/>
        <v>0</v>
      </c>
      <c r="AE71" s="131">
        <f t="shared" si="17"/>
        <v>0</v>
      </c>
      <c r="AF71" s="131">
        <f t="shared" si="18"/>
        <v>0</v>
      </c>
      <c r="AG71" s="131">
        <f t="shared" si="19"/>
        <v>0</v>
      </c>
      <c r="AH71" s="131">
        <f t="shared" si="20"/>
        <v>0</v>
      </c>
      <c r="AI71" s="131">
        <f t="shared" si="21"/>
        <v>0</v>
      </c>
      <c r="AJ71" s="131" t="e">
        <f t="shared" si="22"/>
        <v>#DIV/0!</v>
      </c>
      <c r="AK71" s="131">
        <f t="shared" si="23"/>
        <v>0</v>
      </c>
      <c r="AL71" s="131">
        <f t="shared" si="24"/>
        <v>0</v>
      </c>
      <c r="AM71" s="131">
        <v>0</v>
      </c>
      <c r="AN71" s="131">
        <f t="shared" si="25"/>
        <v>0</v>
      </c>
      <c r="AO71" s="131">
        <v>0</v>
      </c>
      <c r="AP71" s="131">
        <f t="shared" si="26"/>
        <v>0</v>
      </c>
      <c r="AQ71" s="131">
        <f t="shared" si="27"/>
        <v>0</v>
      </c>
      <c r="AR71" s="131">
        <v>0</v>
      </c>
    </row>
    <row r="72" spans="28:44">
      <c r="AB72" s="131">
        <f t="shared" si="14"/>
        <v>0</v>
      </c>
      <c r="AC72" s="131">
        <f t="shared" si="15"/>
        <v>0</v>
      </c>
      <c r="AD72" s="131">
        <f t="shared" si="16"/>
        <v>0</v>
      </c>
      <c r="AE72" s="131">
        <f t="shared" si="17"/>
        <v>0</v>
      </c>
      <c r="AF72" s="131">
        <f t="shared" si="18"/>
        <v>0</v>
      </c>
      <c r="AG72" s="131">
        <f t="shared" si="19"/>
        <v>0</v>
      </c>
      <c r="AH72" s="131">
        <f t="shared" si="20"/>
        <v>0</v>
      </c>
      <c r="AI72" s="131">
        <f t="shared" si="21"/>
        <v>0</v>
      </c>
      <c r="AJ72" s="131" t="e">
        <f t="shared" si="22"/>
        <v>#DIV/0!</v>
      </c>
      <c r="AK72" s="131">
        <f t="shared" si="23"/>
        <v>0</v>
      </c>
      <c r="AL72" s="131">
        <f t="shared" si="24"/>
        <v>0</v>
      </c>
      <c r="AM72" s="131">
        <v>0</v>
      </c>
      <c r="AN72" s="131">
        <f t="shared" si="25"/>
        <v>0</v>
      </c>
      <c r="AO72" s="131">
        <v>0</v>
      </c>
      <c r="AP72" s="131">
        <f t="shared" si="26"/>
        <v>0</v>
      </c>
      <c r="AQ72" s="131">
        <f t="shared" si="27"/>
        <v>0</v>
      </c>
      <c r="AR72" s="131">
        <v>0</v>
      </c>
    </row>
    <row r="73" spans="28:44">
      <c r="AB73" s="131">
        <f t="shared" si="14"/>
        <v>0</v>
      </c>
      <c r="AC73" s="131">
        <f t="shared" si="15"/>
        <v>0</v>
      </c>
      <c r="AD73" s="131">
        <f t="shared" si="16"/>
        <v>0</v>
      </c>
      <c r="AE73" s="131">
        <f t="shared" si="17"/>
        <v>0</v>
      </c>
      <c r="AF73" s="131">
        <f t="shared" si="18"/>
        <v>0</v>
      </c>
      <c r="AG73" s="131">
        <f t="shared" si="19"/>
        <v>0</v>
      </c>
      <c r="AH73" s="131">
        <f t="shared" si="20"/>
        <v>0</v>
      </c>
      <c r="AI73" s="131">
        <f t="shared" si="21"/>
        <v>0</v>
      </c>
      <c r="AJ73" s="131" t="e">
        <f t="shared" si="22"/>
        <v>#DIV/0!</v>
      </c>
      <c r="AK73" s="131">
        <f t="shared" si="23"/>
        <v>0</v>
      </c>
      <c r="AL73" s="131">
        <f t="shared" si="24"/>
        <v>0</v>
      </c>
      <c r="AM73" s="131">
        <v>0</v>
      </c>
      <c r="AN73" s="131">
        <f t="shared" si="25"/>
        <v>0</v>
      </c>
      <c r="AO73" s="131">
        <v>0</v>
      </c>
      <c r="AP73" s="131">
        <f t="shared" si="26"/>
        <v>0</v>
      </c>
      <c r="AQ73" s="131">
        <f t="shared" si="27"/>
        <v>0</v>
      </c>
      <c r="AR73" s="131">
        <v>0</v>
      </c>
    </row>
    <row r="74" spans="28:44">
      <c r="AB74" s="131">
        <f t="shared" si="14"/>
        <v>0</v>
      </c>
      <c r="AC74" s="131">
        <f t="shared" si="15"/>
        <v>0</v>
      </c>
      <c r="AD74" s="131">
        <f t="shared" si="16"/>
        <v>0</v>
      </c>
      <c r="AE74" s="131">
        <f t="shared" si="17"/>
        <v>0</v>
      </c>
      <c r="AF74" s="131">
        <f t="shared" si="18"/>
        <v>0</v>
      </c>
      <c r="AG74" s="131">
        <f t="shared" si="19"/>
        <v>0</v>
      </c>
      <c r="AH74" s="131">
        <f t="shared" si="20"/>
        <v>0</v>
      </c>
      <c r="AI74" s="131">
        <f t="shared" si="21"/>
        <v>0</v>
      </c>
      <c r="AJ74" s="131" t="e">
        <f t="shared" si="22"/>
        <v>#DIV/0!</v>
      </c>
      <c r="AK74" s="131">
        <f t="shared" si="23"/>
        <v>0</v>
      </c>
      <c r="AL74" s="131">
        <f t="shared" si="24"/>
        <v>0</v>
      </c>
      <c r="AM74" s="131">
        <v>0</v>
      </c>
      <c r="AN74" s="131">
        <f t="shared" si="25"/>
        <v>0</v>
      </c>
      <c r="AO74" s="131">
        <v>0</v>
      </c>
      <c r="AP74" s="131">
        <f t="shared" si="26"/>
        <v>0</v>
      </c>
      <c r="AQ74" s="131">
        <f t="shared" si="27"/>
        <v>0</v>
      </c>
      <c r="AR74" s="131">
        <v>0</v>
      </c>
    </row>
    <row r="75" spans="28:44">
      <c r="AB75" s="131">
        <f t="shared" si="14"/>
        <v>0</v>
      </c>
      <c r="AC75" s="131">
        <f t="shared" si="15"/>
        <v>0</v>
      </c>
      <c r="AD75" s="131">
        <f t="shared" si="16"/>
        <v>0</v>
      </c>
      <c r="AE75" s="131">
        <f t="shared" si="17"/>
        <v>0</v>
      </c>
      <c r="AF75" s="131">
        <f t="shared" si="18"/>
        <v>0</v>
      </c>
      <c r="AG75" s="131">
        <f t="shared" si="19"/>
        <v>0</v>
      </c>
      <c r="AH75" s="131">
        <f t="shared" si="20"/>
        <v>0</v>
      </c>
      <c r="AI75" s="131">
        <f t="shared" si="21"/>
        <v>0</v>
      </c>
      <c r="AJ75" s="131" t="e">
        <f t="shared" si="22"/>
        <v>#DIV/0!</v>
      </c>
      <c r="AK75" s="131">
        <f t="shared" si="23"/>
        <v>0</v>
      </c>
      <c r="AL75" s="131">
        <f t="shared" si="24"/>
        <v>0</v>
      </c>
      <c r="AM75" s="131">
        <v>0</v>
      </c>
      <c r="AN75" s="131">
        <f t="shared" si="25"/>
        <v>0</v>
      </c>
      <c r="AO75" s="131">
        <v>0</v>
      </c>
      <c r="AP75" s="131">
        <f t="shared" si="26"/>
        <v>0</v>
      </c>
      <c r="AQ75" s="131">
        <f t="shared" si="27"/>
        <v>0</v>
      </c>
      <c r="AR75" s="131">
        <v>0</v>
      </c>
    </row>
    <row r="76" spans="28:44">
      <c r="AB76" s="131">
        <f t="shared" si="14"/>
        <v>0</v>
      </c>
      <c r="AC76" s="131">
        <f t="shared" si="15"/>
        <v>0</v>
      </c>
      <c r="AD76" s="131">
        <f t="shared" si="16"/>
        <v>0</v>
      </c>
      <c r="AE76" s="131">
        <f t="shared" si="17"/>
        <v>0</v>
      </c>
      <c r="AF76" s="131">
        <f t="shared" si="18"/>
        <v>0</v>
      </c>
      <c r="AG76" s="131">
        <f t="shared" si="19"/>
        <v>0</v>
      </c>
      <c r="AH76" s="131">
        <f t="shared" si="20"/>
        <v>0</v>
      </c>
      <c r="AI76" s="131">
        <f t="shared" si="21"/>
        <v>0</v>
      </c>
      <c r="AJ76" s="131" t="e">
        <f t="shared" si="22"/>
        <v>#DIV/0!</v>
      </c>
      <c r="AK76" s="131">
        <f t="shared" si="23"/>
        <v>0</v>
      </c>
      <c r="AL76" s="131">
        <f t="shared" si="24"/>
        <v>0</v>
      </c>
      <c r="AM76" s="131">
        <v>0</v>
      </c>
      <c r="AN76" s="131">
        <f t="shared" si="25"/>
        <v>0</v>
      </c>
      <c r="AO76" s="131">
        <v>0</v>
      </c>
      <c r="AP76" s="131">
        <f t="shared" si="26"/>
        <v>0</v>
      </c>
      <c r="AQ76" s="131">
        <f t="shared" si="27"/>
        <v>0</v>
      </c>
      <c r="AR76" s="131">
        <v>0</v>
      </c>
    </row>
    <row r="77" spans="28:44">
      <c r="AB77" s="131">
        <f t="shared" si="14"/>
        <v>0</v>
      </c>
      <c r="AC77" s="131">
        <f t="shared" si="15"/>
        <v>0</v>
      </c>
      <c r="AD77" s="131">
        <f t="shared" si="16"/>
        <v>0</v>
      </c>
      <c r="AE77" s="131">
        <f t="shared" si="17"/>
        <v>0</v>
      </c>
      <c r="AF77" s="131">
        <f t="shared" si="18"/>
        <v>0</v>
      </c>
      <c r="AG77" s="131">
        <f t="shared" si="19"/>
        <v>0</v>
      </c>
      <c r="AH77" s="131">
        <f t="shared" si="20"/>
        <v>0</v>
      </c>
      <c r="AI77" s="131">
        <f t="shared" si="21"/>
        <v>0</v>
      </c>
      <c r="AJ77" s="131" t="e">
        <f t="shared" si="22"/>
        <v>#DIV/0!</v>
      </c>
      <c r="AK77" s="131">
        <f t="shared" si="23"/>
        <v>0</v>
      </c>
      <c r="AL77" s="131">
        <f t="shared" si="24"/>
        <v>0</v>
      </c>
      <c r="AM77" s="131">
        <v>0</v>
      </c>
      <c r="AN77" s="131">
        <f t="shared" si="25"/>
        <v>0</v>
      </c>
      <c r="AO77" s="131">
        <v>0</v>
      </c>
      <c r="AP77" s="131">
        <f t="shared" si="26"/>
        <v>0</v>
      </c>
      <c r="AQ77" s="131">
        <f t="shared" si="27"/>
        <v>0</v>
      </c>
      <c r="AR77" s="131">
        <v>0</v>
      </c>
    </row>
    <row r="78" spans="28:44">
      <c r="AB78" s="131">
        <f t="shared" si="14"/>
        <v>0</v>
      </c>
      <c r="AC78" s="131">
        <f t="shared" si="15"/>
        <v>0</v>
      </c>
      <c r="AD78" s="131">
        <f t="shared" si="16"/>
        <v>0</v>
      </c>
      <c r="AE78" s="131">
        <f t="shared" si="17"/>
        <v>0</v>
      </c>
      <c r="AF78" s="131">
        <f t="shared" si="18"/>
        <v>0</v>
      </c>
      <c r="AG78" s="131">
        <f t="shared" si="19"/>
        <v>0</v>
      </c>
      <c r="AH78" s="131">
        <f t="shared" si="20"/>
        <v>0</v>
      </c>
      <c r="AI78" s="131">
        <f t="shared" si="21"/>
        <v>0</v>
      </c>
      <c r="AJ78" s="131" t="e">
        <f t="shared" si="22"/>
        <v>#DIV/0!</v>
      </c>
      <c r="AK78" s="131">
        <f t="shared" si="23"/>
        <v>0</v>
      </c>
      <c r="AL78" s="131">
        <f t="shared" si="24"/>
        <v>0</v>
      </c>
      <c r="AM78" s="131">
        <v>0</v>
      </c>
      <c r="AN78" s="131">
        <f t="shared" si="25"/>
        <v>0</v>
      </c>
      <c r="AO78" s="131">
        <v>0</v>
      </c>
      <c r="AP78" s="131">
        <f t="shared" si="26"/>
        <v>0</v>
      </c>
      <c r="AQ78" s="131">
        <f t="shared" si="27"/>
        <v>0</v>
      </c>
      <c r="AR78" s="131">
        <v>0</v>
      </c>
    </row>
    <row r="79" spans="28:44">
      <c r="AB79" s="131">
        <f t="shared" si="14"/>
        <v>0</v>
      </c>
      <c r="AC79" s="131">
        <f t="shared" si="15"/>
        <v>0</v>
      </c>
      <c r="AD79" s="131">
        <f t="shared" si="16"/>
        <v>0</v>
      </c>
      <c r="AE79" s="131">
        <f t="shared" si="17"/>
        <v>0</v>
      </c>
      <c r="AF79" s="131">
        <f t="shared" si="18"/>
        <v>0</v>
      </c>
      <c r="AG79" s="131">
        <f t="shared" si="19"/>
        <v>0</v>
      </c>
      <c r="AH79" s="131">
        <f t="shared" si="20"/>
        <v>0</v>
      </c>
      <c r="AI79" s="131">
        <f t="shared" si="21"/>
        <v>0</v>
      </c>
      <c r="AJ79" s="131" t="e">
        <f t="shared" si="22"/>
        <v>#DIV/0!</v>
      </c>
      <c r="AK79" s="131">
        <f t="shared" si="23"/>
        <v>0</v>
      </c>
      <c r="AL79" s="131">
        <f t="shared" si="24"/>
        <v>0</v>
      </c>
      <c r="AM79" s="131">
        <v>0</v>
      </c>
      <c r="AN79" s="131">
        <f t="shared" si="25"/>
        <v>0</v>
      </c>
      <c r="AO79" s="131">
        <v>0</v>
      </c>
      <c r="AP79" s="131">
        <f t="shared" si="26"/>
        <v>0</v>
      </c>
      <c r="AQ79" s="131">
        <f t="shared" si="27"/>
        <v>0</v>
      </c>
      <c r="AR79" s="131">
        <v>0</v>
      </c>
    </row>
    <row r="80" spans="28:44">
      <c r="AB80" s="131">
        <f t="shared" si="14"/>
        <v>0</v>
      </c>
      <c r="AC80" s="131">
        <f t="shared" si="15"/>
        <v>0</v>
      </c>
      <c r="AD80" s="131">
        <f t="shared" si="16"/>
        <v>0</v>
      </c>
      <c r="AE80" s="131">
        <f t="shared" si="17"/>
        <v>0</v>
      </c>
      <c r="AF80" s="131">
        <f t="shared" si="18"/>
        <v>0</v>
      </c>
      <c r="AG80" s="131">
        <f t="shared" si="19"/>
        <v>0</v>
      </c>
      <c r="AH80" s="131">
        <f t="shared" si="20"/>
        <v>0</v>
      </c>
      <c r="AI80" s="131">
        <f t="shared" si="21"/>
        <v>0</v>
      </c>
      <c r="AJ80" s="131" t="e">
        <f t="shared" si="22"/>
        <v>#DIV/0!</v>
      </c>
      <c r="AK80" s="131">
        <f t="shared" si="23"/>
        <v>0</v>
      </c>
      <c r="AL80" s="131">
        <f t="shared" si="24"/>
        <v>0</v>
      </c>
      <c r="AM80" s="131">
        <v>0</v>
      </c>
      <c r="AN80" s="131">
        <f t="shared" si="25"/>
        <v>0</v>
      </c>
      <c r="AO80" s="131">
        <v>0</v>
      </c>
      <c r="AP80" s="131">
        <f t="shared" si="26"/>
        <v>0</v>
      </c>
      <c r="AQ80" s="131">
        <f t="shared" si="27"/>
        <v>0</v>
      </c>
      <c r="AR80" s="131">
        <v>0</v>
      </c>
    </row>
    <row r="81" spans="28:44">
      <c r="AB81" s="131">
        <f t="shared" si="14"/>
        <v>0</v>
      </c>
      <c r="AC81" s="131">
        <f t="shared" si="15"/>
        <v>0</v>
      </c>
      <c r="AD81" s="131">
        <f t="shared" si="16"/>
        <v>0</v>
      </c>
      <c r="AE81" s="131">
        <f t="shared" si="17"/>
        <v>0</v>
      </c>
      <c r="AF81" s="131">
        <f t="shared" si="18"/>
        <v>0</v>
      </c>
      <c r="AG81" s="131">
        <f t="shared" si="19"/>
        <v>0</v>
      </c>
      <c r="AH81" s="131">
        <f t="shared" si="20"/>
        <v>0</v>
      </c>
      <c r="AI81" s="131">
        <f t="shared" si="21"/>
        <v>0</v>
      </c>
      <c r="AJ81" s="131" t="e">
        <f t="shared" si="22"/>
        <v>#DIV/0!</v>
      </c>
      <c r="AK81" s="131">
        <f t="shared" si="23"/>
        <v>0</v>
      </c>
      <c r="AL81" s="131">
        <f t="shared" si="24"/>
        <v>0</v>
      </c>
      <c r="AM81" s="131">
        <v>0</v>
      </c>
      <c r="AN81" s="131">
        <f t="shared" si="25"/>
        <v>0</v>
      </c>
      <c r="AO81" s="131">
        <v>0</v>
      </c>
      <c r="AP81" s="131">
        <f t="shared" si="26"/>
        <v>0</v>
      </c>
      <c r="AQ81" s="131">
        <f t="shared" si="27"/>
        <v>0</v>
      </c>
      <c r="AR81" s="131">
        <v>0</v>
      </c>
    </row>
    <row r="82" spans="28:44">
      <c r="AB82" s="131">
        <f t="shared" si="14"/>
        <v>0</v>
      </c>
      <c r="AC82" s="131">
        <f t="shared" si="15"/>
        <v>0</v>
      </c>
      <c r="AD82" s="131">
        <f t="shared" si="16"/>
        <v>0</v>
      </c>
      <c r="AE82" s="131">
        <f t="shared" si="17"/>
        <v>0</v>
      </c>
      <c r="AF82" s="131">
        <f t="shared" si="18"/>
        <v>0</v>
      </c>
      <c r="AG82" s="131">
        <f t="shared" si="19"/>
        <v>0</v>
      </c>
      <c r="AH82" s="131">
        <f t="shared" si="20"/>
        <v>0</v>
      </c>
      <c r="AI82" s="131">
        <f t="shared" si="21"/>
        <v>0</v>
      </c>
      <c r="AJ82" s="131" t="e">
        <f t="shared" si="22"/>
        <v>#DIV/0!</v>
      </c>
      <c r="AK82" s="131">
        <f t="shared" si="23"/>
        <v>0</v>
      </c>
      <c r="AL82" s="131">
        <f t="shared" si="24"/>
        <v>0</v>
      </c>
      <c r="AM82" s="131">
        <v>0</v>
      </c>
      <c r="AN82" s="131">
        <f t="shared" si="25"/>
        <v>0</v>
      </c>
      <c r="AO82" s="131">
        <v>0</v>
      </c>
      <c r="AP82" s="131">
        <f t="shared" si="26"/>
        <v>0</v>
      </c>
      <c r="AQ82" s="131">
        <f t="shared" si="27"/>
        <v>0</v>
      </c>
      <c r="AR82" s="131">
        <v>0</v>
      </c>
    </row>
    <row r="83" spans="28:44">
      <c r="AB83" s="131">
        <f t="shared" si="14"/>
        <v>0</v>
      </c>
      <c r="AC83" s="131">
        <f t="shared" si="15"/>
        <v>0</v>
      </c>
      <c r="AD83" s="131">
        <f t="shared" si="16"/>
        <v>0</v>
      </c>
      <c r="AE83" s="131">
        <f t="shared" si="17"/>
        <v>0</v>
      </c>
      <c r="AF83" s="131">
        <f t="shared" si="18"/>
        <v>0</v>
      </c>
      <c r="AG83" s="131">
        <f t="shared" si="19"/>
        <v>0</v>
      </c>
      <c r="AH83" s="131">
        <f t="shared" si="20"/>
        <v>0</v>
      </c>
      <c r="AI83" s="131">
        <f t="shared" si="21"/>
        <v>0</v>
      </c>
      <c r="AJ83" s="131" t="e">
        <f t="shared" si="22"/>
        <v>#DIV/0!</v>
      </c>
      <c r="AK83" s="131">
        <f t="shared" si="23"/>
        <v>0</v>
      </c>
      <c r="AL83" s="131">
        <f t="shared" si="24"/>
        <v>0</v>
      </c>
      <c r="AM83" s="131">
        <v>0</v>
      </c>
      <c r="AN83" s="131">
        <f t="shared" si="25"/>
        <v>0</v>
      </c>
      <c r="AO83" s="131">
        <v>0</v>
      </c>
      <c r="AP83" s="131">
        <f t="shared" si="26"/>
        <v>0</v>
      </c>
      <c r="AQ83" s="131">
        <f t="shared" si="27"/>
        <v>0</v>
      </c>
      <c r="AR83" s="131">
        <v>0</v>
      </c>
    </row>
    <row r="84" spans="28:44">
      <c r="AB84" s="131">
        <f t="shared" si="14"/>
        <v>0</v>
      </c>
      <c r="AC84" s="131">
        <f t="shared" si="15"/>
        <v>0</v>
      </c>
      <c r="AD84" s="131">
        <f t="shared" si="16"/>
        <v>0</v>
      </c>
      <c r="AE84" s="131">
        <f t="shared" si="17"/>
        <v>0</v>
      </c>
      <c r="AF84" s="131">
        <f t="shared" si="18"/>
        <v>0</v>
      </c>
      <c r="AG84" s="131">
        <f t="shared" si="19"/>
        <v>0</v>
      </c>
      <c r="AH84" s="131">
        <f t="shared" si="20"/>
        <v>0</v>
      </c>
      <c r="AI84" s="131">
        <f t="shared" si="21"/>
        <v>0</v>
      </c>
      <c r="AJ84" s="131" t="e">
        <f t="shared" si="22"/>
        <v>#DIV/0!</v>
      </c>
      <c r="AK84" s="131">
        <f t="shared" si="23"/>
        <v>0</v>
      </c>
      <c r="AL84" s="131">
        <f t="shared" si="24"/>
        <v>0</v>
      </c>
      <c r="AM84" s="131">
        <v>0</v>
      </c>
      <c r="AN84" s="131">
        <f t="shared" si="25"/>
        <v>0</v>
      </c>
      <c r="AO84" s="131">
        <v>0</v>
      </c>
      <c r="AP84" s="131">
        <f t="shared" si="26"/>
        <v>0</v>
      </c>
      <c r="AQ84" s="131">
        <f t="shared" si="27"/>
        <v>0</v>
      </c>
      <c r="AR84" s="131">
        <v>0</v>
      </c>
    </row>
    <row r="85" spans="28:44">
      <c r="AB85" s="131">
        <f t="shared" si="14"/>
        <v>0</v>
      </c>
      <c r="AC85" s="131">
        <f t="shared" si="15"/>
        <v>0</v>
      </c>
      <c r="AD85" s="131">
        <f t="shared" si="16"/>
        <v>0</v>
      </c>
      <c r="AE85" s="131">
        <f t="shared" si="17"/>
        <v>0</v>
      </c>
      <c r="AF85" s="131">
        <f t="shared" si="18"/>
        <v>0</v>
      </c>
      <c r="AG85" s="131">
        <f t="shared" si="19"/>
        <v>0</v>
      </c>
      <c r="AH85" s="131">
        <f t="shared" si="20"/>
        <v>0</v>
      </c>
      <c r="AI85" s="131">
        <f t="shared" si="21"/>
        <v>0</v>
      </c>
      <c r="AJ85" s="131" t="e">
        <f t="shared" si="22"/>
        <v>#DIV/0!</v>
      </c>
      <c r="AK85" s="131">
        <f t="shared" si="23"/>
        <v>0</v>
      </c>
      <c r="AL85" s="131">
        <f t="shared" si="24"/>
        <v>0</v>
      </c>
      <c r="AM85" s="131">
        <v>0</v>
      </c>
      <c r="AN85" s="131">
        <f t="shared" si="25"/>
        <v>0</v>
      </c>
      <c r="AO85" s="131">
        <v>0</v>
      </c>
      <c r="AP85" s="131">
        <f t="shared" si="26"/>
        <v>0</v>
      </c>
      <c r="AQ85" s="131">
        <f t="shared" si="27"/>
        <v>0</v>
      </c>
      <c r="AR85" s="131">
        <v>0</v>
      </c>
    </row>
    <row r="86" spans="28:44">
      <c r="AB86" s="131">
        <f t="shared" si="14"/>
        <v>0</v>
      </c>
      <c r="AC86" s="131">
        <f t="shared" si="15"/>
        <v>0</v>
      </c>
      <c r="AD86" s="131">
        <f t="shared" si="16"/>
        <v>0</v>
      </c>
      <c r="AE86" s="131">
        <f t="shared" si="17"/>
        <v>0</v>
      </c>
      <c r="AF86" s="131">
        <f t="shared" si="18"/>
        <v>0</v>
      </c>
      <c r="AG86" s="131">
        <f t="shared" si="19"/>
        <v>0</v>
      </c>
      <c r="AH86" s="131">
        <f t="shared" si="20"/>
        <v>0</v>
      </c>
      <c r="AI86" s="131">
        <f t="shared" si="21"/>
        <v>0</v>
      </c>
      <c r="AJ86" s="131" t="e">
        <f t="shared" si="22"/>
        <v>#DIV/0!</v>
      </c>
      <c r="AK86" s="131">
        <f t="shared" si="23"/>
        <v>0</v>
      </c>
      <c r="AL86" s="131">
        <f t="shared" si="24"/>
        <v>0</v>
      </c>
      <c r="AM86" s="131">
        <v>0</v>
      </c>
      <c r="AN86" s="131">
        <f t="shared" si="25"/>
        <v>0</v>
      </c>
      <c r="AO86" s="131">
        <v>0</v>
      </c>
      <c r="AP86" s="131">
        <f t="shared" si="26"/>
        <v>0</v>
      </c>
      <c r="AQ86" s="131">
        <f t="shared" si="27"/>
        <v>0</v>
      </c>
      <c r="AR86" s="131">
        <v>0</v>
      </c>
    </row>
    <row r="87" spans="28:44">
      <c r="AB87" s="131">
        <f t="shared" si="14"/>
        <v>0</v>
      </c>
      <c r="AC87" s="131">
        <f t="shared" si="15"/>
        <v>0</v>
      </c>
      <c r="AD87" s="131">
        <f t="shared" si="16"/>
        <v>0</v>
      </c>
      <c r="AE87" s="131">
        <f t="shared" si="17"/>
        <v>0</v>
      </c>
      <c r="AF87" s="131">
        <f t="shared" si="18"/>
        <v>0</v>
      </c>
      <c r="AG87" s="131">
        <f t="shared" si="19"/>
        <v>0</v>
      </c>
      <c r="AH87" s="131">
        <f t="shared" si="20"/>
        <v>0</v>
      </c>
      <c r="AI87" s="131">
        <f t="shared" si="21"/>
        <v>0</v>
      </c>
      <c r="AJ87" s="131" t="e">
        <f t="shared" si="22"/>
        <v>#DIV/0!</v>
      </c>
      <c r="AK87" s="131">
        <f t="shared" si="23"/>
        <v>0</v>
      </c>
      <c r="AL87" s="131">
        <f t="shared" si="24"/>
        <v>0</v>
      </c>
      <c r="AM87" s="131">
        <v>0</v>
      </c>
      <c r="AN87" s="131">
        <f t="shared" si="25"/>
        <v>0</v>
      </c>
      <c r="AO87" s="131">
        <v>0</v>
      </c>
      <c r="AP87" s="131">
        <f t="shared" si="26"/>
        <v>0</v>
      </c>
      <c r="AQ87" s="131">
        <f t="shared" si="27"/>
        <v>0</v>
      </c>
      <c r="AR87" s="131">
        <v>0</v>
      </c>
    </row>
    <row r="88" spans="28:44">
      <c r="AB88" s="131">
        <f t="shared" si="14"/>
        <v>0</v>
      </c>
      <c r="AC88" s="131">
        <f t="shared" si="15"/>
        <v>0</v>
      </c>
      <c r="AD88" s="131">
        <f t="shared" si="16"/>
        <v>0</v>
      </c>
      <c r="AE88" s="131">
        <f t="shared" si="17"/>
        <v>0</v>
      </c>
      <c r="AF88" s="131">
        <f t="shared" si="18"/>
        <v>0</v>
      </c>
      <c r="AG88" s="131">
        <f t="shared" si="19"/>
        <v>0</v>
      </c>
      <c r="AH88" s="131">
        <f t="shared" si="20"/>
        <v>0</v>
      </c>
      <c r="AI88" s="131">
        <f t="shared" si="21"/>
        <v>0</v>
      </c>
      <c r="AJ88" s="131" t="e">
        <f t="shared" si="22"/>
        <v>#DIV/0!</v>
      </c>
      <c r="AK88" s="131">
        <f t="shared" si="23"/>
        <v>0</v>
      </c>
      <c r="AL88" s="131">
        <f t="shared" si="24"/>
        <v>0</v>
      </c>
      <c r="AM88" s="131">
        <v>0</v>
      </c>
      <c r="AN88" s="131">
        <f t="shared" si="25"/>
        <v>0</v>
      </c>
      <c r="AO88" s="131">
        <v>0</v>
      </c>
      <c r="AP88" s="131">
        <f t="shared" si="26"/>
        <v>0</v>
      </c>
      <c r="AQ88" s="131">
        <f t="shared" si="27"/>
        <v>0</v>
      </c>
      <c r="AR88" s="131">
        <v>0</v>
      </c>
    </row>
    <row r="89" spans="28:44">
      <c r="AB89" s="131">
        <f t="shared" si="14"/>
        <v>0</v>
      </c>
      <c r="AC89" s="131">
        <f t="shared" si="15"/>
        <v>0</v>
      </c>
      <c r="AD89" s="131">
        <f t="shared" si="16"/>
        <v>0</v>
      </c>
      <c r="AE89" s="131">
        <f t="shared" si="17"/>
        <v>0</v>
      </c>
      <c r="AF89" s="131">
        <f t="shared" si="18"/>
        <v>0</v>
      </c>
      <c r="AG89" s="131">
        <f t="shared" si="19"/>
        <v>0</v>
      </c>
      <c r="AH89" s="131">
        <f t="shared" si="20"/>
        <v>0</v>
      </c>
      <c r="AI89" s="131">
        <f t="shared" si="21"/>
        <v>0</v>
      </c>
      <c r="AJ89" s="131" t="e">
        <f t="shared" si="22"/>
        <v>#DIV/0!</v>
      </c>
      <c r="AK89" s="131">
        <f t="shared" si="23"/>
        <v>0</v>
      </c>
      <c r="AL89" s="131">
        <f t="shared" si="24"/>
        <v>0</v>
      </c>
      <c r="AM89" s="131">
        <v>0</v>
      </c>
      <c r="AN89" s="131">
        <f t="shared" si="25"/>
        <v>0</v>
      </c>
      <c r="AO89" s="131">
        <v>0</v>
      </c>
      <c r="AP89" s="131">
        <f t="shared" si="26"/>
        <v>0</v>
      </c>
      <c r="AQ89" s="131">
        <f t="shared" si="27"/>
        <v>0</v>
      </c>
      <c r="AR89" s="131">
        <v>0</v>
      </c>
    </row>
    <row r="90" spans="28:44">
      <c r="AB90" s="131">
        <f t="shared" si="14"/>
        <v>0</v>
      </c>
      <c r="AC90" s="131">
        <f t="shared" si="15"/>
        <v>0</v>
      </c>
      <c r="AD90" s="131">
        <f t="shared" si="16"/>
        <v>0</v>
      </c>
      <c r="AE90" s="131">
        <f t="shared" si="17"/>
        <v>0</v>
      </c>
      <c r="AF90" s="131">
        <f t="shared" si="18"/>
        <v>0</v>
      </c>
      <c r="AG90" s="131">
        <f t="shared" si="19"/>
        <v>0</v>
      </c>
      <c r="AH90" s="131">
        <f t="shared" si="20"/>
        <v>0</v>
      </c>
      <c r="AI90" s="131">
        <f t="shared" si="21"/>
        <v>0</v>
      </c>
      <c r="AJ90" s="131" t="e">
        <f t="shared" si="22"/>
        <v>#DIV/0!</v>
      </c>
      <c r="AK90" s="131">
        <f t="shared" si="23"/>
        <v>0</v>
      </c>
      <c r="AL90" s="131">
        <f t="shared" si="24"/>
        <v>0</v>
      </c>
      <c r="AM90" s="131">
        <v>0</v>
      </c>
      <c r="AN90" s="131">
        <f t="shared" si="25"/>
        <v>0</v>
      </c>
      <c r="AO90" s="131">
        <v>0</v>
      </c>
      <c r="AP90" s="131">
        <f t="shared" si="26"/>
        <v>0</v>
      </c>
      <c r="AQ90" s="131">
        <f t="shared" si="27"/>
        <v>0</v>
      </c>
      <c r="AR90" s="131">
        <v>0</v>
      </c>
    </row>
    <row r="91" spans="28:44">
      <c r="AB91" s="131">
        <f t="shared" si="14"/>
        <v>0</v>
      </c>
      <c r="AC91" s="131">
        <f t="shared" si="15"/>
        <v>0</v>
      </c>
      <c r="AD91" s="131">
        <f t="shared" si="16"/>
        <v>0</v>
      </c>
      <c r="AE91" s="131">
        <f t="shared" si="17"/>
        <v>0</v>
      </c>
      <c r="AF91" s="131">
        <f t="shared" si="18"/>
        <v>0</v>
      </c>
      <c r="AG91" s="131">
        <f t="shared" si="19"/>
        <v>0</v>
      </c>
      <c r="AH91" s="131">
        <f t="shared" si="20"/>
        <v>0</v>
      </c>
      <c r="AI91" s="131">
        <f t="shared" si="21"/>
        <v>0</v>
      </c>
      <c r="AJ91" s="131" t="e">
        <f t="shared" si="22"/>
        <v>#DIV/0!</v>
      </c>
      <c r="AK91" s="131">
        <f t="shared" si="23"/>
        <v>0</v>
      </c>
      <c r="AL91" s="131">
        <f t="shared" si="24"/>
        <v>0</v>
      </c>
      <c r="AM91" s="131">
        <v>0</v>
      </c>
      <c r="AN91" s="131">
        <f t="shared" si="25"/>
        <v>0</v>
      </c>
      <c r="AO91" s="131">
        <v>0</v>
      </c>
      <c r="AP91" s="131">
        <f t="shared" si="26"/>
        <v>0</v>
      </c>
      <c r="AQ91" s="131">
        <f t="shared" si="27"/>
        <v>0</v>
      </c>
      <c r="AR91" s="131">
        <v>0</v>
      </c>
    </row>
    <row r="92" spans="28:44">
      <c r="AB92" s="131">
        <f t="shared" si="14"/>
        <v>0</v>
      </c>
      <c r="AC92" s="131">
        <f t="shared" si="15"/>
        <v>0</v>
      </c>
      <c r="AD92" s="131">
        <f t="shared" si="16"/>
        <v>0</v>
      </c>
      <c r="AE92" s="131">
        <f t="shared" si="17"/>
        <v>0</v>
      </c>
      <c r="AF92" s="131">
        <f t="shared" si="18"/>
        <v>0</v>
      </c>
      <c r="AG92" s="131">
        <f t="shared" si="19"/>
        <v>0</v>
      </c>
      <c r="AH92" s="131">
        <f t="shared" si="20"/>
        <v>0</v>
      </c>
      <c r="AI92" s="131">
        <f t="shared" si="21"/>
        <v>0</v>
      </c>
      <c r="AJ92" s="131" t="e">
        <f t="shared" si="22"/>
        <v>#DIV/0!</v>
      </c>
      <c r="AK92" s="131">
        <f t="shared" si="23"/>
        <v>0</v>
      </c>
      <c r="AL92" s="131">
        <f t="shared" si="24"/>
        <v>0</v>
      </c>
      <c r="AM92" s="131">
        <v>0</v>
      </c>
      <c r="AN92" s="131">
        <f t="shared" si="25"/>
        <v>0</v>
      </c>
      <c r="AO92" s="131">
        <v>0</v>
      </c>
      <c r="AP92" s="131">
        <f t="shared" si="26"/>
        <v>0</v>
      </c>
      <c r="AQ92" s="131">
        <f t="shared" si="27"/>
        <v>0</v>
      </c>
      <c r="AR92" s="131">
        <v>0</v>
      </c>
    </row>
    <row r="93" spans="28:44">
      <c r="AB93" s="131">
        <f t="shared" si="14"/>
        <v>0</v>
      </c>
      <c r="AC93" s="131">
        <f t="shared" si="15"/>
        <v>0</v>
      </c>
      <c r="AD93" s="131">
        <f t="shared" si="16"/>
        <v>0</v>
      </c>
      <c r="AE93" s="131">
        <f t="shared" si="17"/>
        <v>0</v>
      </c>
      <c r="AF93" s="131">
        <f t="shared" si="18"/>
        <v>0</v>
      </c>
      <c r="AG93" s="131">
        <f t="shared" si="19"/>
        <v>0</v>
      </c>
      <c r="AH93" s="131">
        <f t="shared" si="20"/>
        <v>0</v>
      </c>
      <c r="AI93" s="131">
        <f t="shared" si="21"/>
        <v>0</v>
      </c>
      <c r="AJ93" s="131" t="e">
        <f t="shared" si="22"/>
        <v>#DIV/0!</v>
      </c>
      <c r="AK93" s="131">
        <f t="shared" si="23"/>
        <v>0</v>
      </c>
      <c r="AL93" s="131">
        <f t="shared" si="24"/>
        <v>0</v>
      </c>
      <c r="AM93" s="131">
        <v>0</v>
      </c>
      <c r="AN93" s="131">
        <f t="shared" si="25"/>
        <v>0</v>
      </c>
      <c r="AO93" s="131">
        <v>0</v>
      </c>
      <c r="AP93" s="131">
        <f t="shared" si="26"/>
        <v>0</v>
      </c>
      <c r="AQ93" s="131">
        <f t="shared" si="27"/>
        <v>0</v>
      </c>
      <c r="AR93" s="131">
        <v>0</v>
      </c>
    </row>
    <row r="94" spans="28:44">
      <c r="AB94" s="131">
        <f t="shared" si="14"/>
        <v>0</v>
      </c>
      <c r="AC94" s="131">
        <f t="shared" si="15"/>
        <v>0</v>
      </c>
      <c r="AD94" s="131">
        <f t="shared" si="16"/>
        <v>0</v>
      </c>
      <c r="AE94" s="131">
        <f t="shared" si="17"/>
        <v>0</v>
      </c>
      <c r="AF94" s="131">
        <f t="shared" si="18"/>
        <v>0</v>
      </c>
      <c r="AG94" s="131">
        <f t="shared" si="19"/>
        <v>0</v>
      </c>
      <c r="AH94" s="131">
        <f t="shared" si="20"/>
        <v>0</v>
      </c>
      <c r="AI94" s="131">
        <f t="shared" si="21"/>
        <v>0</v>
      </c>
      <c r="AJ94" s="131" t="e">
        <f t="shared" si="22"/>
        <v>#DIV/0!</v>
      </c>
      <c r="AK94" s="131">
        <f t="shared" si="23"/>
        <v>0</v>
      </c>
      <c r="AL94" s="131">
        <f t="shared" si="24"/>
        <v>0</v>
      </c>
      <c r="AM94" s="131">
        <v>0</v>
      </c>
      <c r="AN94" s="131">
        <f t="shared" si="25"/>
        <v>0</v>
      </c>
      <c r="AO94" s="131">
        <v>0</v>
      </c>
      <c r="AP94" s="131">
        <f t="shared" si="26"/>
        <v>0</v>
      </c>
      <c r="AQ94" s="131">
        <f t="shared" si="27"/>
        <v>0</v>
      </c>
      <c r="AR94" s="131">
        <v>0</v>
      </c>
    </row>
    <row r="95" spans="28:44">
      <c r="AB95" s="131">
        <f t="shared" si="14"/>
        <v>0</v>
      </c>
      <c r="AC95" s="131">
        <f t="shared" si="15"/>
        <v>0</v>
      </c>
      <c r="AD95" s="131">
        <f t="shared" si="16"/>
        <v>0</v>
      </c>
      <c r="AE95" s="131">
        <f t="shared" si="17"/>
        <v>0</v>
      </c>
      <c r="AF95" s="131">
        <f t="shared" si="18"/>
        <v>0</v>
      </c>
      <c r="AG95" s="131">
        <f t="shared" si="19"/>
        <v>0</v>
      </c>
      <c r="AH95" s="131">
        <f t="shared" si="20"/>
        <v>0</v>
      </c>
      <c r="AI95" s="131">
        <f t="shared" si="21"/>
        <v>0</v>
      </c>
      <c r="AJ95" s="131" t="e">
        <f t="shared" si="22"/>
        <v>#DIV/0!</v>
      </c>
      <c r="AK95" s="131">
        <f t="shared" si="23"/>
        <v>0</v>
      </c>
      <c r="AL95" s="131">
        <f t="shared" si="24"/>
        <v>0</v>
      </c>
      <c r="AM95" s="131">
        <v>0</v>
      </c>
      <c r="AN95" s="131">
        <f t="shared" si="25"/>
        <v>0</v>
      </c>
      <c r="AO95" s="131">
        <v>0</v>
      </c>
      <c r="AP95" s="131">
        <f t="shared" si="26"/>
        <v>0</v>
      </c>
      <c r="AQ95" s="131">
        <f t="shared" si="27"/>
        <v>0</v>
      </c>
      <c r="AR95" s="131">
        <v>0</v>
      </c>
    </row>
    <row r="96" spans="28:44">
      <c r="AB96" s="131">
        <f t="shared" si="14"/>
        <v>0</v>
      </c>
      <c r="AC96" s="131">
        <f t="shared" si="15"/>
        <v>0</v>
      </c>
      <c r="AD96" s="131">
        <f t="shared" si="16"/>
        <v>0</v>
      </c>
      <c r="AE96" s="131">
        <f t="shared" si="17"/>
        <v>0</v>
      </c>
      <c r="AF96" s="131">
        <f t="shared" si="18"/>
        <v>0</v>
      </c>
      <c r="AG96" s="131">
        <f t="shared" si="19"/>
        <v>0</v>
      </c>
      <c r="AH96" s="131">
        <f t="shared" si="20"/>
        <v>0</v>
      </c>
      <c r="AI96" s="131">
        <f t="shared" si="21"/>
        <v>0</v>
      </c>
      <c r="AJ96" s="131" t="e">
        <f t="shared" si="22"/>
        <v>#DIV/0!</v>
      </c>
      <c r="AK96" s="131">
        <f t="shared" si="23"/>
        <v>0</v>
      </c>
      <c r="AL96" s="131">
        <f t="shared" si="24"/>
        <v>0</v>
      </c>
      <c r="AM96" s="131">
        <v>0</v>
      </c>
      <c r="AN96" s="131">
        <f t="shared" si="25"/>
        <v>0</v>
      </c>
      <c r="AO96" s="131">
        <v>0</v>
      </c>
      <c r="AP96" s="131">
        <f t="shared" si="26"/>
        <v>0</v>
      </c>
      <c r="AQ96" s="131">
        <f t="shared" si="27"/>
        <v>0</v>
      </c>
      <c r="AR96" s="131">
        <v>0</v>
      </c>
    </row>
    <row r="97" spans="28:44">
      <c r="AB97" s="131">
        <f t="shared" si="14"/>
        <v>0</v>
      </c>
      <c r="AC97" s="131">
        <f t="shared" si="15"/>
        <v>0</v>
      </c>
      <c r="AD97" s="131">
        <f t="shared" si="16"/>
        <v>0</v>
      </c>
      <c r="AE97" s="131">
        <f t="shared" si="17"/>
        <v>0</v>
      </c>
      <c r="AF97" s="131">
        <f t="shared" si="18"/>
        <v>0</v>
      </c>
      <c r="AG97" s="131">
        <f t="shared" si="19"/>
        <v>0</v>
      </c>
      <c r="AH97" s="131">
        <f t="shared" si="20"/>
        <v>0</v>
      </c>
      <c r="AI97" s="131">
        <f t="shared" si="21"/>
        <v>0</v>
      </c>
      <c r="AJ97" s="131" t="e">
        <f t="shared" si="22"/>
        <v>#DIV/0!</v>
      </c>
      <c r="AK97" s="131">
        <f t="shared" si="23"/>
        <v>0</v>
      </c>
      <c r="AL97" s="131">
        <f t="shared" si="24"/>
        <v>0</v>
      </c>
      <c r="AM97" s="131">
        <v>0</v>
      </c>
      <c r="AN97" s="131">
        <f t="shared" si="25"/>
        <v>0</v>
      </c>
      <c r="AO97" s="131">
        <v>0</v>
      </c>
      <c r="AP97" s="131">
        <f t="shared" si="26"/>
        <v>0</v>
      </c>
      <c r="AQ97" s="131">
        <f t="shared" si="27"/>
        <v>0</v>
      </c>
      <c r="AR97" s="131">
        <v>0</v>
      </c>
    </row>
    <row r="98" spans="28:44">
      <c r="AB98" s="131">
        <f t="shared" si="14"/>
        <v>0</v>
      </c>
      <c r="AC98" s="131">
        <f t="shared" si="15"/>
        <v>0</v>
      </c>
      <c r="AD98" s="131">
        <f t="shared" si="16"/>
        <v>0</v>
      </c>
      <c r="AE98" s="131">
        <f t="shared" si="17"/>
        <v>0</v>
      </c>
      <c r="AF98" s="131">
        <f t="shared" si="18"/>
        <v>0</v>
      </c>
      <c r="AG98" s="131">
        <f t="shared" si="19"/>
        <v>0</v>
      </c>
      <c r="AH98" s="131">
        <f t="shared" si="20"/>
        <v>0</v>
      </c>
      <c r="AI98" s="131">
        <f t="shared" si="21"/>
        <v>0</v>
      </c>
      <c r="AJ98" s="131" t="e">
        <f t="shared" si="22"/>
        <v>#DIV/0!</v>
      </c>
      <c r="AK98" s="131">
        <f t="shared" si="23"/>
        <v>0</v>
      </c>
      <c r="AL98" s="131">
        <f t="shared" si="24"/>
        <v>0</v>
      </c>
      <c r="AM98" s="131">
        <v>0</v>
      </c>
      <c r="AN98" s="131">
        <f t="shared" si="25"/>
        <v>0</v>
      </c>
      <c r="AO98" s="131">
        <v>0</v>
      </c>
      <c r="AP98" s="131">
        <f t="shared" si="26"/>
        <v>0</v>
      </c>
      <c r="AQ98" s="131">
        <f t="shared" si="27"/>
        <v>0</v>
      </c>
      <c r="AR98" s="131">
        <v>0</v>
      </c>
    </row>
    <row r="99" spans="28:44">
      <c r="AB99" s="131">
        <f t="shared" si="14"/>
        <v>0</v>
      </c>
      <c r="AC99" s="131">
        <f t="shared" si="15"/>
        <v>0</v>
      </c>
      <c r="AD99" s="131">
        <f t="shared" si="16"/>
        <v>0</v>
      </c>
      <c r="AE99" s="131">
        <f t="shared" si="17"/>
        <v>0</v>
      </c>
      <c r="AF99" s="131">
        <f t="shared" si="18"/>
        <v>0</v>
      </c>
      <c r="AG99" s="131">
        <f t="shared" si="19"/>
        <v>0</v>
      </c>
      <c r="AH99" s="131">
        <f t="shared" si="20"/>
        <v>0</v>
      </c>
      <c r="AI99" s="131">
        <f t="shared" si="21"/>
        <v>0</v>
      </c>
      <c r="AJ99" s="131" t="e">
        <f t="shared" si="22"/>
        <v>#DIV/0!</v>
      </c>
      <c r="AK99" s="131">
        <f t="shared" si="23"/>
        <v>0</v>
      </c>
      <c r="AL99" s="131">
        <f t="shared" si="24"/>
        <v>0</v>
      </c>
      <c r="AM99" s="131">
        <v>0</v>
      </c>
      <c r="AN99" s="131">
        <f t="shared" si="25"/>
        <v>0</v>
      </c>
      <c r="AO99" s="131">
        <v>0</v>
      </c>
      <c r="AP99" s="131">
        <f t="shared" si="26"/>
        <v>0</v>
      </c>
      <c r="AQ99" s="131">
        <f t="shared" si="27"/>
        <v>0</v>
      </c>
      <c r="AR99" s="131">
        <v>0</v>
      </c>
    </row>
    <row r="100" spans="28:44">
      <c r="AB100" s="131">
        <f t="shared" si="14"/>
        <v>0</v>
      </c>
      <c r="AC100" s="131">
        <f t="shared" si="15"/>
        <v>0</v>
      </c>
      <c r="AD100" s="131">
        <f t="shared" si="16"/>
        <v>0</v>
      </c>
      <c r="AE100" s="131">
        <f t="shared" si="17"/>
        <v>0</v>
      </c>
      <c r="AF100" s="131">
        <f t="shared" si="18"/>
        <v>0</v>
      </c>
      <c r="AG100" s="131">
        <f t="shared" si="19"/>
        <v>0</v>
      </c>
      <c r="AH100" s="131">
        <f t="shared" si="20"/>
        <v>0</v>
      </c>
      <c r="AI100" s="131">
        <f t="shared" si="21"/>
        <v>0</v>
      </c>
      <c r="AJ100" s="131" t="e">
        <f t="shared" si="22"/>
        <v>#DIV/0!</v>
      </c>
      <c r="AK100" s="131">
        <f t="shared" si="23"/>
        <v>0</v>
      </c>
      <c r="AL100" s="131">
        <f t="shared" si="24"/>
        <v>0</v>
      </c>
      <c r="AM100" s="131">
        <v>0</v>
      </c>
      <c r="AN100" s="131">
        <f t="shared" si="25"/>
        <v>0</v>
      </c>
      <c r="AO100" s="131">
        <v>0</v>
      </c>
      <c r="AP100" s="131">
        <f t="shared" si="26"/>
        <v>0</v>
      </c>
      <c r="AQ100" s="131">
        <f t="shared" si="27"/>
        <v>0</v>
      </c>
      <c r="AR100" s="131">
        <v>0</v>
      </c>
    </row>
    <row r="101" spans="28:44">
      <c r="AB101" s="131">
        <f t="shared" si="14"/>
        <v>0</v>
      </c>
      <c r="AC101" s="131">
        <f t="shared" si="15"/>
        <v>0</v>
      </c>
      <c r="AD101" s="131">
        <f t="shared" si="16"/>
        <v>0</v>
      </c>
      <c r="AE101" s="131">
        <f t="shared" si="17"/>
        <v>0</v>
      </c>
      <c r="AF101" s="131">
        <f t="shared" si="18"/>
        <v>0</v>
      </c>
      <c r="AG101" s="131">
        <f t="shared" si="19"/>
        <v>0</v>
      </c>
      <c r="AH101" s="131">
        <f t="shared" si="20"/>
        <v>0</v>
      </c>
      <c r="AI101" s="131">
        <f t="shared" si="21"/>
        <v>0</v>
      </c>
      <c r="AJ101" s="131" t="e">
        <f t="shared" si="22"/>
        <v>#DIV/0!</v>
      </c>
      <c r="AK101" s="131">
        <f t="shared" si="23"/>
        <v>0</v>
      </c>
      <c r="AL101" s="131">
        <f t="shared" si="24"/>
        <v>0</v>
      </c>
      <c r="AM101" s="131">
        <v>0</v>
      </c>
      <c r="AN101" s="131">
        <f t="shared" si="25"/>
        <v>0</v>
      </c>
      <c r="AO101" s="131">
        <v>0</v>
      </c>
      <c r="AP101" s="131">
        <f t="shared" si="26"/>
        <v>0</v>
      </c>
      <c r="AQ101" s="131">
        <f t="shared" si="27"/>
        <v>0</v>
      </c>
      <c r="AR101" s="131">
        <v>0</v>
      </c>
    </row>
    <row r="102" spans="28:44">
      <c r="AB102" s="131">
        <f t="shared" si="14"/>
        <v>0</v>
      </c>
      <c r="AC102" s="131">
        <f t="shared" si="15"/>
        <v>0</v>
      </c>
      <c r="AD102" s="131">
        <f t="shared" si="16"/>
        <v>0</v>
      </c>
      <c r="AE102" s="131">
        <f t="shared" si="17"/>
        <v>0</v>
      </c>
      <c r="AF102" s="131">
        <f t="shared" si="18"/>
        <v>0</v>
      </c>
      <c r="AG102" s="131">
        <f t="shared" si="19"/>
        <v>0</v>
      </c>
      <c r="AH102" s="131">
        <f t="shared" si="20"/>
        <v>0</v>
      </c>
      <c r="AI102" s="131">
        <f t="shared" si="21"/>
        <v>0</v>
      </c>
      <c r="AJ102" s="131" t="e">
        <f t="shared" si="22"/>
        <v>#DIV/0!</v>
      </c>
      <c r="AK102" s="131">
        <f t="shared" si="23"/>
        <v>0</v>
      </c>
      <c r="AL102" s="131">
        <f t="shared" si="24"/>
        <v>0</v>
      </c>
      <c r="AM102" s="131">
        <v>0</v>
      </c>
      <c r="AN102" s="131">
        <f t="shared" si="25"/>
        <v>0</v>
      </c>
      <c r="AO102" s="131">
        <v>0</v>
      </c>
      <c r="AP102" s="131">
        <f t="shared" si="26"/>
        <v>0</v>
      </c>
      <c r="AQ102" s="131">
        <f t="shared" si="27"/>
        <v>0</v>
      </c>
      <c r="AR102" s="131">
        <v>0</v>
      </c>
    </row>
    <row r="103" spans="28:44">
      <c r="AB103" s="131">
        <f t="shared" si="14"/>
        <v>0</v>
      </c>
      <c r="AC103" s="131">
        <f t="shared" si="15"/>
        <v>0</v>
      </c>
      <c r="AD103" s="131">
        <f t="shared" si="16"/>
        <v>0</v>
      </c>
      <c r="AE103" s="131">
        <f t="shared" si="17"/>
        <v>0</v>
      </c>
      <c r="AF103" s="131">
        <f t="shared" si="18"/>
        <v>0</v>
      </c>
      <c r="AG103" s="131">
        <f t="shared" si="19"/>
        <v>0</v>
      </c>
      <c r="AH103" s="131">
        <f t="shared" si="20"/>
        <v>0</v>
      </c>
      <c r="AI103" s="131">
        <f t="shared" si="21"/>
        <v>0</v>
      </c>
      <c r="AJ103" s="131" t="e">
        <f t="shared" si="22"/>
        <v>#DIV/0!</v>
      </c>
      <c r="AK103" s="131">
        <f t="shared" si="23"/>
        <v>0</v>
      </c>
      <c r="AL103" s="131">
        <f t="shared" si="24"/>
        <v>0</v>
      </c>
      <c r="AM103" s="131">
        <v>0</v>
      </c>
      <c r="AN103" s="131">
        <f t="shared" si="25"/>
        <v>0</v>
      </c>
      <c r="AO103" s="131">
        <v>0</v>
      </c>
      <c r="AP103" s="131">
        <f t="shared" si="26"/>
        <v>0</v>
      </c>
      <c r="AQ103" s="131">
        <f t="shared" si="27"/>
        <v>0</v>
      </c>
      <c r="AR103" s="131">
        <v>0</v>
      </c>
    </row>
    <row r="104" spans="28:44">
      <c r="AB104" s="131">
        <f t="shared" si="14"/>
        <v>0</v>
      </c>
      <c r="AC104" s="131">
        <f t="shared" si="15"/>
        <v>0</v>
      </c>
      <c r="AD104" s="131">
        <f t="shared" si="16"/>
        <v>0</v>
      </c>
      <c r="AE104" s="131">
        <f t="shared" si="17"/>
        <v>0</v>
      </c>
      <c r="AF104" s="131">
        <f t="shared" si="18"/>
        <v>0</v>
      </c>
      <c r="AG104" s="131">
        <f t="shared" si="19"/>
        <v>0</v>
      </c>
      <c r="AH104" s="131">
        <f t="shared" si="20"/>
        <v>0</v>
      </c>
      <c r="AI104" s="131">
        <f t="shared" si="21"/>
        <v>0</v>
      </c>
      <c r="AJ104" s="131" t="e">
        <f t="shared" si="22"/>
        <v>#DIV/0!</v>
      </c>
      <c r="AK104" s="131">
        <f t="shared" si="23"/>
        <v>0</v>
      </c>
      <c r="AL104" s="131">
        <f t="shared" si="24"/>
        <v>0</v>
      </c>
      <c r="AM104" s="131">
        <v>0</v>
      </c>
      <c r="AN104" s="131">
        <f t="shared" si="25"/>
        <v>0</v>
      </c>
      <c r="AO104" s="131">
        <v>0</v>
      </c>
      <c r="AP104" s="131">
        <f t="shared" si="26"/>
        <v>0</v>
      </c>
      <c r="AQ104" s="131">
        <f t="shared" si="27"/>
        <v>0</v>
      </c>
      <c r="AR104" s="131">
        <v>0</v>
      </c>
    </row>
    <row r="105" spans="28:44">
      <c r="AB105" s="131">
        <f t="shared" si="14"/>
        <v>0</v>
      </c>
      <c r="AC105" s="131">
        <f t="shared" si="15"/>
        <v>0</v>
      </c>
      <c r="AD105" s="131">
        <f t="shared" si="16"/>
        <v>0</v>
      </c>
      <c r="AE105" s="131">
        <f t="shared" si="17"/>
        <v>0</v>
      </c>
      <c r="AF105" s="131">
        <f t="shared" si="18"/>
        <v>0</v>
      </c>
      <c r="AG105" s="131">
        <f t="shared" si="19"/>
        <v>0</v>
      </c>
      <c r="AH105" s="131">
        <f t="shared" si="20"/>
        <v>0</v>
      </c>
      <c r="AI105" s="131">
        <f t="shared" si="21"/>
        <v>0</v>
      </c>
      <c r="AJ105" s="131" t="e">
        <f t="shared" si="22"/>
        <v>#DIV/0!</v>
      </c>
      <c r="AK105" s="131">
        <f t="shared" si="23"/>
        <v>0</v>
      </c>
      <c r="AL105" s="131">
        <f t="shared" si="24"/>
        <v>0</v>
      </c>
      <c r="AM105" s="131">
        <v>0</v>
      </c>
      <c r="AN105" s="131">
        <f t="shared" si="25"/>
        <v>0</v>
      </c>
      <c r="AO105" s="131">
        <v>0</v>
      </c>
      <c r="AP105" s="131">
        <f t="shared" si="26"/>
        <v>0</v>
      </c>
      <c r="AQ105" s="131">
        <f t="shared" si="27"/>
        <v>0</v>
      </c>
      <c r="AR105" s="131">
        <v>0</v>
      </c>
    </row>
    <row r="106" spans="28:44">
      <c r="AB106" s="131">
        <f t="shared" si="14"/>
        <v>0</v>
      </c>
      <c r="AC106" s="131">
        <f t="shared" si="15"/>
        <v>0</v>
      </c>
      <c r="AD106" s="131">
        <f t="shared" si="16"/>
        <v>0</v>
      </c>
      <c r="AE106" s="131">
        <f t="shared" si="17"/>
        <v>0</v>
      </c>
      <c r="AF106" s="131">
        <f t="shared" si="18"/>
        <v>0</v>
      </c>
      <c r="AG106" s="131">
        <f t="shared" si="19"/>
        <v>0</v>
      </c>
      <c r="AH106" s="131">
        <f t="shared" si="20"/>
        <v>0</v>
      </c>
      <c r="AI106" s="131">
        <f t="shared" si="21"/>
        <v>0</v>
      </c>
      <c r="AJ106" s="131" t="e">
        <f t="shared" si="22"/>
        <v>#DIV/0!</v>
      </c>
      <c r="AK106" s="131">
        <f t="shared" si="23"/>
        <v>0</v>
      </c>
      <c r="AL106" s="131">
        <f t="shared" si="24"/>
        <v>0</v>
      </c>
      <c r="AM106" s="131">
        <v>0</v>
      </c>
      <c r="AN106" s="131">
        <f t="shared" si="25"/>
        <v>0</v>
      </c>
      <c r="AO106" s="131">
        <v>0</v>
      </c>
      <c r="AP106" s="131">
        <f t="shared" si="26"/>
        <v>0</v>
      </c>
      <c r="AQ106" s="131">
        <f t="shared" si="27"/>
        <v>0</v>
      </c>
      <c r="AR106" s="131">
        <v>0</v>
      </c>
    </row>
    <row r="107" spans="28:44">
      <c r="AB107" s="131">
        <f t="shared" si="14"/>
        <v>0</v>
      </c>
      <c r="AC107" s="131">
        <f t="shared" si="15"/>
        <v>0</v>
      </c>
      <c r="AD107" s="131">
        <f t="shared" si="16"/>
        <v>0</v>
      </c>
      <c r="AE107" s="131">
        <f t="shared" si="17"/>
        <v>0</v>
      </c>
      <c r="AF107" s="131">
        <f t="shared" si="18"/>
        <v>0</v>
      </c>
      <c r="AG107" s="131">
        <f t="shared" si="19"/>
        <v>0</v>
      </c>
      <c r="AH107" s="131">
        <f t="shared" si="20"/>
        <v>0</v>
      </c>
      <c r="AI107" s="131">
        <f t="shared" si="21"/>
        <v>0</v>
      </c>
      <c r="AJ107" s="131" t="e">
        <f t="shared" si="22"/>
        <v>#DIV/0!</v>
      </c>
      <c r="AK107" s="131">
        <f t="shared" si="23"/>
        <v>0</v>
      </c>
      <c r="AL107" s="131">
        <f t="shared" si="24"/>
        <v>0</v>
      </c>
      <c r="AM107" s="131">
        <v>0</v>
      </c>
      <c r="AN107" s="131">
        <f t="shared" si="25"/>
        <v>0</v>
      </c>
      <c r="AO107" s="131">
        <v>0</v>
      </c>
      <c r="AP107" s="131">
        <f t="shared" si="26"/>
        <v>0</v>
      </c>
      <c r="AQ107" s="131">
        <f t="shared" si="27"/>
        <v>0</v>
      </c>
      <c r="AR107" s="131">
        <v>0</v>
      </c>
    </row>
    <row r="108" spans="28:44">
      <c r="AB108" s="131">
        <f t="shared" si="14"/>
        <v>0</v>
      </c>
      <c r="AC108" s="131">
        <f t="shared" si="15"/>
        <v>0</v>
      </c>
      <c r="AD108" s="131">
        <f t="shared" si="16"/>
        <v>0</v>
      </c>
      <c r="AE108" s="131">
        <f t="shared" si="17"/>
        <v>0</v>
      </c>
      <c r="AF108" s="131">
        <f t="shared" si="18"/>
        <v>0</v>
      </c>
      <c r="AG108" s="131">
        <f t="shared" si="19"/>
        <v>0</v>
      </c>
      <c r="AH108" s="131">
        <f t="shared" si="20"/>
        <v>0</v>
      </c>
      <c r="AI108" s="131">
        <f t="shared" si="21"/>
        <v>0</v>
      </c>
      <c r="AJ108" s="131" t="e">
        <f t="shared" si="22"/>
        <v>#DIV/0!</v>
      </c>
      <c r="AK108" s="131">
        <f t="shared" si="23"/>
        <v>0</v>
      </c>
      <c r="AL108" s="131">
        <f t="shared" si="24"/>
        <v>0</v>
      </c>
      <c r="AM108" s="131">
        <v>0</v>
      </c>
      <c r="AN108" s="131">
        <f t="shared" si="25"/>
        <v>0</v>
      </c>
      <c r="AO108" s="131">
        <v>0</v>
      </c>
      <c r="AP108" s="131">
        <f t="shared" si="26"/>
        <v>0</v>
      </c>
      <c r="AQ108" s="131">
        <f t="shared" si="27"/>
        <v>0</v>
      </c>
      <c r="AR108" s="131">
        <v>0</v>
      </c>
    </row>
    <row r="109" spans="28:44">
      <c r="AB109" s="131">
        <f t="shared" si="14"/>
        <v>0</v>
      </c>
      <c r="AC109" s="131">
        <f t="shared" si="15"/>
        <v>0</v>
      </c>
      <c r="AD109" s="131">
        <f t="shared" si="16"/>
        <v>0</v>
      </c>
      <c r="AE109" s="131">
        <f t="shared" si="17"/>
        <v>0</v>
      </c>
      <c r="AF109" s="131">
        <f t="shared" si="18"/>
        <v>0</v>
      </c>
      <c r="AG109" s="131">
        <f t="shared" si="19"/>
        <v>0</v>
      </c>
      <c r="AH109" s="131">
        <f t="shared" si="20"/>
        <v>0</v>
      </c>
      <c r="AI109" s="131">
        <f t="shared" si="21"/>
        <v>0</v>
      </c>
      <c r="AJ109" s="131" t="e">
        <f t="shared" si="22"/>
        <v>#DIV/0!</v>
      </c>
      <c r="AK109" s="131">
        <f t="shared" si="23"/>
        <v>0</v>
      </c>
      <c r="AL109" s="131">
        <f t="shared" si="24"/>
        <v>0</v>
      </c>
      <c r="AM109" s="131">
        <v>0</v>
      </c>
      <c r="AN109" s="131">
        <f t="shared" si="25"/>
        <v>0</v>
      </c>
      <c r="AO109" s="131">
        <v>0</v>
      </c>
      <c r="AP109" s="131">
        <f t="shared" si="26"/>
        <v>0</v>
      </c>
      <c r="AQ109" s="131">
        <f t="shared" si="27"/>
        <v>0</v>
      </c>
      <c r="AR109" s="131">
        <v>0</v>
      </c>
    </row>
    <row r="110" spans="28:44">
      <c r="AB110" s="131">
        <f t="shared" si="14"/>
        <v>0</v>
      </c>
      <c r="AC110" s="131">
        <f t="shared" si="15"/>
        <v>0</v>
      </c>
      <c r="AD110" s="131">
        <f t="shared" si="16"/>
        <v>0</v>
      </c>
      <c r="AE110" s="131">
        <f t="shared" si="17"/>
        <v>0</v>
      </c>
      <c r="AF110" s="131">
        <f t="shared" si="18"/>
        <v>0</v>
      </c>
      <c r="AG110" s="131">
        <f t="shared" si="19"/>
        <v>0</v>
      </c>
      <c r="AH110" s="131">
        <f t="shared" si="20"/>
        <v>0</v>
      </c>
      <c r="AI110" s="131">
        <f t="shared" si="21"/>
        <v>0</v>
      </c>
      <c r="AJ110" s="131" t="e">
        <f t="shared" si="22"/>
        <v>#DIV/0!</v>
      </c>
      <c r="AK110" s="131">
        <f t="shared" si="23"/>
        <v>0</v>
      </c>
      <c r="AL110" s="131">
        <f t="shared" si="24"/>
        <v>0</v>
      </c>
      <c r="AM110" s="131">
        <v>0</v>
      </c>
      <c r="AN110" s="131">
        <f t="shared" si="25"/>
        <v>0</v>
      </c>
      <c r="AO110" s="131">
        <v>0</v>
      </c>
      <c r="AP110" s="131">
        <f t="shared" si="26"/>
        <v>0</v>
      </c>
      <c r="AQ110" s="131">
        <f t="shared" si="27"/>
        <v>0</v>
      </c>
      <c r="AR110" s="131">
        <v>0</v>
      </c>
    </row>
    <row r="111" spans="28:44">
      <c r="AB111" s="131">
        <f t="shared" si="14"/>
        <v>0</v>
      </c>
      <c r="AC111" s="131">
        <f t="shared" si="15"/>
        <v>0</v>
      </c>
      <c r="AD111" s="131">
        <f t="shared" si="16"/>
        <v>0</v>
      </c>
      <c r="AE111" s="131">
        <f t="shared" si="17"/>
        <v>0</v>
      </c>
      <c r="AF111" s="131">
        <f t="shared" si="18"/>
        <v>0</v>
      </c>
      <c r="AG111" s="131">
        <f t="shared" si="19"/>
        <v>0</v>
      </c>
      <c r="AH111" s="131">
        <f t="shared" si="20"/>
        <v>0</v>
      </c>
      <c r="AI111" s="131">
        <f t="shared" si="21"/>
        <v>0</v>
      </c>
      <c r="AJ111" s="131" t="e">
        <f t="shared" si="22"/>
        <v>#DIV/0!</v>
      </c>
      <c r="AK111" s="131">
        <f t="shared" si="23"/>
        <v>0</v>
      </c>
      <c r="AL111" s="131">
        <f t="shared" si="24"/>
        <v>0</v>
      </c>
      <c r="AM111" s="131">
        <v>0</v>
      </c>
      <c r="AN111" s="131">
        <f t="shared" si="25"/>
        <v>0</v>
      </c>
      <c r="AO111" s="131">
        <v>0</v>
      </c>
      <c r="AP111" s="131">
        <f t="shared" si="26"/>
        <v>0</v>
      </c>
      <c r="AQ111" s="131">
        <f t="shared" si="27"/>
        <v>0</v>
      </c>
      <c r="AR111" s="131">
        <v>0</v>
      </c>
    </row>
    <row r="112" spans="28:44">
      <c r="AB112" s="131">
        <f t="shared" si="14"/>
        <v>0</v>
      </c>
      <c r="AC112" s="131">
        <f t="shared" si="15"/>
        <v>0</v>
      </c>
      <c r="AD112" s="131">
        <f t="shared" si="16"/>
        <v>0</v>
      </c>
      <c r="AE112" s="131">
        <f t="shared" si="17"/>
        <v>0</v>
      </c>
      <c r="AF112" s="131">
        <f t="shared" si="18"/>
        <v>0</v>
      </c>
      <c r="AG112" s="131">
        <f t="shared" si="19"/>
        <v>0</v>
      </c>
      <c r="AH112" s="131">
        <f t="shared" si="20"/>
        <v>0</v>
      </c>
      <c r="AI112" s="131">
        <f t="shared" si="21"/>
        <v>0</v>
      </c>
      <c r="AJ112" s="131" t="e">
        <f t="shared" si="22"/>
        <v>#DIV/0!</v>
      </c>
      <c r="AK112" s="131">
        <f t="shared" si="23"/>
        <v>0</v>
      </c>
      <c r="AL112" s="131">
        <f t="shared" si="24"/>
        <v>0</v>
      </c>
      <c r="AM112" s="131">
        <v>0</v>
      </c>
      <c r="AN112" s="131">
        <f t="shared" si="25"/>
        <v>0</v>
      </c>
      <c r="AO112" s="131">
        <v>0</v>
      </c>
      <c r="AP112" s="131">
        <f t="shared" si="26"/>
        <v>0</v>
      </c>
      <c r="AQ112" s="131">
        <f t="shared" si="27"/>
        <v>0</v>
      </c>
      <c r="AR112" s="131">
        <v>0</v>
      </c>
    </row>
    <row r="113" spans="28:44">
      <c r="AB113" s="131">
        <f t="shared" si="14"/>
        <v>0</v>
      </c>
      <c r="AC113" s="131">
        <f t="shared" si="15"/>
        <v>0</v>
      </c>
      <c r="AD113" s="131">
        <f t="shared" si="16"/>
        <v>0</v>
      </c>
      <c r="AE113" s="131">
        <f t="shared" si="17"/>
        <v>0</v>
      </c>
      <c r="AF113" s="131">
        <f t="shared" si="18"/>
        <v>0</v>
      </c>
      <c r="AG113" s="131">
        <f t="shared" si="19"/>
        <v>0</v>
      </c>
      <c r="AH113" s="131">
        <f t="shared" si="20"/>
        <v>0</v>
      </c>
      <c r="AI113" s="131">
        <f t="shared" si="21"/>
        <v>0</v>
      </c>
      <c r="AJ113" s="131" t="e">
        <f t="shared" si="22"/>
        <v>#DIV/0!</v>
      </c>
      <c r="AK113" s="131">
        <f t="shared" si="23"/>
        <v>0</v>
      </c>
      <c r="AL113" s="131">
        <f t="shared" si="24"/>
        <v>0</v>
      </c>
      <c r="AM113" s="131">
        <v>0</v>
      </c>
      <c r="AN113" s="131">
        <f t="shared" si="25"/>
        <v>0</v>
      </c>
      <c r="AO113" s="131">
        <v>0</v>
      </c>
      <c r="AP113" s="131">
        <f t="shared" si="26"/>
        <v>0</v>
      </c>
      <c r="AQ113" s="131">
        <f t="shared" si="27"/>
        <v>0</v>
      </c>
      <c r="AR113" s="131">
        <v>0</v>
      </c>
    </row>
    <row r="114" spans="28:44">
      <c r="AB114" s="131">
        <f t="shared" si="14"/>
        <v>0</v>
      </c>
      <c r="AC114" s="131">
        <f t="shared" si="15"/>
        <v>0</v>
      </c>
      <c r="AD114" s="131">
        <f t="shared" si="16"/>
        <v>0</v>
      </c>
      <c r="AE114" s="131">
        <f t="shared" si="17"/>
        <v>0</v>
      </c>
      <c r="AF114" s="131">
        <f t="shared" si="18"/>
        <v>0</v>
      </c>
      <c r="AG114" s="131">
        <f t="shared" si="19"/>
        <v>0</v>
      </c>
      <c r="AH114" s="131">
        <f t="shared" si="20"/>
        <v>0</v>
      </c>
      <c r="AI114" s="131">
        <f t="shared" si="21"/>
        <v>0</v>
      </c>
      <c r="AJ114" s="131" t="e">
        <f t="shared" si="22"/>
        <v>#DIV/0!</v>
      </c>
      <c r="AK114" s="131">
        <f t="shared" si="23"/>
        <v>0</v>
      </c>
      <c r="AL114" s="131">
        <f t="shared" si="24"/>
        <v>0</v>
      </c>
      <c r="AM114" s="131">
        <v>0</v>
      </c>
      <c r="AN114" s="131">
        <f t="shared" si="25"/>
        <v>0</v>
      </c>
      <c r="AO114" s="131">
        <v>0</v>
      </c>
      <c r="AP114" s="131">
        <f t="shared" si="26"/>
        <v>0</v>
      </c>
      <c r="AQ114" s="131">
        <f t="shared" si="27"/>
        <v>0</v>
      </c>
      <c r="AR114" s="131">
        <v>0</v>
      </c>
    </row>
    <row r="115" spans="28:44">
      <c r="AB115" s="131">
        <f t="shared" si="14"/>
        <v>0</v>
      </c>
      <c r="AC115" s="131">
        <f t="shared" si="15"/>
        <v>0</v>
      </c>
      <c r="AD115" s="131">
        <f t="shared" si="16"/>
        <v>0</v>
      </c>
      <c r="AE115" s="131">
        <f t="shared" si="17"/>
        <v>0</v>
      </c>
      <c r="AF115" s="131">
        <f t="shared" si="18"/>
        <v>0</v>
      </c>
      <c r="AG115" s="131">
        <f t="shared" si="19"/>
        <v>0</v>
      </c>
      <c r="AH115" s="131">
        <f t="shared" si="20"/>
        <v>0</v>
      </c>
      <c r="AI115" s="131">
        <f t="shared" si="21"/>
        <v>0</v>
      </c>
      <c r="AJ115" s="131" t="e">
        <f t="shared" si="22"/>
        <v>#DIV/0!</v>
      </c>
      <c r="AK115" s="131">
        <f t="shared" si="23"/>
        <v>0</v>
      </c>
      <c r="AL115" s="131">
        <f t="shared" si="24"/>
        <v>0</v>
      </c>
      <c r="AM115" s="131">
        <v>0</v>
      </c>
      <c r="AN115" s="131">
        <f t="shared" si="25"/>
        <v>0</v>
      </c>
      <c r="AO115" s="131">
        <v>0</v>
      </c>
      <c r="AP115" s="131">
        <f t="shared" si="26"/>
        <v>0</v>
      </c>
      <c r="AQ115" s="131">
        <f t="shared" si="27"/>
        <v>0</v>
      </c>
      <c r="AR115" s="131">
        <v>0</v>
      </c>
    </row>
    <row r="116" spans="28:44">
      <c r="AB116" s="131">
        <f t="shared" si="14"/>
        <v>0</v>
      </c>
      <c r="AC116" s="131">
        <f t="shared" si="15"/>
        <v>0</v>
      </c>
      <c r="AD116" s="131">
        <f t="shared" si="16"/>
        <v>0</v>
      </c>
      <c r="AE116" s="131">
        <f t="shared" si="17"/>
        <v>0</v>
      </c>
      <c r="AF116" s="131">
        <f t="shared" si="18"/>
        <v>0</v>
      </c>
      <c r="AG116" s="131">
        <f t="shared" si="19"/>
        <v>0</v>
      </c>
      <c r="AH116" s="131">
        <f t="shared" si="20"/>
        <v>0</v>
      </c>
      <c r="AI116" s="131">
        <f t="shared" si="21"/>
        <v>0</v>
      </c>
      <c r="AJ116" s="131" t="e">
        <f t="shared" si="22"/>
        <v>#DIV/0!</v>
      </c>
      <c r="AK116" s="131">
        <f t="shared" si="23"/>
        <v>0</v>
      </c>
      <c r="AL116" s="131">
        <f t="shared" si="24"/>
        <v>0</v>
      </c>
      <c r="AM116" s="131">
        <v>0</v>
      </c>
      <c r="AN116" s="131">
        <f t="shared" si="25"/>
        <v>0</v>
      </c>
      <c r="AO116" s="131">
        <v>0</v>
      </c>
      <c r="AP116" s="131">
        <f t="shared" si="26"/>
        <v>0</v>
      </c>
      <c r="AQ116" s="131">
        <f t="shared" si="27"/>
        <v>0</v>
      </c>
      <c r="AR116" s="131">
        <v>0</v>
      </c>
    </row>
    <row r="117" spans="28:44">
      <c r="AB117" s="131">
        <f t="shared" si="14"/>
        <v>0</v>
      </c>
      <c r="AC117" s="131">
        <f t="shared" si="15"/>
        <v>0</v>
      </c>
      <c r="AD117" s="131">
        <f t="shared" si="16"/>
        <v>0</v>
      </c>
      <c r="AE117" s="131">
        <f t="shared" si="17"/>
        <v>0</v>
      </c>
      <c r="AF117" s="131">
        <f t="shared" si="18"/>
        <v>0</v>
      </c>
      <c r="AG117" s="131">
        <f t="shared" si="19"/>
        <v>0</v>
      </c>
      <c r="AH117" s="131">
        <f t="shared" si="20"/>
        <v>0</v>
      </c>
      <c r="AI117" s="131">
        <f t="shared" si="21"/>
        <v>0</v>
      </c>
      <c r="AJ117" s="131" t="e">
        <f t="shared" si="22"/>
        <v>#DIV/0!</v>
      </c>
      <c r="AK117" s="131">
        <f t="shared" si="23"/>
        <v>0</v>
      </c>
      <c r="AL117" s="131">
        <f t="shared" si="24"/>
        <v>0</v>
      </c>
      <c r="AM117" s="131">
        <v>0</v>
      </c>
      <c r="AN117" s="131">
        <f t="shared" si="25"/>
        <v>0</v>
      </c>
      <c r="AO117" s="131">
        <v>0</v>
      </c>
      <c r="AP117" s="131">
        <f t="shared" si="26"/>
        <v>0</v>
      </c>
      <c r="AQ117" s="131">
        <f t="shared" si="27"/>
        <v>0</v>
      </c>
      <c r="AR117" s="131">
        <v>0</v>
      </c>
    </row>
    <row r="118" spans="28:44">
      <c r="AB118" s="131">
        <f t="shared" si="14"/>
        <v>0</v>
      </c>
      <c r="AC118" s="131">
        <f t="shared" si="15"/>
        <v>0</v>
      </c>
      <c r="AD118" s="131">
        <f t="shared" si="16"/>
        <v>0</v>
      </c>
      <c r="AE118" s="131">
        <f t="shared" si="17"/>
        <v>0</v>
      </c>
      <c r="AF118" s="131">
        <f t="shared" si="18"/>
        <v>0</v>
      </c>
      <c r="AG118" s="131">
        <f t="shared" si="19"/>
        <v>0</v>
      </c>
      <c r="AH118" s="131">
        <f t="shared" si="20"/>
        <v>0</v>
      </c>
      <c r="AI118" s="131">
        <f t="shared" si="21"/>
        <v>0</v>
      </c>
      <c r="AJ118" s="131" t="e">
        <f t="shared" si="22"/>
        <v>#DIV/0!</v>
      </c>
      <c r="AK118" s="131">
        <f t="shared" si="23"/>
        <v>0</v>
      </c>
      <c r="AL118" s="131">
        <f t="shared" si="24"/>
        <v>0</v>
      </c>
      <c r="AM118" s="131">
        <v>0</v>
      </c>
      <c r="AN118" s="131">
        <f t="shared" si="25"/>
        <v>0</v>
      </c>
      <c r="AO118" s="131">
        <v>0</v>
      </c>
      <c r="AP118" s="131">
        <f t="shared" si="26"/>
        <v>0</v>
      </c>
      <c r="AQ118" s="131">
        <f t="shared" si="27"/>
        <v>0</v>
      </c>
      <c r="AR118" s="131">
        <v>0</v>
      </c>
    </row>
    <row r="119" spans="28:44">
      <c r="AB119" s="131">
        <f t="shared" si="14"/>
        <v>0</v>
      </c>
      <c r="AC119" s="131">
        <f t="shared" si="15"/>
        <v>0</v>
      </c>
      <c r="AD119" s="131">
        <f t="shared" si="16"/>
        <v>0</v>
      </c>
      <c r="AE119" s="131">
        <f t="shared" si="17"/>
        <v>0</v>
      </c>
      <c r="AF119" s="131">
        <f t="shared" si="18"/>
        <v>0</v>
      </c>
      <c r="AG119" s="131">
        <f t="shared" si="19"/>
        <v>0</v>
      </c>
      <c r="AH119" s="131">
        <f t="shared" si="20"/>
        <v>0</v>
      </c>
      <c r="AI119" s="131">
        <f t="shared" si="21"/>
        <v>0</v>
      </c>
      <c r="AJ119" s="131" t="e">
        <f t="shared" si="22"/>
        <v>#DIV/0!</v>
      </c>
      <c r="AK119" s="131">
        <f t="shared" si="23"/>
        <v>0</v>
      </c>
      <c r="AL119" s="131">
        <f t="shared" si="24"/>
        <v>0</v>
      </c>
      <c r="AM119" s="131">
        <v>0</v>
      </c>
      <c r="AN119" s="131">
        <f t="shared" si="25"/>
        <v>0</v>
      </c>
      <c r="AO119" s="131">
        <v>0</v>
      </c>
      <c r="AP119" s="131">
        <f t="shared" si="26"/>
        <v>0</v>
      </c>
      <c r="AQ119" s="131">
        <f t="shared" si="27"/>
        <v>0</v>
      </c>
      <c r="AR119" s="131">
        <v>0</v>
      </c>
    </row>
    <row r="120" spans="28:44">
      <c r="AB120" s="131">
        <f t="shared" si="14"/>
        <v>0</v>
      </c>
      <c r="AC120" s="131">
        <f t="shared" si="15"/>
        <v>0</v>
      </c>
      <c r="AD120" s="131">
        <f t="shared" si="16"/>
        <v>0</v>
      </c>
      <c r="AE120" s="131">
        <f t="shared" si="17"/>
        <v>0</v>
      </c>
      <c r="AF120" s="131">
        <f t="shared" si="18"/>
        <v>0</v>
      </c>
      <c r="AG120" s="131">
        <f t="shared" si="19"/>
        <v>0</v>
      </c>
      <c r="AH120" s="131">
        <f t="shared" si="20"/>
        <v>0</v>
      </c>
      <c r="AI120" s="131">
        <f t="shared" si="21"/>
        <v>0</v>
      </c>
      <c r="AJ120" s="131" t="e">
        <f t="shared" si="22"/>
        <v>#DIV/0!</v>
      </c>
      <c r="AK120" s="131">
        <f t="shared" si="23"/>
        <v>0</v>
      </c>
      <c r="AL120" s="131">
        <f t="shared" si="24"/>
        <v>0</v>
      </c>
      <c r="AM120" s="131">
        <v>0</v>
      </c>
      <c r="AN120" s="131">
        <f t="shared" si="25"/>
        <v>0</v>
      </c>
      <c r="AO120" s="131">
        <v>0</v>
      </c>
      <c r="AP120" s="131">
        <f t="shared" si="26"/>
        <v>0</v>
      </c>
      <c r="AQ120" s="131">
        <f t="shared" si="27"/>
        <v>0</v>
      </c>
      <c r="AR120" s="131">
        <v>0</v>
      </c>
    </row>
    <row r="121" spans="28:44">
      <c r="AB121" s="131">
        <f t="shared" si="14"/>
        <v>0</v>
      </c>
      <c r="AC121" s="131">
        <f t="shared" si="15"/>
        <v>0</v>
      </c>
      <c r="AD121" s="131">
        <f t="shared" si="16"/>
        <v>0</v>
      </c>
      <c r="AE121" s="131">
        <f t="shared" si="17"/>
        <v>0</v>
      </c>
      <c r="AF121" s="131">
        <f t="shared" si="18"/>
        <v>0</v>
      </c>
      <c r="AG121" s="131">
        <f t="shared" si="19"/>
        <v>0</v>
      </c>
      <c r="AH121" s="131">
        <f t="shared" si="20"/>
        <v>0</v>
      </c>
      <c r="AI121" s="131">
        <f t="shared" si="21"/>
        <v>0</v>
      </c>
      <c r="AJ121" s="131" t="e">
        <f t="shared" si="22"/>
        <v>#DIV/0!</v>
      </c>
      <c r="AK121" s="131">
        <f t="shared" si="23"/>
        <v>0</v>
      </c>
      <c r="AL121" s="131">
        <f t="shared" si="24"/>
        <v>0</v>
      </c>
      <c r="AM121" s="131">
        <v>0</v>
      </c>
      <c r="AN121" s="131">
        <f t="shared" si="25"/>
        <v>0</v>
      </c>
      <c r="AO121" s="131">
        <v>0</v>
      </c>
      <c r="AP121" s="131">
        <f t="shared" si="26"/>
        <v>0</v>
      </c>
      <c r="AQ121" s="131">
        <f t="shared" si="27"/>
        <v>0</v>
      </c>
      <c r="AR121" s="131">
        <v>0</v>
      </c>
    </row>
    <row r="122" spans="28:44">
      <c r="AB122" s="131">
        <f t="shared" si="14"/>
        <v>0</v>
      </c>
      <c r="AC122" s="131">
        <f t="shared" si="15"/>
        <v>0</v>
      </c>
      <c r="AD122" s="131">
        <f t="shared" si="16"/>
        <v>0</v>
      </c>
      <c r="AE122" s="131">
        <f t="shared" si="17"/>
        <v>0</v>
      </c>
      <c r="AF122" s="131">
        <f t="shared" si="18"/>
        <v>0</v>
      </c>
      <c r="AG122" s="131">
        <f t="shared" si="19"/>
        <v>0</v>
      </c>
      <c r="AH122" s="131">
        <f t="shared" si="20"/>
        <v>0</v>
      </c>
      <c r="AI122" s="131">
        <f t="shared" si="21"/>
        <v>0</v>
      </c>
      <c r="AJ122" s="131" t="e">
        <f t="shared" si="22"/>
        <v>#DIV/0!</v>
      </c>
      <c r="AK122" s="131">
        <f t="shared" si="23"/>
        <v>0</v>
      </c>
      <c r="AL122" s="131">
        <f t="shared" si="24"/>
        <v>0</v>
      </c>
      <c r="AM122" s="131">
        <v>0</v>
      </c>
      <c r="AN122" s="131">
        <f t="shared" si="25"/>
        <v>0</v>
      </c>
      <c r="AO122" s="131">
        <v>0</v>
      </c>
      <c r="AP122" s="131">
        <f t="shared" si="26"/>
        <v>0</v>
      </c>
      <c r="AQ122" s="131">
        <f t="shared" si="27"/>
        <v>0</v>
      </c>
      <c r="AR122" s="131">
        <v>0</v>
      </c>
    </row>
    <row r="123" spans="28:44">
      <c r="AB123" s="131">
        <f t="shared" si="14"/>
        <v>0</v>
      </c>
      <c r="AC123" s="131">
        <f t="shared" si="15"/>
        <v>0</v>
      </c>
      <c r="AD123" s="131">
        <f t="shared" si="16"/>
        <v>0</v>
      </c>
      <c r="AE123" s="131">
        <f t="shared" si="17"/>
        <v>0</v>
      </c>
      <c r="AF123" s="131">
        <f t="shared" si="18"/>
        <v>0</v>
      </c>
      <c r="AG123" s="131">
        <f t="shared" si="19"/>
        <v>0</v>
      </c>
      <c r="AH123" s="131">
        <f t="shared" si="20"/>
        <v>0</v>
      </c>
      <c r="AI123" s="131">
        <f t="shared" si="21"/>
        <v>0</v>
      </c>
      <c r="AJ123" s="131" t="e">
        <f t="shared" si="22"/>
        <v>#DIV/0!</v>
      </c>
      <c r="AK123" s="131">
        <f t="shared" si="23"/>
        <v>0</v>
      </c>
      <c r="AL123" s="131">
        <f t="shared" si="24"/>
        <v>0</v>
      </c>
      <c r="AM123" s="131">
        <v>0</v>
      </c>
      <c r="AN123" s="131">
        <f t="shared" si="25"/>
        <v>0</v>
      </c>
      <c r="AO123" s="131">
        <v>0</v>
      </c>
      <c r="AP123" s="131">
        <f t="shared" si="26"/>
        <v>0</v>
      </c>
      <c r="AQ123" s="131">
        <f t="shared" si="27"/>
        <v>0</v>
      </c>
      <c r="AR123" s="131">
        <v>0</v>
      </c>
    </row>
    <row r="124" spans="28:44">
      <c r="AB124" s="131">
        <f t="shared" si="14"/>
        <v>0</v>
      </c>
      <c r="AC124" s="131">
        <f t="shared" si="15"/>
        <v>0</v>
      </c>
      <c r="AD124" s="131">
        <f t="shared" si="16"/>
        <v>0</v>
      </c>
      <c r="AE124" s="131">
        <f t="shared" si="17"/>
        <v>0</v>
      </c>
      <c r="AF124" s="131">
        <f t="shared" si="18"/>
        <v>0</v>
      </c>
      <c r="AG124" s="131">
        <f t="shared" si="19"/>
        <v>0</v>
      </c>
      <c r="AH124" s="131">
        <f t="shared" si="20"/>
        <v>0</v>
      </c>
      <c r="AI124" s="131">
        <f t="shared" si="21"/>
        <v>0</v>
      </c>
      <c r="AJ124" s="131" t="e">
        <f t="shared" si="22"/>
        <v>#DIV/0!</v>
      </c>
      <c r="AK124" s="131">
        <f t="shared" si="23"/>
        <v>0</v>
      </c>
      <c r="AL124" s="131">
        <f t="shared" si="24"/>
        <v>0</v>
      </c>
      <c r="AM124" s="131">
        <v>0</v>
      </c>
      <c r="AN124" s="131">
        <f t="shared" si="25"/>
        <v>0</v>
      </c>
      <c r="AO124" s="131">
        <v>0</v>
      </c>
      <c r="AP124" s="131">
        <f t="shared" si="26"/>
        <v>0</v>
      </c>
      <c r="AQ124" s="131">
        <f t="shared" si="27"/>
        <v>0</v>
      </c>
      <c r="AR124" s="131">
        <v>0</v>
      </c>
    </row>
    <row r="125" spans="28:44">
      <c r="AB125" s="131">
        <f t="shared" si="14"/>
        <v>0</v>
      </c>
      <c r="AC125" s="131">
        <f t="shared" si="15"/>
        <v>0</v>
      </c>
      <c r="AD125" s="131">
        <f t="shared" si="16"/>
        <v>0</v>
      </c>
      <c r="AE125" s="131">
        <f t="shared" si="17"/>
        <v>0</v>
      </c>
      <c r="AF125" s="131">
        <f t="shared" si="18"/>
        <v>0</v>
      </c>
      <c r="AG125" s="131">
        <f t="shared" si="19"/>
        <v>0</v>
      </c>
      <c r="AH125" s="131">
        <f t="shared" si="20"/>
        <v>0</v>
      </c>
      <c r="AI125" s="131">
        <f t="shared" si="21"/>
        <v>0</v>
      </c>
      <c r="AJ125" s="131" t="e">
        <f t="shared" si="22"/>
        <v>#DIV/0!</v>
      </c>
      <c r="AK125" s="131">
        <f t="shared" si="23"/>
        <v>0</v>
      </c>
      <c r="AL125" s="131">
        <f t="shared" si="24"/>
        <v>0</v>
      </c>
      <c r="AM125" s="131">
        <v>0</v>
      </c>
      <c r="AN125" s="131">
        <f t="shared" si="25"/>
        <v>0</v>
      </c>
      <c r="AO125" s="131">
        <v>0</v>
      </c>
      <c r="AP125" s="131">
        <f t="shared" si="26"/>
        <v>0</v>
      </c>
      <c r="AQ125" s="131">
        <f t="shared" si="27"/>
        <v>0</v>
      </c>
      <c r="AR125" s="131">
        <v>0</v>
      </c>
    </row>
    <row r="126" spans="28:44">
      <c r="AB126" s="131">
        <f t="shared" si="14"/>
        <v>0</v>
      </c>
      <c r="AC126" s="131">
        <f t="shared" si="15"/>
        <v>0</v>
      </c>
      <c r="AD126" s="131">
        <f t="shared" si="16"/>
        <v>0</v>
      </c>
      <c r="AE126" s="131">
        <f t="shared" si="17"/>
        <v>0</v>
      </c>
      <c r="AF126" s="131">
        <f t="shared" si="18"/>
        <v>0</v>
      </c>
      <c r="AG126" s="131">
        <f t="shared" si="19"/>
        <v>0</v>
      </c>
      <c r="AH126" s="131">
        <f t="shared" si="20"/>
        <v>0</v>
      </c>
      <c r="AI126" s="131">
        <f t="shared" si="21"/>
        <v>0</v>
      </c>
      <c r="AJ126" s="131" t="e">
        <f t="shared" si="22"/>
        <v>#DIV/0!</v>
      </c>
      <c r="AK126" s="131">
        <f t="shared" si="23"/>
        <v>0</v>
      </c>
      <c r="AL126" s="131">
        <f t="shared" si="24"/>
        <v>0</v>
      </c>
      <c r="AM126" s="131">
        <v>0</v>
      </c>
      <c r="AN126" s="131">
        <f t="shared" si="25"/>
        <v>0</v>
      </c>
      <c r="AO126" s="131">
        <v>0</v>
      </c>
      <c r="AP126" s="131">
        <f t="shared" si="26"/>
        <v>0</v>
      </c>
      <c r="AQ126" s="131">
        <f t="shared" si="27"/>
        <v>0</v>
      </c>
      <c r="AR126" s="131">
        <v>0</v>
      </c>
    </row>
    <row r="127" spans="28:44">
      <c r="AB127" s="131">
        <f t="shared" si="14"/>
        <v>0</v>
      </c>
      <c r="AC127" s="131">
        <f t="shared" si="15"/>
        <v>0</v>
      </c>
      <c r="AD127" s="131">
        <f t="shared" si="16"/>
        <v>0</v>
      </c>
      <c r="AE127" s="131">
        <f t="shared" si="17"/>
        <v>0</v>
      </c>
      <c r="AF127" s="131">
        <f t="shared" si="18"/>
        <v>0</v>
      </c>
      <c r="AG127" s="131">
        <f t="shared" si="19"/>
        <v>0</v>
      </c>
      <c r="AH127" s="131">
        <f t="shared" si="20"/>
        <v>0</v>
      </c>
      <c r="AI127" s="131">
        <f t="shared" si="21"/>
        <v>0</v>
      </c>
      <c r="AJ127" s="131" t="e">
        <f t="shared" si="22"/>
        <v>#DIV/0!</v>
      </c>
      <c r="AK127" s="131">
        <f t="shared" si="23"/>
        <v>0</v>
      </c>
      <c r="AL127" s="131">
        <f t="shared" si="24"/>
        <v>0</v>
      </c>
      <c r="AM127" s="131">
        <v>0</v>
      </c>
      <c r="AN127" s="131">
        <f t="shared" si="25"/>
        <v>0</v>
      </c>
      <c r="AO127" s="131">
        <v>0</v>
      </c>
      <c r="AP127" s="131">
        <f t="shared" si="26"/>
        <v>0</v>
      </c>
      <c r="AQ127" s="131">
        <f t="shared" si="27"/>
        <v>0</v>
      </c>
      <c r="AR127" s="131">
        <v>0</v>
      </c>
    </row>
    <row r="128" spans="28:44">
      <c r="AB128" s="131">
        <f t="shared" si="14"/>
        <v>0</v>
      </c>
      <c r="AC128" s="131">
        <f t="shared" si="15"/>
        <v>0</v>
      </c>
      <c r="AD128" s="131">
        <f t="shared" si="16"/>
        <v>0</v>
      </c>
      <c r="AE128" s="131">
        <f t="shared" si="17"/>
        <v>0</v>
      </c>
      <c r="AF128" s="131">
        <f t="shared" si="18"/>
        <v>0</v>
      </c>
      <c r="AG128" s="131">
        <f t="shared" si="19"/>
        <v>0</v>
      </c>
      <c r="AH128" s="131">
        <f t="shared" si="20"/>
        <v>0</v>
      </c>
      <c r="AI128" s="131">
        <f t="shared" si="21"/>
        <v>0</v>
      </c>
      <c r="AJ128" s="131" t="e">
        <f t="shared" si="22"/>
        <v>#DIV/0!</v>
      </c>
      <c r="AK128" s="131">
        <f t="shared" si="23"/>
        <v>0</v>
      </c>
      <c r="AL128" s="131">
        <f t="shared" si="24"/>
        <v>0</v>
      </c>
      <c r="AM128" s="131">
        <v>0</v>
      </c>
      <c r="AN128" s="131">
        <f t="shared" si="25"/>
        <v>0</v>
      </c>
      <c r="AO128" s="131">
        <v>0</v>
      </c>
      <c r="AP128" s="131">
        <f t="shared" si="26"/>
        <v>0</v>
      </c>
      <c r="AQ128" s="131">
        <f t="shared" si="27"/>
        <v>0</v>
      </c>
      <c r="AR128" s="131">
        <v>0</v>
      </c>
    </row>
    <row r="129" spans="28:44">
      <c r="AB129" s="131">
        <f t="shared" si="14"/>
        <v>0</v>
      </c>
      <c r="AC129" s="131">
        <f t="shared" si="15"/>
        <v>0</v>
      </c>
      <c r="AD129" s="131">
        <f t="shared" si="16"/>
        <v>0</v>
      </c>
      <c r="AE129" s="131">
        <f t="shared" si="17"/>
        <v>0</v>
      </c>
      <c r="AF129" s="131">
        <f t="shared" si="18"/>
        <v>0</v>
      </c>
      <c r="AG129" s="131">
        <f t="shared" si="19"/>
        <v>0</v>
      </c>
      <c r="AH129" s="131">
        <f t="shared" si="20"/>
        <v>0</v>
      </c>
      <c r="AI129" s="131">
        <f t="shared" si="21"/>
        <v>0</v>
      </c>
      <c r="AJ129" s="131" t="e">
        <f t="shared" si="22"/>
        <v>#DIV/0!</v>
      </c>
      <c r="AK129" s="131">
        <f t="shared" si="23"/>
        <v>0</v>
      </c>
      <c r="AL129" s="131">
        <f t="shared" si="24"/>
        <v>0</v>
      </c>
      <c r="AM129" s="131">
        <v>0</v>
      </c>
      <c r="AN129" s="131">
        <f t="shared" si="25"/>
        <v>0</v>
      </c>
      <c r="AO129" s="131">
        <v>0</v>
      </c>
      <c r="AP129" s="131">
        <f t="shared" si="26"/>
        <v>0</v>
      </c>
      <c r="AQ129" s="131">
        <f t="shared" si="27"/>
        <v>0</v>
      </c>
      <c r="AR129" s="131">
        <v>0</v>
      </c>
    </row>
    <row r="130" spans="28:44">
      <c r="AB130" s="131">
        <f t="shared" si="14"/>
        <v>0</v>
      </c>
      <c r="AC130" s="131">
        <f t="shared" si="15"/>
        <v>0</v>
      </c>
      <c r="AD130" s="131">
        <f t="shared" si="16"/>
        <v>0</v>
      </c>
      <c r="AE130" s="131">
        <f t="shared" si="17"/>
        <v>0</v>
      </c>
      <c r="AF130" s="131">
        <f t="shared" si="18"/>
        <v>0</v>
      </c>
      <c r="AG130" s="131">
        <f t="shared" si="19"/>
        <v>0</v>
      </c>
      <c r="AH130" s="131">
        <f t="shared" si="20"/>
        <v>0</v>
      </c>
      <c r="AI130" s="131">
        <f t="shared" si="21"/>
        <v>0</v>
      </c>
      <c r="AJ130" s="131" t="e">
        <f t="shared" si="22"/>
        <v>#DIV/0!</v>
      </c>
      <c r="AK130" s="131">
        <f t="shared" si="23"/>
        <v>0</v>
      </c>
      <c r="AL130" s="131">
        <f t="shared" si="24"/>
        <v>0</v>
      </c>
      <c r="AM130" s="131">
        <v>0</v>
      </c>
      <c r="AN130" s="131">
        <f t="shared" si="25"/>
        <v>0</v>
      </c>
      <c r="AO130" s="131">
        <v>0</v>
      </c>
      <c r="AP130" s="131">
        <f t="shared" si="26"/>
        <v>0</v>
      </c>
      <c r="AQ130" s="131">
        <f t="shared" si="27"/>
        <v>0</v>
      </c>
      <c r="AR130" s="131">
        <v>0</v>
      </c>
    </row>
    <row r="131" spans="28:44">
      <c r="AB131" s="131">
        <f t="shared" ref="AB131:AB194" si="28">+A131</f>
        <v>0</v>
      </c>
      <c r="AC131" s="131">
        <f t="shared" ref="AC131:AC194" si="29">+B131</f>
        <v>0</v>
      </c>
      <c r="AD131" s="131">
        <f t="shared" ref="AD131:AD194" si="30">+C131</f>
        <v>0</v>
      </c>
      <c r="AE131" s="131">
        <f t="shared" ref="AE131:AE194" si="31">+E131</f>
        <v>0</v>
      </c>
      <c r="AF131" s="131">
        <f t="shared" ref="AF131:AF194" si="32">+K131</f>
        <v>0</v>
      </c>
      <c r="AG131" s="131">
        <f t="shared" ref="AG131:AG194" si="33">+L131</f>
        <v>0</v>
      </c>
      <c r="AH131" s="131">
        <f t="shared" ref="AH131:AH194" si="34">+Q131</f>
        <v>0</v>
      </c>
      <c r="AI131" s="131">
        <f t="shared" ref="AI131:AI194" si="35">+N131</f>
        <v>0</v>
      </c>
      <c r="AJ131" s="131" t="e">
        <f t="shared" ref="AJ131:AJ194" si="36">+AI131/AF131*100</f>
        <v>#DIV/0!</v>
      </c>
      <c r="AK131" s="131">
        <f t="shared" ref="AK131:AK194" si="37">+O131</f>
        <v>0</v>
      </c>
      <c r="AL131" s="131">
        <f t="shared" ref="AL131:AL194" si="38">+P131</f>
        <v>0</v>
      </c>
      <c r="AM131" s="131">
        <v>0</v>
      </c>
      <c r="AN131" s="131">
        <f t="shared" ref="AN131:AN194" si="39">+M131</f>
        <v>0</v>
      </c>
      <c r="AO131" s="131">
        <v>0</v>
      </c>
      <c r="AP131" s="131">
        <f t="shared" ref="AP131:AP194" si="40">+R131</f>
        <v>0</v>
      </c>
      <c r="AQ131" s="131">
        <f t="shared" ref="AQ131:AQ194" si="41">+AE131+AF131+AH131-AI131-AK131-AM131-AP131</f>
        <v>0</v>
      </c>
      <c r="AR131" s="131">
        <v>0</v>
      </c>
    </row>
    <row r="132" spans="28:44">
      <c r="AB132" s="131">
        <f t="shared" si="28"/>
        <v>0</v>
      </c>
      <c r="AC132" s="131">
        <f t="shared" si="29"/>
        <v>0</v>
      </c>
      <c r="AD132" s="131">
        <f t="shared" si="30"/>
        <v>0</v>
      </c>
      <c r="AE132" s="131">
        <f t="shared" si="31"/>
        <v>0</v>
      </c>
      <c r="AF132" s="131">
        <f t="shared" si="32"/>
        <v>0</v>
      </c>
      <c r="AG132" s="131">
        <f t="shared" si="33"/>
        <v>0</v>
      </c>
      <c r="AH132" s="131">
        <f t="shared" si="34"/>
        <v>0</v>
      </c>
      <c r="AI132" s="131">
        <f t="shared" si="35"/>
        <v>0</v>
      </c>
      <c r="AJ132" s="131" t="e">
        <f t="shared" si="36"/>
        <v>#DIV/0!</v>
      </c>
      <c r="AK132" s="131">
        <f t="shared" si="37"/>
        <v>0</v>
      </c>
      <c r="AL132" s="131">
        <f t="shared" si="38"/>
        <v>0</v>
      </c>
      <c r="AM132" s="131">
        <v>0</v>
      </c>
      <c r="AN132" s="131">
        <f t="shared" si="39"/>
        <v>0</v>
      </c>
      <c r="AO132" s="131">
        <v>0</v>
      </c>
      <c r="AP132" s="131">
        <f t="shared" si="40"/>
        <v>0</v>
      </c>
      <c r="AQ132" s="131">
        <f t="shared" si="41"/>
        <v>0</v>
      </c>
      <c r="AR132" s="131">
        <v>0</v>
      </c>
    </row>
    <row r="133" spans="28:44">
      <c r="AB133" s="131">
        <f t="shared" si="28"/>
        <v>0</v>
      </c>
      <c r="AC133" s="131">
        <f t="shared" si="29"/>
        <v>0</v>
      </c>
      <c r="AD133" s="131">
        <f t="shared" si="30"/>
        <v>0</v>
      </c>
      <c r="AE133" s="131">
        <f t="shared" si="31"/>
        <v>0</v>
      </c>
      <c r="AF133" s="131">
        <f t="shared" si="32"/>
        <v>0</v>
      </c>
      <c r="AG133" s="131">
        <f t="shared" si="33"/>
        <v>0</v>
      </c>
      <c r="AH133" s="131">
        <f t="shared" si="34"/>
        <v>0</v>
      </c>
      <c r="AI133" s="131">
        <f t="shared" si="35"/>
        <v>0</v>
      </c>
      <c r="AJ133" s="131" t="e">
        <f t="shared" si="36"/>
        <v>#DIV/0!</v>
      </c>
      <c r="AK133" s="131">
        <f t="shared" si="37"/>
        <v>0</v>
      </c>
      <c r="AL133" s="131">
        <f t="shared" si="38"/>
        <v>0</v>
      </c>
      <c r="AM133" s="131">
        <v>0</v>
      </c>
      <c r="AN133" s="131">
        <f t="shared" si="39"/>
        <v>0</v>
      </c>
      <c r="AO133" s="131">
        <v>0</v>
      </c>
      <c r="AP133" s="131">
        <f t="shared" si="40"/>
        <v>0</v>
      </c>
      <c r="AQ133" s="131">
        <f t="shared" si="41"/>
        <v>0</v>
      </c>
      <c r="AR133" s="131">
        <v>0</v>
      </c>
    </row>
    <row r="134" spans="28:44">
      <c r="AB134" s="131">
        <f t="shared" si="28"/>
        <v>0</v>
      </c>
      <c r="AC134" s="131">
        <f t="shared" si="29"/>
        <v>0</v>
      </c>
      <c r="AD134" s="131">
        <f t="shared" si="30"/>
        <v>0</v>
      </c>
      <c r="AE134" s="131">
        <f t="shared" si="31"/>
        <v>0</v>
      </c>
      <c r="AF134" s="131">
        <f t="shared" si="32"/>
        <v>0</v>
      </c>
      <c r="AG134" s="131">
        <f t="shared" si="33"/>
        <v>0</v>
      </c>
      <c r="AH134" s="131">
        <f t="shared" si="34"/>
        <v>0</v>
      </c>
      <c r="AI134" s="131">
        <f t="shared" si="35"/>
        <v>0</v>
      </c>
      <c r="AJ134" s="131" t="e">
        <f t="shared" si="36"/>
        <v>#DIV/0!</v>
      </c>
      <c r="AK134" s="131">
        <f t="shared" si="37"/>
        <v>0</v>
      </c>
      <c r="AL134" s="131">
        <f t="shared" si="38"/>
        <v>0</v>
      </c>
      <c r="AM134" s="131">
        <v>0</v>
      </c>
      <c r="AN134" s="131">
        <f t="shared" si="39"/>
        <v>0</v>
      </c>
      <c r="AO134" s="131">
        <v>0</v>
      </c>
      <c r="AP134" s="131">
        <f t="shared" si="40"/>
        <v>0</v>
      </c>
      <c r="AQ134" s="131">
        <f t="shared" si="41"/>
        <v>0</v>
      </c>
      <c r="AR134" s="131">
        <v>0</v>
      </c>
    </row>
    <row r="135" spans="28:44">
      <c r="AB135" s="131">
        <f t="shared" si="28"/>
        <v>0</v>
      </c>
      <c r="AC135" s="131">
        <f t="shared" si="29"/>
        <v>0</v>
      </c>
      <c r="AD135" s="131">
        <f t="shared" si="30"/>
        <v>0</v>
      </c>
      <c r="AE135" s="131">
        <f t="shared" si="31"/>
        <v>0</v>
      </c>
      <c r="AF135" s="131">
        <f t="shared" si="32"/>
        <v>0</v>
      </c>
      <c r="AG135" s="131">
        <f t="shared" si="33"/>
        <v>0</v>
      </c>
      <c r="AH135" s="131">
        <f t="shared" si="34"/>
        <v>0</v>
      </c>
      <c r="AI135" s="131">
        <f t="shared" si="35"/>
        <v>0</v>
      </c>
      <c r="AJ135" s="131" t="e">
        <f t="shared" si="36"/>
        <v>#DIV/0!</v>
      </c>
      <c r="AK135" s="131">
        <f t="shared" si="37"/>
        <v>0</v>
      </c>
      <c r="AL135" s="131">
        <f t="shared" si="38"/>
        <v>0</v>
      </c>
      <c r="AM135" s="131">
        <v>0</v>
      </c>
      <c r="AN135" s="131">
        <f t="shared" si="39"/>
        <v>0</v>
      </c>
      <c r="AO135" s="131">
        <v>0</v>
      </c>
      <c r="AP135" s="131">
        <f t="shared" si="40"/>
        <v>0</v>
      </c>
      <c r="AQ135" s="131">
        <f t="shared" si="41"/>
        <v>0</v>
      </c>
      <c r="AR135" s="131">
        <v>0</v>
      </c>
    </row>
    <row r="136" spans="28:44">
      <c r="AB136" s="131">
        <f t="shared" si="28"/>
        <v>0</v>
      </c>
      <c r="AC136" s="131">
        <f t="shared" si="29"/>
        <v>0</v>
      </c>
      <c r="AD136" s="131">
        <f t="shared" si="30"/>
        <v>0</v>
      </c>
      <c r="AE136" s="131">
        <f t="shared" si="31"/>
        <v>0</v>
      </c>
      <c r="AF136" s="131">
        <f t="shared" si="32"/>
        <v>0</v>
      </c>
      <c r="AG136" s="131">
        <f t="shared" si="33"/>
        <v>0</v>
      </c>
      <c r="AH136" s="131">
        <f t="shared" si="34"/>
        <v>0</v>
      </c>
      <c r="AI136" s="131">
        <f t="shared" si="35"/>
        <v>0</v>
      </c>
      <c r="AJ136" s="131" t="e">
        <f t="shared" si="36"/>
        <v>#DIV/0!</v>
      </c>
      <c r="AK136" s="131">
        <f t="shared" si="37"/>
        <v>0</v>
      </c>
      <c r="AL136" s="131">
        <f t="shared" si="38"/>
        <v>0</v>
      </c>
      <c r="AM136" s="131">
        <v>0</v>
      </c>
      <c r="AN136" s="131">
        <f t="shared" si="39"/>
        <v>0</v>
      </c>
      <c r="AO136" s="131">
        <v>0</v>
      </c>
      <c r="AP136" s="131">
        <f t="shared" si="40"/>
        <v>0</v>
      </c>
      <c r="AQ136" s="131">
        <f t="shared" si="41"/>
        <v>0</v>
      </c>
      <c r="AR136" s="131">
        <v>0</v>
      </c>
    </row>
    <row r="137" spans="28:44">
      <c r="AB137" s="131">
        <f t="shared" si="28"/>
        <v>0</v>
      </c>
      <c r="AC137" s="131">
        <f t="shared" si="29"/>
        <v>0</v>
      </c>
      <c r="AD137" s="131">
        <f t="shared" si="30"/>
        <v>0</v>
      </c>
      <c r="AE137" s="131">
        <f t="shared" si="31"/>
        <v>0</v>
      </c>
      <c r="AF137" s="131">
        <f t="shared" si="32"/>
        <v>0</v>
      </c>
      <c r="AG137" s="131">
        <f t="shared" si="33"/>
        <v>0</v>
      </c>
      <c r="AH137" s="131">
        <f t="shared" si="34"/>
        <v>0</v>
      </c>
      <c r="AI137" s="131">
        <f t="shared" si="35"/>
        <v>0</v>
      </c>
      <c r="AJ137" s="131" t="e">
        <f t="shared" si="36"/>
        <v>#DIV/0!</v>
      </c>
      <c r="AK137" s="131">
        <f t="shared" si="37"/>
        <v>0</v>
      </c>
      <c r="AL137" s="131">
        <f t="shared" si="38"/>
        <v>0</v>
      </c>
      <c r="AM137" s="131">
        <v>0</v>
      </c>
      <c r="AN137" s="131">
        <f t="shared" si="39"/>
        <v>0</v>
      </c>
      <c r="AO137" s="131">
        <v>0</v>
      </c>
      <c r="AP137" s="131">
        <f t="shared" si="40"/>
        <v>0</v>
      </c>
      <c r="AQ137" s="131">
        <f t="shared" si="41"/>
        <v>0</v>
      </c>
      <c r="AR137" s="131">
        <v>0</v>
      </c>
    </row>
    <row r="138" spans="28:44">
      <c r="AB138" s="131">
        <f t="shared" si="28"/>
        <v>0</v>
      </c>
      <c r="AC138" s="131">
        <f t="shared" si="29"/>
        <v>0</v>
      </c>
      <c r="AD138" s="131">
        <f t="shared" si="30"/>
        <v>0</v>
      </c>
      <c r="AE138" s="131">
        <f t="shared" si="31"/>
        <v>0</v>
      </c>
      <c r="AF138" s="131">
        <f t="shared" si="32"/>
        <v>0</v>
      </c>
      <c r="AG138" s="131">
        <f t="shared" si="33"/>
        <v>0</v>
      </c>
      <c r="AH138" s="131">
        <f t="shared" si="34"/>
        <v>0</v>
      </c>
      <c r="AI138" s="131">
        <f t="shared" si="35"/>
        <v>0</v>
      </c>
      <c r="AJ138" s="131" t="e">
        <f t="shared" si="36"/>
        <v>#DIV/0!</v>
      </c>
      <c r="AK138" s="131">
        <f t="shared" si="37"/>
        <v>0</v>
      </c>
      <c r="AL138" s="131">
        <f t="shared" si="38"/>
        <v>0</v>
      </c>
      <c r="AM138" s="131">
        <v>0</v>
      </c>
      <c r="AN138" s="131">
        <f t="shared" si="39"/>
        <v>0</v>
      </c>
      <c r="AO138" s="131">
        <v>0</v>
      </c>
      <c r="AP138" s="131">
        <f t="shared" si="40"/>
        <v>0</v>
      </c>
      <c r="AQ138" s="131">
        <f t="shared" si="41"/>
        <v>0</v>
      </c>
      <c r="AR138" s="131">
        <v>0</v>
      </c>
    </row>
    <row r="139" spans="28:44">
      <c r="AB139" s="131">
        <f t="shared" si="28"/>
        <v>0</v>
      </c>
      <c r="AC139" s="131">
        <f t="shared" si="29"/>
        <v>0</v>
      </c>
      <c r="AD139" s="131">
        <f t="shared" si="30"/>
        <v>0</v>
      </c>
      <c r="AE139" s="131">
        <f t="shared" si="31"/>
        <v>0</v>
      </c>
      <c r="AF139" s="131">
        <f t="shared" si="32"/>
        <v>0</v>
      </c>
      <c r="AG139" s="131">
        <f t="shared" si="33"/>
        <v>0</v>
      </c>
      <c r="AH139" s="131">
        <f t="shared" si="34"/>
        <v>0</v>
      </c>
      <c r="AI139" s="131">
        <f t="shared" si="35"/>
        <v>0</v>
      </c>
      <c r="AJ139" s="131" t="e">
        <f t="shared" si="36"/>
        <v>#DIV/0!</v>
      </c>
      <c r="AK139" s="131">
        <f t="shared" si="37"/>
        <v>0</v>
      </c>
      <c r="AL139" s="131">
        <f t="shared" si="38"/>
        <v>0</v>
      </c>
      <c r="AM139" s="131">
        <v>0</v>
      </c>
      <c r="AN139" s="131">
        <f t="shared" si="39"/>
        <v>0</v>
      </c>
      <c r="AO139" s="131">
        <v>0</v>
      </c>
      <c r="AP139" s="131">
        <f t="shared" si="40"/>
        <v>0</v>
      </c>
      <c r="AQ139" s="131">
        <f t="shared" si="41"/>
        <v>0</v>
      </c>
      <c r="AR139" s="131">
        <v>0</v>
      </c>
    </row>
    <row r="140" spans="28:44">
      <c r="AB140" s="131">
        <f t="shared" si="28"/>
        <v>0</v>
      </c>
      <c r="AC140" s="131">
        <f t="shared" si="29"/>
        <v>0</v>
      </c>
      <c r="AD140" s="131">
        <f t="shared" si="30"/>
        <v>0</v>
      </c>
      <c r="AE140" s="131">
        <f t="shared" si="31"/>
        <v>0</v>
      </c>
      <c r="AF140" s="131">
        <f t="shared" si="32"/>
        <v>0</v>
      </c>
      <c r="AG140" s="131">
        <f t="shared" si="33"/>
        <v>0</v>
      </c>
      <c r="AH140" s="131">
        <f t="shared" si="34"/>
        <v>0</v>
      </c>
      <c r="AI140" s="131">
        <f t="shared" si="35"/>
        <v>0</v>
      </c>
      <c r="AJ140" s="131" t="e">
        <f t="shared" si="36"/>
        <v>#DIV/0!</v>
      </c>
      <c r="AK140" s="131">
        <f t="shared" si="37"/>
        <v>0</v>
      </c>
      <c r="AL140" s="131">
        <f t="shared" si="38"/>
        <v>0</v>
      </c>
      <c r="AM140" s="131">
        <v>0</v>
      </c>
      <c r="AN140" s="131">
        <f t="shared" si="39"/>
        <v>0</v>
      </c>
      <c r="AO140" s="131">
        <v>0</v>
      </c>
      <c r="AP140" s="131">
        <f t="shared" si="40"/>
        <v>0</v>
      </c>
      <c r="AQ140" s="131">
        <f t="shared" si="41"/>
        <v>0</v>
      </c>
      <c r="AR140" s="131">
        <v>0</v>
      </c>
    </row>
    <row r="141" spans="28:44">
      <c r="AB141" s="131">
        <f t="shared" si="28"/>
        <v>0</v>
      </c>
      <c r="AC141" s="131">
        <f t="shared" si="29"/>
        <v>0</v>
      </c>
      <c r="AD141" s="131">
        <f t="shared" si="30"/>
        <v>0</v>
      </c>
      <c r="AE141" s="131">
        <f t="shared" si="31"/>
        <v>0</v>
      </c>
      <c r="AF141" s="131">
        <f t="shared" si="32"/>
        <v>0</v>
      </c>
      <c r="AG141" s="131">
        <f t="shared" si="33"/>
        <v>0</v>
      </c>
      <c r="AH141" s="131">
        <f t="shared" si="34"/>
        <v>0</v>
      </c>
      <c r="AI141" s="131">
        <f t="shared" si="35"/>
        <v>0</v>
      </c>
      <c r="AJ141" s="131" t="e">
        <f t="shared" si="36"/>
        <v>#DIV/0!</v>
      </c>
      <c r="AK141" s="131">
        <f t="shared" si="37"/>
        <v>0</v>
      </c>
      <c r="AL141" s="131">
        <f t="shared" si="38"/>
        <v>0</v>
      </c>
      <c r="AM141" s="131">
        <v>0</v>
      </c>
      <c r="AN141" s="131">
        <f t="shared" si="39"/>
        <v>0</v>
      </c>
      <c r="AO141" s="131">
        <v>0</v>
      </c>
      <c r="AP141" s="131">
        <f t="shared" si="40"/>
        <v>0</v>
      </c>
      <c r="AQ141" s="131">
        <f t="shared" si="41"/>
        <v>0</v>
      </c>
      <c r="AR141" s="131">
        <v>0</v>
      </c>
    </row>
    <row r="142" spans="28:44">
      <c r="AB142" s="131">
        <f t="shared" si="28"/>
        <v>0</v>
      </c>
      <c r="AC142" s="131">
        <f t="shared" si="29"/>
        <v>0</v>
      </c>
      <c r="AD142" s="131">
        <f t="shared" si="30"/>
        <v>0</v>
      </c>
      <c r="AE142" s="131">
        <f t="shared" si="31"/>
        <v>0</v>
      </c>
      <c r="AF142" s="131">
        <f t="shared" si="32"/>
        <v>0</v>
      </c>
      <c r="AG142" s="131">
        <f t="shared" si="33"/>
        <v>0</v>
      </c>
      <c r="AH142" s="131">
        <f t="shared" si="34"/>
        <v>0</v>
      </c>
      <c r="AI142" s="131">
        <f t="shared" si="35"/>
        <v>0</v>
      </c>
      <c r="AJ142" s="131" t="e">
        <f t="shared" si="36"/>
        <v>#DIV/0!</v>
      </c>
      <c r="AK142" s="131">
        <f t="shared" si="37"/>
        <v>0</v>
      </c>
      <c r="AL142" s="131">
        <f t="shared" si="38"/>
        <v>0</v>
      </c>
      <c r="AM142" s="131">
        <v>0</v>
      </c>
      <c r="AN142" s="131">
        <f t="shared" si="39"/>
        <v>0</v>
      </c>
      <c r="AO142" s="131">
        <v>0</v>
      </c>
      <c r="AP142" s="131">
        <f t="shared" si="40"/>
        <v>0</v>
      </c>
      <c r="AQ142" s="131">
        <f t="shared" si="41"/>
        <v>0</v>
      </c>
      <c r="AR142" s="131">
        <v>0</v>
      </c>
    </row>
    <row r="143" spans="28:44">
      <c r="AB143" s="131">
        <f t="shared" si="28"/>
        <v>0</v>
      </c>
      <c r="AC143" s="131">
        <f t="shared" si="29"/>
        <v>0</v>
      </c>
      <c r="AD143" s="131">
        <f t="shared" si="30"/>
        <v>0</v>
      </c>
      <c r="AE143" s="131">
        <f t="shared" si="31"/>
        <v>0</v>
      </c>
      <c r="AF143" s="131">
        <f t="shared" si="32"/>
        <v>0</v>
      </c>
      <c r="AG143" s="131">
        <f t="shared" si="33"/>
        <v>0</v>
      </c>
      <c r="AH143" s="131">
        <f t="shared" si="34"/>
        <v>0</v>
      </c>
      <c r="AI143" s="131">
        <f t="shared" si="35"/>
        <v>0</v>
      </c>
      <c r="AJ143" s="131" t="e">
        <f t="shared" si="36"/>
        <v>#DIV/0!</v>
      </c>
      <c r="AK143" s="131">
        <f t="shared" si="37"/>
        <v>0</v>
      </c>
      <c r="AL143" s="131">
        <f t="shared" si="38"/>
        <v>0</v>
      </c>
      <c r="AM143" s="131">
        <v>0</v>
      </c>
      <c r="AN143" s="131">
        <f t="shared" si="39"/>
        <v>0</v>
      </c>
      <c r="AO143" s="131">
        <v>0</v>
      </c>
      <c r="AP143" s="131">
        <f t="shared" si="40"/>
        <v>0</v>
      </c>
      <c r="AQ143" s="131">
        <f t="shared" si="41"/>
        <v>0</v>
      </c>
      <c r="AR143" s="131">
        <v>0</v>
      </c>
    </row>
    <row r="144" spans="28:44">
      <c r="AB144" s="131">
        <f t="shared" si="28"/>
        <v>0</v>
      </c>
      <c r="AC144" s="131">
        <f t="shared" si="29"/>
        <v>0</v>
      </c>
      <c r="AD144" s="131">
        <f t="shared" si="30"/>
        <v>0</v>
      </c>
      <c r="AE144" s="131">
        <f t="shared" si="31"/>
        <v>0</v>
      </c>
      <c r="AF144" s="131">
        <f t="shared" si="32"/>
        <v>0</v>
      </c>
      <c r="AG144" s="131">
        <f t="shared" si="33"/>
        <v>0</v>
      </c>
      <c r="AH144" s="131">
        <f t="shared" si="34"/>
        <v>0</v>
      </c>
      <c r="AI144" s="131">
        <f t="shared" si="35"/>
        <v>0</v>
      </c>
      <c r="AJ144" s="131" t="e">
        <f t="shared" si="36"/>
        <v>#DIV/0!</v>
      </c>
      <c r="AK144" s="131">
        <f t="shared" si="37"/>
        <v>0</v>
      </c>
      <c r="AL144" s="131">
        <f t="shared" si="38"/>
        <v>0</v>
      </c>
      <c r="AM144" s="131">
        <v>0</v>
      </c>
      <c r="AN144" s="131">
        <f t="shared" si="39"/>
        <v>0</v>
      </c>
      <c r="AO144" s="131">
        <v>0</v>
      </c>
      <c r="AP144" s="131">
        <f t="shared" si="40"/>
        <v>0</v>
      </c>
      <c r="AQ144" s="131">
        <f t="shared" si="41"/>
        <v>0</v>
      </c>
      <c r="AR144" s="131">
        <v>0</v>
      </c>
    </row>
    <row r="145" spans="28:44">
      <c r="AB145" s="131">
        <f t="shared" si="28"/>
        <v>0</v>
      </c>
      <c r="AC145" s="131">
        <f t="shared" si="29"/>
        <v>0</v>
      </c>
      <c r="AD145" s="131">
        <f t="shared" si="30"/>
        <v>0</v>
      </c>
      <c r="AE145" s="131">
        <f t="shared" si="31"/>
        <v>0</v>
      </c>
      <c r="AF145" s="131">
        <f t="shared" si="32"/>
        <v>0</v>
      </c>
      <c r="AG145" s="131">
        <f t="shared" si="33"/>
        <v>0</v>
      </c>
      <c r="AH145" s="131">
        <f t="shared" si="34"/>
        <v>0</v>
      </c>
      <c r="AI145" s="131">
        <f t="shared" si="35"/>
        <v>0</v>
      </c>
      <c r="AJ145" s="131" t="e">
        <f t="shared" si="36"/>
        <v>#DIV/0!</v>
      </c>
      <c r="AK145" s="131">
        <f t="shared" si="37"/>
        <v>0</v>
      </c>
      <c r="AL145" s="131">
        <f t="shared" si="38"/>
        <v>0</v>
      </c>
      <c r="AM145" s="131">
        <v>0</v>
      </c>
      <c r="AN145" s="131">
        <f t="shared" si="39"/>
        <v>0</v>
      </c>
      <c r="AO145" s="131">
        <v>0</v>
      </c>
      <c r="AP145" s="131">
        <f t="shared" si="40"/>
        <v>0</v>
      </c>
      <c r="AQ145" s="131">
        <f t="shared" si="41"/>
        <v>0</v>
      </c>
      <c r="AR145" s="131">
        <v>0</v>
      </c>
    </row>
    <row r="146" spans="28:44">
      <c r="AB146" s="131">
        <f t="shared" si="28"/>
        <v>0</v>
      </c>
      <c r="AC146" s="131">
        <f t="shared" si="29"/>
        <v>0</v>
      </c>
      <c r="AD146" s="131">
        <f t="shared" si="30"/>
        <v>0</v>
      </c>
      <c r="AE146" s="131">
        <f t="shared" si="31"/>
        <v>0</v>
      </c>
      <c r="AF146" s="131">
        <f t="shared" si="32"/>
        <v>0</v>
      </c>
      <c r="AG146" s="131">
        <f t="shared" si="33"/>
        <v>0</v>
      </c>
      <c r="AH146" s="131">
        <f t="shared" si="34"/>
        <v>0</v>
      </c>
      <c r="AI146" s="131">
        <f t="shared" si="35"/>
        <v>0</v>
      </c>
      <c r="AJ146" s="131" t="e">
        <f t="shared" si="36"/>
        <v>#DIV/0!</v>
      </c>
      <c r="AK146" s="131">
        <f t="shared" si="37"/>
        <v>0</v>
      </c>
      <c r="AL146" s="131">
        <f t="shared" si="38"/>
        <v>0</v>
      </c>
      <c r="AM146" s="131">
        <v>0</v>
      </c>
      <c r="AN146" s="131">
        <f t="shared" si="39"/>
        <v>0</v>
      </c>
      <c r="AO146" s="131">
        <v>0</v>
      </c>
      <c r="AP146" s="131">
        <f t="shared" si="40"/>
        <v>0</v>
      </c>
      <c r="AQ146" s="131">
        <f t="shared" si="41"/>
        <v>0</v>
      </c>
      <c r="AR146" s="131">
        <v>0</v>
      </c>
    </row>
    <row r="147" spans="28:44">
      <c r="AB147" s="131">
        <f t="shared" si="28"/>
        <v>0</v>
      </c>
      <c r="AC147" s="131">
        <f t="shared" si="29"/>
        <v>0</v>
      </c>
      <c r="AD147" s="131">
        <f t="shared" si="30"/>
        <v>0</v>
      </c>
      <c r="AE147" s="131">
        <f t="shared" si="31"/>
        <v>0</v>
      </c>
      <c r="AF147" s="131">
        <f t="shared" si="32"/>
        <v>0</v>
      </c>
      <c r="AG147" s="131">
        <f t="shared" si="33"/>
        <v>0</v>
      </c>
      <c r="AH147" s="131">
        <f t="shared" si="34"/>
        <v>0</v>
      </c>
      <c r="AI147" s="131">
        <f t="shared" si="35"/>
        <v>0</v>
      </c>
      <c r="AJ147" s="131" t="e">
        <f t="shared" si="36"/>
        <v>#DIV/0!</v>
      </c>
      <c r="AK147" s="131">
        <f t="shared" si="37"/>
        <v>0</v>
      </c>
      <c r="AL147" s="131">
        <f t="shared" si="38"/>
        <v>0</v>
      </c>
      <c r="AM147" s="131">
        <v>0</v>
      </c>
      <c r="AN147" s="131">
        <f t="shared" si="39"/>
        <v>0</v>
      </c>
      <c r="AO147" s="131">
        <v>0</v>
      </c>
      <c r="AP147" s="131">
        <f t="shared" si="40"/>
        <v>0</v>
      </c>
      <c r="AQ147" s="131">
        <f t="shared" si="41"/>
        <v>0</v>
      </c>
      <c r="AR147" s="131">
        <v>0</v>
      </c>
    </row>
    <row r="148" spans="28:44">
      <c r="AB148" s="131">
        <f t="shared" si="28"/>
        <v>0</v>
      </c>
      <c r="AC148" s="131">
        <f t="shared" si="29"/>
        <v>0</v>
      </c>
      <c r="AD148" s="131">
        <f t="shared" si="30"/>
        <v>0</v>
      </c>
      <c r="AE148" s="131">
        <f t="shared" si="31"/>
        <v>0</v>
      </c>
      <c r="AF148" s="131">
        <f t="shared" si="32"/>
        <v>0</v>
      </c>
      <c r="AG148" s="131">
        <f t="shared" si="33"/>
        <v>0</v>
      </c>
      <c r="AH148" s="131">
        <f t="shared" si="34"/>
        <v>0</v>
      </c>
      <c r="AI148" s="131">
        <f t="shared" si="35"/>
        <v>0</v>
      </c>
      <c r="AJ148" s="131" t="e">
        <f t="shared" si="36"/>
        <v>#DIV/0!</v>
      </c>
      <c r="AK148" s="131">
        <f t="shared" si="37"/>
        <v>0</v>
      </c>
      <c r="AL148" s="131">
        <f t="shared" si="38"/>
        <v>0</v>
      </c>
      <c r="AM148" s="131">
        <v>0</v>
      </c>
      <c r="AN148" s="131">
        <f t="shared" si="39"/>
        <v>0</v>
      </c>
      <c r="AO148" s="131">
        <v>0</v>
      </c>
      <c r="AP148" s="131">
        <f t="shared" si="40"/>
        <v>0</v>
      </c>
      <c r="AQ148" s="131">
        <f t="shared" si="41"/>
        <v>0</v>
      </c>
      <c r="AR148" s="131">
        <v>0</v>
      </c>
    </row>
    <row r="149" spans="28:44">
      <c r="AB149" s="131">
        <f t="shared" si="28"/>
        <v>0</v>
      </c>
      <c r="AC149" s="131">
        <f t="shared" si="29"/>
        <v>0</v>
      </c>
      <c r="AD149" s="131">
        <f t="shared" si="30"/>
        <v>0</v>
      </c>
      <c r="AE149" s="131">
        <f t="shared" si="31"/>
        <v>0</v>
      </c>
      <c r="AF149" s="131">
        <f t="shared" si="32"/>
        <v>0</v>
      </c>
      <c r="AG149" s="131">
        <f t="shared" si="33"/>
        <v>0</v>
      </c>
      <c r="AH149" s="131">
        <f t="shared" si="34"/>
        <v>0</v>
      </c>
      <c r="AI149" s="131">
        <f t="shared" si="35"/>
        <v>0</v>
      </c>
      <c r="AJ149" s="131" t="e">
        <f t="shared" si="36"/>
        <v>#DIV/0!</v>
      </c>
      <c r="AK149" s="131">
        <f t="shared" si="37"/>
        <v>0</v>
      </c>
      <c r="AL149" s="131">
        <f t="shared" si="38"/>
        <v>0</v>
      </c>
      <c r="AM149" s="131">
        <v>0</v>
      </c>
      <c r="AN149" s="131">
        <f t="shared" si="39"/>
        <v>0</v>
      </c>
      <c r="AO149" s="131">
        <v>0</v>
      </c>
      <c r="AP149" s="131">
        <f t="shared" si="40"/>
        <v>0</v>
      </c>
      <c r="AQ149" s="131">
        <f t="shared" si="41"/>
        <v>0</v>
      </c>
      <c r="AR149" s="131">
        <v>0</v>
      </c>
    </row>
    <row r="150" spans="28:44">
      <c r="AB150" s="131">
        <f t="shared" si="28"/>
        <v>0</v>
      </c>
      <c r="AC150" s="131">
        <f t="shared" si="29"/>
        <v>0</v>
      </c>
      <c r="AD150" s="131">
        <f t="shared" si="30"/>
        <v>0</v>
      </c>
      <c r="AE150" s="131">
        <f t="shared" si="31"/>
        <v>0</v>
      </c>
      <c r="AF150" s="131">
        <f t="shared" si="32"/>
        <v>0</v>
      </c>
      <c r="AG150" s="131">
        <f t="shared" si="33"/>
        <v>0</v>
      </c>
      <c r="AH150" s="131">
        <f t="shared" si="34"/>
        <v>0</v>
      </c>
      <c r="AI150" s="131">
        <f t="shared" si="35"/>
        <v>0</v>
      </c>
      <c r="AJ150" s="131" t="e">
        <f t="shared" si="36"/>
        <v>#DIV/0!</v>
      </c>
      <c r="AK150" s="131">
        <f t="shared" si="37"/>
        <v>0</v>
      </c>
      <c r="AL150" s="131">
        <f t="shared" si="38"/>
        <v>0</v>
      </c>
      <c r="AM150" s="131">
        <v>0</v>
      </c>
      <c r="AN150" s="131">
        <f t="shared" si="39"/>
        <v>0</v>
      </c>
      <c r="AO150" s="131">
        <v>0</v>
      </c>
      <c r="AP150" s="131">
        <f t="shared" si="40"/>
        <v>0</v>
      </c>
      <c r="AQ150" s="131">
        <f t="shared" si="41"/>
        <v>0</v>
      </c>
      <c r="AR150" s="131">
        <v>0</v>
      </c>
    </row>
    <row r="151" spans="28:44">
      <c r="AB151" s="131">
        <f t="shared" si="28"/>
        <v>0</v>
      </c>
      <c r="AC151" s="131">
        <f t="shared" si="29"/>
        <v>0</v>
      </c>
      <c r="AD151" s="131">
        <f t="shared" si="30"/>
        <v>0</v>
      </c>
      <c r="AE151" s="131">
        <f t="shared" si="31"/>
        <v>0</v>
      </c>
      <c r="AF151" s="131">
        <f t="shared" si="32"/>
        <v>0</v>
      </c>
      <c r="AG151" s="131">
        <f t="shared" si="33"/>
        <v>0</v>
      </c>
      <c r="AH151" s="131">
        <f t="shared" si="34"/>
        <v>0</v>
      </c>
      <c r="AI151" s="131">
        <f t="shared" si="35"/>
        <v>0</v>
      </c>
      <c r="AJ151" s="131" t="e">
        <f t="shared" si="36"/>
        <v>#DIV/0!</v>
      </c>
      <c r="AK151" s="131">
        <f t="shared" si="37"/>
        <v>0</v>
      </c>
      <c r="AL151" s="131">
        <f t="shared" si="38"/>
        <v>0</v>
      </c>
      <c r="AM151" s="131">
        <v>0</v>
      </c>
      <c r="AN151" s="131">
        <f t="shared" si="39"/>
        <v>0</v>
      </c>
      <c r="AO151" s="131">
        <v>0</v>
      </c>
      <c r="AP151" s="131">
        <f t="shared" si="40"/>
        <v>0</v>
      </c>
      <c r="AQ151" s="131">
        <f t="shared" si="41"/>
        <v>0</v>
      </c>
      <c r="AR151" s="131">
        <v>0</v>
      </c>
    </row>
    <row r="152" spans="28:44">
      <c r="AB152" s="131">
        <f t="shared" si="28"/>
        <v>0</v>
      </c>
      <c r="AC152" s="131">
        <f t="shared" si="29"/>
        <v>0</v>
      </c>
      <c r="AD152" s="131">
        <f t="shared" si="30"/>
        <v>0</v>
      </c>
      <c r="AE152" s="131">
        <f t="shared" si="31"/>
        <v>0</v>
      </c>
      <c r="AF152" s="131">
        <f t="shared" si="32"/>
        <v>0</v>
      </c>
      <c r="AG152" s="131">
        <f t="shared" si="33"/>
        <v>0</v>
      </c>
      <c r="AH152" s="131">
        <f t="shared" si="34"/>
        <v>0</v>
      </c>
      <c r="AI152" s="131">
        <f t="shared" si="35"/>
        <v>0</v>
      </c>
      <c r="AJ152" s="131" t="e">
        <f t="shared" si="36"/>
        <v>#DIV/0!</v>
      </c>
      <c r="AK152" s="131">
        <f t="shared" si="37"/>
        <v>0</v>
      </c>
      <c r="AL152" s="131">
        <f t="shared" si="38"/>
        <v>0</v>
      </c>
      <c r="AM152" s="131">
        <v>0</v>
      </c>
      <c r="AN152" s="131">
        <f t="shared" si="39"/>
        <v>0</v>
      </c>
      <c r="AO152" s="131">
        <v>0</v>
      </c>
      <c r="AP152" s="131">
        <f t="shared" si="40"/>
        <v>0</v>
      </c>
      <c r="AQ152" s="131">
        <f t="shared" si="41"/>
        <v>0</v>
      </c>
      <c r="AR152" s="131">
        <v>0</v>
      </c>
    </row>
    <row r="153" spans="28:44">
      <c r="AB153" s="131">
        <f t="shared" si="28"/>
        <v>0</v>
      </c>
      <c r="AC153" s="131">
        <f t="shared" si="29"/>
        <v>0</v>
      </c>
      <c r="AD153" s="131">
        <f t="shared" si="30"/>
        <v>0</v>
      </c>
      <c r="AE153" s="131">
        <f t="shared" si="31"/>
        <v>0</v>
      </c>
      <c r="AF153" s="131">
        <f t="shared" si="32"/>
        <v>0</v>
      </c>
      <c r="AG153" s="131">
        <f t="shared" si="33"/>
        <v>0</v>
      </c>
      <c r="AH153" s="131">
        <f t="shared" si="34"/>
        <v>0</v>
      </c>
      <c r="AI153" s="131">
        <f t="shared" si="35"/>
        <v>0</v>
      </c>
      <c r="AJ153" s="131" t="e">
        <f t="shared" si="36"/>
        <v>#DIV/0!</v>
      </c>
      <c r="AK153" s="131">
        <f t="shared" si="37"/>
        <v>0</v>
      </c>
      <c r="AL153" s="131">
        <f t="shared" si="38"/>
        <v>0</v>
      </c>
      <c r="AM153" s="131">
        <v>0</v>
      </c>
      <c r="AN153" s="131">
        <f t="shared" si="39"/>
        <v>0</v>
      </c>
      <c r="AO153" s="131">
        <v>0</v>
      </c>
      <c r="AP153" s="131">
        <f t="shared" si="40"/>
        <v>0</v>
      </c>
      <c r="AQ153" s="131">
        <f t="shared" si="41"/>
        <v>0</v>
      </c>
      <c r="AR153" s="131">
        <v>0</v>
      </c>
    </row>
    <row r="154" spans="28:44">
      <c r="AB154" s="131">
        <f t="shared" si="28"/>
        <v>0</v>
      </c>
      <c r="AC154" s="131">
        <f t="shared" si="29"/>
        <v>0</v>
      </c>
      <c r="AD154" s="131">
        <f t="shared" si="30"/>
        <v>0</v>
      </c>
      <c r="AE154" s="131">
        <f t="shared" si="31"/>
        <v>0</v>
      </c>
      <c r="AF154" s="131">
        <f t="shared" si="32"/>
        <v>0</v>
      </c>
      <c r="AG154" s="131">
        <f t="shared" si="33"/>
        <v>0</v>
      </c>
      <c r="AH154" s="131">
        <f t="shared" si="34"/>
        <v>0</v>
      </c>
      <c r="AI154" s="131">
        <f t="shared" si="35"/>
        <v>0</v>
      </c>
      <c r="AJ154" s="131" t="e">
        <f t="shared" si="36"/>
        <v>#DIV/0!</v>
      </c>
      <c r="AK154" s="131">
        <f t="shared" si="37"/>
        <v>0</v>
      </c>
      <c r="AL154" s="131">
        <f t="shared" si="38"/>
        <v>0</v>
      </c>
      <c r="AM154" s="131">
        <v>0</v>
      </c>
      <c r="AN154" s="131">
        <f t="shared" si="39"/>
        <v>0</v>
      </c>
      <c r="AO154" s="131">
        <v>0</v>
      </c>
      <c r="AP154" s="131">
        <f t="shared" si="40"/>
        <v>0</v>
      </c>
      <c r="AQ154" s="131">
        <f t="shared" si="41"/>
        <v>0</v>
      </c>
      <c r="AR154" s="131">
        <v>0</v>
      </c>
    </row>
    <row r="155" spans="28:44">
      <c r="AB155" s="131">
        <f t="shared" si="28"/>
        <v>0</v>
      </c>
      <c r="AC155" s="131">
        <f t="shared" si="29"/>
        <v>0</v>
      </c>
      <c r="AD155" s="131">
        <f t="shared" si="30"/>
        <v>0</v>
      </c>
      <c r="AE155" s="131">
        <f t="shared" si="31"/>
        <v>0</v>
      </c>
      <c r="AF155" s="131">
        <f t="shared" si="32"/>
        <v>0</v>
      </c>
      <c r="AG155" s="131">
        <f t="shared" si="33"/>
        <v>0</v>
      </c>
      <c r="AH155" s="131">
        <f t="shared" si="34"/>
        <v>0</v>
      </c>
      <c r="AI155" s="131">
        <f t="shared" si="35"/>
        <v>0</v>
      </c>
      <c r="AJ155" s="131" t="e">
        <f t="shared" si="36"/>
        <v>#DIV/0!</v>
      </c>
      <c r="AK155" s="131">
        <f t="shared" si="37"/>
        <v>0</v>
      </c>
      <c r="AL155" s="131">
        <f t="shared" si="38"/>
        <v>0</v>
      </c>
      <c r="AM155" s="131">
        <v>0</v>
      </c>
      <c r="AN155" s="131">
        <f t="shared" si="39"/>
        <v>0</v>
      </c>
      <c r="AO155" s="131">
        <v>0</v>
      </c>
      <c r="AP155" s="131">
        <f t="shared" si="40"/>
        <v>0</v>
      </c>
      <c r="AQ155" s="131">
        <f t="shared" si="41"/>
        <v>0</v>
      </c>
      <c r="AR155" s="131">
        <v>0</v>
      </c>
    </row>
    <row r="156" spans="28:44">
      <c r="AB156" s="131">
        <f t="shared" si="28"/>
        <v>0</v>
      </c>
      <c r="AC156" s="131">
        <f t="shared" si="29"/>
        <v>0</v>
      </c>
      <c r="AD156" s="131">
        <f t="shared" si="30"/>
        <v>0</v>
      </c>
      <c r="AE156" s="131">
        <f t="shared" si="31"/>
        <v>0</v>
      </c>
      <c r="AF156" s="131">
        <f t="shared" si="32"/>
        <v>0</v>
      </c>
      <c r="AG156" s="131">
        <f t="shared" si="33"/>
        <v>0</v>
      </c>
      <c r="AH156" s="131">
        <f t="shared" si="34"/>
        <v>0</v>
      </c>
      <c r="AI156" s="131">
        <f t="shared" si="35"/>
        <v>0</v>
      </c>
      <c r="AJ156" s="131" t="e">
        <f t="shared" si="36"/>
        <v>#DIV/0!</v>
      </c>
      <c r="AK156" s="131">
        <f t="shared" si="37"/>
        <v>0</v>
      </c>
      <c r="AL156" s="131">
        <f t="shared" si="38"/>
        <v>0</v>
      </c>
      <c r="AM156" s="131">
        <v>0</v>
      </c>
      <c r="AN156" s="131">
        <f t="shared" si="39"/>
        <v>0</v>
      </c>
      <c r="AO156" s="131">
        <v>0</v>
      </c>
      <c r="AP156" s="131">
        <f t="shared" si="40"/>
        <v>0</v>
      </c>
      <c r="AQ156" s="131">
        <f t="shared" si="41"/>
        <v>0</v>
      </c>
      <c r="AR156" s="131">
        <v>0</v>
      </c>
    </row>
    <row r="157" spans="28:44">
      <c r="AB157" s="131">
        <f t="shared" si="28"/>
        <v>0</v>
      </c>
      <c r="AC157" s="131">
        <f t="shared" si="29"/>
        <v>0</v>
      </c>
      <c r="AD157" s="131">
        <f t="shared" si="30"/>
        <v>0</v>
      </c>
      <c r="AE157" s="131">
        <f t="shared" si="31"/>
        <v>0</v>
      </c>
      <c r="AF157" s="131">
        <f t="shared" si="32"/>
        <v>0</v>
      </c>
      <c r="AG157" s="131">
        <f t="shared" si="33"/>
        <v>0</v>
      </c>
      <c r="AH157" s="131">
        <f t="shared" si="34"/>
        <v>0</v>
      </c>
      <c r="AI157" s="131">
        <f t="shared" si="35"/>
        <v>0</v>
      </c>
      <c r="AJ157" s="131" t="e">
        <f t="shared" si="36"/>
        <v>#DIV/0!</v>
      </c>
      <c r="AK157" s="131">
        <f t="shared" si="37"/>
        <v>0</v>
      </c>
      <c r="AL157" s="131">
        <f t="shared" si="38"/>
        <v>0</v>
      </c>
      <c r="AM157" s="131">
        <v>0</v>
      </c>
      <c r="AN157" s="131">
        <f t="shared" si="39"/>
        <v>0</v>
      </c>
      <c r="AO157" s="131">
        <v>0</v>
      </c>
      <c r="AP157" s="131">
        <f t="shared" si="40"/>
        <v>0</v>
      </c>
      <c r="AQ157" s="131">
        <f t="shared" si="41"/>
        <v>0</v>
      </c>
      <c r="AR157" s="131">
        <v>0</v>
      </c>
    </row>
    <row r="158" spans="28:44">
      <c r="AB158" s="131">
        <f t="shared" si="28"/>
        <v>0</v>
      </c>
      <c r="AC158" s="131">
        <f t="shared" si="29"/>
        <v>0</v>
      </c>
      <c r="AD158" s="131">
        <f t="shared" si="30"/>
        <v>0</v>
      </c>
      <c r="AE158" s="131">
        <f t="shared" si="31"/>
        <v>0</v>
      </c>
      <c r="AF158" s="131">
        <f t="shared" si="32"/>
        <v>0</v>
      </c>
      <c r="AG158" s="131">
        <f t="shared" si="33"/>
        <v>0</v>
      </c>
      <c r="AH158" s="131">
        <f t="shared" si="34"/>
        <v>0</v>
      </c>
      <c r="AI158" s="131">
        <f t="shared" si="35"/>
        <v>0</v>
      </c>
      <c r="AJ158" s="131" t="e">
        <f t="shared" si="36"/>
        <v>#DIV/0!</v>
      </c>
      <c r="AK158" s="131">
        <f t="shared" si="37"/>
        <v>0</v>
      </c>
      <c r="AL158" s="131">
        <f t="shared" si="38"/>
        <v>0</v>
      </c>
      <c r="AM158" s="131">
        <v>0</v>
      </c>
      <c r="AN158" s="131">
        <f t="shared" si="39"/>
        <v>0</v>
      </c>
      <c r="AO158" s="131">
        <v>0</v>
      </c>
      <c r="AP158" s="131">
        <f t="shared" si="40"/>
        <v>0</v>
      </c>
      <c r="AQ158" s="131">
        <f t="shared" si="41"/>
        <v>0</v>
      </c>
      <c r="AR158" s="131">
        <v>0</v>
      </c>
    </row>
    <row r="159" spans="28:44">
      <c r="AB159" s="131">
        <f t="shared" si="28"/>
        <v>0</v>
      </c>
      <c r="AC159" s="131">
        <f t="shared" si="29"/>
        <v>0</v>
      </c>
      <c r="AD159" s="131">
        <f t="shared" si="30"/>
        <v>0</v>
      </c>
      <c r="AE159" s="131">
        <f t="shared" si="31"/>
        <v>0</v>
      </c>
      <c r="AF159" s="131">
        <f t="shared" si="32"/>
        <v>0</v>
      </c>
      <c r="AG159" s="131">
        <f t="shared" si="33"/>
        <v>0</v>
      </c>
      <c r="AH159" s="131">
        <f t="shared" si="34"/>
        <v>0</v>
      </c>
      <c r="AI159" s="131">
        <f t="shared" si="35"/>
        <v>0</v>
      </c>
      <c r="AJ159" s="131" t="e">
        <f t="shared" si="36"/>
        <v>#DIV/0!</v>
      </c>
      <c r="AK159" s="131">
        <f t="shared" si="37"/>
        <v>0</v>
      </c>
      <c r="AL159" s="131">
        <f t="shared" si="38"/>
        <v>0</v>
      </c>
      <c r="AM159" s="131">
        <v>0</v>
      </c>
      <c r="AN159" s="131">
        <f t="shared" si="39"/>
        <v>0</v>
      </c>
      <c r="AO159" s="131">
        <v>0</v>
      </c>
      <c r="AP159" s="131">
        <f t="shared" si="40"/>
        <v>0</v>
      </c>
      <c r="AQ159" s="131">
        <f t="shared" si="41"/>
        <v>0</v>
      </c>
      <c r="AR159" s="131">
        <v>0</v>
      </c>
    </row>
    <row r="160" spans="28:44">
      <c r="AB160" s="131">
        <f t="shared" si="28"/>
        <v>0</v>
      </c>
      <c r="AC160" s="131">
        <f t="shared" si="29"/>
        <v>0</v>
      </c>
      <c r="AD160" s="131">
        <f t="shared" si="30"/>
        <v>0</v>
      </c>
      <c r="AE160" s="131">
        <f t="shared" si="31"/>
        <v>0</v>
      </c>
      <c r="AF160" s="131">
        <f t="shared" si="32"/>
        <v>0</v>
      </c>
      <c r="AG160" s="131">
        <f t="shared" si="33"/>
        <v>0</v>
      </c>
      <c r="AH160" s="131">
        <f t="shared" si="34"/>
        <v>0</v>
      </c>
      <c r="AI160" s="131">
        <f t="shared" si="35"/>
        <v>0</v>
      </c>
      <c r="AJ160" s="131" t="e">
        <f t="shared" si="36"/>
        <v>#DIV/0!</v>
      </c>
      <c r="AK160" s="131">
        <f t="shared" si="37"/>
        <v>0</v>
      </c>
      <c r="AL160" s="131">
        <f t="shared" si="38"/>
        <v>0</v>
      </c>
      <c r="AM160" s="131">
        <v>0</v>
      </c>
      <c r="AN160" s="131">
        <f t="shared" si="39"/>
        <v>0</v>
      </c>
      <c r="AO160" s="131">
        <v>0</v>
      </c>
      <c r="AP160" s="131">
        <f t="shared" si="40"/>
        <v>0</v>
      </c>
      <c r="AQ160" s="131">
        <f t="shared" si="41"/>
        <v>0</v>
      </c>
      <c r="AR160" s="131">
        <v>0</v>
      </c>
    </row>
    <row r="161" spans="28:44">
      <c r="AB161" s="131">
        <f t="shared" si="28"/>
        <v>0</v>
      </c>
      <c r="AC161" s="131">
        <f t="shared" si="29"/>
        <v>0</v>
      </c>
      <c r="AD161" s="131">
        <f t="shared" si="30"/>
        <v>0</v>
      </c>
      <c r="AE161" s="131">
        <f t="shared" si="31"/>
        <v>0</v>
      </c>
      <c r="AF161" s="131">
        <f t="shared" si="32"/>
        <v>0</v>
      </c>
      <c r="AG161" s="131">
        <f t="shared" si="33"/>
        <v>0</v>
      </c>
      <c r="AH161" s="131">
        <f t="shared" si="34"/>
        <v>0</v>
      </c>
      <c r="AI161" s="131">
        <f t="shared" si="35"/>
        <v>0</v>
      </c>
      <c r="AJ161" s="131" t="e">
        <f t="shared" si="36"/>
        <v>#DIV/0!</v>
      </c>
      <c r="AK161" s="131">
        <f t="shared" si="37"/>
        <v>0</v>
      </c>
      <c r="AL161" s="131">
        <f t="shared" si="38"/>
        <v>0</v>
      </c>
      <c r="AM161" s="131">
        <v>0</v>
      </c>
      <c r="AN161" s="131">
        <f t="shared" si="39"/>
        <v>0</v>
      </c>
      <c r="AO161" s="131">
        <v>0</v>
      </c>
      <c r="AP161" s="131">
        <f t="shared" si="40"/>
        <v>0</v>
      </c>
      <c r="AQ161" s="131">
        <f t="shared" si="41"/>
        <v>0</v>
      </c>
      <c r="AR161" s="131">
        <v>0</v>
      </c>
    </row>
    <row r="162" spans="28:44">
      <c r="AB162" s="131">
        <f t="shared" si="28"/>
        <v>0</v>
      </c>
      <c r="AC162" s="131">
        <f t="shared" si="29"/>
        <v>0</v>
      </c>
      <c r="AD162" s="131">
        <f t="shared" si="30"/>
        <v>0</v>
      </c>
      <c r="AE162" s="131">
        <f t="shared" si="31"/>
        <v>0</v>
      </c>
      <c r="AF162" s="131">
        <f t="shared" si="32"/>
        <v>0</v>
      </c>
      <c r="AG162" s="131">
        <f t="shared" si="33"/>
        <v>0</v>
      </c>
      <c r="AH162" s="131">
        <f t="shared" si="34"/>
        <v>0</v>
      </c>
      <c r="AI162" s="131">
        <f t="shared" si="35"/>
        <v>0</v>
      </c>
      <c r="AJ162" s="131" t="e">
        <f t="shared" si="36"/>
        <v>#DIV/0!</v>
      </c>
      <c r="AK162" s="131">
        <f t="shared" si="37"/>
        <v>0</v>
      </c>
      <c r="AL162" s="131">
        <f t="shared" si="38"/>
        <v>0</v>
      </c>
      <c r="AM162" s="131">
        <v>0</v>
      </c>
      <c r="AN162" s="131">
        <f t="shared" si="39"/>
        <v>0</v>
      </c>
      <c r="AO162" s="131">
        <v>0</v>
      </c>
      <c r="AP162" s="131">
        <f t="shared" si="40"/>
        <v>0</v>
      </c>
      <c r="AQ162" s="131">
        <f t="shared" si="41"/>
        <v>0</v>
      </c>
      <c r="AR162" s="131">
        <v>0</v>
      </c>
    </row>
    <row r="163" spans="28:44">
      <c r="AB163" s="131">
        <f t="shared" si="28"/>
        <v>0</v>
      </c>
      <c r="AC163" s="131">
        <f t="shared" si="29"/>
        <v>0</v>
      </c>
      <c r="AD163" s="131">
        <f t="shared" si="30"/>
        <v>0</v>
      </c>
      <c r="AE163" s="131">
        <f t="shared" si="31"/>
        <v>0</v>
      </c>
      <c r="AF163" s="131">
        <f t="shared" si="32"/>
        <v>0</v>
      </c>
      <c r="AG163" s="131">
        <f t="shared" si="33"/>
        <v>0</v>
      </c>
      <c r="AH163" s="131">
        <f t="shared" si="34"/>
        <v>0</v>
      </c>
      <c r="AI163" s="131">
        <f t="shared" si="35"/>
        <v>0</v>
      </c>
      <c r="AJ163" s="131" t="e">
        <f t="shared" si="36"/>
        <v>#DIV/0!</v>
      </c>
      <c r="AK163" s="131">
        <f t="shared" si="37"/>
        <v>0</v>
      </c>
      <c r="AL163" s="131">
        <f t="shared" si="38"/>
        <v>0</v>
      </c>
      <c r="AM163" s="131">
        <v>0</v>
      </c>
      <c r="AN163" s="131">
        <f t="shared" si="39"/>
        <v>0</v>
      </c>
      <c r="AO163" s="131">
        <v>0</v>
      </c>
      <c r="AP163" s="131">
        <f t="shared" si="40"/>
        <v>0</v>
      </c>
      <c r="AQ163" s="131">
        <f t="shared" si="41"/>
        <v>0</v>
      </c>
      <c r="AR163" s="131">
        <v>0</v>
      </c>
    </row>
    <row r="164" spans="28:44">
      <c r="AB164" s="131">
        <f t="shared" si="28"/>
        <v>0</v>
      </c>
      <c r="AC164" s="131">
        <f t="shared" si="29"/>
        <v>0</v>
      </c>
      <c r="AD164" s="131">
        <f t="shared" si="30"/>
        <v>0</v>
      </c>
      <c r="AE164" s="131">
        <f t="shared" si="31"/>
        <v>0</v>
      </c>
      <c r="AF164" s="131">
        <f t="shared" si="32"/>
        <v>0</v>
      </c>
      <c r="AG164" s="131">
        <f t="shared" si="33"/>
        <v>0</v>
      </c>
      <c r="AH164" s="131">
        <f t="shared" si="34"/>
        <v>0</v>
      </c>
      <c r="AI164" s="131">
        <f t="shared" si="35"/>
        <v>0</v>
      </c>
      <c r="AJ164" s="131" t="e">
        <f t="shared" si="36"/>
        <v>#DIV/0!</v>
      </c>
      <c r="AK164" s="131">
        <f t="shared" si="37"/>
        <v>0</v>
      </c>
      <c r="AL164" s="131">
        <f t="shared" si="38"/>
        <v>0</v>
      </c>
      <c r="AM164" s="131">
        <v>0</v>
      </c>
      <c r="AN164" s="131">
        <f t="shared" si="39"/>
        <v>0</v>
      </c>
      <c r="AO164" s="131">
        <v>0</v>
      </c>
      <c r="AP164" s="131">
        <f t="shared" si="40"/>
        <v>0</v>
      </c>
      <c r="AQ164" s="131">
        <f t="shared" si="41"/>
        <v>0</v>
      </c>
      <c r="AR164" s="131">
        <v>0</v>
      </c>
    </row>
    <row r="165" spans="28:44">
      <c r="AB165" s="131">
        <f t="shared" si="28"/>
        <v>0</v>
      </c>
      <c r="AC165" s="131">
        <f t="shared" si="29"/>
        <v>0</v>
      </c>
      <c r="AD165" s="131">
        <f t="shared" si="30"/>
        <v>0</v>
      </c>
      <c r="AE165" s="131">
        <f t="shared" si="31"/>
        <v>0</v>
      </c>
      <c r="AF165" s="131">
        <f t="shared" si="32"/>
        <v>0</v>
      </c>
      <c r="AG165" s="131">
        <f t="shared" si="33"/>
        <v>0</v>
      </c>
      <c r="AH165" s="131">
        <f t="shared" si="34"/>
        <v>0</v>
      </c>
      <c r="AI165" s="131">
        <f t="shared" si="35"/>
        <v>0</v>
      </c>
      <c r="AJ165" s="131" t="e">
        <f t="shared" si="36"/>
        <v>#DIV/0!</v>
      </c>
      <c r="AK165" s="131">
        <f t="shared" si="37"/>
        <v>0</v>
      </c>
      <c r="AL165" s="131">
        <f t="shared" si="38"/>
        <v>0</v>
      </c>
      <c r="AM165" s="131">
        <v>0</v>
      </c>
      <c r="AN165" s="131">
        <f t="shared" si="39"/>
        <v>0</v>
      </c>
      <c r="AO165" s="131">
        <v>0</v>
      </c>
      <c r="AP165" s="131">
        <f t="shared" si="40"/>
        <v>0</v>
      </c>
      <c r="AQ165" s="131">
        <f t="shared" si="41"/>
        <v>0</v>
      </c>
      <c r="AR165" s="131">
        <v>0</v>
      </c>
    </row>
    <row r="166" spans="28:44">
      <c r="AB166" s="131">
        <f t="shared" si="28"/>
        <v>0</v>
      </c>
      <c r="AC166" s="131">
        <f t="shared" si="29"/>
        <v>0</v>
      </c>
      <c r="AD166" s="131">
        <f t="shared" si="30"/>
        <v>0</v>
      </c>
      <c r="AE166" s="131">
        <f t="shared" si="31"/>
        <v>0</v>
      </c>
      <c r="AF166" s="131">
        <f t="shared" si="32"/>
        <v>0</v>
      </c>
      <c r="AG166" s="131">
        <f t="shared" si="33"/>
        <v>0</v>
      </c>
      <c r="AH166" s="131">
        <f t="shared" si="34"/>
        <v>0</v>
      </c>
      <c r="AI166" s="131">
        <f t="shared" si="35"/>
        <v>0</v>
      </c>
      <c r="AJ166" s="131" t="e">
        <f t="shared" si="36"/>
        <v>#DIV/0!</v>
      </c>
      <c r="AK166" s="131">
        <f t="shared" si="37"/>
        <v>0</v>
      </c>
      <c r="AL166" s="131">
        <f t="shared" si="38"/>
        <v>0</v>
      </c>
      <c r="AM166" s="131">
        <v>0</v>
      </c>
      <c r="AN166" s="131">
        <f t="shared" si="39"/>
        <v>0</v>
      </c>
      <c r="AO166" s="131">
        <v>0</v>
      </c>
      <c r="AP166" s="131">
        <f t="shared" si="40"/>
        <v>0</v>
      </c>
      <c r="AQ166" s="131">
        <f t="shared" si="41"/>
        <v>0</v>
      </c>
      <c r="AR166" s="131">
        <v>0</v>
      </c>
    </row>
    <row r="167" spans="28:44">
      <c r="AB167" s="131">
        <f t="shared" si="28"/>
        <v>0</v>
      </c>
      <c r="AC167" s="131">
        <f t="shared" si="29"/>
        <v>0</v>
      </c>
      <c r="AD167" s="131">
        <f t="shared" si="30"/>
        <v>0</v>
      </c>
      <c r="AE167" s="131">
        <f t="shared" si="31"/>
        <v>0</v>
      </c>
      <c r="AF167" s="131">
        <f t="shared" si="32"/>
        <v>0</v>
      </c>
      <c r="AG167" s="131">
        <f t="shared" si="33"/>
        <v>0</v>
      </c>
      <c r="AH167" s="131">
        <f t="shared" si="34"/>
        <v>0</v>
      </c>
      <c r="AI167" s="131">
        <f t="shared" si="35"/>
        <v>0</v>
      </c>
      <c r="AJ167" s="131" t="e">
        <f t="shared" si="36"/>
        <v>#DIV/0!</v>
      </c>
      <c r="AK167" s="131">
        <f t="shared" si="37"/>
        <v>0</v>
      </c>
      <c r="AL167" s="131">
        <f t="shared" si="38"/>
        <v>0</v>
      </c>
      <c r="AM167" s="131">
        <v>0</v>
      </c>
      <c r="AN167" s="131">
        <f t="shared" si="39"/>
        <v>0</v>
      </c>
      <c r="AO167" s="131">
        <v>0</v>
      </c>
      <c r="AP167" s="131">
        <f t="shared" si="40"/>
        <v>0</v>
      </c>
      <c r="AQ167" s="131">
        <f t="shared" si="41"/>
        <v>0</v>
      </c>
      <c r="AR167" s="131">
        <v>0</v>
      </c>
    </row>
    <row r="168" spans="28:44">
      <c r="AB168" s="131">
        <f t="shared" si="28"/>
        <v>0</v>
      </c>
      <c r="AC168" s="131">
        <f t="shared" si="29"/>
        <v>0</v>
      </c>
      <c r="AD168" s="131">
        <f t="shared" si="30"/>
        <v>0</v>
      </c>
      <c r="AE168" s="131">
        <f t="shared" si="31"/>
        <v>0</v>
      </c>
      <c r="AF168" s="131">
        <f t="shared" si="32"/>
        <v>0</v>
      </c>
      <c r="AG168" s="131">
        <f t="shared" si="33"/>
        <v>0</v>
      </c>
      <c r="AH168" s="131">
        <f t="shared" si="34"/>
        <v>0</v>
      </c>
      <c r="AI168" s="131">
        <f t="shared" si="35"/>
        <v>0</v>
      </c>
      <c r="AJ168" s="131" t="e">
        <f t="shared" si="36"/>
        <v>#DIV/0!</v>
      </c>
      <c r="AK168" s="131">
        <f t="shared" si="37"/>
        <v>0</v>
      </c>
      <c r="AL168" s="131">
        <f t="shared" si="38"/>
        <v>0</v>
      </c>
      <c r="AM168" s="131">
        <v>0</v>
      </c>
      <c r="AN168" s="131">
        <f t="shared" si="39"/>
        <v>0</v>
      </c>
      <c r="AO168" s="131">
        <v>0</v>
      </c>
      <c r="AP168" s="131">
        <f t="shared" si="40"/>
        <v>0</v>
      </c>
      <c r="AQ168" s="131">
        <f t="shared" si="41"/>
        <v>0</v>
      </c>
      <c r="AR168" s="131">
        <v>0</v>
      </c>
    </row>
    <row r="169" spans="28:44">
      <c r="AB169" s="131">
        <f t="shared" si="28"/>
        <v>0</v>
      </c>
      <c r="AC169" s="131">
        <f t="shared" si="29"/>
        <v>0</v>
      </c>
      <c r="AD169" s="131">
        <f t="shared" si="30"/>
        <v>0</v>
      </c>
      <c r="AE169" s="131">
        <f t="shared" si="31"/>
        <v>0</v>
      </c>
      <c r="AF169" s="131">
        <f t="shared" si="32"/>
        <v>0</v>
      </c>
      <c r="AG169" s="131">
        <f t="shared" si="33"/>
        <v>0</v>
      </c>
      <c r="AH169" s="131">
        <f t="shared" si="34"/>
        <v>0</v>
      </c>
      <c r="AI169" s="131">
        <f t="shared" si="35"/>
        <v>0</v>
      </c>
      <c r="AJ169" s="131" t="e">
        <f t="shared" si="36"/>
        <v>#DIV/0!</v>
      </c>
      <c r="AK169" s="131">
        <f t="shared" si="37"/>
        <v>0</v>
      </c>
      <c r="AL169" s="131">
        <f t="shared" si="38"/>
        <v>0</v>
      </c>
      <c r="AM169" s="131">
        <v>0</v>
      </c>
      <c r="AN169" s="131">
        <f t="shared" si="39"/>
        <v>0</v>
      </c>
      <c r="AO169" s="131">
        <v>0</v>
      </c>
      <c r="AP169" s="131">
        <f t="shared" si="40"/>
        <v>0</v>
      </c>
      <c r="AQ169" s="131">
        <f t="shared" si="41"/>
        <v>0</v>
      </c>
      <c r="AR169" s="131">
        <v>0</v>
      </c>
    </row>
    <row r="170" spans="28:44">
      <c r="AB170" s="131">
        <f t="shared" si="28"/>
        <v>0</v>
      </c>
      <c r="AC170" s="131">
        <f t="shared" si="29"/>
        <v>0</v>
      </c>
      <c r="AD170" s="131">
        <f t="shared" si="30"/>
        <v>0</v>
      </c>
      <c r="AE170" s="131">
        <f t="shared" si="31"/>
        <v>0</v>
      </c>
      <c r="AF170" s="131">
        <f t="shared" si="32"/>
        <v>0</v>
      </c>
      <c r="AG170" s="131">
        <f t="shared" si="33"/>
        <v>0</v>
      </c>
      <c r="AH170" s="131">
        <f t="shared" si="34"/>
        <v>0</v>
      </c>
      <c r="AI170" s="131">
        <f t="shared" si="35"/>
        <v>0</v>
      </c>
      <c r="AJ170" s="131" t="e">
        <f t="shared" si="36"/>
        <v>#DIV/0!</v>
      </c>
      <c r="AK170" s="131">
        <f t="shared" si="37"/>
        <v>0</v>
      </c>
      <c r="AL170" s="131">
        <f t="shared" si="38"/>
        <v>0</v>
      </c>
      <c r="AM170" s="131">
        <v>0</v>
      </c>
      <c r="AN170" s="131">
        <f t="shared" si="39"/>
        <v>0</v>
      </c>
      <c r="AO170" s="131">
        <v>0</v>
      </c>
      <c r="AP170" s="131">
        <f t="shared" si="40"/>
        <v>0</v>
      </c>
      <c r="AQ170" s="131">
        <f t="shared" si="41"/>
        <v>0</v>
      </c>
      <c r="AR170" s="131">
        <v>0</v>
      </c>
    </row>
    <row r="171" spans="28:44">
      <c r="AB171" s="131">
        <f t="shared" si="28"/>
        <v>0</v>
      </c>
      <c r="AC171" s="131">
        <f t="shared" si="29"/>
        <v>0</v>
      </c>
      <c r="AD171" s="131">
        <f t="shared" si="30"/>
        <v>0</v>
      </c>
      <c r="AE171" s="131">
        <f t="shared" si="31"/>
        <v>0</v>
      </c>
      <c r="AF171" s="131">
        <f t="shared" si="32"/>
        <v>0</v>
      </c>
      <c r="AG171" s="131">
        <f t="shared" si="33"/>
        <v>0</v>
      </c>
      <c r="AH171" s="131">
        <f t="shared" si="34"/>
        <v>0</v>
      </c>
      <c r="AI171" s="131">
        <f t="shared" si="35"/>
        <v>0</v>
      </c>
      <c r="AJ171" s="131" t="e">
        <f t="shared" si="36"/>
        <v>#DIV/0!</v>
      </c>
      <c r="AK171" s="131">
        <f t="shared" si="37"/>
        <v>0</v>
      </c>
      <c r="AL171" s="131">
        <f t="shared" si="38"/>
        <v>0</v>
      </c>
      <c r="AM171" s="131">
        <v>0</v>
      </c>
      <c r="AN171" s="131">
        <f t="shared" si="39"/>
        <v>0</v>
      </c>
      <c r="AO171" s="131">
        <v>0</v>
      </c>
      <c r="AP171" s="131">
        <f t="shared" si="40"/>
        <v>0</v>
      </c>
      <c r="AQ171" s="131">
        <f t="shared" si="41"/>
        <v>0</v>
      </c>
      <c r="AR171" s="131">
        <v>0</v>
      </c>
    </row>
    <row r="172" spans="28:44">
      <c r="AB172" s="131">
        <f t="shared" si="28"/>
        <v>0</v>
      </c>
      <c r="AC172" s="131">
        <f t="shared" si="29"/>
        <v>0</v>
      </c>
      <c r="AD172" s="131">
        <f t="shared" si="30"/>
        <v>0</v>
      </c>
      <c r="AE172" s="131">
        <f t="shared" si="31"/>
        <v>0</v>
      </c>
      <c r="AF172" s="131">
        <f t="shared" si="32"/>
        <v>0</v>
      </c>
      <c r="AG172" s="131">
        <f t="shared" si="33"/>
        <v>0</v>
      </c>
      <c r="AH172" s="131">
        <f t="shared" si="34"/>
        <v>0</v>
      </c>
      <c r="AI172" s="131">
        <f t="shared" si="35"/>
        <v>0</v>
      </c>
      <c r="AJ172" s="131" t="e">
        <f t="shared" si="36"/>
        <v>#DIV/0!</v>
      </c>
      <c r="AK172" s="131">
        <f t="shared" si="37"/>
        <v>0</v>
      </c>
      <c r="AL172" s="131">
        <f t="shared" si="38"/>
        <v>0</v>
      </c>
      <c r="AM172" s="131">
        <v>0</v>
      </c>
      <c r="AN172" s="131">
        <f t="shared" si="39"/>
        <v>0</v>
      </c>
      <c r="AO172" s="131">
        <v>0</v>
      </c>
      <c r="AP172" s="131">
        <f t="shared" si="40"/>
        <v>0</v>
      </c>
      <c r="AQ172" s="131">
        <f t="shared" si="41"/>
        <v>0</v>
      </c>
      <c r="AR172" s="131">
        <v>0</v>
      </c>
    </row>
    <row r="173" spans="28:44">
      <c r="AB173" s="131">
        <f t="shared" si="28"/>
        <v>0</v>
      </c>
      <c r="AC173" s="131">
        <f t="shared" si="29"/>
        <v>0</v>
      </c>
      <c r="AD173" s="131">
        <f t="shared" si="30"/>
        <v>0</v>
      </c>
      <c r="AE173" s="131">
        <f t="shared" si="31"/>
        <v>0</v>
      </c>
      <c r="AF173" s="131">
        <f t="shared" si="32"/>
        <v>0</v>
      </c>
      <c r="AG173" s="131">
        <f t="shared" si="33"/>
        <v>0</v>
      </c>
      <c r="AH173" s="131">
        <f t="shared" si="34"/>
        <v>0</v>
      </c>
      <c r="AI173" s="131">
        <f t="shared" si="35"/>
        <v>0</v>
      </c>
      <c r="AJ173" s="131" t="e">
        <f t="shared" si="36"/>
        <v>#DIV/0!</v>
      </c>
      <c r="AK173" s="131">
        <f t="shared" si="37"/>
        <v>0</v>
      </c>
      <c r="AL173" s="131">
        <f t="shared" si="38"/>
        <v>0</v>
      </c>
      <c r="AM173" s="131">
        <v>0</v>
      </c>
      <c r="AN173" s="131">
        <f t="shared" si="39"/>
        <v>0</v>
      </c>
      <c r="AO173" s="131">
        <v>0</v>
      </c>
      <c r="AP173" s="131">
        <f t="shared" si="40"/>
        <v>0</v>
      </c>
      <c r="AQ173" s="131">
        <f t="shared" si="41"/>
        <v>0</v>
      </c>
      <c r="AR173" s="131">
        <v>0</v>
      </c>
    </row>
    <row r="174" spans="28:44">
      <c r="AB174" s="131">
        <f t="shared" si="28"/>
        <v>0</v>
      </c>
      <c r="AC174" s="131">
        <f t="shared" si="29"/>
        <v>0</v>
      </c>
      <c r="AD174" s="131">
        <f t="shared" si="30"/>
        <v>0</v>
      </c>
      <c r="AE174" s="131">
        <f t="shared" si="31"/>
        <v>0</v>
      </c>
      <c r="AF174" s="131">
        <f t="shared" si="32"/>
        <v>0</v>
      </c>
      <c r="AG174" s="131">
        <f t="shared" si="33"/>
        <v>0</v>
      </c>
      <c r="AH174" s="131">
        <f t="shared" si="34"/>
        <v>0</v>
      </c>
      <c r="AI174" s="131">
        <f t="shared" si="35"/>
        <v>0</v>
      </c>
      <c r="AJ174" s="131" t="e">
        <f t="shared" si="36"/>
        <v>#DIV/0!</v>
      </c>
      <c r="AK174" s="131">
        <f t="shared" si="37"/>
        <v>0</v>
      </c>
      <c r="AL174" s="131">
        <f t="shared" si="38"/>
        <v>0</v>
      </c>
      <c r="AM174" s="131">
        <v>0</v>
      </c>
      <c r="AN174" s="131">
        <f t="shared" si="39"/>
        <v>0</v>
      </c>
      <c r="AO174" s="131">
        <v>0</v>
      </c>
      <c r="AP174" s="131">
        <f t="shared" si="40"/>
        <v>0</v>
      </c>
      <c r="AQ174" s="131">
        <f t="shared" si="41"/>
        <v>0</v>
      </c>
      <c r="AR174" s="131">
        <v>0</v>
      </c>
    </row>
    <row r="175" spans="28:44">
      <c r="AB175" s="131">
        <f t="shared" si="28"/>
        <v>0</v>
      </c>
      <c r="AC175" s="131">
        <f t="shared" si="29"/>
        <v>0</v>
      </c>
      <c r="AD175" s="131">
        <f t="shared" si="30"/>
        <v>0</v>
      </c>
      <c r="AE175" s="131">
        <f t="shared" si="31"/>
        <v>0</v>
      </c>
      <c r="AF175" s="131">
        <f t="shared" si="32"/>
        <v>0</v>
      </c>
      <c r="AG175" s="131">
        <f t="shared" si="33"/>
        <v>0</v>
      </c>
      <c r="AH175" s="131">
        <f t="shared" si="34"/>
        <v>0</v>
      </c>
      <c r="AI175" s="131">
        <f t="shared" si="35"/>
        <v>0</v>
      </c>
      <c r="AJ175" s="131" t="e">
        <f t="shared" si="36"/>
        <v>#DIV/0!</v>
      </c>
      <c r="AK175" s="131">
        <f t="shared" si="37"/>
        <v>0</v>
      </c>
      <c r="AL175" s="131">
        <f t="shared" si="38"/>
        <v>0</v>
      </c>
      <c r="AM175" s="131">
        <v>0</v>
      </c>
      <c r="AN175" s="131">
        <f t="shared" si="39"/>
        <v>0</v>
      </c>
      <c r="AO175" s="131">
        <v>0</v>
      </c>
      <c r="AP175" s="131">
        <f t="shared" si="40"/>
        <v>0</v>
      </c>
      <c r="AQ175" s="131">
        <f t="shared" si="41"/>
        <v>0</v>
      </c>
      <c r="AR175" s="131">
        <v>0</v>
      </c>
    </row>
    <row r="176" spans="28:44">
      <c r="AB176" s="131">
        <f t="shared" si="28"/>
        <v>0</v>
      </c>
      <c r="AC176" s="131">
        <f t="shared" si="29"/>
        <v>0</v>
      </c>
      <c r="AD176" s="131">
        <f t="shared" si="30"/>
        <v>0</v>
      </c>
      <c r="AE176" s="131">
        <f t="shared" si="31"/>
        <v>0</v>
      </c>
      <c r="AF176" s="131">
        <f t="shared" si="32"/>
        <v>0</v>
      </c>
      <c r="AG176" s="131">
        <f t="shared" si="33"/>
        <v>0</v>
      </c>
      <c r="AH176" s="131">
        <f t="shared" si="34"/>
        <v>0</v>
      </c>
      <c r="AI176" s="131">
        <f t="shared" si="35"/>
        <v>0</v>
      </c>
      <c r="AJ176" s="131" t="e">
        <f t="shared" si="36"/>
        <v>#DIV/0!</v>
      </c>
      <c r="AK176" s="131">
        <f t="shared" si="37"/>
        <v>0</v>
      </c>
      <c r="AL176" s="131">
        <f t="shared" si="38"/>
        <v>0</v>
      </c>
      <c r="AM176" s="131">
        <v>0</v>
      </c>
      <c r="AN176" s="131">
        <f t="shared" si="39"/>
        <v>0</v>
      </c>
      <c r="AO176" s="131">
        <v>0</v>
      </c>
      <c r="AP176" s="131">
        <f t="shared" si="40"/>
        <v>0</v>
      </c>
      <c r="AQ176" s="131">
        <f t="shared" si="41"/>
        <v>0</v>
      </c>
      <c r="AR176" s="131">
        <v>0</v>
      </c>
    </row>
    <row r="177" spans="28:44">
      <c r="AB177" s="131">
        <f t="shared" si="28"/>
        <v>0</v>
      </c>
      <c r="AC177" s="131">
        <f t="shared" si="29"/>
        <v>0</v>
      </c>
      <c r="AD177" s="131">
        <f t="shared" si="30"/>
        <v>0</v>
      </c>
      <c r="AE177" s="131">
        <f t="shared" si="31"/>
        <v>0</v>
      </c>
      <c r="AF177" s="131">
        <f t="shared" si="32"/>
        <v>0</v>
      </c>
      <c r="AG177" s="131">
        <f t="shared" si="33"/>
        <v>0</v>
      </c>
      <c r="AH177" s="131">
        <f t="shared" si="34"/>
        <v>0</v>
      </c>
      <c r="AI177" s="131">
        <f t="shared" si="35"/>
        <v>0</v>
      </c>
      <c r="AJ177" s="131" t="e">
        <f t="shared" si="36"/>
        <v>#DIV/0!</v>
      </c>
      <c r="AK177" s="131">
        <f t="shared" si="37"/>
        <v>0</v>
      </c>
      <c r="AL177" s="131">
        <f t="shared" si="38"/>
        <v>0</v>
      </c>
      <c r="AM177" s="131">
        <v>0</v>
      </c>
      <c r="AN177" s="131">
        <f t="shared" si="39"/>
        <v>0</v>
      </c>
      <c r="AO177" s="131">
        <v>0</v>
      </c>
      <c r="AP177" s="131">
        <f t="shared" si="40"/>
        <v>0</v>
      </c>
      <c r="AQ177" s="131">
        <f t="shared" si="41"/>
        <v>0</v>
      </c>
      <c r="AR177" s="131">
        <v>0</v>
      </c>
    </row>
    <row r="178" spans="28:44">
      <c r="AB178" s="131">
        <f t="shared" si="28"/>
        <v>0</v>
      </c>
      <c r="AC178" s="131">
        <f t="shared" si="29"/>
        <v>0</v>
      </c>
      <c r="AD178" s="131">
        <f t="shared" si="30"/>
        <v>0</v>
      </c>
      <c r="AE178" s="131">
        <f t="shared" si="31"/>
        <v>0</v>
      </c>
      <c r="AF178" s="131">
        <f t="shared" si="32"/>
        <v>0</v>
      </c>
      <c r="AG178" s="131">
        <f t="shared" si="33"/>
        <v>0</v>
      </c>
      <c r="AH178" s="131">
        <f t="shared" si="34"/>
        <v>0</v>
      </c>
      <c r="AI178" s="131">
        <f t="shared" si="35"/>
        <v>0</v>
      </c>
      <c r="AJ178" s="131" t="e">
        <f t="shared" si="36"/>
        <v>#DIV/0!</v>
      </c>
      <c r="AK178" s="131">
        <f t="shared" si="37"/>
        <v>0</v>
      </c>
      <c r="AL178" s="131">
        <f t="shared" si="38"/>
        <v>0</v>
      </c>
      <c r="AM178" s="131">
        <v>0</v>
      </c>
      <c r="AN178" s="131">
        <f t="shared" si="39"/>
        <v>0</v>
      </c>
      <c r="AO178" s="131">
        <v>0</v>
      </c>
      <c r="AP178" s="131">
        <f t="shared" si="40"/>
        <v>0</v>
      </c>
      <c r="AQ178" s="131">
        <f t="shared" si="41"/>
        <v>0</v>
      </c>
      <c r="AR178" s="131">
        <v>0</v>
      </c>
    </row>
    <row r="179" spans="28:44">
      <c r="AB179" s="131">
        <f t="shared" si="28"/>
        <v>0</v>
      </c>
      <c r="AC179" s="131">
        <f t="shared" si="29"/>
        <v>0</v>
      </c>
      <c r="AD179" s="131">
        <f t="shared" si="30"/>
        <v>0</v>
      </c>
      <c r="AE179" s="131">
        <f t="shared" si="31"/>
        <v>0</v>
      </c>
      <c r="AF179" s="131">
        <f t="shared" si="32"/>
        <v>0</v>
      </c>
      <c r="AG179" s="131">
        <f t="shared" si="33"/>
        <v>0</v>
      </c>
      <c r="AH179" s="131">
        <f t="shared" si="34"/>
        <v>0</v>
      </c>
      <c r="AI179" s="131">
        <f t="shared" si="35"/>
        <v>0</v>
      </c>
      <c r="AJ179" s="131" t="e">
        <f t="shared" si="36"/>
        <v>#DIV/0!</v>
      </c>
      <c r="AK179" s="131">
        <f t="shared" si="37"/>
        <v>0</v>
      </c>
      <c r="AL179" s="131">
        <f t="shared" si="38"/>
        <v>0</v>
      </c>
      <c r="AM179" s="131">
        <v>0</v>
      </c>
      <c r="AN179" s="131">
        <f t="shared" si="39"/>
        <v>0</v>
      </c>
      <c r="AO179" s="131">
        <v>0</v>
      </c>
      <c r="AP179" s="131">
        <f t="shared" si="40"/>
        <v>0</v>
      </c>
      <c r="AQ179" s="131">
        <f t="shared" si="41"/>
        <v>0</v>
      </c>
      <c r="AR179" s="131">
        <v>0</v>
      </c>
    </row>
    <row r="180" spans="28:44">
      <c r="AB180" s="131">
        <f t="shared" si="28"/>
        <v>0</v>
      </c>
      <c r="AC180" s="131">
        <f t="shared" si="29"/>
        <v>0</v>
      </c>
      <c r="AD180" s="131">
        <f t="shared" si="30"/>
        <v>0</v>
      </c>
      <c r="AE180" s="131">
        <f t="shared" si="31"/>
        <v>0</v>
      </c>
      <c r="AF180" s="131">
        <f t="shared" si="32"/>
        <v>0</v>
      </c>
      <c r="AG180" s="131">
        <f t="shared" si="33"/>
        <v>0</v>
      </c>
      <c r="AH180" s="131">
        <f t="shared" si="34"/>
        <v>0</v>
      </c>
      <c r="AI180" s="131">
        <f t="shared" si="35"/>
        <v>0</v>
      </c>
      <c r="AJ180" s="131" t="e">
        <f t="shared" si="36"/>
        <v>#DIV/0!</v>
      </c>
      <c r="AK180" s="131">
        <f t="shared" si="37"/>
        <v>0</v>
      </c>
      <c r="AL180" s="131">
        <f t="shared" si="38"/>
        <v>0</v>
      </c>
      <c r="AM180" s="131">
        <v>0</v>
      </c>
      <c r="AN180" s="131">
        <f t="shared" si="39"/>
        <v>0</v>
      </c>
      <c r="AO180" s="131">
        <v>0</v>
      </c>
      <c r="AP180" s="131">
        <f t="shared" si="40"/>
        <v>0</v>
      </c>
      <c r="AQ180" s="131">
        <f t="shared" si="41"/>
        <v>0</v>
      </c>
      <c r="AR180" s="131">
        <v>0</v>
      </c>
    </row>
    <row r="181" spans="28:44">
      <c r="AB181" s="131">
        <f t="shared" si="28"/>
        <v>0</v>
      </c>
      <c r="AC181" s="131">
        <f t="shared" si="29"/>
        <v>0</v>
      </c>
      <c r="AD181" s="131">
        <f t="shared" si="30"/>
        <v>0</v>
      </c>
      <c r="AE181" s="131">
        <f t="shared" si="31"/>
        <v>0</v>
      </c>
      <c r="AF181" s="131">
        <f t="shared" si="32"/>
        <v>0</v>
      </c>
      <c r="AG181" s="131">
        <f t="shared" si="33"/>
        <v>0</v>
      </c>
      <c r="AH181" s="131">
        <f t="shared" si="34"/>
        <v>0</v>
      </c>
      <c r="AI181" s="131">
        <f t="shared" si="35"/>
        <v>0</v>
      </c>
      <c r="AJ181" s="131" t="e">
        <f t="shared" si="36"/>
        <v>#DIV/0!</v>
      </c>
      <c r="AK181" s="131">
        <f t="shared" si="37"/>
        <v>0</v>
      </c>
      <c r="AL181" s="131">
        <f t="shared" si="38"/>
        <v>0</v>
      </c>
      <c r="AM181" s="131">
        <v>0</v>
      </c>
      <c r="AN181" s="131">
        <f t="shared" si="39"/>
        <v>0</v>
      </c>
      <c r="AO181" s="131">
        <v>0</v>
      </c>
      <c r="AP181" s="131">
        <f t="shared" si="40"/>
        <v>0</v>
      </c>
      <c r="AQ181" s="131">
        <f t="shared" si="41"/>
        <v>0</v>
      </c>
      <c r="AR181" s="131">
        <v>0</v>
      </c>
    </row>
    <row r="182" spans="28:44">
      <c r="AB182" s="131">
        <f t="shared" si="28"/>
        <v>0</v>
      </c>
      <c r="AC182" s="131">
        <f t="shared" si="29"/>
        <v>0</v>
      </c>
      <c r="AD182" s="131">
        <f t="shared" si="30"/>
        <v>0</v>
      </c>
      <c r="AE182" s="131">
        <f t="shared" si="31"/>
        <v>0</v>
      </c>
      <c r="AF182" s="131">
        <f t="shared" si="32"/>
        <v>0</v>
      </c>
      <c r="AG182" s="131">
        <f t="shared" si="33"/>
        <v>0</v>
      </c>
      <c r="AH182" s="131">
        <f t="shared" si="34"/>
        <v>0</v>
      </c>
      <c r="AI182" s="131">
        <f t="shared" si="35"/>
        <v>0</v>
      </c>
      <c r="AJ182" s="131" t="e">
        <f t="shared" si="36"/>
        <v>#DIV/0!</v>
      </c>
      <c r="AK182" s="131">
        <f t="shared" si="37"/>
        <v>0</v>
      </c>
      <c r="AL182" s="131">
        <f t="shared" si="38"/>
        <v>0</v>
      </c>
      <c r="AM182" s="131">
        <v>0</v>
      </c>
      <c r="AN182" s="131">
        <f t="shared" si="39"/>
        <v>0</v>
      </c>
      <c r="AO182" s="131">
        <v>0</v>
      </c>
      <c r="AP182" s="131">
        <f t="shared" si="40"/>
        <v>0</v>
      </c>
      <c r="AQ182" s="131">
        <f t="shared" si="41"/>
        <v>0</v>
      </c>
      <c r="AR182" s="131">
        <v>0</v>
      </c>
    </row>
    <row r="183" spans="28:44">
      <c r="AB183" s="131">
        <f t="shared" si="28"/>
        <v>0</v>
      </c>
      <c r="AC183" s="131">
        <f t="shared" si="29"/>
        <v>0</v>
      </c>
      <c r="AD183" s="131">
        <f t="shared" si="30"/>
        <v>0</v>
      </c>
      <c r="AE183" s="131">
        <f t="shared" si="31"/>
        <v>0</v>
      </c>
      <c r="AF183" s="131">
        <f t="shared" si="32"/>
        <v>0</v>
      </c>
      <c r="AG183" s="131">
        <f t="shared" si="33"/>
        <v>0</v>
      </c>
      <c r="AH183" s="131">
        <f t="shared" si="34"/>
        <v>0</v>
      </c>
      <c r="AI183" s="131">
        <f t="shared" si="35"/>
        <v>0</v>
      </c>
      <c r="AJ183" s="131" t="e">
        <f t="shared" si="36"/>
        <v>#DIV/0!</v>
      </c>
      <c r="AK183" s="131">
        <f t="shared" si="37"/>
        <v>0</v>
      </c>
      <c r="AL183" s="131">
        <f t="shared" si="38"/>
        <v>0</v>
      </c>
      <c r="AM183" s="131">
        <v>0</v>
      </c>
      <c r="AN183" s="131">
        <f t="shared" si="39"/>
        <v>0</v>
      </c>
      <c r="AO183" s="131">
        <v>0</v>
      </c>
      <c r="AP183" s="131">
        <f t="shared" si="40"/>
        <v>0</v>
      </c>
      <c r="AQ183" s="131">
        <f t="shared" si="41"/>
        <v>0</v>
      </c>
      <c r="AR183" s="131">
        <v>0</v>
      </c>
    </row>
    <row r="184" spans="28:44">
      <c r="AB184" s="131">
        <f t="shared" si="28"/>
        <v>0</v>
      </c>
      <c r="AC184" s="131">
        <f t="shared" si="29"/>
        <v>0</v>
      </c>
      <c r="AD184" s="131">
        <f t="shared" si="30"/>
        <v>0</v>
      </c>
      <c r="AE184" s="131">
        <f t="shared" si="31"/>
        <v>0</v>
      </c>
      <c r="AF184" s="131">
        <f t="shared" si="32"/>
        <v>0</v>
      </c>
      <c r="AG184" s="131">
        <f t="shared" si="33"/>
        <v>0</v>
      </c>
      <c r="AH184" s="131">
        <f t="shared" si="34"/>
        <v>0</v>
      </c>
      <c r="AI184" s="131">
        <f t="shared" si="35"/>
        <v>0</v>
      </c>
      <c r="AJ184" s="131" t="e">
        <f t="shared" si="36"/>
        <v>#DIV/0!</v>
      </c>
      <c r="AK184" s="131">
        <f t="shared" si="37"/>
        <v>0</v>
      </c>
      <c r="AL184" s="131">
        <f t="shared" si="38"/>
        <v>0</v>
      </c>
      <c r="AM184" s="131">
        <v>0</v>
      </c>
      <c r="AN184" s="131">
        <f t="shared" si="39"/>
        <v>0</v>
      </c>
      <c r="AO184" s="131">
        <v>0</v>
      </c>
      <c r="AP184" s="131">
        <f t="shared" si="40"/>
        <v>0</v>
      </c>
      <c r="AQ184" s="131">
        <f t="shared" si="41"/>
        <v>0</v>
      </c>
      <c r="AR184" s="131">
        <v>0</v>
      </c>
    </row>
    <row r="185" spans="28:44">
      <c r="AB185" s="131">
        <f t="shared" si="28"/>
        <v>0</v>
      </c>
      <c r="AC185" s="131">
        <f t="shared" si="29"/>
        <v>0</v>
      </c>
      <c r="AD185" s="131">
        <f t="shared" si="30"/>
        <v>0</v>
      </c>
      <c r="AE185" s="131">
        <f t="shared" si="31"/>
        <v>0</v>
      </c>
      <c r="AF185" s="131">
        <f t="shared" si="32"/>
        <v>0</v>
      </c>
      <c r="AG185" s="131">
        <f t="shared" si="33"/>
        <v>0</v>
      </c>
      <c r="AH185" s="131">
        <f t="shared" si="34"/>
        <v>0</v>
      </c>
      <c r="AI185" s="131">
        <f t="shared" si="35"/>
        <v>0</v>
      </c>
      <c r="AJ185" s="131" t="e">
        <f t="shared" si="36"/>
        <v>#DIV/0!</v>
      </c>
      <c r="AK185" s="131">
        <f t="shared" si="37"/>
        <v>0</v>
      </c>
      <c r="AL185" s="131">
        <f t="shared" si="38"/>
        <v>0</v>
      </c>
      <c r="AM185" s="131">
        <v>0</v>
      </c>
      <c r="AN185" s="131">
        <f t="shared" si="39"/>
        <v>0</v>
      </c>
      <c r="AO185" s="131">
        <v>0</v>
      </c>
      <c r="AP185" s="131">
        <f t="shared" si="40"/>
        <v>0</v>
      </c>
      <c r="AQ185" s="131">
        <f t="shared" si="41"/>
        <v>0</v>
      </c>
      <c r="AR185" s="131">
        <v>0</v>
      </c>
    </row>
    <row r="186" spans="28:44">
      <c r="AB186" s="131">
        <f t="shared" si="28"/>
        <v>0</v>
      </c>
      <c r="AC186" s="131">
        <f t="shared" si="29"/>
        <v>0</v>
      </c>
      <c r="AD186" s="131">
        <f t="shared" si="30"/>
        <v>0</v>
      </c>
      <c r="AE186" s="131">
        <f t="shared" si="31"/>
        <v>0</v>
      </c>
      <c r="AF186" s="131">
        <f t="shared" si="32"/>
        <v>0</v>
      </c>
      <c r="AG186" s="131">
        <f t="shared" si="33"/>
        <v>0</v>
      </c>
      <c r="AH186" s="131">
        <f t="shared" si="34"/>
        <v>0</v>
      </c>
      <c r="AI186" s="131">
        <f t="shared" si="35"/>
        <v>0</v>
      </c>
      <c r="AJ186" s="131" t="e">
        <f t="shared" si="36"/>
        <v>#DIV/0!</v>
      </c>
      <c r="AK186" s="131">
        <f t="shared" si="37"/>
        <v>0</v>
      </c>
      <c r="AL186" s="131">
        <f t="shared" si="38"/>
        <v>0</v>
      </c>
      <c r="AM186" s="131">
        <v>0</v>
      </c>
      <c r="AN186" s="131">
        <f t="shared" si="39"/>
        <v>0</v>
      </c>
      <c r="AO186" s="131">
        <v>0</v>
      </c>
      <c r="AP186" s="131">
        <f t="shared" si="40"/>
        <v>0</v>
      </c>
      <c r="AQ186" s="131">
        <f t="shared" si="41"/>
        <v>0</v>
      </c>
      <c r="AR186" s="131">
        <v>0</v>
      </c>
    </row>
    <row r="187" spans="28:44">
      <c r="AB187" s="131">
        <f t="shared" si="28"/>
        <v>0</v>
      </c>
      <c r="AC187" s="131">
        <f t="shared" si="29"/>
        <v>0</v>
      </c>
      <c r="AD187" s="131">
        <f t="shared" si="30"/>
        <v>0</v>
      </c>
      <c r="AE187" s="131">
        <f t="shared" si="31"/>
        <v>0</v>
      </c>
      <c r="AF187" s="131">
        <f t="shared" si="32"/>
        <v>0</v>
      </c>
      <c r="AG187" s="131">
        <f t="shared" si="33"/>
        <v>0</v>
      </c>
      <c r="AH187" s="131">
        <f t="shared" si="34"/>
        <v>0</v>
      </c>
      <c r="AI187" s="131">
        <f t="shared" si="35"/>
        <v>0</v>
      </c>
      <c r="AJ187" s="131" t="e">
        <f t="shared" si="36"/>
        <v>#DIV/0!</v>
      </c>
      <c r="AK187" s="131">
        <f t="shared" si="37"/>
        <v>0</v>
      </c>
      <c r="AL187" s="131">
        <f t="shared" si="38"/>
        <v>0</v>
      </c>
      <c r="AM187" s="131">
        <v>0</v>
      </c>
      <c r="AN187" s="131">
        <f t="shared" si="39"/>
        <v>0</v>
      </c>
      <c r="AO187" s="131">
        <v>0</v>
      </c>
      <c r="AP187" s="131">
        <f t="shared" si="40"/>
        <v>0</v>
      </c>
      <c r="AQ187" s="131">
        <f t="shared" si="41"/>
        <v>0</v>
      </c>
      <c r="AR187" s="131">
        <v>0</v>
      </c>
    </row>
    <row r="188" spans="28:44">
      <c r="AB188" s="131">
        <f t="shared" si="28"/>
        <v>0</v>
      </c>
      <c r="AC188" s="131">
        <f t="shared" si="29"/>
        <v>0</v>
      </c>
      <c r="AD188" s="131">
        <f t="shared" si="30"/>
        <v>0</v>
      </c>
      <c r="AE188" s="131">
        <f t="shared" si="31"/>
        <v>0</v>
      </c>
      <c r="AF188" s="131">
        <f t="shared" si="32"/>
        <v>0</v>
      </c>
      <c r="AG188" s="131">
        <f t="shared" si="33"/>
        <v>0</v>
      </c>
      <c r="AH188" s="131">
        <f t="shared" si="34"/>
        <v>0</v>
      </c>
      <c r="AI188" s="131">
        <f t="shared" si="35"/>
        <v>0</v>
      </c>
      <c r="AJ188" s="131" t="e">
        <f t="shared" si="36"/>
        <v>#DIV/0!</v>
      </c>
      <c r="AK188" s="131">
        <f t="shared" si="37"/>
        <v>0</v>
      </c>
      <c r="AL188" s="131">
        <f t="shared" si="38"/>
        <v>0</v>
      </c>
      <c r="AM188" s="131">
        <v>0</v>
      </c>
      <c r="AN188" s="131">
        <f t="shared" si="39"/>
        <v>0</v>
      </c>
      <c r="AO188" s="131">
        <v>0</v>
      </c>
      <c r="AP188" s="131">
        <f t="shared" si="40"/>
        <v>0</v>
      </c>
      <c r="AQ188" s="131">
        <f t="shared" si="41"/>
        <v>0</v>
      </c>
      <c r="AR188" s="131">
        <v>0</v>
      </c>
    </row>
    <row r="189" spans="28:44">
      <c r="AB189" s="131">
        <f t="shared" si="28"/>
        <v>0</v>
      </c>
      <c r="AC189" s="131">
        <f t="shared" si="29"/>
        <v>0</v>
      </c>
      <c r="AD189" s="131">
        <f t="shared" si="30"/>
        <v>0</v>
      </c>
      <c r="AE189" s="131">
        <f t="shared" si="31"/>
        <v>0</v>
      </c>
      <c r="AF189" s="131">
        <f t="shared" si="32"/>
        <v>0</v>
      </c>
      <c r="AG189" s="131">
        <f t="shared" si="33"/>
        <v>0</v>
      </c>
      <c r="AH189" s="131">
        <f t="shared" si="34"/>
        <v>0</v>
      </c>
      <c r="AI189" s="131">
        <f t="shared" si="35"/>
        <v>0</v>
      </c>
      <c r="AJ189" s="131" t="e">
        <f t="shared" si="36"/>
        <v>#DIV/0!</v>
      </c>
      <c r="AK189" s="131">
        <f t="shared" si="37"/>
        <v>0</v>
      </c>
      <c r="AL189" s="131">
        <f t="shared" si="38"/>
        <v>0</v>
      </c>
      <c r="AM189" s="131">
        <v>0</v>
      </c>
      <c r="AN189" s="131">
        <f t="shared" si="39"/>
        <v>0</v>
      </c>
      <c r="AO189" s="131">
        <v>0</v>
      </c>
      <c r="AP189" s="131">
        <f t="shared" si="40"/>
        <v>0</v>
      </c>
      <c r="AQ189" s="131">
        <f t="shared" si="41"/>
        <v>0</v>
      </c>
      <c r="AR189" s="131">
        <v>0</v>
      </c>
    </row>
    <row r="190" spans="28:44">
      <c r="AB190" s="131">
        <f t="shared" si="28"/>
        <v>0</v>
      </c>
      <c r="AC190" s="131">
        <f t="shared" si="29"/>
        <v>0</v>
      </c>
      <c r="AD190" s="131">
        <f t="shared" si="30"/>
        <v>0</v>
      </c>
      <c r="AE190" s="131">
        <f t="shared" si="31"/>
        <v>0</v>
      </c>
      <c r="AF190" s="131">
        <f t="shared" si="32"/>
        <v>0</v>
      </c>
      <c r="AG190" s="131">
        <f t="shared" si="33"/>
        <v>0</v>
      </c>
      <c r="AH190" s="131">
        <f t="shared" si="34"/>
        <v>0</v>
      </c>
      <c r="AI190" s="131">
        <f t="shared" si="35"/>
        <v>0</v>
      </c>
      <c r="AJ190" s="131" t="e">
        <f t="shared" si="36"/>
        <v>#DIV/0!</v>
      </c>
      <c r="AK190" s="131">
        <f t="shared" si="37"/>
        <v>0</v>
      </c>
      <c r="AL190" s="131">
        <f t="shared" si="38"/>
        <v>0</v>
      </c>
      <c r="AM190" s="131">
        <v>0</v>
      </c>
      <c r="AN190" s="131">
        <f t="shared" si="39"/>
        <v>0</v>
      </c>
      <c r="AO190" s="131">
        <v>0</v>
      </c>
      <c r="AP190" s="131">
        <f t="shared" si="40"/>
        <v>0</v>
      </c>
      <c r="AQ190" s="131">
        <f t="shared" si="41"/>
        <v>0</v>
      </c>
      <c r="AR190" s="131">
        <v>0</v>
      </c>
    </row>
    <row r="191" spans="28:44">
      <c r="AB191" s="131">
        <f t="shared" si="28"/>
        <v>0</v>
      </c>
      <c r="AC191" s="131">
        <f t="shared" si="29"/>
        <v>0</v>
      </c>
      <c r="AD191" s="131">
        <f t="shared" si="30"/>
        <v>0</v>
      </c>
      <c r="AE191" s="131">
        <f t="shared" si="31"/>
        <v>0</v>
      </c>
      <c r="AF191" s="131">
        <f t="shared" si="32"/>
        <v>0</v>
      </c>
      <c r="AG191" s="131">
        <f t="shared" si="33"/>
        <v>0</v>
      </c>
      <c r="AH191" s="131">
        <f t="shared" si="34"/>
        <v>0</v>
      </c>
      <c r="AI191" s="131">
        <f t="shared" si="35"/>
        <v>0</v>
      </c>
      <c r="AJ191" s="131" t="e">
        <f t="shared" si="36"/>
        <v>#DIV/0!</v>
      </c>
      <c r="AK191" s="131">
        <f t="shared" si="37"/>
        <v>0</v>
      </c>
      <c r="AL191" s="131">
        <f t="shared" si="38"/>
        <v>0</v>
      </c>
      <c r="AM191" s="131">
        <v>0</v>
      </c>
      <c r="AN191" s="131">
        <f t="shared" si="39"/>
        <v>0</v>
      </c>
      <c r="AO191" s="131">
        <v>0</v>
      </c>
      <c r="AP191" s="131">
        <f t="shared" si="40"/>
        <v>0</v>
      </c>
      <c r="AQ191" s="131">
        <f t="shared" si="41"/>
        <v>0</v>
      </c>
      <c r="AR191" s="131">
        <v>0</v>
      </c>
    </row>
    <row r="192" spans="28:44">
      <c r="AB192" s="131">
        <f t="shared" si="28"/>
        <v>0</v>
      </c>
      <c r="AC192" s="131">
        <f t="shared" si="29"/>
        <v>0</v>
      </c>
      <c r="AD192" s="131">
        <f t="shared" si="30"/>
        <v>0</v>
      </c>
      <c r="AE192" s="131">
        <f t="shared" si="31"/>
        <v>0</v>
      </c>
      <c r="AF192" s="131">
        <f t="shared" si="32"/>
        <v>0</v>
      </c>
      <c r="AG192" s="131">
        <f t="shared" si="33"/>
        <v>0</v>
      </c>
      <c r="AH192" s="131">
        <f t="shared" si="34"/>
        <v>0</v>
      </c>
      <c r="AI192" s="131">
        <f t="shared" si="35"/>
        <v>0</v>
      </c>
      <c r="AJ192" s="131" t="e">
        <f t="shared" si="36"/>
        <v>#DIV/0!</v>
      </c>
      <c r="AK192" s="131">
        <f t="shared" si="37"/>
        <v>0</v>
      </c>
      <c r="AL192" s="131">
        <f t="shared" si="38"/>
        <v>0</v>
      </c>
      <c r="AM192" s="131">
        <v>0</v>
      </c>
      <c r="AN192" s="131">
        <f t="shared" si="39"/>
        <v>0</v>
      </c>
      <c r="AO192" s="131">
        <v>0</v>
      </c>
      <c r="AP192" s="131">
        <f t="shared" si="40"/>
        <v>0</v>
      </c>
      <c r="AQ192" s="131">
        <f t="shared" si="41"/>
        <v>0</v>
      </c>
      <c r="AR192" s="131">
        <v>0</v>
      </c>
    </row>
    <row r="193" spans="28:44">
      <c r="AB193" s="131">
        <f t="shared" si="28"/>
        <v>0</v>
      </c>
      <c r="AC193" s="131">
        <f t="shared" si="29"/>
        <v>0</v>
      </c>
      <c r="AD193" s="131">
        <f t="shared" si="30"/>
        <v>0</v>
      </c>
      <c r="AE193" s="131">
        <f t="shared" si="31"/>
        <v>0</v>
      </c>
      <c r="AF193" s="131">
        <f t="shared" si="32"/>
        <v>0</v>
      </c>
      <c r="AG193" s="131">
        <f t="shared" si="33"/>
        <v>0</v>
      </c>
      <c r="AH193" s="131">
        <f t="shared" si="34"/>
        <v>0</v>
      </c>
      <c r="AI193" s="131">
        <f t="shared" si="35"/>
        <v>0</v>
      </c>
      <c r="AJ193" s="131" t="e">
        <f t="shared" si="36"/>
        <v>#DIV/0!</v>
      </c>
      <c r="AK193" s="131">
        <f t="shared" si="37"/>
        <v>0</v>
      </c>
      <c r="AL193" s="131">
        <f t="shared" si="38"/>
        <v>0</v>
      </c>
      <c r="AM193" s="131">
        <v>0</v>
      </c>
      <c r="AN193" s="131">
        <f t="shared" si="39"/>
        <v>0</v>
      </c>
      <c r="AO193" s="131">
        <v>0</v>
      </c>
      <c r="AP193" s="131">
        <f t="shared" si="40"/>
        <v>0</v>
      </c>
      <c r="AQ193" s="131">
        <f t="shared" si="41"/>
        <v>0</v>
      </c>
      <c r="AR193" s="131">
        <v>0</v>
      </c>
    </row>
    <row r="194" spans="28:44">
      <c r="AB194" s="131">
        <f t="shared" si="28"/>
        <v>0</v>
      </c>
      <c r="AC194" s="131">
        <f t="shared" si="29"/>
        <v>0</v>
      </c>
      <c r="AD194" s="131">
        <f t="shared" si="30"/>
        <v>0</v>
      </c>
      <c r="AE194" s="131">
        <f t="shared" si="31"/>
        <v>0</v>
      </c>
      <c r="AF194" s="131">
        <f t="shared" si="32"/>
        <v>0</v>
      </c>
      <c r="AG194" s="131">
        <f t="shared" si="33"/>
        <v>0</v>
      </c>
      <c r="AH194" s="131">
        <f t="shared" si="34"/>
        <v>0</v>
      </c>
      <c r="AI194" s="131">
        <f t="shared" si="35"/>
        <v>0</v>
      </c>
      <c r="AJ194" s="131" t="e">
        <f t="shared" si="36"/>
        <v>#DIV/0!</v>
      </c>
      <c r="AK194" s="131">
        <f t="shared" si="37"/>
        <v>0</v>
      </c>
      <c r="AL194" s="131">
        <f t="shared" si="38"/>
        <v>0</v>
      </c>
      <c r="AM194" s="131">
        <v>0</v>
      </c>
      <c r="AN194" s="131">
        <f t="shared" si="39"/>
        <v>0</v>
      </c>
      <c r="AO194" s="131">
        <v>0</v>
      </c>
      <c r="AP194" s="131">
        <f t="shared" si="40"/>
        <v>0</v>
      </c>
      <c r="AQ194" s="131">
        <f t="shared" si="41"/>
        <v>0</v>
      </c>
      <c r="AR194" s="131">
        <v>0</v>
      </c>
    </row>
    <row r="195" spans="28:44">
      <c r="AB195" s="131">
        <f t="shared" ref="AB195:AB250" si="42">+A195</f>
        <v>0</v>
      </c>
      <c r="AC195" s="131">
        <f t="shared" ref="AC195:AC250" si="43">+B195</f>
        <v>0</v>
      </c>
      <c r="AD195" s="131">
        <f t="shared" ref="AD195:AD250" si="44">+C195</f>
        <v>0</v>
      </c>
      <c r="AE195" s="131">
        <f t="shared" ref="AE195:AE250" si="45">+E195</f>
        <v>0</v>
      </c>
      <c r="AF195" s="131">
        <f t="shared" ref="AF195:AF250" si="46">+K195</f>
        <v>0</v>
      </c>
      <c r="AG195" s="131">
        <f t="shared" ref="AG195:AG250" si="47">+L195</f>
        <v>0</v>
      </c>
      <c r="AH195" s="131">
        <f t="shared" ref="AH195:AH250" si="48">+Q195</f>
        <v>0</v>
      </c>
      <c r="AI195" s="131">
        <f t="shared" ref="AI195:AI250" si="49">+N195</f>
        <v>0</v>
      </c>
      <c r="AJ195" s="131" t="e">
        <f t="shared" ref="AJ195:AJ250" si="50">+AI195/AF195*100</f>
        <v>#DIV/0!</v>
      </c>
      <c r="AK195" s="131">
        <f t="shared" ref="AK195:AK250" si="51">+O195</f>
        <v>0</v>
      </c>
      <c r="AL195" s="131">
        <f t="shared" ref="AL195:AL250" si="52">+P195</f>
        <v>0</v>
      </c>
      <c r="AM195" s="131">
        <v>0</v>
      </c>
      <c r="AN195" s="131">
        <f t="shared" ref="AN195:AN250" si="53">+M195</f>
        <v>0</v>
      </c>
      <c r="AO195" s="131">
        <v>0</v>
      </c>
      <c r="AP195" s="131">
        <f t="shared" ref="AP195:AP250" si="54">+R195</f>
        <v>0</v>
      </c>
      <c r="AQ195" s="131">
        <f t="shared" ref="AQ195:AQ250" si="55">+AE195+AF195+AH195-AI195-AK195-AM195-AP195</f>
        <v>0</v>
      </c>
      <c r="AR195" s="131">
        <v>0</v>
      </c>
    </row>
    <row r="196" spans="28:44">
      <c r="AB196" s="131">
        <f t="shared" si="42"/>
        <v>0</v>
      </c>
      <c r="AC196" s="131">
        <f t="shared" si="43"/>
        <v>0</v>
      </c>
      <c r="AD196" s="131">
        <f t="shared" si="44"/>
        <v>0</v>
      </c>
      <c r="AE196" s="131">
        <f t="shared" si="45"/>
        <v>0</v>
      </c>
      <c r="AF196" s="131">
        <f t="shared" si="46"/>
        <v>0</v>
      </c>
      <c r="AG196" s="131">
        <f t="shared" si="47"/>
        <v>0</v>
      </c>
      <c r="AH196" s="131">
        <f t="shared" si="48"/>
        <v>0</v>
      </c>
      <c r="AI196" s="131">
        <f t="shared" si="49"/>
        <v>0</v>
      </c>
      <c r="AJ196" s="131" t="e">
        <f t="shared" si="50"/>
        <v>#DIV/0!</v>
      </c>
      <c r="AK196" s="131">
        <f t="shared" si="51"/>
        <v>0</v>
      </c>
      <c r="AL196" s="131">
        <f t="shared" si="52"/>
        <v>0</v>
      </c>
      <c r="AM196" s="131">
        <v>0</v>
      </c>
      <c r="AN196" s="131">
        <f t="shared" si="53"/>
        <v>0</v>
      </c>
      <c r="AO196" s="131">
        <v>0</v>
      </c>
      <c r="AP196" s="131">
        <f t="shared" si="54"/>
        <v>0</v>
      </c>
      <c r="AQ196" s="131">
        <f t="shared" si="55"/>
        <v>0</v>
      </c>
      <c r="AR196" s="131">
        <v>0</v>
      </c>
    </row>
    <row r="197" spans="28:44">
      <c r="AB197" s="131">
        <f t="shared" si="42"/>
        <v>0</v>
      </c>
      <c r="AC197" s="131">
        <f t="shared" si="43"/>
        <v>0</v>
      </c>
      <c r="AD197" s="131">
        <f t="shared" si="44"/>
        <v>0</v>
      </c>
      <c r="AE197" s="131">
        <f t="shared" si="45"/>
        <v>0</v>
      </c>
      <c r="AF197" s="131">
        <f t="shared" si="46"/>
        <v>0</v>
      </c>
      <c r="AG197" s="131">
        <f t="shared" si="47"/>
        <v>0</v>
      </c>
      <c r="AH197" s="131">
        <f t="shared" si="48"/>
        <v>0</v>
      </c>
      <c r="AI197" s="131">
        <f t="shared" si="49"/>
        <v>0</v>
      </c>
      <c r="AJ197" s="131" t="e">
        <f t="shared" si="50"/>
        <v>#DIV/0!</v>
      </c>
      <c r="AK197" s="131">
        <f t="shared" si="51"/>
        <v>0</v>
      </c>
      <c r="AL197" s="131">
        <f t="shared" si="52"/>
        <v>0</v>
      </c>
      <c r="AM197" s="131">
        <v>0</v>
      </c>
      <c r="AN197" s="131">
        <f t="shared" si="53"/>
        <v>0</v>
      </c>
      <c r="AO197" s="131">
        <v>0</v>
      </c>
      <c r="AP197" s="131">
        <f t="shared" si="54"/>
        <v>0</v>
      </c>
      <c r="AQ197" s="131">
        <f t="shared" si="55"/>
        <v>0</v>
      </c>
      <c r="AR197" s="131">
        <v>0</v>
      </c>
    </row>
    <row r="198" spans="28:44">
      <c r="AB198" s="131">
        <f t="shared" si="42"/>
        <v>0</v>
      </c>
      <c r="AC198" s="131">
        <f t="shared" si="43"/>
        <v>0</v>
      </c>
      <c r="AD198" s="131">
        <f t="shared" si="44"/>
        <v>0</v>
      </c>
      <c r="AE198" s="131">
        <f t="shared" si="45"/>
        <v>0</v>
      </c>
      <c r="AF198" s="131">
        <f t="shared" si="46"/>
        <v>0</v>
      </c>
      <c r="AG198" s="131">
        <f t="shared" si="47"/>
        <v>0</v>
      </c>
      <c r="AH198" s="131">
        <f t="shared" si="48"/>
        <v>0</v>
      </c>
      <c r="AI198" s="131">
        <f t="shared" si="49"/>
        <v>0</v>
      </c>
      <c r="AJ198" s="131" t="e">
        <f t="shared" si="50"/>
        <v>#DIV/0!</v>
      </c>
      <c r="AK198" s="131">
        <f t="shared" si="51"/>
        <v>0</v>
      </c>
      <c r="AL198" s="131">
        <f t="shared" si="52"/>
        <v>0</v>
      </c>
      <c r="AM198" s="131">
        <v>0</v>
      </c>
      <c r="AN198" s="131">
        <f t="shared" si="53"/>
        <v>0</v>
      </c>
      <c r="AO198" s="131">
        <v>0</v>
      </c>
      <c r="AP198" s="131">
        <f t="shared" si="54"/>
        <v>0</v>
      </c>
      <c r="AQ198" s="131">
        <f t="shared" si="55"/>
        <v>0</v>
      </c>
      <c r="AR198" s="131">
        <v>0</v>
      </c>
    </row>
    <row r="199" spans="28:44">
      <c r="AB199" s="131">
        <f t="shared" si="42"/>
        <v>0</v>
      </c>
      <c r="AC199" s="131">
        <f t="shared" si="43"/>
        <v>0</v>
      </c>
      <c r="AD199" s="131">
        <f t="shared" si="44"/>
        <v>0</v>
      </c>
      <c r="AE199" s="131">
        <f t="shared" si="45"/>
        <v>0</v>
      </c>
      <c r="AF199" s="131">
        <f t="shared" si="46"/>
        <v>0</v>
      </c>
      <c r="AG199" s="131">
        <f t="shared" si="47"/>
        <v>0</v>
      </c>
      <c r="AH199" s="131">
        <f t="shared" si="48"/>
        <v>0</v>
      </c>
      <c r="AI199" s="131">
        <f t="shared" si="49"/>
        <v>0</v>
      </c>
      <c r="AJ199" s="131" t="e">
        <f t="shared" si="50"/>
        <v>#DIV/0!</v>
      </c>
      <c r="AK199" s="131">
        <f t="shared" si="51"/>
        <v>0</v>
      </c>
      <c r="AL199" s="131">
        <f t="shared" si="52"/>
        <v>0</v>
      </c>
      <c r="AM199" s="131">
        <v>0</v>
      </c>
      <c r="AN199" s="131">
        <f t="shared" si="53"/>
        <v>0</v>
      </c>
      <c r="AO199" s="131">
        <v>0</v>
      </c>
      <c r="AP199" s="131">
        <f t="shared" si="54"/>
        <v>0</v>
      </c>
      <c r="AQ199" s="131">
        <f t="shared" si="55"/>
        <v>0</v>
      </c>
      <c r="AR199" s="131">
        <v>0</v>
      </c>
    </row>
    <row r="200" spans="28:44">
      <c r="AB200" s="131">
        <f t="shared" si="42"/>
        <v>0</v>
      </c>
      <c r="AC200" s="131">
        <f t="shared" si="43"/>
        <v>0</v>
      </c>
      <c r="AD200" s="131">
        <f t="shared" si="44"/>
        <v>0</v>
      </c>
      <c r="AE200" s="131">
        <f t="shared" si="45"/>
        <v>0</v>
      </c>
      <c r="AF200" s="131">
        <f t="shared" si="46"/>
        <v>0</v>
      </c>
      <c r="AG200" s="131">
        <f t="shared" si="47"/>
        <v>0</v>
      </c>
      <c r="AH200" s="131">
        <f t="shared" si="48"/>
        <v>0</v>
      </c>
      <c r="AI200" s="131">
        <f t="shared" si="49"/>
        <v>0</v>
      </c>
      <c r="AJ200" s="131" t="e">
        <f t="shared" si="50"/>
        <v>#DIV/0!</v>
      </c>
      <c r="AK200" s="131">
        <f t="shared" si="51"/>
        <v>0</v>
      </c>
      <c r="AL200" s="131">
        <f t="shared" si="52"/>
        <v>0</v>
      </c>
      <c r="AM200" s="131">
        <v>0</v>
      </c>
      <c r="AN200" s="131">
        <f t="shared" si="53"/>
        <v>0</v>
      </c>
      <c r="AO200" s="131">
        <v>0</v>
      </c>
      <c r="AP200" s="131">
        <f t="shared" si="54"/>
        <v>0</v>
      </c>
      <c r="AQ200" s="131">
        <f t="shared" si="55"/>
        <v>0</v>
      </c>
      <c r="AR200" s="131">
        <v>0</v>
      </c>
    </row>
    <row r="201" spans="28:44">
      <c r="AB201" s="131">
        <f t="shared" si="42"/>
        <v>0</v>
      </c>
      <c r="AC201" s="131">
        <f t="shared" si="43"/>
        <v>0</v>
      </c>
      <c r="AD201" s="131">
        <f t="shared" si="44"/>
        <v>0</v>
      </c>
      <c r="AE201" s="131">
        <f t="shared" si="45"/>
        <v>0</v>
      </c>
      <c r="AF201" s="131">
        <f t="shared" si="46"/>
        <v>0</v>
      </c>
      <c r="AG201" s="131">
        <f t="shared" si="47"/>
        <v>0</v>
      </c>
      <c r="AH201" s="131">
        <f t="shared" si="48"/>
        <v>0</v>
      </c>
      <c r="AI201" s="131">
        <f t="shared" si="49"/>
        <v>0</v>
      </c>
      <c r="AJ201" s="131" t="e">
        <f t="shared" si="50"/>
        <v>#DIV/0!</v>
      </c>
      <c r="AK201" s="131">
        <f t="shared" si="51"/>
        <v>0</v>
      </c>
      <c r="AL201" s="131">
        <f t="shared" si="52"/>
        <v>0</v>
      </c>
      <c r="AM201" s="131">
        <v>0</v>
      </c>
      <c r="AN201" s="131">
        <f t="shared" si="53"/>
        <v>0</v>
      </c>
      <c r="AO201" s="131">
        <v>0</v>
      </c>
      <c r="AP201" s="131">
        <f t="shared" si="54"/>
        <v>0</v>
      </c>
      <c r="AQ201" s="131">
        <f t="shared" si="55"/>
        <v>0</v>
      </c>
      <c r="AR201" s="131">
        <v>0</v>
      </c>
    </row>
    <row r="202" spans="28:44">
      <c r="AB202" s="131">
        <f t="shared" si="42"/>
        <v>0</v>
      </c>
      <c r="AC202" s="131">
        <f t="shared" si="43"/>
        <v>0</v>
      </c>
      <c r="AD202" s="131">
        <f t="shared" si="44"/>
        <v>0</v>
      </c>
      <c r="AE202" s="131">
        <f t="shared" si="45"/>
        <v>0</v>
      </c>
      <c r="AF202" s="131">
        <f t="shared" si="46"/>
        <v>0</v>
      </c>
      <c r="AG202" s="131">
        <f t="shared" si="47"/>
        <v>0</v>
      </c>
      <c r="AH202" s="131">
        <f t="shared" si="48"/>
        <v>0</v>
      </c>
      <c r="AI202" s="131">
        <f t="shared" si="49"/>
        <v>0</v>
      </c>
      <c r="AJ202" s="131" t="e">
        <f t="shared" si="50"/>
        <v>#DIV/0!</v>
      </c>
      <c r="AK202" s="131">
        <f t="shared" si="51"/>
        <v>0</v>
      </c>
      <c r="AL202" s="131">
        <f t="shared" si="52"/>
        <v>0</v>
      </c>
      <c r="AM202" s="131">
        <v>0</v>
      </c>
      <c r="AN202" s="131">
        <f t="shared" si="53"/>
        <v>0</v>
      </c>
      <c r="AO202" s="131">
        <v>0</v>
      </c>
      <c r="AP202" s="131">
        <f t="shared" si="54"/>
        <v>0</v>
      </c>
      <c r="AQ202" s="131">
        <f t="shared" si="55"/>
        <v>0</v>
      </c>
      <c r="AR202" s="131">
        <v>0</v>
      </c>
    </row>
    <row r="203" spans="28:44">
      <c r="AB203" s="131">
        <f t="shared" si="42"/>
        <v>0</v>
      </c>
      <c r="AC203" s="131">
        <f t="shared" si="43"/>
        <v>0</v>
      </c>
      <c r="AD203" s="131">
        <f t="shared" si="44"/>
        <v>0</v>
      </c>
      <c r="AE203" s="131">
        <f t="shared" si="45"/>
        <v>0</v>
      </c>
      <c r="AF203" s="131">
        <f t="shared" si="46"/>
        <v>0</v>
      </c>
      <c r="AG203" s="131">
        <f t="shared" si="47"/>
        <v>0</v>
      </c>
      <c r="AH203" s="131">
        <f t="shared" si="48"/>
        <v>0</v>
      </c>
      <c r="AI203" s="131">
        <f t="shared" si="49"/>
        <v>0</v>
      </c>
      <c r="AJ203" s="131" t="e">
        <f t="shared" si="50"/>
        <v>#DIV/0!</v>
      </c>
      <c r="AK203" s="131">
        <f t="shared" si="51"/>
        <v>0</v>
      </c>
      <c r="AL203" s="131">
        <f t="shared" si="52"/>
        <v>0</v>
      </c>
      <c r="AM203" s="131">
        <v>0</v>
      </c>
      <c r="AN203" s="131">
        <f t="shared" si="53"/>
        <v>0</v>
      </c>
      <c r="AO203" s="131">
        <v>0</v>
      </c>
      <c r="AP203" s="131">
        <f t="shared" si="54"/>
        <v>0</v>
      </c>
      <c r="AQ203" s="131">
        <f t="shared" si="55"/>
        <v>0</v>
      </c>
      <c r="AR203" s="131">
        <v>0</v>
      </c>
    </row>
    <row r="204" spans="28:44">
      <c r="AB204" s="131">
        <f t="shared" si="42"/>
        <v>0</v>
      </c>
      <c r="AC204" s="131">
        <f t="shared" si="43"/>
        <v>0</v>
      </c>
      <c r="AD204" s="131">
        <f t="shared" si="44"/>
        <v>0</v>
      </c>
      <c r="AE204" s="131">
        <f t="shared" si="45"/>
        <v>0</v>
      </c>
      <c r="AF204" s="131">
        <f t="shared" si="46"/>
        <v>0</v>
      </c>
      <c r="AG204" s="131">
        <f t="shared" si="47"/>
        <v>0</v>
      </c>
      <c r="AH204" s="131">
        <f t="shared" si="48"/>
        <v>0</v>
      </c>
      <c r="AI204" s="131">
        <f t="shared" si="49"/>
        <v>0</v>
      </c>
      <c r="AJ204" s="131" t="e">
        <f t="shared" si="50"/>
        <v>#DIV/0!</v>
      </c>
      <c r="AK204" s="131">
        <f t="shared" si="51"/>
        <v>0</v>
      </c>
      <c r="AL204" s="131">
        <f t="shared" si="52"/>
        <v>0</v>
      </c>
      <c r="AM204" s="131">
        <v>0</v>
      </c>
      <c r="AN204" s="131">
        <f t="shared" si="53"/>
        <v>0</v>
      </c>
      <c r="AO204" s="131">
        <v>0</v>
      </c>
      <c r="AP204" s="131">
        <f t="shared" si="54"/>
        <v>0</v>
      </c>
      <c r="AQ204" s="131">
        <f t="shared" si="55"/>
        <v>0</v>
      </c>
      <c r="AR204" s="131">
        <v>0</v>
      </c>
    </row>
    <row r="205" spans="28:44">
      <c r="AB205" s="131">
        <f t="shared" si="42"/>
        <v>0</v>
      </c>
      <c r="AC205" s="131">
        <f t="shared" si="43"/>
        <v>0</v>
      </c>
      <c r="AD205" s="131">
        <f t="shared" si="44"/>
        <v>0</v>
      </c>
      <c r="AE205" s="131">
        <f t="shared" si="45"/>
        <v>0</v>
      </c>
      <c r="AF205" s="131">
        <f t="shared" si="46"/>
        <v>0</v>
      </c>
      <c r="AG205" s="131">
        <f t="shared" si="47"/>
        <v>0</v>
      </c>
      <c r="AH205" s="131">
        <f t="shared" si="48"/>
        <v>0</v>
      </c>
      <c r="AI205" s="131">
        <f t="shared" si="49"/>
        <v>0</v>
      </c>
      <c r="AJ205" s="131" t="e">
        <f t="shared" si="50"/>
        <v>#DIV/0!</v>
      </c>
      <c r="AK205" s="131">
        <f t="shared" si="51"/>
        <v>0</v>
      </c>
      <c r="AL205" s="131">
        <f t="shared" si="52"/>
        <v>0</v>
      </c>
      <c r="AM205" s="131">
        <v>0</v>
      </c>
      <c r="AN205" s="131">
        <f t="shared" si="53"/>
        <v>0</v>
      </c>
      <c r="AO205" s="131">
        <v>0</v>
      </c>
      <c r="AP205" s="131">
        <f t="shared" si="54"/>
        <v>0</v>
      </c>
      <c r="AQ205" s="131">
        <f t="shared" si="55"/>
        <v>0</v>
      </c>
      <c r="AR205" s="131">
        <v>0</v>
      </c>
    </row>
    <row r="206" spans="28:44">
      <c r="AB206" s="131">
        <f t="shared" si="42"/>
        <v>0</v>
      </c>
      <c r="AC206" s="131">
        <f t="shared" si="43"/>
        <v>0</v>
      </c>
      <c r="AD206" s="131">
        <f t="shared" si="44"/>
        <v>0</v>
      </c>
      <c r="AE206" s="131">
        <f t="shared" si="45"/>
        <v>0</v>
      </c>
      <c r="AF206" s="131">
        <f t="shared" si="46"/>
        <v>0</v>
      </c>
      <c r="AG206" s="131">
        <f t="shared" si="47"/>
        <v>0</v>
      </c>
      <c r="AH206" s="131">
        <f t="shared" si="48"/>
        <v>0</v>
      </c>
      <c r="AI206" s="131">
        <f t="shared" si="49"/>
        <v>0</v>
      </c>
      <c r="AJ206" s="131" t="e">
        <f t="shared" si="50"/>
        <v>#DIV/0!</v>
      </c>
      <c r="AK206" s="131">
        <f t="shared" si="51"/>
        <v>0</v>
      </c>
      <c r="AL206" s="131">
        <f t="shared" si="52"/>
        <v>0</v>
      </c>
      <c r="AM206" s="131">
        <v>0</v>
      </c>
      <c r="AN206" s="131">
        <f t="shared" si="53"/>
        <v>0</v>
      </c>
      <c r="AO206" s="131">
        <v>0</v>
      </c>
      <c r="AP206" s="131">
        <f t="shared" si="54"/>
        <v>0</v>
      </c>
      <c r="AQ206" s="131">
        <f t="shared" si="55"/>
        <v>0</v>
      </c>
      <c r="AR206" s="131">
        <v>0</v>
      </c>
    </row>
    <row r="207" spans="28:44">
      <c r="AB207" s="131">
        <f t="shared" si="42"/>
        <v>0</v>
      </c>
      <c r="AC207" s="131">
        <f t="shared" si="43"/>
        <v>0</v>
      </c>
      <c r="AD207" s="131">
        <f t="shared" si="44"/>
        <v>0</v>
      </c>
      <c r="AE207" s="131">
        <f t="shared" si="45"/>
        <v>0</v>
      </c>
      <c r="AF207" s="131">
        <f t="shared" si="46"/>
        <v>0</v>
      </c>
      <c r="AG207" s="131">
        <f t="shared" si="47"/>
        <v>0</v>
      </c>
      <c r="AH207" s="131">
        <f t="shared" si="48"/>
        <v>0</v>
      </c>
      <c r="AI207" s="131">
        <f t="shared" si="49"/>
        <v>0</v>
      </c>
      <c r="AJ207" s="131" t="e">
        <f t="shared" si="50"/>
        <v>#DIV/0!</v>
      </c>
      <c r="AK207" s="131">
        <f t="shared" si="51"/>
        <v>0</v>
      </c>
      <c r="AL207" s="131">
        <f t="shared" si="52"/>
        <v>0</v>
      </c>
      <c r="AM207" s="131">
        <v>0</v>
      </c>
      <c r="AN207" s="131">
        <f t="shared" si="53"/>
        <v>0</v>
      </c>
      <c r="AO207" s="131">
        <v>0</v>
      </c>
      <c r="AP207" s="131">
        <f t="shared" si="54"/>
        <v>0</v>
      </c>
      <c r="AQ207" s="131">
        <f t="shared" si="55"/>
        <v>0</v>
      </c>
      <c r="AR207" s="131">
        <v>0</v>
      </c>
    </row>
    <row r="208" spans="28:44">
      <c r="AB208" s="131">
        <f t="shared" si="42"/>
        <v>0</v>
      </c>
      <c r="AC208" s="131">
        <f t="shared" si="43"/>
        <v>0</v>
      </c>
      <c r="AD208" s="131">
        <f t="shared" si="44"/>
        <v>0</v>
      </c>
      <c r="AE208" s="131">
        <f t="shared" si="45"/>
        <v>0</v>
      </c>
      <c r="AF208" s="131">
        <f t="shared" si="46"/>
        <v>0</v>
      </c>
      <c r="AG208" s="131">
        <f t="shared" si="47"/>
        <v>0</v>
      </c>
      <c r="AH208" s="131">
        <f t="shared" si="48"/>
        <v>0</v>
      </c>
      <c r="AI208" s="131">
        <f t="shared" si="49"/>
        <v>0</v>
      </c>
      <c r="AJ208" s="131" t="e">
        <f t="shared" si="50"/>
        <v>#DIV/0!</v>
      </c>
      <c r="AK208" s="131">
        <f t="shared" si="51"/>
        <v>0</v>
      </c>
      <c r="AL208" s="131">
        <f t="shared" si="52"/>
        <v>0</v>
      </c>
      <c r="AM208" s="131">
        <v>0</v>
      </c>
      <c r="AN208" s="131">
        <f t="shared" si="53"/>
        <v>0</v>
      </c>
      <c r="AO208" s="131">
        <v>0</v>
      </c>
      <c r="AP208" s="131">
        <f t="shared" si="54"/>
        <v>0</v>
      </c>
      <c r="AQ208" s="131">
        <f t="shared" si="55"/>
        <v>0</v>
      </c>
      <c r="AR208" s="131">
        <v>0</v>
      </c>
    </row>
    <row r="209" spans="28:44">
      <c r="AB209" s="131">
        <f t="shared" si="42"/>
        <v>0</v>
      </c>
      <c r="AC209" s="131">
        <f t="shared" si="43"/>
        <v>0</v>
      </c>
      <c r="AD209" s="131">
        <f t="shared" si="44"/>
        <v>0</v>
      </c>
      <c r="AE209" s="131">
        <f t="shared" si="45"/>
        <v>0</v>
      </c>
      <c r="AF209" s="131">
        <f t="shared" si="46"/>
        <v>0</v>
      </c>
      <c r="AG209" s="131">
        <f t="shared" si="47"/>
        <v>0</v>
      </c>
      <c r="AH209" s="131">
        <f t="shared" si="48"/>
        <v>0</v>
      </c>
      <c r="AI209" s="131">
        <f t="shared" si="49"/>
        <v>0</v>
      </c>
      <c r="AJ209" s="131" t="e">
        <f t="shared" si="50"/>
        <v>#DIV/0!</v>
      </c>
      <c r="AK209" s="131">
        <f t="shared" si="51"/>
        <v>0</v>
      </c>
      <c r="AL209" s="131">
        <f t="shared" si="52"/>
        <v>0</v>
      </c>
      <c r="AM209" s="131">
        <v>0</v>
      </c>
      <c r="AN209" s="131">
        <f t="shared" si="53"/>
        <v>0</v>
      </c>
      <c r="AO209" s="131">
        <v>0</v>
      </c>
      <c r="AP209" s="131">
        <f t="shared" si="54"/>
        <v>0</v>
      </c>
      <c r="AQ209" s="131">
        <f t="shared" si="55"/>
        <v>0</v>
      </c>
      <c r="AR209" s="131">
        <v>0</v>
      </c>
    </row>
    <row r="210" spans="28:44">
      <c r="AB210" s="131">
        <f t="shared" si="42"/>
        <v>0</v>
      </c>
      <c r="AC210" s="131">
        <f t="shared" si="43"/>
        <v>0</v>
      </c>
      <c r="AD210" s="131">
        <f t="shared" si="44"/>
        <v>0</v>
      </c>
      <c r="AE210" s="131">
        <f t="shared" si="45"/>
        <v>0</v>
      </c>
      <c r="AF210" s="131">
        <f t="shared" si="46"/>
        <v>0</v>
      </c>
      <c r="AG210" s="131">
        <f t="shared" si="47"/>
        <v>0</v>
      </c>
      <c r="AH210" s="131">
        <f t="shared" si="48"/>
        <v>0</v>
      </c>
      <c r="AI210" s="131">
        <f t="shared" si="49"/>
        <v>0</v>
      </c>
      <c r="AJ210" s="131" t="e">
        <f t="shared" si="50"/>
        <v>#DIV/0!</v>
      </c>
      <c r="AK210" s="131">
        <f t="shared" si="51"/>
        <v>0</v>
      </c>
      <c r="AL210" s="131">
        <f t="shared" si="52"/>
        <v>0</v>
      </c>
      <c r="AM210" s="131">
        <v>0</v>
      </c>
      <c r="AN210" s="131">
        <f t="shared" si="53"/>
        <v>0</v>
      </c>
      <c r="AO210" s="131">
        <v>0</v>
      </c>
      <c r="AP210" s="131">
        <f t="shared" si="54"/>
        <v>0</v>
      </c>
      <c r="AQ210" s="131">
        <f t="shared" si="55"/>
        <v>0</v>
      </c>
      <c r="AR210" s="131">
        <v>0</v>
      </c>
    </row>
    <row r="211" spans="28:44">
      <c r="AB211" s="131">
        <f t="shared" si="42"/>
        <v>0</v>
      </c>
      <c r="AC211" s="131">
        <f t="shared" si="43"/>
        <v>0</v>
      </c>
      <c r="AD211" s="131">
        <f t="shared" si="44"/>
        <v>0</v>
      </c>
      <c r="AE211" s="131">
        <f t="shared" si="45"/>
        <v>0</v>
      </c>
      <c r="AF211" s="131">
        <f t="shared" si="46"/>
        <v>0</v>
      </c>
      <c r="AG211" s="131">
        <f t="shared" si="47"/>
        <v>0</v>
      </c>
      <c r="AH211" s="131">
        <f t="shared" si="48"/>
        <v>0</v>
      </c>
      <c r="AI211" s="131">
        <f t="shared" si="49"/>
        <v>0</v>
      </c>
      <c r="AJ211" s="131" t="e">
        <f t="shared" si="50"/>
        <v>#DIV/0!</v>
      </c>
      <c r="AK211" s="131">
        <f t="shared" si="51"/>
        <v>0</v>
      </c>
      <c r="AL211" s="131">
        <f t="shared" si="52"/>
        <v>0</v>
      </c>
      <c r="AM211" s="131">
        <v>0</v>
      </c>
      <c r="AN211" s="131">
        <f t="shared" si="53"/>
        <v>0</v>
      </c>
      <c r="AO211" s="131">
        <v>0</v>
      </c>
      <c r="AP211" s="131">
        <f t="shared" si="54"/>
        <v>0</v>
      </c>
      <c r="AQ211" s="131">
        <f t="shared" si="55"/>
        <v>0</v>
      </c>
      <c r="AR211" s="131">
        <v>0</v>
      </c>
    </row>
    <row r="212" spans="28:44">
      <c r="AB212" s="131">
        <f t="shared" si="42"/>
        <v>0</v>
      </c>
      <c r="AC212" s="131">
        <f t="shared" si="43"/>
        <v>0</v>
      </c>
      <c r="AD212" s="131">
        <f t="shared" si="44"/>
        <v>0</v>
      </c>
      <c r="AE212" s="131">
        <f t="shared" si="45"/>
        <v>0</v>
      </c>
      <c r="AF212" s="131">
        <f t="shared" si="46"/>
        <v>0</v>
      </c>
      <c r="AG212" s="131">
        <f t="shared" si="47"/>
        <v>0</v>
      </c>
      <c r="AH212" s="131">
        <f t="shared" si="48"/>
        <v>0</v>
      </c>
      <c r="AI212" s="131">
        <f t="shared" si="49"/>
        <v>0</v>
      </c>
      <c r="AJ212" s="131" t="e">
        <f t="shared" si="50"/>
        <v>#DIV/0!</v>
      </c>
      <c r="AK212" s="131">
        <f t="shared" si="51"/>
        <v>0</v>
      </c>
      <c r="AL212" s="131">
        <f t="shared" si="52"/>
        <v>0</v>
      </c>
      <c r="AM212" s="131">
        <v>0</v>
      </c>
      <c r="AN212" s="131">
        <f t="shared" si="53"/>
        <v>0</v>
      </c>
      <c r="AO212" s="131">
        <v>0</v>
      </c>
      <c r="AP212" s="131">
        <f t="shared" si="54"/>
        <v>0</v>
      </c>
      <c r="AQ212" s="131">
        <f t="shared" si="55"/>
        <v>0</v>
      </c>
      <c r="AR212" s="131">
        <v>0</v>
      </c>
    </row>
    <row r="213" spans="28:44">
      <c r="AB213" s="131">
        <f t="shared" si="42"/>
        <v>0</v>
      </c>
      <c r="AC213" s="131">
        <f t="shared" si="43"/>
        <v>0</v>
      </c>
      <c r="AD213" s="131">
        <f t="shared" si="44"/>
        <v>0</v>
      </c>
      <c r="AE213" s="131">
        <f t="shared" si="45"/>
        <v>0</v>
      </c>
      <c r="AF213" s="131">
        <f t="shared" si="46"/>
        <v>0</v>
      </c>
      <c r="AG213" s="131">
        <f t="shared" si="47"/>
        <v>0</v>
      </c>
      <c r="AH213" s="131">
        <f t="shared" si="48"/>
        <v>0</v>
      </c>
      <c r="AI213" s="131">
        <f t="shared" si="49"/>
        <v>0</v>
      </c>
      <c r="AJ213" s="131" t="e">
        <f t="shared" si="50"/>
        <v>#DIV/0!</v>
      </c>
      <c r="AK213" s="131">
        <f t="shared" si="51"/>
        <v>0</v>
      </c>
      <c r="AL213" s="131">
        <f t="shared" si="52"/>
        <v>0</v>
      </c>
      <c r="AM213" s="131">
        <v>0</v>
      </c>
      <c r="AN213" s="131">
        <f t="shared" si="53"/>
        <v>0</v>
      </c>
      <c r="AO213" s="131">
        <v>0</v>
      </c>
      <c r="AP213" s="131">
        <f t="shared" si="54"/>
        <v>0</v>
      </c>
      <c r="AQ213" s="131">
        <f t="shared" si="55"/>
        <v>0</v>
      </c>
      <c r="AR213" s="131">
        <v>0</v>
      </c>
    </row>
    <row r="214" spans="28:44">
      <c r="AB214" s="131">
        <f t="shared" si="42"/>
        <v>0</v>
      </c>
      <c r="AC214" s="131">
        <f t="shared" si="43"/>
        <v>0</v>
      </c>
      <c r="AD214" s="131">
        <f t="shared" si="44"/>
        <v>0</v>
      </c>
      <c r="AE214" s="131">
        <f t="shared" si="45"/>
        <v>0</v>
      </c>
      <c r="AF214" s="131">
        <f t="shared" si="46"/>
        <v>0</v>
      </c>
      <c r="AG214" s="131">
        <f t="shared" si="47"/>
        <v>0</v>
      </c>
      <c r="AH214" s="131">
        <f t="shared" si="48"/>
        <v>0</v>
      </c>
      <c r="AI214" s="131">
        <f t="shared" si="49"/>
        <v>0</v>
      </c>
      <c r="AJ214" s="131" t="e">
        <f t="shared" si="50"/>
        <v>#DIV/0!</v>
      </c>
      <c r="AK214" s="131">
        <f t="shared" si="51"/>
        <v>0</v>
      </c>
      <c r="AL214" s="131">
        <f t="shared" si="52"/>
        <v>0</v>
      </c>
      <c r="AM214" s="131">
        <v>0</v>
      </c>
      <c r="AN214" s="131">
        <f t="shared" si="53"/>
        <v>0</v>
      </c>
      <c r="AO214" s="131">
        <v>0</v>
      </c>
      <c r="AP214" s="131">
        <f t="shared" si="54"/>
        <v>0</v>
      </c>
      <c r="AQ214" s="131">
        <f t="shared" si="55"/>
        <v>0</v>
      </c>
      <c r="AR214" s="131">
        <v>0</v>
      </c>
    </row>
    <row r="215" spans="28:44">
      <c r="AB215" s="131">
        <f t="shared" si="42"/>
        <v>0</v>
      </c>
      <c r="AC215" s="131">
        <f t="shared" si="43"/>
        <v>0</v>
      </c>
      <c r="AD215" s="131">
        <f t="shared" si="44"/>
        <v>0</v>
      </c>
      <c r="AE215" s="131">
        <f t="shared" si="45"/>
        <v>0</v>
      </c>
      <c r="AF215" s="131">
        <f t="shared" si="46"/>
        <v>0</v>
      </c>
      <c r="AG215" s="131">
        <f t="shared" si="47"/>
        <v>0</v>
      </c>
      <c r="AH215" s="131">
        <f t="shared" si="48"/>
        <v>0</v>
      </c>
      <c r="AI215" s="131">
        <f t="shared" si="49"/>
        <v>0</v>
      </c>
      <c r="AJ215" s="131" t="e">
        <f t="shared" si="50"/>
        <v>#DIV/0!</v>
      </c>
      <c r="AK215" s="131">
        <f t="shared" si="51"/>
        <v>0</v>
      </c>
      <c r="AL215" s="131">
        <f t="shared" si="52"/>
        <v>0</v>
      </c>
      <c r="AM215" s="131">
        <v>0</v>
      </c>
      <c r="AN215" s="131">
        <f t="shared" si="53"/>
        <v>0</v>
      </c>
      <c r="AO215" s="131">
        <v>0</v>
      </c>
      <c r="AP215" s="131">
        <f t="shared" si="54"/>
        <v>0</v>
      </c>
      <c r="AQ215" s="131">
        <f t="shared" si="55"/>
        <v>0</v>
      </c>
      <c r="AR215" s="131">
        <v>0</v>
      </c>
    </row>
    <row r="216" spans="28:44">
      <c r="AB216" s="131">
        <f t="shared" si="42"/>
        <v>0</v>
      </c>
      <c r="AC216" s="131">
        <f t="shared" si="43"/>
        <v>0</v>
      </c>
      <c r="AD216" s="131">
        <f t="shared" si="44"/>
        <v>0</v>
      </c>
      <c r="AE216" s="131">
        <f t="shared" si="45"/>
        <v>0</v>
      </c>
      <c r="AF216" s="131">
        <f t="shared" si="46"/>
        <v>0</v>
      </c>
      <c r="AG216" s="131">
        <f t="shared" si="47"/>
        <v>0</v>
      </c>
      <c r="AH216" s="131">
        <f t="shared" si="48"/>
        <v>0</v>
      </c>
      <c r="AI216" s="131">
        <f t="shared" si="49"/>
        <v>0</v>
      </c>
      <c r="AJ216" s="131" t="e">
        <f t="shared" si="50"/>
        <v>#DIV/0!</v>
      </c>
      <c r="AK216" s="131">
        <f t="shared" si="51"/>
        <v>0</v>
      </c>
      <c r="AL216" s="131">
        <f t="shared" si="52"/>
        <v>0</v>
      </c>
      <c r="AM216" s="131">
        <v>0</v>
      </c>
      <c r="AN216" s="131">
        <f t="shared" si="53"/>
        <v>0</v>
      </c>
      <c r="AO216" s="131">
        <v>0</v>
      </c>
      <c r="AP216" s="131">
        <f t="shared" si="54"/>
        <v>0</v>
      </c>
      <c r="AQ216" s="131">
        <f t="shared" si="55"/>
        <v>0</v>
      </c>
      <c r="AR216" s="131">
        <v>0</v>
      </c>
    </row>
    <row r="217" spans="28:44">
      <c r="AB217" s="131">
        <f t="shared" si="42"/>
        <v>0</v>
      </c>
      <c r="AC217" s="131">
        <f t="shared" si="43"/>
        <v>0</v>
      </c>
      <c r="AD217" s="131">
        <f t="shared" si="44"/>
        <v>0</v>
      </c>
      <c r="AE217" s="131">
        <f t="shared" si="45"/>
        <v>0</v>
      </c>
      <c r="AF217" s="131">
        <f t="shared" si="46"/>
        <v>0</v>
      </c>
      <c r="AG217" s="131">
        <f t="shared" si="47"/>
        <v>0</v>
      </c>
      <c r="AH217" s="131">
        <f t="shared" si="48"/>
        <v>0</v>
      </c>
      <c r="AI217" s="131">
        <f t="shared" si="49"/>
        <v>0</v>
      </c>
      <c r="AJ217" s="131" t="e">
        <f t="shared" si="50"/>
        <v>#DIV/0!</v>
      </c>
      <c r="AK217" s="131">
        <f t="shared" si="51"/>
        <v>0</v>
      </c>
      <c r="AL217" s="131">
        <f t="shared" si="52"/>
        <v>0</v>
      </c>
      <c r="AM217" s="131">
        <v>0</v>
      </c>
      <c r="AN217" s="131">
        <f t="shared" si="53"/>
        <v>0</v>
      </c>
      <c r="AO217" s="131">
        <v>0</v>
      </c>
      <c r="AP217" s="131">
        <f t="shared" si="54"/>
        <v>0</v>
      </c>
      <c r="AQ217" s="131">
        <f t="shared" si="55"/>
        <v>0</v>
      </c>
      <c r="AR217" s="131">
        <v>0</v>
      </c>
    </row>
    <row r="218" spans="28:44">
      <c r="AB218" s="131">
        <f t="shared" si="42"/>
        <v>0</v>
      </c>
      <c r="AC218" s="131">
        <f t="shared" si="43"/>
        <v>0</v>
      </c>
      <c r="AD218" s="131">
        <f t="shared" si="44"/>
        <v>0</v>
      </c>
      <c r="AE218" s="131">
        <f t="shared" si="45"/>
        <v>0</v>
      </c>
      <c r="AF218" s="131">
        <f t="shared" si="46"/>
        <v>0</v>
      </c>
      <c r="AG218" s="131">
        <f t="shared" si="47"/>
        <v>0</v>
      </c>
      <c r="AH218" s="131">
        <f t="shared" si="48"/>
        <v>0</v>
      </c>
      <c r="AI218" s="131">
        <f t="shared" si="49"/>
        <v>0</v>
      </c>
      <c r="AJ218" s="131" t="e">
        <f t="shared" si="50"/>
        <v>#DIV/0!</v>
      </c>
      <c r="AK218" s="131">
        <f t="shared" si="51"/>
        <v>0</v>
      </c>
      <c r="AL218" s="131">
        <f t="shared" si="52"/>
        <v>0</v>
      </c>
      <c r="AM218" s="131">
        <v>0</v>
      </c>
      <c r="AN218" s="131">
        <f t="shared" si="53"/>
        <v>0</v>
      </c>
      <c r="AO218" s="131">
        <v>0</v>
      </c>
      <c r="AP218" s="131">
        <f t="shared" si="54"/>
        <v>0</v>
      </c>
      <c r="AQ218" s="131">
        <f t="shared" si="55"/>
        <v>0</v>
      </c>
      <c r="AR218" s="131">
        <v>0</v>
      </c>
    </row>
    <row r="219" spans="28:44">
      <c r="AB219" s="131">
        <f t="shared" si="42"/>
        <v>0</v>
      </c>
      <c r="AC219" s="131">
        <f t="shared" si="43"/>
        <v>0</v>
      </c>
      <c r="AD219" s="131">
        <f t="shared" si="44"/>
        <v>0</v>
      </c>
      <c r="AE219" s="131">
        <f t="shared" si="45"/>
        <v>0</v>
      </c>
      <c r="AF219" s="131">
        <f t="shared" si="46"/>
        <v>0</v>
      </c>
      <c r="AG219" s="131">
        <f t="shared" si="47"/>
        <v>0</v>
      </c>
      <c r="AH219" s="131">
        <f t="shared" si="48"/>
        <v>0</v>
      </c>
      <c r="AI219" s="131">
        <f t="shared" si="49"/>
        <v>0</v>
      </c>
      <c r="AJ219" s="131" t="e">
        <f t="shared" si="50"/>
        <v>#DIV/0!</v>
      </c>
      <c r="AK219" s="131">
        <f t="shared" si="51"/>
        <v>0</v>
      </c>
      <c r="AL219" s="131">
        <f t="shared" si="52"/>
        <v>0</v>
      </c>
      <c r="AM219" s="131">
        <v>0</v>
      </c>
      <c r="AN219" s="131">
        <f t="shared" si="53"/>
        <v>0</v>
      </c>
      <c r="AO219" s="131">
        <v>0</v>
      </c>
      <c r="AP219" s="131">
        <f t="shared" si="54"/>
        <v>0</v>
      </c>
      <c r="AQ219" s="131">
        <f t="shared" si="55"/>
        <v>0</v>
      </c>
      <c r="AR219" s="131">
        <v>0</v>
      </c>
    </row>
    <row r="220" spans="28:44">
      <c r="AB220" s="131">
        <f t="shared" si="42"/>
        <v>0</v>
      </c>
      <c r="AC220" s="131">
        <f t="shared" si="43"/>
        <v>0</v>
      </c>
      <c r="AD220" s="131">
        <f t="shared" si="44"/>
        <v>0</v>
      </c>
      <c r="AE220" s="131">
        <f t="shared" si="45"/>
        <v>0</v>
      </c>
      <c r="AF220" s="131">
        <f t="shared" si="46"/>
        <v>0</v>
      </c>
      <c r="AG220" s="131">
        <f t="shared" si="47"/>
        <v>0</v>
      </c>
      <c r="AH220" s="131">
        <f t="shared" si="48"/>
        <v>0</v>
      </c>
      <c r="AI220" s="131">
        <f t="shared" si="49"/>
        <v>0</v>
      </c>
      <c r="AJ220" s="131" t="e">
        <f t="shared" si="50"/>
        <v>#DIV/0!</v>
      </c>
      <c r="AK220" s="131">
        <f t="shared" si="51"/>
        <v>0</v>
      </c>
      <c r="AL220" s="131">
        <f t="shared" si="52"/>
        <v>0</v>
      </c>
      <c r="AM220" s="131">
        <v>0</v>
      </c>
      <c r="AN220" s="131">
        <f t="shared" si="53"/>
        <v>0</v>
      </c>
      <c r="AO220" s="131">
        <v>0</v>
      </c>
      <c r="AP220" s="131">
        <f t="shared" si="54"/>
        <v>0</v>
      </c>
      <c r="AQ220" s="131">
        <f t="shared" si="55"/>
        <v>0</v>
      </c>
      <c r="AR220" s="131">
        <v>0</v>
      </c>
    </row>
    <row r="221" spans="28:44">
      <c r="AB221" s="131">
        <f t="shared" si="42"/>
        <v>0</v>
      </c>
      <c r="AC221" s="131">
        <f t="shared" si="43"/>
        <v>0</v>
      </c>
      <c r="AD221" s="131">
        <f t="shared" si="44"/>
        <v>0</v>
      </c>
      <c r="AE221" s="131">
        <f t="shared" si="45"/>
        <v>0</v>
      </c>
      <c r="AF221" s="131">
        <f t="shared" si="46"/>
        <v>0</v>
      </c>
      <c r="AG221" s="131">
        <f t="shared" si="47"/>
        <v>0</v>
      </c>
      <c r="AH221" s="131">
        <f t="shared" si="48"/>
        <v>0</v>
      </c>
      <c r="AI221" s="131">
        <f t="shared" si="49"/>
        <v>0</v>
      </c>
      <c r="AJ221" s="131" t="e">
        <f t="shared" si="50"/>
        <v>#DIV/0!</v>
      </c>
      <c r="AK221" s="131">
        <f t="shared" si="51"/>
        <v>0</v>
      </c>
      <c r="AL221" s="131">
        <f t="shared" si="52"/>
        <v>0</v>
      </c>
      <c r="AM221" s="131">
        <v>0</v>
      </c>
      <c r="AN221" s="131">
        <f t="shared" si="53"/>
        <v>0</v>
      </c>
      <c r="AO221" s="131">
        <v>0</v>
      </c>
      <c r="AP221" s="131">
        <f t="shared" si="54"/>
        <v>0</v>
      </c>
      <c r="AQ221" s="131">
        <f t="shared" si="55"/>
        <v>0</v>
      </c>
      <c r="AR221" s="131">
        <v>0</v>
      </c>
    </row>
    <row r="222" spans="28:44">
      <c r="AB222" s="131">
        <f t="shared" si="42"/>
        <v>0</v>
      </c>
      <c r="AC222" s="131">
        <f t="shared" si="43"/>
        <v>0</v>
      </c>
      <c r="AD222" s="131">
        <f t="shared" si="44"/>
        <v>0</v>
      </c>
      <c r="AE222" s="131">
        <f t="shared" si="45"/>
        <v>0</v>
      </c>
      <c r="AF222" s="131">
        <f t="shared" si="46"/>
        <v>0</v>
      </c>
      <c r="AG222" s="131">
        <f t="shared" si="47"/>
        <v>0</v>
      </c>
      <c r="AH222" s="131">
        <f t="shared" si="48"/>
        <v>0</v>
      </c>
      <c r="AI222" s="131">
        <f t="shared" si="49"/>
        <v>0</v>
      </c>
      <c r="AJ222" s="131" t="e">
        <f t="shared" si="50"/>
        <v>#DIV/0!</v>
      </c>
      <c r="AK222" s="131">
        <f t="shared" si="51"/>
        <v>0</v>
      </c>
      <c r="AL222" s="131">
        <f t="shared" si="52"/>
        <v>0</v>
      </c>
      <c r="AM222" s="131">
        <v>0</v>
      </c>
      <c r="AN222" s="131">
        <f t="shared" si="53"/>
        <v>0</v>
      </c>
      <c r="AO222" s="131">
        <v>0</v>
      </c>
      <c r="AP222" s="131">
        <f t="shared" si="54"/>
        <v>0</v>
      </c>
      <c r="AQ222" s="131">
        <f t="shared" si="55"/>
        <v>0</v>
      </c>
      <c r="AR222" s="131">
        <v>0</v>
      </c>
    </row>
    <row r="223" spans="28:44">
      <c r="AB223" s="131">
        <f t="shared" si="42"/>
        <v>0</v>
      </c>
      <c r="AC223" s="131">
        <f t="shared" si="43"/>
        <v>0</v>
      </c>
      <c r="AD223" s="131">
        <f t="shared" si="44"/>
        <v>0</v>
      </c>
      <c r="AE223" s="131">
        <f t="shared" si="45"/>
        <v>0</v>
      </c>
      <c r="AF223" s="131">
        <f t="shared" si="46"/>
        <v>0</v>
      </c>
      <c r="AG223" s="131">
        <f t="shared" si="47"/>
        <v>0</v>
      </c>
      <c r="AH223" s="131">
        <f t="shared" si="48"/>
        <v>0</v>
      </c>
      <c r="AI223" s="131">
        <f t="shared" si="49"/>
        <v>0</v>
      </c>
      <c r="AJ223" s="131" t="e">
        <f t="shared" si="50"/>
        <v>#DIV/0!</v>
      </c>
      <c r="AK223" s="131">
        <f t="shared" si="51"/>
        <v>0</v>
      </c>
      <c r="AL223" s="131">
        <f t="shared" si="52"/>
        <v>0</v>
      </c>
      <c r="AM223" s="131">
        <v>0</v>
      </c>
      <c r="AN223" s="131">
        <f t="shared" si="53"/>
        <v>0</v>
      </c>
      <c r="AO223" s="131">
        <v>0</v>
      </c>
      <c r="AP223" s="131">
        <f t="shared" si="54"/>
        <v>0</v>
      </c>
      <c r="AQ223" s="131">
        <f t="shared" si="55"/>
        <v>0</v>
      </c>
      <c r="AR223" s="131">
        <v>0</v>
      </c>
    </row>
    <row r="224" spans="28:44">
      <c r="AB224" s="131">
        <f t="shared" si="42"/>
        <v>0</v>
      </c>
      <c r="AC224" s="131">
        <f t="shared" si="43"/>
        <v>0</v>
      </c>
      <c r="AD224" s="131">
        <f t="shared" si="44"/>
        <v>0</v>
      </c>
      <c r="AE224" s="131">
        <f t="shared" si="45"/>
        <v>0</v>
      </c>
      <c r="AF224" s="131">
        <f t="shared" si="46"/>
        <v>0</v>
      </c>
      <c r="AG224" s="131">
        <f t="shared" si="47"/>
        <v>0</v>
      </c>
      <c r="AH224" s="131">
        <f t="shared" si="48"/>
        <v>0</v>
      </c>
      <c r="AI224" s="131">
        <f t="shared" si="49"/>
        <v>0</v>
      </c>
      <c r="AJ224" s="131" t="e">
        <f t="shared" si="50"/>
        <v>#DIV/0!</v>
      </c>
      <c r="AK224" s="131">
        <f t="shared" si="51"/>
        <v>0</v>
      </c>
      <c r="AL224" s="131">
        <f t="shared" si="52"/>
        <v>0</v>
      </c>
      <c r="AM224" s="131">
        <v>0</v>
      </c>
      <c r="AN224" s="131">
        <f t="shared" si="53"/>
        <v>0</v>
      </c>
      <c r="AO224" s="131">
        <v>0</v>
      </c>
      <c r="AP224" s="131">
        <f t="shared" si="54"/>
        <v>0</v>
      </c>
      <c r="AQ224" s="131">
        <f t="shared" si="55"/>
        <v>0</v>
      </c>
      <c r="AR224" s="131">
        <v>0</v>
      </c>
    </row>
    <row r="225" spans="28:44">
      <c r="AB225" s="131">
        <f t="shared" si="42"/>
        <v>0</v>
      </c>
      <c r="AC225" s="131">
        <f t="shared" si="43"/>
        <v>0</v>
      </c>
      <c r="AD225" s="131">
        <f t="shared" si="44"/>
        <v>0</v>
      </c>
      <c r="AE225" s="131">
        <f t="shared" si="45"/>
        <v>0</v>
      </c>
      <c r="AF225" s="131">
        <f t="shared" si="46"/>
        <v>0</v>
      </c>
      <c r="AG225" s="131">
        <f t="shared" si="47"/>
        <v>0</v>
      </c>
      <c r="AH225" s="131">
        <f t="shared" si="48"/>
        <v>0</v>
      </c>
      <c r="AI225" s="131">
        <f t="shared" si="49"/>
        <v>0</v>
      </c>
      <c r="AJ225" s="131" t="e">
        <f t="shared" si="50"/>
        <v>#DIV/0!</v>
      </c>
      <c r="AK225" s="131">
        <f t="shared" si="51"/>
        <v>0</v>
      </c>
      <c r="AL225" s="131">
        <f t="shared" si="52"/>
        <v>0</v>
      </c>
      <c r="AM225" s="131">
        <v>0</v>
      </c>
      <c r="AN225" s="131">
        <f t="shared" si="53"/>
        <v>0</v>
      </c>
      <c r="AO225" s="131">
        <v>0</v>
      </c>
      <c r="AP225" s="131">
        <f t="shared" si="54"/>
        <v>0</v>
      </c>
      <c r="AQ225" s="131">
        <f t="shared" si="55"/>
        <v>0</v>
      </c>
      <c r="AR225" s="131">
        <v>0</v>
      </c>
    </row>
    <row r="226" spans="28:44">
      <c r="AB226" s="131">
        <f t="shared" si="42"/>
        <v>0</v>
      </c>
      <c r="AC226" s="131">
        <f t="shared" si="43"/>
        <v>0</v>
      </c>
      <c r="AD226" s="131">
        <f t="shared" si="44"/>
        <v>0</v>
      </c>
      <c r="AE226" s="131">
        <f t="shared" si="45"/>
        <v>0</v>
      </c>
      <c r="AF226" s="131">
        <f t="shared" si="46"/>
        <v>0</v>
      </c>
      <c r="AG226" s="131">
        <f t="shared" si="47"/>
        <v>0</v>
      </c>
      <c r="AH226" s="131">
        <f t="shared" si="48"/>
        <v>0</v>
      </c>
      <c r="AI226" s="131">
        <f t="shared" si="49"/>
        <v>0</v>
      </c>
      <c r="AJ226" s="131" t="e">
        <f t="shared" si="50"/>
        <v>#DIV/0!</v>
      </c>
      <c r="AK226" s="131">
        <f t="shared" si="51"/>
        <v>0</v>
      </c>
      <c r="AL226" s="131">
        <f t="shared" si="52"/>
        <v>0</v>
      </c>
      <c r="AM226" s="131">
        <v>0</v>
      </c>
      <c r="AN226" s="131">
        <f t="shared" si="53"/>
        <v>0</v>
      </c>
      <c r="AO226" s="131">
        <v>0</v>
      </c>
      <c r="AP226" s="131">
        <f t="shared" si="54"/>
        <v>0</v>
      </c>
      <c r="AQ226" s="131">
        <f t="shared" si="55"/>
        <v>0</v>
      </c>
      <c r="AR226" s="131">
        <v>0</v>
      </c>
    </row>
    <row r="227" spans="28:44">
      <c r="AB227" s="131">
        <f t="shared" si="42"/>
        <v>0</v>
      </c>
      <c r="AC227" s="131">
        <f t="shared" si="43"/>
        <v>0</v>
      </c>
      <c r="AD227" s="131">
        <f t="shared" si="44"/>
        <v>0</v>
      </c>
      <c r="AE227" s="131">
        <f t="shared" si="45"/>
        <v>0</v>
      </c>
      <c r="AF227" s="131">
        <f t="shared" si="46"/>
        <v>0</v>
      </c>
      <c r="AG227" s="131">
        <f t="shared" si="47"/>
        <v>0</v>
      </c>
      <c r="AH227" s="131">
        <f t="shared" si="48"/>
        <v>0</v>
      </c>
      <c r="AI227" s="131">
        <f t="shared" si="49"/>
        <v>0</v>
      </c>
      <c r="AJ227" s="131" t="e">
        <f t="shared" si="50"/>
        <v>#DIV/0!</v>
      </c>
      <c r="AK227" s="131">
        <f t="shared" si="51"/>
        <v>0</v>
      </c>
      <c r="AL227" s="131">
        <f t="shared" si="52"/>
        <v>0</v>
      </c>
      <c r="AM227" s="131">
        <v>0</v>
      </c>
      <c r="AN227" s="131">
        <f t="shared" si="53"/>
        <v>0</v>
      </c>
      <c r="AO227" s="131">
        <v>0</v>
      </c>
      <c r="AP227" s="131">
        <f t="shared" si="54"/>
        <v>0</v>
      </c>
      <c r="AQ227" s="131">
        <f t="shared" si="55"/>
        <v>0</v>
      </c>
      <c r="AR227" s="131">
        <v>0</v>
      </c>
    </row>
    <row r="228" spans="28:44">
      <c r="AB228" s="131">
        <f t="shared" si="42"/>
        <v>0</v>
      </c>
      <c r="AC228" s="131">
        <f t="shared" si="43"/>
        <v>0</v>
      </c>
      <c r="AD228" s="131">
        <f t="shared" si="44"/>
        <v>0</v>
      </c>
      <c r="AE228" s="131">
        <f t="shared" si="45"/>
        <v>0</v>
      </c>
      <c r="AF228" s="131">
        <f t="shared" si="46"/>
        <v>0</v>
      </c>
      <c r="AG228" s="131">
        <f t="shared" si="47"/>
        <v>0</v>
      </c>
      <c r="AH228" s="131">
        <f t="shared" si="48"/>
        <v>0</v>
      </c>
      <c r="AI228" s="131">
        <f t="shared" si="49"/>
        <v>0</v>
      </c>
      <c r="AJ228" s="131" t="e">
        <f t="shared" si="50"/>
        <v>#DIV/0!</v>
      </c>
      <c r="AK228" s="131">
        <f t="shared" si="51"/>
        <v>0</v>
      </c>
      <c r="AL228" s="131">
        <f t="shared" si="52"/>
        <v>0</v>
      </c>
      <c r="AM228" s="131">
        <v>0</v>
      </c>
      <c r="AN228" s="131">
        <f t="shared" si="53"/>
        <v>0</v>
      </c>
      <c r="AO228" s="131">
        <v>0</v>
      </c>
      <c r="AP228" s="131">
        <f t="shared" si="54"/>
        <v>0</v>
      </c>
      <c r="AQ228" s="131">
        <f t="shared" si="55"/>
        <v>0</v>
      </c>
      <c r="AR228" s="131">
        <v>0</v>
      </c>
    </row>
    <row r="229" spans="28:44">
      <c r="AB229" s="131">
        <f t="shared" si="42"/>
        <v>0</v>
      </c>
      <c r="AC229" s="131">
        <f t="shared" si="43"/>
        <v>0</v>
      </c>
      <c r="AD229" s="131">
        <f t="shared" si="44"/>
        <v>0</v>
      </c>
      <c r="AE229" s="131">
        <f t="shared" si="45"/>
        <v>0</v>
      </c>
      <c r="AF229" s="131">
        <f t="shared" si="46"/>
        <v>0</v>
      </c>
      <c r="AG229" s="131">
        <f t="shared" si="47"/>
        <v>0</v>
      </c>
      <c r="AH229" s="131">
        <f t="shared" si="48"/>
        <v>0</v>
      </c>
      <c r="AI229" s="131">
        <f t="shared" si="49"/>
        <v>0</v>
      </c>
      <c r="AJ229" s="131" t="e">
        <f t="shared" si="50"/>
        <v>#DIV/0!</v>
      </c>
      <c r="AK229" s="131">
        <f t="shared" si="51"/>
        <v>0</v>
      </c>
      <c r="AL229" s="131">
        <f t="shared" si="52"/>
        <v>0</v>
      </c>
      <c r="AM229" s="131">
        <v>0</v>
      </c>
      <c r="AN229" s="131">
        <f t="shared" si="53"/>
        <v>0</v>
      </c>
      <c r="AO229" s="131">
        <v>0</v>
      </c>
      <c r="AP229" s="131">
        <f t="shared" si="54"/>
        <v>0</v>
      </c>
      <c r="AQ229" s="131">
        <f t="shared" si="55"/>
        <v>0</v>
      </c>
      <c r="AR229" s="131">
        <v>0</v>
      </c>
    </row>
    <row r="230" spans="28:44">
      <c r="AB230" s="131">
        <f t="shared" si="42"/>
        <v>0</v>
      </c>
      <c r="AC230" s="131">
        <f t="shared" si="43"/>
        <v>0</v>
      </c>
      <c r="AD230" s="131">
        <f t="shared" si="44"/>
        <v>0</v>
      </c>
      <c r="AE230" s="131">
        <f t="shared" si="45"/>
        <v>0</v>
      </c>
      <c r="AF230" s="131">
        <f t="shared" si="46"/>
        <v>0</v>
      </c>
      <c r="AG230" s="131">
        <f t="shared" si="47"/>
        <v>0</v>
      </c>
      <c r="AH230" s="131">
        <f t="shared" si="48"/>
        <v>0</v>
      </c>
      <c r="AI230" s="131">
        <f t="shared" si="49"/>
        <v>0</v>
      </c>
      <c r="AJ230" s="131" t="e">
        <f t="shared" si="50"/>
        <v>#DIV/0!</v>
      </c>
      <c r="AK230" s="131">
        <f t="shared" si="51"/>
        <v>0</v>
      </c>
      <c r="AL230" s="131">
        <f t="shared" si="52"/>
        <v>0</v>
      </c>
      <c r="AM230" s="131">
        <v>0</v>
      </c>
      <c r="AN230" s="131">
        <f t="shared" si="53"/>
        <v>0</v>
      </c>
      <c r="AO230" s="131">
        <v>0</v>
      </c>
      <c r="AP230" s="131">
        <f t="shared" si="54"/>
        <v>0</v>
      </c>
      <c r="AQ230" s="131">
        <f t="shared" si="55"/>
        <v>0</v>
      </c>
      <c r="AR230" s="131">
        <v>0</v>
      </c>
    </row>
    <row r="231" spans="28:44">
      <c r="AB231" s="131">
        <f t="shared" si="42"/>
        <v>0</v>
      </c>
      <c r="AC231" s="131">
        <f t="shared" si="43"/>
        <v>0</v>
      </c>
      <c r="AD231" s="131">
        <f t="shared" si="44"/>
        <v>0</v>
      </c>
      <c r="AE231" s="131">
        <f t="shared" si="45"/>
        <v>0</v>
      </c>
      <c r="AF231" s="131">
        <f t="shared" si="46"/>
        <v>0</v>
      </c>
      <c r="AG231" s="131">
        <f t="shared" si="47"/>
        <v>0</v>
      </c>
      <c r="AH231" s="131">
        <f t="shared" si="48"/>
        <v>0</v>
      </c>
      <c r="AI231" s="131">
        <f t="shared" si="49"/>
        <v>0</v>
      </c>
      <c r="AJ231" s="131" t="e">
        <f t="shared" si="50"/>
        <v>#DIV/0!</v>
      </c>
      <c r="AK231" s="131">
        <f t="shared" si="51"/>
        <v>0</v>
      </c>
      <c r="AL231" s="131">
        <f t="shared" si="52"/>
        <v>0</v>
      </c>
      <c r="AM231" s="131">
        <v>0</v>
      </c>
      <c r="AN231" s="131">
        <f t="shared" si="53"/>
        <v>0</v>
      </c>
      <c r="AO231" s="131">
        <v>0</v>
      </c>
      <c r="AP231" s="131">
        <f t="shared" si="54"/>
        <v>0</v>
      </c>
      <c r="AQ231" s="131">
        <f t="shared" si="55"/>
        <v>0</v>
      </c>
      <c r="AR231" s="131">
        <v>0</v>
      </c>
    </row>
    <row r="232" spans="28:44">
      <c r="AB232" s="131">
        <f t="shared" si="42"/>
        <v>0</v>
      </c>
      <c r="AC232" s="131">
        <f t="shared" si="43"/>
        <v>0</v>
      </c>
      <c r="AD232" s="131">
        <f t="shared" si="44"/>
        <v>0</v>
      </c>
      <c r="AE232" s="131">
        <f t="shared" si="45"/>
        <v>0</v>
      </c>
      <c r="AF232" s="131">
        <f t="shared" si="46"/>
        <v>0</v>
      </c>
      <c r="AG232" s="131">
        <f t="shared" si="47"/>
        <v>0</v>
      </c>
      <c r="AH232" s="131">
        <f t="shared" si="48"/>
        <v>0</v>
      </c>
      <c r="AI232" s="131">
        <f t="shared" si="49"/>
        <v>0</v>
      </c>
      <c r="AJ232" s="131" t="e">
        <f t="shared" si="50"/>
        <v>#DIV/0!</v>
      </c>
      <c r="AK232" s="131">
        <f t="shared" si="51"/>
        <v>0</v>
      </c>
      <c r="AL232" s="131">
        <f t="shared" si="52"/>
        <v>0</v>
      </c>
      <c r="AM232" s="131">
        <v>0</v>
      </c>
      <c r="AN232" s="131">
        <f t="shared" si="53"/>
        <v>0</v>
      </c>
      <c r="AO232" s="131">
        <v>0</v>
      </c>
      <c r="AP232" s="131">
        <f t="shared" si="54"/>
        <v>0</v>
      </c>
      <c r="AQ232" s="131">
        <f t="shared" si="55"/>
        <v>0</v>
      </c>
      <c r="AR232" s="131">
        <v>0</v>
      </c>
    </row>
    <row r="233" spans="28:44">
      <c r="AB233" s="131">
        <f t="shared" si="42"/>
        <v>0</v>
      </c>
      <c r="AC233" s="131">
        <f t="shared" si="43"/>
        <v>0</v>
      </c>
      <c r="AD233" s="131">
        <f t="shared" si="44"/>
        <v>0</v>
      </c>
      <c r="AE233" s="131">
        <f t="shared" si="45"/>
        <v>0</v>
      </c>
      <c r="AF233" s="131">
        <f t="shared" si="46"/>
        <v>0</v>
      </c>
      <c r="AG233" s="131">
        <f t="shared" si="47"/>
        <v>0</v>
      </c>
      <c r="AH233" s="131">
        <f t="shared" si="48"/>
        <v>0</v>
      </c>
      <c r="AI233" s="131">
        <f t="shared" si="49"/>
        <v>0</v>
      </c>
      <c r="AJ233" s="131" t="e">
        <f t="shared" si="50"/>
        <v>#DIV/0!</v>
      </c>
      <c r="AK233" s="131">
        <f t="shared" si="51"/>
        <v>0</v>
      </c>
      <c r="AL233" s="131">
        <f t="shared" si="52"/>
        <v>0</v>
      </c>
      <c r="AM233" s="131">
        <v>0</v>
      </c>
      <c r="AN233" s="131">
        <f t="shared" si="53"/>
        <v>0</v>
      </c>
      <c r="AO233" s="131">
        <v>0</v>
      </c>
      <c r="AP233" s="131">
        <f t="shared" si="54"/>
        <v>0</v>
      </c>
      <c r="AQ233" s="131">
        <f t="shared" si="55"/>
        <v>0</v>
      </c>
      <c r="AR233" s="131">
        <v>0</v>
      </c>
    </row>
    <row r="234" spans="28:44">
      <c r="AB234" s="131">
        <f t="shared" si="42"/>
        <v>0</v>
      </c>
      <c r="AC234" s="131">
        <f t="shared" si="43"/>
        <v>0</v>
      </c>
      <c r="AD234" s="131">
        <f t="shared" si="44"/>
        <v>0</v>
      </c>
      <c r="AE234" s="131">
        <f t="shared" si="45"/>
        <v>0</v>
      </c>
      <c r="AF234" s="131">
        <f t="shared" si="46"/>
        <v>0</v>
      </c>
      <c r="AG234" s="131">
        <f t="shared" si="47"/>
        <v>0</v>
      </c>
      <c r="AH234" s="131">
        <f t="shared" si="48"/>
        <v>0</v>
      </c>
      <c r="AI234" s="131">
        <f t="shared" si="49"/>
        <v>0</v>
      </c>
      <c r="AJ234" s="131" t="e">
        <f t="shared" si="50"/>
        <v>#DIV/0!</v>
      </c>
      <c r="AK234" s="131">
        <f t="shared" si="51"/>
        <v>0</v>
      </c>
      <c r="AL234" s="131">
        <f t="shared" si="52"/>
        <v>0</v>
      </c>
      <c r="AM234" s="131">
        <v>0</v>
      </c>
      <c r="AN234" s="131">
        <f t="shared" si="53"/>
        <v>0</v>
      </c>
      <c r="AO234" s="131">
        <v>0</v>
      </c>
      <c r="AP234" s="131">
        <f t="shared" si="54"/>
        <v>0</v>
      </c>
      <c r="AQ234" s="131">
        <f t="shared" si="55"/>
        <v>0</v>
      </c>
      <c r="AR234" s="131">
        <v>0</v>
      </c>
    </row>
    <row r="235" spans="28:44">
      <c r="AB235" s="131">
        <f t="shared" si="42"/>
        <v>0</v>
      </c>
      <c r="AC235" s="131">
        <f t="shared" si="43"/>
        <v>0</v>
      </c>
      <c r="AD235" s="131">
        <f t="shared" si="44"/>
        <v>0</v>
      </c>
      <c r="AE235" s="131">
        <f t="shared" si="45"/>
        <v>0</v>
      </c>
      <c r="AF235" s="131">
        <f t="shared" si="46"/>
        <v>0</v>
      </c>
      <c r="AG235" s="131">
        <f t="shared" si="47"/>
        <v>0</v>
      </c>
      <c r="AH235" s="131">
        <f t="shared" si="48"/>
        <v>0</v>
      </c>
      <c r="AI235" s="131">
        <f t="shared" si="49"/>
        <v>0</v>
      </c>
      <c r="AJ235" s="131" t="e">
        <f t="shared" si="50"/>
        <v>#DIV/0!</v>
      </c>
      <c r="AK235" s="131">
        <f t="shared" si="51"/>
        <v>0</v>
      </c>
      <c r="AL235" s="131">
        <f t="shared" si="52"/>
        <v>0</v>
      </c>
      <c r="AM235" s="131">
        <v>0</v>
      </c>
      <c r="AN235" s="131">
        <f t="shared" si="53"/>
        <v>0</v>
      </c>
      <c r="AO235" s="131">
        <v>0</v>
      </c>
      <c r="AP235" s="131">
        <f t="shared" si="54"/>
        <v>0</v>
      </c>
      <c r="AQ235" s="131">
        <f t="shared" si="55"/>
        <v>0</v>
      </c>
      <c r="AR235" s="131">
        <v>0</v>
      </c>
    </row>
    <row r="236" spans="28:44">
      <c r="AB236" s="131">
        <f t="shared" si="42"/>
        <v>0</v>
      </c>
      <c r="AC236" s="131">
        <f t="shared" si="43"/>
        <v>0</v>
      </c>
      <c r="AD236" s="131">
        <f t="shared" si="44"/>
        <v>0</v>
      </c>
      <c r="AE236" s="131">
        <f t="shared" si="45"/>
        <v>0</v>
      </c>
      <c r="AF236" s="131">
        <f t="shared" si="46"/>
        <v>0</v>
      </c>
      <c r="AG236" s="131">
        <f t="shared" si="47"/>
        <v>0</v>
      </c>
      <c r="AH236" s="131">
        <f t="shared" si="48"/>
        <v>0</v>
      </c>
      <c r="AI236" s="131">
        <f t="shared" si="49"/>
        <v>0</v>
      </c>
      <c r="AJ236" s="131" t="e">
        <f t="shared" si="50"/>
        <v>#DIV/0!</v>
      </c>
      <c r="AK236" s="131">
        <f t="shared" si="51"/>
        <v>0</v>
      </c>
      <c r="AL236" s="131">
        <f t="shared" si="52"/>
        <v>0</v>
      </c>
      <c r="AM236" s="131">
        <v>0</v>
      </c>
      <c r="AN236" s="131">
        <f t="shared" si="53"/>
        <v>0</v>
      </c>
      <c r="AO236" s="131">
        <v>0</v>
      </c>
      <c r="AP236" s="131">
        <f t="shared" si="54"/>
        <v>0</v>
      </c>
      <c r="AQ236" s="131">
        <f t="shared" si="55"/>
        <v>0</v>
      </c>
      <c r="AR236" s="131">
        <v>0</v>
      </c>
    </row>
    <row r="237" spans="28:44">
      <c r="AB237" s="131">
        <f t="shared" si="42"/>
        <v>0</v>
      </c>
      <c r="AC237" s="131">
        <f t="shared" si="43"/>
        <v>0</v>
      </c>
      <c r="AD237" s="131">
        <f t="shared" si="44"/>
        <v>0</v>
      </c>
      <c r="AE237" s="131">
        <f t="shared" si="45"/>
        <v>0</v>
      </c>
      <c r="AF237" s="131">
        <f t="shared" si="46"/>
        <v>0</v>
      </c>
      <c r="AG237" s="131">
        <f t="shared" si="47"/>
        <v>0</v>
      </c>
      <c r="AH237" s="131">
        <f t="shared" si="48"/>
        <v>0</v>
      </c>
      <c r="AI237" s="131">
        <f t="shared" si="49"/>
        <v>0</v>
      </c>
      <c r="AJ237" s="131" t="e">
        <f t="shared" si="50"/>
        <v>#DIV/0!</v>
      </c>
      <c r="AK237" s="131">
        <f t="shared" si="51"/>
        <v>0</v>
      </c>
      <c r="AL237" s="131">
        <f t="shared" si="52"/>
        <v>0</v>
      </c>
      <c r="AM237" s="131">
        <v>0</v>
      </c>
      <c r="AN237" s="131">
        <f t="shared" si="53"/>
        <v>0</v>
      </c>
      <c r="AO237" s="131">
        <v>0</v>
      </c>
      <c r="AP237" s="131">
        <f t="shared" si="54"/>
        <v>0</v>
      </c>
      <c r="AQ237" s="131">
        <f t="shared" si="55"/>
        <v>0</v>
      </c>
      <c r="AR237" s="131">
        <v>0</v>
      </c>
    </row>
    <row r="238" spans="28:44">
      <c r="AB238" s="131">
        <f t="shared" si="42"/>
        <v>0</v>
      </c>
      <c r="AC238" s="131">
        <f t="shared" si="43"/>
        <v>0</v>
      </c>
      <c r="AD238" s="131">
        <f t="shared" si="44"/>
        <v>0</v>
      </c>
      <c r="AE238" s="131">
        <f t="shared" si="45"/>
        <v>0</v>
      </c>
      <c r="AF238" s="131">
        <f t="shared" si="46"/>
        <v>0</v>
      </c>
      <c r="AG238" s="131">
        <f t="shared" si="47"/>
        <v>0</v>
      </c>
      <c r="AH238" s="131">
        <f t="shared" si="48"/>
        <v>0</v>
      </c>
      <c r="AI238" s="131">
        <f t="shared" si="49"/>
        <v>0</v>
      </c>
      <c r="AJ238" s="131" t="e">
        <f t="shared" si="50"/>
        <v>#DIV/0!</v>
      </c>
      <c r="AK238" s="131">
        <f t="shared" si="51"/>
        <v>0</v>
      </c>
      <c r="AL238" s="131">
        <f t="shared" si="52"/>
        <v>0</v>
      </c>
      <c r="AM238" s="131">
        <v>0</v>
      </c>
      <c r="AN238" s="131">
        <f t="shared" si="53"/>
        <v>0</v>
      </c>
      <c r="AO238" s="131">
        <v>0</v>
      </c>
      <c r="AP238" s="131">
        <f t="shared" si="54"/>
        <v>0</v>
      </c>
      <c r="AQ238" s="131">
        <f t="shared" si="55"/>
        <v>0</v>
      </c>
      <c r="AR238" s="131">
        <v>0</v>
      </c>
    </row>
    <row r="239" spans="28:44">
      <c r="AB239" s="131">
        <f t="shared" si="42"/>
        <v>0</v>
      </c>
      <c r="AC239" s="131">
        <f t="shared" si="43"/>
        <v>0</v>
      </c>
      <c r="AD239" s="131">
        <f t="shared" si="44"/>
        <v>0</v>
      </c>
      <c r="AE239" s="131">
        <f t="shared" si="45"/>
        <v>0</v>
      </c>
      <c r="AF239" s="131">
        <f t="shared" si="46"/>
        <v>0</v>
      </c>
      <c r="AG239" s="131">
        <f t="shared" si="47"/>
        <v>0</v>
      </c>
      <c r="AH239" s="131">
        <f t="shared" si="48"/>
        <v>0</v>
      </c>
      <c r="AI239" s="131">
        <f t="shared" si="49"/>
        <v>0</v>
      </c>
      <c r="AJ239" s="131" t="e">
        <f t="shared" si="50"/>
        <v>#DIV/0!</v>
      </c>
      <c r="AK239" s="131">
        <f t="shared" si="51"/>
        <v>0</v>
      </c>
      <c r="AL239" s="131">
        <f t="shared" si="52"/>
        <v>0</v>
      </c>
      <c r="AM239" s="131">
        <v>0</v>
      </c>
      <c r="AN239" s="131">
        <f t="shared" si="53"/>
        <v>0</v>
      </c>
      <c r="AO239" s="131">
        <v>0</v>
      </c>
      <c r="AP239" s="131">
        <f t="shared" si="54"/>
        <v>0</v>
      </c>
      <c r="AQ239" s="131">
        <f t="shared" si="55"/>
        <v>0</v>
      </c>
      <c r="AR239" s="131">
        <v>0</v>
      </c>
    </row>
    <row r="240" spans="28:44">
      <c r="AB240" s="131">
        <f t="shared" si="42"/>
        <v>0</v>
      </c>
      <c r="AC240" s="131">
        <f t="shared" si="43"/>
        <v>0</v>
      </c>
      <c r="AD240" s="131">
        <f t="shared" si="44"/>
        <v>0</v>
      </c>
      <c r="AE240" s="131">
        <f t="shared" si="45"/>
        <v>0</v>
      </c>
      <c r="AF240" s="131">
        <f t="shared" si="46"/>
        <v>0</v>
      </c>
      <c r="AG240" s="131">
        <f t="shared" si="47"/>
        <v>0</v>
      </c>
      <c r="AH240" s="131">
        <f t="shared" si="48"/>
        <v>0</v>
      </c>
      <c r="AI240" s="131">
        <f t="shared" si="49"/>
        <v>0</v>
      </c>
      <c r="AJ240" s="131" t="e">
        <f t="shared" si="50"/>
        <v>#DIV/0!</v>
      </c>
      <c r="AK240" s="131">
        <f t="shared" si="51"/>
        <v>0</v>
      </c>
      <c r="AL240" s="131">
        <f t="shared" si="52"/>
        <v>0</v>
      </c>
      <c r="AM240" s="131">
        <v>0</v>
      </c>
      <c r="AN240" s="131">
        <f t="shared" si="53"/>
        <v>0</v>
      </c>
      <c r="AO240" s="131">
        <v>0</v>
      </c>
      <c r="AP240" s="131">
        <f t="shared" si="54"/>
        <v>0</v>
      </c>
      <c r="AQ240" s="131">
        <f t="shared" si="55"/>
        <v>0</v>
      </c>
      <c r="AR240" s="131">
        <v>0</v>
      </c>
    </row>
    <row r="241" spans="28:44">
      <c r="AB241" s="131">
        <f t="shared" si="42"/>
        <v>0</v>
      </c>
      <c r="AC241" s="131">
        <f t="shared" si="43"/>
        <v>0</v>
      </c>
      <c r="AD241" s="131">
        <f t="shared" si="44"/>
        <v>0</v>
      </c>
      <c r="AE241" s="131">
        <f t="shared" si="45"/>
        <v>0</v>
      </c>
      <c r="AF241" s="131">
        <f t="shared" si="46"/>
        <v>0</v>
      </c>
      <c r="AG241" s="131">
        <f t="shared" si="47"/>
        <v>0</v>
      </c>
      <c r="AH241" s="131">
        <f t="shared" si="48"/>
        <v>0</v>
      </c>
      <c r="AI241" s="131">
        <f t="shared" si="49"/>
        <v>0</v>
      </c>
      <c r="AJ241" s="131" t="e">
        <f t="shared" si="50"/>
        <v>#DIV/0!</v>
      </c>
      <c r="AK241" s="131">
        <f t="shared" si="51"/>
        <v>0</v>
      </c>
      <c r="AL241" s="131">
        <f t="shared" si="52"/>
        <v>0</v>
      </c>
      <c r="AM241" s="131">
        <v>0</v>
      </c>
      <c r="AN241" s="131">
        <f t="shared" si="53"/>
        <v>0</v>
      </c>
      <c r="AO241" s="131">
        <v>0</v>
      </c>
      <c r="AP241" s="131">
        <f t="shared" si="54"/>
        <v>0</v>
      </c>
      <c r="AQ241" s="131">
        <f t="shared" si="55"/>
        <v>0</v>
      </c>
      <c r="AR241" s="131">
        <v>0</v>
      </c>
    </row>
    <row r="242" spans="28:44">
      <c r="AB242" s="131">
        <f t="shared" si="42"/>
        <v>0</v>
      </c>
      <c r="AC242" s="131">
        <f t="shared" si="43"/>
        <v>0</v>
      </c>
      <c r="AD242" s="131">
        <f t="shared" si="44"/>
        <v>0</v>
      </c>
      <c r="AE242" s="131">
        <f t="shared" si="45"/>
        <v>0</v>
      </c>
      <c r="AF242" s="131">
        <f t="shared" si="46"/>
        <v>0</v>
      </c>
      <c r="AG242" s="131">
        <f t="shared" si="47"/>
        <v>0</v>
      </c>
      <c r="AH242" s="131">
        <f t="shared" si="48"/>
        <v>0</v>
      </c>
      <c r="AI242" s="131">
        <f t="shared" si="49"/>
        <v>0</v>
      </c>
      <c r="AJ242" s="131" t="e">
        <f t="shared" si="50"/>
        <v>#DIV/0!</v>
      </c>
      <c r="AK242" s="131">
        <f t="shared" si="51"/>
        <v>0</v>
      </c>
      <c r="AL242" s="131">
        <f t="shared" si="52"/>
        <v>0</v>
      </c>
      <c r="AM242" s="131">
        <v>0</v>
      </c>
      <c r="AN242" s="131">
        <f t="shared" si="53"/>
        <v>0</v>
      </c>
      <c r="AO242" s="131">
        <v>0</v>
      </c>
      <c r="AP242" s="131">
        <f t="shared" si="54"/>
        <v>0</v>
      </c>
      <c r="AQ242" s="131">
        <f t="shared" si="55"/>
        <v>0</v>
      </c>
      <c r="AR242" s="131">
        <v>0</v>
      </c>
    </row>
    <row r="243" spans="28:44">
      <c r="AB243" s="131">
        <f t="shared" si="42"/>
        <v>0</v>
      </c>
      <c r="AC243" s="131">
        <f t="shared" si="43"/>
        <v>0</v>
      </c>
      <c r="AD243" s="131">
        <f t="shared" si="44"/>
        <v>0</v>
      </c>
      <c r="AE243" s="131">
        <f t="shared" si="45"/>
        <v>0</v>
      </c>
      <c r="AF243" s="131">
        <f t="shared" si="46"/>
        <v>0</v>
      </c>
      <c r="AG243" s="131">
        <f t="shared" si="47"/>
        <v>0</v>
      </c>
      <c r="AH243" s="131">
        <f t="shared" si="48"/>
        <v>0</v>
      </c>
      <c r="AI243" s="131">
        <f t="shared" si="49"/>
        <v>0</v>
      </c>
      <c r="AJ243" s="131" t="e">
        <f t="shared" si="50"/>
        <v>#DIV/0!</v>
      </c>
      <c r="AK243" s="131">
        <f t="shared" si="51"/>
        <v>0</v>
      </c>
      <c r="AL243" s="131">
        <f t="shared" si="52"/>
        <v>0</v>
      </c>
      <c r="AM243" s="131">
        <v>0</v>
      </c>
      <c r="AN243" s="131">
        <f t="shared" si="53"/>
        <v>0</v>
      </c>
      <c r="AO243" s="131">
        <v>0</v>
      </c>
      <c r="AP243" s="131">
        <f t="shared" si="54"/>
        <v>0</v>
      </c>
      <c r="AQ243" s="131">
        <f t="shared" si="55"/>
        <v>0</v>
      </c>
      <c r="AR243" s="131">
        <v>0</v>
      </c>
    </row>
    <row r="244" spans="28:44">
      <c r="AB244" s="131">
        <f t="shared" si="42"/>
        <v>0</v>
      </c>
      <c r="AC244" s="131">
        <f t="shared" si="43"/>
        <v>0</v>
      </c>
      <c r="AD244" s="131">
        <f t="shared" si="44"/>
        <v>0</v>
      </c>
      <c r="AE244" s="131">
        <f t="shared" si="45"/>
        <v>0</v>
      </c>
      <c r="AF244" s="131">
        <f t="shared" si="46"/>
        <v>0</v>
      </c>
      <c r="AG244" s="131">
        <f t="shared" si="47"/>
        <v>0</v>
      </c>
      <c r="AH244" s="131">
        <f t="shared" si="48"/>
        <v>0</v>
      </c>
      <c r="AI244" s="131">
        <f t="shared" si="49"/>
        <v>0</v>
      </c>
      <c r="AJ244" s="131" t="e">
        <f t="shared" si="50"/>
        <v>#DIV/0!</v>
      </c>
      <c r="AK244" s="131">
        <f t="shared" si="51"/>
        <v>0</v>
      </c>
      <c r="AL244" s="131">
        <f t="shared" si="52"/>
        <v>0</v>
      </c>
      <c r="AM244" s="131">
        <v>0</v>
      </c>
      <c r="AN244" s="131">
        <f t="shared" si="53"/>
        <v>0</v>
      </c>
      <c r="AO244" s="131">
        <v>0</v>
      </c>
      <c r="AP244" s="131">
        <f t="shared" si="54"/>
        <v>0</v>
      </c>
      <c r="AQ244" s="131">
        <f t="shared" si="55"/>
        <v>0</v>
      </c>
      <c r="AR244" s="131">
        <v>0</v>
      </c>
    </row>
    <row r="245" spans="28:44">
      <c r="AB245" s="131">
        <f t="shared" si="42"/>
        <v>0</v>
      </c>
      <c r="AC245" s="131">
        <f t="shared" si="43"/>
        <v>0</v>
      </c>
      <c r="AD245" s="131">
        <f t="shared" si="44"/>
        <v>0</v>
      </c>
      <c r="AE245" s="131">
        <f t="shared" si="45"/>
        <v>0</v>
      </c>
      <c r="AF245" s="131">
        <f t="shared" si="46"/>
        <v>0</v>
      </c>
      <c r="AG245" s="131">
        <f t="shared" si="47"/>
        <v>0</v>
      </c>
      <c r="AH245" s="131">
        <f t="shared" si="48"/>
        <v>0</v>
      </c>
      <c r="AI245" s="131">
        <f t="shared" si="49"/>
        <v>0</v>
      </c>
      <c r="AJ245" s="131" t="e">
        <f t="shared" si="50"/>
        <v>#DIV/0!</v>
      </c>
      <c r="AK245" s="131">
        <f t="shared" si="51"/>
        <v>0</v>
      </c>
      <c r="AL245" s="131">
        <f t="shared" si="52"/>
        <v>0</v>
      </c>
      <c r="AM245" s="131">
        <v>0</v>
      </c>
      <c r="AN245" s="131">
        <f t="shared" si="53"/>
        <v>0</v>
      </c>
      <c r="AO245" s="131">
        <v>0</v>
      </c>
      <c r="AP245" s="131">
        <f t="shared" si="54"/>
        <v>0</v>
      </c>
      <c r="AQ245" s="131">
        <f t="shared" si="55"/>
        <v>0</v>
      </c>
      <c r="AR245" s="131">
        <v>0</v>
      </c>
    </row>
    <row r="246" spans="28:44">
      <c r="AB246" s="131">
        <f t="shared" si="42"/>
        <v>0</v>
      </c>
      <c r="AC246" s="131">
        <f t="shared" si="43"/>
        <v>0</v>
      </c>
      <c r="AD246" s="131">
        <f t="shared" si="44"/>
        <v>0</v>
      </c>
      <c r="AE246" s="131">
        <f t="shared" si="45"/>
        <v>0</v>
      </c>
      <c r="AF246" s="131">
        <f t="shared" si="46"/>
        <v>0</v>
      </c>
      <c r="AG246" s="131">
        <f t="shared" si="47"/>
        <v>0</v>
      </c>
      <c r="AH246" s="131">
        <f t="shared" si="48"/>
        <v>0</v>
      </c>
      <c r="AI246" s="131">
        <f t="shared" si="49"/>
        <v>0</v>
      </c>
      <c r="AJ246" s="131" t="e">
        <f t="shared" si="50"/>
        <v>#DIV/0!</v>
      </c>
      <c r="AK246" s="131">
        <f t="shared" si="51"/>
        <v>0</v>
      </c>
      <c r="AL246" s="131">
        <f t="shared" si="52"/>
        <v>0</v>
      </c>
      <c r="AM246" s="131">
        <v>0</v>
      </c>
      <c r="AN246" s="131">
        <f t="shared" si="53"/>
        <v>0</v>
      </c>
      <c r="AO246" s="131">
        <v>0</v>
      </c>
      <c r="AP246" s="131">
        <f t="shared" si="54"/>
        <v>0</v>
      </c>
      <c r="AQ246" s="131">
        <f t="shared" si="55"/>
        <v>0</v>
      </c>
      <c r="AR246" s="131">
        <v>0</v>
      </c>
    </row>
    <row r="247" spans="28:44">
      <c r="AB247" s="131">
        <f t="shared" si="42"/>
        <v>0</v>
      </c>
      <c r="AC247" s="131">
        <f t="shared" si="43"/>
        <v>0</v>
      </c>
      <c r="AD247" s="131">
        <f t="shared" si="44"/>
        <v>0</v>
      </c>
      <c r="AE247" s="131">
        <f t="shared" si="45"/>
        <v>0</v>
      </c>
      <c r="AF247" s="131">
        <f t="shared" si="46"/>
        <v>0</v>
      </c>
      <c r="AG247" s="131">
        <f t="shared" si="47"/>
        <v>0</v>
      </c>
      <c r="AH247" s="131">
        <f t="shared" si="48"/>
        <v>0</v>
      </c>
      <c r="AI247" s="131">
        <f t="shared" si="49"/>
        <v>0</v>
      </c>
      <c r="AJ247" s="131" t="e">
        <f t="shared" si="50"/>
        <v>#DIV/0!</v>
      </c>
      <c r="AK247" s="131">
        <f t="shared" si="51"/>
        <v>0</v>
      </c>
      <c r="AL247" s="131">
        <f t="shared" si="52"/>
        <v>0</v>
      </c>
      <c r="AM247" s="131">
        <v>0</v>
      </c>
      <c r="AN247" s="131">
        <f t="shared" si="53"/>
        <v>0</v>
      </c>
      <c r="AO247" s="131">
        <v>0</v>
      </c>
      <c r="AP247" s="131">
        <f t="shared" si="54"/>
        <v>0</v>
      </c>
      <c r="AQ247" s="131">
        <f t="shared" si="55"/>
        <v>0</v>
      </c>
      <c r="AR247" s="131">
        <v>0</v>
      </c>
    </row>
    <row r="248" spans="28:44">
      <c r="AB248" s="131">
        <f t="shared" si="42"/>
        <v>0</v>
      </c>
      <c r="AC248" s="131">
        <f t="shared" si="43"/>
        <v>0</v>
      </c>
      <c r="AD248" s="131">
        <f t="shared" si="44"/>
        <v>0</v>
      </c>
      <c r="AE248" s="131">
        <f t="shared" si="45"/>
        <v>0</v>
      </c>
      <c r="AF248" s="131">
        <f t="shared" si="46"/>
        <v>0</v>
      </c>
      <c r="AG248" s="131">
        <f t="shared" si="47"/>
        <v>0</v>
      </c>
      <c r="AH248" s="131">
        <f t="shared" si="48"/>
        <v>0</v>
      </c>
      <c r="AI248" s="131">
        <f t="shared" si="49"/>
        <v>0</v>
      </c>
      <c r="AJ248" s="131" t="e">
        <f t="shared" si="50"/>
        <v>#DIV/0!</v>
      </c>
      <c r="AK248" s="131">
        <f t="shared" si="51"/>
        <v>0</v>
      </c>
      <c r="AL248" s="131">
        <f t="shared" si="52"/>
        <v>0</v>
      </c>
      <c r="AM248" s="131">
        <v>0</v>
      </c>
      <c r="AN248" s="131">
        <f t="shared" si="53"/>
        <v>0</v>
      </c>
      <c r="AO248" s="131">
        <v>0</v>
      </c>
      <c r="AP248" s="131">
        <f t="shared" si="54"/>
        <v>0</v>
      </c>
      <c r="AQ248" s="131">
        <f t="shared" si="55"/>
        <v>0</v>
      </c>
      <c r="AR248" s="131">
        <v>0</v>
      </c>
    </row>
    <row r="249" spans="28:44">
      <c r="AB249" s="131">
        <f t="shared" si="42"/>
        <v>0</v>
      </c>
      <c r="AC249" s="131">
        <f t="shared" si="43"/>
        <v>0</v>
      </c>
      <c r="AD249" s="131">
        <f t="shared" si="44"/>
        <v>0</v>
      </c>
      <c r="AE249" s="131">
        <f t="shared" si="45"/>
        <v>0</v>
      </c>
      <c r="AF249" s="131">
        <f t="shared" si="46"/>
        <v>0</v>
      </c>
      <c r="AG249" s="131">
        <f t="shared" si="47"/>
        <v>0</v>
      </c>
      <c r="AH249" s="131">
        <f t="shared" si="48"/>
        <v>0</v>
      </c>
      <c r="AI249" s="131">
        <f t="shared" si="49"/>
        <v>0</v>
      </c>
      <c r="AJ249" s="131" t="e">
        <f t="shared" si="50"/>
        <v>#DIV/0!</v>
      </c>
      <c r="AK249" s="131">
        <f t="shared" si="51"/>
        <v>0</v>
      </c>
      <c r="AL249" s="131">
        <f t="shared" si="52"/>
        <v>0</v>
      </c>
      <c r="AM249" s="131">
        <v>0</v>
      </c>
      <c r="AN249" s="131">
        <f t="shared" si="53"/>
        <v>0</v>
      </c>
      <c r="AO249" s="131">
        <v>0</v>
      </c>
      <c r="AP249" s="131">
        <f t="shared" si="54"/>
        <v>0</v>
      </c>
      <c r="AQ249" s="131">
        <f t="shared" si="55"/>
        <v>0</v>
      </c>
      <c r="AR249" s="131">
        <v>0</v>
      </c>
    </row>
    <row r="250" spans="28:44">
      <c r="AB250" s="131">
        <f t="shared" si="42"/>
        <v>0</v>
      </c>
      <c r="AC250" s="131">
        <f t="shared" si="43"/>
        <v>0</v>
      </c>
      <c r="AD250" s="131">
        <f t="shared" si="44"/>
        <v>0</v>
      </c>
      <c r="AE250" s="131">
        <f t="shared" si="45"/>
        <v>0</v>
      </c>
      <c r="AF250" s="131">
        <f t="shared" si="46"/>
        <v>0</v>
      </c>
      <c r="AG250" s="131">
        <f t="shared" si="47"/>
        <v>0</v>
      </c>
      <c r="AH250" s="131">
        <f t="shared" si="48"/>
        <v>0</v>
      </c>
      <c r="AI250" s="131">
        <f t="shared" si="49"/>
        <v>0</v>
      </c>
      <c r="AJ250" s="131" t="e">
        <f t="shared" si="50"/>
        <v>#DIV/0!</v>
      </c>
      <c r="AK250" s="131">
        <f t="shared" si="51"/>
        <v>0</v>
      </c>
      <c r="AL250" s="131">
        <f t="shared" si="52"/>
        <v>0</v>
      </c>
      <c r="AM250" s="131">
        <v>0</v>
      </c>
      <c r="AN250" s="131">
        <f t="shared" si="53"/>
        <v>0</v>
      </c>
      <c r="AO250" s="131">
        <v>0</v>
      </c>
      <c r="AP250" s="131">
        <f t="shared" si="54"/>
        <v>0</v>
      </c>
      <c r="AQ250" s="131">
        <f t="shared" si="55"/>
        <v>0</v>
      </c>
      <c r="AR250" s="131">
        <v>0</v>
      </c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9"/>
  <dimension ref="A1"/>
  <sheetViews>
    <sheetView workbookViewId="0">
      <selection activeCell="M1" sqref="M1"/>
    </sheetView>
  </sheetViews>
  <sheetFormatPr defaultRowHeight="15"/>
  <cols>
    <col min="1" max="1" width="51" customWidth="1"/>
  </cols>
  <sheetData>
    <row r="1" spans="1:1" ht="345">
      <c r="A1" s="132" t="s">
        <v>447</v>
      </c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1"/>
  <dimension ref="H1"/>
  <sheetViews>
    <sheetView tabSelected="1" workbookViewId="0">
      <selection activeCell="K17" sqref="K17"/>
    </sheetView>
  </sheetViews>
  <sheetFormatPr defaultRowHeight="15"/>
  <sheetData>
    <row r="1" spans="8:8">
      <c r="H1">
        <v>11768</v>
      </c>
    </row>
  </sheetData>
  <pageMargins left="0.7" right="0.7" top="0.75" bottom="0.75" header="0.3" footer="0.3"/>
  <pageSetup paperSize="9" orientation="portrait" verticalDpi="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5</vt:i4>
      </vt:variant>
    </vt:vector>
  </HeadingPairs>
  <TitlesOfParts>
    <vt:vector size="16" baseType="lpstr">
      <vt:lpstr>thit_12_thang</vt:lpstr>
      <vt:lpstr>thit_chuong</vt:lpstr>
      <vt:lpstr>2018-2</vt:lpstr>
      <vt:lpstr>FCR</vt:lpstr>
      <vt:lpstr>data</vt:lpstr>
      <vt:lpstr>getdata</vt:lpstr>
      <vt:lpstr>g</vt:lpstr>
      <vt:lpstr>query</vt:lpstr>
      <vt:lpstr>thit_dien_bien</vt:lpstr>
      <vt:lpstr>Sheet2</vt:lpstr>
      <vt:lpstr>setup</vt:lpstr>
      <vt:lpstr>'2018-2'!Print_Area</vt:lpstr>
      <vt:lpstr>FCR!Print_Area</vt:lpstr>
      <vt:lpstr>thit_12_thang!Print_Area</vt:lpstr>
      <vt:lpstr>thit_chuong!Print_Area</vt:lpstr>
      <vt:lpstr>'2018-2'!Print_Titles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hieu</dc:creator>
  <cp:lastModifiedBy>hieu</cp:lastModifiedBy>
  <dcterms:created xsi:type="dcterms:W3CDTF">2023-03-22T04:08:45Z</dcterms:created>
  <dcterms:modified xsi:type="dcterms:W3CDTF">2023-12-15T03:39:31Z</dcterms:modified>
</cp:coreProperties>
</file>